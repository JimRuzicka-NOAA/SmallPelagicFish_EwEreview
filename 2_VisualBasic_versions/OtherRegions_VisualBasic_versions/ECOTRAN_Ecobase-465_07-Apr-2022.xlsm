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checkCompatibility="1" autoCompressPictures="0"/>
  <mc:AlternateContent xmlns:mc="http://schemas.openxmlformats.org/markup-compatibility/2006">
    <mc:Choice Requires="x15">
      <x15ac:absPath xmlns:x15ac="http://schemas.microsoft.com/office/spreadsheetml/2010/11/ac" url="/Users/jimsebi/Documents/14_Manuscripts/2022_PICES_SmallPelagicFish/EwEmodel_database/ECOTRAN_versions/ECOTRAN_OtherRegions/OtherRegions_ECOTRAN_K-path_versions/"/>
    </mc:Choice>
  </mc:AlternateContent>
  <xr:revisionPtr revIDLastSave="0" documentId="13_ncr:1_{319928FD-BD43-2F46-93DE-518D1A4E4C1B}" xr6:coauthVersionLast="45" xr6:coauthVersionMax="45" xr10:uidLastSave="{00000000-0000-0000-0000-000000000000}"/>
  <bookViews>
    <workbookView xWindow="0" yWindow="460" windowWidth="25600" windowHeight="14240" tabRatio="728" firstSheet="8" activeTab="13" xr2:uid="{00000000-000D-0000-FFFF-FFFF00000000}"/>
  </bookViews>
  <sheets>
    <sheet name="READ ME" sheetId="80" r:id="rId1"/>
    <sheet name="Main" sheetId="75" r:id="rId2"/>
    <sheet name="Diets" sheetId="78" r:id="rId3"/>
    <sheet name="Detritus" sheetId="1" r:id="rId4"/>
    <sheet name="Fishing" sheetId="2" r:id="rId5"/>
    <sheet name="Discards" sheetId="3" r:id="rId6"/>
    <sheet name="pedigree_Parameters" sheetId="87" r:id="rId7"/>
    <sheet name="pedigree_Diet" sheetId="88" r:id="rId8"/>
    <sheet name="pedigree_DietPrefRules" sheetId="89" r:id="rId9"/>
    <sheet name="pedigree_Landings" sheetId="93" r:id="rId10"/>
    <sheet name="pedigree_Discards" sheetId="91" r:id="rId11"/>
    <sheet name="MainOutputs" sheetId="83" r:id="rId12"/>
    <sheet name="Mortalities" sheetId="84" r:id="rId13"/>
    <sheet name="EcotranType" sheetId="85" r:id="rId14"/>
    <sheet name="EcotranRecycling" sheetId="86" r:id="rId15"/>
    <sheet name="FunctionalResponse" sheetId="94" r:id="rId16"/>
  </sheets>
  <functionGroups builtInGroupCount="19"/>
  <definedNames>
    <definedName name="cornerBasic">Main!$C$1</definedName>
    <definedName name="cornerBasicOut">MainOutputs!$A$1</definedName>
    <definedName name="cornerDetritus">Detritus!$A$1</definedName>
    <definedName name="cornerDiets">Diets!$A$1</definedName>
    <definedName name="cornerDiscards">Discards!$A$1</definedName>
    <definedName name="cornerFishing">Fishing!$A$1</definedName>
    <definedName name="cornerMort">Mortalities!$A$1</definedName>
    <definedName name="cornerPedcat">#REF!</definedName>
    <definedName name="cornerPedigree">#REF!</definedName>
    <definedName name="FishingLinks">Main!$B$8</definedName>
    <definedName name="matBasic">Main!$C$2:$N$108</definedName>
    <definedName name="matDetritus">Detritus!$C$2:$J$108</definedName>
    <definedName name="matDiet">Diets!$B$2:$CO$101</definedName>
    <definedName name="matDiscards">Discards!$C$2:$J$100</definedName>
    <definedName name="matFishery">Fishing!$C$2:$J$100</definedName>
    <definedName name="matFishing">Fishing!#REF!</definedName>
    <definedName name="matMort">Mortalities!$A$1:$DF$100</definedName>
    <definedName name="matOut">MainOutputs!$A$2:$I$108</definedName>
    <definedName name="matPedcat">#REF!</definedName>
    <definedName name="matPedigree">#REF!</definedName>
    <definedName name="NumDead">Main!$B$4</definedName>
    <definedName name="NumGears">Main!$B$5</definedName>
    <definedName name="NumLiving">Main!$B$3</definedName>
    <definedName name="PredPreyLinks">Main!$B$7</definedName>
    <definedName name="vecBB">MainOutputs!$E$2:$E$150</definedName>
  </definedNames>
  <calcPr calcId="191029"/>
  <extLst>
    <ext xmlns:mx="http://schemas.microsoft.com/office/mac/excel/2008/main" uri="{7523E5D3-25F3-A5E0-1632-64F254C22452}">
      <mx:ArchID Flags="2"/>
    </ext>
  </extLst>
</workbook>
</file>

<file path=xl/calcChain.xml><?xml version="1.0" encoding="utf-8"?>
<calcChain xmlns="http://schemas.openxmlformats.org/spreadsheetml/2006/main">
  <c r="E42" i="86" l="1"/>
  <c r="D42" i="86"/>
  <c r="B10" i="87"/>
  <c r="B8" i="75"/>
  <c r="B7" i="75"/>
  <c r="X6" i="75"/>
</calcChain>
</file>

<file path=xl/sharedStrings.xml><?xml version="1.0" encoding="utf-8"?>
<sst xmlns="http://schemas.openxmlformats.org/spreadsheetml/2006/main" count="2490" uniqueCount="311">
  <si>
    <t>Group</t>
  </si>
  <si>
    <t>PB</t>
  </si>
  <si>
    <t>QB</t>
  </si>
  <si>
    <t>ProdCons</t>
  </si>
  <si>
    <t>BioAcc</t>
  </si>
  <si>
    <t>Unassim</t>
  </si>
  <si>
    <t>DetInput</t>
  </si>
  <si>
    <t>Type</t>
  </si>
  <si>
    <t>Num</t>
  </si>
  <si>
    <t>Number of living</t>
  </si>
  <si>
    <t>Number of detritus</t>
  </si>
  <si>
    <t>Number of gear</t>
  </si>
  <si>
    <t>TL</t>
  </si>
  <si>
    <t>Biomass</t>
  </si>
  <si>
    <t>EE</t>
  </si>
  <si>
    <t>Mortalities</t>
  </si>
  <si>
    <t>M0</t>
  </si>
  <si>
    <t>B</t>
  </si>
  <si>
    <t>MAIN INPUTS</t>
  </si>
  <si>
    <t>DIETS</t>
  </si>
  <si>
    <t>Detritus Fate</t>
  </si>
  <si>
    <t>Retained Fisheries</t>
  </si>
  <si>
    <t>Fisheries Discards</t>
  </si>
  <si>
    <t>Guild</t>
  </si>
  <si>
    <t>Removals</t>
  </si>
  <si>
    <t>NUM</t>
  </si>
  <si>
    <t>GE</t>
  </si>
  <si>
    <t>PredPreyLinks</t>
  </si>
  <si>
    <t>FishingLinks</t>
  </si>
  <si>
    <t>BALANCE</t>
  </si>
  <si>
    <t>EXPORT TO .CSV</t>
  </si>
  <si>
    <t>max EE--&gt;&gt;</t>
  </si>
  <si>
    <t>Resolved Names</t>
  </si>
  <si>
    <t>EcotranNumber</t>
  </si>
  <si>
    <t>GroupType</t>
  </si>
  <si>
    <t>AggregationCode</t>
  </si>
  <si>
    <t>Aggregation Names</t>
  </si>
  <si>
    <t>Number of Nitrogen Nutrients</t>
  </si>
  <si>
    <t>NO3</t>
  </si>
  <si>
    <t>Number of NonNitrogen Nutrients</t>
  </si>
  <si>
    <t>pelagic NH4</t>
  </si>
  <si>
    <t>benthic NH4</t>
  </si>
  <si>
    <t>large phytoplankton</t>
  </si>
  <si>
    <t>small phytoplankton</t>
  </si>
  <si>
    <t>fishery</t>
  </si>
  <si>
    <t>emigration</t>
  </si>
  <si>
    <t>BA</t>
  </si>
  <si>
    <t>EM</t>
  </si>
  <si>
    <t>DetritusFate_feces</t>
  </si>
  <si>
    <t>ExcretionFate</t>
  </si>
  <si>
    <t>ProductionLossScaler</t>
  </si>
  <si>
    <t>PelagicBacterialReduction</t>
  </si>
  <si>
    <t>surface</t>
  </si>
  <si>
    <t>sub-surface</t>
  </si>
  <si>
    <t>BenthicBacterialReduction</t>
  </si>
  <si>
    <t>Oxidation_NH4</t>
  </si>
  <si>
    <t>PhytoUptake_NH4</t>
  </si>
  <si>
    <t>PhytoUptake_NO3</t>
  </si>
  <si>
    <t>consumer</t>
  </si>
  <si>
    <t>autotroph</t>
  </si>
  <si>
    <t>detritus</t>
  </si>
  <si>
    <t>consumer - pelagic - nekton</t>
  </si>
  <si>
    <t>consumer - pelagic - plankton</t>
  </si>
  <si>
    <t>consumer - benthic - vertebrate</t>
  </si>
  <si>
    <t>eggs</t>
  </si>
  <si>
    <t>ECOTRAN types</t>
  </si>
  <si>
    <t>consumer - benthic - invertebrate</t>
  </si>
  <si>
    <t>macrophytes</t>
  </si>
  <si>
    <t>consumer - pelagic - warm-blooded</t>
  </si>
  <si>
    <t>consumer - benthic - warm-blooded</t>
  </si>
  <si>
    <t>offal</t>
  </si>
  <si>
    <t>pelagic detritus</t>
  </si>
  <si>
    <t>benthic detritus</t>
  </si>
  <si>
    <t>assigned in matlab code later (import??)</t>
  </si>
  <si>
    <t>PhysiologyScaler</t>
  </si>
  <si>
    <t>BiomassScaler</t>
  </si>
  <si>
    <t>FisheriesScaler</t>
  </si>
  <si>
    <t>DietScaler</t>
  </si>
  <si>
    <t>BAScaler</t>
  </si>
  <si>
    <t>EMScaler</t>
  </si>
  <si>
    <t>DiscardScaler</t>
  </si>
  <si>
    <t>minBiomass</t>
  </si>
  <si>
    <t>Pedigree Discards</t>
  </si>
  <si>
    <t>Pedigree Landings</t>
  </si>
  <si>
    <t>B (CV)</t>
  </si>
  <si>
    <t>PB (CV)</t>
  </si>
  <si>
    <t>QB (CV)</t>
  </si>
  <si>
    <t>PQ (CV)</t>
  </si>
  <si>
    <t>AE (CV)</t>
  </si>
  <si>
    <t>B (abs min)</t>
  </si>
  <si>
    <t>PQ (abs min)</t>
  </si>
  <si>
    <t>AE (abs min)</t>
  </si>
  <si>
    <t>QB (abs min)</t>
  </si>
  <si>
    <t>PB (abs min)</t>
  </si>
  <si>
    <t>B (abs max)</t>
  </si>
  <si>
    <t>PB (abs max)</t>
  </si>
  <si>
    <t>QB (abs max)</t>
  </si>
  <si>
    <t>PQ (abs max)</t>
  </si>
  <si>
    <t>AE (abs max)</t>
  </si>
  <si>
    <t>max EE</t>
  </si>
  <si>
    <t>BA (CV)</t>
  </si>
  <si>
    <t>EM (CV)</t>
  </si>
  <si>
    <t>Egg rate (CV)</t>
  </si>
  <si>
    <t>BA (abs min)</t>
  </si>
  <si>
    <t>EM (abs min)</t>
  </si>
  <si>
    <t>Egg rate (abs min)</t>
  </si>
  <si>
    <t>BA (abs max)</t>
  </si>
  <si>
    <t>EM (abs max)</t>
  </si>
  <si>
    <t>Egg rate (abs max)</t>
  </si>
  <si>
    <t>DetritusFate_feces (CV)</t>
  </si>
  <si>
    <t>ExcretionFate (CV)</t>
  </si>
  <si>
    <t>DetritusFate_senescence (CV)</t>
  </si>
  <si>
    <t>DetritusFate_feces (max)</t>
  </si>
  <si>
    <t>DetritusFate_senescence (max)</t>
  </si>
  <si>
    <t>ExcretionFate (max)</t>
  </si>
  <si>
    <t>DetritusFate_feces (min)</t>
  </si>
  <si>
    <t>DetritusFate_senescence (min)</t>
  </si>
  <si>
    <t>ExcretionFate (min)</t>
  </si>
  <si>
    <t>DIET PEDIGREE</t>
  </si>
  <si>
    <t>DetritusFate_senescence</t>
  </si>
  <si>
    <t>Eggs</t>
  </si>
  <si>
    <t>ECOTRAN GroupType definitions</t>
  </si>
  <si>
    <t>terminal pelagic detritus</t>
  </si>
  <si>
    <t>terminal benthic detritus</t>
  </si>
  <si>
    <t>emigration (EM)</t>
  </si>
  <si>
    <t>accumulation (BA)</t>
  </si>
  <si>
    <t>any Nitrogen Nutrient</t>
  </si>
  <si>
    <t>any Primary Producer</t>
  </si>
  <si>
    <t>any consumer</t>
  </si>
  <si>
    <t>any detritus (not egg)</t>
  </si>
  <si>
    <t>PreyGuild_Name</t>
  </si>
  <si>
    <t>PreyGuild_code</t>
  </si>
  <si>
    <t>Metabolism</t>
  </si>
  <si>
    <t>(future)</t>
  </si>
  <si>
    <t>Metabolism rate (CV)</t>
  </si>
  <si>
    <t>Metabolism rate (abs min)</t>
  </si>
  <si>
    <t>Metabolism rate (abs max)</t>
  </si>
  <si>
    <t>EwE type codes</t>
  </si>
  <si>
    <t>biomass accumulation</t>
  </si>
  <si>
    <t>DIET PEDIGREE preference rules</t>
  </si>
  <si>
    <t>(NOTE: these are different from ECOTRAN type codes)</t>
  </si>
  <si>
    <t>NOTES:</t>
  </si>
  <si>
    <t>2) Be sure to enter number of functional groups in cells B3 - B5 on "Main" worksheet</t>
  </si>
  <si>
    <t>1) Every model must have a terminal pelagic and terminal benthic detritus group defined</t>
  </si>
  <si>
    <t>3) AggregationCode on "ECOTRANtype" worksheet will both define groups to aggregate (those with same number get lumped) and the order in the ECOTRAN model</t>
  </si>
  <si>
    <t>This Visual Basic version of EwE was provided courtesy of K. Aydin (AFSC NOAA)</t>
  </si>
  <si>
    <t>(ECOTRAN export mods and messing up by J. Ruzicka)</t>
  </si>
  <si>
    <t>4) note that diet matrix includes the columns for producer groups and detritus groups</t>
  </si>
  <si>
    <t xml:space="preserve"> (now assigned dynamically in "EcotranType" worksheet) 8/19/2013</t>
  </si>
  <si>
    <t>minPhysiology</t>
  </si>
  <si>
    <t>&lt;--(minimum fraction of base value)</t>
  </si>
  <si>
    <t>5) PreyGuild_code numbers refer to AggregationCode numbers as given in "EcotranType" worksheet</t>
  </si>
  <si>
    <t>&lt;-- don't make more prey guilds than this</t>
  </si>
  <si>
    <t>6) on EcotranRecycling page, fishery discards are assigned as "DetritusFate_feces"</t>
  </si>
  <si>
    <t>RetentionScaler</t>
  </si>
  <si>
    <t>( 0 = more advection &lt;--&gt; less advection =1)</t>
  </si>
  <si>
    <t>Functional Response</t>
  </si>
  <si>
    <t>A</t>
  </si>
  <si>
    <t>C</t>
  </si>
  <si>
    <t>D</t>
  </si>
  <si>
    <t>&lt;--based on fraction of total primary production</t>
  </si>
  <si>
    <t>P</t>
  </si>
  <si>
    <t>total--&gt;</t>
  </si>
  <si>
    <t>fraction</t>
  </si>
  <si>
    <t>revision date: 5-1-2016</t>
  </si>
  <si>
    <t>7) allows up to 10 primary producers</t>
  </si>
  <si>
    <t>&lt;-NOTE: PreyGuilds are NOT necessary</t>
  </si>
  <si>
    <t>&lt;-- use AggregationCode numbers and brackets "[ ]"</t>
  </si>
  <si>
    <t>NOTE: Maximum of 10 primary producers-&gt;</t>
  </si>
  <si>
    <t>micrograzers</t>
  </si>
  <si>
    <t>bacteria</t>
  </si>
  <si>
    <t>model number</t>
  </si>
  <si>
    <t>model name</t>
  </si>
  <si>
    <t>country</t>
  </si>
  <si>
    <t>area</t>
  </si>
  <si>
    <t>geographic extent</t>
  </si>
  <si>
    <t>ecosystem type</t>
  </si>
  <si>
    <t>currency units</t>
  </si>
  <si>
    <t>description</t>
  </si>
  <si>
    <t>number of groups</t>
  </si>
  <si>
    <t>number of fleets</t>
  </si>
  <si>
    <t>model year</t>
  </si>
  <si>
    <t>model period</t>
  </si>
  <si>
    <t>reference</t>
  </si>
  <si>
    <t>doi</t>
  </si>
  <si>
    <t>Albatross Bay</t>
  </si>
  <si>
    <t>Australia</t>
  </si>
  <si>
    <t>BOX(141.1 -13,142 -12.2)</t>
  </si>
  <si>
    <t>bay/fjord</t>
  </si>
  <si>
    <t>WetWeight</t>
  </si>
  <si>
    <t>A preliminary ecosystem model of Albatross Bay, Gulf of Carpentaria, Australia. This trophodynamic model was constructed to understand the causes of recent worrisome declines in the catches of banana prawns. It has 99 functional groups, explicit estuary and offshore sub-webs, life-stage-based sub-models for key prawn groups, and catch and discard information for eight fisheries. Fisheries time series are incorporated. 
28/04/2005 5:11:47 PM; 28/04/2005 10:39:52 PM; 29/04/2005 3:24:22 PM; 29/04/2005 4:03:14 PM; 29/04/2005 10:13:37 PM; 30/04/2005 12:04:12 PM; 30/04/2005 1:49:39 PM; 30/04/2005 1:51:39 PM; 30/04/2005 6:44:51 PM; 30/04/2005 10:56:12 PM; 1/05/2005 9:24:55 AM; 1/05/2005 11:01:58 AM; 1/05/2005 11:04:29 AM; 1/05/2005 11:09:01 AM; 1/05/2005 11:11:06 AM; 1/05/2005 2:23:39 PM; 1/05/2005 2:57:02 PM; 1/05/2005 4:39:28 PM; 1/05/2005 5:31:14 PM; 1/05/2005 8:32:49 PM; 1/05/2005 8:41:31 PM; 1/05/2005 8:55:45 PM; 1/05/2005 9:05:10 PM; 1/05/2005 9:07:01 PM; 1/05/2005 10:10:45 PM; 2/05/2005 9:34:41 AM; 2/05/2005 9:46:24 AM; 2/05/2005 11:25:15 AM; 2/05/2005 5:10:25 PM; 3/05/2005 5:22:41 PM; 3/05/2005 10:04:03 PM; 4/05/2005 6:24:05 AM; 4/05/2005 8:50:39 AM; 4/05/2005 10:15:00 AM; 4/05/2005 10:33:18 AM; 4/05/2005 12:40:31 PM; 4/05/2005 1:08:57 PM; 4/05/2005 1:15:19 PM; 4/05/2005 3:14:52 PM; 5/05/2005 4:30:24 PM; 6/05/2005 8:15:37 AM; 6/05/2005 9:19:25 AM; 13/05/2005 11:41:17 AM; 13/05/2005 11:44:35 AM; 13/05/2005 3:57:43 PM; 19/05/2005 8:51:13 AM; 8/07/2005 4:17:57 PM; 10/07/2005 8:30:48 PM; 11/07/2005 8:00:02 PM; 12/07/2005 11:33:29 AM; 12/07/2005 6:49:08 PM; 12/07/2005 7:48:12 PM; 14/07/2005 8:01:59 PM; 14/07/2005 8:27:45 PM; 1/09/2005 2:38:16 PM; 2/09/2005 1:46:41 PM; 21/09/2005 2:49:42 PM; 21/09/2005 6:01:19 PM; 29/09/2005 6:12:00 PM; 30/09/2005 3:54:43 PM; 3/10/2005 6:26:00 PM; 4/10/2005 4:45:57 PM; 5/10/2005 6:17:15 PM; 6/10/2005 4:48:18 PM; 7/10/2005 9:52:13 AM; 7/10/2005 4:10:54 PM; 7/10/2005 11:35:38 PM; 8/10/2005 12:12:53 AM; 8/10/2005 8:59:46 AM; 9/10/2005 2:34:45 PM; 9/10/2005 3:58:11 PM; 9/10/2005 5:27:24 PM; 9/10/2005 9:29:19 PM; 10/10/2005 3:14:28 PM; 10/10/2005 10:43:45 PM; 13/10/2005 3:55:22 PM; 20/10/2005 4:37:48 PM; 21/10/2005 12:51:28 PM; 21/10/2005 5:28:47 PM; 24/10/2005 11:11:48 AM; 25/10/2005 12:27:02 PM; 25/10/2005 5:09:44 PM; 23/11/2005 6:04:57 PM; 8/12/2005 4:23:08 PM; 29/12/2005 6:45:04 PM; 3/01/2006 10:52:56 AM; 3/01/2006 4:30:03 PM; 6/01/2006 3:08:44 PM; 6/01/2006 4:17:06 PM; 9/01/2006 5:13:12 PM; 12/01/2006 5:52:21 PM; 16/01/2006 3:30:03 PM; 20/01/2006 4:00:28 PM; 23/01/2006 12:57:40 PM; 24/01/2006 9:18:15 PM; 27/01/2006 9:47:56 AM; 28/01/2006 5:12:27 PM; 28/01/2006 5:13:49 PM; 29/01/2006 5:57:41 PM; 5/02/2006 12:25:04 PM; 16/02/2006 3:07:13 PM; 16/02/2006 4:09:47 PM; 17/02/2006 10:36:41 AM; 24/02/2006 4:00:32 PM; 9/03/2006 4:31:41 PM</t>
  </si>
  <si>
    <t>Okey T.A.(2006). A trophodynamic ecosystem model of Albatross Bay, Gulf of Carpentaria: revealing a plausible fishing explanation for prawn catch declines CSIRO Marine and Atmospheric Research Paper</t>
  </si>
  <si>
    <t>Dolphins</t>
  </si>
  <si>
    <t>Dugongs</t>
  </si>
  <si>
    <t>Crocodiles</t>
  </si>
  <si>
    <t>Turtles</t>
  </si>
  <si>
    <t>Sea snakes</t>
  </si>
  <si>
    <t>Lesser frigates</t>
  </si>
  <si>
    <t>Brown boobies</t>
  </si>
  <si>
    <t>Crested terns</t>
  </si>
  <si>
    <t>Common terns</t>
  </si>
  <si>
    <t>Large pelagic piscivores</t>
  </si>
  <si>
    <t>Medium pelagic piscivores</t>
  </si>
  <si>
    <t>Small pelagic piscivores</t>
  </si>
  <si>
    <t>Sawfishes</t>
  </si>
  <si>
    <t>Large teleost benthic piscivores</t>
  </si>
  <si>
    <t>Small benthic piscivores</t>
  </si>
  <si>
    <t>Large elasmo benthopelagic piscivores</t>
  </si>
  <si>
    <t>Large teleost benthopelagic piscivores</t>
  </si>
  <si>
    <t>Small benthopelagic piscivores</t>
  </si>
  <si>
    <t>Large benthopelagic invert feeders</t>
  </si>
  <si>
    <t>Small benthopelagic invert feeders</t>
  </si>
  <si>
    <t>Large elasmo benthic invert feeders</t>
  </si>
  <si>
    <t>Large teleost benth invert feeders</t>
  </si>
  <si>
    <t>Small benthic invert feeders</t>
  </si>
  <si>
    <t>Polychaete feeders</t>
  </si>
  <si>
    <t>Large pelagic planktivores</t>
  </si>
  <si>
    <t>Small pelagic planktivores</t>
  </si>
  <si>
    <t>Benthic herbivores</t>
  </si>
  <si>
    <t>Scavengers</t>
  </si>
  <si>
    <t>Estuary lg elasmo benthopelagic pisc/prawn feeders</t>
  </si>
  <si>
    <t>Estuary lg teleost benthopelagic posc/prawn feeder</t>
  </si>
  <si>
    <t>Estuary large benthic pisc/prawn feeders</t>
  </si>
  <si>
    <t>Estuary large benthopelagic invert feeders</t>
  </si>
  <si>
    <t>Estuary large benthic invert feeders (Rays)</t>
  </si>
  <si>
    <t>Estuary polychaete feeders</t>
  </si>
  <si>
    <t>Estuary small benthic invert feeders</t>
  </si>
  <si>
    <t>Estuary planktivores</t>
  </si>
  <si>
    <t>Estuary detritivores</t>
  </si>
  <si>
    <t>Estuary benthic herbivores</t>
  </si>
  <si>
    <t>Estuary insectivores</t>
  </si>
  <si>
    <t>Estuary  pelagic herbivores</t>
  </si>
  <si>
    <t>Octopus</t>
  </si>
  <si>
    <t>Squid and cuttlefishes</t>
  </si>
  <si>
    <t>Stomatopods</t>
  </si>
  <si>
    <t>Banana prawn juvenile</t>
  </si>
  <si>
    <t>Banana prawn subadults</t>
  </si>
  <si>
    <t>Banana prawn adult</t>
  </si>
  <si>
    <t>Tiger prawn juvenile</t>
  </si>
  <si>
    <t>Tiger prawn subadults</t>
  </si>
  <si>
    <t>Tiger prawn adult</t>
  </si>
  <si>
    <t>All other commercial prawns</t>
  </si>
  <si>
    <t>Thallasinid prawns (Callianassa)</t>
  </si>
  <si>
    <t>All other non-commercial prawns</t>
  </si>
  <si>
    <t>Crayfish</t>
  </si>
  <si>
    <t>The mud crab</t>
  </si>
  <si>
    <t>Red mud crab</t>
  </si>
  <si>
    <t>Sand crab</t>
  </si>
  <si>
    <t>Other large crabs</t>
  </si>
  <si>
    <t>Large gastropods</t>
  </si>
  <si>
    <t>Holothurians</t>
  </si>
  <si>
    <t>Spatangoids</t>
  </si>
  <si>
    <t>Echinoids</t>
  </si>
  <si>
    <t>Ophioroids</t>
  </si>
  <si>
    <t>Asteriods</t>
  </si>
  <si>
    <t>Sessile epibenthos</t>
  </si>
  <si>
    <t>Marine bivalves</t>
  </si>
  <si>
    <t>Estuarine bivalves</t>
  </si>
  <si>
    <t>Marine small crustaceans</t>
  </si>
  <si>
    <t>estuarine small crustaceans</t>
  </si>
  <si>
    <t>Marine worms</t>
  </si>
  <si>
    <t>Estuarine worms</t>
  </si>
  <si>
    <t>Marine small gastropods</t>
  </si>
  <si>
    <t>Estuarine small gastropods</t>
  </si>
  <si>
    <t>Marine meiofauna</t>
  </si>
  <si>
    <t>Estuarine meiofauna</t>
  </si>
  <si>
    <t>Marine forams</t>
  </si>
  <si>
    <t>Estuarine forams</t>
  </si>
  <si>
    <t>Large jellies</t>
  </si>
  <si>
    <t>Small jellies</t>
  </si>
  <si>
    <t>Marine zooplankton</t>
  </si>
  <si>
    <t>Estuarine zooplankton</t>
  </si>
  <si>
    <t>Marine ichthyoplankton</t>
  </si>
  <si>
    <t>Estuarine ichthyoplankton</t>
  </si>
  <si>
    <t>Insects</t>
  </si>
  <si>
    <t>Marine microbial heterotrophs</t>
  </si>
  <si>
    <t>Estuarine microbial heterotrophs</t>
  </si>
  <si>
    <t>Marine phytoplankton</t>
  </si>
  <si>
    <t>Estuarine phytoplankton</t>
  </si>
  <si>
    <t>Microphytobenthos</t>
  </si>
  <si>
    <t>Seagrass</t>
  </si>
  <si>
    <t>Estuarine macroalgae</t>
  </si>
  <si>
    <t>Marine macroalgae</t>
  </si>
  <si>
    <t>Mangroves</t>
  </si>
  <si>
    <t>Discards</t>
  </si>
  <si>
    <t>DetachedMarine macrophytes</t>
  </si>
  <si>
    <t>DetachedEstuarine macrophytes (estuarine)</t>
  </si>
  <si>
    <t>EstuarineWater-column detritus</t>
  </si>
  <si>
    <t>EstuarineSediment detritus</t>
  </si>
  <si>
    <t>MarineWater-column detritus</t>
  </si>
  <si>
    <t>MarineSediment detritus</t>
  </si>
  <si>
    <t>Banana trawl</t>
  </si>
  <si>
    <t>Tiger trawl</t>
  </si>
  <si>
    <t>Trolling (Spanish mackerel)</t>
  </si>
  <si>
    <t>OffshoreGillnet (Mackerel / Shark)</t>
  </si>
  <si>
    <t>InshoreGillnet (Shark / Barramundi)</t>
  </si>
  <si>
    <t>Pot (MudCrab)</t>
  </si>
  <si>
    <t>Recreational</t>
  </si>
  <si>
    <t>Aboriginal</t>
  </si>
  <si>
    <t>Import</t>
  </si>
  <si>
    <t>export</t>
  </si>
  <si>
    <t>sum</t>
  </si>
  <si>
    <t>TOTAL</t>
  </si>
  <si>
    <t>F Banana trawl</t>
  </si>
  <si>
    <t>F Tiger trawl</t>
  </si>
  <si>
    <t>F Trolling (Spanish mackerel)</t>
  </si>
  <si>
    <t>F OffshoreGillnet (Mackerel / Shark)</t>
  </si>
  <si>
    <t>F InshoreGillnet (Shark / Barramundi)</t>
  </si>
  <si>
    <t>F Pot (MudCrab)</t>
  </si>
  <si>
    <t>F Recreational</t>
  </si>
  <si>
    <t>F Aboriginal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</si>
</sst>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0"/>
      <name val="Arial"/>
    </font>
    <font>
      <b/>
      <sz val="10"/>
      <name val="Arial"/>
      <family val="2"/>
    </font>
    <font>
      <sz val="8"/>
      <name val="Arial"/>
      <family val="2"/>
    </font>
    <font>
      <i/>
      <sz val="10"/>
      <name val="Arial"/>
      <family val="2"/>
    </font>
    <font>
      <sz val="10"/>
      <name val="Verdana"/>
      <family val="2"/>
    </font>
    <font>
      <u/>
      <sz val="10"/>
      <color theme="10"/>
      <name val="Arial"/>
      <family val="2"/>
    </font>
    <font>
      <u/>
      <sz val="10"/>
      <color theme="11"/>
      <name val="Arial"/>
      <family val="2"/>
    </font>
    <font>
      <b/>
      <u/>
      <sz val="10"/>
      <name val="Arial"/>
      <family val="2"/>
    </font>
    <font>
      <sz val="10"/>
      <color rgb="FFFF0000"/>
      <name val="Arial"/>
      <family val="2"/>
    </font>
    <font>
      <b/>
      <sz val="10"/>
      <color rgb="FFFF0000"/>
      <name val="Arial"/>
      <family val="2"/>
    </font>
    <font>
      <sz val="10"/>
      <color indexed="10"/>
      <name val="Arial"/>
      <family val="2"/>
    </font>
    <font>
      <b/>
      <sz val="10"/>
      <name val="Verdana"/>
      <family val="2"/>
    </font>
  </fonts>
  <fills count="283">
    <fill>
      <patternFill patternType="none"/>
    </fill>
    <fill>
      <patternFill patternType="gray125"/>
    </fill>
    <fill>
      <patternFill patternType="solid">
        <fgColor indexed="53"/>
        <bgColor indexed="64"/>
      </patternFill>
    </fill>
    <fill>
      <patternFill patternType="solid">
        <fgColor rgb="FF00FFFF"/>
        <bgColor indexed="64"/>
      </patternFill>
    </fill>
    <fill>
      <patternFill patternType="solid">
        <fgColor rgb="FFFFFFFF"/>
        <bgColor indexed="64"/>
      </patternFill>
    </fill>
    <fill>
      <patternFill patternType="solid">
        <fgColor rgb="FF808080"/>
        <bgColor indexed="64"/>
      </patternFill>
    </fill>
    <fill>
      <patternFill patternType="solid">
        <fgColor rgb="FF00FF00"/>
        <bgColor indexed="64"/>
      </patternFill>
    </fill>
    <fill>
      <patternFill patternType="solid">
        <fgColor rgb="FF02FF00"/>
        <bgColor indexed="64"/>
      </patternFill>
    </fill>
    <fill>
      <patternFill patternType="solid">
        <fgColor rgb="FF13FF00"/>
        <bgColor indexed="64"/>
      </patternFill>
    </fill>
    <fill>
      <patternFill patternType="solid">
        <fgColor rgb="FF01FF00"/>
        <bgColor indexed="64"/>
      </patternFill>
    </fill>
    <fill>
      <patternFill patternType="solid">
        <fgColor rgb="FF05FF00"/>
        <bgColor indexed="64"/>
      </patternFill>
    </fill>
    <fill>
      <patternFill patternType="solid">
        <fgColor rgb="FF08FF00"/>
        <bgColor indexed="64"/>
      </patternFill>
    </fill>
    <fill>
      <patternFill patternType="solid">
        <fgColor rgb="FF07FF00"/>
        <bgColor indexed="64"/>
      </patternFill>
    </fill>
    <fill>
      <patternFill patternType="solid">
        <fgColor rgb="FF06FF00"/>
        <bgColor indexed="64"/>
      </patternFill>
    </fill>
    <fill>
      <patternFill patternType="solid">
        <fgColor rgb="FF09FF00"/>
        <bgColor indexed="64"/>
      </patternFill>
    </fill>
    <fill>
      <patternFill patternType="solid">
        <fgColor rgb="FF16FF00"/>
        <bgColor indexed="64"/>
      </patternFill>
    </fill>
    <fill>
      <patternFill patternType="solid">
        <fgColor rgb="FF0AFF00"/>
        <bgColor indexed="64"/>
      </patternFill>
    </fill>
    <fill>
      <patternFill patternType="solid">
        <fgColor rgb="FF04FF00"/>
        <bgColor indexed="64"/>
      </patternFill>
    </fill>
    <fill>
      <patternFill patternType="solid">
        <fgColor rgb="FF03FF00"/>
        <bgColor indexed="64"/>
      </patternFill>
    </fill>
    <fill>
      <patternFill patternType="solid">
        <fgColor rgb="FF0EFF00"/>
        <bgColor indexed="64"/>
      </patternFill>
    </fill>
    <fill>
      <patternFill patternType="solid">
        <fgColor rgb="FF10FF00"/>
        <bgColor indexed="64"/>
      </patternFill>
    </fill>
    <fill>
      <patternFill patternType="solid">
        <fgColor rgb="FF0DFF00"/>
        <bgColor indexed="64"/>
      </patternFill>
    </fill>
    <fill>
      <patternFill patternType="solid">
        <fgColor rgb="FF27FF00"/>
        <bgColor indexed="64"/>
      </patternFill>
    </fill>
    <fill>
      <patternFill patternType="solid">
        <fgColor rgb="FF12FF00"/>
        <bgColor indexed="64"/>
      </patternFill>
    </fill>
    <fill>
      <patternFill patternType="solid">
        <fgColor rgb="FF18FF00"/>
        <bgColor indexed="64"/>
      </patternFill>
    </fill>
    <fill>
      <patternFill patternType="solid">
        <fgColor rgb="FFFF6600"/>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3" tint="0.39997558519241921"/>
        <bgColor indexed="64"/>
      </patternFill>
    </fill>
    <fill>
      <patternFill patternType="solid">
        <fgColor theme="2" tint="-0.24994659260841701"/>
        <bgColor indexed="64"/>
      </patternFill>
    </fill>
    <fill>
      <patternFill patternType="solid">
        <fgColor theme="7" tint="0.39997558519241921"/>
        <bgColor indexed="64"/>
      </patternFill>
    </fill>
    <fill>
      <patternFill patternType="solid">
        <fgColor rgb="FF1CFF00"/>
        <bgColor indexed="64"/>
      </patternFill>
    </fill>
    <fill>
      <patternFill patternType="solid">
        <fgColor rgb="FF0BFF00"/>
        <bgColor indexed="64"/>
      </patternFill>
    </fill>
    <fill>
      <patternFill patternType="solid">
        <fgColor rgb="FF15FF00"/>
        <bgColor indexed="64"/>
      </patternFill>
    </fill>
    <fill>
      <patternFill patternType="solid">
        <fgColor rgb="FF1EFF00"/>
        <bgColor indexed="64"/>
      </patternFill>
    </fill>
    <fill>
      <patternFill patternType="solid">
        <fgColor rgb="FF20FF00"/>
        <bgColor indexed="64"/>
      </patternFill>
    </fill>
    <fill>
      <patternFill patternType="solid">
        <fgColor rgb="FF2FFF00"/>
        <bgColor indexed="64"/>
      </patternFill>
    </fill>
    <fill>
      <patternFill patternType="solid">
        <fgColor rgb="FF1AFF00"/>
        <bgColor indexed="64"/>
      </patternFill>
    </fill>
    <fill>
      <patternFill patternType="solid">
        <fgColor rgb="FF24FF00"/>
        <bgColor indexed="64"/>
      </patternFill>
    </fill>
    <fill>
      <patternFill patternType="solid">
        <fgColor theme="9"/>
        <bgColor indexed="64"/>
      </patternFill>
    </fill>
    <fill>
      <patternFill patternType="solid">
        <fgColor rgb="FF30FF00"/>
        <bgColor indexed="64"/>
      </patternFill>
    </fill>
    <fill>
      <patternFill patternType="solid">
        <fgColor rgb="FF28FF00"/>
        <bgColor indexed="64"/>
      </patternFill>
    </fill>
    <fill>
      <patternFill patternType="solid">
        <fgColor rgb="FF21FF00"/>
        <bgColor indexed="64"/>
      </patternFill>
    </fill>
    <fill>
      <patternFill patternType="solid">
        <fgColor rgb="FF3FFF00"/>
        <bgColor indexed="64"/>
      </patternFill>
    </fill>
    <fill>
      <patternFill patternType="solid">
        <fgColor rgb="FF94FF00"/>
        <bgColor indexed="64"/>
      </patternFill>
    </fill>
    <fill>
      <patternFill patternType="solid">
        <fgColor rgb="FF50FF00"/>
        <bgColor indexed="64"/>
      </patternFill>
    </fill>
    <fill>
      <patternFill patternType="solid">
        <fgColor rgb="FF22FF00"/>
        <bgColor indexed="64"/>
      </patternFill>
    </fill>
    <fill>
      <patternFill patternType="solid">
        <fgColor rgb="FF58FF00"/>
        <bgColor indexed="64"/>
      </patternFill>
    </fill>
    <fill>
      <patternFill patternType="solid">
        <fgColor rgb="FFEBFF00"/>
        <bgColor indexed="64"/>
      </patternFill>
    </fill>
    <fill>
      <patternFill patternType="solid">
        <fgColor rgb="FF63FF00"/>
        <bgColor indexed="64"/>
      </patternFill>
    </fill>
    <fill>
      <patternFill patternType="solid">
        <fgColor rgb="FF42FF00"/>
        <bgColor indexed="64"/>
      </patternFill>
    </fill>
    <fill>
      <patternFill patternType="solid">
        <fgColor rgb="FF3DFF00"/>
        <bgColor indexed="64"/>
      </patternFill>
    </fill>
    <fill>
      <patternFill patternType="solid">
        <fgColor rgb="FFFFB600"/>
        <bgColor indexed="64"/>
      </patternFill>
    </fill>
    <fill>
      <patternFill patternType="solid">
        <fgColor rgb="FFC1FF00"/>
        <bgColor indexed="64"/>
      </patternFill>
    </fill>
    <fill>
      <patternFill patternType="solid">
        <fgColor rgb="FF33FF00"/>
        <bgColor indexed="64"/>
      </patternFill>
    </fill>
    <fill>
      <patternFill patternType="solid">
        <fgColor rgb="FF0FFF00"/>
        <bgColor indexed="64"/>
      </patternFill>
    </fill>
    <fill>
      <patternFill patternType="solid">
        <fgColor rgb="FF1FFF00"/>
        <bgColor indexed="64"/>
      </patternFill>
    </fill>
    <fill>
      <patternFill patternType="solid">
        <fgColor rgb="FF80FF00"/>
        <bgColor indexed="64"/>
      </patternFill>
    </fill>
    <fill>
      <patternFill patternType="solid">
        <fgColor rgb="FFB48894"/>
        <bgColor indexed="64"/>
      </patternFill>
    </fill>
    <fill>
      <patternFill patternType="solid">
        <fgColor rgb="FF4A4DC6"/>
        <bgColor indexed="64"/>
      </patternFill>
    </fill>
    <fill>
      <patternFill patternType="solid">
        <fgColor rgb="FF04C2D0"/>
        <bgColor indexed="64"/>
      </patternFill>
    </fill>
    <fill>
      <patternFill patternType="solid">
        <fgColor rgb="FFB50C6A"/>
        <bgColor indexed="64"/>
      </patternFill>
    </fill>
    <fill>
      <patternFill patternType="solid">
        <fgColor rgb="FFDCCA5F"/>
        <bgColor indexed="64"/>
      </patternFill>
    </fill>
    <fill>
      <patternFill patternType="solid">
        <fgColor rgb="FFF5DE0E"/>
        <bgColor indexed="64"/>
      </patternFill>
    </fill>
    <fill>
      <patternFill patternType="solid">
        <fgColor rgb="FFF25D86"/>
        <bgColor indexed="64"/>
      </patternFill>
    </fill>
    <fill>
      <patternFill patternType="solid">
        <fgColor rgb="FFC40E97"/>
        <bgColor indexed="64"/>
      </patternFill>
    </fill>
    <fill>
      <patternFill patternType="solid">
        <fgColor rgb="FF784C9F"/>
        <bgColor indexed="64"/>
      </patternFill>
    </fill>
    <fill>
      <patternFill patternType="solid">
        <fgColor rgb="FFA54347"/>
        <bgColor indexed="64"/>
      </patternFill>
    </fill>
    <fill>
      <patternFill patternType="solid">
        <fgColor rgb="FFD4D296"/>
        <bgColor indexed="64"/>
      </patternFill>
    </fill>
    <fill>
      <patternFill patternType="solid">
        <fgColor rgb="FFFBE83A"/>
        <bgColor indexed="64"/>
      </patternFill>
    </fill>
    <fill>
      <patternFill patternType="solid">
        <fgColor rgb="FFB1FA3E"/>
        <bgColor indexed="64"/>
      </patternFill>
    </fill>
    <fill>
      <patternFill patternType="solid">
        <fgColor rgb="FF881BFF"/>
        <bgColor indexed="64"/>
      </patternFill>
    </fill>
    <fill>
      <patternFill patternType="solid">
        <fgColor rgb="FFAC0493"/>
        <bgColor indexed="64"/>
      </patternFill>
    </fill>
    <fill>
      <patternFill patternType="solid">
        <fgColor rgb="FF1A1ACC"/>
        <bgColor indexed="64"/>
      </patternFill>
    </fill>
    <fill>
      <patternFill patternType="solid">
        <fgColor rgb="FF490C4B"/>
        <bgColor indexed="64"/>
      </patternFill>
    </fill>
    <fill>
      <patternFill patternType="solid">
        <fgColor rgb="FF614DF2"/>
        <bgColor indexed="64"/>
      </patternFill>
    </fill>
    <fill>
      <patternFill patternType="solid">
        <fgColor rgb="FFFA6647"/>
        <bgColor indexed="64"/>
      </patternFill>
    </fill>
    <fill>
      <patternFill patternType="solid">
        <fgColor rgb="FF292AA5"/>
        <bgColor indexed="64"/>
      </patternFill>
    </fill>
    <fill>
      <patternFill patternType="solid">
        <fgColor rgb="FF6969B6"/>
        <bgColor indexed="64"/>
      </patternFill>
    </fill>
    <fill>
      <patternFill patternType="solid">
        <fgColor rgb="FF53A135"/>
        <bgColor indexed="64"/>
      </patternFill>
    </fill>
    <fill>
      <patternFill patternType="solid">
        <fgColor rgb="FF2F9515"/>
        <bgColor indexed="64"/>
      </patternFill>
    </fill>
    <fill>
      <patternFill patternType="solid">
        <fgColor rgb="FF75E743"/>
        <bgColor indexed="64"/>
      </patternFill>
    </fill>
    <fill>
      <patternFill patternType="solid">
        <fgColor rgb="FFC8614A"/>
        <bgColor indexed="64"/>
      </patternFill>
    </fill>
    <fill>
      <patternFill patternType="solid">
        <fgColor rgb="FFEAA1A0"/>
        <bgColor indexed="64"/>
      </patternFill>
    </fill>
    <fill>
      <patternFill patternType="solid">
        <fgColor rgb="FF6D198F"/>
        <bgColor indexed="64"/>
      </patternFill>
    </fill>
    <fill>
      <patternFill patternType="solid">
        <fgColor rgb="FFB1E9D5"/>
        <bgColor indexed="64"/>
      </patternFill>
    </fill>
    <fill>
      <patternFill patternType="solid">
        <fgColor rgb="FF068BEA"/>
        <bgColor indexed="64"/>
      </patternFill>
    </fill>
    <fill>
      <patternFill patternType="solid">
        <fgColor rgb="FF6EAD80"/>
        <bgColor indexed="64"/>
      </patternFill>
    </fill>
    <fill>
      <patternFill patternType="solid">
        <fgColor rgb="FF83765A"/>
        <bgColor indexed="64"/>
      </patternFill>
    </fill>
    <fill>
      <patternFill patternType="solid">
        <fgColor rgb="FF67450E"/>
        <bgColor indexed="64"/>
      </patternFill>
    </fill>
    <fill>
      <patternFill patternType="solid">
        <fgColor rgb="FF3EFA10"/>
        <bgColor indexed="64"/>
      </patternFill>
    </fill>
    <fill>
      <patternFill patternType="solid">
        <fgColor rgb="FF645D7D"/>
        <bgColor indexed="64"/>
      </patternFill>
    </fill>
    <fill>
      <patternFill patternType="solid">
        <fgColor rgb="FF287942"/>
        <bgColor indexed="64"/>
      </patternFill>
    </fill>
    <fill>
      <patternFill patternType="solid">
        <fgColor rgb="FFA08A28"/>
        <bgColor indexed="64"/>
      </patternFill>
    </fill>
    <fill>
      <patternFill patternType="solid">
        <fgColor rgb="FFEFA781"/>
        <bgColor indexed="64"/>
      </patternFill>
    </fill>
    <fill>
      <patternFill patternType="solid">
        <fgColor rgb="FF641BC8"/>
        <bgColor indexed="64"/>
      </patternFill>
    </fill>
    <fill>
      <patternFill patternType="solid">
        <fgColor rgb="FF75C098"/>
        <bgColor indexed="64"/>
      </patternFill>
    </fill>
    <fill>
      <patternFill patternType="solid">
        <fgColor rgb="FFD40536"/>
        <bgColor indexed="64"/>
      </patternFill>
    </fill>
    <fill>
      <patternFill patternType="solid">
        <fgColor rgb="FF131B55"/>
        <bgColor indexed="64"/>
      </patternFill>
    </fill>
    <fill>
      <patternFill patternType="solid">
        <fgColor rgb="FF210089"/>
        <bgColor indexed="64"/>
      </patternFill>
    </fill>
    <fill>
      <patternFill patternType="solid">
        <fgColor rgb="FFA88BD3"/>
        <bgColor indexed="64"/>
      </patternFill>
    </fill>
    <fill>
      <patternFill patternType="solid">
        <fgColor rgb="FF1531AD"/>
        <bgColor indexed="64"/>
      </patternFill>
    </fill>
    <fill>
      <patternFill patternType="solid">
        <fgColor rgb="FF745B26"/>
        <bgColor indexed="64"/>
      </patternFill>
    </fill>
    <fill>
      <patternFill patternType="solid">
        <fgColor rgb="FFB4ED87"/>
        <bgColor indexed="64"/>
      </patternFill>
    </fill>
    <fill>
      <patternFill patternType="solid">
        <fgColor rgb="FF17C166"/>
        <bgColor indexed="64"/>
      </patternFill>
    </fill>
    <fill>
      <patternFill patternType="solid">
        <fgColor rgb="FF767E35"/>
        <bgColor indexed="64"/>
      </patternFill>
    </fill>
    <fill>
      <patternFill patternType="solid">
        <fgColor rgb="FF541896"/>
        <bgColor indexed="64"/>
      </patternFill>
    </fill>
    <fill>
      <patternFill patternType="solid">
        <fgColor rgb="FF2BED19"/>
        <bgColor indexed="64"/>
      </patternFill>
    </fill>
    <fill>
      <patternFill patternType="solid">
        <fgColor rgb="FF7146DE"/>
        <bgColor indexed="64"/>
      </patternFill>
    </fill>
    <fill>
      <patternFill patternType="solid">
        <fgColor rgb="FFBF46AC"/>
        <bgColor indexed="64"/>
      </patternFill>
    </fill>
    <fill>
      <patternFill patternType="solid">
        <fgColor rgb="FF411708"/>
        <bgColor indexed="64"/>
      </patternFill>
    </fill>
    <fill>
      <patternFill patternType="solid">
        <fgColor rgb="FF52C94C"/>
        <bgColor indexed="64"/>
      </patternFill>
    </fill>
    <fill>
      <patternFill patternType="solid">
        <fgColor rgb="FF3C7B41"/>
        <bgColor indexed="64"/>
      </patternFill>
    </fill>
    <fill>
      <patternFill patternType="solid">
        <fgColor rgb="FF570B7B"/>
        <bgColor indexed="64"/>
      </patternFill>
    </fill>
    <fill>
      <patternFill patternType="solid">
        <fgColor rgb="FF35DC96"/>
        <bgColor indexed="64"/>
      </patternFill>
    </fill>
    <fill>
      <patternFill patternType="solid">
        <fgColor rgb="FFC1ED54"/>
        <bgColor indexed="64"/>
      </patternFill>
    </fill>
    <fill>
      <patternFill patternType="solid">
        <fgColor rgb="FF8A15A2"/>
        <bgColor indexed="64"/>
      </patternFill>
    </fill>
    <fill>
      <patternFill patternType="solid">
        <fgColor rgb="FF69F51D"/>
        <bgColor indexed="64"/>
      </patternFill>
    </fill>
    <fill>
      <patternFill patternType="solid">
        <fgColor rgb="FFEB9E59"/>
        <bgColor indexed="64"/>
      </patternFill>
    </fill>
    <fill>
      <patternFill patternType="solid">
        <fgColor rgb="FF267A38"/>
        <bgColor indexed="64"/>
      </patternFill>
    </fill>
    <fill>
      <patternFill patternType="solid">
        <fgColor rgb="FFFD2107"/>
        <bgColor indexed="64"/>
      </patternFill>
    </fill>
    <fill>
      <patternFill patternType="solid">
        <fgColor rgb="FF588CEB"/>
        <bgColor indexed="64"/>
      </patternFill>
    </fill>
    <fill>
      <patternFill patternType="solid">
        <fgColor rgb="FF8968D8"/>
        <bgColor indexed="64"/>
      </patternFill>
    </fill>
    <fill>
      <patternFill patternType="solid">
        <fgColor rgb="FFD3ABB8"/>
        <bgColor indexed="64"/>
      </patternFill>
    </fill>
    <fill>
      <patternFill patternType="solid">
        <fgColor rgb="FFFE577E"/>
        <bgColor indexed="64"/>
      </patternFill>
    </fill>
    <fill>
      <patternFill patternType="solid">
        <fgColor rgb="FF69B12E"/>
        <bgColor indexed="64"/>
      </patternFill>
    </fill>
    <fill>
      <patternFill patternType="solid">
        <fgColor rgb="FF6C8BD0"/>
        <bgColor indexed="64"/>
      </patternFill>
    </fill>
    <fill>
      <patternFill patternType="solid">
        <fgColor rgb="FF8A6D82"/>
        <bgColor indexed="64"/>
      </patternFill>
    </fill>
    <fill>
      <patternFill patternType="solid">
        <fgColor rgb="FF3A9E7D"/>
        <bgColor indexed="64"/>
      </patternFill>
    </fill>
    <fill>
      <patternFill patternType="solid">
        <fgColor rgb="FFAEE25E"/>
        <bgColor indexed="64"/>
      </patternFill>
    </fill>
    <fill>
      <patternFill patternType="solid">
        <fgColor rgb="FF4D4B26"/>
        <bgColor indexed="64"/>
      </patternFill>
    </fill>
    <fill>
      <patternFill patternType="solid">
        <fgColor rgb="FF873995"/>
        <bgColor indexed="64"/>
      </patternFill>
    </fill>
    <fill>
      <patternFill patternType="solid">
        <fgColor rgb="FF5DDF7A"/>
        <bgColor indexed="64"/>
      </patternFill>
    </fill>
    <fill>
      <patternFill patternType="solid">
        <fgColor rgb="FF31AEBF"/>
        <bgColor indexed="64"/>
      </patternFill>
    </fill>
    <fill>
      <patternFill patternType="solid">
        <fgColor rgb="FF9DC729"/>
        <bgColor indexed="64"/>
      </patternFill>
    </fill>
    <fill>
      <patternFill patternType="solid">
        <fgColor rgb="FFCE34F4"/>
        <bgColor indexed="64"/>
      </patternFill>
    </fill>
    <fill>
      <patternFill patternType="solid">
        <fgColor rgb="FF1110CA"/>
        <bgColor indexed="64"/>
      </patternFill>
    </fill>
    <fill>
      <patternFill patternType="solid">
        <fgColor rgb="FF61761E"/>
        <bgColor indexed="64"/>
      </patternFill>
    </fill>
    <fill>
      <patternFill patternType="solid">
        <fgColor rgb="FF1D2C0C"/>
        <bgColor indexed="64"/>
      </patternFill>
    </fill>
    <fill>
      <patternFill patternType="solid">
        <fgColor rgb="FFB6888F"/>
        <bgColor indexed="64"/>
      </patternFill>
    </fill>
    <fill>
      <patternFill patternType="solid">
        <fgColor rgb="FF3777BE"/>
        <bgColor indexed="64"/>
      </patternFill>
    </fill>
    <fill>
      <patternFill patternType="solid">
        <fgColor rgb="FFC066E6"/>
        <bgColor indexed="64"/>
      </patternFill>
    </fill>
    <fill>
      <patternFill patternType="solid">
        <fgColor rgb="FFBE17A2"/>
        <bgColor indexed="64"/>
      </patternFill>
    </fill>
    <fill>
      <patternFill patternType="solid">
        <fgColor rgb="FFB6046E"/>
        <bgColor indexed="64"/>
      </patternFill>
    </fill>
    <fill>
      <patternFill patternType="solid">
        <fgColor rgb="FF6746FB"/>
        <bgColor indexed="64"/>
      </patternFill>
    </fill>
    <fill>
      <patternFill patternType="solid">
        <fgColor rgb="FFCDB26A"/>
        <bgColor indexed="64"/>
      </patternFill>
    </fill>
    <fill>
      <patternFill patternType="solid">
        <fgColor rgb="FFBB475B"/>
        <bgColor indexed="64"/>
      </patternFill>
    </fill>
    <fill>
      <patternFill patternType="solid">
        <fgColor rgb="FF6FF11F"/>
        <bgColor indexed="64"/>
      </patternFill>
    </fill>
    <fill>
      <patternFill patternType="solid">
        <fgColor rgb="FFA5591B"/>
        <bgColor indexed="64"/>
      </patternFill>
    </fill>
    <fill>
      <patternFill patternType="solid">
        <fgColor rgb="FF2F146E"/>
        <bgColor indexed="64"/>
      </patternFill>
    </fill>
    <fill>
      <patternFill patternType="solid">
        <fgColor rgb="FFF58A7E"/>
        <bgColor indexed="64"/>
      </patternFill>
    </fill>
    <fill>
      <patternFill patternType="solid">
        <fgColor rgb="FFF83861"/>
        <bgColor indexed="64"/>
      </patternFill>
    </fill>
    <fill>
      <patternFill patternType="solid">
        <fgColor rgb="FF654880"/>
        <bgColor indexed="64"/>
      </patternFill>
    </fill>
    <fill>
      <patternFill patternType="solid">
        <fgColor rgb="FF2384F6"/>
        <bgColor indexed="64"/>
      </patternFill>
    </fill>
    <fill>
      <patternFill patternType="solid">
        <fgColor rgb="FF8EE8A8"/>
        <bgColor indexed="64"/>
      </patternFill>
    </fill>
    <fill>
      <patternFill patternType="solid">
        <fgColor rgb="FF70B110"/>
        <bgColor indexed="64"/>
      </patternFill>
    </fill>
    <fill>
      <patternFill patternType="solid">
        <fgColor rgb="FFC1B37F"/>
        <bgColor indexed="64"/>
      </patternFill>
    </fill>
    <fill>
      <patternFill patternType="solid">
        <fgColor rgb="FF283953"/>
        <bgColor indexed="64"/>
      </patternFill>
    </fill>
    <fill>
      <patternFill patternType="solid">
        <fgColor rgb="FFC80D84"/>
        <bgColor indexed="64"/>
      </patternFill>
    </fill>
    <fill>
      <patternFill patternType="solid">
        <fgColor rgb="FFC1CC53"/>
        <bgColor indexed="64"/>
      </patternFill>
    </fill>
    <fill>
      <patternFill patternType="solid">
        <fgColor rgb="FFF8CDAC"/>
        <bgColor indexed="64"/>
      </patternFill>
    </fill>
    <fill>
      <patternFill patternType="solid">
        <fgColor rgb="FFE7DF6A"/>
        <bgColor indexed="64"/>
      </patternFill>
    </fill>
    <fill>
      <patternFill patternType="solid">
        <fgColor rgb="FF1FF3CB"/>
        <bgColor indexed="64"/>
      </patternFill>
    </fill>
    <fill>
      <patternFill patternType="solid">
        <fgColor rgb="FFB26604"/>
        <bgColor indexed="64"/>
      </patternFill>
    </fill>
    <fill>
      <patternFill patternType="solid">
        <fgColor rgb="FF2B2A82"/>
        <bgColor indexed="64"/>
      </patternFill>
    </fill>
    <fill>
      <patternFill patternType="solid">
        <fgColor rgb="FF46FF00"/>
        <bgColor indexed="64"/>
      </patternFill>
    </fill>
    <fill>
      <patternFill patternType="solid">
        <fgColor rgb="FF72FF00"/>
        <bgColor indexed="64"/>
      </patternFill>
    </fill>
    <fill>
      <patternFill patternType="solid">
        <fgColor rgb="FF40FF00"/>
        <bgColor indexed="64"/>
      </patternFill>
    </fill>
    <fill>
      <patternFill patternType="solid">
        <fgColor rgb="FF4FFF00"/>
        <bgColor indexed="64"/>
      </patternFill>
    </fill>
    <fill>
      <patternFill patternType="solid">
        <fgColor rgb="FFD8FF00"/>
        <bgColor indexed="64"/>
      </patternFill>
    </fill>
    <fill>
      <patternFill patternType="solid">
        <fgColor rgb="FFFFA600"/>
        <bgColor indexed="64"/>
      </patternFill>
    </fill>
    <fill>
      <patternFill patternType="solid">
        <fgColor rgb="FFA7FF00"/>
        <bgColor indexed="64"/>
      </patternFill>
    </fill>
    <fill>
      <patternFill patternType="solid">
        <fgColor rgb="FFB2FF00"/>
        <bgColor indexed="64"/>
      </patternFill>
    </fill>
    <fill>
      <patternFill patternType="solid">
        <fgColor rgb="FFAEFF00"/>
        <bgColor indexed="64"/>
      </patternFill>
    </fill>
    <fill>
      <patternFill patternType="solid">
        <fgColor rgb="FF4BFF00"/>
        <bgColor indexed="64"/>
      </patternFill>
    </fill>
    <fill>
      <patternFill patternType="solid">
        <fgColor rgb="FFDEFF00"/>
        <bgColor indexed="64"/>
      </patternFill>
    </fill>
    <fill>
      <patternFill patternType="solid">
        <fgColor rgb="FF31FF00"/>
        <bgColor indexed="64"/>
      </patternFill>
    </fill>
    <fill>
      <patternFill patternType="solid">
        <fgColor rgb="FF79FF00"/>
        <bgColor indexed="64"/>
      </patternFill>
    </fill>
    <fill>
      <patternFill patternType="solid">
        <fgColor rgb="FF64FF00"/>
        <bgColor indexed="64"/>
      </patternFill>
    </fill>
    <fill>
      <patternFill patternType="solid">
        <fgColor rgb="FFC4FF00"/>
        <bgColor indexed="64"/>
      </patternFill>
    </fill>
    <fill>
      <patternFill patternType="solid">
        <fgColor rgb="FFEFFF00"/>
        <bgColor indexed="64"/>
      </patternFill>
    </fill>
    <fill>
      <patternFill patternType="solid">
        <fgColor rgb="FF4AFF00"/>
        <bgColor indexed="64"/>
      </patternFill>
    </fill>
    <fill>
      <patternFill patternType="solid">
        <fgColor rgb="FF55FF00"/>
        <bgColor indexed="64"/>
      </patternFill>
    </fill>
    <fill>
      <patternFill patternType="solid">
        <fgColor rgb="FF32FF00"/>
        <bgColor indexed="64"/>
      </patternFill>
    </fill>
    <fill>
      <patternFill patternType="solid">
        <fgColor rgb="FFFF0A00"/>
        <bgColor indexed="64"/>
      </patternFill>
    </fill>
    <fill>
      <patternFill patternType="solid">
        <fgColor rgb="FF36FF00"/>
        <bgColor indexed="64"/>
      </patternFill>
    </fill>
    <fill>
      <patternFill patternType="solid">
        <fgColor rgb="FFFF9200"/>
        <bgColor indexed="64"/>
      </patternFill>
    </fill>
    <fill>
      <patternFill patternType="solid">
        <fgColor rgb="FF26FF00"/>
        <bgColor indexed="64"/>
      </patternFill>
    </fill>
    <fill>
      <patternFill patternType="solid">
        <fgColor rgb="FF2CFF00"/>
        <bgColor indexed="64"/>
      </patternFill>
    </fill>
    <fill>
      <patternFill patternType="solid">
        <fgColor rgb="FF3EFF00"/>
        <bgColor indexed="64"/>
      </patternFill>
    </fill>
    <fill>
      <patternFill patternType="solid">
        <fgColor rgb="FF11FF00"/>
        <bgColor indexed="64"/>
      </patternFill>
    </fill>
    <fill>
      <patternFill patternType="solid">
        <fgColor rgb="FF17FF00"/>
        <bgColor indexed="64"/>
      </patternFill>
    </fill>
    <fill>
      <patternFill patternType="solid">
        <fgColor rgb="FF4EFF00"/>
        <bgColor indexed="64"/>
      </patternFill>
    </fill>
    <fill>
      <patternFill patternType="solid">
        <fgColor rgb="FF0CFF00"/>
        <bgColor indexed="64"/>
      </patternFill>
    </fill>
    <fill>
      <patternFill patternType="solid">
        <fgColor rgb="FF7AFF00"/>
        <bgColor indexed="64"/>
      </patternFill>
    </fill>
    <fill>
      <patternFill patternType="solid">
        <fgColor rgb="FF43FF00"/>
        <bgColor indexed="64"/>
      </patternFill>
    </fill>
    <fill>
      <patternFill patternType="solid">
        <fgColor rgb="FF23FF00"/>
        <bgColor indexed="64"/>
      </patternFill>
    </fill>
    <fill>
      <patternFill patternType="solid">
        <fgColor rgb="FF19FF00"/>
        <bgColor indexed="64"/>
      </patternFill>
    </fill>
    <fill>
      <patternFill patternType="solid">
        <fgColor rgb="FF1DFF00"/>
        <bgColor indexed="64"/>
      </patternFill>
    </fill>
    <fill>
      <patternFill patternType="solid">
        <fgColor rgb="FFFF0500"/>
        <bgColor indexed="64"/>
      </patternFill>
    </fill>
    <fill>
      <patternFill patternType="solid">
        <fgColor rgb="FF29FF00"/>
        <bgColor indexed="64"/>
      </patternFill>
    </fill>
    <fill>
      <patternFill patternType="solid">
        <fgColor rgb="FF2DFF00"/>
        <bgColor indexed="64"/>
      </patternFill>
    </fill>
    <fill>
      <patternFill patternType="solid">
        <fgColor rgb="FF35FF00"/>
        <bgColor indexed="64"/>
      </patternFill>
    </fill>
    <fill>
      <patternFill patternType="solid">
        <fgColor rgb="FF44FF00"/>
        <bgColor indexed="64"/>
      </patternFill>
    </fill>
    <fill>
      <patternFill patternType="solid">
        <fgColor rgb="FF49FF00"/>
        <bgColor indexed="64"/>
      </patternFill>
    </fill>
    <fill>
      <patternFill patternType="solid">
        <fgColor rgb="FF45FF00"/>
        <bgColor indexed="64"/>
      </patternFill>
    </fill>
    <fill>
      <patternFill patternType="solid">
        <fgColor rgb="FF51FF00"/>
        <bgColor indexed="64"/>
      </patternFill>
    </fill>
    <fill>
      <patternFill patternType="solid">
        <fgColor rgb="FF14FF00"/>
        <bgColor indexed="64"/>
      </patternFill>
    </fill>
    <fill>
      <patternFill patternType="solid">
        <fgColor rgb="FF61FF00"/>
        <bgColor indexed="64"/>
      </patternFill>
    </fill>
    <fill>
      <patternFill patternType="solid">
        <fgColor rgb="FF62FF00"/>
        <bgColor indexed="64"/>
      </patternFill>
    </fill>
    <fill>
      <patternFill patternType="solid">
        <fgColor rgb="FF66FF00"/>
        <bgColor indexed="64"/>
      </patternFill>
    </fill>
    <fill>
      <patternFill patternType="solid">
        <fgColor rgb="FF6AFF00"/>
        <bgColor indexed="64"/>
      </patternFill>
    </fill>
    <fill>
      <patternFill patternType="solid">
        <fgColor rgb="FF6CFF00"/>
        <bgColor indexed="64"/>
      </patternFill>
    </fill>
    <fill>
      <patternFill patternType="solid">
        <fgColor rgb="FF78FF00"/>
        <bgColor indexed="64"/>
      </patternFill>
    </fill>
    <fill>
      <patternFill patternType="solid">
        <fgColor rgb="FF5AFF00"/>
        <bgColor indexed="64"/>
      </patternFill>
    </fill>
    <fill>
      <patternFill patternType="solid">
        <fgColor rgb="FF2BFF00"/>
        <bgColor indexed="64"/>
      </patternFill>
    </fill>
    <fill>
      <patternFill patternType="solid">
        <fgColor rgb="FFFF6800"/>
        <bgColor indexed="64"/>
      </patternFill>
    </fill>
    <fill>
      <patternFill patternType="solid">
        <fgColor rgb="FF99FF00"/>
        <bgColor indexed="64"/>
      </patternFill>
    </fill>
    <fill>
      <patternFill patternType="solid">
        <fgColor rgb="FF91FF00"/>
        <bgColor indexed="64"/>
      </patternFill>
    </fill>
    <fill>
      <patternFill patternType="solid">
        <fgColor rgb="FF8CFF00"/>
        <bgColor indexed="64"/>
      </patternFill>
    </fill>
    <fill>
      <patternFill patternType="solid">
        <fgColor rgb="FF38FF00"/>
        <bgColor indexed="64"/>
      </patternFill>
    </fill>
    <fill>
      <patternFill patternType="solid">
        <fgColor rgb="FFA0FF00"/>
        <bgColor indexed="64"/>
      </patternFill>
    </fill>
    <fill>
      <patternFill patternType="solid">
        <fgColor rgb="FFD0FF00"/>
        <bgColor indexed="64"/>
      </patternFill>
    </fill>
    <fill>
      <patternFill patternType="solid">
        <fgColor rgb="FFBEFF00"/>
        <bgColor indexed="64"/>
      </patternFill>
    </fill>
    <fill>
      <patternFill patternType="solid">
        <fgColor rgb="FF7FFF00"/>
        <bgColor indexed="64"/>
      </patternFill>
    </fill>
    <fill>
      <patternFill patternType="solid">
        <fgColor rgb="FF3BFF00"/>
        <bgColor indexed="64"/>
      </patternFill>
    </fill>
    <fill>
      <patternFill patternType="solid">
        <fgColor rgb="FFA9FF00"/>
        <bgColor indexed="64"/>
      </patternFill>
    </fill>
    <fill>
      <patternFill patternType="solid">
        <fgColor rgb="FFFFB800"/>
        <bgColor indexed="64"/>
      </patternFill>
    </fill>
    <fill>
      <patternFill patternType="solid">
        <fgColor rgb="FF4DFF00"/>
        <bgColor indexed="64"/>
      </patternFill>
    </fill>
    <fill>
      <patternFill patternType="solid">
        <fgColor rgb="FF54FF00"/>
        <bgColor indexed="64"/>
      </patternFill>
    </fill>
    <fill>
      <patternFill patternType="solid">
        <fgColor rgb="FF69FF00"/>
        <bgColor indexed="64"/>
      </patternFill>
    </fill>
    <fill>
      <patternFill patternType="solid">
        <fgColor rgb="FF1BFF00"/>
        <bgColor indexed="64"/>
      </patternFill>
    </fill>
    <fill>
      <patternFill patternType="solid">
        <fgColor rgb="FF77FF00"/>
        <bgColor indexed="64"/>
      </patternFill>
    </fill>
    <fill>
      <patternFill patternType="solid">
        <fgColor rgb="FF92FF00"/>
        <bgColor indexed="64"/>
      </patternFill>
    </fill>
    <fill>
      <patternFill patternType="solid">
        <fgColor rgb="FF90FF00"/>
        <bgColor indexed="64"/>
      </patternFill>
    </fill>
    <fill>
      <patternFill patternType="solid">
        <fgColor rgb="FF3CFF00"/>
        <bgColor indexed="64"/>
      </patternFill>
    </fill>
    <fill>
      <patternFill patternType="solid">
        <fgColor rgb="FF85FF00"/>
        <bgColor indexed="64"/>
      </patternFill>
    </fill>
    <fill>
      <patternFill patternType="solid">
        <fgColor rgb="FF88FF00"/>
        <bgColor indexed="64"/>
      </patternFill>
    </fill>
    <fill>
      <patternFill patternType="solid">
        <fgColor rgb="FFBDFF00"/>
        <bgColor indexed="64"/>
      </patternFill>
    </fill>
    <fill>
      <patternFill patternType="solid">
        <fgColor rgb="FF95FF00"/>
        <bgColor indexed="64"/>
      </patternFill>
    </fill>
    <fill>
      <patternFill patternType="solid">
        <fgColor rgb="FF25FF00"/>
        <bgColor indexed="64"/>
      </patternFill>
    </fill>
    <fill>
      <patternFill patternType="solid">
        <fgColor rgb="FF2EFF00"/>
        <bgColor indexed="64"/>
      </patternFill>
    </fill>
    <fill>
      <patternFill patternType="solid">
        <fgColor rgb="FF87FF00"/>
        <bgColor indexed="64"/>
      </patternFill>
    </fill>
    <fill>
      <patternFill patternType="solid">
        <fgColor rgb="FFEAFF00"/>
        <bgColor indexed="64"/>
      </patternFill>
    </fill>
    <fill>
      <patternFill patternType="solid">
        <fgColor rgb="FF86FF00"/>
        <bgColor indexed="64"/>
      </patternFill>
    </fill>
    <fill>
      <patternFill patternType="solid">
        <fgColor rgb="FF37FF00"/>
        <bgColor indexed="64"/>
      </patternFill>
    </fill>
    <fill>
      <patternFill patternType="solid">
        <fgColor rgb="FF7CFF00"/>
        <bgColor indexed="64"/>
      </patternFill>
    </fill>
    <fill>
      <patternFill patternType="solid">
        <fgColor rgb="FF39FF00"/>
        <bgColor indexed="64"/>
      </patternFill>
    </fill>
    <fill>
      <patternFill patternType="solid">
        <fgColor rgb="FFFFF300"/>
        <bgColor indexed="64"/>
      </patternFill>
    </fill>
    <fill>
      <patternFill patternType="solid">
        <fgColor rgb="FFEEFF00"/>
        <bgColor indexed="64"/>
      </patternFill>
    </fill>
    <fill>
      <patternFill patternType="solid">
        <fgColor rgb="FFC6FF00"/>
        <bgColor indexed="64"/>
      </patternFill>
    </fill>
    <fill>
      <patternFill patternType="solid">
        <fgColor rgb="FFBBFF00"/>
        <bgColor indexed="64"/>
      </patternFill>
    </fill>
    <fill>
      <patternFill patternType="solid">
        <fgColor rgb="FF73FF00"/>
        <bgColor indexed="64"/>
      </patternFill>
    </fill>
    <fill>
      <patternFill patternType="solid">
        <fgColor rgb="FFB7FF00"/>
        <bgColor indexed="64"/>
      </patternFill>
    </fill>
    <fill>
      <patternFill patternType="solid">
        <fgColor rgb="FFFF5F00"/>
        <bgColor indexed="64"/>
      </patternFill>
    </fill>
    <fill>
      <patternFill patternType="solid">
        <fgColor rgb="FFCCFF00"/>
        <bgColor indexed="64"/>
      </patternFill>
    </fill>
    <fill>
      <patternFill patternType="solid">
        <fgColor rgb="FFFF8400"/>
        <bgColor indexed="64"/>
      </patternFill>
    </fill>
    <fill>
      <patternFill patternType="solid">
        <fgColor rgb="FFA5FF00"/>
        <bgColor indexed="64"/>
      </patternFill>
    </fill>
    <fill>
      <patternFill patternType="solid">
        <fgColor rgb="FFD3FF00"/>
        <bgColor indexed="64"/>
      </patternFill>
    </fill>
    <fill>
      <patternFill patternType="solid">
        <fgColor rgb="FFFFA900"/>
        <bgColor indexed="64"/>
      </patternFill>
    </fill>
    <fill>
      <patternFill patternType="solid">
        <fgColor rgb="FFCDFF00"/>
        <bgColor indexed="64"/>
      </patternFill>
    </fill>
    <fill>
      <patternFill patternType="solid">
        <fgColor rgb="FFFFFD00"/>
        <bgColor indexed="64"/>
      </patternFill>
    </fill>
    <fill>
      <patternFill patternType="solid">
        <fgColor rgb="FFDDFF00"/>
        <bgColor indexed="64"/>
      </patternFill>
    </fill>
    <fill>
      <patternFill patternType="solid">
        <fgColor rgb="FFFF7800"/>
        <bgColor indexed="64"/>
      </patternFill>
    </fill>
    <fill>
      <patternFill patternType="solid">
        <fgColor rgb="FFCBFF00"/>
        <bgColor indexed="64"/>
      </patternFill>
    </fill>
    <fill>
      <patternFill patternType="solid">
        <fgColor rgb="FFE1FF00"/>
        <bgColor indexed="64"/>
      </patternFill>
    </fill>
    <fill>
      <patternFill patternType="solid">
        <fgColor rgb="FFFEFF00"/>
        <bgColor indexed="64"/>
      </patternFill>
    </fill>
    <fill>
      <patternFill patternType="solid">
        <fgColor rgb="FFFF7300"/>
        <bgColor indexed="64"/>
      </patternFill>
    </fill>
    <fill>
      <patternFill patternType="solid">
        <fgColor rgb="FFFF3D00"/>
        <bgColor indexed="64"/>
      </patternFill>
    </fill>
    <fill>
      <patternFill patternType="solid">
        <fgColor rgb="FFBAFF00"/>
        <bgColor indexed="64"/>
      </patternFill>
    </fill>
    <fill>
      <patternFill patternType="solid">
        <fgColor rgb="FF8BFF00"/>
        <bgColor indexed="64"/>
      </patternFill>
    </fill>
    <fill>
      <patternFill patternType="solid">
        <fgColor rgb="FF4CFF00"/>
        <bgColor indexed="64"/>
      </patternFill>
    </fill>
    <fill>
      <patternFill patternType="solid">
        <fgColor rgb="FFFF6F00"/>
        <bgColor indexed="64"/>
      </patternFill>
    </fill>
    <fill>
      <patternFill patternType="solid">
        <fgColor rgb="FF53FF00"/>
        <bgColor indexed="64"/>
      </patternFill>
    </fill>
    <fill>
      <patternFill patternType="solid">
        <fgColor rgb="FFFF8A00"/>
        <bgColor indexed="64"/>
      </patternFill>
    </fill>
    <fill>
      <patternFill patternType="solid">
        <fgColor rgb="FF5EFF00"/>
        <bgColor indexed="64"/>
      </patternFill>
    </fill>
    <fill>
      <patternFill patternType="solid">
        <fgColor rgb="FFFF4B00"/>
        <bgColor indexed="64"/>
      </patternFill>
    </fill>
    <fill>
      <patternFill patternType="solid">
        <fgColor rgb="FF59FF00"/>
        <bgColor indexed="64"/>
      </patternFill>
    </fill>
    <fill>
      <patternFill patternType="solid">
        <fgColor rgb="FF65FF00"/>
        <bgColor indexed="64"/>
      </patternFill>
    </fill>
    <fill>
      <patternFill patternType="solid">
        <fgColor rgb="FF70FF00"/>
        <bgColor indexed="64"/>
      </patternFill>
    </fill>
    <fill>
      <patternFill patternType="solid">
        <fgColor rgb="FF74FF00"/>
        <bgColor indexed="64"/>
      </patternFill>
    </fill>
    <fill>
      <patternFill patternType="solid">
        <fgColor rgb="FFE8FF00"/>
        <bgColor indexed="64"/>
      </patternFill>
    </fill>
    <fill>
      <patternFill patternType="solid">
        <fgColor rgb="FFB4FF00"/>
        <bgColor indexed="64"/>
      </patternFill>
    </fill>
  </fills>
  <borders count="50">
    <border>
      <left/>
      <right/>
      <top/>
      <bottom/>
      <diagonal/>
    </border>
    <border>
      <left/>
      <right/>
      <top/>
      <bottom style="thin">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auto="1"/>
      </left>
      <right/>
      <top style="thin">
        <color auto="1"/>
      </top>
      <bottom/>
      <diagonal/>
    </border>
    <border>
      <left style="thin">
        <color auto="1"/>
      </left>
      <right/>
      <top/>
      <bottom/>
      <diagonal/>
    </border>
    <border>
      <left/>
      <right style="thin">
        <color auto="1"/>
      </right>
      <top/>
      <bottom/>
      <diagonal/>
    </border>
    <border>
      <left/>
      <right style="thin">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s>
  <cellStyleXfs count="3654">
    <xf numFmtId="0" fontId="0"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cellStyleXfs>
  <cellXfs count="401">
    <xf numFmtId="0" fontId="0" fillId="0" borderId="0" xfId="0"/>
    <xf numFmtId="0" fontId="1" fillId="0" borderId="0" xfId="0" applyFont="1"/>
    <xf numFmtId="0" fontId="3" fillId="0" borderId="0" xfId="0" applyFont="1"/>
    <xf numFmtId="0" fontId="1" fillId="0" borderId="0" xfId="0" applyFont="1" applyAlignment="1">
      <alignment wrapText="1"/>
    </xf>
    <xf numFmtId="0" fontId="1" fillId="2" borderId="0" xfId="0" applyFont="1" applyFill="1"/>
    <xf numFmtId="0" fontId="1" fillId="2" borderId="0" xfId="0" applyFont="1" applyFill="1" applyAlignment="1">
      <alignment wrapText="1"/>
    </xf>
    <xf numFmtId="0" fontId="0" fillId="0" borderId="0" xfId="0" applyFill="1"/>
    <xf numFmtId="0" fontId="0" fillId="3" borderId="0" xfId="0" applyFill="1"/>
    <xf numFmtId="2" fontId="0" fillId="3" borderId="0" xfId="0" applyNumberFormat="1"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0" fillId="18" borderId="0" xfId="0" applyFill="1"/>
    <xf numFmtId="0" fontId="0" fillId="19" borderId="0" xfId="0" applyFill="1"/>
    <xf numFmtId="0" fontId="0" fillId="20" borderId="0" xfId="0" applyFill="1"/>
    <xf numFmtId="0" fontId="0" fillId="21" borderId="0" xfId="0" applyFill="1"/>
    <xf numFmtId="0" fontId="0" fillId="22" borderId="0" xfId="0" applyFill="1"/>
    <xf numFmtId="0" fontId="0" fillId="23" borderId="0" xfId="0" applyFill="1"/>
    <xf numFmtId="0" fontId="0" fillId="24" borderId="0" xfId="0" applyFill="1"/>
    <xf numFmtId="14" fontId="0" fillId="0" borderId="0" xfId="0" applyNumberFormat="1"/>
    <xf numFmtId="0" fontId="0" fillId="0" borderId="6" xfId="0" applyBorder="1"/>
    <xf numFmtId="0" fontId="0" fillId="0" borderId="7" xfId="0" applyBorder="1"/>
    <xf numFmtId="0" fontId="0" fillId="0" borderId="8" xfId="0" applyBorder="1"/>
    <xf numFmtId="0" fontId="0" fillId="0" borderId="11" xfId="0" applyBorder="1"/>
    <xf numFmtId="2" fontId="1" fillId="0" borderId="0" xfId="0" applyNumberFormat="1" applyFont="1"/>
    <xf numFmtId="0" fontId="1" fillId="0" borderId="0" xfId="0" applyFont="1" applyAlignment="1">
      <alignment horizontal="right"/>
    </xf>
    <xf numFmtId="0" fontId="1" fillId="0" borderId="0" xfId="0" applyFont="1" applyFill="1" applyAlignment="1">
      <alignment horizontal="center"/>
    </xf>
    <xf numFmtId="0" fontId="0" fillId="0" borderId="0" xfId="0" applyFill="1" applyBorder="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7" fillId="0" borderId="0" xfId="0" applyFont="1" applyAlignment="1">
      <alignment horizontal="right"/>
    </xf>
    <xf numFmtId="0" fontId="1" fillId="0" borderId="0" xfId="0" applyFont="1" applyFill="1" applyBorder="1" applyAlignment="1">
      <alignment horizontal="right"/>
    </xf>
    <xf numFmtId="0" fontId="1" fillId="25" borderId="2" xfId="0" applyFont="1" applyFill="1" applyBorder="1" applyAlignment="1">
      <alignment horizontal="center"/>
    </xf>
    <xf numFmtId="0" fontId="1" fillId="25" borderId="4" xfId="0" applyFont="1" applyFill="1" applyBorder="1" applyAlignment="1">
      <alignment horizontal="center"/>
    </xf>
    <xf numFmtId="0" fontId="1" fillId="25" borderId="3" xfId="0" applyFont="1" applyFill="1" applyBorder="1" applyAlignment="1">
      <alignment horizontal="center"/>
    </xf>
    <xf numFmtId="0" fontId="1" fillId="0" borderId="10" xfId="0" applyFont="1" applyBorder="1" applyAlignment="1">
      <alignment horizontal="center"/>
    </xf>
    <xf numFmtId="0" fontId="1" fillId="0" borderId="13" xfId="0" applyFont="1" applyBorder="1" applyAlignment="1">
      <alignment horizontal="center"/>
    </xf>
    <xf numFmtId="0" fontId="0" fillId="0" borderId="14" xfId="0" applyBorder="1"/>
    <xf numFmtId="0" fontId="0" fillId="0" borderId="7" xfId="0" applyBorder="1" applyAlignment="1">
      <alignment horizontal="right"/>
    </xf>
    <xf numFmtId="0" fontId="0" fillId="0" borderId="9" xfId="0" applyBorder="1" applyAlignment="1">
      <alignment horizontal="right"/>
    </xf>
    <xf numFmtId="0" fontId="0" fillId="0" borderId="7" xfId="0" applyFill="1" applyBorder="1" applyAlignment="1">
      <alignment horizontal="left"/>
    </xf>
    <xf numFmtId="2" fontId="1" fillId="0" borderId="12" xfId="0" applyNumberFormat="1" applyFont="1" applyBorder="1" applyAlignment="1">
      <alignment horizontal="center"/>
    </xf>
    <xf numFmtId="0" fontId="0" fillId="0" borderId="5" xfId="0" applyBorder="1" applyAlignment="1">
      <alignment horizontal="right"/>
    </xf>
    <xf numFmtId="0" fontId="1" fillId="0" borderId="0" xfId="0" applyFont="1" applyFill="1"/>
    <xf numFmtId="0" fontId="0" fillId="25" borderId="5" xfId="0" applyFill="1" applyBorder="1"/>
    <xf numFmtId="0" fontId="0" fillId="25" borderId="6" xfId="0" applyFill="1" applyBorder="1"/>
    <xf numFmtId="0" fontId="0" fillId="25" borderId="7" xfId="0" applyFill="1" applyBorder="1"/>
    <xf numFmtId="0" fontId="0" fillId="25" borderId="8" xfId="0" applyFill="1" applyBorder="1"/>
    <xf numFmtId="0" fontId="0" fillId="25" borderId="9" xfId="0" applyFill="1" applyBorder="1"/>
    <xf numFmtId="0" fontId="0" fillId="25" borderId="11" xfId="0" applyFill="1" applyBorder="1"/>
    <xf numFmtId="0" fontId="8" fillId="0" borderId="0" xfId="0" applyFont="1"/>
    <xf numFmtId="0" fontId="9" fillId="0" borderId="0" xfId="0" applyFont="1"/>
    <xf numFmtId="0" fontId="1" fillId="2" borderId="0" xfId="0" applyFont="1" applyFill="1" applyBorder="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1" fillId="0" borderId="0" xfId="0" applyFont="1" applyAlignment="1">
      <alignment horizontal="center"/>
    </xf>
    <xf numFmtId="0" fontId="0" fillId="38" borderId="0" xfId="0" applyFill="1"/>
    <xf numFmtId="0" fontId="0" fillId="0" borderId="0" xfId="0" applyFont="1" applyFill="1"/>
    <xf numFmtId="0" fontId="0" fillId="0" borderId="0" xfId="0" applyFont="1" applyAlignment="1">
      <alignment horizontal="center"/>
    </xf>
    <xf numFmtId="0" fontId="0" fillId="40" borderId="0" xfId="0" applyFill="1"/>
    <xf numFmtId="0" fontId="0" fillId="41" borderId="0" xfId="0" applyFill="1"/>
    <xf numFmtId="0" fontId="0" fillId="0" borderId="0" xfId="0" applyFont="1" applyFill="1" applyAlignment="1">
      <alignment horizontal="center"/>
    </xf>
    <xf numFmtId="0" fontId="0" fillId="42" borderId="0" xfId="0" applyFill="1"/>
    <xf numFmtId="0" fontId="1" fillId="0" borderId="0" xfId="0" applyFont="1" applyAlignment="1"/>
    <xf numFmtId="0" fontId="1" fillId="2" borderId="0" xfId="0" applyFont="1" applyFill="1" applyAlignment="1"/>
    <xf numFmtId="0" fontId="1" fillId="0" borderId="0" xfId="0" applyFont="1" applyFill="1" applyAlignment="1"/>
    <xf numFmtId="0" fontId="0" fillId="0" borderId="0" xfId="0" applyFont="1" applyFill="1" applyAlignment="1">
      <alignment horizontal="left"/>
    </xf>
    <xf numFmtId="0" fontId="0" fillId="0" borderId="0" xfId="0" applyFont="1"/>
    <xf numFmtId="0" fontId="0" fillId="0" borderId="0" xfId="0" applyFont="1" applyAlignment="1">
      <alignment horizontal="left"/>
    </xf>
    <xf numFmtId="0" fontId="1" fillId="0" borderId="0" xfId="0" applyFont="1" applyAlignment="1">
      <alignment horizontal="left"/>
    </xf>
    <xf numFmtId="0" fontId="0" fillId="39" borderId="2" xfId="0" applyNumberFormat="1" applyFont="1" applyFill="1" applyBorder="1"/>
    <xf numFmtId="0" fontId="10" fillId="0" borderId="0" xfId="0" applyFont="1"/>
    <xf numFmtId="0" fontId="0" fillId="0" borderId="1" xfId="0" applyFont="1" applyBorder="1" applyAlignment="1">
      <alignment horizontal="center"/>
    </xf>
    <xf numFmtId="0" fontId="0" fillId="0" borderId="1" xfId="0" applyFont="1" applyFill="1" applyBorder="1" applyAlignment="1">
      <alignment horizontal="center"/>
    </xf>
    <xf numFmtId="0" fontId="0" fillId="0" borderId="0" xfId="0" applyFont="1" applyFill="1" applyBorder="1" applyAlignment="1">
      <alignment horizontal="center"/>
    </xf>
    <xf numFmtId="0" fontId="0" fillId="39" borderId="3" xfId="0" applyNumberFormat="1" applyFont="1" applyFill="1" applyBorder="1"/>
    <xf numFmtId="0" fontId="0" fillId="39" borderId="2" xfId="0" applyFont="1" applyFill="1" applyBorder="1"/>
    <xf numFmtId="0" fontId="0" fillId="39" borderId="3" xfId="0" applyFont="1" applyFill="1" applyBorder="1"/>
    <xf numFmtId="0" fontId="0" fillId="39" borderId="4" xfId="0" applyFont="1" applyFill="1" applyBorder="1"/>
    <xf numFmtId="0" fontId="0" fillId="0" borderId="0" xfId="0" applyFont="1" applyBorder="1"/>
    <xf numFmtId="0" fontId="0" fillId="0" borderId="10" xfId="0" applyFont="1" applyBorder="1"/>
    <xf numFmtId="2" fontId="0" fillId="0" borderId="0" xfId="0" applyNumberFormat="1" applyFont="1"/>
    <xf numFmtId="0" fontId="0" fillId="0" borderId="0" xfId="0" applyFont="1" applyAlignment="1"/>
    <xf numFmtId="0" fontId="0" fillId="0" borderId="14" xfId="0" applyFont="1" applyBorder="1"/>
    <xf numFmtId="0" fontId="0" fillId="0" borderId="7" xfId="0" applyFont="1" applyBorder="1" applyAlignment="1">
      <alignment horizontal="right"/>
    </xf>
    <xf numFmtId="0" fontId="0" fillId="0" borderId="8" xfId="0" applyFont="1" applyBorder="1"/>
    <xf numFmtId="0" fontId="0" fillId="0" borderId="9" xfId="0" applyFont="1" applyBorder="1" applyAlignment="1">
      <alignment horizontal="right"/>
    </xf>
    <xf numFmtId="0" fontId="0" fillId="0" borderId="11" xfId="0" applyFont="1" applyBorder="1"/>
    <xf numFmtId="0" fontId="0" fillId="0" borderId="7" xfId="0" applyFont="1" applyFill="1" applyBorder="1" applyAlignment="1">
      <alignment horizontal="left"/>
    </xf>
    <xf numFmtId="0" fontId="0" fillId="43" borderId="0" xfId="0" applyFill="1"/>
    <xf numFmtId="0" fontId="0" fillId="44" borderId="0" xfId="0" applyFill="1"/>
    <xf numFmtId="0" fontId="0" fillId="45" borderId="0" xfId="0" applyFill="1"/>
    <xf numFmtId="0" fontId="0" fillId="46" borderId="0" xfId="0" applyFill="1"/>
    <xf numFmtId="0" fontId="0" fillId="47" borderId="0" xfId="0" applyFill="1"/>
    <xf numFmtId="0" fontId="0" fillId="48" borderId="0" xfId="0" applyFill="1"/>
    <xf numFmtId="0" fontId="0" fillId="49" borderId="0" xfId="0" applyFill="1"/>
    <xf numFmtId="0" fontId="0" fillId="0" borderId="0" xfId="0" applyBorder="1"/>
    <xf numFmtId="0" fontId="0" fillId="0" borderId="0" xfId="0" applyFill="1" applyAlignment="1">
      <alignment horizontal="center"/>
    </xf>
    <xf numFmtId="0" fontId="0" fillId="0" borderId="0" xfId="0" applyAlignment="1">
      <alignment horizontal="center"/>
    </xf>
    <xf numFmtId="0" fontId="0" fillId="0" borderId="0" xfId="0" applyAlignment="1">
      <alignment wrapText="1"/>
    </xf>
    <xf numFmtId="0" fontId="11" fillId="0" borderId="0" xfId="0" applyFont="1" applyAlignment="1">
      <alignment horizontal="center"/>
    </xf>
    <xf numFmtId="0" fontId="11" fillId="0" borderId="0" xfId="0" applyFont="1" applyFill="1" applyAlignment="1">
      <alignment horizontal="center"/>
    </xf>
    <xf numFmtId="0" fontId="11" fillId="30" borderId="0" xfId="0" applyFont="1" applyFill="1" applyAlignment="1">
      <alignment horizontal="center"/>
    </xf>
    <xf numFmtId="0" fontId="11" fillId="28" borderId="0" xfId="0" applyFont="1" applyFill="1" applyAlignment="1">
      <alignment horizontal="center"/>
    </xf>
    <xf numFmtId="0" fontId="11" fillId="29" borderId="0" xfId="0" applyFont="1" applyFill="1" applyAlignment="1">
      <alignment horizontal="center"/>
    </xf>
    <xf numFmtId="0" fontId="11" fillId="26" borderId="0" xfId="0" applyFont="1" applyFill="1" applyAlignment="1">
      <alignment horizontal="center"/>
    </xf>
    <xf numFmtId="0" fontId="11" fillId="27" borderId="0" xfId="0" applyFont="1" applyFill="1" applyAlignment="1">
      <alignment horizontal="center"/>
    </xf>
    <xf numFmtId="0" fontId="11" fillId="0" borderId="0" xfId="0" applyFont="1" applyFill="1" applyAlignment="1">
      <alignment horizontal="right"/>
    </xf>
    <xf numFmtId="0" fontId="0" fillId="25" borderId="2" xfId="0" applyFill="1" applyBorder="1" applyAlignment="1">
      <alignment horizontal="center"/>
    </xf>
    <xf numFmtId="0" fontId="0" fillId="25" borderId="4" xfId="0" applyFill="1" applyBorder="1" applyAlignment="1">
      <alignment horizontal="center"/>
    </xf>
    <xf numFmtId="0" fontId="0" fillId="25" borderId="3" xfId="0" applyFill="1" applyBorder="1"/>
    <xf numFmtId="0" fontId="9" fillId="0" borderId="0" xfId="0" applyFont="1" applyAlignment="1">
      <alignment horizontal="left"/>
    </xf>
    <xf numFmtId="0" fontId="0" fillId="0" borderId="15" xfId="0" applyFont="1" applyBorder="1"/>
    <xf numFmtId="0" fontId="0" fillId="0" borderId="17" xfId="0" applyFont="1" applyBorder="1"/>
    <xf numFmtId="0" fontId="0" fillId="0" borderId="16" xfId="0" applyFont="1" applyFill="1" applyBorder="1" applyAlignment="1">
      <alignment horizontal="right"/>
    </xf>
    <xf numFmtId="0" fontId="0" fillId="0" borderId="18" xfId="0" applyFont="1" applyBorder="1"/>
    <xf numFmtId="0" fontId="0" fillId="0" borderId="19" xfId="0" applyFont="1" applyBorder="1"/>
    <xf numFmtId="0" fontId="0" fillId="0" borderId="1" xfId="0" applyFont="1" applyBorder="1"/>
    <xf numFmtId="0" fontId="0" fillId="0" borderId="20" xfId="0" applyFont="1" applyBorder="1"/>
    <xf numFmtId="0" fontId="1" fillId="0" borderId="22" xfId="0" applyFont="1" applyBorder="1" applyAlignment="1">
      <alignment horizontal="center"/>
    </xf>
    <xf numFmtId="0" fontId="1" fillId="0" borderId="21" xfId="0" applyFont="1" applyBorder="1" applyAlignment="1">
      <alignment horizontal="center"/>
    </xf>
    <xf numFmtId="0" fontId="0" fillId="0" borderId="0" xfId="0" applyBorder="1" applyAlignment="1"/>
    <xf numFmtId="0" fontId="0" fillId="50" borderId="0" xfId="0" applyFill="1"/>
    <xf numFmtId="0" fontId="0" fillId="51" borderId="0" xfId="0" applyFill="1"/>
    <xf numFmtId="0" fontId="0" fillId="52" borderId="0" xfId="0" applyFill="1"/>
    <xf numFmtId="0" fontId="0" fillId="53" borderId="0" xfId="0" applyFill="1"/>
    <xf numFmtId="0" fontId="0" fillId="54" borderId="0" xfId="0" applyFill="1"/>
    <xf numFmtId="0" fontId="1" fillId="2" borderId="0" xfId="0" applyNumberFormat="1" applyFont="1" applyFill="1"/>
    <xf numFmtId="0" fontId="0" fillId="0" borderId="0" xfId="0" applyNumberFormat="1"/>
    <xf numFmtId="0" fontId="0" fillId="55" borderId="0" xfId="0" applyFill="1"/>
    <xf numFmtId="0" fontId="0" fillId="56" borderId="0" xfId="0" applyFill="1"/>
    <xf numFmtId="0" fontId="0" fillId="57"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0" fontId="0" fillId="83" borderId="0" xfId="0" applyFill="1"/>
    <xf numFmtId="0" fontId="0" fillId="84" borderId="0" xfId="0" applyFill="1"/>
    <xf numFmtId="0" fontId="0" fillId="85" borderId="0" xfId="0" applyFill="1"/>
    <xf numFmtId="0" fontId="0" fillId="86" borderId="0" xfId="0" applyFill="1"/>
    <xf numFmtId="0" fontId="0" fillId="87" borderId="0" xfId="0" applyFill="1"/>
    <xf numFmtId="49" fontId="0" fillId="0" borderId="23" xfId="0" applyNumberFormat="1" applyBorder="1"/>
    <xf numFmtId="49" fontId="0" fillId="0" borderId="24" xfId="0" applyNumberFormat="1" applyBorder="1"/>
    <xf numFmtId="49" fontId="0" fillId="0" borderId="25" xfId="0" applyNumberFormat="1" applyBorder="1"/>
    <xf numFmtId="49" fontId="0" fillId="0" borderId="26" xfId="0" applyNumberFormat="1" applyBorder="1"/>
    <xf numFmtId="49" fontId="0" fillId="0" borderId="27" xfId="0" applyNumberFormat="1" applyBorder="1"/>
    <xf numFmtId="49" fontId="0" fillId="0" borderId="28" xfId="0" applyNumberFormat="1" applyBorder="1"/>
    <xf numFmtId="49" fontId="0" fillId="0" borderId="29" xfId="0" applyNumberFormat="1" applyBorder="1"/>
    <xf numFmtId="49" fontId="0" fillId="0" borderId="30" xfId="0" applyNumberFormat="1" applyBorder="1"/>
    <xf numFmtId="49" fontId="0" fillId="0" borderId="31" xfId="0" applyNumberFormat="1" applyBorder="1"/>
    <xf numFmtId="49" fontId="0" fillId="0" borderId="32" xfId="0" applyNumberFormat="1" applyBorder="1"/>
    <xf numFmtId="49" fontId="0" fillId="0" borderId="33" xfId="0" applyNumberFormat="1" applyBorder="1"/>
    <xf numFmtId="49" fontId="0" fillId="0" borderId="34" xfId="0" applyNumberFormat="1" applyBorder="1"/>
    <xf numFmtId="49" fontId="0" fillId="0" borderId="35" xfId="0" applyNumberFormat="1" applyBorder="1"/>
    <xf numFmtId="49" fontId="0" fillId="0" borderId="36" xfId="0" applyNumberFormat="1" applyBorder="1"/>
    <xf numFmtId="49" fontId="0" fillId="0" borderId="37" xfId="0" applyNumberFormat="1" applyBorder="1"/>
    <xf numFmtId="49" fontId="0" fillId="0" borderId="38" xfId="0" applyNumberFormat="1" applyBorder="1"/>
    <xf numFmtId="49" fontId="0" fillId="0" borderId="39" xfId="0" applyNumberFormat="1" applyBorder="1"/>
    <xf numFmtId="49" fontId="0" fillId="0" borderId="40" xfId="0" applyNumberFormat="1" applyBorder="1"/>
    <xf numFmtId="49" fontId="0" fillId="0" borderId="41" xfId="0" applyNumberFormat="1" applyBorder="1"/>
    <xf numFmtId="49" fontId="0" fillId="0" borderId="42" xfId="0" applyNumberFormat="1" applyBorder="1"/>
    <xf numFmtId="49" fontId="0" fillId="0" borderId="43" xfId="0" applyNumberFormat="1" applyBorder="1"/>
    <xf numFmtId="49" fontId="0" fillId="0" borderId="44" xfId="0" applyNumberFormat="1" applyBorder="1"/>
    <xf numFmtId="49" fontId="0" fillId="0" borderId="45" xfId="0" applyNumberFormat="1" applyBorder="1"/>
    <xf numFmtId="49" fontId="0" fillId="0" borderId="46" xfId="0" applyNumberFormat="1" applyBorder="1"/>
    <xf numFmtId="49" fontId="0" fillId="0" borderId="47" xfId="0" applyNumberFormat="1" applyBorder="1"/>
    <xf numFmtId="49" fontId="0" fillId="0" borderId="48" xfId="0" applyNumberFormat="1" applyBorder="1"/>
    <xf numFmtId="49" fontId="0" fillId="0" borderId="49" xfId="0" applyNumberFormat="1" applyBorder="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0" fillId="107" borderId="0" xfId="0" applyFill="1"/>
    <xf numFmtId="0" fontId="0" fillId="108" borderId="0" xfId="0" applyFill="1"/>
    <xf numFmtId="0" fontId="0" fillId="109" borderId="0" xfId="0" applyFill="1"/>
    <xf numFmtId="0" fontId="0" fillId="110" borderId="0" xfId="0" applyFill="1"/>
    <xf numFmtId="0" fontId="0" fillId="111" borderId="0" xfId="0" applyFill="1"/>
    <xf numFmtId="0" fontId="0" fillId="112" borderId="0" xfId="0" applyFill="1"/>
    <xf numFmtId="0" fontId="0" fillId="113" borderId="0" xfId="0" applyFill="1"/>
    <xf numFmtId="0" fontId="0" fillId="114" borderId="0" xfId="0" applyFill="1"/>
    <xf numFmtId="0" fontId="0" fillId="115" borderId="0" xfId="0" applyFill="1"/>
    <xf numFmtId="0" fontId="0" fillId="116" borderId="0" xfId="0" applyFill="1"/>
    <xf numFmtId="0" fontId="0" fillId="117" borderId="0" xfId="0" applyFill="1"/>
    <xf numFmtId="0" fontId="0" fillId="118" borderId="0" xfId="0" applyFill="1"/>
    <xf numFmtId="0" fontId="0" fillId="119" borderId="0" xfId="0" applyFill="1"/>
    <xf numFmtId="0" fontId="0" fillId="120" borderId="0" xfId="0" applyFill="1"/>
    <xf numFmtId="0" fontId="0" fillId="121" borderId="0" xfId="0" applyFill="1"/>
    <xf numFmtId="0" fontId="0" fillId="122" borderId="0" xfId="0" applyFill="1"/>
    <xf numFmtId="0" fontId="0" fillId="123" borderId="0" xfId="0" applyFill="1"/>
    <xf numFmtId="0" fontId="0" fillId="124" borderId="0" xfId="0" applyFill="1"/>
    <xf numFmtId="0" fontId="0" fillId="125" borderId="0" xfId="0" applyFill="1"/>
    <xf numFmtId="0" fontId="0" fillId="126" borderId="0" xfId="0" applyFill="1"/>
    <xf numFmtId="0" fontId="0" fillId="127" borderId="0" xfId="0" applyFill="1"/>
    <xf numFmtId="0" fontId="0" fillId="128" borderId="0" xfId="0" applyFill="1"/>
    <xf numFmtId="0" fontId="0" fillId="129" borderId="0" xfId="0" applyFill="1"/>
    <xf numFmtId="0" fontId="0" fillId="130" borderId="0" xfId="0" applyFill="1"/>
    <xf numFmtId="0" fontId="0" fillId="131" borderId="0" xfId="0" applyFill="1"/>
    <xf numFmtId="0" fontId="0" fillId="132" borderId="0" xfId="0" applyFill="1"/>
    <xf numFmtId="0" fontId="0" fillId="133" borderId="0" xfId="0" applyFill="1"/>
    <xf numFmtId="0" fontId="0" fillId="134" borderId="0" xfId="0" applyFill="1"/>
    <xf numFmtId="0" fontId="0" fillId="135" borderId="0" xfId="0" applyFill="1"/>
    <xf numFmtId="0" fontId="0" fillId="136" borderId="0" xfId="0" applyFill="1"/>
    <xf numFmtId="0" fontId="0" fillId="137" borderId="0" xfId="0" applyFill="1"/>
    <xf numFmtId="0" fontId="0" fillId="138" borderId="0" xfId="0" applyFill="1"/>
    <xf numFmtId="0" fontId="0" fillId="139" borderId="0" xfId="0" applyFill="1"/>
    <xf numFmtId="0" fontId="0" fillId="140" borderId="0" xfId="0" applyFill="1"/>
    <xf numFmtId="0" fontId="0" fillId="141" borderId="0" xfId="0" applyFill="1"/>
    <xf numFmtId="0" fontId="0" fillId="142" borderId="0" xfId="0" applyFill="1"/>
    <xf numFmtId="0" fontId="0" fillId="143" borderId="0" xfId="0" applyFill="1"/>
    <xf numFmtId="0" fontId="0" fillId="144" borderId="0" xfId="0" applyFill="1"/>
    <xf numFmtId="0" fontId="0" fillId="145" borderId="0" xfId="0" applyFill="1"/>
    <xf numFmtId="0" fontId="0" fillId="146" borderId="0" xfId="0" applyFill="1"/>
    <xf numFmtId="0" fontId="0" fillId="147" borderId="0" xfId="0" applyFill="1"/>
    <xf numFmtId="0" fontId="0" fillId="148" borderId="0" xfId="0" applyFill="1"/>
    <xf numFmtId="0" fontId="0" fillId="149" borderId="0" xfId="0" applyFill="1"/>
    <xf numFmtId="0" fontId="0" fillId="150" borderId="0" xfId="0" applyFill="1"/>
    <xf numFmtId="0" fontId="0" fillId="151" borderId="0" xfId="0" applyFill="1"/>
    <xf numFmtId="0" fontId="0" fillId="152" borderId="0" xfId="0" applyFill="1"/>
    <xf numFmtId="0" fontId="0" fillId="153" borderId="0" xfId="0" applyFill="1"/>
    <xf numFmtId="0" fontId="0" fillId="154" borderId="0" xfId="0" applyFill="1"/>
    <xf numFmtId="0" fontId="0" fillId="155" borderId="0" xfId="0" applyFill="1"/>
    <xf numFmtId="0" fontId="0" fillId="156" borderId="0" xfId="0" applyFill="1"/>
    <xf numFmtId="0" fontId="0" fillId="157" borderId="0" xfId="0" applyFill="1"/>
    <xf numFmtId="0" fontId="0" fillId="158" borderId="0" xfId="0" applyFill="1"/>
    <xf numFmtId="0" fontId="0" fillId="159" borderId="0" xfId="0" applyFill="1"/>
    <xf numFmtId="0" fontId="0" fillId="160" borderId="0" xfId="0" applyFill="1"/>
    <xf numFmtId="0" fontId="0" fillId="161" borderId="0" xfId="0" applyFill="1"/>
    <xf numFmtId="0" fontId="0" fillId="162" borderId="0" xfId="0" applyFill="1"/>
    <xf numFmtId="0" fontId="0" fillId="163" borderId="0" xfId="0" applyFill="1"/>
    <xf numFmtId="0" fontId="0" fillId="164" borderId="0" xfId="0" applyFill="1"/>
    <xf numFmtId="0" fontId="0" fillId="165" borderId="0" xfId="0" applyFill="1"/>
    <xf numFmtId="0" fontId="0" fillId="166" borderId="0" xfId="0" applyFill="1"/>
    <xf numFmtId="0" fontId="0" fillId="167" borderId="0" xfId="0" applyFill="1"/>
    <xf numFmtId="0" fontId="0" fillId="168" borderId="0" xfId="0" applyFill="1"/>
    <xf numFmtId="0" fontId="0" fillId="169" borderId="0" xfId="0" applyFill="1"/>
    <xf numFmtId="0" fontId="0" fillId="170" borderId="0" xfId="0" applyFill="1"/>
    <xf numFmtId="0" fontId="0" fillId="171" borderId="0" xfId="0" applyFill="1"/>
    <xf numFmtId="0" fontId="0" fillId="172" borderId="0" xfId="0" applyFill="1"/>
    <xf numFmtId="0" fontId="0" fillId="173" borderId="0" xfId="0" applyFill="1"/>
    <xf numFmtId="0" fontId="0" fillId="174" borderId="0" xfId="0" applyFill="1"/>
    <xf numFmtId="0" fontId="0" fillId="175" borderId="0" xfId="0" applyFill="1"/>
    <xf numFmtId="0" fontId="0" fillId="176" borderId="0" xfId="0" applyFill="1"/>
    <xf numFmtId="0" fontId="0" fillId="177" borderId="0" xfId="0" applyFill="1"/>
    <xf numFmtId="0" fontId="0" fillId="178" borderId="0" xfId="0" applyFill="1"/>
    <xf numFmtId="0" fontId="0" fillId="179" borderId="0" xfId="0" applyFill="1"/>
    <xf numFmtId="0" fontId="0" fillId="180" borderId="0" xfId="0" applyFill="1"/>
    <xf numFmtId="0" fontId="0" fillId="181" borderId="0" xfId="0" applyFill="1"/>
    <xf numFmtId="0" fontId="0" fillId="182" borderId="0" xfId="0" applyFill="1"/>
    <xf numFmtId="0" fontId="0" fillId="183" borderId="0" xfId="0" applyFill="1"/>
    <xf numFmtId="0" fontId="0" fillId="184" borderId="0" xfId="0" applyFill="1"/>
    <xf numFmtId="0" fontId="0" fillId="25" borderId="0" xfId="0" applyFill="1"/>
    <xf numFmtId="0" fontId="0" fillId="185" borderId="0" xfId="0" applyFill="1"/>
    <xf numFmtId="0" fontId="0" fillId="186" borderId="0" xfId="0" applyFill="1"/>
    <xf numFmtId="0" fontId="0" fillId="187" borderId="0" xfId="0" applyFill="1"/>
    <xf numFmtId="0" fontId="0" fillId="188" borderId="0" xfId="0" applyFill="1"/>
    <xf numFmtId="0" fontId="0" fillId="189" borderId="0" xfId="0" applyFill="1"/>
    <xf numFmtId="0" fontId="0" fillId="190" borderId="0" xfId="0" applyFill="1"/>
    <xf numFmtId="0" fontId="0" fillId="191" borderId="0" xfId="0" applyFill="1"/>
    <xf numFmtId="0" fontId="0" fillId="192" borderId="0" xfId="0" applyFill="1"/>
    <xf numFmtId="0" fontId="0" fillId="193" borderId="0" xfId="0" applyFill="1"/>
    <xf numFmtId="0" fontId="0" fillId="194" borderId="0" xfId="0" applyFill="1"/>
    <xf numFmtId="0" fontId="0" fillId="195" borderId="0" xfId="0" applyFill="1"/>
    <xf numFmtId="0" fontId="0" fillId="196" borderId="0" xfId="0" applyFill="1"/>
    <xf numFmtId="0" fontId="0" fillId="197" borderId="0" xfId="0" applyFill="1"/>
    <xf numFmtId="0" fontId="0" fillId="198" borderId="0" xfId="0" applyFill="1"/>
    <xf numFmtId="0" fontId="0" fillId="199" borderId="0" xfId="0" applyFill="1"/>
    <xf numFmtId="0" fontId="0" fillId="200" borderId="0" xfId="0" applyFill="1"/>
    <xf numFmtId="0" fontId="0" fillId="201" borderId="0" xfId="0" applyFill="1"/>
    <xf numFmtId="0" fontId="0" fillId="202" borderId="0" xfId="0" applyFill="1"/>
    <xf numFmtId="0" fontId="0" fillId="203" borderId="0" xfId="0" applyFill="1"/>
    <xf numFmtId="0" fontId="0" fillId="204" borderId="0" xfId="0" applyFill="1"/>
    <xf numFmtId="0" fontId="0" fillId="205" borderId="0" xfId="0" applyFill="1"/>
    <xf numFmtId="0" fontId="0" fillId="206" borderId="0" xfId="0" applyFill="1"/>
    <xf numFmtId="0" fontId="0" fillId="207" borderId="0" xfId="0" applyFill="1"/>
    <xf numFmtId="0" fontId="0" fillId="208" borderId="0" xfId="0" applyFill="1"/>
    <xf numFmtId="0" fontId="0" fillId="209" borderId="0" xfId="0" applyFill="1"/>
    <xf numFmtId="0" fontId="0" fillId="210" borderId="0" xfId="0" applyFill="1"/>
    <xf numFmtId="0" fontId="0" fillId="211" borderId="0" xfId="0" applyFill="1"/>
    <xf numFmtId="0" fontId="0" fillId="212" borderId="0" xfId="0" applyFill="1"/>
    <xf numFmtId="0" fontId="0" fillId="213" borderId="0" xfId="0" applyFill="1"/>
    <xf numFmtId="0" fontId="0" fillId="214" borderId="0" xfId="0" applyFill="1"/>
    <xf numFmtId="0" fontId="0" fillId="215" borderId="0" xfId="0" applyFill="1"/>
    <xf numFmtId="0" fontId="0" fillId="216" borderId="0" xfId="0" applyFill="1"/>
    <xf numFmtId="0" fontId="0" fillId="217" borderId="0" xfId="0" applyFill="1"/>
    <xf numFmtId="0" fontId="0" fillId="218" borderId="0" xfId="0" applyFill="1"/>
    <xf numFmtId="0" fontId="0" fillId="219" borderId="0" xfId="0" applyFill="1"/>
    <xf numFmtId="0" fontId="0" fillId="220" borderId="0" xfId="0" applyFill="1"/>
    <xf numFmtId="0" fontId="0" fillId="221" borderId="0" xfId="0" applyFill="1"/>
    <xf numFmtId="0" fontId="0" fillId="222" borderId="0" xfId="0" applyFill="1"/>
    <xf numFmtId="0" fontId="0" fillId="223" borderId="0" xfId="0" applyFill="1"/>
    <xf numFmtId="0" fontId="0" fillId="224" borderId="0" xfId="0" applyFill="1"/>
    <xf numFmtId="0" fontId="0" fillId="225" borderId="0" xfId="0" applyFill="1"/>
    <xf numFmtId="0" fontId="0" fillId="226" borderId="0" xfId="0" applyFill="1"/>
    <xf numFmtId="0" fontId="0" fillId="227" borderId="0" xfId="0" applyFill="1"/>
    <xf numFmtId="0" fontId="0" fillId="228" borderId="0" xfId="0" applyFill="1"/>
    <xf numFmtId="0" fontId="0" fillId="229" borderId="0" xfId="0" applyFill="1"/>
    <xf numFmtId="0" fontId="0" fillId="230" borderId="0" xfId="0" applyFill="1"/>
    <xf numFmtId="0" fontId="0" fillId="231" borderId="0" xfId="0" applyFill="1"/>
    <xf numFmtId="0" fontId="0" fillId="232" borderId="0" xfId="0" applyFill="1"/>
    <xf numFmtId="0" fontId="0" fillId="233" borderId="0" xfId="0" applyFill="1"/>
    <xf numFmtId="0" fontId="0" fillId="234" borderId="0" xfId="0" applyFill="1"/>
    <xf numFmtId="0" fontId="0" fillId="235" borderId="0" xfId="0" applyFill="1"/>
    <xf numFmtId="0" fontId="0" fillId="236" borderId="0" xfId="0" applyFill="1"/>
    <xf numFmtId="0" fontId="0" fillId="237" borderId="0" xfId="0" applyFill="1"/>
    <xf numFmtId="0" fontId="0" fillId="238" borderId="0" xfId="0" applyFill="1"/>
    <xf numFmtId="0" fontId="0" fillId="239" borderId="0" xfId="0" applyFill="1"/>
    <xf numFmtId="0" fontId="0" fillId="240" borderId="0" xfId="0" applyFill="1"/>
    <xf numFmtId="0" fontId="0" fillId="241" borderId="0" xfId="0" applyFill="1"/>
    <xf numFmtId="0" fontId="0" fillId="242" borderId="0" xfId="0" applyFill="1"/>
    <xf numFmtId="0" fontId="0" fillId="243" borderId="0" xfId="0" applyFill="1"/>
    <xf numFmtId="0" fontId="0" fillId="244" borderId="0" xfId="0" applyFill="1"/>
    <xf numFmtId="0" fontId="0" fillId="245" borderId="0" xfId="0" applyFill="1"/>
    <xf numFmtId="0" fontId="0" fillId="246" borderId="0" xfId="0" applyFill="1"/>
    <xf numFmtId="0" fontId="0" fillId="247" borderId="0" xfId="0" applyFill="1"/>
    <xf numFmtId="0" fontId="0" fillId="248" borderId="0" xfId="0" applyFill="1"/>
    <xf numFmtId="0" fontId="0" fillId="249" borderId="0" xfId="0" applyFill="1"/>
    <xf numFmtId="0" fontId="0" fillId="250" borderId="0" xfId="0" applyFill="1"/>
    <xf numFmtId="0" fontId="0" fillId="251" borderId="0" xfId="0" applyFill="1"/>
    <xf numFmtId="0" fontId="0" fillId="252" borderId="0" xfId="0" applyFill="1"/>
    <xf numFmtId="0" fontId="0" fillId="253" borderId="0" xfId="0" applyFill="1"/>
    <xf numFmtId="0" fontId="0" fillId="254" borderId="0" xfId="0" applyFill="1"/>
    <xf numFmtId="0" fontId="0" fillId="255" borderId="0" xfId="0" applyFill="1"/>
    <xf numFmtId="0" fontId="0" fillId="256" borderId="0" xfId="0" applyFill="1"/>
    <xf numFmtId="0" fontId="0" fillId="257" borderId="0" xfId="0" applyFill="1"/>
    <xf numFmtId="0" fontId="0" fillId="258" borderId="0" xfId="0" applyFill="1"/>
    <xf numFmtId="0" fontId="0" fillId="259" borderId="0" xfId="0" applyFill="1"/>
    <xf numFmtId="0" fontId="0" fillId="260" borderId="0" xfId="0" applyFill="1"/>
    <xf numFmtId="0" fontId="0" fillId="261" borderId="0" xfId="0" applyFill="1"/>
    <xf numFmtId="0" fontId="0" fillId="262" borderId="0" xfId="0" applyFill="1"/>
    <xf numFmtId="0" fontId="0" fillId="263" borderId="0" xfId="0" applyFill="1"/>
    <xf numFmtId="0" fontId="0" fillId="264" borderId="0" xfId="0" applyFill="1"/>
    <xf numFmtId="0" fontId="0" fillId="265" borderId="0" xfId="0" applyFill="1"/>
    <xf numFmtId="0" fontId="0" fillId="266" borderId="0" xfId="0" applyFill="1"/>
    <xf numFmtId="0" fontId="0" fillId="267" borderId="0" xfId="0" applyFill="1"/>
    <xf numFmtId="0" fontId="0" fillId="268" borderId="0" xfId="0" applyFill="1"/>
    <xf numFmtId="0" fontId="0" fillId="269" borderId="0" xfId="0" applyFill="1"/>
    <xf numFmtId="0" fontId="0" fillId="270" borderId="0" xfId="0" applyFill="1"/>
    <xf numFmtId="0" fontId="0" fillId="271" borderId="0" xfId="0" applyFill="1"/>
    <xf numFmtId="0" fontId="0" fillId="272" borderId="0" xfId="0" applyFill="1"/>
    <xf numFmtId="0" fontId="0" fillId="273" borderId="0" xfId="0" applyFill="1"/>
    <xf numFmtId="0" fontId="0" fillId="274" borderId="0" xfId="0" applyFill="1"/>
    <xf numFmtId="0" fontId="0" fillId="275" borderId="0" xfId="0" applyFill="1"/>
    <xf numFmtId="0" fontId="0" fillId="276" borderId="0" xfId="0" applyFill="1"/>
    <xf numFmtId="0" fontId="0" fillId="277" borderId="0" xfId="0" applyFill="1"/>
    <xf numFmtId="0" fontId="0" fillId="278" borderId="0" xfId="0" applyFill="1"/>
    <xf numFmtId="0" fontId="0" fillId="279" borderId="0" xfId="0" applyFill="1"/>
    <xf numFmtId="0" fontId="0" fillId="280" borderId="0" xfId="0" applyFill="1"/>
    <xf numFmtId="0" fontId="0" fillId="281" borderId="0" xfId="0" applyFill="1"/>
    <xf numFmtId="0" fontId="0" fillId="282" borderId="0" xfId="0" applyFill="1"/>
  </cellXfs>
  <cellStyles count="3654">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3" builtinId="9" hidden="1"/>
    <cellStyle name="Followed Hyperlink" xfId="975" builtinId="9" hidden="1"/>
    <cellStyle name="Followed Hyperlink" xfId="977" builtinId="9" hidden="1"/>
    <cellStyle name="Followed Hyperlink" xfId="979" builtinId="9" hidden="1"/>
    <cellStyle name="Followed Hyperlink" xfId="981" builtinId="9" hidden="1"/>
    <cellStyle name="Followed Hyperlink" xfId="983" builtinId="9" hidden="1"/>
    <cellStyle name="Followed Hyperlink" xfId="985" builtinId="9" hidden="1"/>
    <cellStyle name="Followed Hyperlink" xfId="987" builtinId="9" hidden="1"/>
    <cellStyle name="Followed Hyperlink" xfId="989" builtinId="9" hidden="1"/>
    <cellStyle name="Followed Hyperlink" xfId="991" builtinId="9" hidden="1"/>
    <cellStyle name="Followed Hyperlink" xfId="993" builtinId="9" hidden="1"/>
    <cellStyle name="Followed Hyperlink" xfId="995" builtinId="9" hidden="1"/>
    <cellStyle name="Followed Hyperlink" xfId="997" builtinId="9" hidden="1"/>
    <cellStyle name="Followed Hyperlink" xfId="999" builtinId="9" hidden="1"/>
    <cellStyle name="Followed Hyperlink" xfId="1001" builtinId="9" hidden="1"/>
    <cellStyle name="Followed Hyperlink" xfId="1003" builtinId="9" hidden="1"/>
    <cellStyle name="Followed Hyperlink" xfId="1005" builtinId="9" hidden="1"/>
    <cellStyle name="Followed Hyperlink" xfId="1007" builtinId="9" hidden="1"/>
    <cellStyle name="Followed Hyperlink" xfId="1009" builtinId="9" hidden="1"/>
    <cellStyle name="Followed Hyperlink" xfId="1011" builtinId="9" hidden="1"/>
    <cellStyle name="Followed Hyperlink" xfId="1013" builtinId="9" hidden="1"/>
    <cellStyle name="Followed Hyperlink" xfId="1015" builtinId="9" hidden="1"/>
    <cellStyle name="Followed Hyperlink" xfId="1017" builtinId="9" hidden="1"/>
    <cellStyle name="Followed Hyperlink" xfId="1019" builtinId="9" hidden="1"/>
    <cellStyle name="Followed Hyperlink" xfId="1021" builtinId="9" hidden="1"/>
    <cellStyle name="Followed Hyperlink" xfId="1023" builtinId="9" hidden="1"/>
    <cellStyle name="Followed Hyperlink" xfId="1025" builtinId="9" hidden="1"/>
    <cellStyle name="Followed Hyperlink" xfId="1027" builtinId="9" hidden="1"/>
    <cellStyle name="Followed Hyperlink" xfId="1029" builtinId="9" hidden="1"/>
    <cellStyle name="Followed Hyperlink" xfId="1031" builtinId="9" hidden="1"/>
    <cellStyle name="Followed Hyperlink" xfId="1033" builtinId="9" hidden="1"/>
    <cellStyle name="Followed Hyperlink" xfId="1035" builtinId="9" hidden="1"/>
    <cellStyle name="Followed Hyperlink" xfId="1037" builtinId="9" hidden="1"/>
    <cellStyle name="Followed Hyperlink" xfId="1039" builtinId="9" hidden="1"/>
    <cellStyle name="Followed Hyperlink" xfId="1041" builtinId="9" hidden="1"/>
    <cellStyle name="Followed Hyperlink" xfId="1043" builtinId="9" hidden="1"/>
    <cellStyle name="Followed Hyperlink" xfId="1045" builtinId="9" hidden="1"/>
    <cellStyle name="Followed Hyperlink" xfId="1047" builtinId="9" hidden="1"/>
    <cellStyle name="Followed Hyperlink" xfId="1049" builtinId="9" hidden="1"/>
    <cellStyle name="Followed Hyperlink" xfId="1051" builtinId="9" hidden="1"/>
    <cellStyle name="Followed Hyperlink" xfId="1053" builtinId="9" hidden="1"/>
    <cellStyle name="Followed Hyperlink" xfId="1055" builtinId="9" hidden="1"/>
    <cellStyle name="Followed Hyperlink" xfId="1057" builtinId="9" hidden="1"/>
    <cellStyle name="Followed Hyperlink" xfId="1059" builtinId="9" hidden="1"/>
    <cellStyle name="Followed Hyperlink" xfId="1061" builtinId="9" hidden="1"/>
    <cellStyle name="Followed Hyperlink" xfId="1063" builtinId="9" hidden="1"/>
    <cellStyle name="Followed Hyperlink" xfId="1065" builtinId="9" hidden="1"/>
    <cellStyle name="Followed Hyperlink" xfId="1067" builtinId="9" hidden="1"/>
    <cellStyle name="Followed Hyperlink" xfId="1069" builtinId="9" hidden="1"/>
    <cellStyle name="Followed Hyperlink" xfId="1071" builtinId="9" hidden="1"/>
    <cellStyle name="Followed Hyperlink" xfId="1073" builtinId="9" hidden="1"/>
    <cellStyle name="Followed Hyperlink" xfId="1075" builtinId="9" hidden="1"/>
    <cellStyle name="Followed Hyperlink" xfId="1077" builtinId="9" hidden="1"/>
    <cellStyle name="Followed Hyperlink" xfId="1079" builtinId="9" hidden="1"/>
    <cellStyle name="Followed Hyperlink" xfId="1081" builtinId="9" hidden="1"/>
    <cellStyle name="Followed Hyperlink" xfId="1083" builtinId="9" hidden="1"/>
    <cellStyle name="Followed Hyperlink" xfId="1085" builtinId="9" hidden="1"/>
    <cellStyle name="Followed Hyperlink" xfId="1087" builtinId="9" hidden="1"/>
    <cellStyle name="Followed Hyperlink" xfId="1089" builtinId="9" hidden="1"/>
    <cellStyle name="Followed Hyperlink" xfId="1091" builtinId="9" hidden="1"/>
    <cellStyle name="Followed Hyperlink" xfId="1093" builtinId="9" hidden="1"/>
    <cellStyle name="Followed Hyperlink" xfId="1095" builtinId="9" hidden="1"/>
    <cellStyle name="Followed Hyperlink" xfId="1097" builtinId="9" hidden="1"/>
    <cellStyle name="Followed Hyperlink" xfId="1099" builtinId="9" hidden="1"/>
    <cellStyle name="Followed Hyperlink" xfId="1101" builtinId="9" hidden="1"/>
    <cellStyle name="Followed Hyperlink" xfId="1103" builtinId="9" hidden="1"/>
    <cellStyle name="Followed Hyperlink" xfId="1105" builtinId="9" hidden="1"/>
    <cellStyle name="Followed Hyperlink" xfId="1107" builtinId="9" hidden="1"/>
    <cellStyle name="Followed Hyperlink" xfId="1109" builtinId="9" hidden="1"/>
    <cellStyle name="Followed Hyperlink" xfId="1111" builtinId="9" hidden="1"/>
    <cellStyle name="Followed Hyperlink" xfId="1113" builtinId="9" hidden="1"/>
    <cellStyle name="Followed Hyperlink" xfId="1115" builtinId="9" hidden="1"/>
    <cellStyle name="Followed Hyperlink" xfId="1117" builtinId="9" hidden="1"/>
    <cellStyle name="Followed Hyperlink" xfId="1119" builtinId="9" hidden="1"/>
    <cellStyle name="Followed Hyperlink" xfId="1121" builtinId="9" hidden="1"/>
    <cellStyle name="Followed Hyperlink" xfId="1123" builtinId="9" hidden="1"/>
    <cellStyle name="Followed Hyperlink" xfId="1125" builtinId="9" hidden="1"/>
    <cellStyle name="Followed Hyperlink" xfId="1127" builtinId="9" hidden="1"/>
    <cellStyle name="Followed Hyperlink" xfId="1129" builtinId="9" hidden="1"/>
    <cellStyle name="Followed Hyperlink" xfId="1131" builtinId="9" hidden="1"/>
    <cellStyle name="Followed Hyperlink" xfId="1133" builtinId="9" hidden="1"/>
    <cellStyle name="Followed Hyperlink" xfId="1135" builtinId="9" hidden="1"/>
    <cellStyle name="Followed Hyperlink" xfId="1137" builtinId="9" hidden="1"/>
    <cellStyle name="Followed Hyperlink" xfId="1139" builtinId="9" hidden="1"/>
    <cellStyle name="Followed Hyperlink" xfId="1141" builtinId="9" hidden="1"/>
    <cellStyle name="Followed Hyperlink" xfId="1143" builtinId="9" hidden="1"/>
    <cellStyle name="Followed Hyperlink" xfId="1145" builtinId="9" hidden="1"/>
    <cellStyle name="Followed Hyperlink" xfId="1147" builtinId="9" hidden="1"/>
    <cellStyle name="Followed Hyperlink" xfId="1149" builtinId="9" hidden="1"/>
    <cellStyle name="Followed Hyperlink" xfId="1151" builtinId="9" hidden="1"/>
    <cellStyle name="Followed Hyperlink" xfId="1153" builtinId="9" hidden="1"/>
    <cellStyle name="Followed Hyperlink" xfId="1155" builtinId="9" hidden="1"/>
    <cellStyle name="Followed Hyperlink" xfId="1157" builtinId="9" hidden="1"/>
    <cellStyle name="Followed Hyperlink" xfId="1159" builtinId="9" hidden="1"/>
    <cellStyle name="Followed Hyperlink" xfId="1161" builtinId="9" hidden="1"/>
    <cellStyle name="Followed Hyperlink" xfId="1163" builtinId="9" hidden="1"/>
    <cellStyle name="Followed Hyperlink" xfId="1165" builtinId="9" hidden="1"/>
    <cellStyle name="Followed Hyperlink" xfId="1167" builtinId="9" hidden="1"/>
    <cellStyle name="Followed Hyperlink" xfId="1169" builtinId="9" hidden="1"/>
    <cellStyle name="Followed Hyperlink" xfId="1171" builtinId="9" hidden="1"/>
    <cellStyle name="Followed Hyperlink" xfId="1173" builtinId="9" hidden="1"/>
    <cellStyle name="Followed Hyperlink" xfId="1175" builtinId="9" hidden="1"/>
    <cellStyle name="Followed Hyperlink" xfId="1177" builtinId="9" hidden="1"/>
    <cellStyle name="Followed Hyperlink" xfId="1179" builtinId="9" hidden="1"/>
    <cellStyle name="Followed Hyperlink" xfId="1181" builtinId="9" hidden="1"/>
    <cellStyle name="Followed Hyperlink" xfId="1183" builtinId="9" hidden="1"/>
    <cellStyle name="Followed Hyperlink" xfId="1185" builtinId="9" hidden="1"/>
    <cellStyle name="Followed Hyperlink" xfId="1187" builtinId="9" hidden="1"/>
    <cellStyle name="Followed Hyperlink" xfId="1189" builtinId="9" hidden="1"/>
    <cellStyle name="Followed Hyperlink" xfId="1191" builtinId="9" hidden="1"/>
    <cellStyle name="Followed Hyperlink" xfId="1193" builtinId="9" hidden="1"/>
    <cellStyle name="Followed Hyperlink" xfId="1195" builtinId="9" hidden="1"/>
    <cellStyle name="Followed Hyperlink" xfId="1197" builtinId="9" hidden="1"/>
    <cellStyle name="Followed Hyperlink" xfId="1199" builtinId="9" hidden="1"/>
    <cellStyle name="Followed Hyperlink" xfId="1201" builtinId="9" hidden="1"/>
    <cellStyle name="Followed Hyperlink" xfId="1203" builtinId="9" hidden="1"/>
    <cellStyle name="Followed Hyperlink" xfId="1205" builtinId="9" hidden="1"/>
    <cellStyle name="Followed Hyperlink" xfId="1207" builtinId="9" hidden="1"/>
    <cellStyle name="Followed Hyperlink" xfId="1209" builtinId="9" hidden="1"/>
    <cellStyle name="Followed Hyperlink" xfId="1211" builtinId="9" hidden="1"/>
    <cellStyle name="Followed Hyperlink" xfId="1213" builtinId="9" hidden="1"/>
    <cellStyle name="Followed Hyperlink" xfId="1215" builtinId="9" hidden="1"/>
    <cellStyle name="Followed Hyperlink" xfId="1217" builtinId="9" hidden="1"/>
    <cellStyle name="Followed Hyperlink" xfId="1219" builtinId="9" hidden="1"/>
    <cellStyle name="Followed Hyperlink" xfId="1221" builtinId="9" hidden="1"/>
    <cellStyle name="Followed Hyperlink" xfId="1223" builtinId="9" hidden="1"/>
    <cellStyle name="Followed Hyperlink" xfId="1225" builtinId="9" hidden="1"/>
    <cellStyle name="Followed Hyperlink" xfId="1227" builtinId="9" hidden="1"/>
    <cellStyle name="Followed Hyperlink" xfId="1229" builtinId="9" hidden="1"/>
    <cellStyle name="Followed Hyperlink" xfId="1231" builtinId="9" hidden="1"/>
    <cellStyle name="Followed Hyperlink" xfId="1233" builtinId="9" hidden="1"/>
    <cellStyle name="Followed Hyperlink" xfId="1235" builtinId="9" hidden="1"/>
    <cellStyle name="Followed Hyperlink" xfId="1237" builtinId="9" hidden="1"/>
    <cellStyle name="Followed Hyperlink" xfId="1239" builtinId="9" hidden="1"/>
    <cellStyle name="Followed Hyperlink" xfId="1241" builtinId="9" hidden="1"/>
    <cellStyle name="Followed Hyperlink" xfId="1243" builtinId="9" hidden="1"/>
    <cellStyle name="Followed Hyperlink" xfId="1245" builtinId="9" hidden="1"/>
    <cellStyle name="Followed Hyperlink" xfId="1247" builtinId="9" hidden="1"/>
    <cellStyle name="Followed Hyperlink" xfId="1249" builtinId="9" hidden="1"/>
    <cellStyle name="Followed Hyperlink" xfId="1251" builtinId="9" hidden="1"/>
    <cellStyle name="Followed Hyperlink" xfId="1253" builtinId="9" hidden="1"/>
    <cellStyle name="Followed Hyperlink" xfId="1255" builtinId="9" hidden="1"/>
    <cellStyle name="Followed Hyperlink" xfId="1257" builtinId="9" hidden="1"/>
    <cellStyle name="Followed Hyperlink" xfId="1259" builtinId="9" hidden="1"/>
    <cellStyle name="Followed Hyperlink" xfId="1261" builtinId="9" hidden="1"/>
    <cellStyle name="Followed Hyperlink" xfId="1263" builtinId="9" hidden="1"/>
    <cellStyle name="Followed Hyperlink" xfId="1265" builtinId="9" hidden="1"/>
    <cellStyle name="Followed Hyperlink" xfId="1267" builtinId="9" hidden="1"/>
    <cellStyle name="Followed Hyperlink" xfId="1269" builtinId="9" hidden="1"/>
    <cellStyle name="Followed Hyperlink" xfId="1271" builtinId="9" hidden="1"/>
    <cellStyle name="Followed Hyperlink" xfId="1273" builtinId="9" hidden="1"/>
    <cellStyle name="Followed Hyperlink" xfId="1275" builtinId="9" hidden="1"/>
    <cellStyle name="Followed Hyperlink" xfId="1277" builtinId="9" hidden="1"/>
    <cellStyle name="Followed Hyperlink" xfId="1279" builtinId="9" hidden="1"/>
    <cellStyle name="Followed Hyperlink" xfId="1281" builtinId="9" hidden="1"/>
    <cellStyle name="Followed Hyperlink" xfId="1283" builtinId="9" hidden="1"/>
    <cellStyle name="Followed Hyperlink" xfId="1285" builtinId="9" hidden="1"/>
    <cellStyle name="Followed Hyperlink" xfId="1287" builtinId="9" hidden="1"/>
    <cellStyle name="Followed Hyperlink" xfId="1289" builtinId="9" hidden="1"/>
    <cellStyle name="Followed Hyperlink" xfId="1291" builtinId="9" hidden="1"/>
    <cellStyle name="Followed Hyperlink" xfId="1293" builtinId="9" hidden="1"/>
    <cellStyle name="Followed Hyperlink" xfId="1295" builtinId="9" hidden="1"/>
    <cellStyle name="Followed Hyperlink" xfId="1297" builtinId="9" hidden="1"/>
    <cellStyle name="Followed Hyperlink" xfId="1299" builtinId="9" hidden="1"/>
    <cellStyle name="Followed Hyperlink" xfId="1301" builtinId="9" hidden="1"/>
    <cellStyle name="Followed Hyperlink" xfId="1303" builtinId="9" hidden="1"/>
    <cellStyle name="Followed Hyperlink" xfId="1305" builtinId="9" hidden="1"/>
    <cellStyle name="Followed Hyperlink" xfId="1307" builtinId="9" hidden="1"/>
    <cellStyle name="Followed Hyperlink" xfId="1309" builtinId="9" hidden="1"/>
    <cellStyle name="Followed Hyperlink" xfId="1311" builtinId="9" hidden="1"/>
    <cellStyle name="Followed Hyperlink" xfId="1313" builtinId="9" hidden="1"/>
    <cellStyle name="Followed Hyperlink" xfId="1315" builtinId="9" hidden="1"/>
    <cellStyle name="Followed Hyperlink" xfId="1317" builtinId="9" hidden="1"/>
    <cellStyle name="Followed Hyperlink" xfId="1319" builtinId="9" hidden="1"/>
    <cellStyle name="Followed Hyperlink" xfId="1321" builtinId="9" hidden="1"/>
    <cellStyle name="Followed Hyperlink" xfId="1323" builtinId="9" hidden="1"/>
    <cellStyle name="Followed Hyperlink" xfId="1325" builtinId="9" hidden="1"/>
    <cellStyle name="Followed Hyperlink" xfId="1327" builtinId="9" hidden="1"/>
    <cellStyle name="Followed Hyperlink" xfId="1329" builtinId="9" hidden="1"/>
    <cellStyle name="Followed Hyperlink" xfId="1331" builtinId="9" hidden="1"/>
    <cellStyle name="Followed Hyperlink" xfId="1333" builtinId="9" hidden="1"/>
    <cellStyle name="Followed Hyperlink" xfId="1335" builtinId="9" hidden="1"/>
    <cellStyle name="Followed Hyperlink" xfId="1337" builtinId="9" hidden="1"/>
    <cellStyle name="Followed Hyperlink" xfId="1339" builtinId="9" hidden="1"/>
    <cellStyle name="Followed Hyperlink" xfId="1341" builtinId="9" hidden="1"/>
    <cellStyle name="Followed Hyperlink" xfId="1343" builtinId="9" hidden="1"/>
    <cellStyle name="Followed Hyperlink" xfId="1345" builtinId="9" hidden="1"/>
    <cellStyle name="Followed Hyperlink" xfId="1347" builtinId="9" hidden="1"/>
    <cellStyle name="Followed Hyperlink" xfId="1349" builtinId="9" hidden="1"/>
    <cellStyle name="Followed Hyperlink" xfId="1351" builtinId="9" hidden="1"/>
    <cellStyle name="Followed Hyperlink" xfId="1353" builtinId="9" hidden="1"/>
    <cellStyle name="Followed Hyperlink" xfId="1355" builtinId="9" hidden="1"/>
    <cellStyle name="Followed Hyperlink" xfId="1357" builtinId="9" hidden="1"/>
    <cellStyle name="Followed Hyperlink" xfId="1359" builtinId="9" hidden="1"/>
    <cellStyle name="Followed Hyperlink" xfId="1361" builtinId="9" hidden="1"/>
    <cellStyle name="Followed Hyperlink" xfId="1363" builtinId="9" hidden="1"/>
    <cellStyle name="Followed Hyperlink" xfId="1365" builtinId="9" hidden="1"/>
    <cellStyle name="Followed Hyperlink" xfId="1367" builtinId="9" hidden="1"/>
    <cellStyle name="Followed Hyperlink" xfId="1369" builtinId="9" hidden="1"/>
    <cellStyle name="Followed Hyperlink" xfId="1371" builtinId="9" hidden="1"/>
    <cellStyle name="Followed Hyperlink" xfId="1373" builtinId="9" hidden="1"/>
    <cellStyle name="Followed Hyperlink" xfId="1375" builtinId="9" hidden="1"/>
    <cellStyle name="Followed Hyperlink" xfId="1377" builtinId="9" hidden="1"/>
    <cellStyle name="Followed Hyperlink" xfId="1379" builtinId="9" hidden="1"/>
    <cellStyle name="Followed Hyperlink" xfId="1381" builtinId="9" hidden="1"/>
    <cellStyle name="Followed Hyperlink" xfId="1383" builtinId="9" hidden="1"/>
    <cellStyle name="Followed Hyperlink" xfId="1385" builtinId="9" hidden="1"/>
    <cellStyle name="Followed Hyperlink" xfId="1387" builtinId="9" hidden="1"/>
    <cellStyle name="Followed Hyperlink" xfId="1389" builtinId="9" hidden="1"/>
    <cellStyle name="Followed Hyperlink" xfId="1391" builtinId="9" hidden="1"/>
    <cellStyle name="Followed Hyperlink" xfId="1393" builtinId="9" hidden="1"/>
    <cellStyle name="Followed Hyperlink" xfId="1395" builtinId="9" hidden="1"/>
    <cellStyle name="Followed Hyperlink" xfId="1397" builtinId="9" hidden="1"/>
    <cellStyle name="Followed Hyperlink" xfId="1399" builtinId="9" hidden="1"/>
    <cellStyle name="Followed Hyperlink" xfId="1401" builtinId="9" hidden="1"/>
    <cellStyle name="Followed Hyperlink" xfId="1403" builtinId="9" hidden="1"/>
    <cellStyle name="Followed Hyperlink" xfId="1405" builtinId="9" hidden="1"/>
    <cellStyle name="Followed Hyperlink" xfId="1407" builtinId="9" hidden="1"/>
    <cellStyle name="Followed Hyperlink" xfId="1409" builtinId="9" hidden="1"/>
    <cellStyle name="Followed Hyperlink" xfId="1411" builtinId="9" hidden="1"/>
    <cellStyle name="Followed Hyperlink" xfId="1413" builtinId="9" hidden="1"/>
    <cellStyle name="Followed Hyperlink" xfId="1415" builtinId="9" hidden="1"/>
    <cellStyle name="Followed Hyperlink" xfId="1417" builtinId="9" hidden="1"/>
    <cellStyle name="Followed Hyperlink" xfId="1419" builtinId="9" hidden="1"/>
    <cellStyle name="Followed Hyperlink" xfId="1421" builtinId="9" hidden="1"/>
    <cellStyle name="Followed Hyperlink" xfId="1423" builtinId="9" hidden="1"/>
    <cellStyle name="Followed Hyperlink" xfId="1425" builtinId="9" hidden="1"/>
    <cellStyle name="Followed Hyperlink" xfId="1427" builtinId="9" hidden="1"/>
    <cellStyle name="Followed Hyperlink" xfId="1429" builtinId="9" hidden="1"/>
    <cellStyle name="Followed Hyperlink" xfId="1431" builtinId="9" hidden="1"/>
    <cellStyle name="Followed Hyperlink" xfId="1433" builtinId="9" hidden="1"/>
    <cellStyle name="Followed Hyperlink" xfId="1435" builtinId="9" hidden="1"/>
    <cellStyle name="Followed Hyperlink" xfId="1437" builtinId="9" hidden="1"/>
    <cellStyle name="Followed Hyperlink" xfId="1439" builtinId="9" hidden="1"/>
    <cellStyle name="Followed Hyperlink" xfId="1441" builtinId="9" hidden="1"/>
    <cellStyle name="Followed Hyperlink" xfId="1443" builtinId="9" hidden="1"/>
    <cellStyle name="Followed Hyperlink" xfId="1445" builtinId="9" hidden="1"/>
    <cellStyle name="Followed Hyperlink" xfId="1447" builtinId="9" hidden="1"/>
    <cellStyle name="Followed Hyperlink" xfId="1449" builtinId="9" hidden="1"/>
    <cellStyle name="Followed Hyperlink" xfId="1451" builtinId="9" hidden="1"/>
    <cellStyle name="Followed Hyperlink" xfId="1453" builtinId="9" hidden="1"/>
    <cellStyle name="Followed Hyperlink" xfId="1455" builtinId="9" hidden="1"/>
    <cellStyle name="Followed Hyperlink" xfId="1457" builtinId="9" hidden="1"/>
    <cellStyle name="Followed Hyperlink" xfId="1459" builtinId="9" hidden="1"/>
    <cellStyle name="Followed Hyperlink" xfId="1461" builtinId="9" hidden="1"/>
    <cellStyle name="Followed Hyperlink" xfId="1463" builtinId="9" hidden="1"/>
    <cellStyle name="Followed Hyperlink" xfId="1465" builtinId="9" hidden="1"/>
    <cellStyle name="Followed Hyperlink" xfId="1467" builtinId="9" hidden="1"/>
    <cellStyle name="Followed Hyperlink" xfId="1469" builtinId="9" hidden="1"/>
    <cellStyle name="Followed Hyperlink" xfId="1471" builtinId="9" hidden="1"/>
    <cellStyle name="Followed Hyperlink" xfId="1473" builtinId="9" hidden="1"/>
    <cellStyle name="Followed Hyperlink" xfId="1475" builtinId="9" hidden="1"/>
    <cellStyle name="Followed Hyperlink" xfId="1477" builtinId="9" hidden="1"/>
    <cellStyle name="Followed Hyperlink" xfId="1479" builtinId="9" hidden="1"/>
    <cellStyle name="Followed Hyperlink" xfId="1481" builtinId="9" hidden="1"/>
    <cellStyle name="Followed Hyperlink" xfId="1483" builtinId="9" hidden="1"/>
    <cellStyle name="Followed Hyperlink" xfId="1485" builtinId="9" hidden="1"/>
    <cellStyle name="Followed Hyperlink" xfId="1487" builtinId="9" hidden="1"/>
    <cellStyle name="Followed Hyperlink" xfId="1489" builtinId="9" hidden="1"/>
    <cellStyle name="Followed Hyperlink" xfId="1491" builtinId="9" hidden="1"/>
    <cellStyle name="Followed Hyperlink" xfId="1493" builtinId="9" hidden="1"/>
    <cellStyle name="Followed Hyperlink" xfId="1495" builtinId="9" hidden="1"/>
    <cellStyle name="Followed Hyperlink" xfId="1497" builtinId="9" hidden="1"/>
    <cellStyle name="Followed Hyperlink" xfId="1499" builtinId="9" hidden="1"/>
    <cellStyle name="Followed Hyperlink" xfId="1501" builtinId="9" hidden="1"/>
    <cellStyle name="Followed Hyperlink" xfId="1503" builtinId="9" hidden="1"/>
    <cellStyle name="Followed Hyperlink" xfId="1505" builtinId="9" hidden="1"/>
    <cellStyle name="Followed Hyperlink" xfId="1507" builtinId="9" hidden="1"/>
    <cellStyle name="Followed Hyperlink" xfId="1509" builtinId="9" hidden="1"/>
    <cellStyle name="Followed Hyperlink" xfId="1511" builtinId="9" hidden="1"/>
    <cellStyle name="Followed Hyperlink" xfId="1513" builtinId="9" hidden="1"/>
    <cellStyle name="Followed Hyperlink" xfId="1515" builtinId="9" hidden="1"/>
    <cellStyle name="Followed Hyperlink" xfId="1517" builtinId="9" hidden="1"/>
    <cellStyle name="Followed Hyperlink" xfId="1519" builtinId="9" hidden="1"/>
    <cellStyle name="Followed Hyperlink" xfId="1521" builtinId="9" hidden="1"/>
    <cellStyle name="Followed Hyperlink" xfId="1523" builtinId="9" hidden="1"/>
    <cellStyle name="Followed Hyperlink" xfId="1525" builtinId="9" hidden="1"/>
    <cellStyle name="Followed Hyperlink" xfId="1527" builtinId="9" hidden="1"/>
    <cellStyle name="Followed Hyperlink" xfId="1529" builtinId="9" hidden="1"/>
    <cellStyle name="Followed Hyperlink" xfId="1531" builtinId="9" hidden="1"/>
    <cellStyle name="Followed Hyperlink" xfId="1533" builtinId="9" hidden="1"/>
    <cellStyle name="Followed Hyperlink" xfId="1535" builtinId="9" hidden="1"/>
    <cellStyle name="Followed Hyperlink" xfId="1537" builtinId="9" hidden="1"/>
    <cellStyle name="Followed Hyperlink" xfId="1539" builtinId="9" hidden="1"/>
    <cellStyle name="Followed Hyperlink" xfId="1541" builtinId="9" hidden="1"/>
    <cellStyle name="Followed Hyperlink" xfId="1543" builtinId="9" hidden="1"/>
    <cellStyle name="Followed Hyperlink" xfId="1545" builtinId="9" hidden="1"/>
    <cellStyle name="Followed Hyperlink" xfId="1547" builtinId="9" hidden="1"/>
    <cellStyle name="Followed Hyperlink" xfId="1549" builtinId="9" hidden="1"/>
    <cellStyle name="Followed Hyperlink" xfId="1551" builtinId="9" hidden="1"/>
    <cellStyle name="Followed Hyperlink" xfId="1553" builtinId="9" hidden="1"/>
    <cellStyle name="Followed Hyperlink" xfId="1555" builtinId="9" hidden="1"/>
    <cellStyle name="Followed Hyperlink" xfId="1557" builtinId="9" hidden="1"/>
    <cellStyle name="Followed Hyperlink" xfId="1559" builtinId="9" hidden="1"/>
    <cellStyle name="Followed Hyperlink" xfId="1561" builtinId="9" hidden="1"/>
    <cellStyle name="Followed Hyperlink" xfId="1563" builtinId="9" hidden="1"/>
    <cellStyle name="Followed Hyperlink" xfId="1565" builtinId="9" hidden="1"/>
    <cellStyle name="Followed Hyperlink" xfId="1567" builtinId="9" hidden="1"/>
    <cellStyle name="Followed Hyperlink" xfId="1569" builtinId="9" hidden="1"/>
    <cellStyle name="Followed Hyperlink" xfId="1571" builtinId="9" hidden="1"/>
    <cellStyle name="Followed Hyperlink" xfId="1573" builtinId="9" hidden="1"/>
    <cellStyle name="Followed Hyperlink" xfId="1575" builtinId="9" hidden="1"/>
    <cellStyle name="Followed Hyperlink" xfId="1577" builtinId="9" hidden="1"/>
    <cellStyle name="Followed Hyperlink" xfId="1579" builtinId="9" hidden="1"/>
    <cellStyle name="Followed Hyperlink" xfId="1581" builtinId="9" hidden="1"/>
    <cellStyle name="Followed Hyperlink" xfId="1583" builtinId="9" hidden="1"/>
    <cellStyle name="Followed Hyperlink" xfId="1585" builtinId="9" hidden="1"/>
    <cellStyle name="Followed Hyperlink" xfId="1587" builtinId="9" hidden="1"/>
    <cellStyle name="Followed Hyperlink" xfId="1589" builtinId="9" hidden="1"/>
    <cellStyle name="Followed Hyperlink" xfId="1591" builtinId="9" hidden="1"/>
    <cellStyle name="Followed Hyperlink" xfId="1593" builtinId="9" hidden="1"/>
    <cellStyle name="Followed Hyperlink" xfId="1595" builtinId="9" hidden="1"/>
    <cellStyle name="Followed Hyperlink" xfId="1597" builtinId="9" hidden="1"/>
    <cellStyle name="Followed Hyperlink" xfId="1599" builtinId="9" hidden="1"/>
    <cellStyle name="Followed Hyperlink" xfId="1601" builtinId="9" hidden="1"/>
    <cellStyle name="Followed Hyperlink" xfId="1603" builtinId="9" hidden="1"/>
    <cellStyle name="Followed Hyperlink" xfId="1605" builtinId="9" hidden="1"/>
    <cellStyle name="Followed Hyperlink" xfId="1607" builtinId="9" hidden="1"/>
    <cellStyle name="Followed Hyperlink" xfId="1609" builtinId="9" hidden="1"/>
    <cellStyle name="Followed Hyperlink" xfId="1611" builtinId="9" hidden="1"/>
    <cellStyle name="Followed Hyperlink" xfId="1613" builtinId="9" hidden="1"/>
    <cellStyle name="Followed Hyperlink" xfId="1615" builtinId="9" hidden="1"/>
    <cellStyle name="Followed Hyperlink" xfId="1617" builtinId="9" hidden="1"/>
    <cellStyle name="Followed Hyperlink" xfId="1619" builtinId="9" hidden="1"/>
    <cellStyle name="Followed Hyperlink" xfId="1621" builtinId="9" hidden="1"/>
    <cellStyle name="Followed Hyperlink" xfId="1623" builtinId="9" hidden="1"/>
    <cellStyle name="Followed Hyperlink" xfId="1625" builtinId="9" hidden="1"/>
    <cellStyle name="Followed Hyperlink" xfId="1627" builtinId="9" hidden="1"/>
    <cellStyle name="Followed Hyperlink" xfId="1629" builtinId="9" hidden="1"/>
    <cellStyle name="Followed Hyperlink" xfId="1631" builtinId="9" hidden="1"/>
    <cellStyle name="Followed Hyperlink" xfId="1633" builtinId="9" hidden="1"/>
    <cellStyle name="Followed Hyperlink" xfId="1635" builtinId="9" hidden="1"/>
    <cellStyle name="Followed Hyperlink" xfId="1637" builtinId="9" hidden="1"/>
    <cellStyle name="Followed Hyperlink" xfId="1639" builtinId="9" hidden="1"/>
    <cellStyle name="Followed Hyperlink" xfId="1641" builtinId="9" hidden="1"/>
    <cellStyle name="Followed Hyperlink" xfId="1643" builtinId="9" hidden="1"/>
    <cellStyle name="Followed Hyperlink" xfId="1645" builtinId="9" hidden="1"/>
    <cellStyle name="Followed Hyperlink" xfId="1647" builtinId="9" hidden="1"/>
    <cellStyle name="Followed Hyperlink" xfId="1649" builtinId="9" hidden="1"/>
    <cellStyle name="Followed Hyperlink" xfId="1651" builtinId="9" hidden="1"/>
    <cellStyle name="Followed Hyperlink" xfId="1653" builtinId="9" hidden="1"/>
    <cellStyle name="Followed Hyperlink" xfId="1655" builtinId="9" hidden="1"/>
    <cellStyle name="Followed Hyperlink" xfId="1657" builtinId="9" hidden="1"/>
    <cellStyle name="Followed Hyperlink" xfId="1659" builtinId="9" hidden="1"/>
    <cellStyle name="Followed Hyperlink" xfId="1661" builtinId="9" hidden="1"/>
    <cellStyle name="Followed Hyperlink" xfId="1663" builtinId="9" hidden="1"/>
    <cellStyle name="Followed Hyperlink" xfId="1665" builtinId="9" hidden="1"/>
    <cellStyle name="Followed Hyperlink" xfId="1667" builtinId="9" hidden="1"/>
    <cellStyle name="Followed Hyperlink" xfId="1669" builtinId="9" hidden="1"/>
    <cellStyle name="Followed Hyperlink" xfId="1671" builtinId="9" hidden="1"/>
    <cellStyle name="Followed Hyperlink" xfId="1673" builtinId="9" hidden="1"/>
    <cellStyle name="Followed Hyperlink" xfId="1675" builtinId="9" hidden="1"/>
    <cellStyle name="Followed Hyperlink" xfId="1677" builtinId="9" hidden="1"/>
    <cellStyle name="Followed Hyperlink" xfId="1679" builtinId="9" hidden="1"/>
    <cellStyle name="Followed Hyperlink" xfId="1681" builtinId="9" hidden="1"/>
    <cellStyle name="Followed Hyperlink" xfId="1683" builtinId="9" hidden="1"/>
    <cellStyle name="Followed Hyperlink" xfId="1685" builtinId="9" hidden="1"/>
    <cellStyle name="Followed Hyperlink" xfId="1687" builtinId="9" hidden="1"/>
    <cellStyle name="Followed Hyperlink" xfId="1689" builtinId="9" hidden="1"/>
    <cellStyle name="Followed Hyperlink" xfId="1691" builtinId="9" hidden="1"/>
    <cellStyle name="Followed Hyperlink" xfId="1693" builtinId="9" hidden="1"/>
    <cellStyle name="Followed Hyperlink" xfId="1695" builtinId="9" hidden="1"/>
    <cellStyle name="Followed Hyperlink" xfId="1697" builtinId="9" hidden="1"/>
    <cellStyle name="Followed Hyperlink" xfId="1699" builtinId="9" hidden="1"/>
    <cellStyle name="Followed Hyperlink" xfId="1701" builtinId="9" hidden="1"/>
    <cellStyle name="Followed Hyperlink" xfId="1703" builtinId="9" hidden="1"/>
    <cellStyle name="Followed Hyperlink" xfId="1705" builtinId="9" hidden="1"/>
    <cellStyle name="Followed Hyperlink" xfId="1707" builtinId="9" hidden="1"/>
    <cellStyle name="Followed Hyperlink" xfId="1709" builtinId="9" hidden="1"/>
    <cellStyle name="Followed Hyperlink" xfId="1711" builtinId="9" hidden="1"/>
    <cellStyle name="Followed Hyperlink" xfId="1713" builtinId="9" hidden="1"/>
    <cellStyle name="Followed Hyperlink" xfId="1715" builtinId="9" hidden="1"/>
    <cellStyle name="Followed Hyperlink" xfId="1717" builtinId="9" hidden="1"/>
    <cellStyle name="Followed Hyperlink" xfId="1719" builtinId="9" hidden="1"/>
    <cellStyle name="Followed Hyperlink" xfId="1721" builtinId="9" hidden="1"/>
    <cellStyle name="Followed Hyperlink" xfId="1723" builtinId="9" hidden="1"/>
    <cellStyle name="Followed Hyperlink" xfId="1725" builtinId="9" hidden="1"/>
    <cellStyle name="Followed Hyperlink" xfId="1727" builtinId="9" hidden="1"/>
    <cellStyle name="Followed Hyperlink" xfId="1729" builtinId="9" hidden="1"/>
    <cellStyle name="Followed Hyperlink" xfId="1731" builtinId="9" hidden="1"/>
    <cellStyle name="Followed Hyperlink" xfId="1733" builtinId="9" hidden="1"/>
    <cellStyle name="Followed Hyperlink" xfId="1735" builtinId="9" hidden="1"/>
    <cellStyle name="Followed Hyperlink" xfId="1737" builtinId="9" hidden="1"/>
    <cellStyle name="Followed Hyperlink" xfId="1739" builtinId="9" hidden="1"/>
    <cellStyle name="Followed Hyperlink" xfId="1741" builtinId="9" hidden="1"/>
    <cellStyle name="Followed Hyperlink" xfId="1743" builtinId="9" hidden="1"/>
    <cellStyle name="Followed Hyperlink" xfId="1745" builtinId="9" hidden="1"/>
    <cellStyle name="Followed Hyperlink" xfId="1747" builtinId="9" hidden="1"/>
    <cellStyle name="Followed Hyperlink" xfId="1749" builtinId="9" hidden="1"/>
    <cellStyle name="Followed Hyperlink" xfId="1751" builtinId="9" hidden="1"/>
    <cellStyle name="Followed Hyperlink" xfId="1753" builtinId="9" hidden="1"/>
    <cellStyle name="Followed Hyperlink" xfId="1755" builtinId="9" hidden="1"/>
    <cellStyle name="Followed Hyperlink" xfId="1757" builtinId="9" hidden="1"/>
    <cellStyle name="Followed Hyperlink" xfId="1759" builtinId="9" hidden="1"/>
    <cellStyle name="Followed Hyperlink" xfId="1761" builtinId="9" hidden="1"/>
    <cellStyle name="Followed Hyperlink" xfId="1763" builtinId="9" hidden="1"/>
    <cellStyle name="Followed Hyperlink" xfId="1765" builtinId="9" hidden="1"/>
    <cellStyle name="Followed Hyperlink" xfId="1767" builtinId="9" hidden="1"/>
    <cellStyle name="Followed Hyperlink" xfId="1769" builtinId="9" hidden="1"/>
    <cellStyle name="Followed Hyperlink" xfId="1771" builtinId="9" hidden="1"/>
    <cellStyle name="Followed Hyperlink" xfId="1773" builtinId="9" hidden="1"/>
    <cellStyle name="Followed Hyperlink" xfId="1775" builtinId="9" hidden="1"/>
    <cellStyle name="Followed Hyperlink" xfId="1777" builtinId="9" hidden="1"/>
    <cellStyle name="Followed Hyperlink" xfId="1779" builtinId="9" hidden="1"/>
    <cellStyle name="Followed Hyperlink" xfId="1781" builtinId="9" hidden="1"/>
    <cellStyle name="Followed Hyperlink" xfId="1783" builtinId="9" hidden="1"/>
    <cellStyle name="Followed Hyperlink" xfId="1785" builtinId="9" hidden="1"/>
    <cellStyle name="Followed Hyperlink" xfId="1787" builtinId="9" hidden="1"/>
    <cellStyle name="Followed Hyperlink" xfId="1789" builtinId="9" hidden="1"/>
    <cellStyle name="Followed Hyperlink" xfId="1791" builtinId="9" hidden="1"/>
    <cellStyle name="Followed Hyperlink" xfId="1793" builtinId="9" hidden="1"/>
    <cellStyle name="Followed Hyperlink" xfId="1795" builtinId="9" hidden="1"/>
    <cellStyle name="Followed Hyperlink" xfId="1797" builtinId="9" hidden="1"/>
    <cellStyle name="Followed Hyperlink" xfId="1799" builtinId="9" hidden="1"/>
    <cellStyle name="Followed Hyperlink" xfId="1801" builtinId="9" hidden="1"/>
    <cellStyle name="Followed Hyperlink" xfId="1803" builtinId="9" hidden="1"/>
    <cellStyle name="Followed Hyperlink" xfId="1805" builtinId="9" hidden="1"/>
    <cellStyle name="Followed Hyperlink" xfId="1807" builtinId="9" hidden="1"/>
    <cellStyle name="Followed Hyperlink" xfId="1809" builtinId="9" hidden="1"/>
    <cellStyle name="Followed Hyperlink" xfId="1811" builtinId="9" hidden="1"/>
    <cellStyle name="Followed Hyperlink" xfId="1813" builtinId="9" hidden="1"/>
    <cellStyle name="Followed Hyperlink" xfId="1815" builtinId="9" hidden="1"/>
    <cellStyle name="Followed Hyperlink" xfId="1817" builtinId="9" hidden="1"/>
    <cellStyle name="Followed Hyperlink" xfId="1819" builtinId="9" hidden="1"/>
    <cellStyle name="Followed Hyperlink" xfId="1821" builtinId="9" hidden="1"/>
    <cellStyle name="Followed Hyperlink" xfId="1823" builtinId="9" hidden="1"/>
    <cellStyle name="Followed Hyperlink" xfId="1825" builtinId="9" hidden="1"/>
    <cellStyle name="Followed Hyperlink" xfId="1827" builtinId="9" hidden="1"/>
    <cellStyle name="Followed Hyperlink" xfId="1829" builtinId="9" hidden="1"/>
    <cellStyle name="Followed Hyperlink" xfId="1831" builtinId="9" hidden="1"/>
    <cellStyle name="Followed Hyperlink" xfId="1833" builtinId="9" hidden="1"/>
    <cellStyle name="Followed Hyperlink" xfId="1835" builtinId="9" hidden="1"/>
    <cellStyle name="Followed Hyperlink" xfId="1837" builtinId="9" hidden="1"/>
    <cellStyle name="Followed Hyperlink" xfId="1839" builtinId="9" hidden="1"/>
    <cellStyle name="Followed Hyperlink" xfId="1841" builtinId="9" hidden="1"/>
    <cellStyle name="Followed Hyperlink" xfId="1843" builtinId="9" hidden="1"/>
    <cellStyle name="Followed Hyperlink" xfId="1845" builtinId="9" hidden="1"/>
    <cellStyle name="Followed Hyperlink" xfId="1847" builtinId="9" hidden="1"/>
    <cellStyle name="Followed Hyperlink" xfId="1849" builtinId="9" hidden="1"/>
    <cellStyle name="Followed Hyperlink" xfId="1851" builtinId="9" hidden="1"/>
    <cellStyle name="Followed Hyperlink" xfId="1853" builtinId="9" hidden="1"/>
    <cellStyle name="Followed Hyperlink" xfId="1855" builtinId="9" hidden="1"/>
    <cellStyle name="Followed Hyperlink" xfId="1857" builtinId="9" hidden="1"/>
    <cellStyle name="Followed Hyperlink" xfId="1859" builtinId="9" hidden="1"/>
    <cellStyle name="Followed Hyperlink" xfId="1861" builtinId="9" hidden="1"/>
    <cellStyle name="Followed Hyperlink" xfId="1863" builtinId="9" hidden="1"/>
    <cellStyle name="Followed Hyperlink" xfId="1865" builtinId="9" hidden="1"/>
    <cellStyle name="Followed Hyperlink" xfId="1867" builtinId="9" hidden="1"/>
    <cellStyle name="Followed Hyperlink" xfId="1869" builtinId="9" hidden="1"/>
    <cellStyle name="Followed Hyperlink" xfId="1871" builtinId="9" hidden="1"/>
    <cellStyle name="Followed Hyperlink" xfId="1873" builtinId="9" hidden="1"/>
    <cellStyle name="Followed Hyperlink" xfId="1875" builtinId="9" hidden="1"/>
    <cellStyle name="Followed Hyperlink" xfId="1877" builtinId="9" hidden="1"/>
    <cellStyle name="Followed Hyperlink" xfId="1879" builtinId="9" hidden="1"/>
    <cellStyle name="Followed Hyperlink" xfId="1881" builtinId="9" hidden="1"/>
    <cellStyle name="Followed Hyperlink" xfId="1883" builtinId="9" hidden="1"/>
    <cellStyle name="Followed Hyperlink" xfId="1885" builtinId="9" hidden="1"/>
    <cellStyle name="Followed Hyperlink" xfId="1887" builtinId="9" hidden="1"/>
    <cellStyle name="Followed Hyperlink" xfId="1889" builtinId="9" hidden="1"/>
    <cellStyle name="Followed Hyperlink" xfId="1891" builtinId="9" hidden="1"/>
    <cellStyle name="Followed Hyperlink" xfId="1893" builtinId="9" hidden="1"/>
    <cellStyle name="Followed Hyperlink" xfId="1895" builtinId="9" hidden="1"/>
    <cellStyle name="Followed Hyperlink" xfId="1897" builtinId="9" hidden="1"/>
    <cellStyle name="Followed Hyperlink" xfId="1899" builtinId="9" hidden="1"/>
    <cellStyle name="Followed Hyperlink" xfId="1901" builtinId="9" hidden="1"/>
    <cellStyle name="Followed Hyperlink" xfId="1903" builtinId="9" hidden="1"/>
    <cellStyle name="Followed Hyperlink" xfId="1905" builtinId="9" hidden="1"/>
    <cellStyle name="Followed Hyperlink" xfId="1907" builtinId="9" hidden="1"/>
    <cellStyle name="Followed Hyperlink" xfId="1909" builtinId="9" hidden="1"/>
    <cellStyle name="Followed Hyperlink" xfId="1911" builtinId="9" hidden="1"/>
    <cellStyle name="Followed Hyperlink" xfId="1913" builtinId="9" hidden="1"/>
    <cellStyle name="Followed Hyperlink" xfId="1915" builtinId="9" hidden="1"/>
    <cellStyle name="Followed Hyperlink" xfId="1917" builtinId="9" hidden="1"/>
    <cellStyle name="Followed Hyperlink" xfId="1919" builtinId="9" hidden="1"/>
    <cellStyle name="Followed Hyperlink" xfId="1921" builtinId="9" hidden="1"/>
    <cellStyle name="Followed Hyperlink" xfId="1923" builtinId="9" hidden="1"/>
    <cellStyle name="Followed Hyperlink" xfId="1925" builtinId="9" hidden="1"/>
    <cellStyle name="Followed Hyperlink" xfId="1927" builtinId="9" hidden="1"/>
    <cellStyle name="Followed Hyperlink" xfId="1929" builtinId="9" hidden="1"/>
    <cellStyle name="Followed Hyperlink" xfId="1931" builtinId="9" hidden="1"/>
    <cellStyle name="Followed Hyperlink" xfId="1933" builtinId="9" hidden="1"/>
    <cellStyle name="Followed Hyperlink" xfId="1935" builtinId="9" hidden="1"/>
    <cellStyle name="Followed Hyperlink" xfId="1937" builtinId="9" hidden="1"/>
    <cellStyle name="Followed Hyperlink" xfId="1939" builtinId="9" hidden="1"/>
    <cellStyle name="Followed Hyperlink" xfId="1941" builtinId="9" hidden="1"/>
    <cellStyle name="Followed Hyperlink" xfId="1943" builtinId="9" hidden="1"/>
    <cellStyle name="Followed Hyperlink" xfId="1945" builtinId="9" hidden="1"/>
    <cellStyle name="Followed Hyperlink" xfId="1947" builtinId="9" hidden="1"/>
    <cellStyle name="Followed Hyperlink" xfId="1949" builtinId="9" hidden="1"/>
    <cellStyle name="Followed Hyperlink" xfId="1951" builtinId="9" hidden="1"/>
    <cellStyle name="Followed Hyperlink" xfId="1953" builtinId="9" hidden="1"/>
    <cellStyle name="Followed Hyperlink" xfId="1955" builtinId="9" hidden="1"/>
    <cellStyle name="Followed Hyperlink" xfId="1957" builtinId="9" hidden="1"/>
    <cellStyle name="Followed Hyperlink" xfId="1959" builtinId="9" hidden="1"/>
    <cellStyle name="Followed Hyperlink" xfId="1961" builtinId="9" hidden="1"/>
    <cellStyle name="Followed Hyperlink" xfId="1963" builtinId="9" hidden="1"/>
    <cellStyle name="Followed Hyperlink" xfId="1965" builtinId="9" hidden="1"/>
    <cellStyle name="Followed Hyperlink" xfId="1967" builtinId="9" hidden="1"/>
    <cellStyle name="Followed Hyperlink" xfId="1969" builtinId="9" hidden="1"/>
    <cellStyle name="Followed Hyperlink" xfId="1971" builtinId="9" hidden="1"/>
    <cellStyle name="Followed Hyperlink" xfId="1973" builtinId="9" hidden="1"/>
    <cellStyle name="Followed Hyperlink" xfId="1975" builtinId="9" hidden="1"/>
    <cellStyle name="Followed Hyperlink" xfId="1977" builtinId="9" hidden="1"/>
    <cellStyle name="Followed Hyperlink" xfId="1979" builtinId="9" hidden="1"/>
    <cellStyle name="Followed Hyperlink" xfId="1981" builtinId="9" hidden="1"/>
    <cellStyle name="Followed Hyperlink" xfId="1983" builtinId="9" hidden="1"/>
    <cellStyle name="Followed Hyperlink" xfId="1985" builtinId="9" hidden="1"/>
    <cellStyle name="Followed Hyperlink" xfId="1987" builtinId="9" hidden="1"/>
    <cellStyle name="Followed Hyperlink" xfId="1989" builtinId="9" hidden="1"/>
    <cellStyle name="Followed Hyperlink" xfId="1991" builtinId="9" hidden="1"/>
    <cellStyle name="Followed Hyperlink" xfId="1993" builtinId="9" hidden="1"/>
    <cellStyle name="Followed Hyperlink" xfId="1995" builtinId="9" hidden="1"/>
    <cellStyle name="Followed Hyperlink" xfId="1997" builtinId="9" hidden="1"/>
    <cellStyle name="Followed Hyperlink" xfId="1999" builtinId="9" hidden="1"/>
    <cellStyle name="Followed Hyperlink" xfId="2001" builtinId="9" hidden="1"/>
    <cellStyle name="Followed Hyperlink" xfId="2003" builtinId="9" hidden="1"/>
    <cellStyle name="Followed Hyperlink" xfId="2005" builtinId="9" hidden="1"/>
    <cellStyle name="Followed Hyperlink" xfId="2007" builtinId="9" hidden="1"/>
    <cellStyle name="Followed Hyperlink" xfId="2009" builtinId="9" hidden="1"/>
    <cellStyle name="Followed Hyperlink" xfId="2011" builtinId="9" hidden="1"/>
    <cellStyle name="Followed Hyperlink" xfId="2013" builtinId="9" hidden="1"/>
    <cellStyle name="Followed Hyperlink" xfId="2015" builtinId="9" hidden="1"/>
    <cellStyle name="Followed Hyperlink" xfId="2017" builtinId="9" hidden="1"/>
    <cellStyle name="Followed Hyperlink" xfId="2019" builtinId="9" hidden="1"/>
    <cellStyle name="Followed Hyperlink" xfId="2021" builtinId="9" hidden="1"/>
    <cellStyle name="Followed Hyperlink" xfId="2023" builtinId="9" hidden="1"/>
    <cellStyle name="Followed Hyperlink" xfId="2025" builtinId="9" hidden="1"/>
    <cellStyle name="Followed Hyperlink" xfId="2027" builtinId="9" hidden="1"/>
    <cellStyle name="Followed Hyperlink" xfId="2029" builtinId="9" hidden="1"/>
    <cellStyle name="Followed Hyperlink" xfId="2031" builtinId="9" hidden="1"/>
    <cellStyle name="Followed Hyperlink" xfId="2033" builtinId="9" hidden="1"/>
    <cellStyle name="Followed Hyperlink" xfId="2035" builtinId="9" hidden="1"/>
    <cellStyle name="Followed Hyperlink" xfId="2037" builtinId="9" hidden="1"/>
    <cellStyle name="Followed Hyperlink" xfId="2039" builtinId="9" hidden="1"/>
    <cellStyle name="Followed Hyperlink" xfId="2041" builtinId="9" hidden="1"/>
    <cellStyle name="Followed Hyperlink" xfId="2043" builtinId="9" hidden="1"/>
    <cellStyle name="Followed Hyperlink" xfId="2045" builtinId="9" hidden="1"/>
    <cellStyle name="Followed Hyperlink" xfId="2047" builtinId="9" hidden="1"/>
    <cellStyle name="Followed Hyperlink" xfId="2049" builtinId="9" hidden="1"/>
    <cellStyle name="Followed Hyperlink" xfId="2051" builtinId="9" hidden="1"/>
    <cellStyle name="Followed Hyperlink" xfId="2053" builtinId="9" hidden="1"/>
    <cellStyle name="Followed Hyperlink" xfId="2055" builtinId="9" hidden="1"/>
    <cellStyle name="Followed Hyperlink" xfId="2057" builtinId="9" hidden="1"/>
    <cellStyle name="Followed Hyperlink" xfId="2059" builtinId="9" hidden="1"/>
    <cellStyle name="Followed Hyperlink" xfId="2061" builtinId="9" hidden="1"/>
    <cellStyle name="Followed Hyperlink" xfId="2063" builtinId="9" hidden="1"/>
    <cellStyle name="Followed Hyperlink" xfId="2065" builtinId="9" hidden="1"/>
    <cellStyle name="Followed Hyperlink" xfId="2067" builtinId="9" hidden="1"/>
    <cellStyle name="Followed Hyperlink" xfId="2069" builtinId="9" hidden="1"/>
    <cellStyle name="Followed Hyperlink" xfId="2071" builtinId="9" hidden="1"/>
    <cellStyle name="Followed Hyperlink" xfId="2073" builtinId="9" hidden="1"/>
    <cellStyle name="Followed Hyperlink" xfId="2075" builtinId="9" hidden="1"/>
    <cellStyle name="Followed Hyperlink" xfId="2077" builtinId="9" hidden="1"/>
    <cellStyle name="Followed Hyperlink" xfId="2079" builtinId="9" hidden="1"/>
    <cellStyle name="Followed Hyperlink" xfId="2081" builtinId="9" hidden="1"/>
    <cellStyle name="Followed Hyperlink" xfId="2083" builtinId="9" hidden="1"/>
    <cellStyle name="Followed Hyperlink" xfId="2085" builtinId="9" hidden="1"/>
    <cellStyle name="Followed Hyperlink" xfId="2087" builtinId="9" hidden="1"/>
    <cellStyle name="Followed Hyperlink" xfId="2089" builtinId="9" hidden="1"/>
    <cellStyle name="Followed Hyperlink" xfId="2091" builtinId="9" hidden="1"/>
    <cellStyle name="Followed Hyperlink" xfId="2093" builtinId="9" hidden="1"/>
    <cellStyle name="Followed Hyperlink" xfId="2095" builtinId="9" hidden="1"/>
    <cellStyle name="Followed Hyperlink" xfId="2097" builtinId="9" hidden="1"/>
    <cellStyle name="Followed Hyperlink" xfId="2099" builtinId="9" hidden="1"/>
    <cellStyle name="Followed Hyperlink" xfId="2101" builtinId="9" hidden="1"/>
    <cellStyle name="Followed Hyperlink" xfId="2103" builtinId="9" hidden="1"/>
    <cellStyle name="Followed Hyperlink" xfId="2105" builtinId="9" hidden="1"/>
    <cellStyle name="Followed Hyperlink" xfId="2107" builtinId="9" hidden="1"/>
    <cellStyle name="Followed Hyperlink" xfId="2109" builtinId="9" hidden="1"/>
    <cellStyle name="Followed Hyperlink" xfId="2111" builtinId="9" hidden="1"/>
    <cellStyle name="Followed Hyperlink" xfId="2113" builtinId="9" hidden="1"/>
    <cellStyle name="Followed Hyperlink" xfId="2115" builtinId="9" hidden="1"/>
    <cellStyle name="Followed Hyperlink" xfId="2117" builtinId="9" hidden="1"/>
    <cellStyle name="Followed Hyperlink" xfId="2119" builtinId="9" hidden="1"/>
    <cellStyle name="Followed Hyperlink" xfId="2121" builtinId="9" hidden="1"/>
    <cellStyle name="Followed Hyperlink" xfId="2123" builtinId="9" hidden="1"/>
    <cellStyle name="Followed Hyperlink" xfId="2125" builtinId="9" hidden="1"/>
    <cellStyle name="Followed Hyperlink" xfId="2127" builtinId="9" hidden="1"/>
    <cellStyle name="Followed Hyperlink" xfId="2129" builtinId="9" hidden="1"/>
    <cellStyle name="Followed Hyperlink" xfId="2131" builtinId="9" hidden="1"/>
    <cellStyle name="Followed Hyperlink" xfId="2133" builtinId="9" hidden="1"/>
    <cellStyle name="Followed Hyperlink" xfId="2135" builtinId="9" hidden="1"/>
    <cellStyle name="Followed Hyperlink" xfId="2137" builtinId="9" hidden="1"/>
    <cellStyle name="Followed Hyperlink" xfId="2139" builtinId="9" hidden="1"/>
    <cellStyle name="Followed Hyperlink" xfId="2141" builtinId="9" hidden="1"/>
    <cellStyle name="Followed Hyperlink" xfId="2143" builtinId="9" hidden="1"/>
    <cellStyle name="Followed Hyperlink" xfId="2145" builtinId="9" hidden="1"/>
    <cellStyle name="Followed Hyperlink" xfId="2147" builtinId="9" hidden="1"/>
    <cellStyle name="Followed Hyperlink" xfId="2149" builtinId="9" hidden="1"/>
    <cellStyle name="Followed Hyperlink" xfId="2151" builtinId="9" hidden="1"/>
    <cellStyle name="Followed Hyperlink" xfId="2153" builtinId="9" hidden="1"/>
    <cellStyle name="Followed Hyperlink" xfId="2155" builtinId="9" hidden="1"/>
    <cellStyle name="Followed Hyperlink" xfId="2157" builtinId="9" hidden="1"/>
    <cellStyle name="Followed Hyperlink" xfId="2159" builtinId="9" hidden="1"/>
    <cellStyle name="Followed Hyperlink" xfId="2161" builtinId="9" hidden="1"/>
    <cellStyle name="Followed Hyperlink" xfId="2163" builtinId="9" hidden="1"/>
    <cellStyle name="Followed Hyperlink" xfId="2165" builtinId="9" hidden="1"/>
    <cellStyle name="Followed Hyperlink" xfId="2167" builtinId="9" hidden="1"/>
    <cellStyle name="Followed Hyperlink" xfId="2169" builtinId="9" hidden="1"/>
    <cellStyle name="Followed Hyperlink" xfId="2171" builtinId="9" hidden="1"/>
    <cellStyle name="Followed Hyperlink" xfId="2173" builtinId="9" hidden="1"/>
    <cellStyle name="Followed Hyperlink" xfId="2175" builtinId="9" hidden="1"/>
    <cellStyle name="Followed Hyperlink" xfId="2177" builtinId="9" hidden="1"/>
    <cellStyle name="Followed Hyperlink" xfId="2179" builtinId="9" hidden="1"/>
    <cellStyle name="Followed Hyperlink" xfId="2181" builtinId="9" hidden="1"/>
    <cellStyle name="Followed Hyperlink" xfId="2183" builtinId="9" hidden="1"/>
    <cellStyle name="Followed Hyperlink" xfId="2185" builtinId="9" hidden="1"/>
    <cellStyle name="Followed Hyperlink" xfId="2187" builtinId="9" hidden="1"/>
    <cellStyle name="Followed Hyperlink" xfId="2189" builtinId="9" hidden="1"/>
    <cellStyle name="Followed Hyperlink" xfId="2191" builtinId="9" hidden="1"/>
    <cellStyle name="Followed Hyperlink" xfId="2193" builtinId="9" hidden="1"/>
    <cellStyle name="Followed Hyperlink" xfId="2195" builtinId="9" hidden="1"/>
    <cellStyle name="Followed Hyperlink" xfId="2197" builtinId="9" hidden="1"/>
    <cellStyle name="Followed Hyperlink" xfId="2199" builtinId="9" hidden="1"/>
    <cellStyle name="Followed Hyperlink" xfId="2201" builtinId="9" hidden="1"/>
    <cellStyle name="Followed Hyperlink" xfId="2203" builtinId="9" hidden="1"/>
    <cellStyle name="Followed Hyperlink" xfId="2205" builtinId="9" hidden="1"/>
    <cellStyle name="Followed Hyperlink" xfId="2207" builtinId="9" hidden="1"/>
    <cellStyle name="Followed Hyperlink" xfId="2209" builtinId="9" hidden="1"/>
    <cellStyle name="Followed Hyperlink" xfId="2211" builtinId="9" hidden="1"/>
    <cellStyle name="Followed Hyperlink" xfId="2213" builtinId="9" hidden="1"/>
    <cellStyle name="Followed Hyperlink" xfId="2215" builtinId="9" hidden="1"/>
    <cellStyle name="Followed Hyperlink" xfId="2217" builtinId="9" hidden="1"/>
    <cellStyle name="Followed Hyperlink" xfId="2219" builtinId="9" hidden="1"/>
    <cellStyle name="Followed Hyperlink" xfId="2221" builtinId="9" hidden="1"/>
    <cellStyle name="Followed Hyperlink" xfId="2223" builtinId="9" hidden="1"/>
    <cellStyle name="Followed Hyperlink" xfId="2225" builtinId="9" hidden="1"/>
    <cellStyle name="Followed Hyperlink" xfId="2227" builtinId="9" hidden="1"/>
    <cellStyle name="Followed Hyperlink" xfId="2229" builtinId="9" hidden="1"/>
    <cellStyle name="Followed Hyperlink" xfId="2231" builtinId="9" hidden="1"/>
    <cellStyle name="Followed Hyperlink" xfId="2233" builtinId="9" hidden="1"/>
    <cellStyle name="Followed Hyperlink" xfId="2235" builtinId="9" hidden="1"/>
    <cellStyle name="Followed Hyperlink" xfId="2237" builtinId="9" hidden="1"/>
    <cellStyle name="Followed Hyperlink" xfId="2239" builtinId="9" hidden="1"/>
    <cellStyle name="Followed Hyperlink" xfId="2241" builtinId="9" hidden="1"/>
    <cellStyle name="Followed Hyperlink" xfId="2243" builtinId="9" hidden="1"/>
    <cellStyle name="Followed Hyperlink" xfId="2245" builtinId="9" hidden="1"/>
    <cellStyle name="Followed Hyperlink" xfId="2247" builtinId="9" hidden="1"/>
    <cellStyle name="Followed Hyperlink" xfId="2249" builtinId="9" hidden="1"/>
    <cellStyle name="Followed Hyperlink" xfId="2251" builtinId="9" hidden="1"/>
    <cellStyle name="Followed Hyperlink" xfId="2253" builtinId="9" hidden="1"/>
    <cellStyle name="Followed Hyperlink" xfId="2255" builtinId="9" hidden="1"/>
    <cellStyle name="Followed Hyperlink" xfId="2257" builtinId="9" hidden="1"/>
    <cellStyle name="Followed Hyperlink" xfId="2259" builtinId="9" hidden="1"/>
    <cellStyle name="Followed Hyperlink" xfId="2261" builtinId="9" hidden="1"/>
    <cellStyle name="Followed Hyperlink" xfId="2263" builtinId="9" hidden="1"/>
    <cellStyle name="Followed Hyperlink" xfId="2265" builtinId="9" hidden="1"/>
    <cellStyle name="Followed Hyperlink" xfId="2267" builtinId="9" hidden="1"/>
    <cellStyle name="Followed Hyperlink" xfId="2269" builtinId="9" hidden="1"/>
    <cellStyle name="Followed Hyperlink" xfId="2271" builtinId="9" hidden="1"/>
    <cellStyle name="Followed Hyperlink" xfId="2273" builtinId="9" hidden="1"/>
    <cellStyle name="Followed Hyperlink" xfId="2275" builtinId="9" hidden="1"/>
    <cellStyle name="Followed Hyperlink" xfId="2277" builtinId="9" hidden="1"/>
    <cellStyle name="Followed Hyperlink" xfId="2279" builtinId="9" hidden="1"/>
    <cellStyle name="Followed Hyperlink" xfId="2281" builtinId="9" hidden="1"/>
    <cellStyle name="Followed Hyperlink" xfId="2283" builtinId="9" hidden="1"/>
    <cellStyle name="Followed Hyperlink" xfId="2285" builtinId="9" hidden="1"/>
    <cellStyle name="Followed Hyperlink" xfId="2287" builtinId="9" hidden="1"/>
    <cellStyle name="Followed Hyperlink" xfId="2289" builtinId="9" hidden="1"/>
    <cellStyle name="Followed Hyperlink" xfId="2291" builtinId="9" hidden="1"/>
    <cellStyle name="Followed Hyperlink" xfId="2293" builtinId="9" hidden="1"/>
    <cellStyle name="Followed Hyperlink" xfId="2295" builtinId="9" hidden="1"/>
    <cellStyle name="Followed Hyperlink" xfId="2297" builtinId="9" hidden="1"/>
    <cellStyle name="Followed Hyperlink" xfId="2299" builtinId="9" hidden="1"/>
    <cellStyle name="Followed Hyperlink" xfId="2301" builtinId="9" hidden="1"/>
    <cellStyle name="Followed Hyperlink" xfId="2303" builtinId="9" hidden="1"/>
    <cellStyle name="Followed Hyperlink" xfId="2305" builtinId="9" hidden="1"/>
    <cellStyle name="Followed Hyperlink" xfId="2307" builtinId="9" hidden="1"/>
    <cellStyle name="Followed Hyperlink" xfId="2309" builtinId="9" hidden="1"/>
    <cellStyle name="Followed Hyperlink" xfId="2311" builtinId="9" hidden="1"/>
    <cellStyle name="Followed Hyperlink" xfId="2313" builtinId="9" hidden="1"/>
    <cellStyle name="Followed Hyperlink" xfId="2315" builtinId="9" hidden="1"/>
    <cellStyle name="Followed Hyperlink" xfId="2317" builtinId="9" hidden="1"/>
    <cellStyle name="Followed Hyperlink" xfId="2319" builtinId="9" hidden="1"/>
    <cellStyle name="Followed Hyperlink" xfId="2321" builtinId="9" hidden="1"/>
    <cellStyle name="Followed Hyperlink" xfId="2323" builtinId="9" hidden="1"/>
    <cellStyle name="Followed Hyperlink" xfId="2325" builtinId="9" hidden="1"/>
    <cellStyle name="Followed Hyperlink" xfId="2327" builtinId="9" hidden="1"/>
    <cellStyle name="Followed Hyperlink" xfId="2329" builtinId="9" hidden="1"/>
    <cellStyle name="Followed Hyperlink" xfId="2331" builtinId="9" hidden="1"/>
    <cellStyle name="Followed Hyperlink" xfId="2333" builtinId="9" hidden="1"/>
    <cellStyle name="Followed Hyperlink" xfId="2335" builtinId="9" hidden="1"/>
    <cellStyle name="Followed Hyperlink" xfId="2337" builtinId="9" hidden="1"/>
    <cellStyle name="Followed Hyperlink" xfId="2339" builtinId="9" hidden="1"/>
    <cellStyle name="Followed Hyperlink" xfId="2341" builtinId="9" hidden="1"/>
    <cellStyle name="Followed Hyperlink" xfId="2343" builtinId="9" hidden="1"/>
    <cellStyle name="Followed Hyperlink" xfId="2345" builtinId="9" hidden="1"/>
    <cellStyle name="Followed Hyperlink" xfId="2347" builtinId="9" hidden="1"/>
    <cellStyle name="Followed Hyperlink" xfId="2349" builtinId="9" hidden="1"/>
    <cellStyle name="Followed Hyperlink" xfId="2351" builtinId="9" hidden="1"/>
    <cellStyle name="Followed Hyperlink" xfId="2353" builtinId="9" hidden="1"/>
    <cellStyle name="Followed Hyperlink" xfId="2355" builtinId="9" hidden="1"/>
    <cellStyle name="Followed Hyperlink" xfId="2357" builtinId="9" hidden="1"/>
    <cellStyle name="Followed Hyperlink" xfId="2359" builtinId="9" hidden="1"/>
    <cellStyle name="Followed Hyperlink" xfId="2361" builtinId="9" hidden="1"/>
    <cellStyle name="Followed Hyperlink" xfId="2363" builtinId="9" hidden="1"/>
    <cellStyle name="Followed Hyperlink" xfId="2365" builtinId="9" hidden="1"/>
    <cellStyle name="Followed Hyperlink" xfId="2367" builtinId="9" hidden="1"/>
    <cellStyle name="Followed Hyperlink" xfId="2369" builtinId="9" hidden="1"/>
    <cellStyle name="Followed Hyperlink" xfId="2371" builtinId="9" hidden="1"/>
    <cellStyle name="Followed Hyperlink" xfId="2373" builtinId="9" hidden="1"/>
    <cellStyle name="Followed Hyperlink" xfId="2375" builtinId="9" hidden="1"/>
    <cellStyle name="Followed Hyperlink" xfId="2377" builtinId="9" hidden="1"/>
    <cellStyle name="Followed Hyperlink" xfId="2379" builtinId="9" hidden="1"/>
    <cellStyle name="Followed Hyperlink" xfId="2381" builtinId="9" hidden="1"/>
    <cellStyle name="Followed Hyperlink" xfId="2383" builtinId="9" hidden="1"/>
    <cellStyle name="Followed Hyperlink" xfId="2385" builtinId="9" hidden="1"/>
    <cellStyle name="Followed Hyperlink" xfId="2387" builtinId="9" hidden="1"/>
    <cellStyle name="Followed Hyperlink" xfId="2389" builtinId="9" hidden="1"/>
    <cellStyle name="Followed Hyperlink" xfId="2391" builtinId="9" hidden="1"/>
    <cellStyle name="Followed Hyperlink" xfId="2393" builtinId="9" hidden="1"/>
    <cellStyle name="Followed Hyperlink" xfId="2395" builtinId="9" hidden="1"/>
    <cellStyle name="Followed Hyperlink" xfId="2397" builtinId="9" hidden="1"/>
    <cellStyle name="Followed Hyperlink" xfId="2399" builtinId="9" hidden="1"/>
    <cellStyle name="Followed Hyperlink" xfId="2401" builtinId="9" hidden="1"/>
    <cellStyle name="Followed Hyperlink" xfId="2403" builtinId="9" hidden="1"/>
    <cellStyle name="Followed Hyperlink" xfId="2405" builtinId="9" hidden="1"/>
    <cellStyle name="Followed Hyperlink" xfId="2407" builtinId="9" hidden="1"/>
    <cellStyle name="Followed Hyperlink" xfId="2409" builtinId="9" hidden="1"/>
    <cellStyle name="Followed Hyperlink" xfId="2411" builtinId="9" hidden="1"/>
    <cellStyle name="Followed Hyperlink" xfId="2413" builtinId="9" hidden="1"/>
    <cellStyle name="Followed Hyperlink" xfId="2415" builtinId="9" hidden="1"/>
    <cellStyle name="Followed Hyperlink" xfId="2417" builtinId="9" hidden="1"/>
    <cellStyle name="Followed Hyperlink" xfId="2419" builtinId="9" hidden="1"/>
    <cellStyle name="Followed Hyperlink" xfId="2421" builtinId="9" hidden="1"/>
    <cellStyle name="Followed Hyperlink" xfId="2423" builtinId="9" hidden="1"/>
    <cellStyle name="Followed Hyperlink" xfId="2425" builtinId="9" hidden="1"/>
    <cellStyle name="Followed Hyperlink" xfId="2427" builtinId="9" hidden="1"/>
    <cellStyle name="Followed Hyperlink" xfId="2429" builtinId="9" hidden="1"/>
    <cellStyle name="Followed Hyperlink" xfId="2431" builtinId="9" hidden="1"/>
    <cellStyle name="Followed Hyperlink" xfId="2433" builtinId="9" hidden="1"/>
    <cellStyle name="Followed Hyperlink" xfId="2435" builtinId="9" hidden="1"/>
    <cellStyle name="Followed Hyperlink" xfId="2437" builtinId="9" hidden="1"/>
    <cellStyle name="Followed Hyperlink" xfId="2439" builtinId="9" hidden="1"/>
    <cellStyle name="Followed Hyperlink" xfId="2441" builtinId="9" hidden="1"/>
    <cellStyle name="Followed Hyperlink" xfId="2443" builtinId="9" hidden="1"/>
    <cellStyle name="Followed Hyperlink" xfId="2445" builtinId="9" hidden="1"/>
    <cellStyle name="Followed Hyperlink" xfId="2447" builtinId="9" hidden="1"/>
    <cellStyle name="Followed Hyperlink" xfId="2449" builtinId="9" hidden="1"/>
    <cellStyle name="Followed Hyperlink" xfId="2451" builtinId="9" hidden="1"/>
    <cellStyle name="Followed Hyperlink" xfId="2453" builtinId="9" hidden="1"/>
    <cellStyle name="Followed Hyperlink" xfId="2455" builtinId="9" hidden="1"/>
    <cellStyle name="Followed Hyperlink" xfId="2457" builtinId="9" hidden="1"/>
    <cellStyle name="Followed Hyperlink" xfId="2459" builtinId="9" hidden="1"/>
    <cellStyle name="Followed Hyperlink" xfId="2461" builtinId="9" hidden="1"/>
    <cellStyle name="Followed Hyperlink" xfId="2463" builtinId="9" hidden="1"/>
    <cellStyle name="Followed Hyperlink" xfId="2465" builtinId="9" hidden="1"/>
    <cellStyle name="Followed Hyperlink" xfId="2467" builtinId="9" hidden="1"/>
    <cellStyle name="Followed Hyperlink" xfId="2469" builtinId="9" hidden="1"/>
    <cellStyle name="Followed Hyperlink" xfId="2471" builtinId="9" hidden="1"/>
    <cellStyle name="Followed Hyperlink" xfId="2473" builtinId="9" hidden="1"/>
    <cellStyle name="Followed Hyperlink" xfId="2475" builtinId="9" hidden="1"/>
    <cellStyle name="Followed Hyperlink" xfId="2477" builtinId="9" hidden="1"/>
    <cellStyle name="Followed Hyperlink" xfId="2479" builtinId="9" hidden="1"/>
    <cellStyle name="Followed Hyperlink" xfId="2481" builtinId="9" hidden="1"/>
    <cellStyle name="Followed Hyperlink" xfId="2483" builtinId="9" hidden="1"/>
    <cellStyle name="Followed Hyperlink" xfId="2485" builtinId="9" hidden="1"/>
    <cellStyle name="Followed Hyperlink" xfId="2487" builtinId="9" hidden="1"/>
    <cellStyle name="Followed Hyperlink" xfId="2489" builtinId="9" hidden="1"/>
    <cellStyle name="Followed Hyperlink" xfId="2491" builtinId="9" hidden="1"/>
    <cellStyle name="Followed Hyperlink" xfId="2493" builtinId="9" hidden="1"/>
    <cellStyle name="Followed Hyperlink" xfId="2495" builtinId="9" hidden="1"/>
    <cellStyle name="Followed Hyperlink" xfId="2497" builtinId="9" hidden="1"/>
    <cellStyle name="Followed Hyperlink" xfId="2499" builtinId="9" hidden="1"/>
    <cellStyle name="Followed Hyperlink" xfId="2501" builtinId="9" hidden="1"/>
    <cellStyle name="Followed Hyperlink" xfId="2503" builtinId="9" hidden="1"/>
    <cellStyle name="Followed Hyperlink" xfId="2505" builtinId="9" hidden="1"/>
    <cellStyle name="Followed Hyperlink" xfId="2507" builtinId="9" hidden="1"/>
    <cellStyle name="Followed Hyperlink" xfId="2509" builtinId="9" hidden="1"/>
    <cellStyle name="Followed Hyperlink" xfId="2511" builtinId="9" hidden="1"/>
    <cellStyle name="Followed Hyperlink" xfId="2513" builtinId="9" hidden="1"/>
    <cellStyle name="Followed Hyperlink" xfId="2515" builtinId="9" hidden="1"/>
    <cellStyle name="Followed Hyperlink" xfId="2517" builtinId="9" hidden="1"/>
    <cellStyle name="Followed Hyperlink" xfId="2519" builtinId="9" hidden="1"/>
    <cellStyle name="Followed Hyperlink" xfId="2521" builtinId="9" hidden="1"/>
    <cellStyle name="Followed Hyperlink" xfId="2523" builtinId="9" hidden="1"/>
    <cellStyle name="Followed Hyperlink" xfId="2525" builtinId="9" hidden="1"/>
    <cellStyle name="Followed Hyperlink" xfId="2527" builtinId="9" hidden="1"/>
    <cellStyle name="Followed Hyperlink" xfId="2529" builtinId="9" hidden="1"/>
    <cellStyle name="Followed Hyperlink" xfId="2531" builtinId="9" hidden="1"/>
    <cellStyle name="Followed Hyperlink" xfId="2533" builtinId="9" hidden="1"/>
    <cellStyle name="Followed Hyperlink" xfId="2535" builtinId="9" hidden="1"/>
    <cellStyle name="Followed Hyperlink" xfId="2537" builtinId="9" hidden="1"/>
    <cellStyle name="Followed Hyperlink" xfId="2539" builtinId="9" hidden="1"/>
    <cellStyle name="Followed Hyperlink" xfId="2541" builtinId="9" hidden="1"/>
    <cellStyle name="Followed Hyperlink" xfId="2543" builtinId="9" hidden="1"/>
    <cellStyle name="Followed Hyperlink" xfId="2545" builtinId="9" hidden="1"/>
    <cellStyle name="Followed Hyperlink" xfId="2547" builtinId="9" hidden="1"/>
    <cellStyle name="Followed Hyperlink" xfId="2549" builtinId="9" hidden="1"/>
    <cellStyle name="Followed Hyperlink" xfId="2551" builtinId="9" hidden="1"/>
    <cellStyle name="Followed Hyperlink" xfId="2553" builtinId="9" hidden="1"/>
    <cellStyle name="Followed Hyperlink" xfId="2555" builtinId="9" hidden="1"/>
    <cellStyle name="Followed Hyperlink" xfId="2557" builtinId="9" hidden="1"/>
    <cellStyle name="Followed Hyperlink" xfId="2559" builtinId="9" hidden="1"/>
    <cellStyle name="Followed Hyperlink" xfId="2561" builtinId="9" hidden="1"/>
    <cellStyle name="Followed Hyperlink" xfId="2563" builtinId="9" hidden="1"/>
    <cellStyle name="Followed Hyperlink" xfId="2565" builtinId="9" hidden="1"/>
    <cellStyle name="Followed Hyperlink" xfId="2567" builtinId="9" hidden="1"/>
    <cellStyle name="Followed Hyperlink" xfId="2569" builtinId="9" hidden="1"/>
    <cellStyle name="Followed Hyperlink" xfId="2571" builtinId="9" hidden="1"/>
    <cellStyle name="Followed Hyperlink" xfId="2573" builtinId="9" hidden="1"/>
    <cellStyle name="Followed Hyperlink" xfId="2575" builtinId="9" hidden="1"/>
    <cellStyle name="Followed Hyperlink" xfId="2577" builtinId="9" hidden="1"/>
    <cellStyle name="Followed Hyperlink" xfId="2579" builtinId="9" hidden="1"/>
    <cellStyle name="Followed Hyperlink" xfId="2581" builtinId="9" hidden="1"/>
    <cellStyle name="Followed Hyperlink" xfId="2583" builtinId="9" hidden="1"/>
    <cellStyle name="Followed Hyperlink" xfId="2585" builtinId="9" hidden="1"/>
    <cellStyle name="Followed Hyperlink" xfId="2587" builtinId="9" hidden="1"/>
    <cellStyle name="Followed Hyperlink" xfId="2589" builtinId="9" hidden="1"/>
    <cellStyle name="Followed Hyperlink" xfId="2591" builtinId="9" hidden="1"/>
    <cellStyle name="Followed Hyperlink" xfId="2593" builtinId="9" hidden="1"/>
    <cellStyle name="Followed Hyperlink" xfId="2595" builtinId="9" hidden="1"/>
    <cellStyle name="Followed Hyperlink" xfId="2597" builtinId="9" hidden="1"/>
    <cellStyle name="Followed Hyperlink" xfId="2599" builtinId="9" hidden="1"/>
    <cellStyle name="Followed Hyperlink" xfId="2601" builtinId="9" hidden="1"/>
    <cellStyle name="Followed Hyperlink" xfId="2603" builtinId="9" hidden="1"/>
    <cellStyle name="Followed Hyperlink" xfId="2605" builtinId="9" hidden="1"/>
    <cellStyle name="Followed Hyperlink" xfId="2607" builtinId="9" hidden="1"/>
    <cellStyle name="Followed Hyperlink" xfId="2609" builtinId="9" hidden="1"/>
    <cellStyle name="Followed Hyperlink" xfId="2611" builtinId="9" hidden="1"/>
    <cellStyle name="Followed Hyperlink" xfId="2613" builtinId="9" hidden="1"/>
    <cellStyle name="Followed Hyperlink" xfId="2615" builtinId="9" hidden="1"/>
    <cellStyle name="Followed Hyperlink" xfId="2617" builtinId="9" hidden="1"/>
    <cellStyle name="Followed Hyperlink" xfId="2619" builtinId="9" hidden="1"/>
    <cellStyle name="Followed Hyperlink" xfId="2621" builtinId="9" hidden="1"/>
    <cellStyle name="Followed Hyperlink" xfId="2623" builtinId="9" hidden="1"/>
    <cellStyle name="Followed Hyperlink" xfId="2625" builtinId="9" hidden="1"/>
    <cellStyle name="Followed Hyperlink" xfId="2627" builtinId="9" hidden="1"/>
    <cellStyle name="Followed Hyperlink" xfId="2629" builtinId="9" hidden="1"/>
    <cellStyle name="Followed Hyperlink" xfId="2631" builtinId="9" hidden="1"/>
    <cellStyle name="Followed Hyperlink" xfId="2633" builtinId="9" hidden="1"/>
    <cellStyle name="Followed Hyperlink" xfId="2635" builtinId="9" hidden="1"/>
    <cellStyle name="Followed Hyperlink" xfId="2637" builtinId="9" hidden="1"/>
    <cellStyle name="Followed Hyperlink" xfId="2639" builtinId="9" hidden="1"/>
    <cellStyle name="Followed Hyperlink" xfId="2641" builtinId="9" hidden="1"/>
    <cellStyle name="Followed Hyperlink" xfId="2643" builtinId="9" hidden="1"/>
    <cellStyle name="Followed Hyperlink" xfId="2645" builtinId="9" hidden="1"/>
    <cellStyle name="Followed Hyperlink" xfId="2647" builtinId="9" hidden="1"/>
    <cellStyle name="Followed Hyperlink" xfId="2649" builtinId="9" hidden="1"/>
    <cellStyle name="Followed Hyperlink" xfId="2651" builtinId="9" hidden="1"/>
    <cellStyle name="Followed Hyperlink" xfId="2653" builtinId="9" hidden="1"/>
    <cellStyle name="Followed Hyperlink" xfId="2655" builtinId="9" hidden="1"/>
    <cellStyle name="Followed Hyperlink" xfId="2657" builtinId="9" hidden="1"/>
    <cellStyle name="Followed Hyperlink" xfId="2659" builtinId="9" hidden="1"/>
    <cellStyle name="Followed Hyperlink" xfId="2661" builtinId="9" hidden="1"/>
    <cellStyle name="Followed Hyperlink" xfId="2663" builtinId="9" hidden="1"/>
    <cellStyle name="Followed Hyperlink" xfId="2665" builtinId="9" hidden="1"/>
    <cellStyle name="Followed Hyperlink" xfId="2667" builtinId="9" hidden="1"/>
    <cellStyle name="Followed Hyperlink" xfId="2669" builtinId="9" hidden="1"/>
    <cellStyle name="Followed Hyperlink" xfId="2671" builtinId="9" hidden="1"/>
    <cellStyle name="Followed Hyperlink" xfId="2673" builtinId="9" hidden="1"/>
    <cellStyle name="Followed Hyperlink" xfId="2675" builtinId="9" hidden="1"/>
    <cellStyle name="Followed Hyperlink" xfId="2677" builtinId="9" hidden="1"/>
    <cellStyle name="Followed Hyperlink" xfId="2679" builtinId="9" hidden="1"/>
    <cellStyle name="Followed Hyperlink" xfId="2681" builtinId="9" hidden="1"/>
    <cellStyle name="Followed Hyperlink" xfId="2683" builtinId="9" hidden="1"/>
    <cellStyle name="Followed Hyperlink" xfId="2685" builtinId="9" hidden="1"/>
    <cellStyle name="Followed Hyperlink" xfId="2687" builtinId="9" hidden="1"/>
    <cellStyle name="Followed Hyperlink" xfId="2689" builtinId="9" hidden="1"/>
    <cellStyle name="Followed Hyperlink" xfId="2691" builtinId="9" hidden="1"/>
    <cellStyle name="Followed Hyperlink" xfId="2693" builtinId="9" hidden="1"/>
    <cellStyle name="Followed Hyperlink" xfId="2695" builtinId="9" hidden="1"/>
    <cellStyle name="Followed Hyperlink" xfId="2697" builtinId="9" hidden="1"/>
    <cellStyle name="Followed Hyperlink" xfId="2699" builtinId="9" hidden="1"/>
    <cellStyle name="Followed Hyperlink" xfId="2701" builtinId="9" hidden="1"/>
    <cellStyle name="Followed Hyperlink" xfId="2703" builtinId="9" hidden="1"/>
    <cellStyle name="Followed Hyperlink" xfId="2705" builtinId="9" hidden="1"/>
    <cellStyle name="Followed Hyperlink" xfId="2707" builtinId="9" hidden="1"/>
    <cellStyle name="Followed Hyperlink" xfId="2709" builtinId="9" hidden="1"/>
    <cellStyle name="Followed Hyperlink" xfId="2711" builtinId="9" hidden="1"/>
    <cellStyle name="Followed Hyperlink" xfId="2713" builtinId="9" hidden="1"/>
    <cellStyle name="Followed Hyperlink" xfId="2715" builtinId="9" hidden="1"/>
    <cellStyle name="Followed Hyperlink" xfId="2717" builtinId="9" hidden="1"/>
    <cellStyle name="Followed Hyperlink" xfId="2719" builtinId="9" hidden="1"/>
    <cellStyle name="Followed Hyperlink" xfId="2721" builtinId="9" hidden="1"/>
    <cellStyle name="Followed Hyperlink" xfId="2723" builtinId="9" hidden="1"/>
    <cellStyle name="Followed Hyperlink" xfId="2725" builtinId="9" hidden="1"/>
    <cellStyle name="Followed Hyperlink" xfId="2727" builtinId="9" hidden="1"/>
    <cellStyle name="Followed Hyperlink" xfId="2729" builtinId="9" hidden="1"/>
    <cellStyle name="Followed Hyperlink" xfId="2731" builtinId="9" hidden="1"/>
    <cellStyle name="Followed Hyperlink" xfId="2733" builtinId="9" hidden="1"/>
    <cellStyle name="Followed Hyperlink" xfId="2735" builtinId="9" hidden="1"/>
    <cellStyle name="Followed Hyperlink" xfId="2737" builtinId="9" hidden="1"/>
    <cellStyle name="Followed Hyperlink" xfId="2739" builtinId="9" hidden="1"/>
    <cellStyle name="Followed Hyperlink" xfId="2741" builtinId="9" hidden="1"/>
    <cellStyle name="Followed Hyperlink" xfId="2743" builtinId="9" hidden="1"/>
    <cellStyle name="Followed Hyperlink" xfId="2745" builtinId="9" hidden="1"/>
    <cellStyle name="Followed Hyperlink" xfId="2747" builtinId="9" hidden="1"/>
    <cellStyle name="Followed Hyperlink" xfId="2749" builtinId="9" hidden="1"/>
    <cellStyle name="Followed Hyperlink" xfId="2751" builtinId="9" hidden="1"/>
    <cellStyle name="Followed Hyperlink" xfId="2753" builtinId="9" hidden="1"/>
    <cellStyle name="Followed Hyperlink" xfId="2755" builtinId="9" hidden="1"/>
    <cellStyle name="Followed Hyperlink" xfId="2757" builtinId="9" hidden="1"/>
    <cellStyle name="Followed Hyperlink" xfId="2759" builtinId="9" hidden="1"/>
    <cellStyle name="Followed Hyperlink" xfId="2761" builtinId="9" hidden="1"/>
    <cellStyle name="Followed Hyperlink" xfId="2763" builtinId="9" hidden="1"/>
    <cellStyle name="Followed Hyperlink" xfId="2765" builtinId="9" hidden="1"/>
    <cellStyle name="Followed Hyperlink" xfId="2767" builtinId="9" hidden="1"/>
    <cellStyle name="Followed Hyperlink" xfId="2769" builtinId="9" hidden="1"/>
    <cellStyle name="Followed Hyperlink" xfId="2771" builtinId="9" hidden="1"/>
    <cellStyle name="Followed Hyperlink" xfId="2773" builtinId="9" hidden="1"/>
    <cellStyle name="Followed Hyperlink" xfId="2775" builtinId="9" hidden="1"/>
    <cellStyle name="Followed Hyperlink" xfId="2777" builtinId="9" hidden="1"/>
    <cellStyle name="Followed Hyperlink" xfId="2779" builtinId="9" hidden="1"/>
    <cellStyle name="Followed Hyperlink" xfId="2781" builtinId="9" hidden="1"/>
    <cellStyle name="Followed Hyperlink" xfId="2783" builtinId="9" hidden="1"/>
    <cellStyle name="Followed Hyperlink" xfId="2785" builtinId="9" hidden="1"/>
    <cellStyle name="Followed Hyperlink" xfId="2787" builtinId="9" hidden="1"/>
    <cellStyle name="Followed Hyperlink" xfId="2789" builtinId="9" hidden="1"/>
    <cellStyle name="Followed Hyperlink" xfId="2791" builtinId="9" hidden="1"/>
    <cellStyle name="Followed Hyperlink" xfId="2793" builtinId="9" hidden="1"/>
    <cellStyle name="Followed Hyperlink" xfId="2795" builtinId="9" hidden="1"/>
    <cellStyle name="Followed Hyperlink" xfId="2797" builtinId="9" hidden="1"/>
    <cellStyle name="Followed Hyperlink" xfId="2799" builtinId="9" hidden="1"/>
    <cellStyle name="Followed Hyperlink" xfId="2801" builtinId="9" hidden="1"/>
    <cellStyle name="Followed Hyperlink" xfId="2803" builtinId="9" hidden="1"/>
    <cellStyle name="Followed Hyperlink" xfId="2805" builtinId="9" hidden="1"/>
    <cellStyle name="Followed Hyperlink" xfId="2807" builtinId="9" hidden="1"/>
    <cellStyle name="Followed Hyperlink" xfId="2809" builtinId="9" hidden="1"/>
    <cellStyle name="Followed Hyperlink" xfId="2811" builtinId="9" hidden="1"/>
    <cellStyle name="Followed Hyperlink" xfId="2813" builtinId="9" hidden="1"/>
    <cellStyle name="Followed Hyperlink" xfId="2815" builtinId="9" hidden="1"/>
    <cellStyle name="Followed Hyperlink" xfId="2817" builtinId="9" hidden="1"/>
    <cellStyle name="Followed Hyperlink" xfId="2819" builtinId="9" hidden="1"/>
    <cellStyle name="Followed Hyperlink" xfId="2821" builtinId="9" hidden="1"/>
    <cellStyle name="Followed Hyperlink" xfId="2823" builtinId="9" hidden="1"/>
    <cellStyle name="Followed Hyperlink" xfId="2825" builtinId="9" hidden="1"/>
    <cellStyle name="Followed Hyperlink" xfId="2827" builtinId="9" hidden="1"/>
    <cellStyle name="Followed Hyperlink" xfId="2829" builtinId="9" hidden="1"/>
    <cellStyle name="Followed Hyperlink" xfId="2831" builtinId="9" hidden="1"/>
    <cellStyle name="Followed Hyperlink" xfId="2833" builtinId="9" hidden="1"/>
    <cellStyle name="Followed Hyperlink" xfId="2835" builtinId="9" hidden="1"/>
    <cellStyle name="Followed Hyperlink" xfId="2837" builtinId="9" hidden="1"/>
    <cellStyle name="Followed Hyperlink" xfId="2839" builtinId="9" hidden="1"/>
    <cellStyle name="Followed Hyperlink" xfId="2841" builtinId="9" hidden="1"/>
    <cellStyle name="Followed Hyperlink" xfId="2843" builtinId="9" hidden="1"/>
    <cellStyle name="Followed Hyperlink" xfId="2845" builtinId="9" hidden="1"/>
    <cellStyle name="Followed Hyperlink" xfId="2847" builtinId="9" hidden="1"/>
    <cellStyle name="Followed Hyperlink" xfId="2849" builtinId="9" hidden="1"/>
    <cellStyle name="Followed Hyperlink" xfId="2851" builtinId="9" hidden="1"/>
    <cellStyle name="Followed Hyperlink" xfId="2853" builtinId="9" hidden="1"/>
    <cellStyle name="Followed Hyperlink" xfId="2855" builtinId="9" hidden="1"/>
    <cellStyle name="Followed Hyperlink" xfId="2857" builtinId="9" hidden="1"/>
    <cellStyle name="Followed Hyperlink" xfId="2859" builtinId="9" hidden="1"/>
    <cellStyle name="Followed Hyperlink" xfId="2861" builtinId="9" hidden="1"/>
    <cellStyle name="Followed Hyperlink" xfId="2863" builtinId="9" hidden="1"/>
    <cellStyle name="Followed Hyperlink" xfId="2865" builtinId="9" hidden="1"/>
    <cellStyle name="Followed Hyperlink" xfId="2867" builtinId="9" hidden="1"/>
    <cellStyle name="Followed Hyperlink" xfId="2869" builtinId="9" hidden="1"/>
    <cellStyle name="Followed Hyperlink" xfId="2871" builtinId="9" hidden="1"/>
    <cellStyle name="Followed Hyperlink" xfId="2873" builtinId="9" hidden="1"/>
    <cellStyle name="Followed Hyperlink" xfId="2875" builtinId="9" hidden="1"/>
    <cellStyle name="Followed Hyperlink" xfId="2877" builtinId="9" hidden="1"/>
    <cellStyle name="Followed Hyperlink" xfId="2879" builtinId="9" hidden="1"/>
    <cellStyle name="Followed Hyperlink" xfId="2881" builtinId="9" hidden="1"/>
    <cellStyle name="Followed Hyperlink" xfId="2883" builtinId="9" hidden="1"/>
    <cellStyle name="Followed Hyperlink" xfId="2885" builtinId="9" hidden="1"/>
    <cellStyle name="Followed Hyperlink" xfId="2887" builtinId="9" hidden="1"/>
    <cellStyle name="Followed Hyperlink" xfId="2889" builtinId="9" hidden="1"/>
    <cellStyle name="Followed Hyperlink" xfId="2891" builtinId="9" hidden="1"/>
    <cellStyle name="Followed Hyperlink" xfId="2893" builtinId="9" hidden="1"/>
    <cellStyle name="Followed Hyperlink" xfId="2895" builtinId="9" hidden="1"/>
    <cellStyle name="Followed Hyperlink" xfId="2897" builtinId="9" hidden="1"/>
    <cellStyle name="Followed Hyperlink" xfId="2899" builtinId="9" hidden="1"/>
    <cellStyle name="Followed Hyperlink" xfId="2901" builtinId="9" hidden="1"/>
    <cellStyle name="Followed Hyperlink" xfId="2903" builtinId="9" hidden="1"/>
    <cellStyle name="Followed Hyperlink" xfId="2905" builtinId="9" hidden="1"/>
    <cellStyle name="Followed Hyperlink" xfId="2907" builtinId="9" hidden="1"/>
    <cellStyle name="Followed Hyperlink" xfId="2909" builtinId="9" hidden="1"/>
    <cellStyle name="Followed Hyperlink" xfId="2911" builtinId="9" hidden="1"/>
    <cellStyle name="Followed Hyperlink" xfId="2913" builtinId="9" hidden="1"/>
    <cellStyle name="Followed Hyperlink" xfId="2915" builtinId="9" hidden="1"/>
    <cellStyle name="Followed Hyperlink" xfId="2917" builtinId="9" hidden="1"/>
    <cellStyle name="Followed Hyperlink" xfId="2919" builtinId="9" hidden="1"/>
    <cellStyle name="Followed Hyperlink" xfId="2921" builtinId="9" hidden="1"/>
    <cellStyle name="Followed Hyperlink" xfId="2923" builtinId="9" hidden="1"/>
    <cellStyle name="Followed Hyperlink" xfId="2925" builtinId="9" hidden="1"/>
    <cellStyle name="Followed Hyperlink" xfId="2927" builtinId="9" hidden="1"/>
    <cellStyle name="Followed Hyperlink" xfId="2929" builtinId="9" hidden="1"/>
    <cellStyle name="Followed Hyperlink" xfId="2931" builtinId="9" hidden="1"/>
    <cellStyle name="Followed Hyperlink" xfId="2933" builtinId="9" hidden="1"/>
    <cellStyle name="Followed Hyperlink" xfId="2935" builtinId="9" hidden="1"/>
    <cellStyle name="Followed Hyperlink" xfId="2937" builtinId="9" hidden="1"/>
    <cellStyle name="Followed Hyperlink" xfId="2939" builtinId="9" hidden="1"/>
    <cellStyle name="Followed Hyperlink" xfId="2941" builtinId="9" hidden="1"/>
    <cellStyle name="Followed Hyperlink" xfId="2943" builtinId="9" hidden="1"/>
    <cellStyle name="Followed Hyperlink" xfId="2945" builtinId="9" hidden="1"/>
    <cellStyle name="Followed Hyperlink" xfId="2947" builtinId="9" hidden="1"/>
    <cellStyle name="Followed Hyperlink" xfId="2949" builtinId="9" hidden="1"/>
    <cellStyle name="Followed Hyperlink" xfId="2951" builtinId="9" hidden="1"/>
    <cellStyle name="Followed Hyperlink" xfId="2953" builtinId="9" hidden="1"/>
    <cellStyle name="Followed Hyperlink" xfId="2955" builtinId="9" hidden="1"/>
    <cellStyle name="Followed Hyperlink" xfId="2957" builtinId="9" hidden="1"/>
    <cellStyle name="Followed Hyperlink" xfId="2959" builtinId="9" hidden="1"/>
    <cellStyle name="Followed Hyperlink" xfId="2961" builtinId="9" hidden="1"/>
    <cellStyle name="Followed Hyperlink" xfId="2963" builtinId="9" hidden="1"/>
    <cellStyle name="Followed Hyperlink" xfId="2965" builtinId="9" hidden="1"/>
    <cellStyle name="Followed Hyperlink" xfId="2967" builtinId="9" hidden="1"/>
    <cellStyle name="Followed Hyperlink" xfId="2969" builtinId="9" hidden="1"/>
    <cellStyle name="Followed Hyperlink" xfId="2971" builtinId="9" hidden="1"/>
    <cellStyle name="Followed Hyperlink" xfId="2973" builtinId="9" hidden="1"/>
    <cellStyle name="Followed Hyperlink" xfId="2975" builtinId="9" hidden="1"/>
    <cellStyle name="Followed Hyperlink" xfId="2977" builtinId="9" hidden="1"/>
    <cellStyle name="Followed Hyperlink" xfId="2979" builtinId="9" hidden="1"/>
    <cellStyle name="Followed Hyperlink" xfId="2981" builtinId="9" hidden="1"/>
    <cellStyle name="Followed Hyperlink" xfId="2983" builtinId="9" hidden="1"/>
    <cellStyle name="Followed Hyperlink" xfId="2985" builtinId="9" hidden="1"/>
    <cellStyle name="Followed Hyperlink" xfId="2987" builtinId="9" hidden="1"/>
    <cellStyle name="Followed Hyperlink" xfId="2989" builtinId="9" hidden="1"/>
    <cellStyle name="Followed Hyperlink" xfId="2991" builtinId="9" hidden="1"/>
    <cellStyle name="Followed Hyperlink" xfId="2993" builtinId="9" hidden="1"/>
    <cellStyle name="Followed Hyperlink" xfId="2995" builtinId="9" hidden="1"/>
    <cellStyle name="Followed Hyperlink" xfId="2997" builtinId="9" hidden="1"/>
    <cellStyle name="Followed Hyperlink" xfId="2999" builtinId="9" hidden="1"/>
    <cellStyle name="Followed Hyperlink" xfId="3001" builtinId="9" hidden="1"/>
    <cellStyle name="Followed Hyperlink" xfId="3003" builtinId="9" hidden="1"/>
    <cellStyle name="Followed Hyperlink" xfId="3005" builtinId="9" hidden="1"/>
    <cellStyle name="Followed Hyperlink" xfId="3007" builtinId="9" hidden="1"/>
    <cellStyle name="Followed Hyperlink" xfId="3009" builtinId="9" hidden="1"/>
    <cellStyle name="Followed Hyperlink" xfId="3011" builtinId="9" hidden="1"/>
    <cellStyle name="Followed Hyperlink" xfId="3013" builtinId="9" hidden="1"/>
    <cellStyle name="Followed Hyperlink" xfId="3015" builtinId="9" hidden="1"/>
    <cellStyle name="Followed Hyperlink" xfId="3017" builtinId="9" hidden="1"/>
    <cellStyle name="Followed Hyperlink" xfId="3019" builtinId="9" hidden="1"/>
    <cellStyle name="Followed Hyperlink" xfId="3021" builtinId="9" hidden="1"/>
    <cellStyle name="Followed Hyperlink" xfId="3023" builtinId="9" hidden="1"/>
    <cellStyle name="Followed Hyperlink" xfId="3025" builtinId="9" hidden="1"/>
    <cellStyle name="Followed Hyperlink" xfId="3027" builtinId="9" hidden="1"/>
    <cellStyle name="Followed Hyperlink" xfId="3029" builtinId="9" hidden="1"/>
    <cellStyle name="Followed Hyperlink" xfId="3031" builtinId="9" hidden="1"/>
    <cellStyle name="Followed Hyperlink" xfId="3033" builtinId="9" hidden="1"/>
    <cellStyle name="Followed Hyperlink" xfId="3035" builtinId="9" hidden="1"/>
    <cellStyle name="Followed Hyperlink" xfId="3037" builtinId="9" hidden="1"/>
    <cellStyle name="Followed Hyperlink" xfId="3039" builtinId="9" hidden="1"/>
    <cellStyle name="Followed Hyperlink" xfId="3041" builtinId="9" hidden="1"/>
    <cellStyle name="Followed Hyperlink" xfId="3043" builtinId="9" hidden="1"/>
    <cellStyle name="Followed Hyperlink" xfId="3045" builtinId="9" hidden="1"/>
    <cellStyle name="Followed Hyperlink" xfId="3047" builtinId="9" hidden="1"/>
    <cellStyle name="Followed Hyperlink" xfId="3049" builtinId="9" hidden="1"/>
    <cellStyle name="Followed Hyperlink" xfId="3051" builtinId="9" hidden="1"/>
    <cellStyle name="Followed Hyperlink" xfId="3053" builtinId="9" hidden="1"/>
    <cellStyle name="Followed Hyperlink" xfId="3055" builtinId="9" hidden="1"/>
    <cellStyle name="Followed Hyperlink" xfId="3057" builtinId="9" hidden="1"/>
    <cellStyle name="Followed Hyperlink" xfId="3059" builtinId="9" hidden="1"/>
    <cellStyle name="Followed Hyperlink" xfId="3061" builtinId="9" hidden="1"/>
    <cellStyle name="Followed Hyperlink" xfId="3063" builtinId="9" hidden="1"/>
    <cellStyle name="Followed Hyperlink" xfId="3065" builtinId="9" hidden="1"/>
    <cellStyle name="Followed Hyperlink" xfId="3067" builtinId="9" hidden="1"/>
    <cellStyle name="Followed Hyperlink" xfId="3069" builtinId="9" hidden="1"/>
    <cellStyle name="Followed Hyperlink" xfId="3071" builtinId="9" hidden="1"/>
    <cellStyle name="Followed Hyperlink" xfId="3073" builtinId="9" hidden="1"/>
    <cellStyle name="Followed Hyperlink" xfId="3075" builtinId="9" hidden="1"/>
    <cellStyle name="Followed Hyperlink" xfId="3077" builtinId="9" hidden="1"/>
    <cellStyle name="Followed Hyperlink" xfId="3079" builtinId="9" hidden="1"/>
    <cellStyle name="Followed Hyperlink" xfId="3081" builtinId="9" hidden="1"/>
    <cellStyle name="Followed Hyperlink" xfId="3083" builtinId="9" hidden="1"/>
    <cellStyle name="Followed Hyperlink" xfId="3085" builtinId="9" hidden="1"/>
    <cellStyle name="Followed Hyperlink" xfId="3087" builtinId="9" hidden="1"/>
    <cellStyle name="Followed Hyperlink" xfId="3089" builtinId="9" hidden="1"/>
    <cellStyle name="Followed Hyperlink" xfId="3091" builtinId="9" hidden="1"/>
    <cellStyle name="Followed Hyperlink" xfId="3093" builtinId="9" hidden="1"/>
    <cellStyle name="Followed Hyperlink" xfId="3095" builtinId="9" hidden="1"/>
    <cellStyle name="Followed Hyperlink" xfId="3097" builtinId="9" hidden="1"/>
    <cellStyle name="Followed Hyperlink" xfId="3099" builtinId="9" hidden="1"/>
    <cellStyle name="Followed Hyperlink" xfId="3101" builtinId="9" hidden="1"/>
    <cellStyle name="Followed Hyperlink" xfId="3103" builtinId="9" hidden="1"/>
    <cellStyle name="Followed Hyperlink" xfId="3105" builtinId="9" hidden="1"/>
    <cellStyle name="Followed Hyperlink" xfId="3107" builtinId="9" hidden="1"/>
    <cellStyle name="Followed Hyperlink" xfId="3109" builtinId="9" hidden="1"/>
    <cellStyle name="Followed Hyperlink" xfId="3111" builtinId="9" hidden="1"/>
    <cellStyle name="Followed Hyperlink" xfId="3113" builtinId="9" hidden="1"/>
    <cellStyle name="Followed Hyperlink" xfId="3115" builtinId="9" hidden="1"/>
    <cellStyle name="Followed Hyperlink" xfId="3117" builtinId="9" hidden="1"/>
    <cellStyle name="Followed Hyperlink" xfId="3119" builtinId="9" hidden="1"/>
    <cellStyle name="Followed Hyperlink" xfId="3121" builtinId="9" hidden="1"/>
    <cellStyle name="Followed Hyperlink" xfId="3123" builtinId="9" hidden="1"/>
    <cellStyle name="Followed Hyperlink" xfId="3125" builtinId="9" hidden="1"/>
    <cellStyle name="Followed Hyperlink" xfId="3127" builtinId="9" hidden="1"/>
    <cellStyle name="Followed Hyperlink" xfId="3129" builtinId="9" hidden="1"/>
    <cellStyle name="Followed Hyperlink" xfId="3131" builtinId="9" hidden="1"/>
    <cellStyle name="Followed Hyperlink" xfId="3133" builtinId="9" hidden="1"/>
    <cellStyle name="Followed Hyperlink" xfId="3135" builtinId="9" hidden="1"/>
    <cellStyle name="Followed Hyperlink" xfId="3137" builtinId="9" hidden="1"/>
    <cellStyle name="Followed Hyperlink" xfId="3139" builtinId="9" hidden="1"/>
    <cellStyle name="Followed Hyperlink" xfId="3141" builtinId="9" hidden="1"/>
    <cellStyle name="Followed Hyperlink" xfId="3143" builtinId="9" hidden="1"/>
    <cellStyle name="Followed Hyperlink" xfId="3145" builtinId="9" hidden="1"/>
    <cellStyle name="Followed Hyperlink" xfId="3147" builtinId="9" hidden="1"/>
    <cellStyle name="Followed Hyperlink" xfId="3149" builtinId="9" hidden="1"/>
    <cellStyle name="Followed Hyperlink" xfId="3151" builtinId="9" hidden="1"/>
    <cellStyle name="Followed Hyperlink" xfId="3153" builtinId="9" hidden="1"/>
    <cellStyle name="Followed Hyperlink" xfId="3155" builtinId="9" hidden="1"/>
    <cellStyle name="Followed Hyperlink" xfId="3157" builtinId="9" hidden="1"/>
    <cellStyle name="Followed Hyperlink" xfId="3159" builtinId="9" hidden="1"/>
    <cellStyle name="Followed Hyperlink" xfId="3161" builtinId="9" hidden="1"/>
    <cellStyle name="Followed Hyperlink" xfId="3163" builtinId="9" hidden="1"/>
    <cellStyle name="Followed Hyperlink" xfId="3165" builtinId="9" hidden="1"/>
    <cellStyle name="Followed Hyperlink" xfId="3167" builtinId="9" hidden="1"/>
    <cellStyle name="Followed Hyperlink" xfId="3169" builtinId="9" hidden="1"/>
    <cellStyle name="Followed Hyperlink" xfId="3171" builtinId="9" hidden="1"/>
    <cellStyle name="Followed Hyperlink" xfId="3173" builtinId="9" hidden="1"/>
    <cellStyle name="Followed Hyperlink" xfId="3175" builtinId="9" hidden="1"/>
    <cellStyle name="Followed Hyperlink" xfId="3177" builtinId="9" hidden="1"/>
    <cellStyle name="Followed Hyperlink" xfId="3179" builtinId="9" hidden="1"/>
    <cellStyle name="Followed Hyperlink" xfId="3181" builtinId="9" hidden="1"/>
    <cellStyle name="Followed Hyperlink" xfId="3183" builtinId="9" hidden="1"/>
    <cellStyle name="Followed Hyperlink" xfId="3185" builtinId="9" hidden="1"/>
    <cellStyle name="Followed Hyperlink" xfId="3187" builtinId="9" hidden="1"/>
    <cellStyle name="Followed Hyperlink" xfId="3189" builtinId="9" hidden="1"/>
    <cellStyle name="Followed Hyperlink" xfId="3191" builtinId="9" hidden="1"/>
    <cellStyle name="Followed Hyperlink" xfId="3193" builtinId="9" hidden="1"/>
    <cellStyle name="Followed Hyperlink" xfId="3195" builtinId="9" hidden="1"/>
    <cellStyle name="Followed Hyperlink" xfId="3197" builtinId="9" hidden="1"/>
    <cellStyle name="Followed Hyperlink" xfId="3199" builtinId="9" hidden="1"/>
    <cellStyle name="Followed Hyperlink" xfId="3201" builtinId="9" hidden="1"/>
    <cellStyle name="Followed Hyperlink" xfId="3203" builtinId="9" hidden="1"/>
    <cellStyle name="Followed Hyperlink" xfId="3205" builtinId="9" hidden="1"/>
    <cellStyle name="Followed Hyperlink" xfId="3207" builtinId="9" hidden="1"/>
    <cellStyle name="Followed Hyperlink" xfId="3209" builtinId="9" hidden="1"/>
    <cellStyle name="Followed Hyperlink" xfId="3211" builtinId="9" hidden="1"/>
    <cellStyle name="Followed Hyperlink" xfId="3213" builtinId="9" hidden="1"/>
    <cellStyle name="Followed Hyperlink" xfId="3215" builtinId="9" hidden="1"/>
    <cellStyle name="Followed Hyperlink" xfId="3217" builtinId="9" hidden="1"/>
    <cellStyle name="Followed Hyperlink" xfId="3219" builtinId="9" hidden="1"/>
    <cellStyle name="Followed Hyperlink" xfId="3221" builtinId="9" hidden="1"/>
    <cellStyle name="Followed Hyperlink" xfId="3223" builtinId="9" hidden="1"/>
    <cellStyle name="Followed Hyperlink" xfId="3225" builtinId="9" hidden="1"/>
    <cellStyle name="Followed Hyperlink" xfId="3227" builtinId="9" hidden="1"/>
    <cellStyle name="Followed Hyperlink" xfId="3229" builtinId="9" hidden="1"/>
    <cellStyle name="Followed Hyperlink" xfId="3231" builtinId="9" hidden="1"/>
    <cellStyle name="Followed Hyperlink" xfId="3233" builtinId="9" hidden="1"/>
    <cellStyle name="Followed Hyperlink" xfId="3235" builtinId="9" hidden="1"/>
    <cellStyle name="Followed Hyperlink" xfId="3237" builtinId="9" hidden="1"/>
    <cellStyle name="Followed Hyperlink" xfId="3239" builtinId="9" hidden="1"/>
    <cellStyle name="Followed Hyperlink" xfId="3241" builtinId="9" hidden="1"/>
    <cellStyle name="Followed Hyperlink" xfId="3243" builtinId="9" hidden="1"/>
    <cellStyle name="Followed Hyperlink" xfId="3245" builtinId="9" hidden="1"/>
    <cellStyle name="Followed Hyperlink" xfId="3247" builtinId="9" hidden="1"/>
    <cellStyle name="Followed Hyperlink" xfId="3249" builtinId="9" hidden="1"/>
    <cellStyle name="Followed Hyperlink" xfId="3251" builtinId="9" hidden="1"/>
    <cellStyle name="Followed Hyperlink" xfId="3253" builtinId="9" hidden="1"/>
    <cellStyle name="Followed Hyperlink" xfId="3255" builtinId="9" hidden="1"/>
    <cellStyle name="Followed Hyperlink" xfId="3257" builtinId="9" hidden="1"/>
    <cellStyle name="Followed Hyperlink" xfId="3259" builtinId="9" hidden="1"/>
    <cellStyle name="Followed Hyperlink" xfId="3261" builtinId="9" hidden="1"/>
    <cellStyle name="Followed Hyperlink" xfId="3263" builtinId="9" hidden="1"/>
    <cellStyle name="Followed Hyperlink" xfId="3265" builtinId="9" hidden="1"/>
    <cellStyle name="Followed Hyperlink" xfId="3267" builtinId="9" hidden="1"/>
    <cellStyle name="Followed Hyperlink" xfId="3269" builtinId="9" hidden="1"/>
    <cellStyle name="Followed Hyperlink" xfId="3271" builtinId="9" hidden="1"/>
    <cellStyle name="Followed Hyperlink" xfId="3273" builtinId="9" hidden="1"/>
    <cellStyle name="Followed Hyperlink" xfId="3275" builtinId="9" hidden="1"/>
    <cellStyle name="Followed Hyperlink" xfId="3277" builtinId="9" hidden="1"/>
    <cellStyle name="Followed Hyperlink" xfId="3279" builtinId="9" hidden="1"/>
    <cellStyle name="Followed Hyperlink" xfId="3281" builtinId="9" hidden="1"/>
    <cellStyle name="Followed Hyperlink" xfId="3283" builtinId="9" hidden="1"/>
    <cellStyle name="Followed Hyperlink" xfId="3285" builtinId="9" hidden="1"/>
    <cellStyle name="Followed Hyperlink" xfId="3287" builtinId="9" hidden="1"/>
    <cellStyle name="Followed Hyperlink" xfId="3289" builtinId="9" hidden="1"/>
    <cellStyle name="Followed Hyperlink" xfId="3291" builtinId="9" hidden="1"/>
    <cellStyle name="Followed Hyperlink" xfId="3293" builtinId="9" hidden="1"/>
    <cellStyle name="Followed Hyperlink" xfId="3295" builtinId="9" hidden="1"/>
    <cellStyle name="Followed Hyperlink" xfId="3297" builtinId="9" hidden="1"/>
    <cellStyle name="Followed Hyperlink" xfId="3299" builtinId="9" hidden="1"/>
    <cellStyle name="Followed Hyperlink" xfId="3301" builtinId="9" hidden="1"/>
    <cellStyle name="Followed Hyperlink" xfId="3303" builtinId="9" hidden="1"/>
    <cellStyle name="Followed Hyperlink" xfId="3305" builtinId="9" hidden="1"/>
    <cellStyle name="Followed Hyperlink" xfId="3307" builtinId="9" hidden="1"/>
    <cellStyle name="Followed Hyperlink" xfId="3309" builtinId="9" hidden="1"/>
    <cellStyle name="Followed Hyperlink" xfId="3311" builtinId="9" hidden="1"/>
    <cellStyle name="Followed Hyperlink" xfId="3313" builtinId="9" hidden="1"/>
    <cellStyle name="Followed Hyperlink" xfId="3315" builtinId="9" hidden="1"/>
    <cellStyle name="Followed Hyperlink" xfId="3317" builtinId="9" hidden="1"/>
    <cellStyle name="Followed Hyperlink" xfId="3319" builtinId="9" hidden="1"/>
    <cellStyle name="Followed Hyperlink" xfId="3321" builtinId="9" hidden="1"/>
    <cellStyle name="Followed Hyperlink" xfId="3323" builtinId="9" hidden="1"/>
    <cellStyle name="Followed Hyperlink" xfId="3325" builtinId="9" hidden="1"/>
    <cellStyle name="Followed Hyperlink" xfId="3327" builtinId="9" hidden="1"/>
    <cellStyle name="Followed Hyperlink" xfId="3329" builtinId="9" hidden="1"/>
    <cellStyle name="Followed Hyperlink" xfId="3331" builtinId="9" hidden="1"/>
    <cellStyle name="Followed Hyperlink" xfId="3333" builtinId="9" hidden="1"/>
    <cellStyle name="Followed Hyperlink" xfId="3335" builtinId="9" hidden="1"/>
    <cellStyle name="Followed Hyperlink" xfId="3337" builtinId="9" hidden="1"/>
    <cellStyle name="Followed Hyperlink" xfId="3339" builtinId="9" hidden="1"/>
    <cellStyle name="Followed Hyperlink" xfId="3341" builtinId="9" hidden="1"/>
    <cellStyle name="Followed Hyperlink" xfId="3343" builtinId="9" hidden="1"/>
    <cellStyle name="Followed Hyperlink" xfId="3345" builtinId="9" hidden="1"/>
    <cellStyle name="Followed Hyperlink" xfId="3347" builtinId="9" hidden="1"/>
    <cellStyle name="Followed Hyperlink" xfId="3349" builtinId="9" hidden="1"/>
    <cellStyle name="Followed Hyperlink" xfId="3351" builtinId="9" hidden="1"/>
    <cellStyle name="Followed Hyperlink" xfId="3353" builtinId="9" hidden="1"/>
    <cellStyle name="Followed Hyperlink" xfId="3355" builtinId="9" hidden="1"/>
    <cellStyle name="Followed Hyperlink" xfId="3357" builtinId="9" hidden="1"/>
    <cellStyle name="Followed Hyperlink" xfId="3359" builtinId="9" hidden="1"/>
    <cellStyle name="Followed Hyperlink" xfId="3361" builtinId="9" hidden="1"/>
    <cellStyle name="Followed Hyperlink" xfId="3363" builtinId="9" hidden="1"/>
    <cellStyle name="Followed Hyperlink" xfId="3365" builtinId="9" hidden="1"/>
    <cellStyle name="Followed Hyperlink" xfId="3367" builtinId="9" hidden="1"/>
    <cellStyle name="Followed Hyperlink" xfId="3369" builtinId="9" hidden="1"/>
    <cellStyle name="Followed Hyperlink" xfId="3371" builtinId="9" hidden="1"/>
    <cellStyle name="Followed Hyperlink" xfId="3373" builtinId="9" hidden="1"/>
    <cellStyle name="Followed Hyperlink" xfId="3375" builtinId="9" hidden="1"/>
    <cellStyle name="Followed Hyperlink" xfId="3377" builtinId="9" hidden="1"/>
    <cellStyle name="Followed Hyperlink" xfId="3379" builtinId="9" hidden="1"/>
    <cellStyle name="Followed Hyperlink" xfId="3381" builtinId="9" hidden="1"/>
    <cellStyle name="Followed Hyperlink" xfId="3383" builtinId="9" hidden="1"/>
    <cellStyle name="Followed Hyperlink" xfId="3385" builtinId="9" hidden="1"/>
    <cellStyle name="Followed Hyperlink" xfId="3387" builtinId="9" hidden="1"/>
    <cellStyle name="Followed Hyperlink" xfId="3389" builtinId="9" hidden="1"/>
    <cellStyle name="Followed Hyperlink" xfId="3391" builtinId="9" hidden="1"/>
    <cellStyle name="Followed Hyperlink" xfId="3393" builtinId="9" hidden="1"/>
    <cellStyle name="Followed Hyperlink" xfId="3395" builtinId="9" hidden="1"/>
    <cellStyle name="Followed Hyperlink" xfId="3397" builtinId="9" hidden="1"/>
    <cellStyle name="Followed Hyperlink" xfId="3399" builtinId="9" hidden="1"/>
    <cellStyle name="Followed Hyperlink" xfId="3401" builtinId="9" hidden="1"/>
    <cellStyle name="Followed Hyperlink" xfId="3403" builtinId="9" hidden="1"/>
    <cellStyle name="Followed Hyperlink" xfId="3405" builtinId="9" hidden="1"/>
    <cellStyle name="Followed Hyperlink" xfId="3407" builtinId="9" hidden="1"/>
    <cellStyle name="Followed Hyperlink" xfId="3409" builtinId="9" hidden="1"/>
    <cellStyle name="Followed Hyperlink" xfId="3411" builtinId="9" hidden="1"/>
    <cellStyle name="Followed Hyperlink" xfId="3413" builtinId="9" hidden="1"/>
    <cellStyle name="Followed Hyperlink" xfId="3415" builtinId="9" hidden="1"/>
    <cellStyle name="Followed Hyperlink" xfId="3417" builtinId="9" hidden="1"/>
    <cellStyle name="Followed Hyperlink" xfId="3419" builtinId="9" hidden="1"/>
    <cellStyle name="Followed Hyperlink" xfId="3421" builtinId="9" hidden="1"/>
    <cellStyle name="Followed Hyperlink" xfId="3423" builtinId="9" hidden="1"/>
    <cellStyle name="Followed Hyperlink" xfId="3425" builtinId="9" hidden="1"/>
    <cellStyle name="Followed Hyperlink" xfId="3427" builtinId="9" hidden="1"/>
    <cellStyle name="Followed Hyperlink" xfId="3429" builtinId="9" hidden="1"/>
    <cellStyle name="Followed Hyperlink" xfId="3431" builtinId="9" hidden="1"/>
    <cellStyle name="Followed Hyperlink" xfId="3433" builtinId="9" hidden="1"/>
    <cellStyle name="Followed Hyperlink" xfId="3435" builtinId="9" hidden="1"/>
    <cellStyle name="Followed Hyperlink" xfId="3437" builtinId="9" hidden="1"/>
    <cellStyle name="Followed Hyperlink" xfId="3439" builtinId="9" hidden="1"/>
    <cellStyle name="Followed Hyperlink" xfId="3441" builtinId="9" hidden="1"/>
    <cellStyle name="Followed Hyperlink" xfId="3443" builtinId="9" hidden="1"/>
    <cellStyle name="Followed Hyperlink" xfId="3445" builtinId="9" hidden="1"/>
    <cellStyle name="Followed Hyperlink" xfId="3447" builtinId="9" hidden="1"/>
    <cellStyle name="Followed Hyperlink" xfId="3449" builtinId="9" hidden="1"/>
    <cellStyle name="Followed Hyperlink" xfId="3451" builtinId="9" hidden="1"/>
    <cellStyle name="Followed Hyperlink" xfId="3453" builtinId="9" hidden="1"/>
    <cellStyle name="Followed Hyperlink" xfId="3455" builtinId="9" hidden="1"/>
    <cellStyle name="Followed Hyperlink" xfId="3457" builtinId="9" hidden="1"/>
    <cellStyle name="Followed Hyperlink" xfId="3459" builtinId="9" hidden="1"/>
    <cellStyle name="Followed Hyperlink" xfId="3461" builtinId="9" hidden="1"/>
    <cellStyle name="Followed Hyperlink" xfId="3463" builtinId="9" hidden="1"/>
    <cellStyle name="Followed Hyperlink" xfId="3465" builtinId="9" hidden="1"/>
    <cellStyle name="Followed Hyperlink" xfId="3467" builtinId="9" hidden="1"/>
    <cellStyle name="Followed Hyperlink" xfId="3469" builtinId="9" hidden="1"/>
    <cellStyle name="Followed Hyperlink" xfId="3471" builtinId="9" hidden="1"/>
    <cellStyle name="Followed Hyperlink" xfId="3473" builtinId="9" hidden="1"/>
    <cellStyle name="Followed Hyperlink" xfId="3475" builtinId="9" hidden="1"/>
    <cellStyle name="Followed Hyperlink" xfId="3477" builtinId="9" hidden="1"/>
    <cellStyle name="Followed Hyperlink" xfId="3479" builtinId="9" hidden="1"/>
    <cellStyle name="Followed Hyperlink" xfId="3481" builtinId="9" hidden="1"/>
    <cellStyle name="Followed Hyperlink" xfId="3483" builtinId="9" hidden="1"/>
    <cellStyle name="Followed Hyperlink" xfId="3485" builtinId="9" hidden="1"/>
    <cellStyle name="Followed Hyperlink" xfId="3487" builtinId="9" hidden="1"/>
    <cellStyle name="Followed Hyperlink" xfId="3489" builtinId="9" hidden="1"/>
    <cellStyle name="Followed Hyperlink" xfId="3491" builtinId="9" hidden="1"/>
    <cellStyle name="Followed Hyperlink" xfId="3493" builtinId="9" hidden="1"/>
    <cellStyle name="Followed Hyperlink" xfId="3495" builtinId="9" hidden="1"/>
    <cellStyle name="Followed Hyperlink" xfId="3497" builtinId="9" hidden="1"/>
    <cellStyle name="Followed Hyperlink" xfId="3499" builtinId="9" hidden="1"/>
    <cellStyle name="Followed Hyperlink" xfId="3501" builtinId="9" hidden="1"/>
    <cellStyle name="Followed Hyperlink" xfId="3503" builtinId="9" hidden="1"/>
    <cellStyle name="Followed Hyperlink" xfId="3505" builtinId="9" hidden="1"/>
    <cellStyle name="Followed Hyperlink" xfId="3507" builtinId="9" hidden="1"/>
    <cellStyle name="Followed Hyperlink" xfId="3509" builtinId="9" hidden="1"/>
    <cellStyle name="Followed Hyperlink" xfId="3511" builtinId="9" hidden="1"/>
    <cellStyle name="Followed Hyperlink" xfId="3513" builtinId="9" hidden="1"/>
    <cellStyle name="Followed Hyperlink" xfId="3515" builtinId="9" hidden="1"/>
    <cellStyle name="Followed Hyperlink" xfId="3517" builtinId="9" hidden="1"/>
    <cellStyle name="Followed Hyperlink" xfId="3519" builtinId="9" hidden="1"/>
    <cellStyle name="Followed Hyperlink" xfId="3521" builtinId="9" hidden="1"/>
    <cellStyle name="Followed Hyperlink" xfId="3523" builtinId="9" hidden="1"/>
    <cellStyle name="Followed Hyperlink" xfId="3525" builtinId="9" hidden="1"/>
    <cellStyle name="Followed Hyperlink" xfId="3527" builtinId="9" hidden="1"/>
    <cellStyle name="Followed Hyperlink" xfId="3529" builtinId="9" hidden="1"/>
    <cellStyle name="Followed Hyperlink" xfId="3531" builtinId="9" hidden="1"/>
    <cellStyle name="Followed Hyperlink" xfId="3533" builtinId="9" hidden="1"/>
    <cellStyle name="Followed Hyperlink" xfId="3535" builtinId="9" hidden="1"/>
    <cellStyle name="Followed Hyperlink" xfId="3537" builtinId="9" hidden="1"/>
    <cellStyle name="Followed Hyperlink" xfId="3539" builtinId="9" hidden="1"/>
    <cellStyle name="Followed Hyperlink" xfId="3541" builtinId="9" hidden="1"/>
    <cellStyle name="Followed Hyperlink" xfId="3543" builtinId="9" hidden="1"/>
    <cellStyle name="Followed Hyperlink" xfId="3545" builtinId="9" hidden="1"/>
    <cellStyle name="Followed Hyperlink" xfId="3547" builtinId="9" hidden="1"/>
    <cellStyle name="Followed Hyperlink" xfId="3549" builtinId="9" hidden="1"/>
    <cellStyle name="Followed Hyperlink" xfId="3551" builtinId="9" hidden="1"/>
    <cellStyle name="Followed Hyperlink" xfId="3553" builtinId="9" hidden="1"/>
    <cellStyle name="Followed Hyperlink" xfId="3555" builtinId="9" hidden="1"/>
    <cellStyle name="Followed Hyperlink" xfId="3557" builtinId="9" hidden="1"/>
    <cellStyle name="Followed Hyperlink" xfId="3559" builtinId="9" hidden="1"/>
    <cellStyle name="Followed Hyperlink" xfId="3561" builtinId="9" hidden="1"/>
    <cellStyle name="Followed Hyperlink" xfId="3563" builtinId="9" hidden="1"/>
    <cellStyle name="Followed Hyperlink" xfId="3565" builtinId="9" hidden="1"/>
    <cellStyle name="Followed Hyperlink" xfId="3567" builtinId="9" hidden="1"/>
    <cellStyle name="Followed Hyperlink" xfId="3569" builtinId="9" hidden="1"/>
    <cellStyle name="Followed Hyperlink" xfId="3571" builtinId="9" hidden="1"/>
    <cellStyle name="Followed Hyperlink" xfId="3573" builtinId="9" hidden="1"/>
    <cellStyle name="Followed Hyperlink" xfId="3575" builtinId="9" hidden="1"/>
    <cellStyle name="Followed Hyperlink" xfId="3577" builtinId="9" hidden="1"/>
    <cellStyle name="Followed Hyperlink" xfId="3579" builtinId="9" hidden="1"/>
    <cellStyle name="Followed Hyperlink" xfId="3581" builtinId="9" hidden="1"/>
    <cellStyle name="Followed Hyperlink" xfId="3583" builtinId="9" hidden="1"/>
    <cellStyle name="Followed Hyperlink" xfId="3585" builtinId="9" hidden="1"/>
    <cellStyle name="Followed Hyperlink" xfId="3587" builtinId="9" hidden="1"/>
    <cellStyle name="Followed Hyperlink" xfId="3589" builtinId="9" hidden="1"/>
    <cellStyle name="Followed Hyperlink" xfId="3591" builtinId="9" hidden="1"/>
    <cellStyle name="Followed Hyperlink" xfId="3593" builtinId="9" hidden="1"/>
    <cellStyle name="Followed Hyperlink" xfId="3595" builtinId="9" hidden="1"/>
    <cellStyle name="Followed Hyperlink" xfId="3597" builtinId="9" hidden="1"/>
    <cellStyle name="Followed Hyperlink" xfId="3599" builtinId="9" hidden="1"/>
    <cellStyle name="Followed Hyperlink" xfId="3601" builtinId="9" hidden="1"/>
    <cellStyle name="Followed Hyperlink" xfId="3603" builtinId="9" hidden="1"/>
    <cellStyle name="Followed Hyperlink" xfId="3605" builtinId="9" hidden="1"/>
    <cellStyle name="Followed Hyperlink" xfId="3607" builtinId="9" hidden="1"/>
    <cellStyle name="Followed Hyperlink" xfId="3609" builtinId="9" hidden="1"/>
    <cellStyle name="Followed Hyperlink" xfId="3611" builtinId="9" hidden="1"/>
    <cellStyle name="Followed Hyperlink" xfId="3613" builtinId="9" hidden="1"/>
    <cellStyle name="Followed Hyperlink" xfId="3615" builtinId="9" hidden="1"/>
    <cellStyle name="Followed Hyperlink" xfId="3617" builtinId="9" hidden="1"/>
    <cellStyle name="Followed Hyperlink" xfId="3619" builtinId="9" hidden="1"/>
    <cellStyle name="Followed Hyperlink" xfId="3621" builtinId="9" hidden="1"/>
    <cellStyle name="Followed Hyperlink" xfId="3623" builtinId="9" hidden="1"/>
    <cellStyle name="Followed Hyperlink" xfId="3625" builtinId="9" hidden="1"/>
    <cellStyle name="Followed Hyperlink" xfId="3627" builtinId="9" hidden="1"/>
    <cellStyle name="Followed Hyperlink" xfId="3629" builtinId="9" hidden="1"/>
    <cellStyle name="Followed Hyperlink" xfId="3631" builtinId="9" hidden="1"/>
    <cellStyle name="Followed Hyperlink" xfId="3633" builtinId="9" hidden="1"/>
    <cellStyle name="Followed Hyperlink" xfId="3635" builtinId="9" hidden="1"/>
    <cellStyle name="Followed Hyperlink" xfId="3637" builtinId="9" hidden="1"/>
    <cellStyle name="Followed Hyperlink" xfId="3639" builtinId="9" hidden="1"/>
    <cellStyle name="Followed Hyperlink" xfId="3641" builtinId="9" hidden="1"/>
    <cellStyle name="Followed Hyperlink" xfId="3643" builtinId="9" hidden="1"/>
    <cellStyle name="Followed Hyperlink" xfId="3645" builtinId="9" hidden="1"/>
    <cellStyle name="Followed Hyperlink" xfId="3647" builtinId="9" hidden="1"/>
    <cellStyle name="Followed Hyperlink" xfId="3649" builtinId="9" hidden="1"/>
    <cellStyle name="Followed Hyperlink" xfId="3651" builtinId="9" hidden="1"/>
    <cellStyle name="Followed Hyperlink" xfId="3653"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2" builtinId="8" hidden="1"/>
    <cellStyle name="Hyperlink" xfId="974" builtinId="8" hidden="1"/>
    <cellStyle name="Hyperlink" xfId="976" builtinId="8" hidden="1"/>
    <cellStyle name="Hyperlink" xfId="978" builtinId="8" hidden="1"/>
    <cellStyle name="Hyperlink" xfId="980" builtinId="8" hidden="1"/>
    <cellStyle name="Hyperlink" xfId="982" builtinId="8" hidden="1"/>
    <cellStyle name="Hyperlink" xfId="984" builtinId="8" hidden="1"/>
    <cellStyle name="Hyperlink" xfId="986" builtinId="8" hidden="1"/>
    <cellStyle name="Hyperlink" xfId="988" builtinId="8" hidden="1"/>
    <cellStyle name="Hyperlink" xfId="990" builtinId="8" hidden="1"/>
    <cellStyle name="Hyperlink" xfId="992" builtinId="8" hidden="1"/>
    <cellStyle name="Hyperlink" xfId="994" builtinId="8" hidden="1"/>
    <cellStyle name="Hyperlink" xfId="996" builtinId="8" hidden="1"/>
    <cellStyle name="Hyperlink" xfId="998" builtinId="8" hidden="1"/>
    <cellStyle name="Hyperlink" xfId="1000" builtinId="8" hidden="1"/>
    <cellStyle name="Hyperlink" xfId="1002" builtinId="8" hidden="1"/>
    <cellStyle name="Hyperlink" xfId="1004" builtinId="8" hidden="1"/>
    <cellStyle name="Hyperlink" xfId="1006" builtinId="8" hidden="1"/>
    <cellStyle name="Hyperlink" xfId="1008" builtinId="8" hidden="1"/>
    <cellStyle name="Hyperlink" xfId="1010" builtinId="8" hidden="1"/>
    <cellStyle name="Hyperlink" xfId="1012" builtinId="8" hidden="1"/>
    <cellStyle name="Hyperlink" xfId="1014" builtinId="8" hidden="1"/>
    <cellStyle name="Hyperlink" xfId="1016" builtinId="8" hidden="1"/>
    <cellStyle name="Hyperlink" xfId="1018" builtinId="8" hidden="1"/>
    <cellStyle name="Hyperlink" xfId="1020" builtinId="8" hidden="1"/>
    <cellStyle name="Hyperlink" xfId="1022" builtinId="8" hidden="1"/>
    <cellStyle name="Hyperlink" xfId="1024" builtinId="8" hidden="1"/>
    <cellStyle name="Hyperlink" xfId="1026" builtinId="8" hidden="1"/>
    <cellStyle name="Hyperlink" xfId="1028" builtinId="8" hidden="1"/>
    <cellStyle name="Hyperlink" xfId="1030" builtinId="8" hidden="1"/>
    <cellStyle name="Hyperlink" xfId="1032" builtinId="8" hidden="1"/>
    <cellStyle name="Hyperlink" xfId="1034" builtinId="8" hidden="1"/>
    <cellStyle name="Hyperlink" xfId="1036" builtinId="8" hidden="1"/>
    <cellStyle name="Hyperlink" xfId="1038" builtinId="8" hidden="1"/>
    <cellStyle name="Hyperlink" xfId="1040" builtinId="8" hidden="1"/>
    <cellStyle name="Hyperlink" xfId="1042" builtinId="8" hidden="1"/>
    <cellStyle name="Hyperlink" xfId="1044" builtinId="8" hidden="1"/>
    <cellStyle name="Hyperlink" xfId="1046" builtinId="8" hidden="1"/>
    <cellStyle name="Hyperlink" xfId="1048" builtinId="8" hidden="1"/>
    <cellStyle name="Hyperlink" xfId="1050" builtinId="8" hidden="1"/>
    <cellStyle name="Hyperlink" xfId="1052" builtinId="8" hidden="1"/>
    <cellStyle name="Hyperlink" xfId="1054" builtinId="8" hidden="1"/>
    <cellStyle name="Hyperlink" xfId="1056" builtinId="8" hidden="1"/>
    <cellStyle name="Hyperlink" xfId="1058" builtinId="8" hidden="1"/>
    <cellStyle name="Hyperlink" xfId="1060" builtinId="8" hidden="1"/>
    <cellStyle name="Hyperlink" xfId="1062" builtinId="8" hidden="1"/>
    <cellStyle name="Hyperlink" xfId="1064" builtinId="8" hidden="1"/>
    <cellStyle name="Hyperlink" xfId="1066" builtinId="8" hidden="1"/>
    <cellStyle name="Hyperlink" xfId="1068" builtinId="8" hidden="1"/>
    <cellStyle name="Hyperlink" xfId="1070" builtinId="8" hidden="1"/>
    <cellStyle name="Hyperlink" xfId="1072" builtinId="8" hidden="1"/>
    <cellStyle name="Hyperlink" xfId="1074" builtinId="8" hidden="1"/>
    <cellStyle name="Hyperlink" xfId="1076" builtinId="8" hidden="1"/>
    <cellStyle name="Hyperlink" xfId="1078" builtinId="8" hidden="1"/>
    <cellStyle name="Hyperlink" xfId="1080" builtinId="8" hidden="1"/>
    <cellStyle name="Hyperlink" xfId="1082" builtinId="8" hidden="1"/>
    <cellStyle name="Hyperlink" xfId="1084" builtinId="8" hidden="1"/>
    <cellStyle name="Hyperlink" xfId="1086" builtinId="8" hidden="1"/>
    <cellStyle name="Hyperlink" xfId="1088" builtinId="8" hidden="1"/>
    <cellStyle name="Hyperlink" xfId="1090" builtinId="8" hidden="1"/>
    <cellStyle name="Hyperlink" xfId="1092" builtinId="8" hidden="1"/>
    <cellStyle name="Hyperlink" xfId="1094" builtinId="8" hidden="1"/>
    <cellStyle name="Hyperlink" xfId="1096" builtinId="8" hidden="1"/>
    <cellStyle name="Hyperlink" xfId="1098" builtinId="8" hidden="1"/>
    <cellStyle name="Hyperlink" xfId="1100" builtinId="8" hidden="1"/>
    <cellStyle name="Hyperlink" xfId="1102" builtinId="8" hidden="1"/>
    <cellStyle name="Hyperlink" xfId="1104" builtinId="8" hidden="1"/>
    <cellStyle name="Hyperlink" xfId="1106" builtinId="8" hidden="1"/>
    <cellStyle name="Hyperlink" xfId="1108" builtinId="8" hidden="1"/>
    <cellStyle name="Hyperlink" xfId="1110" builtinId="8" hidden="1"/>
    <cellStyle name="Hyperlink" xfId="1112" builtinId="8" hidden="1"/>
    <cellStyle name="Hyperlink" xfId="1114" builtinId="8" hidden="1"/>
    <cellStyle name="Hyperlink" xfId="1116" builtinId="8" hidden="1"/>
    <cellStyle name="Hyperlink" xfId="1118" builtinId="8" hidden="1"/>
    <cellStyle name="Hyperlink" xfId="1120" builtinId="8" hidden="1"/>
    <cellStyle name="Hyperlink" xfId="1122" builtinId="8" hidden="1"/>
    <cellStyle name="Hyperlink" xfId="1124" builtinId="8" hidden="1"/>
    <cellStyle name="Hyperlink" xfId="1126" builtinId="8" hidden="1"/>
    <cellStyle name="Hyperlink" xfId="1128" builtinId="8" hidden="1"/>
    <cellStyle name="Hyperlink" xfId="1130" builtinId="8" hidden="1"/>
    <cellStyle name="Hyperlink" xfId="1132" builtinId="8" hidden="1"/>
    <cellStyle name="Hyperlink" xfId="1134" builtinId="8" hidden="1"/>
    <cellStyle name="Hyperlink" xfId="1136" builtinId="8" hidden="1"/>
    <cellStyle name="Hyperlink" xfId="1138" builtinId="8" hidden="1"/>
    <cellStyle name="Hyperlink" xfId="1140" builtinId="8" hidden="1"/>
    <cellStyle name="Hyperlink" xfId="1142" builtinId="8" hidden="1"/>
    <cellStyle name="Hyperlink" xfId="1144" builtinId="8" hidden="1"/>
    <cellStyle name="Hyperlink" xfId="1146" builtinId="8" hidden="1"/>
    <cellStyle name="Hyperlink" xfId="1148" builtinId="8" hidden="1"/>
    <cellStyle name="Hyperlink" xfId="1150" builtinId="8" hidden="1"/>
    <cellStyle name="Hyperlink" xfId="1152" builtinId="8" hidden="1"/>
    <cellStyle name="Hyperlink" xfId="1154" builtinId="8" hidden="1"/>
    <cellStyle name="Hyperlink" xfId="1156" builtinId="8" hidden="1"/>
    <cellStyle name="Hyperlink" xfId="1158" builtinId="8" hidden="1"/>
    <cellStyle name="Hyperlink" xfId="1160" builtinId="8" hidden="1"/>
    <cellStyle name="Hyperlink" xfId="1162" builtinId="8" hidden="1"/>
    <cellStyle name="Hyperlink" xfId="1164" builtinId="8" hidden="1"/>
    <cellStyle name="Hyperlink" xfId="1166" builtinId="8" hidden="1"/>
    <cellStyle name="Hyperlink" xfId="1168" builtinId="8" hidden="1"/>
    <cellStyle name="Hyperlink" xfId="1170" builtinId="8" hidden="1"/>
    <cellStyle name="Hyperlink" xfId="1172" builtinId="8" hidden="1"/>
    <cellStyle name="Hyperlink" xfId="1174" builtinId="8" hidden="1"/>
    <cellStyle name="Hyperlink" xfId="1176" builtinId="8" hidden="1"/>
    <cellStyle name="Hyperlink" xfId="1178" builtinId="8" hidden="1"/>
    <cellStyle name="Hyperlink" xfId="1180" builtinId="8" hidden="1"/>
    <cellStyle name="Hyperlink" xfId="1182" builtinId="8" hidden="1"/>
    <cellStyle name="Hyperlink" xfId="1184" builtinId="8" hidden="1"/>
    <cellStyle name="Hyperlink" xfId="1186" builtinId="8" hidden="1"/>
    <cellStyle name="Hyperlink" xfId="1188" builtinId="8" hidden="1"/>
    <cellStyle name="Hyperlink" xfId="1190" builtinId="8" hidden="1"/>
    <cellStyle name="Hyperlink" xfId="1192" builtinId="8" hidden="1"/>
    <cellStyle name="Hyperlink" xfId="1194" builtinId="8" hidden="1"/>
    <cellStyle name="Hyperlink" xfId="1196" builtinId="8" hidden="1"/>
    <cellStyle name="Hyperlink" xfId="1198" builtinId="8" hidden="1"/>
    <cellStyle name="Hyperlink" xfId="1200" builtinId="8" hidden="1"/>
    <cellStyle name="Hyperlink" xfId="1202" builtinId="8" hidden="1"/>
    <cellStyle name="Hyperlink" xfId="1204" builtinId="8" hidden="1"/>
    <cellStyle name="Hyperlink" xfId="1206" builtinId="8" hidden="1"/>
    <cellStyle name="Hyperlink" xfId="1208" builtinId="8" hidden="1"/>
    <cellStyle name="Hyperlink" xfId="1210" builtinId="8" hidden="1"/>
    <cellStyle name="Hyperlink" xfId="1212" builtinId="8" hidden="1"/>
    <cellStyle name="Hyperlink" xfId="1214" builtinId="8" hidden="1"/>
    <cellStyle name="Hyperlink" xfId="1216" builtinId="8" hidden="1"/>
    <cellStyle name="Hyperlink" xfId="1218" builtinId="8" hidden="1"/>
    <cellStyle name="Hyperlink" xfId="1220" builtinId="8" hidden="1"/>
    <cellStyle name="Hyperlink" xfId="1222" builtinId="8" hidden="1"/>
    <cellStyle name="Hyperlink" xfId="1224" builtinId="8" hidden="1"/>
    <cellStyle name="Hyperlink" xfId="1226" builtinId="8" hidden="1"/>
    <cellStyle name="Hyperlink" xfId="1228" builtinId="8" hidden="1"/>
    <cellStyle name="Hyperlink" xfId="1230" builtinId="8" hidden="1"/>
    <cellStyle name="Hyperlink" xfId="1232" builtinId="8" hidden="1"/>
    <cellStyle name="Hyperlink" xfId="1234" builtinId="8" hidden="1"/>
    <cellStyle name="Hyperlink" xfId="1236" builtinId="8" hidden="1"/>
    <cellStyle name="Hyperlink" xfId="1238" builtinId="8" hidden="1"/>
    <cellStyle name="Hyperlink" xfId="1240" builtinId="8" hidden="1"/>
    <cellStyle name="Hyperlink" xfId="1242" builtinId="8" hidden="1"/>
    <cellStyle name="Hyperlink" xfId="1244" builtinId="8" hidden="1"/>
    <cellStyle name="Hyperlink" xfId="1246" builtinId="8" hidden="1"/>
    <cellStyle name="Hyperlink" xfId="1248" builtinId="8" hidden="1"/>
    <cellStyle name="Hyperlink" xfId="1250" builtinId="8" hidden="1"/>
    <cellStyle name="Hyperlink" xfId="1252" builtinId="8" hidden="1"/>
    <cellStyle name="Hyperlink" xfId="1254" builtinId="8" hidden="1"/>
    <cellStyle name="Hyperlink" xfId="1256" builtinId="8" hidden="1"/>
    <cellStyle name="Hyperlink" xfId="1258" builtinId="8" hidden="1"/>
    <cellStyle name="Hyperlink" xfId="1260" builtinId="8" hidden="1"/>
    <cellStyle name="Hyperlink" xfId="1262" builtinId="8" hidden="1"/>
    <cellStyle name="Hyperlink" xfId="1264" builtinId="8" hidden="1"/>
    <cellStyle name="Hyperlink" xfId="1266" builtinId="8" hidden="1"/>
    <cellStyle name="Hyperlink" xfId="1268" builtinId="8" hidden="1"/>
    <cellStyle name="Hyperlink" xfId="1270" builtinId="8" hidden="1"/>
    <cellStyle name="Hyperlink" xfId="1272" builtinId="8" hidden="1"/>
    <cellStyle name="Hyperlink" xfId="1274" builtinId="8" hidden="1"/>
    <cellStyle name="Hyperlink" xfId="1276" builtinId="8" hidden="1"/>
    <cellStyle name="Hyperlink" xfId="1278" builtinId="8" hidden="1"/>
    <cellStyle name="Hyperlink" xfId="1280" builtinId="8" hidden="1"/>
    <cellStyle name="Hyperlink" xfId="1282" builtinId="8" hidden="1"/>
    <cellStyle name="Hyperlink" xfId="1284" builtinId="8" hidden="1"/>
    <cellStyle name="Hyperlink" xfId="1286" builtinId="8" hidden="1"/>
    <cellStyle name="Hyperlink" xfId="1288" builtinId="8" hidden="1"/>
    <cellStyle name="Hyperlink" xfId="1290" builtinId="8" hidden="1"/>
    <cellStyle name="Hyperlink" xfId="1292" builtinId="8" hidden="1"/>
    <cellStyle name="Hyperlink" xfId="1294" builtinId="8" hidden="1"/>
    <cellStyle name="Hyperlink" xfId="1296" builtinId="8" hidden="1"/>
    <cellStyle name="Hyperlink" xfId="1298" builtinId="8" hidden="1"/>
    <cellStyle name="Hyperlink" xfId="1300" builtinId="8" hidden="1"/>
    <cellStyle name="Hyperlink" xfId="1302" builtinId="8" hidden="1"/>
    <cellStyle name="Hyperlink" xfId="1304" builtinId="8" hidden="1"/>
    <cellStyle name="Hyperlink" xfId="1306" builtinId="8" hidden="1"/>
    <cellStyle name="Hyperlink" xfId="1308" builtinId="8" hidden="1"/>
    <cellStyle name="Hyperlink" xfId="1310" builtinId="8" hidden="1"/>
    <cellStyle name="Hyperlink" xfId="1312" builtinId="8" hidden="1"/>
    <cellStyle name="Hyperlink" xfId="1314" builtinId="8" hidden="1"/>
    <cellStyle name="Hyperlink" xfId="1316" builtinId="8" hidden="1"/>
    <cellStyle name="Hyperlink" xfId="1318" builtinId="8" hidden="1"/>
    <cellStyle name="Hyperlink" xfId="1320" builtinId="8" hidden="1"/>
    <cellStyle name="Hyperlink" xfId="1322" builtinId="8" hidden="1"/>
    <cellStyle name="Hyperlink" xfId="1324" builtinId="8" hidden="1"/>
    <cellStyle name="Hyperlink" xfId="1326" builtinId="8" hidden="1"/>
    <cellStyle name="Hyperlink" xfId="1328" builtinId="8" hidden="1"/>
    <cellStyle name="Hyperlink" xfId="1330" builtinId="8" hidden="1"/>
    <cellStyle name="Hyperlink" xfId="1332" builtinId="8" hidden="1"/>
    <cellStyle name="Hyperlink" xfId="1334" builtinId="8" hidden="1"/>
    <cellStyle name="Hyperlink" xfId="1336" builtinId="8" hidden="1"/>
    <cellStyle name="Hyperlink" xfId="1338" builtinId="8" hidden="1"/>
    <cellStyle name="Hyperlink" xfId="1340" builtinId="8" hidden="1"/>
    <cellStyle name="Hyperlink" xfId="1342" builtinId="8" hidden="1"/>
    <cellStyle name="Hyperlink" xfId="1344" builtinId="8" hidden="1"/>
    <cellStyle name="Hyperlink" xfId="1346" builtinId="8" hidden="1"/>
    <cellStyle name="Hyperlink" xfId="1348" builtinId="8" hidden="1"/>
    <cellStyle name="Hyperlink" xfId="1350" builtinId="8" hidden="1"/>
    <cellStyle name="Hyperlink" xfId="1352" builtinId="8" hidden="1"/>
    <cellStyle name="Hyperlink" xfId="1354" builtinId="8" hidden="1"/>
    <cellStyle name="Hyperlink" xfId="1356" builtinId="8" hidden="1"/>
    <cellStyle name="Hyperlink" xfId="1358" builtinId="8" hidden="1"/>
    <cellStyle name="Hyperlink" xfId="1360" builtinId="8" hidden="1"/>
    <cellStyle name="Hyperlink" xfId="1362" builtinId="8" hidden="1"/>
    <cellStyle name="Hyperlink" xfId="1364" builtinId="8" hidden="1"/>
    <cellStyle name="Hyperlink" xfId="1366" builtinId="8" hidden="1"/>
    <cellStyle name="Hyperlink" xfId="1368" builtinId="8" hidden="1"/>
    <cellStyle name="Hyperlink" xfId="1370" builtinId="8" hidden="1"/>
    <cellStyle name="Hyperlink" xfId="1372" builtinId="8" hidden="1"/>
    <cellStyle name="Hyperlink" xfId="1374" builtinId="8" hidden="1"/>
    <cellStyle name="Hyperlink" xfId="1376" builtinId="8" hidden="1"/>
    <cellStyle name="Hyperlink" xfId="1378" builtinId="8" hidden="1"/>
    <cellStyle name="Hyperlink" xfId="1380" builtinId="8" hidden="1"/>
    <cellStyle name="Hyperlink" xfId="1382" builtinId="8" hidden="1"/>
    <cellStyle name="Hyperlink" xfId="1384" builtinId="8" hidden="1"/>
    <cellStyle name="Hyperlink" xfId="1386" builtinId="8" hidden="1"/>
    <cellStyle name="Hyperlink" xfId="1388" builtinId="8" hidden="1"/>
    <cellStyle name="Hyperlink" xfId="1390" builtinId="8" hidden="1"/>
    <cellStyle name="Hyperlink" xfId="1392" builtinId="8" hidden="1"/>
    <cellStyle name="Hyperlink" xfId="1394" builtinId="8" hidden="1"/>
    <cellStyle name="Hyperlink" xfId="1396" builtinId="8" hidden="1"/>
    <cellStyle name="Hyperlink" xfId="1398" builtinId="8" hidden="1"/>
    <cellStyle name="Hyperlink" xfId="1400" builtinId="8" hidden="1"/>
    <cellStyle name="Hyperlink" xfId="1402" builtinId="8" hidden="1"/>
    <cellStyle name="Hyperlink" xfId="1404" builtinId="8" hidden="1"/>
    <cellStyle name="Hyperlink" xfId="1406" builtinId="8" hidden="1"/>
    <cellStyle name="Hyperlink" xfId="1408" builtinId="8" hidden="1"/>
    <cellStyle name="Hyperlink" xfId="1410" builtinId="8" hidden="1"/>
    <cellStyle name="Hyperlink" xfId="1412" builtinId="8" hidden="1"/>
    <cellStyle name="Hyperlink" xfId="1414" builtinId="8" hidden="1"/>
    <cellStyle name="Hyperlink" xfId="1416" builtinId="8" hidden="1"/>
    <cellStyle name="Hyperlink" xfId="1418" builtinId="8" hidden="1"/>
    <cellStyle name="Hyperlink" xfId="1420" builtinId="8" hidden="1"/>
    <cellStyle name="Hyperlink" xfId="1422" builtinId="8" hidden="1"/>
    <cellStyle name="Hyperlink" xfId="1424" builtinId="8" hidden="1"/>
    <cellStyle name="Hyperlink" xfId="1426" builtinId="8" hidden="1"/>
    <cellStyle name="Hyperlink" xfId="1428" builtinId="8" hidden="1"/>
    <cellStyle name="Hyperlink" xfId="1430" builtinId="8" hidden="1"/>
    <cellStyle name="Hyperlink" xfId="1432" builtinId="8" hidden="1"/>
    <cellStyle name="Hyperlink" xfId="1434" builtinId="8" hidden="1"/>
    <cellStyle name="Hyperlink" xfId="1436" builtinId="8" hidden="1"/>
    <cellStyle name="Hyperlink" xfId="1438" builtinId="8" hidden="1"/>
    <cellStyle name="Hyperlink" xfId="1440" builtinId="8" hidden="1"/>
    <cellStyle name="Hyperlink" xfId="1442" builtinId="8" hidden="1"/>
    <cellStyle name="Hyperlink" xfId="1444" builtinId="8" hidden="1"/>
    <cellStyle name="Hyperlink" xfId="1446" builtinId="8" hidden="1"/>
    <cellStyle name="Hyperlink" xfId="1448" builtinId="8" hidden="1"/>
    <cellStyle name="Hyperlink" xfId="1450" builtinId="8" hidden="1"/>
    <cellStyle name="Hyperlink" xfId="1452" builtinId="8" hidden="1"/>
    <cellStyle name="Hyperlink" xfId="1454" builtinId="8" hidden="1"/>
    <cellStyle name="Hyperlink" xfId="1456" builtinId="8" hidden="1"/>
    <cellStyle name="Hyperlink" xfId="1458" builtinId="8" hidden="1"/>
    <cellStyle name="Hyperlink" xfId="1460" builtinId="8" hidden="1"/>
    <cellStyle name="Hyperlink" xfId="1462" builtinId="8" hidden="1"/>
    <cellStyle name="Hyperlink" xfId="1464" builtinId="8" hidden="1"/>
    <cellStyle name="Hyperlink" xfId="1466" builtinId="8" hidden="1"/>
    <cellStyle name="Hyperlink" xfId="1468" builtinId="8" hidden="1"/>
    <cellStyle name="Hyperlink" xfId="1470" builtinId="8" hidden="1"/>
    <cellStyle name="Hyperlink" xfId="1472" builtinId="8" hidden="1"/>
    <cellStyle name="Hyperlink" xfId="1474" builtinId="8" hidden="1"/>
    <cellStyle name="Hyperlink" xfId="1476" builtinId="8" hidden="1"/>
    <cellStyle name="Hyperlink" xfId="1478" builtinId="8" hidden="1"/>
    <cellStyle name="Hyperlink" xfId="1480" builtinId="8" hidden="1"/>
    <cellStyle name="Hyperlink" xfId="1482" builtinId="8" hidden="1"/>
    <cellStyle name="Hyperlink" xfId="1484" builtinId="8" hidden="1"/>
    <cellStyle name="Hyperlink" xfId="1486" builtinId="8" hidden="1"/>
    <cellStyle name="Hyperlink" xfId="1488" builtinId="8" hidden="1"/>
    <cellStyle name="Hyperlink" xfId="1490" builtinId="8" hidden="1"/>
    <cellStyle name="Hyperlink" xfId="1492" builtinId="8" hidden="1"/>
    <cellStyle name="Hyperlink" xfId="1494" builtinId="8" hidden="1"/>
    <cellStyle name="Hyperlink" xfId="1496" builtinId="8" hidden="1"/>
    <cellStyle name="Hyperlink" xfId="1498" builtinId="8" hidden="1"/>
    <cellStyle name="Hyperlink" xfId="1500" builtinId="8" hidden="1"/>
    <cellStyle name="Hyperlink" xfId="1502" builtinId="8" hidden="1"/>
    <cellStyle name="Hyperlink" xfId="1504" builtinId="8" hidden="1"/>
    <cellStyle name="Hyperlink" xfId="1506" builtinId="8" hidden="1"/>
    <cellStyle name="Hyperlink" xfId="1508" builtinId="8" hidden="1"/>
    <cellStyle name="Hyperlink" xfId="1510" builtinId="8" hidden="1"/>
    <cellStyle name="Hyperlink" xfId="1512" builtinId="8" hidden="1"/>
    <cellStyle name="Hyperlink" xfId="1514" builtinId="8" hidden="1"/>
    <cellStyle name="Hyperlink" xfId="1516" builtinId="8" hidden="1"/>
    <cellStyle name="Hyperlink" xfId="1518" builtinId="8" hidden="1"/>
    <cellStyle name="Hyperlink" xfId="1520" builtinId="8" hidden="1"/>
    <cellStyle name="Hyperlink" xfId="1522" builtinId="8" hidden="1"/>
    <cellStyle name="Hyperlink" xfId="1524" builtinId="8" hidden="1"/>
    <cellStyle name="Hyperlink" xfId="1526" builtinId="8" hidden="1"/>
    <cellStyle name="Hyperlink" xfId="1528" builtinId="8" hidden="1"/>
    <cellStyle name="Hyperlink" xfId="1530" builtinId="8" hidden="1"/>
    <cellStyle name="Hyperlink" xfId="1532" builtinId="8" hidden="1"/>
    <cellStyle name="Hyperlink" xfId="1534" builtinId="8" hidden="1"/>
    <cellStyle name="Hyperlink" xfId="1536" builtinId="8" hidden="1"/>
    <cellStyle name="Hyperlink" xfId="1538" builtinId="8" hidden="1"/>
    <cellStyle name="Hyperlink" xfId="1540" builtinId="8" hidden="1"/>
    <cellStyle name="Hyperlink" xfId="1542" builtinId="8" hidden="1"/>
    <cellStyle name="Hyperlink" xfId="1544" builtinId="8" hidden="1"/>
    <cellStyle name="Hyperlink" xfId="1546" builtinId="8" hidden="1"/>
    <cellStyle name="Hyperlink" xfId="1548" builtinId="8" hidden="1"/>
    <cellStyle name="Hyperlink" xfId="1550" builtinId="8" hidden="1"/>
    <cellStyle name="Hyperlink" xfId="1552" builtinId="8" hidden="1"/>
    <cellStyle name="Hyperlink" xfId="1554" builtinId="8" hidden="1"/>
    <cellStyle name="Hyperlink" xfId="1556" builtinId="8" hidden="1"/>
    <cellStyle name="Hyperlink" xfId="1558" builtinId="8" hidden="1"/>
    <cellStyle name="Hyperlink" xfId="1560" builtinId="8" hidden="1"/>
    <cellStyle name="Hyperlink" xfId="1562" builtinId="8" hidden="1"/>
    <cellStyle name="Hyperlink" xfId="1564" builtinId="8" hidden="1"/>
    <cellStyle name="Hyperlink" xfId="1566" builtinId="8" hidden="1"/>
    <cellStyle name="Hyperlink" xfId="1568" builtinId="8" hidden="1"/>
    <cellStyle name="Hyperlink" xfId="1570" builtinId="8" hidden="1"/>
    <cellStyle name="Hyperlink" xfId="1572" builtinId="8" hidden="1"/>
    <cellStyle name="Hyperlink" xfId="1574" builtinId="8" hidden="1"/>
    <cellStyle name="Hyperlink" xfId="1576" builtinId="8" hidden="1"/>
    <cellStyle name="Hyperlink" xfId="1578" builtinId="8" hidden="1"/>
    <cellStyle name="Hyperlink" xfId="1580" builtinId="8" hidden="1"/>
    <cellStyle name="Hyperlink" xfId="1582" builtinId="8" hidden="1"/>
    <cellStyle name="Hyperlink" xfId="1584" builtinId="8" hidden="1"/>
    <cellStyle name="Hyperlink" xfId="1586" builtinId="8" hidden="1"/>
    <cellStyle name="Hyperlink" xfId="1588" builtinId="8" hidden="1"/>
    <cellStyle name="Hyperlink" xfId="1590" builtinId="8" hidden="1"/>
    <cellStyle name="Hyperlink" xfId="1592" builtinId="8" hidden="1"/>
    <cellStyle name="Hyperlink" xfId="1594" builtinId="8" hidden="1"/>
    <cellStyle name="Hyperlink" xfId="1596" builtinId="8" hidden="1"/>
    <cellStyle name="Hyperlink" xfId="1598" builtinId="8" hidden="1"/>
    <cellStyle name="Hyperlink" xfId="1600" builtinId="8" hidden="1"/>
    <cellStyle name="Hyperlink" xfId="1602" builtinId="8" hidden="1"/>
    <cellStyle name="Hyperlink" xfId="1604" builtinId="8" hidden="1"/>
    <cellStyle name="Hyperlink" xfId="1606" builtinId="8" hidden="1"/>
    <cellStyle name="Hyperlink" xfId="1608" builtinId="8" hidden="1"/>
    <cellStyle name="Hyperlink" xfId="1610" builtinId="8" hidden="1"/>
    <cellStyle name="Hyperlink" xfId="1612" builtinId="8" hidden="1"/>
    <cellStyle name="Hyperlink" xfId="1614" builtinId="8" hidden="1"/>
    <cellStyle name="Hyperlink" xfId="1616" builtinId="8" hidden="1"/>
    <cellStyle name="Hyperlink" xfId="1618" builtinId="8" hidden="1"/>
    <cellStyle name="Hyperlink" xfId="1620" builtinId="8" hidden="1"/>
    <cellStyle name="Hyperlink" xfId="1622" builtinId="8" hidden="1"/>
    <cellStyle name="Hyperlink" xfId="1624" builtinId="8" hidden="1"/>
    <cellStyle name="Hyperlink" xfId="1626" builtinId="8" hidden="1"/>
    <cellStyle name="Hyperlink" xfId="1628" builtinId="8" hidden="1"/>
    <cellStyle name="Hyperlink" xfId="1630" builtinId="8" hidden="1"/>
    <cellStyle name="Hyperlink" xfId="1632" builtinId="8" hidden="1"/>
    <cellStyle name="Hyperlink" xfId="1634" builtinId="8" hidden="1"/>
    <cellStyle name="Hyperlink" xfId="1636" builtinId="8" hidden="1"/>
    <cellStyle name="Hyperlink" xfId="1638" builtinId="8" hidden="1"/>
    <cellStyle name="Hyperlink" xfId="1640" builtinId="8" hidden="1"/>
    <cellStyle name="Hyperlink" xfId="1642" builtinId="8" hidden="1"/>
    <cellStyle name="Hyperlink" xfId="1644" builtinId="8" hidden="1"/>
    <cellStyle name="Hyperlink" xfId="1646" builtinId="8" hidden="1"/>
    <cellStyle name="Hyperlink" xfId="1648" builtinId="8" hidden="1"/>
    <cellStyle name="Hyperlink" xfId="1650" builtinId="8" hidden="1"/>
    <cellStyle name="Hyperlink" xfId="1652" builtinId="8" hidden="1"/>
    <cellStyle name="Hyperlink" xfId="1654" builtinId="8" hidden="1"/>
    <cellStyle name="Hyperlink" xfId="1656" builtinId="8" hidden="1"/>
    <cellStyle name="Hyperlink" xfId="1658" builtinId="8" hidden="1"/>
    <cellStyle name="Hyperlink" xfId="1660" builtinId="8" hidden="1"/>
    <cellStyle name="Hyperlink" xfId="1662" builtinId="8" hidden="1"/>
    <cellStyle name="Hyperlink" xfId="1664" builtinId="8" hidden="1"/>
    <cellStyle name="Hyperlink" xfId="1666" builtinId="8" hidden="1"/>
    <cellStyle name="Hyperlink" xfId="1668" builtinId="8" hidden="1"/>
    <cellStyle name="Hyperlink" xfId="1670" builtinId="8" hidden="1"/>
    <cellStyle name="Hyperlink" xfId="1672" builtinId="8" hidden="1"/>
    <cellStyle name="Hyperlink" xfId="1674" builtinId="8" hidden="1"/>
    <cellStyle name="Hyperlink" xfId="1676" builtinId="8" hidden="1"/>
    <cellStyle name="Hyperlink" xfId="1678" builtinId="8" hidden="1"/>
    <cellStyle name="Hyperlink" xfId="1680" builtinId="8" hidden="1"/>
    <cellStyle name="Hyperlink" xfId="1682" builtinId="8" hidden="1"/>
    <cellStyle name="Hyperlink" xfId="1684" builtinId="8" hidden="1"/>
    <cellStyle name="Hyperlink" xfId="1686" builtinId="8" hidden="1"/>
    <cellStyle name="Hyperlink" xfId="1688" builtinId="8" hidden="1"/>
    <cellStyle name="Hyperlink" xfId="1690" builtinId="8" hidden="1"/>
    <cellStyle name="Hyperlink" xfId="1692" builtinId="8" hidden="1"/>
    <cellStyle name="Hyperlink" xfId="1694" builtinId="8" hidden="1"/>
    <cellStyle name="Hyperlink" xfId="1696" builtinId="8" hidden="1"/>
    <cellStyle name="Hyperlink" xfId="1698" builtinId="8" hidden="1"/>
    <cellStyle name="Hyperlink" xfId="1700" builtinId="8" hidden="1"/>
    <cellStyle name="Hyperlink" xfId="1702" builtinId="8" hidden="1"/>
    <cellStyle name="Hyperlink" xfId="1704" builtinId="8" hidden="1"/>
    <cellStyle name="Hyperlink" xfId="1706" builtinId="8" hidden="1"/>
    <cellStyle name="Hyperlink" xfId="1708" builtinId="8" hidden="1"/>
    <cellStyle name="Hyperlink" xfId="1710" builtinId="8" hidden="1"/>
    <cellStyle name="Hyperlink" xfId="1712" builtinId="8" hidden="1"/>
    <cellStyle name="Hyperlink" xfId="1714" builtinId="8" hidden="1"/>
    <cellStyle name="Hyperlink" xfId="1716" builtinId="8" hidden="1"/>
    <cellStyle name="Hyperlink" xfId="1718" builtinId="8" hidden="1"/>
    <cellStyle name="Hyperlink" xfId="1720" builtinId="8" hidden="1"/>
    <cellStyle name="Hyperlink" xfId="1722" builtinId="8" hidden="1"/>
    <cellStyle name="Hyperlink" xfId="1724" builtinId="8" hidden="1"/>
    <cellStyle name="Hyperlink" xfId="1726" builtinId="8" hidden="1"/>
    <cellStyle name="Hyperlink" xfId="1728" builtinId="8" hidden="1"/>
    <cellStyle name="Hyperlink" xfId="1730" builtinId="8" hidden="1"/>
    <cellStyle name="Hyperlink" xfId="1732" builtinId="8" hidden="1"/>
    <cellStyle name="Hyperlink" xfId="1734" builtinId="8" hidden="1"/>
    <cellStyle name="Hyperlink" xfId="1736" builtinId="8" hidden="1"/>
    <cellStyle name="Hyperlink" xfId="1738" builtinId="8" hidden="1"/>
    <cellStyle name="Hyperlink" xfId="1740" builtinId="8" hidden="1"/>
    <cellStyle name="Hyperlink" xfId="1742" builtinId="8" hidden="1"/>
    <cellStyle name="Hyperlink" xfId="1744" builtinId="8" hidden="1"/>
    <cellStyle name="Hyperlink" xfId="1746" builtinId="8" hidden="1"/>
    <cellStyle name="Hyperlink" xfId="1748" builtinId="8" hidden="1"/>
    <cellStyle name="Hyperlink" xfId="1750" builtinId="8" hidden="1"/>
    <cellStyle name="Hyperlink" xfId="1752" builtinId="8" hidden="1"/>
    <cellStyle name="Hyperlink" xfId="1754" builtinId="8" hidden="1"/>
    <cellStyle name="Hyperlink" xfId="1756" builtinId="8" hidden="1"/>
    <cellStyle name="Hyperlink" xfId="1758" builtinId="8" hidden="1"/>
    <cellStyle name="Hyperlink" xfId="1760" builtinId="8" hidden="1"/>
    <cellStyle name="Hyperlink" xfId="1762" builtinId="8" hidden="1"/>
    <cellStyle name="Hyperlink" xfId="1764" builtinId="8" hidden="1"/>
    <cellStyle name="Hyperlink" xfId="1766" builtinId="8" hidden="1"/>
    <cellStyle name="Hyperlink" xfId="1768" builtinId="8" hidden="1"/>
    <cellStyle name="Hyperlink" xfId="1770" builtinId="8" hidden="1"/>
    <cellStyle name="Hyperlink" xfId="1772" builtinId="8" hidden="1"/>
    <cellStyle name="Hyperlink" xfId="1774" builtinId="8" hidden="1"/>
    <cellStyle name="Hyperlink" xfId="1776" builtinId="8" hidden="1"/>
    <cellStyle name="Hyperlink" xfId="1778" builtinId="8" hidden="1"/>
    <cellStyle name="Hyperlink" xfId="1780" builtinId="8" hidden="1"/>
    <cellStyle name="Hyperlink" xfId="1782" builtinId="8" hidden="1"/>
    <cellStyle name="Hyperlink" xfId="1784" builtinId="8" hidden="1"/>
    <cellStyle name="Hyperlink" xfId="1786" builtinId="8" hidden="1"/>
    <cellStyle name="Hyperlink" xfId="1788" builtinId="8" hidden="1"/>
    <cellStyle name="Hyperlink" xfId="1790" builtinId="8" hidden="1"/>
    <cellStyle name="Hyperlink" xfId="1792" builtinId="8" hidden="1"/>
    <cellStyle name="Hyperlink" xfId="1794" builtinId="8" hidden="1"/>
    <cellStyle name="Hyperlink" xfId="1796" builtinId="8" hidden="1"/>
    <cellStyle name="Hyperlink" xfId="1798" builtinId="8" hidden="1"/>
    <cellStyle name="Hyperlink" xfId="1800" builtinId="8" hidden="1"/>
    <cellStyle name="Hyperlink" xfId="1802" builtinId="8" hidden="1"/>
    <cellStyle name="Hyperlink" xfId="1804" builtinId="8" hidden="1"/>
    <cellStyle name="Hyperlink" xfId="1806" builtinId="8" hidden="1"/>
    <cellStyle name="Hyperlink" xfId="1808" builtinId="8" hidden="1"/>
    <cellStyle name="Hyperlink" xfId="1810" builtinId="8" hidden="1"/>
    <cellStyle name="Hyperlink" xfId="1812" builtinId="8" hidden="1"/>
    <cellStyle name="Hyperlink" xfId="1814" builtinId="8" hidden="1"/>
    <cellStyle name="Hyperlink" xfId="1816" builtinId="8" hidden="1"/>
    <cellStyle name="Hyperlink" xfId="1818" builtinId="8" hidden="1"/>
    <cellStyle name="Hyperlink" xfId="1820" builtinId="8" hidden="1"/>
    <cellStyle name="Hyperlink" xfId="1822" builtinId="8" hidden="1"/>
    <cellStyle name="Hyperlink" xfId="1824" builtinId="8" hidden="1"/>
    <cellStyle name="Hyperlink" xfId="1826" builtinId="8" hidden="1"/>
    <cellStyle name="Hyperlink" xfId="1828" builtinId="8" hidden="1"/>
    <cellStyle name="Hyperlink" xfId="1830" builtinId="8" hidden="1"/>
    <cellStyle name="Hyperlink" xfId="1832" builtinId="8" hidden="1"/>
    <cellStyle name="Hyperlink" xfId="1834" builtinId="8" hidden="1"/>
    <cellStyle name="Hyperlink" xfId="1836" builtinId="8" hidden="1"/>
    <cellStyle name="Hyperlink" xfId="1838" builtinId="8" hidden="1"/>
    <cellStyle name="Hyperlink" xfId="1840" builtinId="8" hidden="1"/>
    <cellStyle name="Hyperlink" xfId="1842" builtinId="8" hidden="1"/>
    <cellStyle name="Hyperlink" xfId="1844" builtinId="8" hidden="1"/>
    <cellStyle name="Hyperlink" xfId="1846" builtinId="8" hidden="1"/>
    <cellStyle name="Hyperlink" xfId="1848" builtinId="8" hidden="1"/>
    <cellStyle name="Hyperlink" xfId="1850" builtinId="8" hidden="1"/>
    <cellStyle name="Hyperlink" xfId="1852" builtinId="8" hidden="1"/>
    <cellStyle name="Hyperlink" xfId="1854" builtinId="8" hidden="1"/>
    <cellStyle name="Hyperlink" xfId="1856" builtinId="8" hidden="1"/>
    <cellStyle name="Hyperlink" xfId="1858" builtinId="8" hidden="1"/>
    <cellStyle name="Hyperlink" xfId="1860" builtinId="8" hidden="1"/>
    <cellStyle name="Hyperlink" xfId="1862" builtinId="8" hidden="1"/>
    <cellStyle name="Hyperlink" xfId="1864" builtinId="8" hidden="1"/>
    <cellStyle name="Hyperlink" xfId="1866" builtinId="8" hidden="1"/>
    <cellStyle name="Hyperlink" xfId="1868" builtinId="8" hidden="1"/>
    <cellStyle name="Hyperlink" xfId="1870" builtinId="8" hidden="1"/>
    <cellStyle name="Hyperlink" xfId="1872" builtinId="8" hidden="1"/>
    <cellStyle name="Hyperlink" xfId="1874" builtinId="8" hidden="1"/>
    <cellStyle name="Hyperlink" xfId="1876" builtinId="8" hidden="1"/>
    <cellStyle name="Hyperlink" xfId="1878" builtinId="8" hidden="1"/>
    <cellStyle name="Hyperlink" xfId="1880" builtinId="8" hidden="1"/>
    <cellStyle name="Hyperlink" xfId="1882" builtinId="8" hidden="1"/>
    <cellStyle name="Hyperlink" xfId="1884" builtinId="8" hidden="1"/>
    <cellStyle name="Hyperlink" xfId="1886" builtinId="8" hidden="1"/>
    <cellStyle name="Hyperlink" xfId="1888" builtinId="8" hidden="1"/>
    <cellStyle name="Hyperlink" xfId="1890" builtinId="8" hidden="1"/>
    <cellStyle name="Hyperlink" xfId="1892" builtinId="8" hidden="1"/>
    <cellStyle name="Hyperlink" xfId="1894" builtinId="8" hidden="1"/>
    <cellStyle name="Hyperlink" xfId="1896" builtinId="8" hidden="1"/>
    <cellStyle name="Hyperlink" xfId="1898" builtinId="8" hidden="1"/>
    <cellStyle name="Hyperlink" xfId="1900" builtinId="8" hidden="1"/>
    <cellStyle name="Hyperlink" xfId="1902" builtinId="8" hidden="1"/>
    <cellStyle name="Hyperlink" xfId="1904" builtinId="8" hidden="1"/>
    <cellStyle name="Hyperlink" xfId="1906" builtinId="8" hidden="1"/>
    <cellStyle name="Hyperlink" xfId="1908" builtinId="8" hidden="1"/>
    <cellStyle name="Hyperlink" xfId="1910" builtinId="8" hidden="1"/>
    <cellStyle name="Hyperlink" xfId="1912" builtinId="8" hidden="1"/>
    <cellStyle name="Hyperlink" xfId="1914" builtinId="8" hidden="1"/>
    <cellStyle name="Hyperlink" xfId="1916" builtinId="8" hidden="1"/>
    <cellStyle name="Hyperlink" xfId="1918" builtinId="8" hidden="1"/>
    <cellStyle name="Hyperlink" xfId="1920" builtinId="8" hidden="1"/>
    <cellStyle name="Hyperlink" xfId="1922" builtinId="8" hidden="1"/>
    <cellStyle name="Hyperlink" xfId="1924" builtinId="8" hidden="1"/>
    <cellStyle name="Hyperlink" xfId="1926" builtinId="8" hidden="1"/>
    <cellStyle name="Hyperlink" xfId="1928" builtinId="8" hidden="1"/>
    <cellStyle name="Hyperlink" xfId="1930" builtinId="8" hidden="1"/>
    <cellStyle name="Hyperlink" xfId="1932" builtinId="8" hidden="1"/>
    <cellStyle name="Hyperlink" xfId="1934" builtinId="8" hidden="1"/>
    <cellStyle name="Hyperlink" xfId="1936" builtinId="8" hidden="1"/>
    <cellStyle name="Hyperlink" xfId="1938" builtinId="8" hidden="1"/>
    <cellStyle name="Hyperlink" xfId="1940" builtinId="8" hidden="1"/>
    <cellStyle name="Hyperlink" xfId="1942" builtinId="8" hidden="1"/>
    <cellStyle name="Hyperlink" xfId="1944" builtinId="8" hidden="1"/>
    <cellStyle name="Hyperlink" xfId="1946" builtinId="8" hidden="1"/>
    <cellStyle name="Hyperlink" xfId="1948" builtinId="8" hidden="1"/>
    <cellStyle name="Hyperlink" xfId="1950" builtinId="8" hidden="1"/>
    <cellStyle name="Hyperlink" xfId="1952" builtinId="8" hidden="1"/>
    <cellStyle name="Hyperlink" xfId="1954" builtinId="8" hidden="1"/>
    <cellStyle name="Hyperlink" xfId="1956" builtinId="8" hidden="1"/>
    <cellStyle name="Hyperlink" xfId="1958" builtinId="8" hidden="1"/>
    <cellStyle name="Hyperlink" xfId="1960" builtinId="8" hidden="1"/>
    <cellStyle name="Hyperlink" xfId="1962" builtinId="8" hidden="1"/>
    <cellStyle name="Hyperlink" xfId="1964" builtinId="8" hidden="1"/>
    <cellStyle name="Hyperlink" xfId="1966" builtinId="8" hidden="1"/>
    <cellStyle name="Hyperlink" xfId="1968" builtinId="8" hidden="1"/>
    <cellStyle name="Hyperlink" xfId="1970" builtinId="8" hidden="1"/>
    <cellStyle name="Hyperlink" xfId="1972" builtinId="8" hidden="1"/>
    <cellStyle name="Hyperlink" xfId="1974" builtinId="8" hidden="1"/>
    <cellStyle name="Hyperlink" xfId="1976" builtinId="8" hidden="1"/>
    <cellStyle name="Hyperlink" xfId="1978" builtinId="8" hidden="1"/>
    <cellStyle name="Hyperlink" xfId="1980" builtinId="8" hidden="1"/>
    <cellStyle name="Hyperlink" xfId="1982" builtinId="8" hidden="1"/>
    <cellStyle name="Hyperlink" xfId="1984" builtinId="8" hidden="1"/>
    <cellStyle name="Hyperlink" xfId="1986" builtinId="8" hidden="1"/>
    <cellStyle name="Hyperlink" xfId="1988" builtinId="8" hidden="1"/>
    <cellStyle name="Hyperlink" xfId="1990" builtinId="8" hidden="1"/>
    <cellStyle name="Hyperlink" xfId="1992" builtinId="8" hidden="1"/>
    <cellStyle name="Hyperlink" xfId="1994" builtinId="8" hidden="1"/>
    <cellStyle name="Hyperlink" xfId="1996" builtinId="8" hidden="1"/>
    <cellStyle name="Hyperlink" xfId="1998" builtinId="8" hidden="1"/>
    <cellStyle name="Hyperlink" xfId="2000" builtinId="8" hidden="1"/>
    <cellStyle name="Hyperlink" xfId="2002" builtinId="8" hidden="1"/>
    <cellStyle name="Hyperlink" xfId="2004" builtinId="8" hidden="1"/>
    <cellStyle name="Hyperlink" xfId="2006" builtinId="8" hidden="1"/>
    <cellStyle name="Hyperlink" xfId="2008" builtinId="8" hidden="1"/>
    <cellStyle name="Hyperlink" xfId="2010" builtinId="8" hidden="1"/>
    <cellStyle name="Hyperlink" xfId="2012" builtinId="8" hidden="1"/>
    <cellStyle name="Hyperlink" xfId="2014" builtinId="8" hidden="1"/>
    <cellStyle name="Hyperlink" xfId="2016" builtinId="8" hidden="1"/>
    <cellStyle name="Hyperlink" xfId="2018" builtinId="8" hidden="1"/>
    <cellStyle name="Hyperlink" xfId="2020" builtinId="8" hidden="1"/>
    <cellStyle name="Hyperlink" xfId="2022" builtinId="8" hidden="1"/>
    <cellStyle name="Hyperlink" xfId="2024" builtinId="8" hidden="1"/>
    <cellStyle name="Hyperlink" xfId="2026" builtinId="8" hidden="1"/>
    <cellStyle name="Hyperlink" xfId="2028" builtinId="8" hidden="1"/>
    <cellStyle name="Hyperlink" xfId="2030" builtinId="8" hidden="1"/>
    <cellStyle name="Hyperlink" xfId="2032" builtinId="8" hidden="1"/>
    <cellStyle name="Hyperlink" xfId="2034" builtinId="8" hidden="1"/>
    <cellStyle name="Hyperlink" xfId="2036" builtinId="8" hidden="1"/>
    <cellStyle name="Hyperlink" xfId="2038" builtinId="8" hidden="1"/>
    <cellStyle name="Hyperlink" xfId="2040" builtinId="8" hidden="1"/>
    <cellStyle name="Hyperlink" xfId="2042" builtinId="8" hidden="1"/>
    <cellStyle name="Hyperlink" xfId="2044" builtinId="8" hidden="1"/>
    <cellStyle name="Hyperlink" xfId="2046" builtinId="8" hidden="1"/>
    <cellStyle name="Hyperlink" xfId="2048" builtinId="8" hidden="1"/>
    <cellStyle name="Hyperlink" xfId="2050" builtinId="8" hidden="1"/>
    <cellStyle name="Hyperlink" xfId="2052" builtinId="8" hidden="1"/>
    <cellStyle name="Hyperlink" xfId="2054" builtinId="8" hidden="1"/>
    <cellStyle name="Hyperlink" xfId="2056" builtinId="8" hidden="1"/>
    <cellStyle name="Hyperlink" xfId="2058" builtinId="8" hidden="1"/>
    <cellStyle name="Hyperlink" xfId="2060" builtinId="8" hidden="1"/>
    <cellStyle name="Hyperlink" xfId="2062" builtinId="8" hidden="1"/>
    <cellStyle name="Hyperlink" xfId="2064" builtinId="8" hidden="1"/>
    <cellStyle name="Hyperlink" xfId="2066" builtinId="8" hidden="1"/>
    <cellStyle name="Hyperlink" xfId="2068" builtinId="8" hidden="1"/>
    <cellStyle name="Hyperlink" xfId="2070" builtinId="8" hidden="1"/>
    <cellStyle name="Hyperlink" xfId="2072" builtinId="8" hidden="1"/>
    <cellStyle name="Hyperlink" xfId="2074" builtinId="8" hidden="1"/>
    <cellStyle name="Hyperlink" xfId="2076" builtinId="8" hidden="1"/>
    <cellStyle name="Hyperlink" xfId="2078" builtinId="8" hidden="1"/>
    <cellStyle name="Hyperlink" xfId="2080" builtinId="8" hidden="1"/>
    <cellStyle name="Hyperlink" xfId="2082" builtinId="8" hidden="1"/>
    <cellStyle name="Hyperlink" xfId="2084" builtinId="8" hidden="1"/>
    <cellStyle name="Hyperlink" xfId="2086" builtinId="8" hidden="1"/>
    <cellStyle name="Hyperlink" xfId="2088" builtinId="8" hidden="1"/>
    <cellStyle name="Hyperlink" xfId="2090" builtinId="8" hidden="1"/>
    <cellStyle name="Hyperlink" xfId="2092" builtinId="8" hidden="1"/>
    <cellStyle name="Hyperlink" xfId="2094" builtinId="8" hidden="1"/>
    <cellStyle name="Hyperlink" xfId="2096" builtinId="8" hidden="1"/>
    <cellStyle name="Hyperlink" xfId="2098" builtinId="8" hidden="1"/>
    <cellStyle name="Hyperlink" xfId="2100" builtinId="8" hidden="1"/>
    <cellStyle name="Hyperlink" xfId="2102" builtinId="8" hidden="1"/>
    <cellStyle name="Hyperlink" xfId="2104" builtinId="8" hidden="1"/>
    <cellStyle name="Hyperlink" xfId="2106" builtinId="8" hidden="1"/>
    <cellStyle name="Hyperlink" xfId="2108" builtinId="8" hidden="1"/>
    <cellStyle name="Hyperlink" xfId="2110" builtinId="8" hidden="1"/>
    <cellStyle name="Hyperlink" xfId="2112" builtinId="8" hidden="1"/>
    <cellStyle name="Hyperlink" xfId="2114" builtinId="8" hidden="1"/>
    <cellStyle name="Hyperlink" xfId="2116" builtinId="8" hidden="1"/>
    <cellStyle name="Hyperlink" xfId="2118" builtinId="8" hidden="1"/>
    <cellStyle name="Hyperlink" xfId="2120" builtinId="8" hidden="1"/>
    <cellStyle name="Hyperlink" xfId="2122" builtinId="8" hidden="1"/>
    <cellStyle name="Hyperlink" xfId="2124" builtinId="8" hidden="1"/>
    <cellStyle name="Hyperlink" xfId="2126" builtinId="8" hidden="1"/>
    <cellStyle name="Hyperlink" xfId="2128" builtinId="8" hidden="1"/>
    <cellStyle name="Hyperlink" xfId="2130" builtinId="8" hidden="1"/>
    <cellStyle name="Hyperlink" xfId="2132" builtinId="8" hidden="1"/>
    <cellStyle name="Hyperlink" xfId="2134" builtinId="8" hidden="1"/>
    <cellStyle name="Hyperlink" xfId="2136" builtinId="8" hidden="1"/>
    <cellStyle name="Hyperlink" xfId="2138" builtinId="8" hidden="1"/>
    <cellStyle name="Hyperlink" xfId="2140" builtinId="8" hidden="1"/>
    <cellStyle name="Hyperlink" xfId="2142" builtinId="8" hidden="1"/>
    <cellStyle name="Hyperlink" xfId="2144" builtinId="8" hidden="1"/>
    <cellStyle name="Hyperlink" xfId="2146" builtinId="8" hidden="1"/>
    <cellStyle name="Hyperlink" xfId="2148" builtinId="8" hidden="1"/>
    <cellStyle name="Hyperlink" xfId="2150" builtinId="8" hidden="1"/>
    <cellStyle name="Hyperlink" xfId="2152" builtinId="8" hidden="1"/>
    <cellStyle name="Hyperlink" xfId="2154" builtinId="8" hidden="1"/>
    <cellStyle name="Hyperlink" xfId="2156" builtinId="8" hidden="1"/>
    <cellStyle name="Hyperlink" xfId="2158" builtinId="8" hidden="1"/>
    <cellStyle name="Hyperlink" xfId="2160" builtinId="8" hidden="1"/>
    <cellStyle name="Hyperlink" xfId="2162" builtinId="8" hidden="1"/>
    <cellStyle name="Hyperlink" xfId="2164" builtinId="8" hidden="1"/>
    <cellStyle name="Hyperlink" xfId="2166" builtinId="8" hidden="1"/>
    <cellStyle name="Hyperlink" xfId="2168" builtinId="8" hidden="1"/>
    <cellStyle name="Hyperlink" xfId="2170" builtinId="8" hidden="1"/>
    <cellStyle name="Hyperlink" xfId="2172" builtinId="8" hidden="1"/>
    <cellStyle name="Hyperlink" xfId="2174" builtinId="8" hidden="1"/>
    <cellStyle name="Hyperlink" xfId="2176" builtinId="8" hidden="1"/>
    <cellStyle name="Hyperlink" xfId="2178" builtinId="8" hidden="1"/>
    <cellStyle name="Hyperlink" xfId="2180" builtinId="8" hidden="1"/>
    <cellStyle name="Hyperlink" xfId="2182" builtinId="8" hidden="1"/>
    <cellStyle name="Hyperlink" xfId="2184" builtinId="8" hidden="1"/>
    <cellStyle name="Hyperlink" xfId="2186" builtinId="8" hidden="1"/>
    <cellStyle name="Hyperlink" xfId="2188" builtinId="8" hidden="1"/>
    <cellStyle name="Hyperlink" xfId="2190" builtinId="8" hidden="1"/>
    <cellStyle name="Hyperlink" xfId="2192" builtinId="8" hidden="1"/>
    <cellStyle name="Hyperlink" xfId="2194" builtinId="8" hidden="1"/>
    <cellStyle name="Hyperlink" xfId="2196" builtinId="8" hidden="1"/>
    <cellStyle name="Hyperlink" xfId="2198" builtinId="8" hidden="1"/>
    <cellStyle name="Hyperlink" xfId="2200" builtinId="8" hidden="1"/>
    <cellStyle name="Hyperlink" xfId="2202" builtinId="8" hidden="1"/>
    <cellStyle name="Hyperlink" xfId="2204" builtinId="8" hidden="1"/>
    <cellStyle name="Hyperlink" xfId="2206" builtinId="8" hidden="1"/>
    <cellStyle name="Hyperlink" xfId="2208" builtinId="8" hidden="1"/>
    <cellStyle name="Hyperlink" xfId="2210" builtinId="8" hidden="1"/>
    <cellStyle name="Hyperlink" xfId="2212" builtinId="8" hidden="1"/>
    <cellStyle name="Hyperlink" xfId="2214" builtinId="8" hidden="1"/>
    <cellStyle name="Hyperlink" xfId="2216" builtinId="8" hidden="1"/>
    <cellStyle name="Hyperlink" xfId="2218" builtinId="8" hidden="1"/>
    <cellStyle name="Hyperlink" xfId="2220" builtinId="8" hidden="1"/>
    <cellStyle name="Hyperlink" xfId="2222" builtinId="8" hidden="1"/>
    <cellStyle name="Hyperlink" xfId="2224" builtinId="8" hidden="1"/>
    <cellStyle name="Hyperlink" xfId="2226" builtinId="8" hidden="1"/>
    <cellStyle name="Hyperlink" xfId="2228" builtinId="8" hidden="1"/>
    <cellStyle name="Hyperlink" xfId="2230" builtinId="8" hidden="1"/>
    <cellStyle name="Hyperlink" xfId="2232" builtinId="8" hidden="1"/>
    <cellStyle name="Hyperlink" xfId="2234" builtinId="8" hidden="1"/>
    <cellStyle name="Hyperlink" xfId="2236" builtinId="8" hidden="1"/>
    <cellStyle name="Hyperlink" xfId="2238" builtinId="8" hidden="1"/>
    <cellStyle name="Hyperlink" xfId="2240" builtinId="8" hidden="1"/>
    <cellStyle name="Hyperlink" xfId="2242" builtinId="8" hidden="1"/>
    <cellStyle name="Hyperlink" xfId="2244" builtinId="8" hidden="1"/>
    <cellStyle name="Hyperlink" xfId="2246" builtinId="8" hidden="1"/>
    <cellStyle name="Hyperlink" xfId="2248" builtinId="8" hidden="1"/>
    <cellStyle name="Hyperlink" xfId="2250" builtinId="8" hidden="1"/>
    <cellStyle name="Hyperlink" xfId="2252" builtinId="8" hidden="1"/>
    <cellStyle name="Hyperlink" xfId="2254" builtinId="8" hidden="1"/>
    <cellStyle name="Hyperlink" xfId="2256" builtinId="8" hidden="1"/>
    <cellStyle name="Hyperlink" xfId="2258" builtinId="8" hidden="1"/>
    <cellStyle name="Hyperlink" xfId="2260" builtinId="8" hidden="1"/>
    <cellStyle name="Hyperlink" xfId="2262" builtinId="8" hidden="1"/>
    <cellStyle name="Hyperlink" xfId="2264" builtinId="8" hidden="1"/>
    <cellStyle name="Hyperlink" xfId="2266" builtinId="8" hidden="1"/>
    <cellStyle name="Hyperlink" xfId="2268" builtinId="8" hidden="1"/>
    <cellStyle name="Hyperlink" xfId="2270" builtinId="8" hidden="1"/>
    <cellStyle name="Hyperlink" xfId="2272" builtinId="8" hidden="1"/>
    <cellStyle name="Hyperlink" xfId="2274" builtinId="8" hidden="1"/>
    <cellStyle name="Hyperlink" xfId="2276" builtinId="8" hidden="1"/>
    <cellStyle name="Hyperlink" xfId="2278" builtinId="8" hidden="1"/>
    <cellStyle name="Hyperlink" xfId="2280" builtinId="8" hidden="1"/>
    <cellStyle name="Hyperlink" xfId="2282" builtinId="8" hidden="1"/>
    <cellStyle name="Hyperlink" xfId="2284" builtinId="8" hidden="1"/>
    <cellStyle name="Hyperlink" xfId="2286" builtinId="8" hidden="1"/>
    <cellStyle name="Hyperlink" xfId="2288" builtinId="8" hidden="1"/>
    <cellStyle name="Hyperlink" xfId="2290" builtinId="8" hidden="1"/>
    <cellStyle name="Hyperlink" xfId="2292" builtinId="8" hidden="1"/>
    <cellStyle name="Hyperlink" xfId="2294" builtinId="8" hidden="1"/>
    <cellStyle name="Hyperlink" xfId="2296" builtinId="8" hidden="1"/>
    <cellStyle name="Hyperlink" xfId="2298" builtinId="8" hidden="1"/>
    <cellStyle name="Hyperlink" xfId="2300" builtinId="8" hidden="1"/>
    <cellStyle name="Hyperlink" xfId="2302" builtinId="8" hidden="1"/>
    <cellStyle name="Hyperlink" xfId="2304" builtinId="8" hidden="1"/>
    <cellStyle name="Hyperlink" xfId="2306" builtinId="8" hidden="1"/>
    <cellStyle name="Hyperlink" xfId="2308" builtinId="8" hidden="1"/>
    <cellStyle name="Hyperlink" xfId="2310" builtinId="8" hidden="1"/>
    <cellStyle name="Hyperlink" xfId="2312" builtinId="8" hidden="1"/>
    <cellStyle name="Hyperlink" xfId="2314" builtinId="8" hidden="1"/>
    <cellStyle name="Hyperlink" xfId="2316" builtinId="8" hidden="1"/>
    <cellStyle name="Hyperlink" xfId="2318" builtinId="8" hidden="1"/>
    <cellStyle name="Hyperlink" xfId="2320" builtinId="8" hidden="1"/>
    <cellStyle name="Hyperlink" xfId="2322" builtinId="8" hidden="1"/>
    <cellStyle name="Hyperlink" xfId="2324" builtinId="8" hidden="1"/>
    <cellStyle name="Hyperlink" xfId="2326" builtinId="8" hidden="1"/>
    <cellStyle name="Hyperlink" xfId="2328" builtinId="8" hidden="1"/>
    <cellStyle name="Hyperlink" xfId="2330" builtinId="8" hidden="1"/>
    <cellStyle name="Hyperlink" xfId="2332" builtinId="8" hidden="1"/>
    <cellStyle name="Hyperlink" xfId="2334" builtinId="8" hidden="1"/>
    <cellStyle name="Hyperlink" xfId="2336" builtinId="8" hidden="1"/>
    <cellStyle name="Hyperlink" xfId="2338" builtinId="8" hidden="1"/>
    <cellStyle name="Hyperlink" xfId="2340" builtinId="8" hidden="1"/>
    <cellStyle name="Hyperlink" xfId="2342" builtinId="8" hidden="1"/>
    <cellStyle name="Hyperlink" xfId="2344" builtinId="8" hidden="1"/>
    <cellStyle name="Hyperlink" xfId="2346" builtinId="8" hidden="1"/>
    <cellStyle name="Hyperlink" xfId="2348" builtinId="8" hidden="1"/>
    <cellStyle name="Hyperlink" xfId="2350" builtinId="8" hidden="1"/>
    <cellStyle name="Hyperlink" xfId="2352" builtinId="8" hidden="1"/>
    <cellStyle name="Hyperlink" xfId="2354" builtinId="8" hidden="1"/>
    <cellStyle name="Hyperlink" xfId="2356" builtinId="8" hidden="1"/>
    <cellStyle name="Hyperlink" xfId="2358" builtinId="8" hidden="1"/>
    <cellStyle name="Hyperlink" xfId="2360" builtinId="8" hidden="1"/>
    <cellStyle name="Hyperlink" xfId="2362" builtinId="8" hidden="1"/>
    <cellStyle name="Hyperlink" xfId="2364" builtinId="8" hidden="1"/>
    <cellStyle name="Hyperlink" xfId="2366" builtinId="8" hidden="1"/>
    <cellStyle name="Hyperlink" xfId="2368" builtinId="8" hidden="1"/>
    <cellStyle name="Hyperlink" xfId="2370" builtinId="8" hidden="1"/>
    <cellStyle name="Hyperlink" xfId="2372" builtinId="8" hidden="1"/>
    <cellStyle name="Hyperlink" xfId="2374" builtinId="8" hidden="1"/>
    <cellStyle name="Hyperlink" xfId="2376" builtinId="8" hidden="1"/>
    <cellStyle name="Hyperlink" xfId="2378" builtinId="8" hidden="1"/>
    <cellStyle name="Hyperlink" xfId="2380" builtinId="8" hidden="1"/>
    <cellStyle name="Hyperlink" xfId="2382" builtinId="8" hidden="1"/>
    <cellStyle name="Hyperlink" xfId="2384" builtinId="8" hidden="1"/>
    <cellStyle name="Hyperlink" xfId="2386" builtinId="8" hidden="1"/>
    <cellStyle name="Hyperlink" xfId="2388" builtinId="8" hidden="1"/>
    <cellStyle name="Hyperlink" xfId="2390" builtinId="8" hidden="1"/>
    <cellStyle name="Hyperlink" xfId="2392" builtinId="8" hidden="1"/>
    <cellStyle name="Hyperlink" xfId="2394" builtinId="8" hidden="1"/>
    <cellStyle name="Hyperlink" xfId="2396" builtinId="8" hidden="1"/>
    <cellStyle name="Hyperlink" xfId="2398" builtinId="8" hidden="1"/>
    <cellStyle name="Hyperlink" xfId="2400" builtinId="8" hidden="1"/>
    <cellStyle name="Hyperlink" xfId="2402" builtinId="8" hidden="1"/>
    <cellStyle name="Hyperlink" xfId="2404" builtinId="8" hidden="1"/>
    <cellStyle name="Hyperlink" xfId="2406" builtinId="8" hidden="1"/>
    <cellStyle name="Hyperlink" xfId="2408" builtinId="8" hidden="1"/>
    <cellStyle name="Hyperlink" xfId="2410" builtinId="8" hidden="1"/>
    <cellStyle name="Hyperlink" xfId="2412" builtinId="8" hidden="1"/>
    <cellStyle name="Hyperlink" xfId="2414" builtinId="8" hidden="1"/>
    <cellStyle name="Hyperlink" xfId="2416" builtinId="8" hidden="1"/>
    <cellStyle name="Hyperlink" xfId="2418" builtinId="8" hidden="1"/>
    <cellStyle name="Hyperlink" xfId="2420" builtinId="8" hidden="1"/>
    <cellStyle name="Hyperlink" xfId="2422" builtinId="8" hidden="1"/>
    <cellStyle name="Hyperlink" xfId="2424" builtinId="8" hidden="1"/>
    <cellStyle name="Hyperlink" xfId="2426" builtinId="8" hidden="1"/>
    <cellStyle name="Hyperlink" xfId="2428" builtinId="8" hidden="1"/>
    <cellStyle name="Hyperlink" xfId="2430" builtinId="8" hidden="1"/>
    <cellStyle name="Hyperlink" xfId="2432" builtinId="8" hidden="1"/>
    <cellStyle name="Hyperlink" xfId="2434" builtinId="8" hidden="1"/>
    <cellStyle name="Hyperlink" xfId="2436" builtinId="8" hidden="1"/>
    <cellStyle name="Hyperlink" xfId="2438" builtinId="8" hidden="1"/>
    <cellStyle name="Hyperlink" xfId="2440" builtinId="8" hidden="1"/>
    <cellStyle name="Hyperlink" xfId="2442" builtinId="8" hidden="1"/>
    <cellStyle name="Hyperlink" xfId="2444" builtinId="8" hidden="1"/>
    <cellStyle name="Hyperlink" xfId="2446" builtinId="8" hidden="1"/>
    <cellStyle name="Hyperlink" xfId="2448" builtinId="8" hidden="1"/>
    <cellStyle name="Hyperlink" xfId="2450" builtinId="8" hidden="1"/>
    <cellStyle name="Hyperlink" xfId="2452" builtinId="8" hidden="1"/>
    <cellStyle name="Hyperlink" xfId="2454" builtinId="8" hidden="1"/>
    <cellStyle name="Hyperlink" xfId="2456" builtinId="8" hidden="1"/>
    <cellStyle name="Hyperlink" xfId="2458" builtinId="8" hidden="1"/>
    <cellStyle name="Hyperlink" xfId="2460" builtinId="8" hidden="1"/>
    <cellStyle name="Hyperlink" xfId="2462" builtinId="8" hidden="1"/>
    <cellStyle name="Hyperlink" xfId="2464" builtinId="8" hidden="1"/>
    <cellStyle name="Hyperlink" xfId="2466" builtinId="8" hidden="1"/>
    <cellStyle name="Hyperlink" xfId="2468" builtinId="8" hidden="1"/>
    <cellStyle name="Hyperlink" xfId="2470" builtinId="8" hidden="1"/>
    <cellStyle name="Hyperlink" xfId="2472" builtinId="8" hidden="1"/>
    <cellStyle name="Hyperlink" xfId="2474" builtinId="8" hidden="1"/>
    <cellStyle name="Hyperlink" xfId="2476" builtinId="8" hidden="1"/>
    <cellStyle name="Hyperlink" xfId="2478" builtinId="8" hidden="1"/>
    <cellStyle name="Hyperlink" xfId="2480" builtinId="8" hidden="1"/>
    <cellStyle name="Hyperlink" xfId="2482" builtinId="8" hidden="1"/>
    <cellStyle name="Hyperlink" xfId="2484" builtinId="8" hidden="1"/>
    <cellStyle name="Hyperlink" xfId="2486" builtinId="8" hidden="1"/>
    <cellStyle name="Hyperlink" xfId="2488" builtinId="8" hidden="1"/>
    <cellStyle name="Hyperlink" xfId="2490" builtinId="8" hidden="1"/>
    <cellStyle name="Hyperlink" xfId="2492" builtinId="8" hidden="1"/>
    <cellStyle name="Hyperlink" xfId="2494" builtinId="8" hidden="1"/>
    <cellStyle name="Hyperlink" xfId="2496" builtinId="8" hidden="1"/>
    <cellStyle name="Hyperlink" xfId="2498" builtinId="8" hidden="1"/>
    <cellStyle name="Hyperlink" xfId="2500" builtinId="8" hidden="1"/>
    <cellStyle name="Hyperlink" xfId="2502" builtinId="8" hidden="1"/>
    <cellStyle name="Hyperlink" xfId="2504" builtinId="8" hidden="1"/>
    <cellStyle name="Hyperlink" xfId="2506" builtinId="8" hidden="1"/>
    <cellStyle name="Hyperlink" xfId="2508" builtinId="8" hidden="1"/>
    <cellStyle name="Hyperlink" xfId="2510" builtinId="8" hidden="1"/>
    <cellStyle name="Hyperlink" xfId="2512" builtinId="8" hidden="1"/>
    <cellStyle name="Hyperlink" xfId="2514" builtinId="8" hidden="1"/>
    <cellStyle name="Hyperlink" xfId="2516" builtinId="8" hidden="1"/>
    <cellStyle name="Hyperlink" xfId="2518" builtinId="8" hidden="1"/>
    <cellStyle name="Hyperlink" xfId="2520" builtinId="8" hidden="1"/>
    <cellStyle name="Hyperlink" xfId="2522" builtinId="8" hidden="1"/>
    <cellStyle name="Hyperlink" xfId="2524" builtinId="8" hidden="1"/>
    <cellStyle name="Hyperlink" xfId="2526" builtinId="8" hidden="1"/>
    <cellStyle name="Hyperlink" xfId="2528" builtinId="8" hidden="1"/>
    <cellStyle name="Hyperlink" xfId="2530" builtinId="8" hidden="1"/>
    <cellStyle name="Hyperlink" xfId="2532" builtinId="8" hidden="1"/>
    <cellStyle name="Hyperlink" xfId="2534" builtinId="8" hidden="1"/>
    <cellStyle name="Hyperlink" xfId="2536" builtinId="8" hidden="1"/>
    <cellStyle name="Hyperlink" xfId="2538" builtinId="8" hidden="1"/>
    <cellStyle name="Hyperlink" xfId="2540" builtinId="8" hidden="1"/>
    <cellStyle name="Hyperlink" xfId="2542" builtinId="8" hidden="1"/>
    <cellStyle name="Hyperlink" xfId="2544" builtinId="8" hidden="1"/>
    <cellStyle name="Hyperlink" xfId="2546" builtinId="8" hidden="1"/>
    <cellStyle name="Hyperlink" xfId="2548" builtinId="8" hidden="1"/>
    <cellStyle name="Hyperlink" xfId="2550" builtinId="8" hidden="1"/>
    <cellStyle name="Hyperlink" xfId="2552" builtinId="8" hidden="1"/>
    <cellStyle name="Hyperlink" xfId="2554" builtinId="8" hidden="1"/>
    <cellStyle name="Hyperlink" xfId="2556" builtinId="8" hidden="1"/>
    <cellStyle name="Hyperlink" xfId="2558" builtinId="8" hidden="1"/>
    <cellStyle name="Hyperlink" xfId="2560" builtinId="8" hidden="1"/>
    <cellStyle name="Hyperlink" xfId="2562" builtinId="8" hidden="1"/>
    <cellStyle name="Hyperlink" xfId="2564" builtinId="8" hidden="1"/>
    <cellStyle name="Hyperlink" xfId="2566" builtinId="8" hidden="1"/>
    <cellStyle name="Hyperlink" xfId="2568" builtinId="8" hidden="1"/>
    <cellStyle name="Hyperlink" xfId="2570" builtinId="8" hidden="1"/>
    <cellStyle name="Hyperlink" xfId="2572" builtinId="8" hidden="1"/>
    <cellStyle name="Hyperlink" xfId="2574" builtinId="8" hidden="1"/>
    <cellStyle name="Hyperlink" xfId="2576" builtinId="8" hidden="1"/>
    <cellStyle name="Hyperlink" xfId="2578" builtinId="8" hidden="1"/>
    <cellStyle name="Hyperlink" xfId="2580" builtinId="8" hidden="1"/>
    <cellStyle name="Hyperlink" xfId="2582" builtinId="8" hidden="1"/>
    <cellStyle name="Hyperlink" xfId="2584" builtinId="8" hidden="1"/>
    <cellStyle name="Hyperlink" xfId="2586" builtinId="8" hidden="1"/>
    <cellStyle name="Hyperlink" xfId="2588" builtinId="8" hidden="1"/>
    <cellStyle name="Hyperlink" xfId="2590" builtinId="8" hidden="1"/>
    <cellStyle name="Hyperlink" xfId="2592" builtinId="8" hidden="1"/>
    <cellStyle name="Hyperlink" xfId="2594" builtinId="8" hidden="1"/>
    <cellStyle name="Hyperlink" xfId="2596" builtinId="8" hidden="1"/>
    <cellStyle name="Hyperlink" xfId="2598" builtinId="8" hidden="1"/>
    <cellStyle name="Hyperlink" xfId="2600" builtinId="8" hidden="1"/>
    <cellStyle name="Hyperlink" xfId="2602" builtinId="8" hidden="1"/>
    <cellStyle name="Hyperlink" xfId="2604" builtinId="8" hidden="1"/>
    <cellStyle name="Hyperlink" xfId="2606" builtinId="8" hidden="1"/>
    <cellStyle name="Hyperlink" xfId="2608" builtinId="8" hidden="1"/>
    <cellStyle name="Hyperlink" xfId="2610" builtinId="8" hidden="1"/>
    <cellStyle name="Hyperlink" xfId="2612" builtinId="8" hidden="1"/>
    <cellStyle name="Hyperlink" xfId="2614" builtinId="8" hidden="1"/>
    <cellStyle name="Hyperlink" xfId="2616" builtinId="8" hidden="1"/>
    <cellStyle name="Hyperlink" xfId="2618" builtinId="8" hidden="1"/>
    <cellStyle name="Hyperlink" xfId="2620" builtinId="8" hidden="1"/>
    <cellStyle name="Hyperlink" xfId="2622" builtinId="8" hidden="1"/>
    <cellStyle name="Hyperlink" xfId="2624" builtinId="8" hidden="1"/>
    <cellStyle name="Hyperlink" xfId="2626" builtinId="8" hidden="1"/>
    <cellStyle name="Hyperlink" xfId="2628" builtinId="8" hidden="1"/>
    <cellStyle name="Hyperlink" xfId="2630" builtinId="8" hidden="1"/>
    <cellStyle name="Hyperlink" xfId="2632" builtinId="8" hidden="1"/>
    <cellStyle name="Hyperlink" xfId="2634" builtinId="8" hidden="1"/>
    <cellStyle name="Hyperlink" xfId="2636" builtinId="8" hidden="1"/>
    <cellStyle name="Hyperlink" xfId="2638" builtinId="8" hidden="1"/>
    <cellStyle name="Hyperlink" xfId="2640" builtinId="8" hidden="1"/>
    <cellStyle name="Hyperlink" xfId="2642" builtinId="8" hidden="1"/>
    <cellStyle name="Hyperlink" xfId="2644" builtinId="8" hidden="1"/>
    <cellStyle name="Hyperlink" xfId="2646" builtinId="8" hidden="1"/>
    <cellStyle name="Hyperlink" xfId="2648" builtinId="8" hidden="1"/>
    <cellStyle name="Hyperlink" xfId="2650" builtinId="8" hidden="1"/>
    <cellStyle name="Hyperlink" xfId="2652" builtinId="8" hidden="1"/>
    <cellStyle name="Hyperlink" xfId="2654" builtinId="8" hidden="1"/>
    <cellStyle name="Hyperlink" xfId="2656" builtinId="8" hidden="1"/>
    <cellStyle name="Hyperlink" xfId="2658" builtinId="8" hidden="1"/>
    <cellStyle name="Hyperlink" xfId="2660" builtinId="8" hidden="1"/>
    <cellStyle name="Hyperlink" xfId="2662" builtinId="8" hidden="1"/>
    <cellStyle name="Hyperlink" xfId="2664" builtinId="8" hidden="1"/>
    <cellStyle name="Hyperlink" xfId="2666" builtinId="8" hidden="1"/>
    <cellStyle name="Hyperlink" xfId="2668" builtinId="8" hidden="1"/>
    <cellStyle name="Hyperlink" xfId="2670" builtinId="8" hidden="1"/>
    <cellStyle name="Hyperlink" xfId="2672" builtinId="8" hidden="1"/>
    <cellStyle name="Hyperlink" xfId="2674" builtinId="8" hidden="1"/>
    <cellStyle name="Hyperlink" xfId="2676" builtinId="8" hidden="1"/>
    <cellStyle name="Hyperlink" xfId="2678" builtinId="8" hidden="1"/>
    <cellStyle name="Hyperlink" xfId="2680" builtinId="8" hidden="1"/>
    <cellStyle name="Hyperlink" xfId="2682" builtinId="8" hidden="1"/>
    <cellStyle name="Hyperlink" xfId="2684" builtinId="8" hidden="1"/>
    <cellStyle name="Hyperlink" xfId="2686" builtinId="8" hidden="1"/>
    <cellStyle name="Hyperlink" xfId="2688" builtinId="8" hidden="1"/>
    <cellStyle name="Hyperlink" xfId="2690" builtinId="8" hidden="1"/>
    <cellStyle name="Hyperlink" xfId="2692" builtinId="8" hidden="1"/>
    <cellStyle name="Hyperlink" xfId="2694" builtinId="8" hidden="1"/>
    <cellStyle name="Hyperlink" xfId="2696" builtinId="8" hidden="1"/>
    <cellStyle name="Hyperlink" xfId="2698" builtinId="8" hidden="1"/>
    <cellStyle name="Hyperlink" xfId="2700" builtinId="8" hidden="1"/>
    <cellStyle name="Hyperlink" xfId="2702" builtinId="8" hidden="1"/>
    <cellStyle name="Hyperlink" xfId="2704" builtinId="8" hidden="1"/>
    <cellStyle name="Hyperlink" xfId="2706" builtinId="8" hidden="1"/>
    <cellStyle name="Hyperlink" xfId="2708" builtinId="8" hidden="1"/>
    <cellStyle name="Hyperlink" xfId="2710" builtinId="8" hidden="1"/>
    <cellStyle name="Hyperlink" xfId="2712" builtinId="8" hidden="1"/>
    <cellStyle name="Hyperlink" xfId="2714" builtinId="8" hidden="1"/>
    <cellStyle name="Hyperlink" xfId="2716" builtinId="8" hidden="1"/>
    <cellStyle name="Hyperlink" xfId="2718" builtinId="8" hidden="1"/>
    <cellStyle name="Hyperlink" xfId="2720" builtinId="8" hidden="1"/>
    <cellStyle name="Hyperlink" xfId="2722" builtinId="8" hidden="1"/>
    <cellStyle name="Hyperlink" xfId="2724" builtinId="8" hidden="1"/>
    <cellStyle name="Hyperlink" xfId="2726" builtinId="8" hidden="1"/>
    <cellStyle name="Hyperlink" xfId="2728" builtinId="8" hidden="1"/>
    <cellStyle name="Hyperlink" xfId="2730" builtinId="8" hidden="1"/>
    <cellStyle name="Hyperlink" xfId="2732" builtinId="8" hidden="1"/>
    <cellStyle name="Hyperlink" xfId="2734" builtinId="8" hidden="1"/>
    <cellStyle name="Hyperlink" xfId="2736" builtinId="8" hidden="1"/>
    <cellStyle name="Hyperlink" xfId="2738" builtinId="8" hidden="1"/>
    <cellStyle name="Hyperlink" xfId="2740" builtinId="8" hidden="1"/>
    <cellStyle name="Hyperlink" xfId="2742" builtinId="8" hidden="1"/>
    <cellStyle name="Hyperlink" xfId="2744" builtinId="8" hidden="1"/>
    <cellStyle name="Hyperlink" xfId="2746" builtinId="8" hidden="1"/>
    <cellStyle name="Hyperlink" xfId="2748" builtinId="8" hidden="1"/>
    <cellStyle name="Hyperlink" xfId="2750" builtinId="8" hidden="1"/>
    <cellStyle name="Hyperlink" xfId="2752" builtinId="8" hidden="1"/>
    <cellStyle name="Hyperlink" xfId="2754" builtinId="8" hidden="1"/>
    <cellStyle name="Hyperlink" xfId="2756" builtinId="8" hidden="1"/>
    <cellStyle name="Hyperlink" xfId="2758" builtinId="8" hidden="1"/>
    <cellStyle name="Hyperlink" xfId="2760" builtinId="8" hidden="1"/>
    <cellStyle name="Hyperlink" xfId="2762" builtinId="8" hidden="1"/>
    <cellStyle name="Hyperlink" xfId="2764" builtinId="8" hidden="1"/>
    <cellStyle name="Hyperlink" xfId="2766" builtinId="8" hidden="1"/>
    <cellStyle name="Hyperlink" xfId="2768" builtinId="8" hidden="1"/>
    <cellStyle name="Hyperlink" xfId="2770" builtinId="8" hidden="1"/>
    <cellStyle name="Hyperlink" xfId="2772" builtinId="8" hidden="1"/>
    <cellStyle name="Hyperlink" xfId="2774" builtinId="8" hidden="1"/>
    <cellStyle name="Hyperlink" xfId="2776" builtinId="8" hidden="1"/>
    <cellStyle name="Hyperlink" xfId="2778" builtinId="8" hidden="1"/>
    <cellStyle name="Hyperlink" xfId="2780" builtinId="8" hidden="1"/>
    <cellStyle name="Hyperlink" xfId="2782" builtinId="8" hidden="1"/>
    <cellStyle name="Hyperlink" xfId="2784" builtinId="8" hidden="1"/>
    <cellStyle name="Hyperlink" xfId="2786" builtinId="8" hidden="1"/>
    <cellStyle name="Hyperlink" xfId="2788" builtinId="8" hidden="1"/>
    <cellStyle name="Hyperlink" xfId="2790" builtinId="8" hidden="1"/>
    <cellStyle name="Hyperlink" xfId="2792" builtinId="8" hidden="1"/>
    <cellStyle name="Hyperlink" xfId="2794" builtinId="8" hidden="1"/>
    <cellStyle name="Hyperlink" xfId="2796" builtinId="8" hidden="1"/>
    <cellStyle name="Hyperlink" xfId="2798" builtinId="8" hidden="1"/>
    <cellStyle name="Hyperlink" xfId="2800" builtinId="8" hidden="1"/>
    <cellStyle name="Hyperlink" xfId="2802" builtinId="8" hidden="1"/>
    <cellStyle name="Hyperlink" xfId="2804" builtinId="8" hidden="1"/>
    <cellStyle name="Hyperlink" xfId="2806" builtinId="8" hidden="1"/>
    <cellStyle name="Hyperlink" xfId="2808" builtinId="8" hidden="1"/>
    <cellStyle name="Hyperlink" xfId="2810" builtinId="8" hidden="1"/>
    <cellStyle name="Hyperlink" xfId="2812" builtinId="8" hidden="1"/>
    <cellStyle name="Hyperlink" xfId="2814" builtinId="8" hidden="1"/>
    <cellStyle name="Hyperlink" xfId="2816" builtinId="8" hidden="1"/>
    <cellStyle name="Hyperlink" xfId="2818" builtinId="8" hidden="1"/>
    <cellStyle name="Hyperlink" xfId="2820" builtinId="8" hidden="1"/>
    <cellStyle name="Hyperlink" xfId="2822" builtinId="8" hidden="1"/>
    <cellStyle name="Hyperlink" xfId="2824" builtinId="8" hidden="1"/>
    <cellStyle name="Hyperlink" xfId="2826" builtinId="8" hidden="1"/>
    <cellStyle name="Hyperlink" xfId="2828" builtinId="8" hidden="1"/>
    <cellStyle name="Hyperlink" xfId="2830" builtinId="8" hidden="1"/>
    <cellStyle name="Hyperlink" xfId="2832" builtinId="8" hidden="1"/>
    <cellStyle name="Hyperlink" xfId="2834" builtinId="8" hidden="1"/>
    <cellStyle name="Hyperlink" xfId="2836" builtinId="8" hidden="1"/>
    <cellStyle name="Hyperlink" xfId="2838" builtinId="8" hidden="1"/>
    <cellStyle name="Hyperlink" xfId="2840" builtinId="8" hidden="1"/>
    <cellStyle name="Hyperlink" xfId="2842" builtinId="8" hidden="1"/>
    <cellStyle name="Hyperlink" xfId="2844" builtinId="8" hidden="1"/>
    <cellStyle name="Hyperlink" xfId="2846" builtinId="8" hidden="1"/>
    <cellStyle name="Hyperlink" xfId="2848" builtinId="8" hidden="1"/>
    <cellStyle name="Hyperlink" xfId="2850" builtinId="8" hidden="1"/>
    <cellStyle name="Hyperlink" xfId="2852" builtinId="8" hidden="1"/>
    <cellStyle name="Hyperlink" xfId="2854" builtinId="8" hidden="1"/>
    <cellStyle name="Hyperlink" xfId="2856" builtinId="8" hidden="1"/>
    <cellStyle name="Hyperlink" xfId="2858" builtinId="8" hidden="1"/>
    <cellStyle name="Hyperlink" xfId="2860" builtinId="8" hidden="1"/>
    <cellStyle name="Hyperlink" xfId="2862" builtinId="8" hidden="1"/>
    <cellStyle name="Hyperlink" xfId="2864" builtinId="8" hidden="1"/>
    <cellStyle name="Hyperlink" xfId="2866" builtinId="8" hidden="1"/>
    <cellStyle name="Hyperlink" xfId="2868" builtinId="8" hidden="1"/>
    <cellStyle name="Hyperlink" xfId="2870" builtinId="8" hidden="1"/>
    <cellStyle name="Hyperlink" xfId="2872" builtinId="8" hidden="1"/>
    <cellStyle name="Hyperlink" xfId="2874" builtinId="8" hidden="1"/>
    <cellStyle name="Hyperlink" xfId="2876" builtinId="8" hidden="1"/>
    <cellStyle name="Hyperlink" xfId="2878" builtinId="8" hidden="1"/>
    <cellStyle name="Hyperlink" xfId="2880" builtinId="8" hidden="1"/>
    <cellStyle name="Hyperlink" xfId="2882" builtinId="8" hidden="1"/>
    <cellStyle name="Hyperlink" xfId="2884" builtinId="8" hidden="1"/>
    <cellStyle name="Hyperlink" xfId="2886" builtinId="8" hidden="1"/>
    <cellStyle name="Hyperlink" xfId="2888" builtinId="8" hidden="1"/>
    <cellStyle name="Hyperlink" xfId="2890" builtinId="8" hidden="1"/>
    <cellStyle name="Hyperlink" xfId="2892" builtinId="8" hidden="1"/>
    <cellStyle name="Hyperlink" xfId="2894" builtinId="8" hidden="1"/>
    <cellStyle name="Hyperlink" xfId="2896" builtinId="8" hidden="1"/>
    <cellStyle name="Hyperlink" xfId="2898" builtinId="8" hidden="1"/>
    <cellStyle name="Hyperlink" xfId="2900" builtinId="8" hidden="1"/>
    <cellStyle name="Hyperlink" xfId="2902" builtinId="8" hidden="1"/>
    <cellStyle name="Hyperlink" xfId="2904" builtinId="8" hidden="1"/>
    <cellStyle name="Hyperlink" xfId="2906" builtinId="8" hidden="1"/>
    <cellStyle name="Hyperlink" xfId="2908" builtinId="8" hidden="1"/>
    <cellStyle name="Hyperlink" xfId="2910" builtinId="8" hidden="1"/>
    <cellStyle name="Hyperlink" xfId="2912" builtinId="8" hidden="1"/>
    <cellStyle name="Hyperlink" xfId="2914" builtinId="8" hidden="1"/>
    <cellStyle name="Hyperlink" xfId="2916" builtinId="8" hidden="1"/>
    <cellStyle name="Hyperlink" xfId="2918" builtinId="8" hidden="1"/>
    <cellStyle name="Hyperlink" xfId="2920" builtinId="8" hidden="1"/>
    <cellStyle name="Hyperlink" xfId="2922" builtinId="8" hidden="1"/>
    <cellStyle name="Hyperlink" xfId="2924" builtinId="8" hidden="1"/>
    <cellStyle name="Hyperlink" xfId="2926" builtinId="8" hidden="1"/>
    <cellStyle name="Hyperlink" xfId="2928" builtinId="8" hidden="1"/>
    <cellStyle name="Hyperlink" xfId="2930" builtinId="8" hidden="1"/>
    <cellStyle name="Hyperlink" xfId="2932" builtinId="8" hidden="1"/>
    <cellStyle name="Hyperlink" xfId="2934" builtinId="8" hidden="1"/>
    <cellStyle name="Hyperlink" xfId="2936" builtinId="8" hidden="1"/>
    <cellStyle name="Hyperlink" xfId="2938" builtinId="8" hidden="1"/>
    <cellStyle name="Hyperlink" xfId="2940" builtinId="8" hidden="1"/>
    <cellStyle name="Hyperlink" xfId="2942" builtinId="8" hidden="1"/>
    <cellStyle name="Hyperlink" xfId="2944" builtinId="8" hidden="1"/>
    <cellStyle name="Hyperlink" xfId="2946" builtinId="8" hidden="1"/>
    <cellStyle name="Hyperlink" xfId="2948" builtinId="8" hidden="1"/>
    <cellStyle name="Hyperlink" xfId="2950" builtinId="8" hidden="1"/>
    <cellStyle name="Hyperlink" xfId="2952" builtinId="8" hidden="1"/>
    <cellStyle name="Hyperlink" xfId="2954" builtinId="8" hidden="1"/>
    <cellStyle name="Hyperlink" xfId="2956" builtinId="8" hidden="1"/>
    <cellStyle name="Hyperlink" xfId="2958" builtinId="8" hidden="1"/>
    <cellStyle name="Hyperlink" xfId="2960" builtinId="8" hidden="1"/>
    <cellStyle name="Hyperlink" xfId="2962" builtinId="8" hidden="1"/>
    <cellStyle name="Hyperlink" xfId="2964" builtinId="8" hidden="1"/>
    <cellStyle name="Hyperlink" xfId="2966" builtinId="8" hidden="1"/>
    <cellStyle name="Hyperlink" xfId="2968" builtinId="8" hidden="1"/>
    <cellStyle name="Hyperlink" xfId="2970" builtinId="8" hidden="1"/>
    <cellStyle name="Hyperlink" xfId="2972" builtinId="8" hidden="1"/>
    <cellStyle name="Hyperlink" xfId="2974" builtinId="8" hidden="1"/>
    <cellStyle name="Hyperlink" xfId="2976" builtinId="8" hidden="1"/>
    <cellStyle name="Hyperlink" xfId="2978" builtinId="8" hidden="1"/>
    <cellStyle name="Hyperlink" xfId="2980" builtinId="8" hidden="1"/>
    <cellStyle name="Hyperlink" xfId="2982" builtinId="8" hidden="1"/>
    <cellStyle name="Hyperlink" xfId="2984" builtinId="8" hidden="1"/>
    <cellStyle name="Hyperlink" xfId="2986" builtinId="8" hidden="1"/>
    <cellStyle name="Hyperlink" xfId="2988" builtinId="8" hidden="1"/>
    <cellStyle name="Hyperlink" xfId="2990" builtinId="8" hidden="1"/>
    <cellStyle name="Hyperlink" xfId="2992" builtinId="8" hidden="1"/>
    <cellStyle name="Hyperlink" xfId="2994" builtinId="8" hidden="1"/>
    <cellStyle name="Hyperlink" xfId="2996" builtinId="8" hidden="1"/>
    <cellStyle name="Hyperlink" xfId="2998" builtinId="8" hidden="1"/>
    <cellStyle name="Hyperlink" xfId="3000" builtinId="8" hidden="1"/>
    <cellStyle name="Hyperlink" xfId="3002" builtinId="8" hidden="1"/>
    <cellStyle name="Hyperlink" xfId="3004" builtinId="8" hidden="1"/>
    <cellStyle name="Hyperlink" xfId="3006" builtinId="8" hidden="1"/>
    <cellStyle name="Hyperlink" xfId="3008" builtinId="8" hidden="1"/>
    <cellStyle name="Hyperlink" xfId="3010" builtinId="8" hidden="1"/>
    <cellStyle name="Hyperlink" xfId="3012" builtinId="8" hidden="1"/>
    <cellStyle name="Hyperlink" xfId="3014" builtinId="8" hidden="1"/>
    <cellStyle name="Hyperlink" xfId="3016" builtinId="8" hidden="1"/>
    <cellStyle name="Hyperlink" xfId="3018" builtinId="8" hidden="1"/>
    <cellStyle name="Hyperlink" xfId="3020" builtinId="8" hidden="1"/>
    <cellStyle name="Hyperlink" xfId="3022" builtinId="8" hidden="1"/>
    <cellStyle name="Hyperlink" xfId="3024" builtinId="8" hidden="1"/>
    <cellStyle name="Hyperlink" xfId="3026" builtinId="8" hidden="1"/>
    <cellStyle name="Hyperlink" xfId="3028" builtinId="8" hidden="1"/>
    <cellStyle name="Hyperlink" xfId="3030" builtinId="8" hidden="1"/>
    <cellStyle name="Hyperlink" xfId="3032" builtinId="8" hidden="1"/>
    <cellStyle name="Hyperlink" xfId="3034" builtinId="8" hidden="1"/>
    <cellStyle name="Hyperlink" xfId="3036" builtinId="8" hidden="1"/>
    <cellStyle name="Hyperlink" xfId="3038" builtinId="8" hidden="1"/>
    <cellStyle name="Hyperlink" xfId="3040" builtinId="8" hidden="1"/>
    <cellStyle name="Hyperlink" xfId="3042" builtinId="8" hidden="1"/>
    <cellStyle name="Hyperlink" xfId="3044" builtinId="8" hidden="1"/>
    <cellStyle name="Hyperlink" xfId="3046" builtinId="8" hidden="1"/>
    <cellStyle name="Hyperlink" xfId="3048" builtinId="8" hidden="1"/>
    <cellStyle name="Hyperlink" xfId="3050" builtinId="8" hidden="1"/>
    <cellStyle name="Hyperlink" xfId="3052" builtinId="8" hidden="1"/>
    <cellStyle name="Hyperlink" xfId="3054" builtinId="8" hidden="1"/>
    <cellStyle name="Hyperlink" xfId="3056" builtinId="8" hidden="1"/>
    <cellStyle name="Hyperlink" xfId="3058" builtinId="8" hidden="1"/>
    <cellStyle name="Hyperlink" xfId="3060" builtinId="8" hidden="1"/>
    <cellStyle name="Hyperlink" xfId="3062" builtinId="8" hidden="1"/>
    <cellStyle name="Hyperlink" xfId="3064" builtinId="8" hidden="1"/>
    <cellStyle name="Hyperlink" xfId="3066" builtinId="8" hidden="1"/>
    <cellStyle name="Hyperlink" xfId="3068" builtinId="8" hidden="1"/>
    <cellStyle name="Hyperlink" xfId="3070" builtinId="8" hidden="1"/>
    <cellStyle name="Hyperlink" xfId="3072" builtinId="8" hidden="1"/>
    <cellStyle name="Hyperlink" xfId="3074" builtinId="8" hidden="1"/>
    <cellStyle name="Hyperlink" xfId="3076" builtinId="8" hidden="1"/>
    <cellStyle name="Hyperlink" xfId="3078" builtinId="8" hidden="1"/>
    <cellStyle name="Hyperlink" xfId="3080" builtinId="8" hidden="1"/>
    <cellStyle name="Hyperlink" xfId="3082" builtinId="8" hidden="1"/>
    <cellStyle name="Hyperlink" xfId="3084" builtinId="8" hidden="1"/>
    <cellStyle name="Hyperlink" xfId="3086" builtinId="8" hidden="1"/>
    <cellStyle name="Hyperlink" xfId="3088" builtinId="8" hidden="1"/>
    <cellStyle name="Hyperlink" xfId="3090" builtinId="8" hidden="1"/>
    <cellStyle name="Hyperlink" xfId="3092" builtinId="8" hidden="1"/>
    <cellStyle name="Hyperlink" xfId="3094" builtinId="8" hidden="1"/>
    <cellStyle name="Hyperlink" xfId="3096" builtinId="8" hidden="1"/>
    <cellStyle name="Hyperlink" xfId="3098" builtinId="8" hidden="1"/>
    <cellStyle name="Hyperlink" xfId="3100" builtinId="8" hidden="1"/>
    <cellStyle name="Hyperlink" xfId="3102" builtinId="8" hidden="1"/>
    <cellStyle name="Hyperlink" xfId="3104" builtinId="8" hidden="1"/>
    <cellStyle name="Hyperlink" xfId="3106" builtinId="8" hidden="1"/>
    <cellStyle name="Hyperlink" xfId="3108" builtinId="8" hidden="1"/>
    <cellStyle name="Hyperlink" xfId="3110" builtinId="8" hidden="1"/>
    <cellStyle name="Hyperlink" xfId="3112" builtinId="8" hidden="1"/>
    <cellStyle name="Hyperlink" xfId="3114" builtinId="8" hidden="1"/>
    <cellStyle name="Hyperlink" xfId="3116" builtinId="8" hidden="1"/>
    <cellStyle name="Hyperlink" xfId="3118" builtinId="8" hidden="1"/>
    <cellStyle name="Hyperlink" xfId="3120" builtinId="8" hidden="1"/>
    <cellStyle name="Hyperlink" xfId="3122" builtinId="8" hidden="1"/>
    <cellStyle name="Hyperlink" xfId="3124" builtinId="8" hidden="1"/>
    <cellStyle name="Hyperlink" xfId="3126" builtinId="8" hidden="1"/>
    <cellStyle name="Hyperlink" xfId="3128" builtinId="8" hidden="1"/>
    <cellStyle name="Hyperlink" xfId="3130" builtinId="8" hidden="1"/>
    <cellStyle name="Hyperlink" xfId="3132" builtinId="8" hidden="1"/>
    <cellStyle name="Hyperlink" xfId="3134" builtinId="8" hidden="1"/>
    <cellStyle name="Hyperlink" xfId="3136" builtinId="8" hidden="1"/>
    <cellStyle name="Hyperlink" xfId="3138" builtinId="8" hidden="1"/>
    <cellStyle name="Hyperlink" xfId="3140" builtinId="8" hidden="1"/>
    <cellStyle name="Hyperlink" xfId="3142" builtinId="8" hidden="1"/>
    <cellStyle name="Hyperlink" xfId="3144" builtinId="8" hidden="1"/>
    <cellStyle name="Hyperlink" xfId="3146" builtinId="8" hidden="1"/>
    <cellStyle name="Hyperlink" xfId="3148" builtinId="8" hidden="1"/>
    <cellStyle name="Hyperlink" xfId="3150" builtinId="8" hidden="1"/>
    <cellStyle name="Hyperlink" xfId="3152" builtinId="8" hidden="1"/>
    <cellStyle name="Hyperlink" xfId="3154" builtinId="8" hidden="1"/>
    <cellStyle name="Hyperlink" xfId="3156" builtinId="8" hidden="1"/>
    <cellStyle name="Hyperlink" xfId="3158" builtinId="8" hidden="1"/>
    <cellStyle name="Hyperlink" xfId="3160" builtinId="8" hidden="1"/>
    <cellStyle name="Hyperlink" xfId="3162" builtinId="8" hidden="1"/>
    <cellStyle name="Hyperlink" xfId="3164" builtinId="8" hidden="1"/>
    <cellStyle name="Hyperlink" xfId="3166" builtinId="8" hidden="1"/>
    <cellStyle name="Hyperlink" xfId="3168" builtinId="8" hidden="1"/>
    <cellStyle name="Hyperlink" xfId="3170" builtinId="8" hidden="1"/>
    <cellStyle name="Hyperlink" xfId="3172" builtinId="8" hidden="1"/>
    <cellStyle name="Hyperlink" xfId="3174" builtinId="8" hidden="1"/>
    <cellStyle name="Hyperlink" xfId="3176" builtinId="8" hidden="1"/>
    <cellStyle name="Hyperlink" xfId="3178" builtinId="8" hidden="1"/>
    <cellStyle name="Hyperlink" xfId="3180" builtinId="8" hidden="1"/>
    <cellStyle name="Hyperlink" xfId="3182" builtinId="8" hidden="1"/>
    <cellStyle name="Hyperlink" xfId="3184" builtinId="8" hidden="1"/>
    <cellStyle name="Hyperlink" xfId="3186" builtinId="8" hidden="1"/>
    <cellStyle name="Hyperlink" xfId="3188" builtinId="8" hidden="1"/>
    <cellStyle name="Hyperlink" xfId="3190" builtinId="8" hidden="1"/>
    <cellStyle name="Hyperlink" xfId="3192" builtinId="8" hidden="1"/>
    <cellStyle name="Hyperlink" xfId="3194" builtinId="8" hidden="1"/>
    <cellStyle name="Hyperlink" xfId="3196" builtinId="8" hidden="1"/>
    <cellStyle name="Hyperlink" xfId="3198" builtinId="8" hidden="1"/>
    <cellStyle name="Hyperlink" xfId="3200" builtinId="8" hidden="1"/>
    <cellStyle name="Hyperlink" xfId="3202" builtinId="8" hidden="1"/>
    <cellStyle name="Hyperlink" xfId="3204" builtinId="8" hidden="1"/>
    <cellStyle name="Hyperlink" xfId="3206" builtinId="8" hidden="1"/>
    <cellStyle name="Hyperlink" xfId="3208" builtinId="8" hidden="1"/>
    <cellStyle name="Hyperlink" xfId="3210" builtinId="8" hidden="1"/>
    <cellStyle name="Hyperlink" xfId="3212" builtinId="8" hidden="1"/>
    <cellStyle name="Hyperlink" xfId="3214" builtinId="8" hidden="1"/>
    <cellStyle name="Hyperlink" xfId="3216" builtinId="8" hidden="1"/>
    <cellStyle name="Hyperlink" xfId="3218" builtinId="8" hidden="1"/>
    <cellStyle name="Hyperlink" xfId="3220" builtinId="8" hidden="1"/>
    <cellStyle name="Hyperlink" xfId="3222" builtinId="8" hidden="1"/>
    <cellStyle name="Hyperlink" xfId="3224" builtinId="8" hidden="1"/>
    <cellStyle name="Hyperlink" xfId="3226" builtinId="8" hidden="1"/>
    <cellStyle name="Hyperlink" xfId="3228" builtinId="8" hidden="1"/>
    <cellStyle name="Hyperlink" xfId="3230" builtinId="8" hidden="1"/>
    <cellStyle name="Hyperlink" xfId="3232" builtinId="8" hidden="1"/>
    <cellStyle name="Hyperlink" xfId="3234" builtinId="8" hidden="1"/>
    <cellStyle name="Hyperlink" xfId="3236" builtinId="8" hidden="1"/>
    <cellStyle name="Hyperlink" xfId="3238" builtinId="8" hidden="1"/>
    <cellStyle name="Hyperlink" xfId="3240" builtinId="8" hidden="1"/>
    <cellStyle name="Hyperlink" xfId="3242" builtinId="8" hidden="1"/>
    <cellStyle name="Hyperlink" xfId="3244" builtinId="8" hidden="1"/>
    <cellStyle name="Hyperlink" xfId="3246" builtinId="8" hidden="1"/>
    <cellStyle name="Hyperlink" xfId="3248" builtinId="8" hidden="1"/>
    <cellStyle name="Hyperlink" xfId="3250" builtinId="8" hidden="1"/>
    <cellStyle name="Hyperlink" xfId="3252" builtinId="8" hidden="1"/>
    <cellStyle name="Hyperlink" xfId="3254" builtinId="8" hidden="1"/>
    <cellStyle name="Hyperlink" xfId="3256" builtinId="8" hidden="1"/>
    <cellStyle name="Hyperlink" xfId="3258" builtinId="8" hidden="1"/>
    <cellStyle name="Hyperlink" xfId="3260" builtinId="8" hidden="1"/>
    <cellStyle name="Hyperlink" xfId="3262" builtinId="8" hidden="1"/>
    <cellStyle name="Hyperlink" xfId="3264" builtinId="8" hidden="1"/>
    <cellStyle name="Hyperlink" xfId="3266" builtinId="8" hidden="1"/>
    <cellStyle name="Hyperlink" xfId="3268" builtinId="8" hidden="1"/>
    <cellStyle name="Hyperlink" xfId="3270" builtinId="8" hidden="1"/>
    <cellStyle name="Hyperlink" xfId="3272" builtinId="8" hidden="1"/>
    <cellStyle name="Hyperlink" xfId="3274" builtinId="8" hidden="1"/>
    <cellStyle name="Hyperlink" xfId="3276" builtinId="8" hidden="1"/>
    <cellStyle name="Hyperlink" xfId="3278" builtinId="8" hidden="1"/>
    <cellStyle name="Hyperlink" xfId="3280" builtinId="8" hidden="1"/>
    <cellStyle name="Hyperlink" xfId="3282" builtinId="8" hidden="1"/>
    <cellStyle name="Hyperlink" xfId="3284" builtinId="8" hidden="1"/>
    <cellStyle name="Hyperlink" xfId="3286" builtinId="8" hidden="1"/>
    <cellStyle name="Hyperlink" xfId="3288" builtinId="8" hidden="1"/>
    <cellStyle name="Hyperlink" xfId="3290" builtinId="8" hidden="1"/>
    <cellStyle name="Hyperlink" xfId="3292" builtinId="8" hidden="1"/>
    <cellStyle name="Hyperlink" xfId="3294" builtinId="8" hidden="1"/>
    <cellStyle name="Hyperlink" xfId="3296" builtinId="8" hidden="1"/>
    <cellStyle name="Hyperlink" xfId="3298" builtinId="8" hidden="1"/>
    <cellStyle name="Hyperlink" xfId="3300" builtinId="8" hidden="1"/>
    <cellStyle name="Hyperlink" xfId="3302" builtinId="8" hidden="1"/>
    <cellStyle name="Hyperlink" xfId="3304" builtinId="8" hidden="1"/>
    <cellStyle name="Hyperlink" xfId="3306" builtinId="8" hidden="1"/>
    <cellStyle name="Hyperlink" xfId="3308" builtinId="8" hidden="1"/>
    <cellStyle name="Hyperlink" xfId="3310" builtinId="8" hidden="1"/>
    <cellStyle name="Hyperlink" xfId="3312" builtinId="8" hidden="1"/>
    <cellStyle name="Hyperlink" xfId="3314" builtinId="8" hidden="1"/>
    <cellStyle name="Hyperlink" xfId="3316" builtinId="8" hidden="1"/>
    <cellStyle name="Hyperlink" xfId="3318" builtinId="8" hidden="1"/>
    <cellStyle name="Hyperlink" xfId="3320" builtinId="8" hidden="1"/>
    <cellStyle name="Hyperlink" xfId="3322" builtinId="8" hidden="1"/>
    <cellStyle name="Hyperlink" xfId="3324" builtinId="8" hidden="1"/>
    <cellStyle name="Hyperlink" xfId="3326" builtinId="8" hidden="1"/>
    <cellStyle name="Hyperlink" xfId="3328" builtinId="8" hidden="1"/>
    <cellStyle name="Hyperlink" xfId="3330" builtinId="8" hidden="1"/>
    <cellStyle name="Hyperlink" xfId="3332" builtinId="8" hidden="1"/>
    <cellStyle name="Hyperlink" xfId="3334" builtinId="8" hidden="1"/>
    <cellStyle name="Hyperlink" xfId="3336" builtinId="8" hidden="1"/>
    <cellStyle name="Hyperlink" xfId="3338" builtinId="8" hidden="1"/>
    <cellStyle name="Hyperlink" xfId="3340" builtinId="8" hidden="1"/>
    <cellStyle name="Hyperlink" xfId="3342" builtinId="8" hidden="1"/>
    <cellStyle name="Hyperlink" xfId="3344" builtinId="8" hidden="1"/>
    <cellStyle name="Hyperlink" xfId="3346" builtinId="8" hidden="1"/>
    <cellStyle name="Hyperlink" xfId="3348" builtinId="8" hidden="1"/>
    <cellStyle name="Hyperlink" xfId="3350" builtinId="8" hidden="1"/>
    <cellStyle name="Hyperlink" xfId="3352" builtinId="8" hidden="1"/>
    <cellStyle name="Hyperlink" xfId="3354" builtinId="8" hidden="1"/>
    <cellStyle name="Hyperlink" xfId="3356" builtinId="8" hidden="1"/>
    <cellStyle name="Hyperlink" xfId="3358" builtinId="8" hidden="1"/>
    <cellStyle name="Hyperlink" xfId="3360" builtinId="8" hidden="1"/>
    <cellStyle name="Hyperlink" xfId="3362" builtinId="8" hidden="1"/>
    <cellStyle name="Hyperlink" xfId="3364" builtinId="8" hidden="1"/>
    <cellStyle name="Hyperlink" xfId="3366" builtinId="8" hidden="1"/>
    <cellStyle name="Hyperlink" xfId="3368" builtinId="8" hidden="1"/>
    <cellStyle name="Hyperlink" xfId="3370" builtinId="8" hidden="1"/>
    <cellStyle name="Hyperlink" xfId="3372" builtinId="8" hidden="1"/>
    <cellStyle name="Hyperlink" xfId="3374" builtinId="8" hidden="1"/>
    <cellStyle name="Hyperlink" xfId="3376" builtinId="8" hidden="1"/>
    <cellStyle name="Hyperlink" xfId="3378" builtinId="8" hidden="1"/>
    <cellStyle name="Hyperlink" xfId="3380" builtinId="8" hidden="1"/>
    <cellStyle name="Hyperlink" xfId="3382" builtinId="8" hidden="1"/>
    <cellStyle name="Hyperlink" xfId="3384" builtinId="8" hidden="1"/>
    <cellStyle name="Hyperlink" xfId="3386" builtinId="8" hidden="1"/>
    <cellStyle name="Hyperlink" xfId="3388" builtinId="8" hidden="1"/>
    <cellStyle name="Hyperlink" xfId="3390" builtinId="8" hidden="1"/>
    <cellStyle name="Hyperlink" xfId="3392" builtinId="8" hidden="1"/>
    <cellStyle name="Hyperlink" xfId="3394" builtinId="8" hidden="1"/>
    <cellStyle name="Hyperlink" xfId="3396" builtinId="8" hidden="1"/>
    <cellStyle name="Hyperlink" xfId="3398" builtinId="8" hidden="1"/>
    <cellStyle name="Hyperlink" xfId="3400" builtinId="8" hidden="1"/>
    <cellStyle name="Hyperlink" xfId="3402" builtinId="8" hidden="1"/>
    <cellStyle name="Hyperlink" xfId="3404" builtinId="8" hidden="1"/>
    <cellStyle name="Hyperlink" xfId="3406" builtinId="8" hidden="1"/>
    <cellStyle name="Hyperlink" xfId="3408" builtinId="8" hidden="1"/>
    <cellStyle name="Hyperlink" xfId="3410" builtinId="8" hidden="1"/>
    <cellStyle name="Hyperlink" xfId="3412" builtinId="8" hidden="1"/>
    <cellStyle name="Hyperlink" xfId="3414" builtinId="8" hidden="1"/>
    <cellStyle name="Hyperlink" xfId="3416" builtinId="8" hidden="1"/>
    <cellStyle name="Hyperlink" xfId="3418" builtinId="8" hidden="1"/>
    <cellStyle name="Hyperlink" xfId="3420" builtinId="8" hidden="1"/>
    <cellStyle name="Hyperlink" xfId="3422" builtinId="8" hidden="1"/>
    <cellStyle name="Hyperlink" xfId="3424" builtinId="8" hidden="1"/>
    <cellStyle name="Hyperlink" xfId="3426" builtinId="8" hidden="1"/>
    <cellStyle name="Hyperlink" xfId="3428" builtinId="8" hidden="1"/>
    <cellStyle name="Hyperlink" xfId="3430" builtinId="8" hidden="1"/>
    <cellStyle name="Hyperlink" xfId="3432" builtinId="8" hidden="1"/>
    <cellStyle name="Hyperlink" xfId="3434" builtinId="8" hidden="1"/>
    <cellStyle name="Hyperlink" xfId="3436" builtinId="8" hidden="1"/>
    <cellStyle name="Hyperlink" xfId="3438" builtinId="8" hidden="1"/>
    <cellStyle name="Hyperlink" xfId="3440" builtinId="8" hidden="1"/>
    <cellStyle name="Hyperlink" xfId="3442" builtinId="8" hidden="1"/>
    <cellStyle name="Hyperlink" xfId="3444" builtinId="8" hidden="1"/>
    <cellStyle name="Hyperlink" xfId="3446" builtinId="8" hidden="1"/>
    <cellStyle name="Hyperlink" xfId="3448" builtinId="8" hidden="1"/>
    <cellStyle name="Hyperlink" xfId="3450" builtinId="8" hidden="1"/>
    <cellStyle name="Hyperlink" xfId="3452" builtinId="8" hidden="1"/>
    <cellStyle name="Hyperlink" xfId="3454" builtinId="8" hidden="1"/>
    <cellStyle name="Hyperlink" xfId="3456" builtinId="8" hidden="1"/>
    <cellStyle name="Hyperlink" xfId="3458" builtinId="8" hidden="1"/>
    <cellStyle name="Hyperlink" xfId="3460" builtinId="8" hidden="1"/>
    <cellStyle name="Hyperlink" xfId="3462" builtinId="8" hidden="1"/>
    <cellStyle name="Hyperlink" xfId="3464" builtinId="8" hidden="1"/>
    <cellStyle name="Hyperlink" xfId="3466" builtinId="8" hidden="1"/>
    <cellStyle name="Hyperlink" xfId="3468" builtinId="8" hidden="1"/>
    <cellStyle name="Hyperlink" xfId="3470" builtinId="8" hidden="1"/>
    <cellStyle name="Hyperlink" xfId="3472" builtinId="8" hidden="1"/>
    <cellStyle name="Hyperlink" xfId="3474" builtinId="8" hidden="1"/>
    <cellStyle name="Hyperlink" xfId="3476" builtinId="8" hidden="1"/>
    <cellStyle name="Hyperlink" xfId="3478" builtinId="8" hidden="1"/>
    <cellStyle name="Hyperlink" xfId="3480" builtinId="8" hidden="1"/>
    <cellStyle name="Hyperlink" xfId="3482" builtinId="8" hidden="1"/>
    <cellStyle name="Hyperlink" xfId="3484" builtinId="8" hidden="1"/>
    <cellStyle name="Hyperlink" xfId="3486" builtinId="8" hidden="1"/>
    <cellStyle name="Hyperlink" xfId="3488" builtinId="8" hidden="1"/>
    <cellStyle name="Hyperlink" xfId="3490" builtinId="8" hidden="1"/>
    <cellStyle name="Hyperlink" xfId="3492" builtinId="8" hidden="1"/>
    <cellStyle name="Hyperlink" xfId="3494" builtinId="8" hidden="1"/>
    <cellStyle name="Hyperlink" xfId="3496" builtinId="8" hidden="1"/>
    <cellStyle name="Hyperlink" xfId="3498" builtinId="8" hidden="1"/>
    <cellStyle name="Hyperlink" xfId="3500" builtinId="8" hidden="1"/>
    <cellStyle name="Hyperlink" xfId="3502" builtinId="8" hidden="1"/>
    <cellStyle name="Hyperlink" xfId="3504" builtinId="8" hidden="1"/>
    <cellStyle name="Hyperlink" xfId="3506" builtinId="8" hidden="1"/>
    <cellStyle name="Hyperlink" xfId="3508" builtinId="8" hidden="1"/>
    <cellStyle name="Hyperlink" xfId="3510" builtinId="8" hidden="1"/>
    <cellStyle name="Hyperlink" xfId="3512" builtinId="8" hidden="1"/>
    <cellStyle name="Hyperlink" xfId="3514" builtinId="8" hidden="1"/>
    <cellStyle name="Hyperlink" xfId="3516" builtinId="8" hidden="1"/>
    <cellStyle name="Hyperlink" xfId="3518" builtinId="8" hidden="1"/>
    <cellStyle name="Hyperlink" xfId="3520" builtinId="8" hidden="1"/>
    <cellStyle name="Hyperlink" xfId="3522" builtinId="8" hidden="1"/>
    <cellStyle name="Hyperlink" xfId="3524" builtinId="8" hidden="1"/>
    <cellStyle name="Hyperlink" xfId="3526" builtinId="8" hidden="1"/>
    <cellStyle name="Hyperlink" xfId="3528" builtinId="8" hidden="1"/>
    <cellStyle name="Hyperlink" xfId="3530" builtinId="8" hidden="1"/>
    <cellStyle name="Hyperlink" xfId="3532" builtinId="8" hidden="1"/>
    <cellStyle name="Hyperlink" xfId="3534" builtinId="8" hidden="1"/>
    <cellStyle name="Hyperlink" xfId="3536" builtinId="8" hidden="1"/>
    <cellStyle name="Hyperlink" xfId="3538" builtinId="8" hidden="1"/>
    <cellStyle name="Hyperlink" xfId="3540" builtinId="8" hidden="1"/>
    <cellStyle name="Hyperlink" xfId="3542" builtinId="8" hidden="1"/>
    <cellStyle name="Hyperlink" xfId="3544" builtinId="8" hidden="1"/>
    <cellStyle name="Hyperlink" xfId="3546" builtinId="8" hidden="1"/>
    <cellStyle name="Hyperlink" xfId="3548" builtinId="8" hidden="1"/>
    <cellStyle name="Hyperlink" xfId="3550" builtinId="8" hidden="1"/>
    <cellStyle name="Hyperlink" xfId="3552" builtinId="8" hidden="1"/>
    <cellStyle name="Hyperlink" xfId="3554" builtinId="8" hidden="1"/>
    <cellStyle name="Hyperlink" xfId="3556" builtinId="8" hidden="1"/>
    <cellStyle name="Hyperlink" xfId="3558" builtinId="8" hidden="1"/>
    <cellStyle name="Hyperlink" xfId="3560" builtinId="8" hidden="1"/>
    <cellStyle name="Hyperlink" xfId="3562" builtinId="8" hidden="1"/>
    <cellStyle name="Hyperlink" xfId="3564" builtinId="8" hidden="1"/>
    <cellStyle name="Hyperlink" xfId="3566" builtinId="8" hidden="1"/>
    <cellStyle name="Hyperlink" xfId="3568" builtinId="8" hidden="1"/>
    <cellStyle name="Hyperlink" xfId="3570" builtinId="8" hidden="1"/>
    <cellStyle name="Hyperlink" xfId="3572" builtinId="8" hidden="1"/>
    <cellStyle name="Hyperlink" xfId="3574" builtinId="8" hidden="1"/>
    <cellStyle name="Hyperlink" xfId="3576" builtinId="8" hidden="1"/>
    <cellStyle name="Hyperlink" xfId="3578" builtinId="8" hidden="1"/>
    <cellStyle name="Hyperlink" xfId="3580" builtinId="8" hidden="1"/>
    <cellStyle name="Hyperlink" xfId="3582" builtinId="8" hidden="1"/>
    <cellStyle name="Hyperlink" xfId="3584" builtinId="8" hidden="1"/>
    <cellStyle name="Hyperlink" xfId="3586" builtinId="8" hidden="1"/>
    <cellStyle name="Hyperlink" xfId="3588" builtinId="8" hidden="1"/>
    <cellStyle name="Hyperlink" xfId="3590" builtinId="8" hidden="1"/>
    <cellStyle name="Hyperlink" xfId="3592" builtinId="8" hidden="1"/>
    <cellStyle name="Hyperlink" xfId="3594" builtinId="8" hidden="1"/>
    <cellStyle name="Hyperlink" xfId="3596" builtinId="8" hidden="1"/>
    <cellStyle name="Hyperlink" xfId="3598" builtinId="8" hidden="1"/>
    <cellStyle name="Hyperlink" xfId="3600" builtinId="8" hidden="1"/>
    <cellStyle name="Hyperlink" xfId="3602" builtinId="8" hidden="1"/>
    <cellStyle name="Hyperlink" xfId="3604" builtinId="8" hidden="1"/>
    <cellStyle name="Hyperlink" xfId="3606" builtinId="8" hidden="1"/>
    <cellStyle name="Hyperlink" xfId="3608" builtinId="8" hidden="1"/>
    <cellStyle name="Hyperlink" xfId="3610" builtinId="8" hidden="1"/>
    <cellStyle name="Hyperlink" xfId="3612" builtinId="8" hidden="1"/>
    <cellStyle name="Hyperlink" xfId="3614" builtinId="8" hidden="1"/>
    <cellStyle name="Hyperlink" xfId="3616" builtinId="8" hidden="1"/>
    <cellStyle name="Hyperlink" xfId="3618" builtinId="8" hidden="1"/>
    <cellStyle name="Hyperlink" xfId="3620" builtinId="8" hidden="1"/>
    <cellStyle name="Hyperlink" xfId="3622" builtinId="8" hidden="1"/>
    <cellStyle name="Hyperlink" xfId="3624" builtinId="8" hidden="1"/>
    <cellStyle name="Hyperlink" xfId="3626" builtinId="8" hidden="1"/>
    <cellStyle name="Hyperlink" xfId="3628" builtinId="8" hidden="1"/>
    <cellStyle name="Hyperlink" xfId="3630" builtinId="8" hidden="1"/>
    <cellStyle name="Hyperlink" xfId="3632" builtinId="8" hidden="1"/>
    <cellStyle name="Hyperlink" xfId="3634" builtinId="8" hidden="1"/>
    <cellStyle name="Hyperlink" xfId="3636" builtinId="8" hidden="1"/>
    <cellStyle name="Hyperlink" xfId="3638" builtinId="8" hidden="1"/>
    <cellStyle name="Hyperlink" xfId="3640" builtinId="8" hidden="1"/>
    <cellStyle name="Hyperlink" xfId="3642" builtinId="8" hidden="1"/>
    <cellStyle name="Hyperlink" xfId="3644" builtinId="8" hidden="1"/>
    <cellStyle name="Hyperlink" xfId="3646" builtinId="8" hidden="1"/>
    <cellStyle name="Hyperlink" xfId="3648" builtinId="8" hidden="1"/>
    <cellStyle name="Hyperlink" xfId="3650" builtinId="8" hidden="1"/>
    <cellStyle name="Hyperlink" xfId="3652" builtinId="8" hidden="1"/>
    <cellStyle name="Normal" xfId="0" builtinId="0"/>
    <cellStyle name="Normal 2" xfId="971" xr:uid="{00000000-0005-0000-0000-0000450E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355600</xdr:colOff>
      <xdr:row>10</xdr:row>
      <xdr:rowOff>131233</xdr:rowOff>
    </xdr:from>
    <xdr:to>
      <xdr:col>1</xdr:col>
      <xdr:colOff>80433</xdr:colOff>
      <xdr:row>16</xdr:row>
      <xdr:rowOff>131233</xdr:rowOff>
    </xdr:to>
    <xdr:sp macro="" textlink="">
      <xdr:nvSpPr>
        <xdr:cNvPr id="5123" name="BalanceButton" hidden="1">
          <a:extLst>
            <a:ext uri="{63B3BB69-23CF-44E3-9099-C40C66FF867C}">
              <a14:compatExt xmlns:a14="http://schemas.microsoft.com/office/drawing/2010/main" spid="_x0000_s5123"/>
            </a:ext>
            <a:ext uri="{FF2B5EF4-FFF2-40B4-BE49-F238E27FC236}">
              <a16:creationId xmlns:a16="http://schemas.microsoft.com/office/drawing/2014/main" id="{00000000-0008-0000-0100-000003140000}"/>
            </a:ext>
          </a:extLst>
        </xdr:cNvPr>
        <xdr:cNvSpPr/>
      </xdr:nvSpPr>
      <xdr:spPr>
        <a:xfrm>
          <a:off x="0" y="0"/>
          <a:ext cx="0" cy="0"/>
        </a:xfrm>
        <a:prstGeom prst="rect">
          <a:avLst/>
        </a:prstGeom>
      </xdr:spPr>
    </xdr:sp>
    <xdr:clientData/>
  </xdr:twoCellAnchor>
  <xdr:twoCellAnchor editAs="oneCell">
    <xdr:from>
      <xdr:col>18</xdr:col>
      <xdr:colOff>67734</xdr:colOff>
      <xdr:row>1</xdr:row>
      <xdr:rowOff>101599</xdr:rowOff>
    </xdr:from>
    <xdr:to>
      <xdr:col>20</xdr:col>
      <xdr:colOff>541867</xdr:colOff>
      <xdr:row>11</xdr:row>
      <xdr:rowOff>25399</xdr:rowOff>
    </xdr:to>
    <xdr:pic macro="[0]!Sheet8.BalanceButton_Click">
      <xdr:nvPicPr>
        <xdr:cNvPr id="3" name="Picture 2" descr="129498-simple-red-square-icon-signs-scale-sc2.png">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396" t="14113" r="15319" b="16603"/>
        <a:stretch/>
      </xdr:blipFill>
      <xdr:spPr>
        <a:xfrm>
          <a:off x="16594667" y="253999"/>
          <a:ext cx="1828800" cy="1828800"/>
        </a:xfrm>
        <a:prstGeom prst="rect">
          <a:avLst/>
        </a:prstGeom>
      </xdr:spPr>
    </xdr:pic>
    <xdr:clientData/>
  </xdr:twoCellAnchor>
  <xdr:twoCellAnchor editAs="oneCell">
    <xdr:from>
      <xdr:col>18</xdr:col>
      <xdr:colOff>71966</xdr:colOff>
      <xdr:row>15</xdr:row>
      <xdr:rowOff>63472</xdr:rowOff>
    </xdr:from>
    <xdr:to>
      <xdr:col>20</xdr:col>
      <xdr:colOff>581268</xdr:colOff>
      <xdr:row>24</xdr:row>
      <xdr:rowOff>177772</xdr:rowOff>
    </xdr:to>
    <xdr:pic macro="[0]!WriteEwEResult">
      <xdr:nvPicPr>
        <xdr:cNvPr id="2" name="Picture 1" descr="129217-simple-red-square-icon-natural-wonders-leaves-sc49.png">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5365" t="14063" r="15625" b="18229"/>
        <a:stretch/>
      </xdr:blipFill>
      <xdr:spPr>
        <a:xfrm>
          <a:off x="16531166" y="2374872"/>
          <a:ext cx="1855502" cy="182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584200</xdr:colOff>
      <xdr:row>8</xdr:row>
      <xdr:rowOff>0</xdr:rowOff>
    </xdr:from>
    <xdr:to>
      <xdr:col>11</xdr:col>
      <xdr:colOff>541020</xdr:colOff>
      <xdr:row>12</xdr:row>
      <xdr:rowOff>40640</xdr:rowOff>
    </xdr:to>
    <xdr:sp macro="" textlink="">
      <xdr:nvSpPr>
        <xdr:cNvPr id="19459" name="comEvv" hidden="1">
          <a:extLst>
            <a:ext uri="{63B3BB69-23CF-44E3-9099-C40C66FF867C}">
              <a14:compatExt xmlns:a14="http://schemas.microsoft.com/office/drawing/2010/main" spid="_x0000_s19459"/>
            </a:ext>
            <a:ext uri="{FF2B5EF4-FFF2-40B4-BE49-F238E27FC236}">
              <a16:creationId xmlns:a16="http://schemas.microsoft.com/office/drawing/2014/main" id="{00000000-0008-0000-0B00-0000034C0000}"/>
            </a:ext>
          </a:extLst>
        </xdr:cNvPr>
        <xdr:cNvSpPr/>
      </xdr:nvSpPr>
      <xdr:spPr>
        <a:xfrm>
          <a:off x="0" y="0"/>
          <a:ext cx="0" cy="0"/>
        </a:xfrm>
        <a:prstGeom prst="rect">
          <a:avLst/>
        </a:prstGeom>
      </xdr:spPr>
    </xdr:sp>
    <xdr:clientData/>
  </xdr:twoCellAnchor>
  <xdr:twoCellAnchor editAs="oneCell">
    <xdr:from>
      <xdr:col>9</xdr:col>
      <xdr:colOff>520700</xdr:colOff>
      <xdr:row>1</xdr:row>
      <xdr:rowOff>101600</xdr:rowOff>
    </xdr:from>
    <xdr:to>
      <xdr:col>11</xdr:col>
      <xdr:colOff>477520</xdr:colOff>
      <xdr:row>5</xdr:row>
      <xdr:rowOff>154940</xdr:rowOff>
    </xdr:to>
    <xdr:sp macro="" textlink="">
      <xdr:nvSpPr>
        <xdr:cNvPr id="19460" name="comCexport" hidden="1">
          <a:extLst>
            <a:ext uri="{63B3BB69-23CF-44E3-9099-C40C66FF867C}">
              <a14:compatExt xmlns:a14="http://schemas.microsoft.com/office/drawing/2010/main" spid="_x0000_s19460"/>
            </a:ext>
            <a:ext uri="{FF2B5EF4-FFF2-40B4-BE49-F238E27FC236}">
              <a16:creationId xmlns:a16="http://schemas.microsoft.com/office/drawing/2014/main" id="{00000000-0008-0000-0B00-0000044C0000}"/>
            </a:ext>
          </a:extLst>
        </xdr:cNvPr>
        <xdr:cNvSpPr/>
      </xdr:nvSpPr>
      <xdr:spPr>
        <a:xfrm>
          <a:off x="0" y="0"/>
          <a:ext cx="0" cy="0"/>
        </a:xfrm>
        <a:prstGeom prst="rect">
          <a:avLst/>
        </a:prstGeom>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indexed="8"/>
  </sheetPr>
  <dimension ref="B2:D68"/>
  <sheetViews>
    <sheetView topLeftCell="A44" zoomScale="125" zoomScaleNormal="125" zoomScalePageLayoutView="125" workbookViewId="0">
      <selection activeCell="B54" sqref="B54"/>
    </sheetView>
  </sheetViews>
  <sheetFormatPr baseColWidth="10" defaultColWidth="8.83203125" defaultRowHeight="13" x14ac:dyDescent="0.15"/>
  <cols>
    <col min="2" max="2" width="16" customWidth="1"/>
    <col min="3" max="3" width="2116.1640625" customWidth="1"/>
  </cols>
  <sheetData>
    <row r="2" spans="2:4" x14ac:dyDescent="0.15">
      <c r="B2" t="s">
        <v>145</v>
      </c>
    </row>
    <row r="3" spans="2:4" x14ac:dyDescent="0.15">
      <c r="B3" t="s">
        <v>146</v>
      </c>
    </row>
    <row r="4" spans="2:4" x14ac:dyDescent="0.15">
      <c r="B4" s="62" t="s">
        <v>164</v>
      </c>
    </row>
    <row r="6" spans="2:4" ht="14" thickBot="1" x14ac:dyDescent="0.2">
      <c r="B6" s="46" t="s">
        <v>141</v>
      </c>
    </row>
    <row r="7" spans="2:4" x14ac:dyDescent="0.15">
      <c r="B7" s="62" t="s">
        <v>143</v>
      </c>
    </row>
    <row r="8" spans="2:4" x14ac:dyDescent="0.15">
      <c r="B8" s="62" t="s">
        <v>142</v>
      </c>
    </row>
    <row r="9" spans="2:4" x14ac:dyDescent="0.15">
      <c r="B9" s="62" t="s">
        <v>144</v>
      </c>
    </row>
    <row r="10" spans="2:4" x14ac:dyDescent="0.15">
      <c r="B10" s="62" t="s">
        <v>147</v>
      </c>
    </row>
    <row r="11" spans="2:4" x14ac:dyDescent="0.15">
      <c r="B11" s="62" t="s">
        <v>151</v>
      </c>
    </row>
    <row r="12" spans="2:4" x14ac:dyDescent="0.15">
      <c r="B12" s="62" t="s">
        <v>153</v>
      </c>
    </row>
    <row r="13" spans="2:4" x14ac:dyDescent="0.15">
      <c r="B13" s="62" t="s">
        <v>165</v>
      </c>
    </row>
    <row r="15" spans="2:4" ht="14" thickBot="1" x14ac:dyDescent="0.2"/>
    <row r="16" spans="2:4" ht="14" thickBot="1" x14ac:dyDescent="0.2">
      <c r="B16" s="47" t="s">
        <v>137</v>
      </c>
      <c r="C16" s="48"/>
      <c r="D16" s="30">
        <v>41373</v>
      </c>
    </row>
    <row r="17" spans="2:4" x14ac:dyDescent="0.15">
      <c r="B17" s="49" t="s">
        <v>58</v>
      </c>
      <c r="C17" s="33">
        <v>0</v>
      </c>
    </row>
    <row r="18" spans="2:4" x14ac:dyDescent="0.15">
      <c r="B18" s="49" t="s">
        <v>59</v>
      </c>
      <c r="C18" s="33">
        <v>1</v>
      </c>
    </row>
    <row r="19" spans="2:4" x14ac:dyDescent="0.15">
      <c r="B19" s="49" t="s">
        <v>60</v>
      </c>
      <c r="C19" s="33">
        <v>2</v>
      </c>
    </row>
    <row r="20" spans="2:4" ht="14" thickBot="1" x14ac:dyDescent="0.2">
      <c r="B20" s="50" t="s">
        <v>44</v>
      </c>
      <c r="C20" s="34">
        <v>3</v>
      </c>
    </row>
    <row r="21" spans="2:4" x14ac:dyDescent="0.15">
      <c r="B21" s="51" t="s">
        <v>140</v>
      </c>
    </row>
    <row r="22" spans="2:4" ht="14" thickBot="1" x14ac:dyDescent="0.2"/>
    <row r="23" spans="2:4" ht="14" thickBot="1" x14ac:dyDescent="0.2">
      <c r="B23" s="47" t="s">
        <v>65</v>
      </c>
      <c r="C23" s="48"/>
      <c r="D23" s="30" t="s">
        <v>148</v>
      </c>
    </row>
    <row r="24" spans="2:4" x14ac:dyDescent="0.15">
      <c r="B24" s="53" t="s">
        <v>38</v>
      </c>
      <c r="C24" s="31">
        <v>1</v>
      </c>
    </row>
    <row r="25" spans="2:4" x14ac:dyDescent="0.15">
      <c r="B25" s="49" t="s">
        <v>40</v>
      </c>
      <c r="C25" s="33">
        <v>1.1000000000000001</v>
      </c>
    </row>
    <row r="26" spans="2:4" x14ac:dyDescent="0.15">
      <c r="B26" s="49" t="s">
        <v>41</v>
      </c>
      <c r="C26" s="33">
        <v>1.2</v>
      </c>
    </row>
    <row r="27" spans="2:4" x14ac:dyDescent="0.15">
      <c r="B27" s="49"/>
      <c r="C27" s="33"/>
    </row>
    <row r="28" spans="2:4" x14ac:dyDescent="0.15">
      <c r="B28" s="49" t="s">
        <v>42</v>
      </c>
      <c r="C28" s="33">
        <v>2.1</v>
      </c>
    </row>
    <row r="29" spans="2:4" x14ac:dyDescent="0.15">
      <c r="B29" s="49" t="s">
        <v>43</v>
      </c>
      <c r="C29" s="33">
        <v>2.2000000000000002</v>
      </c>
    </row>
    <row r="30" spans="2:4" x14ac:dyDescent="0.15">
      <c r="B30" s="49" t="s">
        <v>67</v>
      </c>
      <c r="C30" s="33">
        <v>2.2999999999999998</v>
      </c>
    </row>
    <row r="31" spans="2:4" x14ac:dyDescent="0.15">
      <c r="B31" s="49"/>
      <c r="C31" s="33"/>
    </row>
    <row r="32" spans="2:4" x14ac:dyDescent="0.15">
      <c r="B32" s="49" t="s">
        <v>62</v>
      </c>
      <c r="C32" s="33">
        <v>3.11</v>
      </c>
    </row>
    <row r="33" spans="2:3" x14ac:dyDescent="0.15">
      <c r="B33" s="49" t="s">
        <v>61</v>
      </c>
      <c r="C33" s="33">
        <v>3.12</v>
      </c>
    </row>
    <row r="34" spans="2:3" x14ac:dyDescent="0.15">
      <c r="B34" s="49" t="s">
        <v>68</v>
      </c>
      <c r="C34" s="33">
        <v>3.13</v>
      </c>
    </row>
    <row r="35" spans="2:3" x14ac:dyDescent="0.15">
      <c r="B35" s="49"/>
      <c r="C35" s="33"/>
    </row>
    <row r="36" spans="2:3" x14ac:dyDescent="0.15">
      <c r="B36" s="49" t="s">
        <v>66</v>
      </c>
      <c r="C36" s="33">
        <v>3.21</v>
      </c>
    </row>
    <row r="37" spans="2:3" x14ac:dyDescent="0.15">
      <c r="B37" s="49" t="s">
        <v>63</v>
      </c>
      <c r="C37" s="33">
        <v>3.22</v>
      </c>
    </row>
    <row r="38" spans="2:3" x14ac:dyDescent="0.15">
      <c r="B38" s="49" t="s">
        <v>69</v>
      </c>
      <c r="C38" s="33">
        <v>3.23</v>
      </c>
    </row>
    <row r="39" spans="2:3" x14ac:dyDescent="0.15">
      <c r="B39" s="49"/>
      <c r="C39" s="33"/>
    </row>
    <row r="40" spans="2:3" x14ac:dyDescent="0.15">
      <c r="B40" s="49" t="s">
        <v>64</v>
      </c>
      <c r="C40" s="33">
        <v>8</v>
      </c>
    </row>
    <row r="41" spans="2:3" x14ac:dyDescent="0.15">
      <c r="B41" s="49"/>
      <c r="C41" s="33"/>
    </row>
    <row r="42" spans="2:3" x14ac:dyDescent="0.15">
      <c r="B42" s="49" t="s">
        <v>71</v>
      </c>
      <c r="C42" s="33">
        <v>4.0999999999999996</v>
      </c>
    </row>
    <row r="43" spans="2:3" x14ac:dyDescent="0.15">
      <c r="B43" s="49" t="s">
        <v>70</v>
      </c>
      <c r="C43" s="33">
        <v>4.2</v>
      </c>
    </row>
    <row r="44" spans="2:3" x14ac:dyDescent="0.15">
      <c r="B44" s="49" t="s">
        <v>72</v>
      </c>
      <c r="C44" s="33">
        <v>4.3</v>
      </c>
    </row>
    <row r="45" spans="2:3" x14ac:dyDescent="0.15">
      <c r="B45" s="32"/>
      <c r="C45" s="33"/>
    </row>
    <row r="46" spans="2:3" x14ac:dyDescent="0.15">
      <c r="B46" s="49" t="s">
        <v>138</v>
      </c>
      <c r="C46" s="33">
        <v>6.1</v>
      </c>
    </row>
    <row r="47" spans="2:3" x14ac:dyDescent="0.15">
      <c r="B47" s="49" t="s">
        <v>45</v>
      </c>
      <c r="C47" s="33">
        <v>6.2</v>
      </c>
    </row>
    <row r="48" spans="2:3" x14ac:dyDescent="0.15">
      <c r="B48" s="49"/>
      <c r="C48" s="33"/>
    </row>
    <row r="49" spans="2:4" x14ac:dyDescent="0.15">
      <c r="B49" s="49" t="s">
        <v>44</v>
      </c>
      <c r="C49" s="33">
        <v>5</v>
      </c>
    </row>
    <row r="50" spans="2:4" x14ac:dyDescent="0.15">
      <c r="B50" s="49"/>
      <c r="C50" s="33"/>
    </row>
    <row r="51" spans="2:4" ht="14" thickBot="1" x14ac:dyDescent="0.2">
      <c r="B51" s="50" t="s">
        <v>73</v>
      </c>
      <c r="C51" s="34">
        <v>7</v>
      </c>
    </row>
    <row r="53" spans="2:4" x14ac:dyDescent="0.15">
      <c r="B53" s="178" t="s">
        <v>171</v>
      </c>
      <c r="C53" s="112">
        <v>465</v>
      </c>
      <c r="D53" s="112"/>
    </row>
    <row r="54" spans="2:4" x14ac:dyDescent="0.15">
      <c r="B54" s="178" t="s">
        <v>172</v>
      </c>
      <c r="C54" s="178" t="s">
        <v>185</v>
      </c>
      <c r="D54" s="112"/>
    </row>
    <row r="55" spans="2:4" x14ac:dyDescent="0.15">
      <c r="B55" s="178" t="s">
        <v>173</v>
      </c>
      <c r="C55" s="178" t="s">
        <v>186</v>
      </c>
      <c r="D55" s="112"/>
    </row>
    <row r="56" spans="2:4" x14ac:dyDescent="0.15">
      <c r="B56" s="178" t="s">
        <v>174</v>
      </c>
      <c r="C56" s="112">
        <v>5788</v>
      </c>
      <c r="D56" s="112"/>
    </row>
    <row r="57" spans="2:4" x14ac:dyDescent="0.15">
      <c r="B57" s="178" t="s">
        <v>175</v>
      </c>
      <c r="C57" s="178" t="s">
        <v>187</v>
      </c>
      <c r="D57" s="112"/>
    </row>
    <row r="58" spans="2:4" x14ac:dyDescent="0.15">
      <c r="B58" s="178" t="s">
        <v>176</v>
      </c>
      <c r="C58" s="178" t="s">
        <v>188</v>
      </c>
      <c r="D58" s="112"/>
    </row>
    <row r="59" spans="2:4" x14ac:dyDescent="0.15">
      <c r="B59" s="178" t="s">
        <v>177</v>
      </c>
      <c r="C59" s="178" t="s">
        <v>189</v>
      </c>
      <c r="D59" s="112"/>
    </row>
    <row r="60" spans="2:4" x14ac:dyDescent="0.15">
      <c r="B60" s="178" t="s">
        <v>178</v>
      </c>
      <c r="C60" s="178" t="s">
        <v>190</v>
      </c>
      <c r="D60" s="112"/>
    </row>
    <row r="61" spans="2:4" x14ac:dyDescent="0.15">
      <c r="B61" s="178" t="s">
        <v>179</v>
      </c>
      <c r="C61" s="112">
        <v>99</v>
      </c>
      <c r="D61" s="112"/>
    </row>
    <row r="62" spans="2:4" x14ac:dyDescent="0.15">
      <c r="B62" s="178" t="s">
        <v>180</v>
      </c>
      <c r="C62" s="112">
        <v>8</v>
      </c>
      <c r="D62" s="112"/>
    </row>
    <row r="63" spans="2:4" x14ac:dyDescent="0.15">
      <c r="B63" s="178" t="s">
        <v>181</v>
      </c>
      <c r="C63" s="112">
        <v>1986</v>
      </c>
      <c r="D63" s="112"/>
    </row>
    <row r="64" spans="2:4" x14ac:dyDescent="0.15">
      <c r="B64" s="178" t="s">
        <v>182</v>
      </c>
      <c r="C64" s="112">
        <v>7</v>
      </c>
      <c r="D64" s="112"/>
    </row>
    <row r="65" spans="2:4" x14ac:dyDescent="0.15">
      <c r="B65" s="178" t="s">
        <v>183</v>
      </c>
      <c r="C65" s="178" t="s">
        <v>191</v>
      </c>
      <c r="D65" s="112"/>
    </row>
    <row r="66" spans="2:4" x14ac:dyDescent="0.15">
      <c r="B66" s="178" t="s">
        <v>184</v>
      </c>
      <c r="D66" s="112"/>
    </row>
    <row r="67" spans="2:4" x14ac:dyDescent="0.15">
      <c r="B67" s="112"/>
      <c r="C67" s="112"/>
      <c r="D67" s="112"/>
    </row>
    <row r="68" spans="2:4" x14ac:dyDescent="0.15">
      <c r="B68" s="112"/>
      <c r="C68" s="112"/>
      <c r="D68" s="112"/>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indexed="45"/>
  </sheetPr>
  <dimension ref="A1:AT193"/>
  <sheetViews>
    <sheetView workbookViewId="0">
      <pane ySplit="1" topLeftCell="A2" activePane="bottomLeft" state="frozenSplit"/>
      <selection activeCell="E1" sqref="E1"/>
      <selection pane="bottomLeft" activeCell="F108" sqref="F2:F108"/>
    </sheetView>
  </sheetViews>
  <sheetFormatPr baseColWidth="10" defaultColWidth="8.83203125" defaultRowHeight="15" customHeight="1" x14ac:dyDescent="0.15"/>
  <cols>
    <col min="1" max="1" width="22.5" style="83" customWidth="1"/>
    <col min="2" max="2" width="3.33203125" style="83" customWidth="1"/>
    <col min="3" max="3" width="4.33203125" style="83" customWidth="1"/>
    <col min="4" max="4" width="14.33203125" style="83" customWidth="1"/>
    <col min="5" max="5" width="44.33203125" style="83" bestFit="1" customWidth="1"/>
    <col min="6" max="6" width="2.33203125" style="83" bestFit="1" customWidth="1"/>
    <col min="7" max="7" width="14.5" style="83" bestFit="1" customWidth="1"/>
    <col min="8" max="8" width="11.83203125" style="83" customWidth="1"/>
    <col min="9" max="9" width="10.83203125" style="83" customWidth="1"/>
    <col min="10" max="11" width="13.83203125" style="83" customWidth="1"/>
    <col min="12" max="12" width="2.33203125" style="83" customWidth="1"/>
    <col min="13" max="13" width="3.83203125" style="83" customWidth="1"/>
    <col min="14" max="14" width="6.83203125" style="83" customWidth="1"/>
    <col min="16" max="25" width="8.83203125" style="83"/>
    <col min="26" max="26" width="16.1640625" bestFit="1" customWidth="1"/>
    <col min="27" max="27" width="23.6640625" customWidth="1"/>
    <col min="28" max="28" width="18.83203125" bestFit="1" customWidth="1"/>
    <col min="29" max="29" width="18.83203125" customWidth="1"/>
    <col min="30" max="30" width="16.33203125" customWidth="1"/>
    <col min="32" max="32" width="41.83203125" bestFit="1" customWidth="1"/>
    <col min="39" max="39" width="33.33203125" bestFit="1" customWidth="1"/>
    <col min="47" max="16384" width="8.83203125" style="83"/>
  </cols>
  <sheetData>
    <row r="1" spans="1:46" s="98" customFormat="1" ht="15" customHeight="1" x14ac:dyDescent="0.15">
      <c r="A1" s="79" t="s">
        <v>18</v>
      </c>
      <c r="C1" s="80" t="s">
        <v>8</v>
      </c>
      <c r="D1" s="79" t="s">
        <v>23</v>
      </c>
      <c r="E1" s="79" t="s">
        <v>0</v>
      </c>
      <c r="F1" s="79" t="s">
        <v>7</v>
      </c>
      <c r="G1" s="81" t="s">
        <v>13</v>
      </c>
      <c r="H1" s="79" t="s">
        <v>1</v>
      </c>
      <c r="I1" s="79" t="s">
        <v>2</v>
      </c>
      <c r="J1" s="79" t="s">
        <v>14</v>
      </c>
      <c r="K1" s="79" t="s">
        <v>3</v>
      </c>
      <c r="L1" s="79" t="s">
        <v>4</v>
      </c>
      <c r="M1" s="79" t="s">
        <v>5</v>
      </c>
      <c r="N1" s="79" t="s">
        <v>6</v>
      </c>
      <c r="O1"/>
      <c r="Z1"/>
      <c r="AA1"/>
      <c r="AB1"/>
      <c r="AC1"/>
      <c r="AD1"/>
      <c r="AE1"/>
      <c r="AF1"/>
      <c r="AG1"/>
      <c r="AH1"/>
      <c r="AI1"/>
      <c r="AJ1"/>
      <c r="AK1"/>
      <c r="AL1"/>
      <c r="AM1"/>
      <c r="AN1"/>
      <c r="AO1"/>
      <c r="AP1"/>
      <c r="AQ1"/>
      <c r="AR1"/>
      <c r="AS1"/>
      <c r="AT1"/>
    </row>
    <row r="2" spans="1:46" ht="15" customHeight="1" x14ac:dyDescent="0.15">
      <c r="C2" s="98">
        <v>1</v>
      </c>
      <c r="D2"/>
      <c r="E2" s="179" t="s">
        <v>192</v>
      </c>
      <c r="F2" s="83">
        <v>0</v>
      </c>
      <c r="G2" s="83">
        <v>3.0300000000000001E-3</v>
      </c>
      <c r="H2" s="83">
        <v>0.1</v>
      </c>
      <c r="I2" s="6">
        <v>41.07</v>
      </c>
      <c r="J2" s="6">
        <v>1.10747525E-3</v>
      </c>
      <c r="K2" s="6">
        <v>2.4348674299999999E-3</v>
      </c>
      <c r="L2" s="6">
        <v>0</v>
      </c>
      <c r="M2" s="83">
        <v>0.2</v>
      </c>
      <c r="N2" s="83">
        <v>0</v>
      </c>
    </row>
    <row r="3" spans="1:46" ht="15" customHeight="1" x14ac:dyDescent="0.15">
      <c r="A3" s="1" t="s">
        <v>9</v>
      </c>
      <c r="B3" s="4">
        <v>92</v>
      </c>
      <c r="C3" s="83">
        <v>2</v>
      </c>
      <c r="D3"/>
      <c r="E3" s="179" t="s">
        <v>193</v>
      </c>
      <c r="F3" s="83">
        <v>0</v>
      </c>
      <c r="G3" s="83">
        <v>0.05</v>
      </c>
      <c r="H3" s="83">
        <v>0.08</v>
      </c>
      <c r="I3" s="83">
        <v>36.5</v>
      </c>
      <c r="J3" s="83">
        <v>2.5000000000000001E-2</v>
      </c>
      <c r="K3" s="83">
        <v>2.1917808300000001E-3</v>
      </c>
      <c r="L3" s="83">
        <v>0</v>
      </c>
      <c r="M3" s="83">
        <v>0.2</v>
      </c>
      <c r="N3" s="83">
        <v>0</v>
      </c>
    </row>
    <row r="4" spans="1:46" ht="15" customHeight="1" x14ac:dyDescent="0.15">
      <c r="A4" s="1" t="s">
        <v>10</v>
      </c>
      <c r="B4" s="4">
        <v>7</v>
      </c>
      <c r="C4" s="83">
        <v>3</v>
      </c>
      <c r="D4"/>
      <c r="E4" s="179" t="s">
        <v>194</v>
      </c>
      <c r="F4" s="83">
        <v>0</v>
      </c>
      <c r="G4" s="83">
        <v>6.8916669999999995E-5</v>
      </c>
      <c r="H4" s="83">
        <v>0.318</v>
      </c>
      <c r="I4" s="83">
        <v>2.08</v>
      </c>
      <c r="J4" s="83">
        <v>0.8</v>
      </c>
      <c r="K4" s="83">
        <v>0.152884617</v>
      </c>
      <c r="L4" s="83">
        <v>0</v>
      </c>
      <c r="M4" s="83">
        <v>0.2</v>
      </c>
      <c r="N4" s="83">
        <v>0</v>
      </c>
      <c r="V4" s="1" t="s">
        <v>29</v>
      </c>
    </row>
    <row r="5" spans="1:46" ht="15" customHeight="1" thickBot="1" x14ac:dyDescent="0.2">
      <c r="A5" s="1" t="s">
        <v>11</v>
      </c>
      <c r="B5" s="4">
        <v>8</v>
      </c>
      <c r="C5" s="83">
        <v>4</v>
      </c>
      <c r="D5"/>
      <c r="E5" s="179" t="s">
        <v>195</v>
      </c>
      <c r="F5" s="83">
        <v>0</v>
      </c>
      <c r="G5" s="83">
        <v>3.5000000000000003E-2</v>
      </c>
      <c r="H5" s="83">
        <v>0.192</v>
      </c>
      <c r="I5" s="83">
        <v>3.5</v>
      </c>
      <c r="J5" s="83">
        <v>0.952279031</v>
      </c>
      <c r="K5" s="83">
        <v>5.4857142300000002E-2</v>
      </c>
      <c r="L5" s="83">
        <v>0</v>
      </c>
      <c r="M5" s="83">
        <v>0.2</v>
      </c>
      <c r="N5" s="83">
        <v>0</v>
      </c>
      <c r="P5" s="73"/>
      <c r="Q5" s="73"/>
      <c r="R5" s="73"/>
    </row>
    <row r="6" spans="1:46" ht="15" customHeight="1" thickBot="1" x14ac:dyDescent="0.2">
      <c r="B6" s="1"/>
      <c r="C6" s="83">
        <v>5</v>
      </c>
      <c r="D6"/>
      <c r="E6" s="179" t="s">
        <v>196</v>
      </c>
      <c r="F6" s="83">
        <v>0</v>
      </c>
      <c r="G6" s="83">
        <v>2.7000000000000001E-3</v>
      </c>
      <c r="H6" s="83">
        <v>0.7</v>
      </c>
      <c r="I6" s="83">
        <v>6.1</v>
      </c>
      <c r="J6" s="83">
        <v>0.81148149999999997</v>
      </c>
      <c r="K6" s="83">
        <v>0.114754096</v>
      </c>
      <c r="L6" s="83">
        <v>0</v>
      </c>
      <c r="M6" s="83">
        <v>0.2</v>
      </c>
      <c r="N6" s="83">
        <v>0</v>
      </c>
      <c r="P6" s="73"/>
      <c r="Q6" s="73"/>
      <c r="R6" s="73"/>
      <c r="W6" s="36" t="s">
        <v>31</v>
      </c>
      <c r="X6" s="52">
        <f>MAX(MainOutputs!G:G)</f>
        <v>0.99820035696029663</v>
      </c>
    </row>
    <row r="7" spans="1:46" ht="15" customHeight="1" x14ac:dyDescent="0.15">
      <c r="A7" s="2" t="s">
        <v>27</v>
      </c>
      <c r="B7" s="83">
        <f ca="1">COUNTIF(OFFSET(cornerDiets,1,1,NumLiving+NumDead+1,NumLiving+NumDead),"&gt;0")+NumLiving+NumDead+1</f>
        <v>1309</v>
      </c>
      <c r="C7" s="83">
        <v>6</v>
      </c>
      <c r="D7"/>
      <c r="E7" s="179" t="s">
        <v>197</v>
      </c>
      <c r="F7" s="83">
        <v>0</v>
      </c>
      <c r="G7" s="83">
        <v>5.0000000000000002E-5</v>
      </c>
      <c r="H7" s="83">
        <v>0.08</v>
      </c>
      <c r="I7" s="83">
        <v>36.700000000000003</v>
      </c>
      <c r="J7" s="83">
        <v>7.47477E-2</v>
      </c>
      <c r="K7" s="83">
        <v>2.1798363899999998E-3</v>
      </c>
      <c r="L7" s="83">
        <v>0</v>
      </c>
      <c r="M7" s="83">
        <v>0.2</v>
      </c>
      <c r="N7" s="83">
        <v>0</v>
      </c>
      <c r="P7" s="73"/>
      <c r="Q7" s="73"/>
      <c r="R7" s="73"/>
    </row>
    <row r="8" spans="1:46" ht="15" customHeight="1" x14ac:dyDescent="0.15">
      <c r="A8" s="2" t="s">
        <v>28</v>
      </c>
      <c r="B8" s="83">
        <f ca="1">COUNTIF(OFFSET(cornerFishing,1,2,NumLiving+NumDead,NumGears),"&gt;0")+NumDead*COUNTIF(OFFSET(cornerDiscards,1,2,NumLiving+NumDead,NumGears),"&gt;0")+NumLiving+NumDead+1</f>
        <v>1180</v>
      </c>
      <c r="C8" s="83">
        <v>7</v>
      </c>
      <c r="D8"/>
      <c r="E8" s="179" t="s">
        <v>198</v>
      </c>
      <c r="F8" s="83">
        <v>0</v>
      </c>
      <c r="G8" s="83">
        <v>2.0200000000000001E-3</v>
      </c>
      <c r="H8" s="83">
        <v>0.08</v>
      </c>
      <c r="I8" s="83">
        <v>33.799999999999997</v>
      </c>
      <c r="J8" s="83">
        <v>0</v>
      </c>
      <c r="K8" s="83">
        <v>2.3668640000000002E-3</v>
      </c>
      <c r="L8" s="83">
        <v>0</v>
      </c>
      <c r="M8" s="83">
        <v>0.2</v>
      </c>
      <c r="N8" s="83">
        <v>0</v>
      </c>
      <c r="P8" s="73"/>
      <c r="Q8" s="73"/>
      <c r="R8" s="73"/>
    </row>
    <row r="9" spans="1:46" ht="15" customHeight="1" x14ac:dyDescent="0.15">
      <c r="B9" s="1"/>
      <c r="C9" s="83">
        <v>8</v>
      </c>
      <c r="D9"/>
      <c r="E9" s="179" t="s">
        <v>199</v>
      </c>
      <c r="F9" s="83">
        <v>0</v>
      </c>
      <c r="G9" s="83">
        <v>3.4000000000000002E-4</v>
      </c>
      <c r="H9" s="83">
        <v>0.20399999999999999</v>
      </c>
      <c r="I9" s="83">
        <v>47.5</v>
      </c>
      <c r="J9" s="83">
        <v>0</v>
      </c>
      <c r="K9" s="83">
        <v>4.2947369999999999E-3</v>
      </c>
      <c r="L9" s="83">
        <v>0</v>
      </c>
      <c r="M9" s="83">
        <v>0.2</v>
      </c>
      <c r="N9" s="83">
        <v>0</v>
      </c>
      <c r="P9" s="73"/>
      <c r="Q9" s="73"/>
      <c r="R9" s="73"/>
    </row>
    <row r="10" spans="1:46" ht="15" customHeight="1" x14ac:dyDescent="0.15">
      <c r="B10" s="1"/>
      <c r="C10" s="83">
        <v>9</v>
      </c>
      <c r="D10"/>
      <c r="E10" s="179" t="s">
        <v>200</v>
      </c>
      <c r="F10" s="83">
        <v>0</v>
      </c>
      <c r="G10" s="83">
        <v>3.6000000000000002E-4</v>
      </c>
      <c r="H10" s="83">
        <v>0.16</v>
      </c>
      <c r="I10" s="83">
        <v>65.099999999999994</v>
      </c>
      <c r="J10" s="83">
        <v>0</v>
      </c>
      <c r="K10" s="83">
        <v>2.45775725E-3</v>
      </c>
      <c r="L10" s="83">
        <v>0</v>
      </c>
      <c r="M10" s="83">
        <v>0.2</v>
      </c>
      <c r="N10" s="83">
        <v>0</v>
      </c>
    </row>
    <row r="11" spans="1:46" ht="15" customHeight="1" x14ac:dyDescent="0.15">
      <c r="C11" s="83">
        <v>10</v>
      </c>
      <c r="D11"/>
      <c r="E11" s="179" t="s">
        <v>201</v>
      </c>
      <c r="F11" s="83">
        <v>0</v>
      </c>
      <c r="G11" s="83">
        <v>5.6499999999999998E-5</v>
      </c>
      <c r="H11" s="83">
        <v>0.5</v>
      </c>
      <c r="I11" s="83">
        <v>7.766667</v>
      </c>
      <c r="J11" s="83">
        <v>1.3803469000000001E-2</v>
      </c>
      <c r="K11" s="83">
        <v>6.4377680000000007E-2</v>
      </c>
      <c r="L11" s="83">
        <v>0</v>
      </c>
      <c r="M11" s="83">
        <v>0.2</v>
      </c>
      <c r="N11" s="83">
        <v>0</v>
      </c>
    </row>
    <row r="12" spans="1:46" ht="15" customHeight="1" x14ac:dyDescent="0.15">
      <c r="C12" s="83">
        <v>11</v>
      </c>
      <c r="D12"/>
      <c r="E12" s="179" t="s">
        <v>202</v>
      </c>
      <c r="F12" s="83">
        <v>0</v>
      </c>
      <c r="G12" s="83">
        <v>1.2487099999999999E-2</v>
      </c>
      <c r="H12" s="83">
        <v>0.8</v>
      </c>
      <c r="I12" s="83">
        <v>12.306666399999999</v>
      </c>
      <c r="J12" s="83">
        <v>0.84848710000000005</v>
      </c>
      <c r="K12" s="83">
        <v>6.5005419999999994E-2</v>
      </c>
      <c r="L12" s="83">
        <v>0</v>
      </c>
      <c r="M12" s="83">
        <v>0.2</v>
      </c>
      <c r="N12" s="83">
        <v>0</v>
      </c>
    </row>
    <row r="13" spans="1:46" ht="15" customHeight="1" x14ac:dyDescent="0.15">
      <c r="C13" s="83">
        <v>12</v>
      </c>
      <c r="D13"/>
      <c r="E13" s="179" t="s">
        <v>203</v>
      </c>
      <c r="F13" s="83">
        <v>0</v>
      </c>
      <c r="G13" s="83">
        <v>5.2900000000000003E-2</v>
      </c>
      <c r="H13" s="83">
        <v>0.83125000000000004</v>
      </c>
      <c r="I13" s="83">
        <v>14.4</v>
      </c>
      <c r="J13" s="83">
        <v>0.99820035699999998</v>
      </c>
      <c r="K13" s="83">
        <v>5.7725697800000003E-2</v>
      </c>
      <c r="L13" s="83">
        <v>0</v>
      </c>
      <c r="M13" s="83">
        <v>0.2</v>
      </c>
      <c r="N13" s="83">
        <v>0</v>
      </c>
    </row>
    <row r="14" spans="1:46" ht="15" customHeight="1" x14ac:dyDescent="0.15">
      <c r="C14" s="83">
        <v>13</v>
      </c>
      <c r="D14"/>
      <c r="E14" s="179" t="s">
        <v>204</v>
      </c>
      <c r="F14" s="83">
        <v>0</v>
      </c>
      <c r="G14" s="83">
        <v>0.04</v>
      </c>
      <c r="H14" s="83">
        <v>0.2</v>
      </c>
      <c r="I14" s="83">
        <v>2.5750000000000002</v>
      </c>
      <c r="J14" s="83">
        <v>0.11569539500000001</v>
      </c>
      <c r="K14" s="83">
        <v>7.76699E-2</v>
      </c>
      <c r="L14" s="83">
        <v>0</v>
      </c>
      <c r="M14" s="83">
        <v>0.2</v>
      </c>
      <c r="N14" s="83">
        <v>0</v>
      </c>
    </row>
    <row r="15" spans="1:46" ht="15" customHeight="1" x14ac:dyDescent="0.15">
      <c r="C15" s="83">
        <v>14</v>
      </c>
      <c r="D15"/>
      <c r="E15" s="179" t="s">
        <v>205</v>
      </c>
      <c r="F15" s="83">
        <v>0</v>
      </c>
      <c r="G15" s="83">
        <v>9.1496504800000003E-2</v>
      </c>
      <c r="H15" s="83">
        <v>0.56599999999999995</v>
      </c>
      <c r="I15" s="83">
        <v>6.46</v>
      </c>
      <c r="J15" s="83">
        <v>0.85</v>
      </c>
      <c r="K15" s="83">
        <v>8.7616089999999994E-2</v>
      </c>
      <c r="L15" s="83">
        <v>0</v>
      </c>
      <c r="M15" s="83">
        <v>0.2</v>
      </c>
      <c r="N15" s="83">
        <v>0</v>
      </c>
    </row>
    <row r="16" spans="1:46" ht="15" customHeight="1" x14ac:dyDescent="0.15">
      <c r="C16" s="83">
        <v>15</v>
      </c>
      <c r="D16"/>
      <c r="E16" s="179" t="s">
        <v>206</v>
      </c>
      <c r="F16" s="83">
        <v>0</v>
      </c>
      <c r="G16" s="83">
        <v>0.34622982099999999</v>
      </c>
      <c r="H16" s="83">
        <v>1.042</v>
      </c>
      <c r="I16" s="83">
        <v>5.1680000000000001</v>
      </c>
      <c r="J16" s="83">
        <v>0.95</v>
      </c>
      <c r="K16" s="83">
        <v>0.20162539199999999</v>
      </c>
      <c r="L16" s="83">
        <v>0</v>
      </c>
      <c r="M16" s="83">
        <v>0.2</v>
      </c>
      <c r="N16" s="83">
        <v>0</v>
      </c>
    </row>
    <row r="17" spans="1:22" ht="15" customHeight="1" x14ac:dyDescent="0.15">
      <c r="C17" s="83">
        <v>16</v>
      </c>
      <c r="D17"/>
      <c r="E17" s="179" t="s">
        <v>207</v>
      </c>
      <c r="F17" s="83">
        <v>0</v>
      </c>
      <c r="G17" s="83">
        <v>0.06</v>
      </c>
      <c r="H17" s="83">
        <v>0.5</v>
      </c>
      <c r="I17" s="83">
        <v>7.8559999999999999</v>
      </c>
      <c r="J17" s="83">
        <v>0.51946409999999998</v>
      </c>
      <c r="K17" s="83">
        <v>6.364562E-2</v>
      </c>
      <c r="L17" s="83">
        <v>0</v>
      </c>
      <c r="M17" s="83">
        <v>0.2</v>
      </c>
      <c r="N17" s="83">
        <v>0</v>
      </c>
      <c r="V17" s="1" t="s">
        <v>30</v>
      </c>
    </row>
    <row r="18" spans="1:22" ht="15" customHeight="1" x14ac:dyDescent="0.15">
      <c r="C18" s="83">
        <v>17</v>
      </c>
      <c r="D18"/>
      <c r="E18" s="179" t="s">
        <v>208</v>
      </c>
      <c r="F18" s="83">
        <v>0</v>
      </c>
      <c r="G18" s="83">
        <v>0.52259999999999995</v>
      </c>
      <c r="H18" s="83">
        <v>0.45100000000000001</v>
      </c>
      <c r="I18" s="83">
        <v>3.4207999999999998</v>
      </c>
      <c r="J18" s="83">
        <v>0.53631645400000005</v>
      </c>
      <c r="K18" s="83">
        <v>0.13184051199999999</v>
      </c>
      <c r="L18" s="83">
        <v>0</v>
      </c>
      <c r="M18" s="83">
        <v>0.2</v>
      </c>
      <c r="N18" s="83">
        <v>0</v>
      </c>
      <c r="V18" s="1"/>
    </row>
    <row r="19" spans="1:22" ht="15" customHeight="1" x14ac:dyDescent="0.15">
      <c r="C19" s="83">
        <v>18</v>
      </c>
      <c r="D19"/>
      <c r="E19" s="179" t="s">
        <v>209</v>
      </c>
      <c r="F19" s="83">
        <v>0</v>
      </c>
      <c r="G19" s="83">
        <v>0.18798857899999999</v>
      </c>
      <c r="H19" s="83">
        <v>0.86799999999999999</v>
      </c>
      <c r="I19" s="83">
        <v>8.1720000000000006</v>
      </c>
      <c r="J19" s="83">
        <v>0.95</v>
      </c>
      <c r="K19" s="83">
        <v>0.106216349</v>
      </c>
      <c r="L19" s="83">
        <v>0</v>
      </c>
      <c r="M19" s="83">
        <v>0.2</v>
      </c>
      <c r="N19" s="83">
        <v>0</v>
      </c>
    </row>
    <row r="20" spans="1:22" ht="15" customHeight="1" thickBot="1" x14ac:dyDescent="0.2">
      <c r="C20" s="83">
        <v>19</v>
      </c>
      <c r="D20"/>
      <c r="E20" s="179" t="s">
        <v>210</v>
      </c>
      <c r="F20" s="83">
        <v>0</v>
      </c>
      <c r="G20" s="83">
        <v>1.9E-3</v>
      </c>
      <c r="H20" s="83">
        <v>0.54700000000000004</v>
      </c>
      <c r="I20" s="83">
        <v>7.7919999999999998</v>
      </c>
      <c r="J20" s="83">
        <v>0.25151604399999999</v>
      </c>
      <c r="K20" s="83">
        <v>7.0200204799999999E-2</v>
      </c>
      <c r="L20" s="83">
        <v>0</v>
      </c>
      <c r="M20" s="83">
        <v>0.2</v>
      </c>
      <c r="N20" s="83">
        <v>0</v>
      </c>
    </row>
    <row r="21" spans="1:22" ht="15" customHeight="1" thickBot="1" x14ac:dyDescent="0.2">
      <c r="A21" s="47" t="s">
        <v>137</v>
      </c>
      <c r="B21" s="99"/>
      <c r="C21" s="83">
        <v>20</v>
      </c>
      <c r="D21"/>
      <c r="E21" s="179" t="s">
        <v>211</v>
      </c>
      <c r="F21" s="83">
        <v>0</v>
      </c>
      <c r="G21" s="83">
        <v>1.73484683</v>
      </c>
      <c r="H21" s="83">
        <v>2</v>
      </c>
      <c r="I21" s="83">
        <v>4.8</v>
      </c>
      <c r="J21" s="83">
        <v>0.95</v>
      </c>
      <c r="K21" s="83">
        <v>0.416666657</v>
      </c>
      <c r="L21" s="83">
        <v>0</v>
      </c>
      <c r="M21" s="83">
        <v>0.2</v>
      </c>
      <c r="N21" s="83">
        <v>0</v>
      </c>
    </row>
    <row r="22" spans="1:22" ht="15" customHeight="1" x14ac:dyDescent="0.15">
      <c r="A22" s="100" t="s">
        <v>58</v>
      </c>
      <c r="B22" s="101">
        <v>0</v>
      </c>
      <c r="C22" s="83">
        <v>21</v>
      </c>
      <c r="D22"/>
      <c r="E22" s="179" t="s">
        <v>212</v>
      </c>
      <c r="F22" s="83">
        <v>0</v>
      </c>
      <c r="G22" s="83">
        <v>7.5200000000000003E-2</v>
      </c>
      <c r="H22" s="83">
        <v>0.32</v>
      </c>
      <c r="I22" s="83">
        <v>9.9320000000000004</v>
      </c>
      <c r="J22" s="83">
        <v>0.53012263800000003</v>
      </c>
      <c r="K22" s="83">
        <v>3.2219089999999999E-2</v>
      </c>
      <c r="L22" s="83">
        <v>0</v>
      </c>
      <c r="M22" s="83">
        <v>0.2</v>
      </c>
      <c r="N22" s="83">
        <v>0</v>
      </c>
    </row>
    <row r="23" spans="1:22" ht="15" customHeight="1" x14ac:dyDescent="0.15">
      <c r="A23" s="100" t="s">
        <v>59</v>
      </c>
      <c r="B23" s="101">
        <v>1</v>
      </c>
      <c r="C23" s="83">
        <v>22</v>
      </c>
      <c r="D23"/>
      <c r="E23" s="179" t="s">
        <v>213</v>
      </c>
      <c r="F23" s="83">
        <v>0</v>
      </c>
      <c r="G23" s="83">
        <v>7.4200000000000002E-2</v>
      </c>
      <c r="H23" s="83">
        <v>0.57699999999999996</v>
      </c>
      <c r="I23" s="83">
        <v>4.7135999999999996</v>
      </c>
      <c r="J23" s="83">
        <v>0.78665430000000003</v>
      </c>
      <c r="K23" s="83">
        <v>0.122411743</v>
      </c>
      <c r="L23" s="83">
        <v>0</v>
      </c>
      <c r="M23" s="83">
        <v>0.2</v>
      </c>
      <c r="N23" s="83">
        <v>0</v>
      </c>
    </row>
    <row r="24" spans="1:22" ht="15" customHeight="1" x14ac:dyDescent="0.15">
      <c r="A24" s="100" t="s">
        <v>60</v>
      </c>
      <c r="B24" s="101">
        <v>2</v>
      </c>
      <c r="C24" s="83">
        <v>23</v>
      </c>
      <c r="D24"/>
      <c r="E24" s="179" t="s">
        <v>214</v>
      </c>
      <c r="F24" s="83">
        <v>0</v>
      </c>
      <c r="G24" s="83">
        <v>0.49299999999999999</v>
      </c>
      <c r="H24" s="83">
        <v>1.5</v>
      </c>
      <c r="I24" s="83">
        <v>5.0263999999999998</v>
      </c>
      <c r="J24" s="83">
        <v>0.89653384700000005</v>
      </c>
      <c r="K24" s="83">
        <v>0.29842429999999998</v>
      </c>
      <c r="L24" s="83">
        <v>0</v>
      </c>
      <c r="M24" s="83">
        <v>0.2</v>
      </c>
      <c r="N24" s="83">
        <v>0</v>
      </c>
    </row>
    <row r="25" spans="1:22" ht="15" customHeight="1" thickBot="1" x14ac:dyDescent="0.2">
      <c r="A25" s="102" t="s">
        <v>44</v>
      </c>
      <c r="B25" s="103">
        <v>3</v>
      </c>
      <c r="C25" s="83">
        <v>24</v>
      </c>
      <c r="D25"/>
      <c r="E25" s="179" t="s">
        <v>215</v>
      </c>
      <c r="F25" s="83">
        <v>0</v>
      </c>
      <c r="G25" s="83">
        <v>0.54641366000000002</v>
      </c>
      <c r="H25" s="83">
        <v>1.45</v>
      </c>
      <c r="I25" s="83">
        <v>7.5544000000000002</v>
      </c>
      <c r="J25" s="83">
        <v>0.95</v>
      </c>
      <c r="K25" s="83">
        <v>0.19194112699999999</v>
      </c>
      <c r="L25" s="83">
        <v>0</v>
      </c>
      <c r="M25" s="83">
        <v>0.2</v>
      </c>
      <c r="N25" s="83">
        <v>0</v>
      </c>
    </row>
    <row r="26" spans="1:22" ht="15" customHeight="1" x14ac:dyDescent="0.15">
      <c r="A26" s="104" t="s">
        <v>140</v>
      </c>
      <c r="C26" s="83">
        <v>25</v>
      </c>
      <c r="D26"/>
      <c r="E26" s="179" t="s">
        <v>216</v>
      </c>
      <c r="F26" s="83">
        <v>0</v>
      </c>
      <c r="G26" s="83">
        <v>1.8188264199999998E-2</v>
      </c>
      <c r="H26" s="83">
        <v>2.1876000000000002</v>
      </c>
      <c r="I26" s="83">
        <v>16.149999999999999</v>
      </c>
      <c r="J26" s="83">
        <v>0.96</v>
      </c>
      <c r="K26" s="83">
        <v>0.13545509999999999</v>
      </c>
      <c r="L26" s="83">
        <v>0</v>
      </c>
      <c r="M26" s="83">
        <v>0.2</v>
      </c>
      <c r="N26" s="83">
        <v>0</v>
      </c>
    </row>
    <row r="27" spans="1:22" ht="15" customHeight="1" x14ac:dyDescent="0.15">
      <c r="C27" s="83">
        <v>26</v>
      </c>
      <c r="D27"/>
      <c r="E27" s="179" t="s">
        <v>217</v>
      </c>
      <c r="F27" s="83">
        <v>0</v>
      </c>
      <c r="G27" s="83">
        <v>2.8805315500000002</v>
      </c>
      <c r="H27" s="83">
        <v>2.1888000000000001</v>
      </c>
      <c r="I27" s="83">
        <v>16.829999999999998</v>
      </c>
      <c r="J27" s="83">
        <v>0.98</v>
      </c>
      <c r="K27" s="83">
        <v>0.130053475</v>
      </c>
      <c r="L27" s="83">
        <v>0</v>
      </c>
      <c r="M27" s="83">
        <v>0.2</v>
      </c>
      <c r="N27" s="83">
        <v>0</v>
      </c>
    </row>
    <row r="28" spans="1:22" ht="15" customHeight="1" x14ac:dyDescent="0.15">
      <c r="C28" s="83">
        <v>27</v>
      </c>
      <c r="D28"/>
      <c r="E28" s="179" t="s">
        <v>218</v>
      </c>
      <c r="F28" s="83">
        <v>0</v>
      </c>
      <c r="G28" s="83">
        <v>2.3599999999999999E-2</v>
      </c>
      <c r="H28" s="83">
        <v>1.51</v>
      </c>
      <c r="I28" s="83">
        <v>35.166699999999999</v>
      </c>
      <c r="J28" s="83">
        <v>0.58649110000000004</v>
      </c>
      <c r="K28" s="83">
        <v>4.29383479E-2</v>
      </c>
      <c r="L28" s="83">
        <v>0</v>
      </c>
      <c r="M28" s="83">
        <v>0.2</v>
      </c>
      <c r="N28" s="83">
        <v>0</v>
      </c>
    </row>
    <row r="29" spans="1:22" customFormat="1" ht="15" customHeight="1" x14ac:dyDescent="0.15">
      <c r="C29" s="83">
        <v>28</v>
      </c>
      <c r="E29" s="179" t="s">
        <v>219</v>
      </c>
      <c r="F29" s="83">
        <v>0</v>
      </c>
      <c r="G29" s="83">
        <v>8.9999999999999998E-4</v>
      </c>
      <c r="H29" s="83">
        <v>0.45</v>
      </c>
      <c r="I29" s="83">
        <v>6.1</v>
      </c>
      <c r="J29" s="83">
        <v>0.37757849999999998</v>
      </c>
      <c r="K29" s="83">
        <v>7.3770489999999994E-2</v>
      </c>
      <c r="L29" s="83">
        <v>0</v>
      </c>
      <c r="M29" s="83">
        <v>0.2</v>
      </c>
      <c r="N29" s="83">
        <v>0</v>
      </c>
    </row>
    <row r="30" spans="1:22" customFormat="1" ht="15" customHeight="1" x14ac:dyDescent="0.15">
      <c r="C30" s="83">
        <v>29</v>
      </c>
      <c r="E30" s="179" t="s">
        <v>220</v>
      </c>
      <c r="F30" s="83">
        <v>0</v>
      </c>
      <c r="G30" s="83">
        <v>0.3165</v>
      </c>
      <c r="H30" s="83">
        <v>0.35444444400000003</v>
      </c>
      <c r="I30" s="83">
        <v>4.4555554400000004</v>
      </c>
      <c r="J30" s="83">
        <v>0.15920838700000001</v>
      </c>
      <c r="K30" s="83">
        <v>7.9551120000000003E-2</v>
      </c>
      <c r="L30" s="83">
        <v>0</v>
      </c>
      <c r="M30" s="83">
        <v>0.2</v>
      </c>
      <c r="N30" s="83">
        <v>0</v>
      </c>
    </row>
    <row r="31" spans="1:22" customFormat="1" ht="15" customHeight="1" x14ac:dyDescent="0.15">
      <c r="C31" s="83">
        <v>30</v>
      </c>
      <c r="E31" s="179" t="s">
        <v>221</v>
      </c>
      <c r="F31" s="83">
        <v>0</v>
      </c>
      <c r="G31" s="83">
        <v>0.317</v>
      </c>
      <c r="H31" s="83">
        <v>0.43916666500000001</v>
      </c>
      <c r="I31" s="83">
        <v>8.3916660000000007</v>
      </c>
      <c r="J31" s="83">
        <v>0.15730933799999999</v>
      </c>
      <c r="K31" s="83">
        <v>5.2333664100000003E-2</v>
      </c>
      <c r="L31" s="83">
        <v>0</v>
      </c>
      <c r="M31" s="83">
        <v>0.2</v>
      </c>
      <c r="N31" s="83">
        <v>0</v>
      </c>
    </row>
    <row r="32" spans="1:22" customFormat="1" ht="15" customHeight="1" x14ac:dyDescent="0.15">
      <c r="C32" s="83">
        <v>31</v>
      </c>
      <c r="E32" s="179" t="s">
        <v>222</v>
      </c>
      <c r="F32" s="83">
        <v>0</v>
      </c>
      <c r="G32" s="83">
        <v>0.4965</v>
      </c>
      <c r="H32" s="83">
        <v>0.37</v>
      </c>
      <c r="I32" s="83">
        <v>4.0666665999999996</v>
      </c>
      <c r="J32" s="83">
        <v>0.60710293100000001</v>
      </c>
      <c r="K32" s="83">
        <v>9.0983610000000006E-2</v>
      </c>
      <c r="L32" s="83">
        <v>0</v>
      </c>
      <c r="M32" s="83">
        <v>0.2</v>
      </c>
      <c r="N32" s="83">
        <v>0</v>
      </c>
    </row>
    <row r="33" spans="3:14" customFormat="1" ht="15" customHeight="1" x14ac:dyDescent="0.15">
      <c r="C33" s="83">
        <v>32</v>
      </c>
      <c r="E33" s="179" t="s">
        <v>223</v>
      </c>
      <c r="F33" s="83">
        <v>0</v>
      </c>
      <c r="G33" s="83">
        <v>7.3499999999999996E-2</v>
      </c>
      <c r="H33" s="83">
        <v>0.50624999999999998</v>
      </c>
      <c r="I33" s="83">
        <v>5.375</v>
      </c>
      <c r="J33" s="83">
        <v>7.9577155400000002E-2</v>
      </c>
      <c r="K33" s="83">
        <v>9.4186049999999993E-2</v>
      </c>
      <c r="L33" s="83">
        <v>0</v>
      </c>
      <c r="M33" s="83">
        <v>0.2</v>
      </c>
      <c r="N33" s="83">
        <v>0</v>
      </c>
    </row>
    <row r="34" spans="3:14" customFormat="1" ht="15" customHeight="1" x14ac:dyDescent="0.15">
      <c r="C34" s="83">
        <v>33</v>
      </c>
      <c r="E34" s="179" t="s">
        <v>224</v>
      </c>
      <c r="F34" s="83">
        <v>0</v>
      </c>
      <c r="G34" s="83">
        <v>2.4439000000000002</v>
      </c>
      <c r="H34" s="83">
        <v>0.27333334100000001</v>
      </c>
      <c r="I34" s="83">
        <v>6.8714284899999996</v>
      </c>
      <c r="J34" s="83">
        <v>3.3584830000000002E-4</v>
      </c>
      <c r="K34" s="83">
        <v>3.9778239999999999E-2</v>
      </c>
      <c r="L34" s="83">
        <v>0</v>
      </c>
      <c r="M34" s="83">
        <v>0.2</v>
      </c>
      <c r="N34" s="83">
        <v>0</v>
      </c>
    </row>
    <row r="35" spans="3:14" customFormat="1" ht="15" customHeight="1" x14ac:dyDescent="0.15">
      <c r="C35" s="83">
        <v>34</v>
      </c>
      <c r="E35" s="179" t="s">
        <v>225</v>
      </c>
      <c r="F35" s="83">
        <v>0</v>
      </c>
      <c r="G35" s="83">
        <v>0.2858</v>
      </c>
      <c r="H35" s="83">
        <v>1.0433332900000001</v>
      </c>
      <c r="I35" s="83">
        <v>9.4333329999999993</v>
      </c>
      <c r="J35" s="83">
        <v>0.33430959999999998</v>
      </c>
      <c r="K35" s="83">
        <v>0.1106007</v>
      </c>
      <c r="L35" s="83">
        <v>0</v>
      </c>
      <c r="M35" s="83">
        <v>0.2</v>
      </c>
      <c r="N35" s="83">
        <v>0</v>
      </c>
    </row>
    <row r="36" spans="3:14" customFormat="1" ht="15" customHeight="1" x14ac:dyDescent="0.15">
      <c r="C36" s="83">
        <v>35</v>
      </c>
      <c r="E36" s="179" t="s">
        <v>226</v>
      </c>
      <c r="F36" s="83">
        <v>0</v>
      </c>
      <c r="G36" s="83">
        <v>0.30855002999999998</v>
      </c>
      <c r="H36" s="83">
        <v>1.28</v>
      </c>
      <c r="I36" s="83">
        <v>11.1</v>
      </c>
      <c r="J36" s="83">
        <v>0.98</v>
      </c>
      <c r="K36" s="83">
        <v>0.115315311</v>
      </c>
      <c r="L36" s="83">
        <v>0</v>
      </c>
      <c r="M36" s="83">
        <v>0.2</v>
      </c>
      <c r="N36" s="83">
        <v>0</v>
      </c>
    </row>
    <row r="37" spans="3:14" customFormat="1" ht="15" customHeight="1" x14ac:dyDescent="0.15">
      <c r="C37" s="83">
        <v>36</v>
      </c>
      <c r="E37" s="179" t="s">
        <v>227</v>
      </c>
      <c r="F37" s="83">
        <v>0</v>
      </c>
      <c r="G37" s="83">
        <v>0.32260867999999998</v>
      </c>
      <c r="H37" s="83">
        <v>2.3260000000000001</v>
      </c>
      <c r="I37" s="83">
        <v>16.420000000000002</v>
      </c>
      <c r="J37" s="83">
        <v>0.98</v>
      </c>
      <c r="K37" s="83">
        <v>0.14165651800000001</v>
      </c>
      <c r="L37" s="83">
        <v>0</v>
      </c>
      <c r="M37" s="83">
        <v>0.2</v>
      </c>
      <c r="N37" s="83">
        <v>0</v>
      </c>
    </row>
    <row r="38" spans="3:14" customFormat="1" ht="15" customHeight="1" x14ac:dyDescent="0.15">
      <c r="C38" s="83">
        <v>37</v>
      </c>
      <c r="E38" s="179" t="s">
        <v>228</v>
      </c>
      <c r="F38" s="83">
        <v>0</v>
      </c>
      <c r="G38" s="83">
        <v>2.0988073300000001</v>
      </c>
      <c r="H38" s="83">
        <v>1.175</v>
      </c>
      <c r="I38" s="83">
        <v>19.3</v>
      </c>
      <c r="J38" s="83">
        <v>0.8</v>
      </c>
      <c r="K38" s="83">
        <v>6.0880829999999997E-2</v>
      </c>
      <c r="L38" s="83">
        <v>0</v>
      </c>
      <c r="M38" s="83">
        <v>0.2</v>
      </c>
      <c r="N38" s="83">
        <v>0</v>
      </c>
    </row>
    <row r="39" spans="3:14" customFormat="1" ht="15" customHeight="1" x14ac:dyDescent="0.15">
      <c r="C39" s="83">
        <v>38</v>
      </c>
      <c r="E39" s="179" t="s">
        <v>229</v>
      </c>
      <c r="F39" s="83">
        <v>0</v>
      </c>
      <c r="G39" s="83">
        <v>6.6681057200000003E-3</v>
      </c>
      <c r="H39" s="83">
        <v>1.88</v>
      </c>
      <c r="I39" s="83">
        <v>45.75</v>
      </c>
      <c r="J39" s="83">
        <v>0.98</v>
      </c>
      <c r="K39" s="83">
        <v>4.1092894999999997E-2</v>
      </c>
      <c r="L39" s="83">
        <v>0</v>
      </c>
      <c r="M39" s="83">
        <v>0.2</v>
      </c>
      <c r="N39" s="83">
        <v>0</v>
      </c>
    </row>
    <row r="40" spans="3:14" customFormat="1" ht="15" customHeight="1" x14ac:dyDescent="0.15">
      <c r="C40" s="83">
        <v>39</v>
      </c>
      <c r="E40" s="179" t="s">
        <v>230</v>
      </c>
      <c r="F40" s="83">
        <v>0</v>
      </c>
      <c r="G40" s="83">
        <v>4.3161634400000003E-2</v>
      </c>
      <c r="H40" s="83">
        <v>0.69</v>
      </c>
      <c r="I40" s="83">
        <v>9.5</v>
      </c>
      <c r="J40" s="83">
        <v>0.98</v>
      </c>
      <c r="K40" s="83">
        <v>7.2631575200000006E-2</v>
      </c>
      <c r="L40" s="83">
        <v>0</v>
      </c>
      <c r="M40" s="83">
        <v>0.2</v>
      </c>
      <c r="N40" s="83">
        <v>0</v>
      </c>
    </row>
    <row r="41" spans="3:14" customFormat="1" ht="15" customHeight="1" x14ac:dyDescent="0.15">
      <c r="C41" s="83">
        <v>40</v>
      </c>
      <c r="E41" s="179" t="s">
        <v>231</v>
      </c>
      <c r="F41" s="83">
        <v>0</v>
      </c>
      <c r="G41" s="83">
        <v>0.27223150000000002</v>
      </c>
      <c r="H41" s="83">
        <v>1.0833333700000001</v>
      </c>
      <c r="I41" s="83">
        <v>36.8333321</v>
      </c>
      <c r="J41" s="83">
        <v>0.9</v>
      </c>
      <c r="K41" s="83">
        <v>2.9411766700000001E-2</v>
      </c>
      <c r="L41" s="83">
        <v>0</v>
      </c>
      <c r="M41" s="83">
        <v>0.2</v>
      </c>
      <c r="N41" s="83">
        <v>0</v>
      </c>
    </row>
    <row r="42" spans="3:14" customFormat="1" ht="15" customHeight="1" x14ac:dyDescent="0.15">
      <c r="C42" s="83">
        <v>41</v>
      </c>
      <c r="E42" s="179" t="s">
        <v>232</v>
      </c>
      <c r="F42" s="83">
        <v>0</v>
      </c>
      <c r="G42" s="83">
        <v>8.5725229999999999E-2</v>
      </c>
      <c r="H42" s="83">
        <v>2.37</v>
      </c>
      <c r="I42" s="83">
        <v>7.9</v>
      </c>
      <c r="J42" s="83">
        <v>0.9</v>
      </c>
      <c r="K42" s="83">
        <v>0.299999982</v>
      </c>
      <c r="L42" s="83">
        <v>0</v>
      </c>
      <c r="M42" s="83">
        <v>0.2</v>
      </c>
      <c r="N42" s="83">
        <v>0</v>
      </c>
    </row>
    <row r="43" spans="3:14" customFormat="1" ht="15" customHeight="1" x14ac:dyDescent="0.15">
      <c r="C43" s="83">
        <v>42</v>
      </c>
      <c r="E43" s="179" t="s">
        <v>233</v>
      </c>
      <c r="F43" s="83">
        <v>0</v>
      </c>
      <c r="G43" s="83">
        <v>0.90324044199999998</v>
      </c>
      <c r="H43" s="83">
        <v>2.37</v>
      </c>
      <c r="I43" s="83">
        <v>7.9</v>
      </c>
      <c r="J43" s="83">
        <v>0.95</v>
      </c>
      <c r="K43" s="83">
        <v>0.299999982</v>
      </c>
      <c r="L43" s="83">
        <v>0</v>
      </c>
      <c r="M43" s="83">
        <v>0.2</v>
      </c>
      <c r="N43" s="83">
        <v>0</v>
      </c>
    </row>
    <row r="44" spans="3:14" customFormat="1" ht="15" customHeight="1" x14ac:dyDescent="0.15">
      <c r="C44" s="83">
        <v>43</v>
      </c>
      <c r="E44" s="179" t="s">
        <v>234</v>
      </c>
      <c r="F44" s="83">
        <v>0</v>
      </c>
      <c r="G44" s="83">
        <v>0.35568904899999998</v>
      </c>
      <c r="H44" s="83">
        <v>3.5</v>
      </c>
      <c r="I44" s="83">
        <v>7.4320000000000004</v>
      </c>
      <c r="J44" s="83">
        <v>0.95</v>
      </c>
      <c r="K44" s="83">
        <v>0.47093647700000002</v>
      </c>
      <c r="L44" s="83">
        <v>0</v>
      </c>
      <c r="M44" s="83">
        <v>0.2</v>
      </c>
      <c r="N44" s="83">
        <v>0</v>
      </c>
    </row>
    <row r="45" spans="3:14" customFormat="1" ht="15" customHeight="1" x14ac:dyDescent="0.15">
      <c r="C45" s="83">
        <v>44</v>
      </c>
      <c r="E45" s="179" t="s">
        <v>235</v>
      </c>
      <c r="F45" s="83">
        <v>0</v>
      </c>
      <c r="G45" s="83">
        <v>9.3589069999999996E-3</v>
      </c>
      <c r="H45" s="83">
        <v>3.8</v>
      </c>
      <c r="I45" s="83">
        <v>43.942985499999999</v>
      </c>
      <c r="J45" s="83">
        <v>0.85191090000000003</v>
      </c>
      <c r="K45" s="83">
        <v>8.6475689999999994E-2</v>
      </c>
      <c r="L45" s="83">
        <v>0</v>
      </c>
      <c r="M45" s="83">
        <v>0.4</v>
      </c>
      <c r="N45" s="83">
        <v>0</v>
      </c>
    </row>
    <row r="46" spans="3:14" customFormat="1" ht="15" customHeight="1" x14ac:dyDescent="0.15">
      <c r="C46" s="83">
        <v>45</v>
      </c>
      <c r="E46" s="179" t="s">
        <v>236</v>
      </c>
      <c r="F46" s="83">
        <v>0</v>
      </c>
      <c r="G46" s="83">
        <v>1.7296442799999999E-2</v>
      </c>
      <c r="H46" s="83">
        <v>1.95</v>
      </c>
      <c r="I46" s="83">
        <v>27.088878600000001</v>
      </c>
      <c r="J46" s="83">
        <v>0.89939849999999999</v>
      </c>
      <c r="K46" s="83">
        <v>7.1985259999999995E-2</v>
      </c>
      <c r="L46" s="83">
        <v>0</v>
      </c>
      <c r="M46" s="83">
        <v>0.4</v>
      </c>
      <c r="N46" s="83">
        <v>0</v>
      </c>
    </row>
    <row r="47" spans="3:14" customFormat="1" ht="15" customHeight="1" x14ac:dyDescent="0.15">
      <c r="C47" s="83">
        <v>46</v>
      </c>
      <c r="E47" s="179" t="s">
        <v>237</v>
      </c>
      <c r="F47" s="83">
        <v>0</v>
      </c>
      <c r="G47" s="83">
        <v>7.9000000000000001E-2</v>
      </c>
      <c r="H47" s="83">
        <v>3.2</v>
      </c>
      <c r="I47" s="83">
        <v>19.2</v>
      </c>
      <c r="J47" s="83">
        <v>0.97541469999999997</v>
      </c>
      <c r="K47" s="83">
        <v>0.166666657</v>
      </c>
      <c r="L47" s="83">
        <v>0</v>
      </c>
      <c r="M47" s="83">
        <v>0.3</v>
      </c>
      <c r="N47" s="83">
        <v>0</v>
      </c>
    </row>
    <row r="48" spans="3:14" customFormat="1" ht="15" customHeight="1" x14ac:dyDescent="0.15">
      <c r="C48" s="83">
        <v>47</v>
      </c>
      <c r="E48" s="179" t="s">
        <v>238</v>
      </c>
      <c r="F48" s="83">
        <v>0</v>
      </c>
      <c r="G48" s="83">
        <v>1.1516491E-2</v>
      </c>
      <c r="H48" s="83">
        <v>3.4</v>
      </c>
      <c r="I48" s="83">
        <v>45.234455099999998</v>
      </c>
      <c r="J48" s="83">
        <v>0.1349958</v>
      </c>
      <c r="K48" s="83">
        <v>7.5163945600000004E-2</v>
      </c>
      <c r="L48" s="83">
        <v>0</v>
      </c>
      <c r="M48" s="83">
        <v>0.4</v>
      </c>
      <c r="N48" s="83">
        <v>0</v>
      </c>
    </row>
    <row r="49" spans="3:14" customFormat="1" ht="15" customHeight="1" x14ac:dyDescent="0.15">
      <c r="C49" s="83">
        <v>48</v>
      </c>
      <c r="E49" s="179" t="s">
        <v>239</v>
      </c>
      <c r="F49" s="83">
        <v>0</v>
      </c>
      <c r="G49" s="83">
        <v>2.1100000000000001E-2</v>
      </c>
      <c r="H49" s="83">
        <v>3.2</v>
      </c>
      <c r="I49" s="83">
        <v>28.160257300000001</v>
      </c>
      <c r="J49" s="83">
        <v>0.91230905100000004</v>
      </c>
      <c r="K49" s="83">
        <v>0.113635324</v>
      </c>
      <c r="L49" s="83">
        <v>0</v>
      </c>
      <c r="M49" s="83">
        <v>0.4</v>
      </c>
      <c r="N49" s="83">
        <v>0</v>
      </c>
    </row>
    <row r="50" spans="3:14" customFormat="1" ht="15" customHeight="1" x14ac:dyDescent="0.15">
      <c r="C50" s="83">
        <v>49</v>
      </c>
      <c r="E50" s="179" t="s">
        <v>240</v>
      </c>
      <c r="F50" s="83">
        <v>0</v>
      </c>
      <c r="G50" s="83">
        <v>0.120903239</v>
      </c>
      <c r="H50" s="83">
        <v>2.34</v>
      </c>
      <c r="I50" s="83">
        <v>19.2</v>
      </c>
      <c r="J50" s="83">
        <v>0.68114703899999995</v>
      </c>
      <c r="K50" s="83">
        <v>0.121874988</v>
      </c>
      <c r="L50" s="83">
        <v>0</v>
      </c>
      <c r="M50" s="83">
        <v>0.3</v>
      </c>
      <c r="N50" s="83">
        <v>0</v>
      </c>
    </row>
    <row r="51" spans="3:14" customFormat="1" ht="15" customHeight="1" x14ac:dyDescent="0.15">
      <c r="C51" s="83">
        <v>50</v>
      </c>
      <c r="E51" s="179" t="s">
        <v>241</v>
      </c>
      <c r="F51" s="83">
        <v>0</v>
      </c>
      <c r="G51" s="83">
        <v>0.101844475</v>
      </c>
      <c r="H51" s="83">
        <v>3</v>
      </c>
      <c r="I51" s="83">
        <v>25</v>
      </c>
      <c r="J51" s="83">
        <v>0.9</v>
      </c>
      <c r="K51" s="83">
        <v>0.12</v>
      </c>
      <c r="L51" s="83">
        <v>0</v>
      </c>
      <c r="M51" s="83">
        <v>0.3</v>
      </c>
      <c r="N51" s="83">
        <v>0</v>
      </c>
    </row>
    <row r="52" spans="3:14" customFormat="1" ht="15" customHeight="1" x14ac:dyDescent="0.15">
      <c r="C52" s="83">
        <v>51</v>
      </c>
      <c r="E52" s="179" t="s">
        <v>242</v>
      </c>
      <c r="F52" s="83">
        <v>0</v>
      </c>
      <c r="G52" s="83">
        <v>0.83459519999999998</v>
      </c>
      <c r="H52" s="83">
        <v>3</v>
      </c>
      <c r="I52" s="83">
        <v>25</v>
      </c>
      <c r="J52" s="83">
        <v>0.95</v>
      </c>
      <c r="K52" s="83">
        <v>0.12</v>
      </c>
      <c r="L52" s="83">
        <v>0</v>
      </c>
      <c r="M52" s="83">
        <v>0.3</v>
      </c>
      <c r="N52" s="83">
        <v>0</v>
      </c>
    </row>
    <row r="53" spans="3:14" customFormat="1" ht="15" customHeight="1" x14ac:dyDescent="0.15">
      <c r="C53" s="83">
        <v>52</v>
      </c>
      <c r="E53" s="179" t="s">
        <v>243</v>
      </c>
      <c r="F53" s="83">
        <v>0</v>
      </c>
      <c r="G53" s="83">
        <v>9.1715540000000004</v>
      </c>
      <c r="H53" s="83">
        <v>3</v>
      </c>
      <c r="I53" s="83">
        <v>25</v>
      </c>
      <c r="J53" s="83">
        <v>0.95</v>
      </c>
      <c r="K53" s="83">
        <v>0.12</v>
      </c>
      <c r="L53" s="83">
        <v>0</v>
      </c>
      <c r="M53" s="83">
        <v>0.3</v>
      </c>
      <c r="N53" s="83">
        <v>0</v>
      </c>
    </row>
    <row r="54" spans="3:14" customFormat="1" ht="15" customHeight="1" x14ac:dyDescent="0.15">
      <c r="C54" s="83">
        <v>53</v>
      </c>
      <c r="E54" s="179" t="s">
        <v>244</v>
      </c>
      <c r="F54" s="83">
        <v>0</v>
      </c>
      <c r="G54" s="83">
        <v>1.1735895600000001E-2</v>
      </c>
      <c r="H54" s="83">
        <v>3</v>
      </c>
      <c r="I54" s="83">
        <v>25</v>
      </c>
      <c r="J54" s="83">
        <v>0.95</v>
      </c>
      <c r="K54" s="83">
        <v>0.12</v>
      </c>
      <c r="L54" s="83">
        <v>0</v>
      </c>
      <c r="M54" s="83">
        <v>0.3</v>
      </c>
      <c r="N54" s="83">
        <v>0</v>
      </c>
    </row>
    <row r="55" spans="3:14" customFormat="1" ht="15" customHeight="1" x14ac:dyDescent="0.15">
      <c r="C55" s="83">
        <v>54</v>
      </c>
      <c r="E55" s="179" t="s">
        <v>245</v>
      </c>
      <c r="F55" s="83">
        <v>0</v>
      </c>
      <c r="G55" s="83">
        <v>6.1636580000000003E-2</v>
      </c>
      <c r="H55" s="83">
        <v>2.8</v>
      </c>
      <c r="I55" s="83">
        <v>8.5</v>
      </c>
      <c r="J55" s="83">
        <v>0.9</v>
      </c>
      <c r="K55" s="83">
        <v>0.32941174499999998</v>
      </c>
      <c r="L55" s="83">
        <v>0</v>
      </c>
      <c r="M55" s="83">
        <v>0.3</v>
      </c>
      <c r="N55" s="83">
        <v>0</v>
      </c>
    </row>
    <row r="56" spans="3:14" customFormat="1" ht="15" customHeight="1" x14ac:dyDescent="0.15">
      <c r="C56" s="83">
        <v>55</v>
      </c>
      <c r="E56" s="179" t="s">
        <v>246</v>
      </c>
      <c r="F56" s="83">
        <v>0</v>
      </c>
      <c r="G56" s="83">
        <v>5.0909284499999999E-2</v>
      </c>
      <c r="H56" s="83">
        <v>2.8</v>
      </c>
      <c r="I56" s="83">
        <v>8.5</v>
      </c>
      <c r="J56" s="83">
        <v>0.9</v>
      </c>
      <c r="K56" s="83">
        <v>0.32941174499999998</v>
      </c>
      <c r="L56" s="83">
        <v>0</v>
      </c>
      <c r="M56" s="83">
        <v>0.3</v>
      </c>
      <c r="N56" s="83">
        <v>0</v>
      </c>
    </row>
    <row r="57" spans="3:14" customFormat="1" ht="15" customHeight="1" x14ac:dyDescent="0.15">
      <c r="C57" s="83">
        <v>56</v>
      </c>
      <c r="E57" s="179" t="s">
        <v>247</v>
      </c>
      <c r="F57" s="83">
        <v>0</v>
      </c>
      <c r="G57" s="83">
        <v>6.4437024300000006E-2</v>
      </c>
      <c r="H57" s="83">
        <v>2.8</v>
      </c>
      <c r="I57" s="83">
        <v>8.5</v>
      </c>
      <c r="J57" s="83">
        <v>0.9</v>
      </c>
      <c r="K57" s="83">
        <v>0.32941174499999998</v>
      </c>
      <c r="L57" s="83">
        <v>0</v>
      </c>
      <c r="M57" s="83">
        <v>0.3</v>
      </c>
      <c r="N57" s="83">
        <v>0</v>
      </c>
    </row>
    <row r="58" spans="3:14" customFormat="1" ht="15" customHeight="1" x14ac:dyDescent="0.15">
      <c r="C58" s="83">
        <v>57</v>
      </c>
      <c r="E58" s="179" t="s">
        <v>248</v>
      </c>
      <c r="F58" s="83">
        <v>0</v>
      </c>
      <c r="G58" s="83">
        <v>4.7227592500000002</v>
      </c>
      <c r="H58" s="83">
        <v>2.8</v>
      </c>
      <c r="I58" s="83">
        <v>8.5</v>
      </c>
      <c r="J58" s="83">
        <v>0.9</v>
      </c>
      <c r="K58" s="83">
        <v>0.32941174499999998</v>
      </c>
      <c r="L58" s="83">
        <v>0</v>
      </c>
      <c r="M58" s="83">
        <v>0.3</v>
      </c>
      <c r="N58" s="83">
        <v>0</v>
      </c>
    </row>
    <row r="59" spans="3:14" customFormat="1" ht="15" customHeight="1" x14ac:dyDescent="0.15">
      <c r="C59" s="83">
        <v>58</v>
      </c>
      <c r="E59" s="179" t="s">
        <v>249</v>
      </c>
      <c r="F59" s="83">
        <v>0</v>
      </c>
      <c r="G59" s="83">
        <v>2.2800000000000001E-2</v>
      </c>
      <c r="H59" s="83">
        <v>2.8</v>
      </c>
      <c r="I59" s="83">
        <v>14</v>
      </c>
      <c r="J59" s="83">
        <v>0.39515846999999998</v>
      </c>
      <c r="K59" s="83">
        <v>0.2</v>
      </c>
      <c r="L59" s="83">
        <v>0</v>
      </c>
      <c r="M59" s="83">
        <v>0.3</v>
      </c>
      <c r="N59" s="83">
        <v>0</v>
      </c>
    </row>
    <row r="60" spans="3:14" customFormat="1" ht="15" customHeight="1" x14ac:dyDescent="0.15">
      <c r="C60" s="83">
        <v>59</v>
      </c>
      <c r="E60" s="179" t="s">
        <v>250</v>
      </c>
      <c r="F60" s="83">
        <v>0</v>
      </c>
      <c r="G60" s="83">
        <v>6.5000000000000002E-2</v>
      </c>
      <c r="H60" s="83">
        <v>0.61</v>
      </c>
      <c r="I60" s="83">
        <v>3.36</v>
      </c>
      <c r="J60" s="83">
        <v>0.97997270000000003</v>
      </c>
      <c r="K60" s="83">
        <v>0.18154762699999999</v>
      </c>
      <c r="L60" s="83">
        <v>0</v>
      </c>
      <c r="M60" s="83">
        <v>0.4</v>
      </c>
      <c r="N60" s="83">
        <v>0</v>
      </c>
    </row>
    <row r="61" spans="3:14" customFormat="1" ht="15" customHeight="1" x14ac:dyDescent="0.15">
      <c r="C61" s="83">
        <v>60</v>
      </c>
      <c r="E61" s="179" t="s">
        <v>251</v>
      </c>
      <c r="F61" s="83">
        <v>0</v>
      </c>
      <c r="G61" s="83">
        <v>2.1425000000000001</v>
      </c>
      <c r="H61" s="83">
        <v>1.4</v>
      </c>
      <c r="I61" s="83">
        <v>2.81</v>
      </c>
      <c r="J61" s="83">
        <v>0.14408610799999999</v>
      </c>
      <c r="K61" s="83">
        <v>0.49822065199999999</v>
      </c>
      <c r="L61" s="83">
        <v>0</v>
      </c>
      <c r="M61" s="83">
        <v>0.4</v>
      </c>
      <c r="N61" s="83">
        <v>0</v>
      </c>
    </row>
    <row r="62" spans="3:14" customFormat="1" ht="15" customHeight="1" x14ac:dyDescent="0.15">
      <c r="C62" s="83">
        <v>61</v>
      </c>
      <c r="E62" s="179" t="s">
        <v>252</v>
      </c>
      <c r="F62" s="83">
        <v>0</v>
      </c>
      <c r="G62" s="83">
        <v>8.4900000000000003E-2</v>
      </c>
      <c r="H62" s="83">
        <v>1.65</v>
      </c>
      <c r="I62" s="83">
        <v>2.81</v>
      </c>
      <c r="J62" s="83">
        <v>0.70759899999999998</v>
      </c>
      <c r="K62" s="83">
        <v>0.58718859999999995</v>
      </c>
      <c r="L62" s="83">
        <v>0</v>
      </c>
      <c r="M62" s="83">
        <v>0.4</v>
      </c>
      <c r="N62" s="83">
        <v>0</v>
      </c>
    </row>
    <row r="63" spans="3:14" customFormat="1" ht="15" customHeight="1" x14ac:dyDescent="0.15">
      <c r="C63" s="83">
        <v>62</v>
      </c>
      <c r="E63" s="179" t="s">
        <v>253</v>
      </c>
      <c r="F63" s="83">
        <v>0</v>
      </c>
      <c r="G63" s="83">
        <v>10.562447499999999</v>
      </c>
      <c r="H63" s="83">
        <v>1.4</v>
      </c>
      <c r="I63" s="83">
        <v>2.81</v>
      </c>
      <c r="J63" s="83">
        <v>0.95</v>
      </c>
      <c r="K63" s="83">
        <v>0.49822065199999999</v>
      </c>
      <c r="L63" s="83">
        <v>0</v>
      </c>
      <c r="M63" s="83">
        <v>0.4</v>
      </c>
      <c r="N63" s="83">
        <v>0</v>
      </c>
    </row>
    <row r="64" spans="3:14" customFormat="1" ht="15" customHeight="1" x14ac:dyDescent="0.15">
      <c r="C64" s="83">
        <v>63</v>
      </c>
      <c r="E64" s="179" t="s">
        <v>254</v>
      </c>
      <c r="F64" s="83">
        <v>0</v>
      </c>
      <c r="G64" s="83">
        <v>5.0799999999999998E-2</v>
      </c>
      <c r="H64" s="83">
        <v>0.49</v>
      </c>
      <c r="I64" s="83">
        <v>3.24</v>
      </c>
      <c r="J64" s="83">
        <v>0.13570357899999999</v>
      </c>
      <c r="K64" s="83">
        <v>0.15123456699999999</v>
      </c>
      <c r="L64" s="83">
        <v>0</v>
      </c>
      <c r="M64" s="83">
        <v>0.4</v>
      </c>
      <c r="N64" s="83">
        <v>0</v>
      </c>
    </row>
    <row r="65" spans="3:14" customFormat="1" ht="15" customHeight="1" x14ac:dyDescent="0.15">
      <c r="C65" s="83">
        <v>64</v>
      </c>
      <c r="E65" s="179" t="s">
        <v>255</v>
      </c>
      <c r="F65" s="83">
        <v>0</v>
      </c>
      <c r="G65" s="83">
        <v>4.9851999999999999</v>
      </c>
      <c r="H65" s="83">
        <v>0.8</v>
      </c>
      <c r="I65" s="83">
        <v>9</v>
      </c>
      <c r="J65" s="83">
        <v>0.62263179999999996</v>
      </c>
      <c r="K65" s="83">
        <v>8.8888889999999998E-2</v>
      </c>
      <c r="L65" s="83">
        <v>0</v>
      </c>
      <c r="M65" s="83">
        <v>0.4</v>
      </c>
      <c r="N65" s="83">
        <v>0</v>
      </c>
    </row>
    <row r="66" spans="3:14" customFormat="1" ht="15" customHeight="1" x14ac:dyDescent="0.15">
      <c r="C66" s="83">
        <v>65</v>
      </c>
      <c r="E66" s="179" t="s">
        <v>256</v>
      </c>
      <c r="F66" s="83">
        <v>0</v>
      </c>
      <c r="G66" s="83">
        <v>42.557980000000001</v>
      </c>
      <c r="H66" s="83">
        <v>1.2090000000000001</v>
      </c>
      <c r="I66" s="83">
        <v>23</v>
      </c>
      <c r="J66" s="83">
        <v>0.9</v>
      </c>
      <c r="K66" s="83">
        <v>5.2565216999999997E-2</v>
      </c>
      <c r="L66" s="83">
        <v>0</v>
      </c>
      <c r="M66" s="83">
        <v>0.4</v>
      </c>
      <c r="N66" s="83">
        <v>0</v>
      </c>
    </row>
    <row r="67" spans="3:14" customFormat="1" ht="15" customHeight="1" x14ac:dyDescent="0.15">
      <c r="C67" s="83">
        <v>66</v>
      </c>
      <c r="E67" s="179" t="s">
        <v>257</v>
      </c>
      <c r="F67" s="83">
        <v>0</v>
      </c>
      <c r="G67" s="83">
        <v>12.016984900000001</v>
      </c>
      <c r="H67" s="83">
        <v>1.2090000000000001</v>
      </c>
      <c r="I67" s="83">
        <v>23</v>
      </c>
      <c r="J67" s="83">
        <v>0.9</v>
      </c>
      <c r="K67" s="83">
        <v>5.2565216999999997E-2</v>
      </c>
      <c r="L67" s="83">
        <v>0</v>
      </c>
      <c r="M67" s="83">
        <v>0.4</v>
      </c>
      <c r="N67" s="83">
        <v>0</v>
      </c>
    </row>
    <row r="68" spans="3:14" customFormat="1" ht="15" customHeight="1" x14ac:dyDescent="0.15">
      <c r="C68" s="83">
        <v>67</v>
      </c>
      <c r="E68" s="179" t="s">
        <v>258</v>
      </c>
      <c r="F68" s="83">
        <v>0</v>
      </c>
      <c r="G68" s="83">
        <v>8.9599740000000008</v>
      </c>
      <c r="H68" s="83">
        <v>7.01</v>
      </c>
      <c r="I68" s="83">
        <v>27.14</v>
      </c>
      <c r="J68" s="83">
        <v>0.98</v>
      </c>
      <c r="K68" s="83">
        <v>0.25829035</v>
      </c>
      <c r="L68" s="83">
        <v>0</v>
      </c>
      <c r="M68" s="83">
        <v>0.4</v>
      </c>
      <c r="N68" s="83">
        <v>0</v>
      </c>
    </row>
    <row r="69" spans="3:14" customFormat="1" ht="15" customHeight="1" x14ac:dyDescent="0.15">
      <c r="C69" s="83">
        <v>68</v>
      </c>
      <c r="E69" s="179" t="s">
        <v>259</v>
      </c>
      <c r="F69" s="83">
        <v>0</v>
      </c>
      <c r="G69" s="83">
        <v>0.254047841</v>
      </c>
      <c r="H69" s="83">
        <v>7.01</v>
      </c>
      <c r="I69" s="83">
        <v>27.14</v>
      </c>
      <c r="J69" s="83">
        <v>0.98</v>
      </c>
      <c r="K69" s="83">
        <v>0.25829035</v>
      </c>
      <c r="L69" s="83">
        <v>0</v>
      </c>
      <c r="M69" s="83">
        <v>0.4</v>
      </c>
      <c r="N69" s="83">
        <v>0</v>
      </c>
    </row>
    <row r="70" spans="3:14" customFormat="1" ht="15" customHeight="1" x14ac:dyDescent="0.15">
      <c r="C70" s="83">
        <v>69</v>
      </c>
      <c r="E70" s="179" t="s">
        <v>260</v>
      </c>
      <c r="F70" s="83">
        <v>0</v>
      </c>
      <c r="G70" s="83">
        <v>10.714075100000001</v>
      </c>
      <c r="H70" s="83">
        <v>6.85</v>
      </c>
      <c r="I70" s="83">
        <v>27.4</v>
      </c>
      <c r="J70" s="83">
        <v>0.98</v>
      </c>
      <c r="K70" s="83">
        <v>0.25</v>
      </c>
      <c r="L70" s="83">
        <v>0</v>
      </c>
      <c r="M70" s="83">
        <v>0.4</v>
      </c>
      <c r="N70" s="83">
        <v>0</v>
      </c>
    </row>
    <row r="71" spans="3:14" customFormat="1" ht="15" customHeight="1" x14ac:dyDescent="0.15">
      <c r="C71" s="83">
        <v>70</v>
      </c>
      <c r="E71" s="179" t="s">
        <v>261</v>
      </c>
      <c r="F71" s="83">
        <v>0</v>
      </c>
      <c r="G71" s="83">
        <v>0.79838089999999995</v>
      </c>
      <c r="H71" s="83">
        <v>4.5999999999999996</v>
      </c>
      <c r="I71" s="83">
        <v>15.9</v>
      </c>
      <c r="J71" s="83">
        <v>0.98</v>
      </c>
      <c r="K71" s="83">
        <v>0.28930820000000002</v>
      </c>
      <c r="L71" s="83">
        <v>0</v>
      </c>
      <c r="M71" s="83">
        <v>0.4</v>
      </c>
      <c r="N71" s="83">
        <v>0</v>
      </c>
    </row>
    <row r="72" spans="3:14" customFormat="1" ht="15" customHeight="1" x14ac:dyDescent="0.15">
      <c r="C72" s="83">
        <v>71</v>
      </c>
      <c r="E72" s="179" t="s">
        <v>262</v>
      </c>
      <c r="F72" s="83">
        <v>0</v>
      </c>
      <c r="G72" s="83">
        <v>26.863843899999999</v>
      </c>
      <c r="H72" s="83">
        <v>2.5</v>
      </c>
      <c r="I72" s="83">
        <v>14</v>
      </c>
      <c r="J72" s="83">
        <v>0.98</v>
      </c>
      <c r="K72" s="83">
        <v>0.178571433</v>
      </c>
      <c r="L72" s="83">
        <v>0</v>
      </c>
      <c r="M72" s="83">
        <v>0.4</v>
      </c>
      <c r="N72" s="83">
        <v>0</v>
      </c>
    </row>
    <row r="73" spans="3:14" customFormat="1" ht="15" customHeight="1" x14ac:dyDescent="0.15">
      <c r="C73" s="83">
        <v>72</v>
      </c>
      <c r="E73" s="179" t="s">
        <v>263</v>
      </c>
      <c r="F73" s="83">
        <v>0</v>
      </c>
      <c r="G73" s="83">
        <v>0.207561836</v>
      </c>
      <c r="H73" s="83">
        <v>2.5</v>
      </c>
      <c r="I73" s="83">
        <v>14</v>
      </c>
      <c r="J73" s="83">
        <v>0.98</v>
      </c>
      <c r="K73" s="83">
        <v>0.178571433</v>
      </c>
      <c r="L73" s="83">
        <v>0</v>
      </c>
      <c r="M73" s="83">
        <v>0.4</v>
      </c>
      <c r="N73" s="83">
        <v>0</v>
      </c>
    </row>
    <row r="74" spans="3:14" customFormat="1" ht="15" customHeight="1" x14ac:dyDescent="0.15">
      <c r="C74" s="83">
        <v>73</v>
      </c>
      <c r="E74" s="179" t="s">
        <v>264</v>
      </c>
      <c r="F74" s="83">
        <v>0</v>
      </c>
      <c r="G74" s="83">
        <v>8.6114645000000003</v>
      </c>
      <c r="H74" s="83">
        <v>12.5</v>
      </c>
      <c r="I74" s="83">
        <v>25</v>
      </c>
      <c r="J74" s="83">
        <v>0.95</v>
      </c>
      <c r="K74" s="83">
        <v>0.5</v>
      </c>
      <c r="L74" s="83">
        <v>0</v>
      </c>
      <c r="M74" s="83">
        <v>0.4</v>
      </c>
      <c r="N74" s="83">
        <v>0</v>
      </c>
    </row>
    <row r="75" spans="3:14" customFormat="1" ht="15" customHeight="1" x14ac:dyDescent="0.15">
      <c r="C75" s="83">
        <v>74</v>
      </c>
      <c r="E75" s="179" t="s">
        <v>265</v>
      </c>
      <c r="F75" s="83">
        <v>0</v>
      </c>
      <c r="G75" s="83">
        <v>0.51023410000000002</v>
      </c>
      <c r="H75" s="83">
        <v>12.5</v>
      </c>
      <c r="I75" s="83">
        <v>25</v>
      </c>
      <c r="J75" s="83">
        <v>0.95</v>
      </c>
      <c r="K75" s="83">
        <v>0.5</v>
      </c>
      <c r="L75" s="83">
        <v>0</v>
      </c>
      <c r="M75" s="83">
        <v>0.4</v>
      </c>
      <c r="N75" s="83">
        <v>0</v>
      </c>
    </row>
    <row r="76" spans="3:14" customFormat="1" ht="15" customHeight="1" x14ac:dyDescent="0.15">
      <c r="C76" s="83">
        <v>75</v>
      </c>
      <c r="E76" s="179" t="s">
        <v>266</v>
      </c>
      <c r="F76" s="83">
        <v>0</v>
      </c>
      <c r="G76" s="83">
        <v>3.8498250000000001</v>
      </c>
      <c r="H76" s="83">
        <v>12.5</v>
      </c>
      <c r="I76" s="83">
        <v>25</v>
      </c>
      <c r="J76" s="83">
        <v>0.95</v>
      </c>
      <c r="K76" s="83">
        <v>0.5</v>
      </c>
      <c r="L76" s="83">
        <v>0</v>
      </c>
      <c r="M76" s="83">
        <v>0.4</v>
      </c>
      <c r="N76" s="83">
        <v>0</v>
      </c>
    </row>
    <row r="77" spans="3:14" customFormat="1" ht="15" customHeight="1" x14ac:dyDescent="0.15">
      <c r="C77" s="83">
        <v>76</v>
      </c>
      <c r="E77" s="179" t="s">
        <v>267</v>
      </c>
      <c r="F77" s="83">
        <v>0</v>
      </c>
      <c r="G77" s="83">
        <v>2.85402685E-2</v>
      </c>
      <c r="H77" s="83">
        <v>12.5</v>
      </c>
      <c r="I77" s="83">
        <v>25</v>
      </c>
      <c r="J77" s="83">
        <v>0.95</v>
      </c>
      <c r="K77" s="83">
        <v>0.5</v>
      </c>
      <c r="L77" s="83">
        <v>0</v>
      </c>
      <c r="M77" s="83">
        <v>0.4</v>
      </c>
      <c r="N77" s="83">
        <v>0</v>
      </c>
    </row>
    <row r="78" spans="3:14" customFormat="1" ht="15" customHeight="1" x14ac:dyDescent="0.15">
      <c r="C78" s="83">
        <v>77</v>
      </c>
      <c r="E78" s="179" t="s">
        <v>268</v>
      </c>
      <c r="F78" s="83">
        <v>0</v>
      </c>
      <c r="G78" s="83">
        <v>1.52773969E-2</v>
      </c>
      <c r="H78" s="83">
        <v>40</v>
      </c>
      <c r="I78" s="83">
        <v>80</v>
      </c>
      <c r="J78" s="83">
        <v>0.5</v>
      </c>
      <c r="K78" s="83">
        <v>0.5</v>
      </c>
      <c r="L78" s="83">
        <v>0</v>
      </c>
      <c r="M78" s="83">
        <v>0.4</v>
      </c>
      <c r="N78" s="83">
        <v>0</v>
      </c>
    </row>
    <row r="79" spans="3:14" customFormat="1" ht="15" customHeight="1" x14ac:dyDescent="0.15">
      <c r="C79" s="83">
        <v>78</v>
      </c>
      <c r="E79" s="179" t="s">
        <v>269</v>
      </c>
      <c r="F79" s="83">
        <v>0</v>
      </c>
      <c r="G79" s="83">
        <v>2.7173360000000001E-2</v>
      </c>
      <c r="H79" s="83">
        <v>40</v>
      </c>
      <c r="I79" s="83">
        <v>80</v>
      </c>
      <c r="J79" s="83">
        <v>0.5</v>
      </c>
      <c r="K79" s="83">
        <v>0.5</v>
      </c>
      <c r="L79" s="83">
        <v>0</v>
      </c>
      <c r="M79" s="83">
        <v>0.4</v>
      </c>
      <c r="N79" s="83">
        <v>0</v>
      </c>
    </row>
    <row r="80" spans="3:14" customFormat="1" ht="15" customHeight="1" x14ac:dyDescent="0.15">
      <c r="C80" s="83">
        <v>79</v>
      </c>
      <c r="E80" s="179" t="s">
        <v>270</v>
      </c>
      <c r="F80" s="83">
        <v>0</v>
      </c>
      <c r="G80" s="83">
        <v>11.743499999999999</v>
      </c>
      <c r="H80" s="83">
        <v>52</v>
      </c>
      <c r="I80" s="83">
        <v>173.33332799999999</v>
      </c>
      <c r="J80" s="83">
        <v>0.20637285699999999</v>
      </c>
      <c r="K80" s="83">
        <v>0.3</v>
      </c>
      <c r="L80" s="83">
        <v>0</v>
      </c>
      <c r="M80" s="83">
        <v>0.4</v>
      </c>
      <c r="N80" s="83">
        <v>0</v>
      </c>
    </row>
    <row r="81" spans="3:14" customFormat="1" ht="15" customHeight="1" x14ac:dyDescent="0.15">
      <c r="C81" s="83">
        <v>80</v>
      </c>
      <c r="E81" s="179" t="s">
        <v>271</v>
      </c>
      <c r="F81" s="83">
        <v>0</v>
      </c>
      <c r="G81" s="83">
        <v>0.75649999999999995</v>
      </c>
      <c r="H81" s="83">
        <v>104</v>
      </c>
      <c r="I81" s="83">
        <v>346.66665599999999</v>
      </c>
      <c r="J81" s="83">
        <v>0.13635003600000001</v>
      </c>
      <c r="K81" s="83">
        <v>0.3</v>
      </c>
      <c r="L81" s="83">
        <v>0</v>
      </c>
      <c r="M81" s="83">
        <v>0.4</v>
      </c>
      <c r="N81" s="83">
        <v>0</v>
      </c>
    </row>
    <row r="82" spans="3:14" customFormat="1" ht="15" customHeight="1" x14ac:dyDescent="0.15">
      <c r="C82" s="83">
        <v>81</v>
      </c>
      <c r="E82" s="179" t="s">
        <v>272</v>
      </c>
      <c r="F82" s="83">
        <v>0</v>
      </c>
      <c r="G82" s="83">
        <v>2.1985400000000001E-3</v>
      </c>
      <c r="H82" s="83">
        <v>50.448</v>
      </c>
      <c r="I82" s="83">
        <v>132.13</v>
      </c>
      <c r="J82" s="83">
        <v>0.99</v>
      </c>
      <c r="K82" s="83">
        <v>0.38180579999999997</v>
      </c>
      <c r="L82" s="83">
        <v>0</v>
      </c>
      <c r="M82" s="83">
        <v>0.4</v>
      </c>
      <c r="N82" s="83">
        <v>0</v>
      </c>
    </row>
    <row r="83" spans="3:14" customFormat="1" ht="15" customHeight="1" x14ac:dyDescent="0.15">
      <c r="C83" s="83">
        <v>82</v>
      </c>
      <c r="E83" s="179" t="s">
        <v>273</v>
      </c>
      <c r="F83" s="83">
        <v>0</v>
      </c>
      <c r="G83" s="83">
        <v>5.8745834400000002E-5</v>
      </c>
      <c r="H83" s="83">
        <v>50.448</v>
      </c>
      <c r="I83" s="83">
        <v>132.13</v>
      </c>
      <c r="J83" s="83">
        <v>0.99</v>
      </c>
      <c r="K83" s="83">
        <v>0.38180579999999997</v>
      </c>
      <c r="L83" s="83">
        <v>0</v>
      </c>
      <c r="M83" s="83">
        <v>0.4</v>
      </c>
      <c r="N83" s="83">
        <v>0</v>
      </c>
    </row>
    <row r="84" spans="3:14" customFormat="1" ht="15" customHeight="1" x14ac:dyDescent="0.15">
      <c r="C84" s="83">
        <v>83</v>
      </c>
      <c r="E84" s="179" t="s">
        <v>274</v>
      </c>
      <c r="F84" s="83">
        <v>0</v>
      </c>
      <c r="G84" s="83">
        <v>1.39898118E-2</v>
      </c>
      <c r="H84" s="83">
        <v>12.6</v>
      </c>
      <c r="I84" s="83">
        <v>51.93</v>
      </c>
      <c r="J84" s="83">
        <v>0.98</v>
      </c>
      <c r="K84" s="83">
        <v>0.24263432600000001</v>
      </c>
      <c r="L84" s="83">
        <v>0</v>
      </c>
      <c r="M84" s="83">
        <v>0.4</v>
      </c>
      <c r="N84" s="83">
        <v>0</v>
      </c>
    </row>
    <row r="85" spans="3:14" customFormat="1" ht="15" customHeight="1" x14ac:dyDescent="0.15">
      <c r="C85" s="83">
        <v>84</v>
      </c>
      <c r="E85" s="179" t="s">
        <v>275</v>
      </c>
      <c r="F85" s="83">
        <v>0</v>
      </c>
      <c r="G85" s="83">
        <v>6.1493535000000001</v>
      </c>
      <c r="H85" s="83">
        <v>100</v>
      </c>
      <c r="I85" s="83">
        <v>215</v>
      </c>
      <c r="J85" s="83">
        <v>0.95</v>
      </c>
      <c r="K85" s="83">
        <v>0.46511629999999998</v>
      </c>
      <c r="L85" s="83">
        <v>0</v>
      </c>
      <c r="M85" s="83">
        <v>0.4</v>
      </c>
      <c r="N85" s="83">
        <v>0</v>
      </c>
    </row>
    <row r="86" spans="3:14" customFormat="1" ht="15" customHeight="1" x14ac:dyDescent="0.15">
      <c r="C86" s="83">
        <v>85</v>
      </c>
      <c r="E86" s="179" t="s">
        <v>276</v>
      </c>
      <c r="F86" s="83">
        <v>0</v>
      </c>
      <c r="G86" s="83">
        <v>0.71950590000000003</v>
      </c>
      <c r="H86" s="83">
        <v>100</v>
      </c>
      <c r="I86" s="83">
        <v>215</v>
      </c>
      <c r="J86" s="83">
        <v>0.95</v>
      </c>
      <c r="K86" s="83">
        <v>0.46511629999999998</v>
      </c>
      <c r="L86" s="83">
        <v>0</v>
      </c>
      <c r="M86" s="83">
        <v>0.4</v>
      </c>
      <c r="N86" s="83">
        <v>0</v>
      </c>
    </row>
    <row r="87" spans="3:14" customFormat="1" ht="15" customHeight="1" x14ac:dyDescent="0.15">
      <c r="C87" s="83">
        <v>86</v>
      </c>
      <c r="E87" s="179" t="s">
        <v>277</v>
      </c>
      <c r="F87" s="83">
        <v>1</v>
      </c>
      <c r="G87" s="83">
        <v>3.9047000000000001</v>
      </c>
      <c r="H87" s="83">
        <v>933.08299999999997</v>
      </c>
      <c r="I87" s="83">
        <v>0</v>
      </c>
      <c r="J87" s="83">
        <v>0.4479649</v>
      </c>
      <c r="K87" s="83">
        <v>0</v>
      </c>
      <c r="L87" s="83">
        <v>0</v>
      </c>
      <c r="M87" s="83">
        <v>0</v>
      </c>
      <c r="N87" s="83">
        <v>0</v>
      </c>
    </row>
    <row r="88" spans="3:14" customFormat="1" ht="15" customHeight="1" x14ac:dyDescent="0.15">
      <c r="C88" s="83">
        <v>87</v>
      </c>
      <c r="E88" s="179" t="s">
        <v>278</v>
      </c>
      <c r="F88" s="83">
        <v>1</v>
      </c>
      <c r="G88" s="83">
        <v>0.38919999999999999</v>
      </c>
      <c r="H88" s="83">
        <v>933.08299999999997</v>
      </c>
      <c r="I88" s="83">
        <v>0</v>
      </c>
      <c r="J88" s="83">
        <v>0.68681216199999995</v>
      </c>
      <c r="K88" s="83">
        <v>0</v>
      </c>
      <c r="L88" s="83">
        <v>0</v>
      </c>
      <c r="M88" s="83">
        <v>0</v>
      </c>
      <c r="N88" s="83">
        <v>0</v>
      </c>
    </row>
    <row r="89" spans="3:14" customFormat="1" ht="15" customHeight="1" x14ac:dyDescent="0.15">
      <c r="C89" s="83">
        <v>88</v>
      </c>
      <c r="E89" s="179" t="s">
        <v>279</v>
      </c>
      <c r="F89" s="83">
        <v>1</v>
      </c>
      <c r="G89" s="83">
        <v>0.72904040000000003</v>
      </c>
      <c r="H89" s="83">
        <v>706.49599999999998</v>
      </c>
      <c r="I89" s="83">
        <v>0</v>
      </c>
      <c r="J89" s="83">
        <v>0.95</v>
      </c>
      <c r="K89" s="83">
        <v>0</v>
      </c>
      <c r="L89" s="83">
        <v>0</v>
      </c>
      <c r="M89" s="83">
        <v>0</v>
      </c>
      <c r="N89" s="83">
        <v>0</v>
      </c>
    </row>
    <row r="90" spans="3:14" customFormat="1" ht="15" customHeight="1" x14ac:dyDescent="0.15">
      <c r="C90" s="83">
        <v>89</v>
      </c>
      <c r="E90" s="179" t="s">
        <v>280</v>
      </c>
      <c r="F90" s="83">
        <v>1</v>
      </c>
      <c r="G90" s="83">
        <v>2.1115140000000001</v>
      </c>
      <c r="H90" s="83">
        <v>2.145</v>
      </c>
      <c r="I90" s="83">
        <v>0</v>
      </c>
      <c r="J90" s="83">
        <v>0.6</v>
      </c>
      <c r="K90" s="83">
        <v>0</v>
      </c>
      <c r="L90" s="83">
        <v>0</v>
      </c>
      <c r="M90" s="83">
        <v>0</v>
      </c>
      <c r="N90" s="83">
        <v>0</v>
      </c>
    </row>
    <row r="91" spans="3:14" customFormat="1" ht="15" customHeight="1" x14ac:dyDescent="0.15">
      <c r="C91" s="83">
        <v>90</v>
      </c>
      <c r="E91" s="179" t="s">
        <v>281</v>
      </c>
      <c r="F91" s="83">
        <v>1</v>
      </c>
      <c r="G91" s="83">
        <v>1.1349989199999999</v>
      </c>
      <c r="H91" s="83">
        <v>12</v>
      </c>
      <c r="I91" s="83">
        <v>0</v>
      </c>
      <c r="J91" s="83">
        <v>0.5</v>
      </c>
      <c r="K91" s="83">
        <v>0</v>
      </c>
      <c r="L91" s="83">
        <v>0</v>
      </c>
      <c r="M91" s="83">
        <v>0</v>
      </c>
      <c r="N91" s="83">
        <v>0</v>
      </c>
    </row>
    <row r="92" spans="3:14" customFormat="1" ht="15" customHeight="1" x14ac:dyDescent="0.15">
      <c r="C92" s="83">
        <v>91</v>
      </c>
      <c r="E92" s="179" t="s">
        <v>282</v>
      </c>
      <c r="F92" s="83">
        <v>1</v>
      </c>
      <c r="G92" s="83">
        <v>20.961643200000001</v>
      </c>
      <c r="H92" s="83">
        <v>12</v>
      </c>
      <c r="I92" s="83">
        <v>0</v>
      </c>
      <c r="J92" s="83">
        <v>0.5</v>
      </c>
      <c r="K92" s="83">
        <v>0</v>
      </c>
      <c r="L92" s="83">
        <v>0</v>
      </c>
      <c r="M92" s="83">
        <v>0</v>
      </c>
      <c r="N92" s="83">
        <v>0</v>
      </c>
    </row>
    <row r="93" spans="3:14" customFormat="1" ht="15" customHeight="1" x14ac:dyDescent="0.15">
      <c r="C93" s="83">
        <v>92</v>
      </c>
      <c r="E93" s="179" t="s">
        <v>283</v>
      </c>
      <c r="F93" s="83">
        <v>1</v>
      </c>
      <c r="G93" s="83">
        <v>0.181340531</v>
      </c>
      <c r="H93" s="83">
        <v>3.3</v>
      </c>
      <c r="I93" s="83">
        <v>0</v>
      </c>
      <c r="J93" s="83">
        <v>0.4</v>
      </c>
      <c r="K93" s="83">
        <v>0</v>
      </c>
      <c r="L93" s="83">
        <v>0</v>
      </c>
      <c r="M93" s="83">
        <v>0</v>
      </c>
      <c r="N93" s="83">
        <v>0</v>
      </c>
    </row>
    <row r="94" spans="3:14" customFormat="1" ht="15" customHeight="1" x14ac:dyDescent="0.15">
      <c r="C94" s="83">
        <v>93</v>
      </c>
      <c r="E94" s="179" t="s">
        <v>284</v>
      </c>
      <c r="F94" s="83">
        <v>2</v>
      </c>
      <c r="G94" s="83">
        <v>0.7</v>
      </c>
      <c r="H94" s="83">
        <v>0</v>
      </c>
      <c r="I94" s="83">
        <v>0</v>
      </c>
      <c r="J94" s="83">
        <v>0.37426856200000003</v>
      </c>
      <c r="K94" s="83">
        <v>0</v>
      </c>
      <c r="L94" s="83">
        <v>0</v>
      </c>
      <c r="M94" s="83">
        <v>0.2</v>
      </c>
      <c r="N94" s="83">
        <v>0.5</v>
      </c>
    </row>
    <row r="95" spans="3:14" customFormat="1" ht="15" customHeight="1" x14ac:dyDescent="0.15">
      <c r="C95" s="83">
        <v>94</v>
      </c>
      <c r="E95" s="179" t="s">
        <v>285</v>
      </c>
      <c r="F95" s="83">
        <v>2</v>
      </c>
      <c r="G95" s="83">
        <v>5</v>
      </c>
      <c r="H95" s="83">
        <v>0</v>
      </c>
      <c r="I95" s="83">
        <v>0</v>
      </c>
      <c r="J95" s="83">
        <v>0.52840019999999999</v>
      </c>
      <c r="K95" s="83">
        <v>0</v>
      </c>
      <c r="L95" s="83">
        <v>0</v>
      </c>
      <c r="M95" s="83">
        <v>0</v>
      </c>
      <c r="N95" s="83">
        <v>0</v>
      </c>
    </row>
    <row r="96" spans="3:14" customFormat="1" ht="15" customHeight="1" x14ac:dyDescent="0.15">
      <c r="C96" s="83">
        <v>95</v>
      </c>
      <c r="E96" s="179" t="s">
        <v>286</v>
      </c>
      <c r="F96" s="83">
        <v>2</v>
      </c>
      <c r="G96" s="83">
        <v>5</v>
      </c>
      <c r="H96" s="83">
        <v>0</v>
      </c>
      <c r="I96" s="83">
        <v>0</v>
      </c>
      <c r="J96" s="83">
        <v>5.3319536100000002E-2</v>
      </c>
      <c r="K96" s="83">
        <v>0</v>
      </c>
      <c r="L96" s="83">
        <v>0</v>
      </c>
      <c r="M96" s="83">
        <v>0.2</v>
      </c>
      <c r="N96" s="83">
        <v>27.388000000000002</v>
      </c>
    </row>
    <row r="97" spans="3:14" customFormat="1" ht="15" customHeight="1" x14ac:dyDescent="0.15">
      <c r="C97" s="83">
        <v>96</v>
      </c>
      <c r="E97" s="179" t="s">
        <v>287</v>
      </c>
      <c r="F97" s="83">
        <v>2</v>
      </c>
      <c r="G97" s="83">
        <v>0.32229999999999998</v>
      </c>
      <c r="H97" s="83">
        <v>0</v>
      </c>
      <c r="I97" s="83">
        <v>0</v>
      </c>
      <c r="J97" s="83">
        <v>0.48051622500000002</v>
      </c>
      <c r="K97" s="83">
        <v>0</v>
      </c>
      <c r="L97" s="83">
        <v>0</v>
      </c>
      <c r="M97" s="83">
        <v>0</v>
      </c>
      <c r="N97" s="83">
        <v>100</v>
      </c>
    </row>
    <row r="98" spans="3:14" customFormat="1" ht="15" customHeight="1" x14ac:dyDescent="0.15">
      <c r="C98" s="83">
        <v>97</v>
      </c>
      <c r="E98" s="179" t="s">
        <v>288</v>
      </c>
      <c r="F98" s="83">
        <v>2</v>
      </c>
      <c r="G98" s="83">
        <v>250</v>
      </c>
      <c r="H98" s="83">
        <v>0</v>
      </c>
      <c r="I98" s="83">
        <v>0</v>
      </c>
      <c r="J98" s="83">
        <v>0.18871748399999999</v>
      </c>
      <c r="K98" s="83">
        <v>0</v>
      </c>
      <c r="L98" s="83">
        <v>0</v>
      </c>
      <c r="M98" s="83">
        <v>0</v>
      </c>
      <c r="N98" s="83">
        <v>500</v>
      </c>
    </row>
    <row r="99" spans="3:14" customFormat="1" ht="15" customHeight="1" x14ac:dyDescent="0.15">
      <c r="C99" s="83">
        <v>98</v>
      </c>
      <c r="E99" s="179" t="s">
        <v>289</v>
      </c>
      <c r="F99" s="83">
        <v>2</v>
      </c>
      <c r="G99" s="83">
        <v>33.350999999999999</v>
      </c>
      <c r="H99" s="83">
        <v>0</v>
      </c>
      <c r="I99" s="83">
        <v>0</v>
      </c>
      <c r="J99" s="83">
        <v>0.37400042999999999</v>
      </c>
      <c r="K99" s="83">
        <v>0</v>
      </c>
      <c r="L99" s="83">
        <v>0</v>
      </c>
      <c r="M99" s="83">
        <v>0</v>
      </c>
      <c r="N99" s="83">
        <v>1000</v>
      </c>
    </row>
    <row r="100" spans="3:14" customFormat="1" ht="15" customHeight="1" x14ac:dyDescent="0.15">
      <c r="C100" s="83">
        <v>99</v>
      </c>
      <c r="E100" s="179" t="s">
        <v>290</v>
      </c>
      <c r="F100" s="83">
        <v>2</v>
      </c>
      <c r="G100" s="83">
        <v>250</v>
      </c>
      <c r="H100" s="83">
        <v>0</v>
      </c>
      <c r="I100" s="83">
        <v>0</v>
      </c>
      <c r="J100" s="83">
        <v>0</v>
      </c>
      <c r="K100" s="83">
        <v>0</v>
      </c>
      <c r="L100" s="83">
        <v>0</v>
      </c>
      <c r="M100" s="83">
        <v>0</v>
      </c>
      <c r="N100" s="83">
        <v>0</v>
      </c>
    </row>
    <row r="101" spans="3:14" customFormat="1" ht="15" customHeight="1" x14ac:dyDescent="0.15">
      <c r="C101" s="83">
        <v>100</v>
      </c>
      <c r="E101" s="179" t="s">
        <v>291</v>
      </c>
      <c r="F101" s="83">
        <v>3</v>
      </c>
      <c r="G101" s="83">
        <v>0</v>
      </c>
      <c r="H101" s="83">
        <v>0</v>
      </c>
      <c r="I101" s="83">
        <v>0</v>
      </c>
      <c r="J101" s="83">
        <v>0</v>
      </c>
      <c r="K101" s="83">
        <v>0</v>
      </c>
      <c r="L101" s="83">
        <v>0</v>
      </c>
      <c r="M101" s="83">
        <v>0</v>
      </c>
      <c r="N101" s="83">
        <v>0</v>
      </c>
    </row>
    <row r="102" spans="3:14" customFormat="1" ht="15" customHeight="1" x14ac:dyDescent="0.15">
      <c r="C102" s="83">
        <v>101</v>
      </c>
      <c r="E102" s="179" t="s">
        <v>292</v>
      </c>
      <c r="F102" s="83">
        <v>3</v>
      </c>
      <c r="G102" s="83">
        <v>0</v>
      </c>
      <c r="H102" s="83">
        <v>0</v>
      </c>
      <c r="I102" s="83">
        <v>0</v>
      </c>
      <c r="J102" s="83">
        <v>0</v>
      </c>
      <c r="K102" s="83">
        <v>0</v>
      </c>
      <c r="L102" s="83">
        <v>0</v>
      </c>
      <c r="M102" s="83">
        <v>0</v>
      </c>
      <c r="N102" s="83">
        <v>0</v>
      </c>
    </row>
    <row r="103" spans="3:14" customFormat="1" ht="15" customHeight="1" x14ac:dyDescent="0.15">
      <c r="C103" s="83">
        <v>102</v>
      </c>
      <c r="E103" s="179" t="s">
        <v>293</v>
      </c>
      <c r="F103" s="83">
        <v>3</v>
      </c>
      <c r="G103" s="83">
        <v>0</v>
      </c>
      <c r="H103" s="83">
        <v>0</v>
      </c>
      <c r="I103" s="83">
        <v>0</v>
      </c>
      <c r="J103" s="83">
        <v>0</v>
      </c>
      <c r="K103" s="83">
        <v>0</v>
      </c>
      <c r="L103" s="83">
        <v>0</v>
      </c>
      <c r="M103" s="83">
        <v>0</v>
      </c>
      <c r="N103" s="83">
        <v>0</v>
      </c>
    </row>
    <row r="104" spans="3:14" customFormat="1" ht="15" customHeight="1" x14ac:dyDescent="0.15">
      <c r="C104" s="83">
        <v>103</v>
      </c>
      <c r="E104" s="179" t="s">
        <v>294</v>
      </c>
      <c r="F104" s="83">
        <v>3</v>
      </c>
      <c r="G104" s="83">
        <v>0</v>
      </c>
      <c r="H104" s="83">
        <v>0</v>
      </c>
      <c r="I104" s="83">
        <v>0</v>
      </c>
      <c r="J104" s="83">
        <v>0</v>
      </c>
      <c r="K104" s="83">
        <v>0</v>
      </c>
      <c r="L104" s="83">
        <v>0</v>
      </c>
      <c r="M104" s="83">
        <v>0</v>
      </c>
      <c r="N104" s="83">
        <v>0</v>
      </c>
    </row>
    <row r="105" spans="3:14" customFormat="1" ht="15" customHeight="1" x14ac:dyDescent="0.15">
      <c r="C105" s="83">
        <v>104</v>
      </c>
      <c r="E105" s="179" t="s">
        <v>295</v>
      </c>
      <c r="F105" s="83">
        <v>3</v>
      </c>
      <c r="G105" s="83">
        <v>0</v>
      </c>
      <c r="H105" s="83">
        <v>0</v>
      </c>
      <c r="I105" s="83">
        <v>0</v>
      </c>
      <c r="J105" s="83">
        <v>0</v>
      </c>
      <c r="K105" s="83">
        <v>0</v>
      </c>
      <c r="L105" s="83">
        <v>0</v>
      </c>
      <c r="M105" s="83">
        <v>0</v>
      </c>
      <c r="N105" s="83">
        <v>0</v>
      </c>
    </row>
    <row r="106" spans="3:14" customFormat="1" ht="15" customHeight="1" x14ac:dyDescent="0.15">
      <c r="C106" s="83">
        <v>105</v>
      </c>
      <c r="E106" s="179" t="s">
        <v>296</v>
      </c>
      <c r="F106" s="83">
        <v>3</v>
      </c>
      <c r="G106" s="83">
        <v>0</v>
      </c>
      <c r="H106" s="83">
        <v>0</v>
      </c>
      <c r="I106" s="83">
        <v>0</v>
      </c>
      <c r="J106" s="83">
        <v>0</v>
      </c>
      <c r="K106" s="83">
        <v>0</v>
      </c>
      <c r="L106" s="83">
        <v>0</v>
      </c>
      <c r="M106" s="83">
        <v>0</v>
      </c>
      <c r="N106" s="83">
        <v>0</v>
      </c>
    </row>
    <row r="107" spans="3:14" customFormat="1" ht="15" customHeight="1" x14ac:dyDescent="0.15">
      <c r="C107" s="83">
        <v>106</v>
      </c>
      <c r="E107" s="179" t="s">
        <v>297</v>
      </c>
      <c r="F107" s="83">
        <v>3</v>
      </c>
      <c r="G107" s="83">
        <v>0</v>
      </c>
      <c r="H107" s="83">
        <v>0</v>
      </c>
      <c r="I107" s="83">
        <v>0</v>
      </c>
      <c r="J107" s="83">
        <v>0</v>
      </c>
      <c r="K107" s="83">
        <v>0</v>
      </c>
      <c r="L107" s="83">
        <v>0</v>
      </c>
      <c r="M107" s="83">
        <v>0</v>
      </c>
      <c r="N107" s="83">
        <v>0</v>
      </c>
    </row>
    <row r="108" spans="3:14" customFormat="1" ht="15" customHeight="1" x14ac:dyDescent="0.15">
      <c r="C108" s="83">
        <v>107</v>
      </c>
      <c r="E108" s="179" t="s">
        <v>298</v>
      </c>
      <c r="F108" s="83">
        <v>3</v>
      </c>
      <c r="G108" s="83">
        <v>0</v>
      </c>
      <c r="H108" s="83">
        <v>0</v>
      </c>
      <c r="I108" s="83">
        <v>0</v>
      </c>
      <c r="J108" s="83">
        <v>0</v>
      </c>
      <c r="K108" s="83">
        <v>0</v>
      </c>
      <c r="L108" s="83">
        <v>0</v>
      </c>
      <c r="M108" s="83">
        <v>0</v>
      </c>
      <c r="N108" s="83">
        <v>0</v>
      </c>
    </row>
    <row r="109" spans="3:14" customFormat="1" ht="15" customHeight="1" x14ac:dyDescent="0.15"/>
    <row r="110" spans="3:14" customFormat="1" ht="15" customHeight="1" x14ac:dyDescent="0.15"/>
    <row r="111" spans="3:14" customFormat="1" ht="15" customHeight="1" x14ac:dyDescent="0.15"/>
    <row r="112" spans="3:14" customFormat="1" ht="15" customHeight="1" x14ac:dyDescent="0.15"/>
    <row r="113" customFormat="1" ht="15" customHeight="1" x14ac:dyDescent="0.15"/>
    <row r="114" customFormat="1" ht="15" customHeight="1" x14ac:dyDescent="0.15"/>
    <row r="115" customFormat="1" ht="15" customHeight="1" x14ac:dyDescent="0.15"/>
    <row r="116" customFormat="1" ht="15" customHeight="1" x14ac:dyDescent="0.15"/>
    <row r="117" customFormat="1" ht="15" customHeight="1" x14ac:dyDescent="0.15"/>
    <row r="118" customFormat="1" ht="15" customHeight="1" x14ac:dyDescent="0.15"/>
    <row r="119" customFormat="1" ht="15" customHeight="1" x14ac:dyDescent="0.15"/>
    <row r="120" customFormat="1" ht="15" customHeight="1" x14ac:dyDescent="0.15"/>
    <row r="121" customFormat="1" ht="15" customHeight="1" x14ac:dyDescent="0.15"/>
    <row r="122" customFormat="1" ht="15" customHeight="1" x14ac:dyDescent="0.15"/>
    <row r="123" customFormat="1" ht="15" customHeight="1" x14ac:dyDescent="0.15"/>
    <row r="124" customFormat="1" ht="15" customHeight="1" x14ac:dyDescent="0.15"/>
    <row r="125" customFormat="1" ht="15" customHeight="1" x14ac:dyDescent="0.15"/>
    <row r="126" customFormat="1" ht="15" customHeight="1" x14ac:dyDescent="0.15"/>
    <row r="127" customFormat="1" ht="15" customHeight="1" x14ac:dyDescent="0.15"/>
    <row r="128" customFormat="1" ht="15" customHeight="1" x14ac:dyDescent="0.15"/>
    <row r="129" customFormat="1" ht="15" customHeight="1" x14ac:dyDescent="0.15"/>
    <row r="130" customFormat="1" ht="15" customHeight="1" x14ac:dyDescent="0.15"/>
    <row r="131" customFormat="1" ht="15" customHeight="1" x14ac:dyDescent="0.15"/>
    <row r="132" customFormat="1" ht="15" customHeight="1" x14ac:dyDescent="0.15"/>
    <row r="133" customFormat="1" ht="15" customHeight="1" x14ac:dyDescent="0.15"/>
    <row r="134" customFormat="1" ht="15" customHeight="1" x14ac:dyDescent="0.15"/>
    <row r="135" customFormat="1" ht="15" customHeight="1" x14ac:dyDescent="0.15"/>
    <row r="136" customFormat="1" ht="15" customHeight="1" x14ac:dyDescent="0.15"/>
    <row r="137" customFormat="1" ht="15" customHeight="1" x14ac:dyDescent="0.15"/>
    <row r="138" customFormat="1" ht="15" customHeight="1" x14ac:dyDescent="0.15"/>
    <row r="139" customFormat="1" ht="15" customHeight="1" x14ac:dyDescent="0.15"/>
    <row r="140" customFormat="1" ht="15" customHeight="1" x14ac:dyDescent="0.15"/>
    <row r="141" customFormat="1" ht="15" customHeight="1" x14ac:dyDescent="0.15"/>
    <row r="142" customFormat="1" ht="15" customHeight="1" x14ac:dyDescent="0.15"/>
    <row r="143" customFormat="1" ht="15" customHeight="1" x14ac:dyDescent="0.15"/>
    <row r="144" customFormat="1" ht="15" customHeight="1" x14ac:dyDescent="0.15"/>
    <row r="145" customFormat="1" ht="15" customHeight="1" x14ac:dyDescent="0.15"/>
    <row r="146" customFormat="1" ht="15" customHeight="1" x14ac:dyDescent="0.15"/>
    <row r="147" customFormat="1" ht="15" customHeight="1" x14ac:dyDescent="0.15"/>
    <row r="148" customFormat="1" ht="15" customHeight="1" x14ac:dyDescent="0.15"/>
    <row r="149" customFormat="1" ht="15" customHeight="1" x14ac:dyDescent="0.15"/>
    <row r="150" customFormat="1" ht="15" customHeight="1" x14ac:dyDescent="0.15"/>
    <row r="151" customFormat="1" ht="15" customHeight="1" x14ac:dyDescent="0.15"/>
    <row r="152" customFormat="1" ht="15" customHeight="1" x14ac:dyDescent="0.15"/>
    <row r="153" customFormat="1" ht="15" customHeight="1" x14ac:dyDescent="0.15"/>
    <row r="154" customFormat="1" ht="15" customHeight="1" x14ac:dyDescent="0.15"/>
    <row r="155" customFormat="1" ht="15" customHeight="1" x14ac:dyDescent="0.15"/>
    <row r="156" customFormat="1" ht="15" customHeight="1" x14ac:dyDescent="0.15"/>
    <row r="157" customFormat="1" ht="15" customHeight="1" x14ac:dyDescent="0.15"/>
    <row r="158" customFormat="1" ht="15" customHeight="1" x14ac:dyDescent="0.15"/>
    <row r="159" customFormat="1" ht="15" customHeight="1" x14ac:dyDescent="0.15"/>
    <row r="160" customFormat="1" ht="15" customHeight="1" x14ac:dyDescent="0.15"/>
    <row r="161" customFormat="1" ht="15" customHeight="1" x14ac:dyDescent="0.15"/>
    <row r="162" customFormat="1" ht="15" customHeight="1" x14ac:dyDescent="0.15"/>
    <row r="163" customFormat="1" ht="15" customHeight="1" x14ac:dyDescent="0.15"/>
    <row r="164" customFormat="1" ht="15" customHeight="1" x14ac:dyDescent="0.15"/>
    <row r="165" customFormat="1" ht="15" customHeight="1" x14ac:dyDescent="0.15"/>
    <row r="166" customFormat="1" ht="15" customHeight="1" x14ac:dyDescent="0.15"/>
    <row r="167" customFormat="1" ht="15" customHeight="1" x14ac:dyDescent="0.15"/>
    <row r="168" customFormat="1" ht="15" customHeight="1" x14ac:dyDescent="0.15"/>
    <row r="169" customFormat="1" ht="15" customHeight="1" x14ac:dyDescent="0.15"/>
    <row r="170" customFormat="1" ht="15" customHeight="1" x14ac:dyDescent="0.15"/>
    <row r="171" customFormat="1" ht="15" customHeight="1" x14ac:dyDescent="0.15"/>
    <row r="172" customFormat="1" ht="15" customHeight="1" x14ac:dyDescent="0.15"/>
    <row r="173" customFormat="1" ht="15" customHeight="1" x14ac:dyDescent="0.15"/>
    <row r="174" customFormat="1" ht="15" customHeight="1" x14ac:dyDescent="0.15"/>
    <row r="175" customFormat="1" ht="15" customHeight="1" x14ac:dyDescent="0.15"/>
    <row r="176" customFormat="1" ht="15" customHeight="1" x14ac:dyDescent="0.15"/>
    <row r="177" customFormat="1" ht="15" customHeight="1" x14ac:dyDescent="0.15"/>
    <row r="178" customFormat="1" ht="15" customHeight="1" x14ac:dyDescent="0.15"/>
    <row r="179" customFormat="1" ht="15" customHeight="1" x14ac:dyDescent="0.15"/>
    <row r="180" customFormat="1" ht="15" customHeight="1" x14ac:dyDescent="0.15"/>
    <row r="181" customFormat="1" ht="15" customHeight="1" x14ac:dyDescent="0.15"/>
    <row r="182" customFormat="1" ht="15" customHeight="1" x14ac:dyDescent="0.15"/>
    <row r="183" customFormat="1" ht="15" customHeight="1" x14ac:dyDescent="0.15"/>
    <row r="184" customFormat="1" ht="15" customHeight="1" x14ac:dyDescent="0.15"/>
    <row r="185" customFormat="1" ht="15" customHeight="1" x14ac:dyDescent="0.15"/>
    <row r="186" customFormat="1" ht="15" customHeight="1" x14ac:dyDescent="0.15"/>
    <row r="187" customFormat="1" ht="15" customHeight="1" x14ac:dyDescent="0.15"/>
    <row r="188" customFormat="1" ht="15" customHeight="1" x14ac:dyDescent="0.15"/>
    <row r="189" customFormat="1" ht="15" customHeight="1" x14ac:dyDescent="0.15"/>
    <row r="190" customFormat="1" ht="15" customHeight="1" x14ac:dyDescent="0.15"/>
    <row r="191" customFormat="1" ht="15" customHeight="1" x14ac:dyDescent="0.15"/>
    <row r="192" customFormat="1" ht="15" customHeight="1" x14ac:dyDescent="0.15"/>
    <row r="193" customFormat="1" ht="15" customHeight="1" x14ac:dyDescent="0.15"/>
  </sheetData>
  <phoneticPr fontId="2" type="noConversion"/>
  <pageMargins left="0.75" right="0.75" top="1" bottom="1" header="0.5" footer="0.5"/>
  <pageSetup orientation="portrait"/>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indexed="45"/>
  </sheetPr>
  <dimension ref="A1:CV373"/>
  <sheetViews>
    <sheetView workbookViewId="0">
      <pane xSplit="1" ySplit="1" topLeftCell="B2" activePane="bottomRight" state="frozen"/>
      <selection pane="topRight" activeCell="B1" sqref="B1"/>
      <selection pane="bottomLeft" activeCell="A2" sqref="A2"/>
      <selection pane="bottomRight" activeCell="A3" sqref="A3"/>
    </sheetView>
  </sheetViews>
  <sheetFormatPr baseColWidth="10" defaultColWidth="8.83203125" defaultRowHeight="13" x14ac:dyDescent="0.15"/>
  <cols>
    <col min="1" max="1" width="44.33203125" style="144" bestFit="1" customWidth="1"/>
    <col min="2" max="2" width="14.83203125" style="144" bestFit="1" customWidth="1"/>
    <col min="3" max="3" width="2.33203125" style="144" bestFit="1" customWidth="1"/>
    <col min="4" max="4" width="7.83203125" style="144" bestFit="1" customWidth="1"/>
    <col min="5" max="7" width="5.83203125" style="144" bestFit="1" customWidth="1"/>
    <col min="8" max="8" width="13.83203125" style="144" bestFit="1" customWidth="1"/>
    <col min="9" max="9" width="5.83203125" style="144" bestFit="1" customWidth="1"/>
    <col min="10" max="10" width="4.83203125" style="144" bestFit="1" customWidth="1"/>
    <col min="11" max="11" width="13.83203125" style="144" bestFit="1" customWidth="1"/>
    <col min="12" max="13" width="15.83203125" style="144" bestFit="1" customWidth="1"/>
    <col min="14" max="14" width="13.83203125" style="144" bestFit="1" customWidth="1"/>
    <col min="15" max="24" width="15.83203125" style="144" bestFit="1" customWidth="1"/>
    <col min="25" max="25" width="13.83203125" style="144" bestFit="1" customWidth="1"/>
    <col min="26" max="26" width="15.83203125" style="144" bestFit="1" customWidth="1"/>
    <col min="27" max="28" width="4.83203125" style="144" bestFit="1" customWidth="1"/>
    <col min="29" max="29" width="14.83203125" style="144" bestFit="1" customWidth="1"/>
    <col min="30" max="36" width="15.83203125" style="144" customWidth="1"/>
    <col min="37" max="37" width="15.5" style="144" customWidth="1"/>
    <col min="38" max="38" width="4.83203125" style="144" customWidth="1"/>
    <col min="39" max="39" width="2.33203125" style="144" customWidth="1"/>
    <col min="40" max="40" width="15.5" style="144" customWidth="1"/>
    <col min="41" max="41" width="3.83203125" style="144" customWidth="1"/>
    <col min="42" max="42" width="6.83203125" style="144" customWidth="1"/>
    <col min="43" max="43" width="4.83203125" style="144" customWidth="1"/>
    <col min="44" max="44" width="15.83203125" style="144" customWidth="1"/>
    <col min="45" max="45" width="14.83203125" style="144" customWidth="1"/>
    <col min="46" max="46" width="6.83203125" style="144" customWidth="1"/>
    <col min="47" max="48" width="14.83203125" style="144" customWidth="1"/>
    <col min="49" max="49" width="5.83203125" style="144" customWidth="1"/>
    <col min="50" max="51" width="15.83203125" style="144" customWidth="1"/>
    <col min="52" max="52" width="6.83203125" style="144" customWidth="1"/>
    <col min="53" max="53" width="14.83203125" style="144" customWidth="1"/>
    <col min="54" max="54" width="4.83203125" style="144" customWidth="1"/>
    <col min="55" max="55" width="5.83203125" style="144" customWidth="1"/>
    <col min="56" max="56" width="15.83203125" style="144" customWidth="1"/>
    <col min="57" max="57" width="14.83203125" style="144" customWidth="1"/>
    <col min="58" max="58" width="15.83203125" style="144" customWidth="1"/>
    <col min="59" max="59" width="6.83203125" style="144" customWidth="1"/>
    <col min="60" max="61" width="4.83203125" style="144" customWidth="1"/>
    <col min="62" max="62" width="6.83203125" style="144" customWidth="1"/>
    <col min="63" max="63" width="4.83203125" style="144" customWidth="1"/>
    <col min="64" max="64" width="5.83203125" style="144" customWidth="1"/>
    <col min="65" max="65" width="15.83203125" style="144" customWidth="1"/>
    <col min="66" max="67" width="4.83203125" style="144" customWidth="1"/>
    <col min="68" max="68" width="7.83203125" style="144" customWidth="1"/>
    <col min="69" max="71" width="4.83203125" style="144" customWidth="1"/>
    <col min="72" max="73" width="3.83203125" style="144" customWidth="1"/>
    <col min="74" max="80" width="4.83203125" style="144" customWidth="1"/>
    <col min="81" max="81" width="5.83203125" style="144" customWidth="1"/>
    <col min="82" max="84" width="4.83203125" style="144" customWidth="1"/>
    <col min="85" max="85" width="13.83203125" style="144" customWidth="1"/>
    <col min="86" max="86" width="5.83203125" style="144" customWidth="1"/>
    <col min="87" max="100" width="2.33203125" style="144" customWidth="1"/>
    <col min="101" max="16384" width="8.83203125" style="144"/>
  </cols>
  <sheetData>
    <row r="1" spans="1:100" x14ac:dyDescent="0.15">
      <c r="A1" s="143" t="s">
        <v>19</v>
      </c>
      <c r="B1" s="181" t="s">
        <v>192</v>
      </c>
      <c r="C1" s="181" t="s">
        <v>193</v>
      </c>
      <c r="D1" s="181" t="s">
        <v>194</v>
      </c>
      <c r="E1" s="181" t="s">
        <v>195</v>
      </c>
      <c r="F1" s="181" t="s">
        <v>196</v>
      </c>
      <c r="G1" s="181" t="s">
        <v>197</v>
      </c>
      <c r="H1" s="181" t="s">
        <v>198</v>
      </c>
      <c r="I1" s="181" t="s">
        <v>199</v>
      </c>
      <c r="J1" s="181" t="s">
        <v>200</v>
      </c>
      <c r="K1" s="181" t="s">
        <v>201</v>
      </c>
      <c r="L1" s="181" t="s">
        <v>202</v>
      </c>
      <c r="M1" s="181" t="s">
        <v>203</v>
      </c>
      <c r="N1" s="181" t="s">
        <v>204</v>
      </c>
      <c r="O1" s="181" t="s">
        <v>205</v>
      </c>
      <c r="P1" s="181" t="s">
        <v>206</v>
      </c>
      <c r="Q1" s="181" t="s">
        <v>207</v>
      </c>
      <c r="R1" s="181" t="s">
        <v>208</v>
      </c>
      <c r="S1" s="181" t="s">
        <v>209</v>
      </c>
      <c r="T1" s="181" t="s">
        <v>210</v>
      </c>
      <c r="U1" s="181" t="s">
        <v>211</v>
      </c>
      <c r="V1" s="181" t="s">
        <v>212</v>
      </c>
      <c r="W1" s="181" t="s">
        <v>213</v>
      </c>
      <c r="X1" s="181" t="s">
        <v>214</v>
      </c>
      <c r="Y1" s="181" t="s">
        <v>215</v>
      </c>
      <c r="Z1" s="181" t="s">
        <v>216</v>
      </c>
      <c r="AA1" s="181" t="s">
        <v>217</v>
      </c>
      <c r="AB1" s="181" t="s">
        <v>218</v>
      </c>
      <c r="AC1" s="181" t="s">
        <v>219</v>
      </c>
      <c r="AD1" s="181" t="s">
        <v>220</v>
      </c>
      <c r="AE1" s="181" t="s">
        <v>221</v>
      </c>
      <c r="AF1" s="181" t="s">
        <v>222</v>
      </c>
      <c r="AG1" s="181" t="s">
        <v>223</v>
      </c>
      <c r="AH1" s="181" t="s">
        <v>224</v>
      </c>
      <c r="AI1" s="181" t="s">
        <v>225</v>
      </c>
      <c r="AJ1" s="181" t="s">
        <v>226</v>
      </c>
      <c r="AK1" s="181" t="s">
        <v>227</v>
      </c>
      <c r="AL1" s="181" t="s">
        <v>228</v>
      </c>
      <c r="AM1" s="181" t="s">
        <v>229</v>
      </c>
      <c r="AN1" s="181" t="s">
        <v>230</v>
      </c>
      <c r="AO1" s="181" t="s">
        <v>231</v>
      </c>
      <c r="AP1" s="181" t="s">
        <v>232</v>
      </c>
      <c r="AQ1" s="181" t="s">
        <v>233</v>
      </c>
      <c r="AR1" s="181" t="s">
        <v>234</v>
      </c>
      <c r="AS1" s="181" t="s">
        <v>235</v>
      </c>
      <c r="AT1" s="181" t="s">
        <v>236</v>
      </c>
      <c r="AU1" s="181" t="s">
        <v>237</v>
      </c>
      <c r="AV1" s="181" t="s">
        <v>238</v>
      </c>
      <c r="AW1" s="181" t="s">
        <v>239</v>
      </c>
      <c r="AX1" s="181" t="s">
        <v>240</v>
      </c>
      <c r="AY1" s="181" t="s">
        <v>241</v>
      </c>
      <c r="AZ1" s="181" t="s">
        <v>242</v>
      </c>
      <c r="BA1" s="181" t="s">
        <v>243</v>
      </c>
      <c r="BB1" s="181" t="s">
        <v>244</v>
      </c>
      <c r="BC1" s="181" t="s">
        <v>245</v>
      </c>
      <c r="BD1" s="181" t="s">
        <v>246</v>
      </c>
      <c r="BE1" s="181" t="s">
        <v>247</v>
      </c>
      <c r="BF1" s="181" t="s">
        <v>248</v>
      </c>
      <c r="BG1" s="181" t="s">
        <v>249</v>
      </c>
      <c r="BH1" s="181" t="s">
        <v>250</v>
      </c>
      <c r="BI1" s="181" t="s">
        <v>251</v>
      </c>
      <c r="BJ1" s="181" t="s">
        <v>252</v>
      </c>
      <c r="BK1" s="181" t="s">
        <v>253</v>
      </c>
      <c r="BL1" s="181" t="s">
        <v>254</v>
      </c>
      <c r="BM1" s="181" t="s">
        <v>255</v>
      </c>
      <c r="BN1" s="181" t="s">
        <v>256</v>
      </c>
      <c r="BO1" s="181" t="s">
        <v>257</v>
      </c>
      <c r="BP1" s="181" t="s">
        <v>258</v>
      </c>
      <c r="BQ1" s="181" t="s">
        <v>259</v>
      </c>
      <c r="BR1" s="181" t="s">
        <v>260</v>
      </c>
      <c r="BS1" s="181" t="s">
        <v>261</v>
      </c>
      <c r="BT1" s="181" t="s">
        <v>262</v>
      </c>
      <c r="BU1" s="181" t="s">
        <v>263</v>
      </c>
      <c r="BV1" s="181" t="s">
        <v>264</v>
      </c>
      <c r="BW1" s="181" t="s">
        <v>265</v>
      </c>
      <c r="BX1" s="181" t="s">
        <v>266</v>
      </c>
      <c r="BY1" s="181" t="s">
        <v>267</v>
      </c>
      <c r="BZ1" s="181" t="s">
        <v>268</v>
      </c>
      <c r="CA1" s="181" t="s">
        <v>269</v>
      </c>
      <c r="CB1" s="181" t="s">
        <v>270</v>
      </c>
      <c r="CC1" s="181" t="s">
        <v>271</v>
      </c>
      <c r="CD1" s="181" t="s">
        <v>272</v>
      </c>
      <c r="CE1" s="181" t="s">
        <v>273</v>
      </c>
      <c r="CF1" s="181" t="s">
        <v>274</v>
      </c>
      <c r="CG1" s="181" t="s">
        <v>275</v>
      </c>
      <c r="CH1" s="181" t="s">
        <v>276</v>
      </c>
      <c r="CI1" s="181" t="s">
        <v>277</v>
      </c>
      <c r="CJ1" s="181" t="s">
        <v>278</v>
      </c>
      <c r="CK1" s="181" t="s">
        <v>279</v>
      </c>
      <c r="CL1" s="181" t="s">
        <v>280</v>
      </c>
      <c r="CM1" s="181" t="s">
        <v>281</v>
      </c>
      <c r="CN1" s="181" t="s">
        <v>282</v>
      </c>
      <c r="CO1" s="181" t="s">
        <v>283</v>
      </c>
      <c r="CP1" s="181" t="s">
        <v>284</v>
      </c>
      <c r="CQ1" s="181" t="s">
        <v>285</v>
      </c>
      <c r="CR1" s="181" t="s">
        <v>286</v>
      </c>
      <c r="CS1" s="181" t="s">
        <v>287</v>
      </c>
      <c r="CT1" s="181" t="s">
        <v>288</v>
      </c>
      <c r="CU1" s="181" t="s">
        <v>289</v>
      </c>
      <c r="CV1" s="181" t="s">
        <v>290</v>
      </c>
    </row>
    <row r="2" spans="1:100" customFormat="1" x14ac:dyDescent="0.15">
      <c r="A2" s="180" t="s">
        <v>192</v>
      </c>
      <c r="B2" s="144">
        <v>0</v>
      </c>
      <c r="C2" s="144">
        <v>0</v>
      </c>
      <c r="D2" s="144">
        <v>0</v>
      </c>
      <c r="E2" s="144">
        <v>0</v>
      </c>
      <c r="F2" s="144">
        <v>0</v>
      </c>
      <c r="G2" s="144">
        <v>0</v>
      </c>
      <c r="H2" s="144">
        <v>0</v>
      </c>
      <c r="I2" s="144">
        <v>0</v>
      </c>
      <c r="J2" s="144">
        <v>0</v>
      </c>
      <c r="K2" s="144">
        <v>0</v>
      </c>
      <c r="L2" s="144">
        <v>0</v>
      </c>
      <c r="M2" s="144">
        <v>0</v>
      </c>
      <c r="N2" s="144">
        <v>0</v>
      </c>
      <c r="O2" s="144">
        <v>0</v>
      </c>
      <c r="P2" s="144">
        <v>0</v>
      </c>
      <c r="Q2" s="144">
        <v>0</v>
      </c>
      <c r="R2" s="144">
        <v>0</v>
      </c>
      <c r="S2" s="144">
        <v>0</v>
      </c>
      <c r="T2" s="144">
        <v>0</v>
      </c>
      <c r="U2" s="144">
        <v>0</v>
      </c>
      <c r="V2" s="144">
        <v>0</v>
      </c>
      <c r="W2" s="144">
        <v>0</v>
      </c>
      <c r="X2" s="144">
        <v>0</v>
      </c>
      <c r="Y2" s="144">
        <v>0</v>
      </c>
      <c r="Z2" s="144">
        <v>0</v>
      </c>
      <c r="AA2" s="144">
        <v>0</v>
      </c>
      <c r="AB2" s="144">
        <v>0</v>
      </c>
      <c r="AC2" s="144">
        <v>0</v>
      </c>
      <c r="AD2" s="144">
        <v>0</v>
      </c>
      <c r="AE2" s="144">
        <v>0</v>
      </c>
      <c r="AF2" s="144">
        <v>0</v>
      </c>
      <c r="AG2" s="144">
        <v>0</v>
      </c>
      <c r="AH2" s="144">
        <v>0</v>
      </c>
      <c r="AI2" s="144">
        <v>0</v>
      </c>
      <c r="AJ2" s="144">
        <v>0</v>
      </c>
      <c r="AK2" s="144">
        <v>0</v>
      </c>
      <c r="AL2" s="144">
        <v>0</v>
      </c>
      <c r="AM2" s="144">
        <v>0</v>
      </c>
      <c r="AN2" s="144">
        <v>0</v>
      </c>
      <c r="AO2" s="144">
        <v>0</v>
      </c>
      <c r="AP2" s="144">
        <v>0</v>
      </c>
      <c r="AQ2" s="144">
        <v>0</v>
      </c>
      <c r="AR2" s="144">
        <v>0</v>
      </c>
      <c r="AS2" s="144">
        <v>0</v>
      </c>
      <c r="AT2" s="144">
        <v>0</v>
      </c>
      <c r="AU2" s="144">
        <v>0</v>
      </c>
      <c r="AV2" s="144">
        <v>0</v>
      </c>
      <c r="AW2" s="144">
        <v>0</v>
      </c>
      <c r="AX2" s="144">
        <v>0</v>
      </c>
      <c r="AY2" s="144">
        <v>0</v>
      </c>
      <c r="AZ2" s="144">
        <v>0</v>
      </c>
      <c r="BA2" s="144">
        <v>0</v>
      </c>
      <c r="BB2" s="144">
        <v>0</v>
      </c>
      <c r="BC2" s="144">
        <v>0</v>
      </c>
      <c r="BD2" s="144">
        <v>0</v>
      </c>
      <c r="BE2" s="144">
        <v>0</v>
      </c>
      <c r="BF2" s="144">
        <v>0</v>
      </c>
      <c r="BG2" s="144">
        <v>0</v>
      </c>
      <c r="BH2" s="144">
        <v>0</v>
      </c>
      <c r="BI2" s="144">
        <v>0</v>
      </c>
      <c r="BJ2" s="144">
        <v>0</v>
      </c>
      <c r="BK2" s="144">
        <v>0</v>
      </c>
      <c r="BL2" s="144">
        <v>0</v>
      </c>
      <c r="BM2" s="144">
        <v>0</v>
      </c>
      <c r="BN2" s="144">
        <v>0</v>
      </c>
      <c r="BO2" s="144">
        <v>0</v>
      </c>
      <c r="BP2" s="144">
        <v>0</v>
      </c>
      <c r="BQ2" s="144">
        <v>0</v>
      </c>
      <c r="BR2" s="144">
        <v>0</v>
      </c>
      <c r="BS2" s="144">
        <v>0</v>
      </c>
      <c r="BT2" s="144">
        <v>0</v>
      </c>
      <c r="BU2" s="144">
        <v>0</v>
      </c>
      <c r="BV2" s="144">
        <v>0</v>
      </c>
      <c r="BW2" s="144">
        <v>0</v>
      </c>
      <c r="BX2" s="144">
        <v>0</v>
      </c>
      <c r="BY2" s="144">
        <v>0</v>
      </c>
      <c r="BZ2" s="144">
        <v>0</v>
      </c>
      <c r="CA2" s="144">
        <v>0</v>
      </c>
      <c r="CB2" s="144">
        <v>0</v>
      </c>
      <c r="CC2" s="144">
        <v>0</v>
      </c>
      <c r="CD2" s="144">
        <v>0</v>
      </c>
      <c r="CE2" s="144">
        <v>0</v>
      </c>
      <c r="CF2" s="144">
        <v>0</v>
      </c>
      <c r="CG2" s="144">
        <v>0</v>
      </c>
      <c r="CH2" s="144">
        <v>0</v>
      </c>
      <c r="CI2" s="144">
        <v>0</v>
      </c>
      <c r="CJ2" s="144">
        <v>0</v>
      </c>
      <c r="CK2" s="144">
        <v>0</v>
      </c>
      <c r="CL2" s="144">
        <v>0</v>
      </c>
      <c r="CM2" s="144">
        <v>0</v>
      </c>
      <c r="CN2" s="144">
        <v>0</v>
      </c>
      <c r="CO2" s="144">
        <v>0</v>
      </c>
      <c r="CP2" s="144">
        <v>0</v>
      </c>
      <c r="CQ2" s="144">
        <v>0</v>
      </c>
      <c r="CR2" s="144">
        <v>0</v>
      </c>
      <c r="CS2" s="144">
        <v>0</v>
      </c>
      <c r="CT2" s="144">
        <v>0</v>
      </c>
      <c r="CU2" s="144">
        <v>0</v>
      </c>
      <c r="CV2" s="144">
        <v>0</v>
      </c>
    </row>
    <row r="3" spans="1:100" customFormat="1" x14ac:dyDescent="0.15">
      <c r="A3" s="180" t="s">
        <v>193</v>
      </c>
      <c r="B3" s="144">
        <v>0</v>
      </c>
      <c r="C3" s="144">
        <v>0</v>
      </c>
      <c r="D3" s="144">
        <v>0</v>
      </c>
      <c r="E3" s="144">
        <v>0</v>
      </c>
      <c r="F3" s="144">
        <v>0</v>
      </c>
      <c r="G3" s="144">
        <v>0</v>
      </c>
      <c r="H3" s="144">
        <v>0</v>
      </c>
      <c r="I3" s="144">
        <v>0</v>
      </c>
      <c r="J3" s="144">
        <v>0</v>
      </c>
      <c r="K3" s="144">
        <v>0</v>
      </c>
      <c r="L3" s="144">
        <v>0</v>
      </c>
      <c r="M3" s="144">
        <v>0</v>
      </c>
      <c r="N3" s="144">
        <v>0</v>
      </c>
      <c r="O3" s="144">
        <v>0</v>
      </c>
      <c r="P3" s="144">
        <v>0</v>
      </c>
      <c r="Q3" s="144">
        <v>0</v>
      </c>
      <c r="R3" s="144">
        <v>0</v>
      </c>
      <c r="S3" s="144">
        <v>0</v>
      </c>
      <c r="T3" s="144">
        <v>0</v>
      </c>
      <c r="U3" s="144">
        <v>0</v>
      </c>
      <c r="V3" s="144">
        <v>0</v>
      </c>
      <c r="W3" s="144">
        <v>0</v>
      </c>
      <c r="X3" s="144">
        <v>0</v>
      </c>
      <c r="Y3" s="144">
        <v>0</v>
      </c>
      <c r="Z3" s="144">
        <v>0</v>
      </c>
      <c r="AA3" s="144">
        <v>0</v>
      </c>
      <c r="AB3" s="144">
        <v>0</v>
      </c>
      <c r="AC3" s="144">
        <v>0</v>
      </c>
      <c r="AD3" s="144">
        <v>0</v>
      </c>
      <c r="AE3" s="144">
        <v>0</v>
      </c>
      <c r="AF3" s="144">
        <v>0</v>
      </c>
      <c r="AG3" s="144">
        <v>0</v>
      </c>
      <c r="AH3" s="144">
        <v>0</v>
      </c>
      <c r="AI3" s="144">
        <v>0</v>
      </c>
      <c r="AJ3" s="144">
        <v>0</v>
      </c>
      <c r="AK3" s="144">
        <v>0</v>
      </c>
      <c r="AL3" s="144">
        <v>0</v>
      </c>
      <c r="AM3" s="144">
        <v>0</v>
      </c>
      <c r="AN3" s="144">
        <v>0</v>
      </c>
      <c r="AO3" s="144">
        <v>0</v>
      </c>
      <c r="AP3" s="144">
        <v>0</v>
      </c>
      <c r="AQ3" s="144">
        <v>0</v>
      </c>
      <c r="AR3" s="144">
        <v>0</v>
      </c>
      <c r="AS3" s="144">
        <v>0</v>
      </c>
      <c r="AT3" s="144">
        <v>0</v>
      </c>
      <c r="AU3" s="144">
        <v>0</v>
      </c>
      <c r="AV3" s="144">
        <v>0</v>
      </c>
      <c r="AW3" s="144">
        <v>0</v>
      </c>
      <c r="AX3" s="144">
        <v>0</v>
      </c>
      <c r="AY3" s="144">
        <v>0</v>
      </c>
      <c r="AZ3" s="144">
        <v>0</v>
      </c>
      <c r="BA3" s="144">
        <v>0</v>
      </c>
      <c r="BB3" s="144">
        <v>0</v>
      </c>
      <c r="BC3" s="144">
        <v>0</v>
      </c>
      <c r="BD3" s="144">
        <v>0</v>
      </c>
      <c r="BE3" s="144">
        <v>0</v>
      </c>
      <c r="BF3" s="144">
        <v>0</v>
      </c>
      <c r="BG3" s="144">
        <v>0</v>
      </c>
      <c r="BH3" s="144">
        <v>0</v>
      </c>
      <c r="BI3" s="144">
        <v>0</v>
      </c>
      <c r="BJ3" s="144">
        <v>0</v>
      </c>
      <c r="BK3" s="144">
        <v>0</v>
      </c>
      <c r="BL3" s="144">
        <v>0</v>
      </c>
      <c r="BM3" s="144">
        <v>0</v>
      </c>
      <c r="BN3" s="144">
        <v>0</v>
      </c>
      <c r="BO3" s="144">
        <v>0</v>
      </c>
      <c r="BP3" s="144">
        <v>0</v>
      </c>
      <c r="BQ3" s="144">
        <v>0</v>
      </c>
      <c r="BR3" s="144">
        <v>0</v>
      </c>
      <c r="BS3" s="144">
        <v>0</v>
      </c>
      <c r="BT3" s="144">
        <v>0</v>
      </c>
      <c r="BU3" s="144">
        <v>0</v>
      </c>
      <c r="BV3" s="144">
        <v>0</v>
      </c>
      <c r="BW3" s="144">
        <v>0</v>
      </c>
      <c r="BX3" s="144">
        <v>0</v>
      </c>
      <c r="BY3" s="144">
        <v>0</v>
      </c>
      <c r="BZ3" s="144">
        <v>0</v>
      </c>
      <c r="CA3" s="144">
        <v>0</v>
      </c>
      <c r="CB3" s="144">
        <v>0</v>
      </c>
      <c r="CC3" s="144">
        <v>0</v>
      </c>
      <c r="CD3" s="144">
        <v>0</v>
      </c>
      <c r="CE3" s="144">
        <v>0</v>
      </c>
      <c r="CF3" s="144">
        <v>0</v>
      </c>
      <c r="CG3" s="144">
        <v>0</v>
      </c>
      <c r="CH3" s="144">
        <v>0</v>
      </c>
      <c r="CI3" s="144">
        <v>0</v>
      </c>
      <c r="CJ3" s="144">
        <v>0</v>
      </c>
      <c r="CK3" s="144">
        <v>0</v>
      </c>
      <c r="CL3" s="144">
        <v>0</v>
      </c>
      <c r="CM3" s="144">
        <v>0</v>
      </c>
      <c r="CN3" s="144">
        <v>0</v>
      </c>
      <c r="CO3" s="144">
        <v>0</v>
      </c>
      <c r="CP3" s="144">
        <v>0</v>
      </c>
      <c r="CQ3" s="144">
        <v>0</v>
      </c>
      <c r="CR3" s="144">
        <v>0</v>
      </c>
      <c r="CS3" s="144">
        <v>0</v>
      </c>
      <c r="CT3" s="144">
        <v>0</v>
      </c>
      <c r="CU3" s="144">
        <v>0</v>
      </c>
      <c r="CV3" s="144">
        <v>0</v>
      </c>
    </row>
    <row r="4" spans="1:100" customFormat="1" x14ac:dyDescent="0.15">
      <c r="A4" s="180" t="s">
        <v>194</v>
      </c>
      <c r="B4" s="144">
        <v>0</v>
      </c>
      <c r="C4" s="144">
        <v>0</v>
      </c>
      <c r="D4" s="144">
        <v>0</v>
      </c>
      <c r="E4" s="144">
        <v>0</v>
      </c>
      <c r="F4" s="144">
        <v>0</v>
      </c>
      <c r="G4" s="144">
        <v>0</v>
      </c>
      <c r="H4" s="144">
        <v>0</v>
      </c>
      <c r="I4" s="144">
        <v>0</v>
      </c>
      <c r="J4" s="144">
        <v>0</v>
      </c>
      <c r="K4" s="144">
        <v>0</v>
      </c>
      <c r="L4" s="144">
        <v>0</v>
      </c>
      <c r="M4" s="144">
        <v>0</v>
      </c>
      <c r="N4" s="144">
        <v>0</v>
      </c>
      <c r="O4" s="144">
        <v>0</v>
      </c>
      <c r="P4" s="144">
        <v>0</v>
      </c>
      <c r="Q4" s="144">
        <v>0</v>
      </c>
      <c r="R4" s="144">
        <v>0</v>
      </c>
      <c r="S4" s="144">
        <v>0</v>
      </c>
      <c r="T4" s="144">
        <v>0</v>
      </c>
      <c r="U4" s="144">
        <v>0</v>
      </c>
      <c r="V4" s="144">
        <v>0</v>
      </c>
      <c r="W4" s="144">
        <v>0</v>
      </c>
      <c r="X4" s="144">
        <v>0</v>
      </c>
      <c r="Y4" s="144">
        <v>0</v>
      </c>
      <c r="Z4" s="144">
        <v>0</v>
      </c>
      <c r="AA4" s="144">
        <v>0</v>
      </c>
      <c r="AB4" s="144">
        <v>0</v>
      </c>
      <c r="AC4" s="144">
        <v>0</v>
      </c>
      <c r="AD4" s="144">
        <v>0</v>
      </c>
      <c r="AE4" s="144">
        <v>0</v>
      </c>
      <c r="AF4" s="144">
        <v>0</v>
      </c>
      <c r="AG4" s="144">
        <v>0</v>
      </c>
      <c r="AH4" s="144">
        <v>0</v>
      </c>
      <c r="AI4" s="144">
        <v>0</v>
      </c>
      <c r="AJ4" s="144">
        <v>0</v>
      </c>
      <c r="AK4" s="144">
        <v>0</v>
      </c>
      <c r="AL4" s="144">
        <v>0</v>
      </c>
      <c r="AM4" s="144">
        <v>0</v>
      </c>
      <c r="AN4" s="144">
        <v>0</v>
      </c>
      <c r="AO4" s="144">
        <v>0</v>
      </c>
      <c r="AP4" s="144">
        <v>0</v>
      </c>
      <c r="AQ4" s="144">
        <v>0</v>
      </c>
      <c r="AR4" s="144">
        <v>0</v>
      </c>
      <c r="AS4" s="144">
        <v>0</v>
      </c>
      <c r="AT4" s="144">
        <v>0</v>
      </c>
      <c r="AU4" s="144">
        <v>0</v>
      </c>
      <c r="AV4" s="144">
        <v>0</v>
      </c>
      <c r="AW4" s="144">
        <v>0</v>
      </c>
      <c r="AX4" s="144">
        <v>0</v>
      </c>
      <c r="AY4" s="144">
        <v>0</v>
      </c>
      <c r="AZ4" s="144">
        <v>0</v>
      </c>
      <c r="BA4" s="144">
        <v>0</v>
      </c>
      <c r="BB4" s="144">
        <v>0</v>
      </c>
      <c r="BC4" s="144">
        <v>0</v>
      </c>
      <c r="BD4" s="144">
        <v>0</v>
      </c>
      <c r="BE4" s="144">
        <v>0</v>
      </c>
      <c r="BF4" s="144">
        <v>0</v>
      </c>
      <c r="BG4" s="144">
        <v>0</v>
      </c>
      <c r="BH4" s="144">
        <v>0</v>
      </c>
      <c r="BI4" s="144">
        <v>0</v>
      </c>
      <c r="BJ4" s="144">
        <v>0</v>
      </c>
      <c r="BK4" s="144">
        <v>0</v>
      </c>
      <c r="BL4" s="144">
        <v>0</v>
      </c>
      <c r="BM4" s="144">
        <v>0</v>
      </c>
      <c r="BN4" s="144">
        <v>0</v>
      </c>
      <c r="BO4" s="144">
        <v>0</v>
      </c>
      <c r="BP4" s="144">
        <v>0</v>
      </c>
      <c r="BQ4" s="144">
        <v>0</v>
      </c>
      <c r="BR4" s="144">
        <v>0</v>
      </c>
      <c r="BS4" s="144">
        <v>0</v>
      </c>
      <c r="BT4" s="144">
        <v>0</v>
      </c>
      <c r="BU4" s="144">
        <v>0</v>
      </c>
      <c r="BV4" s="144">
        <v>0</v>
      </c>
      <c r="BW4" s="144">
        <v>0</v>
      </c>
      <c r="BX4" s="144">
        <v>0</v>
      </c>
      <c r="BY4" s="144">
        <v>0</v>
      </c>
      <c r="BZ4" s="144">
        <v>0</v>
      </c>
      <c r="CA4" s="144">
        <v>0</v>
      </c>
      <c r="CB4" s="144">
        <v>0</v>
      </c>
      <c r="CC4" s="144">
        <v>0</v>
      </c>
      <c r="CD4" s="144">
        <v>0</v>
      </c>
      <c r="CE4" s="144">
        <v>0</v>
      </c>
      <c r="CF4" s="144">
        <v>0</v>
      </c>
      <c r="CG4" s="144">
        <v>0</v>
      </c>
      <c r="CH4" s="144">
        <v>0</v>
      </c>
      <c r="CI4" s="144">
        <v>0</v>
      </c>
      <c r="CJ4" s="144">
        <v>0</v>
      </c>
      <c r="CK4" s="144">
        <v>0</v>
      </c>
      <c r="CL4" s="144">
        <v>0</v>
      </c>
      <c r="CM4" s="144">
        <v>0</v>
      </c>
      <c r="CN4" s="144">
        <v>0</v>
      </c>
      <c r="CO4" s="144">
        <v>0</v>
      </c>
      <c r="CP4" s="144">
        <v>0</v>
      </c>
      <c r="CQ4" s="144">
        <v>0</v>
      </c>
      <c r="CR4" s="144">
        <v>0</v>
      </c>
      <c r="CS4" s="144">
        <v>0</v>
      </c>
      <c r="CT4" s="144">
        <v>0</v>
      </c>
      <c r="CU4" s="144">
        <v>0</v>
      </c>
      <c r="CV4" s="144">
        <v>0</v>
      </c>
    </row>
    <row r="5" spans="1:100" customFormat="1" x14ac:dyDescent="0.15">
      <c r="A5" s="180" t="s">
        <v>195</v>
      </c>
      <c r="B5" s="144">
        <v>0</v>
      </c>
      <c r="C5" s="144">
        <v>0</v>
      </c>
      <c r="D5" s="144">
        <v>7.5000000000000032E-3</v>
      </c>
      <c r="E5" s="144">
        <v>0</v>
      </c>
      <c r="F5" s="144">
        <v>0</v>
      </c>
      <c r="G5" s="144">
        <v>0</v>
      </c>
      <c r="H5" s="144">
        <v>2.3557125484452282E-2</v>
      </c>
      <c r="I5" s="144">
        <v>0</v>
      </c>
      <c r="J5" s="144">
        <v>0</v>
      </c>
      <c r="K5" s="144">
        <v>0</v>
      </c>
      <c r="L5" s="144">
        <v>0</v>
      </c>
      <c r="M5" s="144">
        <v>0</v>
      </c>
      <c r="N5" s="144">
        <v>0</v>
      </c>
      <c r="O5" s="144">
        <v>0</v>
      </c>
      <c r="P5" s="144">
        <v>0</v>
      </c>
      <c r="Q5" s="144">
        <v>0</v>
      </c>
      <c r="R5" s="144">
        <v>0</v>
      </c>
      <c r="S5" s="144">
        <v>0</v>
      </c>
      <c r="T5" s="144">
        <v>0</v>
      </c>
      <c r="U5" s="144">
        <v>0</v>
      </c>
      <c r="V5" s="144">
        <v>0</v>
      </c>
      <c r="W5" s="144">
        <v>0</v>
      </c>
      <c r="X5" s="144">
        <v>0</v>
      </c>
      <c r="Y5" s="144">
        <v>0</v>
      </c>
      <c r="Z5" s="144">
        <v>0</v>
      </c>
      <c r="AA5" s="144">
        <v>0</v>
      </c>
      <c r="AB5" s="144">
        <v>0</v>
      </c>
      <c r="AC5" s="144">
        <v>0</v>
      </c>
      <c r="AD5" s="144">
        <v>0</v>
      </c>
      <c r="AE5" s="144">
        <v>0</v>
      </c>
      <c r="AF5" s="144">
        <v>0</v>
      </c>
      <c r="AG5" s="144">
        <v>0</v>
      </c>
      <c r="AH5" s="144">
        <v>0</v>
      </c>
      <c r="AI5" s="144">
        <v>0</v>
      </c>
      <c r="AJ5" s="144">
        <v>0</v>
      </c>
      <c r="AK5" s="144">
        <v>0</v>
      </c>
      <c r="AL5" s="144">
        <v>0</v>
      </c>
      <c r="AM5" s="144">
        <v>0</v>
      </c>
      <c r="AN5" s="144">
        <v>0</v>
      </c>
      <c r="AO5" s="144">
        <v>0</v>
      </c>
      <c r="AP5" s="144">
        <v>0</v>
      </c>
      <c r="AQ5" s="144">
        <v>0</v>
      </c>
      <c r="AR5" s="144">
        <v>0</v>
      </c>
      <c r="AS5" s="144">
        <v>0</v>
      </c>
      <c r="AT5" s="144">
        <v>0</v>
      </c>
      <c r="AU5" s="144">
        <v>0</v>
      </c>
      <c r="AV5" s="144">
        <v>0</v>
      </c>
      <c r="AW5" s="144">
        <v>0</v>
      </c>
      <c r="AX5" s="144">
        <v>0</v>
      </c>
      <c r="AY5" s="144">
        <v>0</v>
      </c>
      <c r="AZ5" s="144">
        <v>0</v>
      </c>
      <c r="BA5" s="144">
        <v>0</v>
      </c>
      <c r="BB5" s="144">
        <v>0</v>
      </c>
      <c r="BC5" s="144">
        <v>0</v>
      </c>
      <c r="BD5" s="144">
        <v>0</v>
      </c>
      <c r="BE5" s="144">
        <v>0</v>
      </c>
      <c r="BF5" s="144">
        <v>0</v>
      </c>
      <c r="BG5" s="144">
        <v>0</v>
      </c>
      <c r="BH5" s="144">
        <v>0</v>
      </c>
      <c r="BI5" s="144">
        <v>0</v>
      </c>
      <c r="BJ5" s="144">
        <v>0</v>
      </c>
      <c r="BK5" s="144">
        <v>0</v>
      </c>
      <c r="BL5" s="144">
        <v>0</v>
      </c>
      <c r="BM5" s="144">
        <v>0</v>
      </c>
      <c r="BN5" s="144">
        <v>0</v>
      </c>
      <c r="BO5" s="144">
        <v>0</v>
      </c>
      <c r="BP5" s="144">
        <v>0</v>
      </c>
      <c r="BQ5" s="144">
        <v>0</v>
      </c>
      <c r="BR5" s="144">
        <v>0</v>
      </c>
      <c r="BS5" s="144">
        <v>0</v>
      </c>
      <c r="BT5" s="144">
        <v>0</v>
      </c>
      <c r="BU5" s="144">
        <v>0</v>
      </c>
      <c r="BV5" s="144">
        <v>0</v>
      </c>
      <c r="BW5" s="144">
        <v>0</v>
      </c>
      <c r="BX5" s="144">
        <v>0</v>
      </c>
      <c r="BY5" s="144">
        <v>0</v>
      </c>
      <c r="BZ5" s="144">
        <v>0</v>
      </c>
      <c r="CA5" s="144">
        <v>0</v>
      </c>
      <c r="CB5" s="144">
        <v>0</v>
      </c>
      <c r="CC5" s="144">
        <v>0</v>
      </c>
      <c r="CD5" s="144">
        <v>0</v>
      </c>
      <c r="CE5" s="144">
        <v>0</v>
      </c>
      <c r="CF5" s="144">
        <v>0</v>
      </c>
      <c r="CG5" s="144">
        <v>0</v>
      </c>
      <c r="CH5" s="144">
        <v>0</v>
      </c>
      <c r="CI5" s="144">
        <v>0</v>
      </c>
      <c r="CJ5" s="144">
        <v>0</v>
      </c>
      <c r="CK5" s="144">
        <v>0</v>
      </c>
      <c r="CL5" s="144">
        <v>0</v>
      </c>
      <c r="CM5" s="144">
        <v>0</v>
      </c>
      <c r="CN5" s="144">
        <v>0</v>
      </c>
      <c r="CO5" s="144">
        <v>0</v>
      </c>
      <c r="CP5" s="144">
        <v>0</v>
      </c>
      <c r="CQ5" s="144">
        <v>0</v>
      </c>
      <c r="CR5" s="144">
        <v>0</v>
      </c>
      <c r="CS5" s="144">
        <v>0</v>
      </c>
      <c r="CT5" s="144">
        <v>0</v>
      </c>
      <c r="CU5" s="144">
        <v>0</v>
      </c>
      <c r="CV5" s="144">
        <v>0</v>
      </c>
    </row>
    <row r="6" spans="1:100" customFormat="1" x14ac:dyDescent="0.15">
      <c r="A6" s="180" t="s">
        <v>196</v>
      </c>
      <c r="B6" s="144">
        <v>0</v>
      </c>
      <c r="C6" s="144">
        <v>0</v>
      </c>
      <c r="D6" s="144">
        <v>0</v>
      </c>
      <c r="E6" s="144">
        <v>0</v>
      </c>
      <c r="F6" s="144">
        <v>0</v>
      </c>
      <c r="G6" s="144">
        <v>0</v>
      </c>
      <c r="H6" s="144">
        <v>0</v>
      </c>
      <c r="I6" s="144">
        <v>0</v>
      </c>
      <c r="J6" s="144">
        <v>0</v>
      </c>
      <c r="K6" s="144">
        <v>0</v>
      </c>
      <c r="L6" s="144">
        <v>0</v>
      </c>
      <c r="M6" s="144">
        <v>0</v>
      </c>
      <c r="N6" s="144">
        <v>0</v>
      </c>
      <c r="O6" s="144">
        <v>0</v>
      </c>
      <c r="P6" s="144">
        <v>0</v>
      </c>
      <c r="Q6" s="144">
        <v>0</v>
      </c>
      <c r="R6" s="144">
        <v>0</v>
      </c>
      <c r="S6" s="144">
        <v>0</v>
      </c>
      <c r="T6" s="144">
        <v>0</v>
      </c>
      <c r="U6" s="144">
        <v>0</v>
      </c>
      <c r="V6" s="144">
        <v>0</v>
      </c>
      <c r="W6" s="144">
        <v>0</v>
      </c>
      <c r="X6" s="144">
        <v>0</v>
      </c>
      <c r="Y6" s="144">
        <v>0</v>
      </c>
      <c r="Z6" s="144">
        <v>0</v>
      </c>
      <c r="AA6" s="144">
        <v>0</v>
      </c>
      <c r="AB6" s="144">
        <v>0</v>
      </c>
      <c r="AC6" s="144">
        <v>0</v>
      </c>
      <c r="AD6" s="144">
        <v>0</v>
      </c>
      <c r="AE6" s="144">
        <v>0</v>
      </c>
      <c r="AF6" s="144">
        <v>0</v>
      </c>
      <c r="AG6" s="144">
        <v>0</v>
      </c>
      <c r="AH6" s="144">
        <v>0</v>
      </c>
      <c r="AI6" s="144">
        <v>0</v>
      </c>
      <c r="AJ6" s="144">
        <v>0</v>
      </c>
      <c r="AK6" s="144">
        <v>0</v>
      </c>
      <c r="AL6" s="144">
        <v>0</v>
      </c>
      <c r="AM6" s="144">
        <v>0</v>
      </c>
      <c r="AN6" s="144">
        <v>0</v>
      </c>
      <c r="AO6" s="144">
        <v>0</v>
      </c>
      <c r="AP6" s="144">
        <v>0</v>
      </c>
      <c r="AQ6" s="144">
        <v>0</v>
      </c>
      <c r="AR6" s="144">
        <v>0</v>
      </c>
      <c r="AS6" s="144">
        <v>0</v>
      </c>
      <c r="AT6" s="144">
        <v>0</v>
      </c>
      <c r="AU6" s="144">
        <v>0</v>
      </c>
      <c r="AV6" s="144">
        <v>0</v>
      </c>
      <c r="AW6" s="144">
        <v>0</v>
      </c>
      <c r="AX6" s="144">
        <v>0</v>
      </c>
      <c r="AY6" s="144">
        <v>0</v>
      </c>
      <c r="AZ6" s="144">
        <v>0</v>
      </c>
      <c r="BA6" s="144">
        <v>0</v>
      </c>
      <c r="BB6" s="144">
        <v>0</v>
      </c>
      <c r="BC6" s="144">
        <v>0</v>
      </c>
      <c r="BD6" s="144">
        <v>0</v>
      </c>
      <c r="BE6" s="144">
        <v>0</v>
      </c>
      <c r="BF6" s="144">
        <v>0</v>
      </c>
      <c r="BG6" s="144">
        <v>0</v>
      </c>
      <c r="BH6" s="144">
        <v>0</v>
      </c>
      <c r="BI6" s="144">
        <v>0</v>
      </c>
      <c r="BJ6" s="144">
        <v>0</v>
      </c>
      <c r="BK6" s="144">
        <v>0</v>
      </c>
      <c r="BL6" s="144">
        <v>0</v>
      </c>
      <c r="BM6" s="144">
        <v>0</v>
      </c>
      <c r="BN6" s="144">
        <v>0</v>
      </c>
      <c r="BO6" s="144">
        <v>0</v>
      </c>
      <c r="BP6" s="144">
        <v>0</v>
      </c>
      <c r="BQ6" s="144">
        <v>0</v>
      </c>
      <c r="BR6" s="144">
        <v>0</v>
      </c>
      <c r="BS6" s="144">
        <v>0</v>
      </c>
      <c r="BT6" s="144">
        <v>0</v>
      </c>
      <c r="BU6" s="144">
        <v>0</v>
      </c>
      <c r="BV6" s="144">
        <v>0</v>
      </c>
      <c r="BW6" s="144">
        <v>0</v>
      </c>
      <c r="BX6" s="144">
        <v>0</v>
      </c>
      <c r="BY6" s="144">
        <v>0</v>
      </c>
      <c r="BZ6" s="144">
        <v>0</v>
      </c>
      <c r="CA6" s="144">
        <v>0</v>
      </c>
      <c r="CB6" s="144">
        <v>0</v>
      </c>
      <c r="CC6" s="144">
        <v>0</v>
      </c>
      <c r="CD6" s="144">
        <v>0</v>
      </c>
      <c r="CE6" s="144">
        <v>0</v>
      </c>
      <c r="CF6" s="144">
        <v>0</v>
      </c>
      <c r="CG6" s="144">
        <v>0</v>
      </c>
      <c r="CH6" s="144">
        <v>0</v>
      </c>
      <c r="CI6" s="144">
        <v>0</v>
      </c>
      <c r="CJ6" s="144">
        <v>0</v>
      </c>
      <c r="CK6" s="144">
        <v>0</v>
      </c>
      <c r="CL6" s="144">
        <v>0</v>
      </c>
      <c r="CM6" s="144">
        <v>0</v>
      </c>
      <c r="CN6" s="144">
        <v>0</v>
      </c>
      <c r="CO6" s="144">
        <v>0</v>
      </c>
      <c r="CP6" s="144">
        <v>0</v>
      </c>
      <c r="CQ6" s="144">
        <v>0</v>
      </c>
      <c r="CR6" s="144">
        <v>0</v>
      </c>
      <c r="CS6" s="144">
        <v>0</v>
      </c>
      <c r="CT6" s="144">
        <v>0</v>
      </c>
      <c r="CU6" s="144">
        <v>0</v>
      </c>
      <c r="CV6" s="144">
        <v>0</v>
      </c>
    </row>
    <row r="7" spans="1:100" customFormat="1" x14ac:dyDescent="0.15">
      <c r="A7" s="180" t="s">
        <v>197</v>
      </c>
      <c r="B7" s="144">
        <v>0</v>
      </c>
      <c r="C7" s="144">
        <v>0</v>
      </c>
      <c r="D7" s="144">
        <v>0</v>
      </c>
      <c r="E7" s="144">
        <v>0</v>
      </c>
      <c r="F7" s="144">
        <v>0</v>
      </c>
      <c r="G7" s="144">
        <v>0</v>
      </c>
      <c r="H7" s="144">
        <v>0</v>
      </c>
      <c r="I7" s="144">
        <v>0</v>
      </c>
      <c r="J7" s="144">
        <v>0</v>
      </c>
      <c r="K7" s="144">
        <v>0</v>
      </c>
      <c r="L7" s="144">
        <v>1.9456099750961928E-6</v>
      </c>
      <c r="M7" s="144">
        <v>0</v>
      </c>
      <c r="N7" s="144">
        <v>0</v>
      </c>
      <c r="O7" s="144">
        <v>0</v>
      </c>
      <c r="P7" s="144">
        <v>0</v>
      </c>
      <c r="Q7" s="144">
        <v>0</v>
      </c>
      <c r="R7" s="144">
        <v>0</v>
      </c>
      <c r="S7" s="144">
        <v>0</v>
      </c>
      <c r="T7" s="144">
        <v>0</v>
      </c>
      <c r="U7" s="144">
        <v>0</v>
      </c>
      <c r="V7" s="144">
        <v>0</v>
      </c>
      <c r="W7" s="144">
        <v>0</v>
      </c>
      <c r="X7" s="144">
        <v>0</v>
      </c>
      <c r="Y7" s="144">
        <v>0</v>
      </c>
      <c r="Z7" s="144">
        <v>0</v>
      </c>
      <c r="AA7" s="144">
        <v>0</v>
      </c>
      <c r="AB7" s="144">
        <v>0</v>
      </c>
      <c r="AC7" s="144">
        <v>0</v>
      </c>
      <c r="AD7" s="144">
        <v>0</v>
      </c>
      <c r="AE7" s="144">
        <v>0</v>
      </c>
      <c r="AF7" s="144">
        <v>0</v>
      </c>
      <c r="AG7" s="144">
        <v>0</v>
      </c>
      <c r="AH7" s="144">
        <v>0</v>
      </c>
      <c r="AI7" s="144">
        <v>0</v>
      </c>
      <c r="AJ7" s="144">
        <v>0</v>
      </c>
      <c r="AK7" s="144">
        <v>0</v>
      </c>
      <c r="AL7" s="144">
        <v>0</v>
      </c>
      <c r="AM7" s="144">
        <v>0</v>
      </c>
      <c r="AN7" s="144">
        <v>0</v>
      </c>
      <c r="AO7" s="144">
        <v>0</v>
      </c>
      <c r="AP7" s="144">
        <v>0</v>
      </c>
      <c r="AQ7" s="144">
        <v>0</v>
      </c>
      <c r="AR7" s="144">
        <v>0</v>
      </c>
      <c r="AS7" s="144">
        <v>0</v>
      </c>
      <c r="AT7" s="144">
        <v>0</v>
      </c>
      <c r="AU7" s="144">
        <v>0</v>
      </c>
      <c r="AV7" s="144">
        <v>0</v>
      </c>
      <c r="AW7" s="144">
        <v>0</v>
      </c>
      <c r="AX7" s="144">
        <v>0</v>
      </c>
      <c r="AY7" s="144">
        <v>0</v>
      </c>
      <c r="AZ7" s="144">
        <v>0</v>
      </c>
      <c r="BA7" s="144">
        <v>0</v>
      </c>
      <c r="BB7" s="144">
        <v>0</v>
      </c>
      <c r="BC7" s="144">
        <v>0</v>
      </c>
      <c r="BD7" s="144">
        <v>0</v>
      </c>
      <c r="BE7" s="144">
        <v>0</v>
      </c>
      <c r="BF7" s="144">
        <v>0</v>
      </c>
      <c r="BG7" s="144">
        <v>0</v>
      </c>
      <c r="BH7" s="144">
        <v>0</v>
      </c>
      <c r="BI7" s="144">
        <v>0</v>
      </c>
      <c r="BJ7" s="144">
        <v>0</v>
      </c>
      <c r="BK7" s="144">
        <v>0</v>
      </c>
      <c r="BL7" s="144">
        <v>0</v>
      </c>
      <c r="BM7" s="144">
        <v>0</v>
      </c>
      <c r="BN7" s="144">
        <v>0</v>
      </c>
      <c r="BO7" s="144">
        <v>0</v>
      </c>
      <c r="BP7" s="144">
        <v>0</v>
      </c>
      <c r="BQ7" s="144">
        <v>0</v>
      </c>
      <c r="BR7" s="144">
        <v>0</v>
      </c>
      <c r="BS7" s="144">
        <v>0</v>
      </c>
      <c r="BT7" s="144">
        <v>0</v>
      </c>
      <c r="BU7" s="144">
        <v>0</v>
      </c>
      <c r="BV7" s="144">
        <v>0</v>
      </c>
      <c r="BW7" s="144">
        <v>0</v>
      </c>
      <c r="BX7" s="144">
        <v>0</v>
      </c>
      <c r="BY7" s="144">
        <v>0</v>
      </c>
      <c r="BZ7" s="144">
        <v>0</v>
      </c>
      <c r="CA7" s="144">
        <v>0</v>
      </c>
      <c r="CB7" s="144">
        <v>0</v>
      </c>
      <c r="CC7" s="144">
        <v>0</v>
      </c>
      <c r="CD7" s="144">
        <v>0</v>
      </c>
      <c r="CE7" s="144">
        <v>0</v>
      </c>
      <c r="CF7" s="144">
        <v>0</v>
      </c>
      <c r="CG7" s="144">
        <v>0</v>
      </c>
      <c r="CH7" s="144">
        <v>0</v>
      </c>
      <c r="CI7" s="144">
        <v>0</v>
      </c>
      <c r="CJ7" s="144">
        <v>0</v>
      </c>
      <c r="CK7" s="144">
        <v>0</v>
      </c>
      <c r="CL7" s="144">
        <v>0</v>
      </c>
      <c r="CM7" s="144">
        <v>0</v>
      </c>
      <c r="CN7" s="144">
        <v>0</v>
      </c>
      <c r="CO7" s="144">
        <v>0</v>
      </c>
      <c r="CP7" s="144">
        <v>0</v>
      </c>
      <c r="CQ7" s="144">
        <v>0</v>
      </c>
      <c r="CR7" s="144">
        <v>0</v>
      </c>
      <c r="CS7" s="144">
        <v>0</v>
      </c>
      <c r="CT7" s="144">
        <v>0</v>
      </c>
      <c r="CU7" s="144">
        <v>0</v>
      </c>
      <c r="CV7" s="144">
        <v>0</v>
      </c>
    </row>
    <row r="8" spans="1:100" customFormat="1" x14ac:dyDescent="0.15">
      <c r="A8" s="180" t="s">
        <v>198</v>
      </c>
      <c r="B8" s="144">
        <v>0</v>
      </c>
      <c r="C8" s="144">
        <v>0</v>
      </c>
      <c r="D8" s="144">
        <v>0</v>
      </c>
      <c r="E8" s="144">
        <v>0</v>
      </c>
      <c r="F8" s="144">
        <v>0</v>
      </c>
      <c r="G8" s="144">
        <v>0</v>
      </c>
      <c r="H8" s="144">
        <v>0</v>
      </c>
      <c r="I8" s="144">
        <v>0</v>
      </c>
      <c r="J8" s="144">
        <v>0</v>
      </c>
      <c r="K8" s="144">
        <v>0</v>
      </c>
      <c r="L8" s="144">
        <v>0</v>
      </c>
      <c r="M8" s="144">
        <v>0</v>
      </c>
      <c r="N8" s="144">
        <v>0</v>
      </c>
      <c r="O8" s="144">
        <v>0</v>
      </c>
      <c r="P8" s="144">
        <v>0</v>
      </c>
      <c r="Q8" s="144">
        <v>0</v>
      </c>
      <c r="R8" s="144">
        <v>0</v>
      </c>
      <c r="S8" s="144">
        <v>0</v>
      </c>
      <c r="T8" s="144">
        <v>0</v>
      </c>
      <c r="U8" s="144">
        <v>0</v>
      </c>
      <c r="V8" s="144">
        <v>0</v>
      </c>
      <c r="W8" s="144">
        <v>0</v>
      </c>
      <c r="X8" s="144">
        <v>0</v>
      </c>
      <c r="Y8" s="144">
        <v>0</v>
      </c>
      <c r="Z8" s="144">
        <v>0</v>
      </c>
      <c r="AA8" s="144">
        <v>0</v>
      </c>
      <c r="AB8" s="144">
        <v>0</v>
      </c>
      <c r="AC8" s="144">
        <v>0</v>
      </c>
      <c r="AD8" s="144">
        <v>0</v>
      </c>
      <c r="AE8" s="144">
        <v>0</v>
      </c>
      <c r="AF8" s="144">
        <v>0</v>
      </c>
      <c r="AG8" s="144">
        <v>0</v>
      </c>
      <c r="AH8" s="144">
        <v>0</v>
      </c>
      <c r="AI8" s="144">
        <v>0</v>
      </c>
      <c r="AJ8" s="144">
        <v>0</v>
      </c>
      <c r="AK8" s="144">
        <v>0</v>
      </c>
      <c r="AL8" s="144">
        <v>0</v>
      </c>
      <c r="AM8" s="144">
        <v>0</v>
      </c>
      <c r="AN8" s="144">
        <v>0</v>
      </c>
      <c r="AO8" s="144">
        <v>0</v>
      </c>
      <c r="AP8" s="144">
        <v>0</v>
      </c>
      <c r="AQ8" s="144">
        <v>0</v>
      </c>
      <c r="AR8" s="144">
        <v>0</v>
      </c>
      <c r="AS8" s="144">
        <v>0</v>
      </c>
      <c r="AT8" s="144">
        <v>0</v>
      </c>
      <c r="AU8" s="144">
        <v>0</v>
      </c>
      <c r="AV8" s="144">
        <v>0</v>
      </c>
      <c r="AW8" s="144">
        <v>0</v>
      </c>
      <c r="AX8" s="144">
        <v>0</v>
      </c>
      <c r="AY8" s="144">
        <v>0</v>
      </c>
      <c r="AZ8" s="144">
        <v>0</v>
      </c>
      <c r="BA8" s="144">
        <v>0</v>
      </c>
      <c r="BB8" s="144">
        <v>0</v>
      </c>
      <c r="BC8" s="144">
        <v>0</v>
      </c>
      <c r="BD8" s="144">
        <v>0</v>
      </c>
      <c r="BE8" s="144">
        <v>0</v>
      </c>
      <c r="BF8" s="144">
        <v>0</v>
      </c>
      <c r="BG8" s="144">
        <v>0</v>
      </c>
      <c r="BH8" s="144">
        <v>0</v>
      </c>
      <c r="BI8" s="144">
        <v>0</v>
      </c>
      <c r="BJ8" s="144">
        <v>0</v>
      </c>
      <c r="BK8" s="144">
        <v>0</v>
      </c>
      <c r="BL8" s="144">
        <v>0</v>
      </c>
      <c r="BM8" s="144">
        <v>0</v>
      </c>
      <c r="BN8" s="144">
        <v>0</v>
      </c>
      <c r="BO8" s="144">
        <v>0</v>
      </c>
      <c r="BP8" s="144">
        <v>0</v>
      </c>
      <c r="BQ8" s="144">
        <v>0</v>
      </c>
      <c r="BR8" s="144">
        <v>0</v>
      </c>
      <c r="BS8" s="144">
        <v>0</v>
      </c>
      <c r="BT8" s="144">
        <v>0</v>
      </c>
      <c r="BU8" s="144">
        <v>0</v>
      </c>
      <c r="BV8" s="144">
        <v>0</v>
      </c>
      <c r="BW8" s="144">
        <v>0</v>
      </c>
      <c r="BX8" s="144">
        <v>0</v>
      </c>
      <c r="BY8" s="144">
        <v>0</v>
      </c>
      <c r="BZ8" s="144">
        <v>0</v>
      </c>
      <c r="CA8" s="144">
        <v>0</v>
      </c>
      <c r="CB8" s="144">
        <v>0</v>
      </c>
      <c r="CC8" s="144">
        <v>0</v>
      </c>
      <c r="CD8" s="144">
        <v>0</v>
      </c>
      <c r="CE8" s="144">
        <v>0</v>
      </c>
      <c r="CF8" s="144">
        <v>0</v>
      </c>
      <c r="CG8" s="144">
        <v>0</v>
      </c>
      <c r="CH8" s="144">
        <v>0</v>
      </c>
      <c r="CI8" s="144">
        <v>0</v>
      </c>
      <c r="CJ8" s="144">
        <v>0</v>
      </c>
      <c r="CK8" s="144">
        <v>0</v>
      </c>
      <c r="CL8" s="144">
        <v>0</v>
      </c>
      <c r="CM8" s="144">
        <v>0</v>
      </c>
      <c r="CN8" s="144">
        <v>0</v>
      </c>
      <c r="CO8" s="144">
        <v>0</v>
      </c>
      <c r="CP8" s="144">
        <v>0</v>
      </c>
      <c r="CQ8" s="144">
        <v>0</v>
      </c>
      <c r="CR8" s="144">
        <v>0</v>
      </c>
      <c r="CS8" s="144">
        <v>0</v>
      </c>
      <c r="CT8" s="144">
        <v>0</v>
      </c>
      <c r="CU8" s="144">
        <v>0</v>
      </c>
      <c r="CV8" s="144">
        <v>0</v>
      </c>
    </row>
    <row r="9" spans="1:100" customFormat="1" x14ac:dyDescent="0.15">
      <c r="A9" s="180" t="s">
        <v>199</v>
      </c>
      <c r="B9" s="144">
        <v>0</v>
      </c>
      <c r="C9" s="144">
        <v>0</v>
      </c>
      <c r="D9" s="144">
        <v>0</v>
      </c>
      <c r="E9" s="144">
        <v>0</v>
      </c>
      <c r="F9" s="144">
        <v>0</v>
      </c>
      <c r="G9" s="144">
        <v>0</v>
      </c>
      <c r="H9" s="144">
        <v>0</v>
      </c>
      <c r="I9" s="144">
        <v>0</v>
      </c>
      <c r="J9" s="144">
        <v>0</v>
      </c>
      <c r="K9" s="144">
        <v>0</v>
      </c>
      <c r="L9" s="144">
        <v>0</v>
      </c>
      <c r="M9" s="144">
        <v>0</v>
      </c>
      <c r="N9" s="144">
        <v>0</v>
      </c>
      <c r="O9" s="144">
        <v>0</v>
      </c>
      <c r="P9" s="144">
        <v>0</v>
      </c>
      <c r="Q9" s="144">
        <v>0</v>
      </c>
      <c r="R9" s="144">
        <v>0</v>
      </c>
      <c r="S9" s="144">
        <v>0</v>
      </c>
      <c r="T9" s="144">
        <v>0</v>
      </c>
      <c r="U9" s="144">
        <v>0</v>
      </c>
      <c r="V9" s="144">
        <v>0</v>
      </c>
      <c r="W9" s="144">
        <v>0</v>
      </c>
      <c r="X9" s="144">
        <v>0</v>
      </c>
      <c r="Y9" s="144">
        <v>0</v>
      </c>
      <c r="Z9" s="144">
        <v>0</v>
      </c>
      <c r="AA9" s="144">
        <v>0</v>
      </c>
      <c r="AB9" s="144">
        <v>0</v>
      </c>
      <c r="AC9" s="144">
        <v>0</v>
      </c>
      <c r="AD9" s="144">
        <v>0</v>
      </c>
      <c r="AE9" s="144">
        <v>0</v>
      </c>
      <c r="AF9" s="144">
        <v>0</v>
      </c>
      <c r="AG9" s="144">
        <v>0</v>
      </c>
      <c r="AH9" s="144">
        <v>0</v>
      </c>
      <c r="AI9" s="144">
        <v>0</v>
      </c>
      <c r="AJ9" s="144">
        <v>0</v>
      </c>
      <c r="AK9" s="144">
        <v>0</v>
      </c>
      <c r="AL9" s="144">
        <v>0</v>
      </c>
      <c r="AM9" s="144">
        <v>0</v>
      </c>
      <c r="AN9" s="144">
        <v>0</v>
      </c>
      <c r="AO9" s="144">
        <v>0</v>
      </c>
      <c r="AP9" s="144">
        <v>0</v>
      </c>
      <c r="AQ9" s="144">
        <v>0</v>
      </c>
      <c r="AR9" s="144">
        <v>0</v>
      </c>
      <c r="AS9" s="144">
        <v>0</v>
      </c>
      <c r="AT9" s="144">
        <v>0</v>
      </c>
      <c r="AU9" s="144">
        <v>0</v>
      </c>
      <c r="AV9" s="144">
        <v>0</v>
      </c>
      <c r="AW9" s="144">
        <v>0</v>
      </c>
      <c r="AX9" s="144">
        <v>0</v>
      </c>
      <c r="AY9" s="144">
        <v>0</v>
      </c>
      <c r="AZ9" s="144">
        <v>0</v>
      </c>
      <c r="BA9" s="144">
        <v>0</v>
      </c>
      <c r="BB9" s="144">
        <v>0</v>
      </c>
      <c r="BC9" s="144">
        <v>0</v>
      </c>
      <c r="BD9" s="144">
        <v>0</v>
      </c>
      <c r="BE9" s="144">
        <v>0</v>
      </c>
      <c r="BF9" s="144">
        <v>0</v>
      </c>
      <c r="BG9" s="144">
        <v>0</v>
      </c>
      <c r="BH9" s="144">
        <v>0</v>
      </c>
      <c r="BI9" s="144">
        <v>0</v>
      </c>
      <c r="BJ9" s="144">
        <v>0</v>
      </c>
      <c r="BK9" s="144">
        <v>0</v>
      </c>
      <c r="BL9" s="144">
        <v>0</v>
      </c>
      <c r="BM9" s="144">
        <v>0</v>
      </c>
      <c r="BN9" s="144">
        <v>0</v>
      </c>
      <c r="BO9" s="144">
        <v>0</v>
      </c>
      <c r="BP9" s="144">
        <v>0</v>
      </c>
      <c r="BQ9" s="144">
        <v>0</v>
      </c>
      <c r="BR9" s="144">
        <v>0</v>
      </c>
      <c r="BS9" s="144">
        <v>0</v>
      </c>
      <c r="BT9" s="144">
        <v>0</v>
      </c>
      <c r="BU9" s="144">
        <v>0</v>
      </c>
      <c r="BV9" s="144">
        <v>0</v>
      </c>
      <c r="BW9" s="144">
        <v>0</v>
      </c>
      <c r="BX9" s="144">
        <v>0</v>
      </c>
      <c r="BY9" s="144">
        <v>0</v>
      </c>
      <c r="BZ9" s="144">
        <v>0</v>
      </c>
      <c r="CA9" s="144">
        <v>0</v>
      </c>
      <c r="CB9" s="144">
        <v>0</v>
      </c>
      <c r="CC9" s="144">
        <v>0</v>
      </c>
      <c r="CD9" s="144">
        <v>0</v>
      </c>
      <c r="CE9" s="144">
        <v>0</v>
      </c>
      <c r="CF9" s="144">
        <v>0</v>
      </c>
      <c r="CG9" s="144">
        <v>0</v>
      </c>
      <c r="CH9" s="144">
        <v>0</v>
      </c>
      <c r="CI9" s="144">
        <v>0</v>
      </c>
      <c r="CJ9" s="144">
        <v>0</v>
      </c>
      <c r="CK9" s="144">
        <v>0</v>
      </c>
      <c r="CL9" s="144">
        <v>0</v>
      </c>
      <c r="CM9" s="144">
        <v>0</v>
      </c>
      <c r="CN9" s="144">
        <v>0</v>
      </c>
      <c r="CO9" s="144">
        <v>0</v>
      </c>
      <c r="CP9" s="144">
        <v>0</v>
      </c>
      <c r="CQ9" s="144">
        <v>0</v>
      </c>
      <c r="CR9" s="144">
        <v>0</v>
      </c>
      <c r="CS9" s="144">
        <v>0</v>
      </c>
      <c r="CT9" s="144">
        <v>0</v>
      </c>
      <c r="CU9" s="144">
        <v>0</v>
      </c>
      <c r="CV9" s="144">
        <v>0</v>
      </c>
    </row>
    <row r="10" spans="1:100" customFormat="1" x14ac:dyDescent="0.15">
      <c r="A10" s="180" t="s">
        <v>200</v>
      </c>
      <c r="B10" s="144">
        <v>0</v>
      </c>
      <c r="C10" s="144">
        <v>0</v>
      </c>
      <c r="D10" s="144">
        <v>0</v>
      </c>
      <c r="E10" s="144">
        <v>0</v>
      </c>
      <c r="F10" s="144">
        <v>0</v>
      </c>
      <c r="G10" s="144">
        <v>0</v>
      </c>
      <c r="H10" s="144">
        <v>0</v>
      </c>
      <c r="I10" s="144">
        <v>0</v>
      </c>
      <c r="J10" s="144">
        <v>0</v>
      </c>
      <c r="K10" s="144">
        <v>0</v>
      </c>
      <c r="L10" s="144">
        <v>0</v>
      </c>
      <c r="M10" s="144">
        <v>0</v>
      </c>
      <c r="N10" s="144">
        <v>0</v>
      </c>
      <c r="O10" s="144">
        <v>0</v>
      </c>
      <c r="P10" s="144">
        <v>0</v>
      </c>
      <c r="Q10" s="144">
        <v>0</v>
      </c>
      <c r="R10" s="144">
        <v>0</v>
      </c>
      <c r="S10" s="144">
        <v>0</v>
      </c>
      <c r="T10" s="144">
        <v>0</v>
      </c>
      <c r="U10" s="144">
        <v>0</v>
      </c>
      <c r="V10" s="144">
        <v>0</v>
      </c>
      <c r="W10" s="144">
        <v>0</v>
      </c>
      <c r="X10" s="144">
        <v>0</v>
      </c>
      <c r="Y10" s="144">
        <v>0</v>
      </c>
      <c r="Z10" s="144">
        <v>0</v>
      </c>
      <c r="AA10" s="144">
        <v>0</v>
      </c>
      <c r="AB10" s="144">
        <v>0</v>
      </c>
      <c r="AC10" s="144">
        <v>0</v>
      </c>
      <c r="AD10" s="144">
        <v>0</v>
      </c>
      <c r="AE10" s="144">
        <v>0</v>
      </c>
      <c r="AF10" s="144">
        <v>0</v>
      </c>
      <c r="AG10" s="144">
        <v>0</v>
      </c>
      <c r="AH10" s="144">
        <v>0</v>
      </c>
      <c r="AI10" s="144">
        <v>0</v>
      </c>
      <c r="AJ10" s="144">
        <v>0</v>
      </c>
      <c r="AK10" s="144">
        <v>0</v>
      </c>
      <c r="AL10" s="144">
        <v>0</v>
      </c>
      <c r="AM10" s="144">
        <v>0</v>
      </c>
      <c r="AN10" s="144">
        <v>0</v>
      </c>
      <c r="AO10" s="144">
        <v>0</v>
      </c>
      <c r="AP10" s="144">
        <v>0</v>
      </c>
      <c r="AQ10" s="144">
        <v>0</v>
      </c>
      <c r="AR10" s="144">
        <v>0</v>
      </c>
      <c r="AS10" s="144">
        <v>0</v>
      </c>
      <c r="AT10" s="144">
        <v>0</v>
      </c>
      <c r="AU10" s="144">
        <v>0</v>
      </c>
      <c r="AV10" s="144">
        <v>0</v>
      </c>
      <c r="AW10" s="144">
        <v>0</v>
      </c>
      <c r="AX10" s="144">
        <v>0</v>
      </c>
      <c r="AY10" s="144">
        <v>0</v>
      </c>
      <c r="AZ10" s="144">
        <v>0</v>
      </c>
      <c r="BA10" s="144">
        <v>0</v>
      </c>
      <c r="BB10" s="144">
        <v>0</v>
      </c>
      <c r="BC10" s="144">
        <v>0</v>
      </c>
      <c r="BD10" s="144">
        <v>0</v>
      </c>
      <c r="BE10" s="144">
        <v>0</v>
      </c>
      <c r="BF10" s="144">
        <v>0</v>
      </c>
      <c r="BG10" s="144">
        <v>0</v>
      </c>
      <c r="BH10" s="144">
        <v>0</v>
      </c>
      <c r="BI10" s="144">
        <v>0</v>
      </c>
      <c r="BJ10" s="144">
        <v>0</v>
      </c>
      <c r="BK10" s="144">
        <v>0</v>
      </c>
      <c r="BL10" s="144">
        <v>0</v>
      </c>
      <c r="BM10" s="144">
        <v>0</v>
      </c>
      <c r="BN10" s="144">
        <v>0</v>
      </c>
      <c r="BO10" s="144">
        <v>0</v>
      </c>
      <c r="BP10" s="144">
        <v>0</v>
      </c>
      <c r="BQ10" s="144">
        <v>0</v>
      </c>
      <c r="BR10" s="144">
        <v>0</v>
      </c>
      <c r="BS10" s="144">
        <v>0</v>
      </c>
      <c r="BT10" s="144">
        <v>0</v>
      </c>
      <c r="BU10" s="144">
        <v>0</v>
      </c>
      <c r="BV10" s="144">
        <v>0</v>
      </c>
      <c r="BW10" s="144">
        <v>0</v>
      </c>
      <c r="BX10" s="144">
        <v>0</v>
      </c>
      <c r="BY10" s="144">
        <v>0</v>
      </c>
      <c r="BZ10" s="144">
        <v>0</v>
      </c>
      <c r="CA10" s="144">
        <v>0</v>
      </c>
      <c r="CB10" s="144">
        <v>0</v>
      </c>
      <c r="CC10" s="144">
        <v>0</v>
      </c>
      <c r="CD10" s="144">
        <v>0</v>
      </c>
      <c r="CE10" s="144">
        <v>0</v>
      </c>
      <c r="CF10" s="144">
        <v>0</v>
      </c>
      <c r="CG10" s="144">
        <v>0</v>
      </c>
      <c r="CH10" s="144">
        <v>0</v>
      </c>
      <c r="CI10" s="144">
        <v>0</v>
      </c>
      <c r="CJ10" s="144">
        <v>0</v>
      </c>
      <c r="CK10" s="144">
        <v>0</v>
      </c>
      <c r="CL10" s="144">
        <v>0</v>
      </c>
      <c r="CM10" s="144">
        <v>0</v>
      </c>
      <c r="CN10" s="144">
        <v>0</v>
      </c>
      <c r="CO10" s="144">
        <v>0</v>
      </c>
      <c r="CP10" s="144">
        <v>0</v>
      </c>
      <c r="CQ10" s="144">
        <v>0</v>
      </c>
      <c r="CR10" s="144">
        <v>0</v>
      </c>
      <c r="CS10" s="144">
        <v>0</v>
      </c>
      <c r="CT10" s="144">
        <v>0</v>
      </c>
      <c r="CU10" s="144">
        <v>0</v>
      </c>
      <c r="CV10" s="144">
        <v>0</v>
      </c>
    </row>
    <row r="11" spans="1:100" customFormat="1" x14ac:dyDescent="0.15">
      <c r="A11" s="180" t="s">
        <v>201</v>
      </c>
      <c r="B11" s="144">
        <v>0</v>
      </c>
      <c r="C11" s="144">
        <v>0</v>
      </c>
      <c r="D11" s="144">
        <v>0</v>
      </c>
      <c r="E11" s="144">
        <v>0</v>
      </c>
      <c r="F11" s="144">
        <v>0</v>
      </c>
      <c r="G11" s="144">
        <v>0</v>
      </c>
      <c r="H11" s="144">
        <v>0</v>
      </c>
      <c r="I11" s="144">
        <v>0</v>
      </c>
      <c r="J11" s="144">
        <v>0</v>
      </c>
      <c r="K11" s="144">
        <v>0</v>
      </c>
      <c r="L11" s="144">
        <v>0</v>
      </c>
      <c r="M11" s="144">
        <v>0</v>
      </c>
      <c r="N11" s="144">
        <v>0</v>
      </c>
      <c r="O11" s="144">
        <v>0</v>
      </c>
      <c r="P11" s="144">
        <v>0</v>
      </c>
      <c r="Q11" s="144">
        <v>0</v>
      </c>
      <c r="R11" s="144">
        <v>0</v>
      </c>
      <c r="S11" s="144">
        <v>0</v>
      </c>
      <c r="T11" s="144">
        <v>0</v>
      </c>
      <c r="U11" s="144">
        <v>0</v>
      </c>
      <c r="V11" s="144">
        <v>0</v>
      </c>
      <c r="W11" s="144">
        <v>0</v>
      </c>
      <c r="X11" s="144">
        <v>0</v>
      </c>
      <c r="Y11" s="144">
        <v>0</v>
      </c>
      <c r="Z11" s="144">
        <v>0</v>
      </c>
      <c r="AA11" s="144">
        <v>0</v>
      </c>
      <c r="AB11" s="144">
        <v>0</v>
      </c>
      <c r="AC11" s="144">
        <v>0</v>
      </c>
      <c r="AD11" s="144">
        <v>0</v>
      </c>
      <c r="AE11" s="144">
        <v>0</v>
      </c>
      <c r="AF11" s="144">
        <v>0</v>
      </c>
      <c r="AG11" s="144">
        <v>0</v>
      </c>
      <c r="AH11" s="144">
        <v>0</v>
      </c>
      <c r="AI11" s="144">
        <v>0</v>
      </c>
      <c r="AJ11" s="144">
        <v>0</v>
      </c>
      <c r="AK11" s="144">
        <v>0</v>
      </c>
      <c r="AL11" s="144">
        <v>0</v>
      </c>
      <c r="AM11" s="144">
        <v>0</v>
      </c>
      <c r="AN11" s="144">
        <v>0</v>
      </c>
      <c r="AO11" s="144">
        <v>0</v>
      </c>
      <c r="AP11" s="144">
        <v>0</v>
      </c>
      <c r="AQ11" s="144">
        <v>0</v>
      </c>
      <c r="AR11" s="144">
        <v>0</v>
      </c>
      <c r="AS11" s="144">
        <v>0</v>
      </c>
      <c r="AT11" s="144">
        <v>0</v>
      </c>
      <c r="AU11" s="144">
        <v>0</v>
      </c>
      <c r="AV11" s="144">
        <v>0</v>
      </c>
      <c r="AW11" s="144">
        <v>0</v>
      </c>
      <c r="AX11" s="144">
        <v>0</v>
      </c>
      <c r="AY11" s="144">
        <v>0</v>
      </c>
      <c r="AZ11" s="144">
        <v>0</v>
      </c>
      <c r="BA11" s="144">
        <v>0</v>
      </c>
      <c r="BB11" s="144">
        <v>0</v>
      </c>
      <c r="BC11" s="144">
        <v>0</v>
      </c>
      <c r="BD11" s="144">
        <v>0</v>
      </c>
      <c r="BE11" s="144">
        <v>0</v>
      </c>
      <c r="BF11" s="144">
        <v>0</v>
      </c>
      <c r="BG11" s="144">
        <v>0</v>
      </c>
      <c r="BH11" s="144">
        <v>0</v>
      </c>
      <c r="BI11" s="144">
        <v>0</v>
      </c>
      <c r="BJ11" s="144">
        <v>0</v>
      </c>
      <c r="BK11" s="144">
        <v>0</v>
      </c>
      <c r="BL11" s="144">
        <v>0</v>
      </c>
      <c r="BM11" s="144">
        <v>0</v>
      </c>
      <c r="BN11" s="144">
        <v>0</v>
      </c>
      <c r="BO11" s="144">
        <v>0</v>
      </c>
      <c r="BP11" s="144">
        <v>0</v>
      </c>
      <c r="BQ11" s="144">
        <v>0</v>
      </c>
      <c r="BR11" s="144">
        <v>0</v>
      </c>
      <c r="BS11" s="144">
        <v>0</v>
      </c>
      <c r="BT11" s="144">
        <v>0</v>
      </c>
      <c r="BU11" s="144">
        <v>0</v>
      </c>
      <c r="BV11" s="144">
        <v>0</v>
      </c>
      <c r="BW11" s="144">
        <v>0</v>
      </c>
      <c r="BX11" s="144">
        <v>0</v>
      </c>
      <c r="BY11" s="144">
        <v>0</v>
      </c>
      <c r="BZ11" s="144">
        <v>0</v>
      </c>
      <c r="CA11" s="144">
        <v>0</v>
      </c>
      <c r="CB11" s="144">
        <v>0</v>
      </c>
      <c r="CC11" s="144">
        <v>0</v>
      </c>
      <c r="CD11" s="144">
        <v>0</v>
      </c>
      <c r="CE11" s="144">
        <v>0</v>
      </c>
      <c r="CF11" s="144">
        <v>0</v>
      </c>
      <c r="CG11" s="144">
        <v>0</v>
      </c>
      <c r="CH11" s="144">
        <v>0</v>
      </c>
      <c r="CI11" s="144">
        <v>0</v>
      </c>
      <c r="CJ11" s="144">
        <v>0</v>
      </c>
      <c r="CK11" s="144">
        <v>0</v>
      </c>
      <c r="CL11" s="144">
        <v>0</v>
      </c>
      <c r="CM11" s="144">
        <v>0</v>
      </c>
      <c r="CN11" s="144">
        <v>0</v>
      </c>
      <c r="CO11" s="144">
        <v>0</v>
      </c>
      <c r="CP11" s="144">
        <v>0</v>
      </c>
      <c r="CQ11" s="144">
        <v>0</v>
      </c>
      <c r="CR11" s="144">
        <v>0</v>
      </c>
      <c r="CS11" s="144">
        <v>0</v>
      </c>
      <c r="CT11" s="144">
        <v>0</v>
      </c>
      <c r="CU11" s="144">
        <v>0</v>
      </c>
      <c r="CV11" s="144">
        <v>0</v>
      </c>
    </row>
    <row r="12" spans="1:100" customFormat="1" x14ac:dyDescent="0.15">
      <c r="A12" s="180" t="s">
        <v>202</v>
      </c>
      <c r="B12" s="144">
        <v>1.0206195802918361E-4</v>
      </c>
      <c r="C12" s="144">
        <v>0</v>
      </c>
      <c r="D12" s="144">
        <v>0</v>
      </c>
      <c r="E12" s="144">
        <v>0</v>
      </c>
      <c r="F12" s="144">
        <v>0</v>
      </c>
      <c r="G12" s="144">
        <v>0</v>
      </c>
      <c r="H12" s="144">
        <v>0</v>
      </c>
      <c r="I12" s="144">
        <v>0</v>
      </c>
      <c r="J12" s="144">
        <v>0</v>
      </c>
      <c r="K12" s="144">
        <v>0</v>
      </c>
      <c r="L12" s="144">
        <v>8.8633798865487396E-4</v>
      </c>
      <c r="M12" s="144">
        <v>0</v>
      </c>
      <c r="N12" s="144">
        <v>0</v>
      </c>
      <c r="O12" s="144">
        <v>0</v>
      </c>
      <c r="P12" s="144">
        <v>0</v>
      </c>
      <c r="Q12" s="144">
        <v>1.3885028890803942E-3</v>
      </c>
      <c r="R12" s="144">
        <v>0</v>
      </c>
      <c r="S12" s="144">
        <v>0</v>
      </c>
      <c r="T12" s="144">
        <v>0</v>
      </c>
      <c r="U12" s="144">
        <v>0</v>
      </c>
      <c r="V12" s="144">
        <v>0</v>
      </c>
      <c r="W12" s="144">
        <v>0</v>
      </c>
      <c r="X12" s="144">
        <v>0</v>
      </c>
      <c r="Y12" s="144">
        <v>0</v>
      </c>
      <c r="Z12" s="144">
        <v>0</v>
      </c>
      <c r="AA12" s="144">
        <v>0</v>
      </c>
      <c r="AB12" s="144">
        <v>0</v>
      </c>
      <c r="AC12" s="144">
        <v>0</v>
      </c>
      <c r="AD12" s="144">
        <v>1.0817706445596636E-3</v>
      </c>
      <c r="AE12" s="144">
        <v>1.0495317741774915E-4</v>
      </c>
      <c r="AF12" s="144">
        <v>0</v>
      </c>
      <c r="AG12" s="144">
        <v>0</v>
      </c>
      <c r="AH12" s="144">
        <v>0</v>
      </c>
      <c r="AI12" s="144">
        <v>0</v>
      </c>
      <c r="AJ12" s="144">
        <v>0</v>
      </c>
      <c r="AK12" s="144">
        <v>0</v>
      </c>
      <c r="AL12" s="144">
        <v>0</v>
      </c>
      <c r="AM12" s="144">
        <v>0</v>
      </c>
      <c r="AN12" s="144">
        <v>0</v>
      </c>
      <c r="AO12" s="144">
        <v>0</v>
      </c>
      <c r="AP12" s="144">
        <v>0</v>
      </c>
      <c r="AQ12" s="144">
        <v>0</v>
      </c>
      <c r="AR12" s="144">
        <v>0</v>
      </c>
      <c r="AS12" s="144">
        <v>0</v>
      </c>
      <c r="AT12" s="144">
        <v>0</v>
      </c>
      <c r="AU12" s="144">
        <v>0</v>
      </c>
      <c r="AV12" s="144">
        <v>0</v>
      </c>
      <c r="AW12" s="144">
        <v>0</v>
      </c>
      <c r="AX12" s="144">
        <v>0</v>
      </c>
      <c r="AY12" s="144">
        <v>0</v>
      </c>
      <c r="AZ12" s="144">
        <v>0</v>
      </c>
      <c r="BA12" s="144">
        <v>0</v>
      </c>
      <c r="BB12" s="144">
        <v>0</v>
      </c>
      <c r="BC12" s="144">
        <v>0</v>
      </c>
      <c r="BD12" s="144">
        <v>0</v>
      </c>
      <c r="BE12" s="144">
        <v>0</v>
      </c>
      <c r="BF12" s="144">
        <v>0</v>
      </c>
      <c r="BG12" s="144">
        <v>0</v>
      </c>
      <c r="BH12" s="144">
        <v>0</v>
      </c>
      <c r="BI12" s="144">
        <v>0</v>
      </c>
      <c r="BJ12" s="144">
        <v>0</v>
      </c>
      <c r="BK12" s="144">
        <v>0</v>
      </c>
      <c r="BL12" s="144">
        <v>0</v>
      </c>
      <c r="BM12" s="144">
        <v>0</v>
      </c>
      <c r="BN12" s="144">
        <v>0</v>
      </c>
      <c r="BO12" s="144">
        <v>0</v>
      </c>
      <c r="BP12" s="144">
        <v>0</v>
      </c>
      <c r="BQ12" s="144">
        <v>0</v>
      </c>
      <c r="BR12" s="144">
        <v>0</v>
      </c>
      <c r="BS12" s="144">
        <v>0</v>
      </c>
      <c r="BT12" s="144">
        <v>0</v>
      </c>
      <c r="BU12" s="144">
        <v>0</v>
      </c>
      <c r="BV12" s="144">
        <v>0</v>
      </c>
      <c r="BW12" s="144">
        <v>0</v>
      </c>
      <c r="BX12" s="144">
        <v>0</v>
      </c>
      <c r="BY12" s="144">
        <v>0</v>
      </c>
      <c r="BZ12" s="144">
        <v>0</v>
      </c>
      <c r="CA12" s="144">
        <v>0</v>
      </c>
      <c r="CB12" s="144">
        <v>0</v>
      </c>
      <c r="CC12" s="144">
        <v>0</v>
      </c>
      <c r="CD12" s="144">
        <v>0</v>
      </c>
      <c r="CE12" s="144">
        <v>0</v>
      </c>
      <c r="CF12" s="144">
        <v>0</v>
      </c>
      <c r="CG12" s="144">
        <v>0</v>
      </c>
      <c r="CH12" s="144">
        <v>0</v>
      </c>
      <c r="CI12" s="144">
        <v>0</v>
      </c>
      <c r="CJ12" s="144">
        <v>0</v>
      </c>
      <c r="CK12" s="144">
        <v>0</v>
      </c>
      <c r="CL12" s="144">
        <v>0</v>
      </c>
      <c r="CM12" s="144">
        <v>0</v>
      </c>
      <c r="CN12" s="144">
        <v>0</v>
      </c>
      <c r="CO12" s="144">
        <v>0</v>
      </c>
      <c r="CP12" s="144">
        <v>0</v>
      </c>
      <c r="CQ12" s="144">
        <v>0</v>
      </c>
      <c r="CR12" s="144">
        <v>0</v>
      </c>
      <c r="CS12" s="144">
        <v>0</v>
      </c>
      <c r="CT12" s="144">
        <v>0</v>
      </c>
      <c r="CU12" s="144">
        <v>0</v>
      </c>
      <c r="CV12" s="144">
        <v>0</v>
      </c>
    </row>
    <row r="13" spans="1:100" customFormat="1" x14ac:dyDescent="0.15">
      <c r="A13" s="180" t="s">
        <v>203</v>
      </c>
      <c r="B13" s="144">
        <v>2.0412390705836739E-2</v>
      </c>
      <c r="C13" s="144">
        <v>0</v>
      </c>
      <c r="D13" s="144">
        <v>0</v>
      </c>
      <c r="E13" s="144">
        <v>0</v>
      </c>
      <c r="F13" s="144">
        <v>1.2999999999999999E-2</v>
      </c>
      <c r="G13" s="144">
        <v>0.47000000000000003</v>
      </c>
      <c r="H13" s="144">
        <v>0.17667845488339254</v>
      </c>
      <c r="I13" s="144">
        <v>0</v>
      </c>
      <c r="J13" s="144">
        <v>0</v>
      </c>
      <c r="K13" s="144">
        <v>0</v>
      </c>
      <c r="L13" s="144">
        <v>9.4820688786295196E-3</v>
      </c>
      <c r="M13" s="144">
        <v>0</v>
      </c>
      <c r="N13" s="144">
        <v>0</v>
      </c>
      <c r="O13" s="144">
        <v>0</v>
      </c>
      <c r="P13" s="144">
        <v>0</v>
      </c>
      <c r="Q13" s="144">
        <v>4.8156776468105756E-3</v>
      </c>
      <c r="R13" s="144">
        <v>1.4662668915677333E-5</v>
      </c>
      <c r="S13" s="144">
        <v>0</v>
      </c>
      <c r="T13" s="144">
        <v>6.5065929498341656E-3</v>
      </c>
      <c r="U13" s="144">
        <v>7.0366690033950015E-4</v>
      </c>
      <c r="V13" s="144">
        <v>0</v>
      </c>
      <c r="W13" s="144">
        <v>0</v>
      </c>
      <c r="X13" s="144">
        <v>0</v>
      </c>
      <c r="Y13" s="144">
        <v>0</v>
      </c>
      <c r="Z13" s="144">
        <v>0</v>
      </c>
      <c r="AA13" s="144">
        <v>0</v>
      </c>
      <c r="AB13" s="144">
        <v>0</v>
      </c>
      <c r="AC13" s="144">
        <v>0</v>
      </c>
      <c r="AD13" s="144">
        <v>3.2452948036789183E-3</v>
      </c>
      <c r="AE13" s="144">
        <v>5.1998193111528583E-3</v>
      </c>
      <c r="AF13" s="144">
        <v>0</v>
      </c>
      <c r="AG13" s="144">
        <v>0</v>
      </c>
      <c r="AH13" s="144">
        <v>0</v>
      </c>
      <c r="AI13" s="144">
        <v>0</v>
      </c>
      <c r="AJ13" s="144">
        <v>0</v>
      </c>
      <c r="AK13" s="144">
        <v>0</v>
      </c>
      <c r="AL13" s="144">
        <v>0</v>
      </c>
      <c r="AM13" s="144">
        <v>0</v>
      </c>
      <c r="AN13" s="144">
        <v>0</v>
      </c>
      <c r="AO13" s="144">
        <v>0</v>
      </c>
      <c r="AP13" s="144">
        <v>0</v>
      </c>
      <c r="AQ13" s="144">
        <v>0</v>
      </c>
      <c r="AR13" s="144">
        <v>0</v>
      </c>
      <c r="AS13" s="144">
        <v>0</v>
      </c>
      <c r="AT13" s="144">
        <v>0</v>
      </c>
      <c r="AU13" s="144">
        <v>0</v>
      </c>
      <c r="AV13" s="144">
        <v>0</v>
      </c>
      <c r="AW13" s="144">
        <v>0</v>
      </c>
      <c r="AX13" s="144">
        <v>0</v>
      </c>
      <c r="AY13" s="144">
        <v>0</v>
      </c>
      <c r="AZ13" s="144">
        <v>0</v>
      </c>
      <c r="BA13" s="144">
        <v>0</v>
      </c>
      <c r="BB13" s="144">
        <v>0</v>
      </c>
      <c r="BC13" s="144">
        <v>0</v>
      </c>
      <c r="BD13" s="144">
        <v>0</v>
      </c>
      <c r="BE13" s="144">
        <v>0</v>
      </c>
      <c r="BF13" s="144">
        <v>0</v>
      </c>
      <c r="BG13" s="144">
        <v>0</v>
      </c>
      <c r="BH13" s="144">
        <v>0</v>
      </c>
      <c r="BI13" s="144">
        <v>0</v>
      </c>
      <c r="BJ13" s="144">
        <v>0</v>
      </c>
      <c r="BK13" s="144">
        <v>0</v>
      </c>
      <c r="BL13" s="144">
        <v>0</v>
      </c>
      <c r="BM13" s="144">
        <v>0</v>
      </c>
      <c r="BN13" s="144">
        <v>0</v>
      </c>
      <c r="BO13" s="144">
        <v>0</v>
      </c>
      <c r="BP13" s="144">
        <v>0</v>
      </c>
      <c r="BQ13" s="144">
        <v>0</v>
      </c>
      <c r="BR13" s="144">
        <v>0</v>
      </c>
      <c r="BS13" s="144">
        <v>0</v>
      </c>
      <c r="BT13" s="144">
        <v>0</v>
      </c>
      <c r="BU13" s="144">
        <v>0</v>
      </c>
      <c r="BV13" s="144">
        <v>0</v>
      </c>
      <c r="BW13" s="144">
        <v>0</v>
      </c>
      <c r="BX13" s="144">
        <v>0</v>
      </c>
      <c r="BY13" s="144">
        <v>0</v>
      </c>
      <c r="BZ13" s="144">
        <v>0</v>
      </c>
      <c r="CA13" s="144">
        <v>0</v>
      </c>
      <c r="CB13" s="144">
        <v>0</v>
      </c>
      <c r="CC13" s="144">
        <v>0</v>
      </c>
      <c r="CD13" s="144">
        <v>0</v>
      </c>
      <c r="CE13" s="144">
        <v>0</v>
      </c>
      <c r="CF13" s="144">
        <v>0</v>
      </c>
      <c r="CG13" s="144">
        <v>0</v>
      </c>
      <c r="CH13" s="144">
        <v>0</v>
      </c>
      <c r="CI13" s="144">
        <v>0</v>
      </c>
      <c r="CJ13" s="144">
        <v>0</v>
      </c>
      <c r="CK13" s="144">
        <v>0</v>
      </c>
      <c r="CL13" s="144">
        <v>0</v>
      </c>
      <c r="CM13" s="144">
        <v>0</v>
      </c>
      <c r="CN13" s="144">
        <v>0</v>
      </c>
      <c r="CO13" s="144">
        <v>0</v>
      </c>
      <c r="CP13" s="144">
        <v>0</v>
      </c>
      <c r="CQ13" s="144">
        <v>0</v>
      </c>
      <c r="CR13" s="144">
        <v>0</v>
      </c>
      <c r="CS13" s="144">
        <v>0</v>
      </c>
      <c r="CT13" s="144">
        <v>0</v>
      </c>
      <c r="CU13" s="144">
        <v>0</v>
      </c>
      <c r="CV13" s="144">
        <v>0</v>
      </c>
    </row>
    <row r="14" spans="1:100" customFormat="1" x14ac:dyDescent="0.15">
      <c r="A14" s="180" t="s">
        <v>204</v>
      </c>
      <c r="B14" s="144">
        <v>0</v>
      </c>
      <c r="C14" s="144">
        <v>0</v>
      </c>
      <c r="D14" s="144">
        <v>0</v>
      </c>
      <c r="E14" s="144">
        <v>0</v>
      </c>
      <c r="F14" s="144">
        <v>0</v>
      </c>
      <c r="G14" s="144">
        <v>0</v>
      </c>
      <c r="H14" s="144">
        <v>0</v>
      </c>
      <c r="I14" s="144">
        <v>0</v>
      </c>
      <c r="J14" s="144">
        <v>0</v>
      </c>
      <c r="K14" s="144">
        <v>0</v>
      </c>
      <c r="L14" s="144">
        <v>0</v>
      </c>
      <c r="M14" s="144">
        <v>0</v>
      </c>
      <c r="N14" s="144">
        <v>0</v>
      </c>
      <c r="O14" s="144">
        <v>0</v>
      </c>
      <c r="P14" s="144">
        <v>0</v>
      </c>
      <c r="Q14" s="144">
        <v>0</v>
      </c>
      <c r="R14" s="144">
        <v>0</v>
      </c>
      <c r="S14" s="144">
        <v>0</v>
      </c>
      <c r="T14" s="144">
        <v>0</v>
      </c>
      <c r="U14" s="144">
        <v>0</v>
      </c>
      <c r="V14" s="144">
        <v>0</v>
      </c>
      <c r="W14" s="144">
        <v>0</v>
      </c>
      <c r="X14" s="144">
        <v>0</v>
      </c>
      <c r="Y14" s="144">
        <v>0</v>
      </c>
      <c r="Z14" s="144">
        <v>0</v>
      </c>
      <c r="AA14" s="144">
        <v>0</v>
      </c>
      <c r="AB14" s="144">
        <v>0</v>
      </c>
      <c r="AC14" s="144">
        <v>0</v>
      </c>
      <c r="AD14" s="144">
        <v>0</v>
      </c>
      <c r="AE14" s="144">
        <v>0</v>
      </c>
      <c r="AF14" s="144">
        <v>0</v>
      </c>
      <c r="AG14" s="144">
        <v>0</v>
      </c>
      <c r="AH14" s="144">
        <v>0</v>
      </c>
      <c r="AI14" s="144">
        <v>0</v>
      </c>
      <c r="AJ14" s="144">
        <v>0</v>
      </c>
      <c r="AK14" s="144">
        <v>0</v>
      </c>
      <c r="AL14" s="144">
        <v>0</v>
      </c>
      <c r="AM14" s="144">
        <v>0</v>
      </c>
      <c r="AN14" s="144">
        <v>0</v>
      </c>
      <c r="AO14" s="144">
        <v>0</v>
      </c>
      <c r="AP14" s="144">
        <v>0</v>
      </c>
      <c r="AQ14" s="144">
        <v>0</v>
      </c>
      <c r="AR14" s="144">
        <v>0</v>
      </c>
      <c r="AS14" s="144">
        <v>0</v>
      </c>
      <c r="AT14" s="144">
        <v>0</v>
      </c>
      <c r="AU14" s="144">
        <v>0</v>
      </c>
      <c r="AV14" s="144">
        <v>0</v>
      </c>
      <c r="AW14" s="144">
        <v>0</v>
      </c>
      <c r="AX14" s="144">
        <v>0</v>
      </c>
      <c r="AY14" s="144">
        <v>0</v>
      </c>
      <c r="AZ14" s="144">
        <v>0</v>
      </c>
      <c r="BA14" s="144">
        <v>0</v>
      </c>
      <c r="BB14" s="144">
        <v>0</v>
      </c>
      <c r="BC14" s="144">
        <v>0</v>
      </c>
      <c r="BD14" s="144">
        <v>0</v>
      </c>
      <c r="BE14" s="144">
        <v>0</v>
      </c>
      <c r="BF14" s="144">
        <v>0</v>
      </c>
      <c r="BG14" s="144">
        <v>0</v>
      </c>
      <c r="BH14" s="144">
        <v>0</v>
      </c>
      <c r="BI14" s="144">
        <v>0</v>
      </c>
      <c r="BJ14" s="144">
        <v>0</v>
      </c>
      <c r="BK14" s="144">
        <v>0</v>
      </c>
      <c r="BL14" s="144">
        <v>0</v>
      </c>
      <c r="BM14" s="144">
        <v>0</v>
      </c>
      <c r="BN14" s="144">
        <v>0</v>
      </c>
      <c r="BO14" s="144">
        <v>0</v>
      </c>
      <c r="BP14" s="144">
        <v>0</v>
      </c>
      <c r="BQ14" s="144">
        <v>0</v>
      </c>
      <c r="BR14" s="144">
        <v>0</v>
      </c>
      <c r="BS14" s="144">
        <v>0</v>
      </c>
      <c r="BT14" s="144">
        <v>0</v>
      </c>
      <c r="BU14" s="144">
        <v>0</v>
      </c>
      <c r="BV14" s="144">
        <v>0</v>
      </c>
      <c r="BW14" s="144">
        <v>0</v>
      </c>
      <c r="BX14" s="144">
        <v>0</v>
      </c>
      <c r="BY14" s="144">
        <v>0</v>
      </c>
      <c r="BZ14" s="144">
        <v>0</v>
      </c>
      <c r="CA14" s="144">
        <v>0</v>
      </c>
      <c r="CB14" s="144">
        <v>0</v>
      </c>
      <c r="CC14" s="144">
        <v>0</v>
      </c>
      <c r="CD14" s="144">
        <v>0</v>
      </c>
      <c r="CE14" s="144">
        <v>0</v>
      </c>
      <c r="CF14" s="144">
        <v>0</v>
      </c>
      <c r="CG14" s="144">
        <v>0</v>
      </c>
      <c r="CH14" s="144">
        <v>0</v>
      </c>
      <c r="CI14" s="144">
        <v>0</v>
      </c>
      <c r="CJ14" s="144">
        <v>0</v>
      </c>
      <c r="CK14" s="144">
        <v>0</v>
      </c>
      <c r="CL14" s="144">
        <v>0</v>
      </c>
      <c r="CM14" s="144">
        <v>0</v>
      </c>
      <c r="CN14" s="144">
        <v>0</v>
      </c>
      <c r="CO14" s="144">
        <v>0</v>
      </c>
      <c r="CP14" s="144">
        <v>0</v>
      </c>
      <c r="CQ14" s="144">
        <v>0</v>
      </c>
      <c r="CR14" s="144">
        <v>0</v>
      </c>
      <c r="CS14" s="144">
        <v>0</v>
      </c>
      <c r="CT14" s="144">
        <v>0</v>
      </c>
      <c r="CU14" s="144">
        <v>0</v>
      </c>
      <c r="CV14" s="144">
        <v>0</v>
      </c>
    </row>
    <row r="15" spans="1:100" customFormat="1" x14ac:dyDescent="0.15">
      <c r="A15" s="180" t="s">
        <v>205</v>
      </c>
      <c r="B15" s="144">
        <v>2.0412390705836739E-2</v>
      </c>
      <c r="C15" s="144">
        <v>0</v>
      </c>
      <c r="D15" s="144">
        <v>0</v>
      </c>
      <c r="E15" s="144">
        <v>0</v>
      </c>
      <c r="F15" s="144">
        <v>0</v>
      </c>
      <c r="G15" s="144">
        <v>0</v>
      </c>
      <c r="H15" s="144">
        <v>0</v>
      </c>
      <c r="I15" s="144">
        <v>0</v>
      </c>
      <c r="J15" s="144">
        <v>0</v>
      </c>
      <c r="K15" s="144">
        <v>0</v>
      </c>
      <c r="L15" s="144">
        <v>1.0504099865547524E-5</v>
      </c>
      <c r="M15" s="144">
        <v>0</v>
      </c>
      <c r="N15" s="144">
        <v>0</v>
      </c>
      <c r="O15" s="144">
        <v>0</v>
      </c>
      <c r="P15" s="144">
        <v>3.4994222008690101E-3</v>
      </c>
      <c r="Q15" s="144">
        <v>5.3204289964762785E-3</v>
      </c>
      <c r="R15" s="144">
        <v>1.2650460013525877E-3</v>
      </c>
      <c r="S15" s="144">
        <v>0</v>
      </c>
      <c r="T15" s="144">
        <v>1.6317134574194887E-2</v>
      </c>
      <c r="U15" s="144">
        <v>0</v>
      </c>
      <c r="V15" s="144">
        <v>0</v>
      </c>
      <c r="W15" s="144">
        <v>0</v>
      </c>
      <c r="X15" s="144">
        <v>7.2235712331090074E-4</v>
      </c>
      <c r="Y15" s="144">
        <v>0</v>
      </c>
      <c r="Z15" s="144">
        <v>0</v>
      </c>
      <c r="AA15" s="144">
        <v>0</v>
      </c>
      <c r="AB15" s="144">
        <v>0</v>
      </c>
      <c r="AC15" s="144">
        <v>0</v>
      </c>
      <c r="AD15" s="144">
        <v>6.4906240273579826E-3</v>
      </c>
      <c r="AE15" s="144">
        <v>2.8479794742002068E-4</v>
      </c>
      <c r="AF15" s="144">
        <v>0</v>
      </c>
      <c r="AG15" s="144">
        <v>0</v>
      </c>
      <c r="AH15" s="144">
        <v>0</v>
      </c>
      <c r="AI15" s="144">
        <v>0</v>
      </c>
      <c r="AJ15" s="144">
        <v>0</v>
      </c>
      <c r="AK15" s="144">
        <v>0</v>
      </c>
      <c r="AL15" s="144">
        <v>0</v>
      </c>
      <c r="AM15" s="144">
        <v>0</v>
      </c>
      <c r="AN15" s="144">
        <v>0</v>
      </c>
      <c r="AO15" s="144">
        <v>0</v>
      </c>
      <c r="AP15" s="144">
        <v>0</v>
      </c>
      <c r="AQ15" s="144">
        <v>0</v>
      </c>
      <c r="AR15" s="144">
        <v>0</v>
      </c>
      <c r="AS15" s="144">
        <v>0</v>
      </c>
      <c r="AT15" s="144">
        <v>0</v>
      </c>
      <c r="AU15" s="144">
        <v>0</v>
      </c>
      <c r="AV15" s="144">
        <v>0</v>
      </c>
      <c r="AW15" s="144">
        <v>0</v>
      </c>
      <c r="AX15" s="144">
        <v>0</v>
      </c>
      <c r="AY15" s="144">
        <v>0</v>
      </c>
      <c r="AZ15" s="144">
        <v>0</v>
      </c>
      <c r="BA15" s="144">
        <v>0</v>
      </c>
      <c r="BB15" s="144">
        <v>0</v>
      </c>
      <c r="BC15" s="144">
        <v>0</v>
      </c>
      <c r="BD15" s="144">
        <v>0</v>
      </c>
      <c r="BE15" s="144">
        <v>0</v>
      </c>
      <c r="BF15" s="144">
        <v>0</v>
      </c>
      <c r="BG15" s="144">
        <v>0</v>
      </c>
      <c r="BH15" s="144">
        <v>0</v>
      </c>
      <c r="BI15" s="144">
        <v>0</v>
      </c>
      <c r="BJ15" s="144">
        <v>0</v>
      </c>
      <c r="BK15" s="144">
        <v>0</v>
      </c>
      <c r="BL15" s="144">
        <v>0</v>
      </c>
      <c r="BM15" s="144">
        <v>0</v>
      </c>
      <c r="BN15" s="144">
        <v>0</v>
      </c>
      <c r="BO15" s="144">
        <v>0</v>
      </c>
      <c r="BP15" s="144">
        <v>0</v>
      </c>
      <c r="BQ15" s="144">
        <v>0</v>
      </c>
      <c r="BR15" s="144">
        <v>0</v>
      </c>
      <c r="BS15" s="144">
        <v>0</v>
      </c>
      <c r="BT15" s="144">
        <v>0</v>
      </c>
      <c r="BU15" s="144">
        <v>0</v>
      </c>
      <c r="BV15" s="144">
        <v>0</v>
      </c>
      <c r="BW15" s="144">
        <v>0</v>
      </c>
      <c r="BX15" s="144">
        <v>0</v>
      </c>
      <c r="BY15" s="144">
        <v>0</v>
      </c>
      <c r="BZ15" s="144">
        <v>0</v>
      </c>
      <c r="CA15" s="144">
        <v>0</v>
      </c>
      <c r="CB15" s="144">
        <v>0</v>
      </c>
      <c r="CC15" s="144">
        <v>0</v>
      </c>
      <c r="CD15" s="144">
        <v>0</v>
      </c>
      <c r="CE15" s="144">
        <v>0</v>
      </c>
      <c r="CF15" s="144">
        <v>0</v>
      </c>
      <c r="CG15" s="144">
        <v>0</v>
      </c>
      <c r="CH15" s="144">
        <v>0</v>
      </c>
      <c r="CI15" s="144">
        <v>0</v>
      </c>
      <c r="CJ15" s="144">
        <v>0</v>
      </c>
      <c r="CK15" s="144">
        <v>0</v>
      </c>
      <c r="CL15" s="144">
        <v>0</v>
      </c>
      <c r="CM15" s="144">
        <v>0</v>
      </c>
      <c r="CN15" s="144">
        <v>0</v>
      </c>
      <c r="CO15" s="144">
        <v>0</v>
      </c>
      <c r="CP15" s="144">
        <v>0</v>
      </c>
      <c r="CQ15" s="144">
        <v>0</v>
      </c>
      <c r="CR15" s="144">
        <v>0</v>
      </c>
      <c r="CS15" s="144">
        <v>0</v>
      </c>
      <c r="CT15" s="144">
        <v>0</v>
      </c>
      <c r="CU15" s="144">
        <v>0</v>
      </c>
      <c r="CV15" s="144">
        <v>0</v>
      </c>
    </row>
    <row r="16" spans="1:100" customFormat="1" x14ac:dyDescent="0.15">
      <c r="A16" s="180" t="s">
        <v>206</v>
      </c>
      <c r="B16" s="144">
        <v>2.0412390705836739E-2</v>
      </c>
      <c r="C16" s="144">
        <v>0</v>
      </c>
      <c r="D16" s="144">
        <v>0</v>
      </c>
      <c r="E16" s="144">
        <v>0</v>
      </c>
      <c r="F16" s="144">
        <v>0.3</v>
      </c>
      <c r="G16" s="144">
        <v>0</v>
      </c>
      <c r="H16" s="144">
        <v>0</v>
      </c>
      <c r="I16" s="144">
        <v>0</v>
      </c>
      <c r="J16" s="144">
        <v>0</v>
      </c>
      <c r="K16" s="144">
        <v>0</v>
      </c>
      <c r="L16" s="144">
        <v>0</v>
      </c>
      <c r="M16" s="144">
        <v>0</v>
      </c>
      <c r="N16" s="144">
        <v>0</v>
      </c>
      <c r="O16" s="144">
        <v>2.5806173394088226E-3</v>
      </c>
      <c r="P16" s="144">
        <v>0</v>
      </c>
      <c r="Q16" s="144">
        <v>9.031141544018674E-2</v>
      </c>
      <c r="R16" s="144">
        <v>4.9093082552490348E-2</v>
      </c>
      <c r="S16" s="144">
        <v>8.6135298500384441E-3</v>
      </c>
      <c r="T16" s="144">
        <v>2.0019389845650496E-2</v>
      </c>
      <c r="U16" s="144">
        <v>2.0104370009699809E-3</v>
      </c>
      <c r="V16" s="144">
        <v>5.4019583191845001E-3</v>
      </c>
      <c r="W16" s="144">
        <v>1.1084255685387687E-2</v>
      </c>
      <c r="X16" s="144">
        <v>4.9998139537012227E-3</v>
      </c>
      <c r="Y16" s="144">
        <v>0</v>
      </c>
      <c r="Z16" s="144">
        <v>0</v>
      </c>
      <c r="AA16" s="144">
        <v>0</v>
      </c>
      <c r="AB16" s="144">
        <v>0</v>
      </c>
      <c r="AC16" s="144">
        <v>0</v>
      </c>
      <c r="AD16" s="144">
        <v>7.5723950319176465E-3</v>
      </c>
      <c r="AE16" s="144">
        <v>5.0561534919498765E-3</v>
      </c>
      <c r="AF16" s="144">
        <v>4.8794813519811981E-6</v>
      </c>
      <c r="AG16" s="144">
        <v>6.351478265266091E-3</v>
      </c>
      <c r="AH16" s="144">
        <v>0</v>
      </c>
      <c r="AI16" s="144">
        <v>0</v>
      </c>
      <c r="AJ16" s="144">
        <v>0</v>
      </c>
      <c r="AK16" s="144">
        <v>0</v>
      </c>
      <c r="AL16" s="144">
        <v>0</v>
      </c>
      <c r="AM16" s="144">
        <v>0</v>
      </c>
      <c r="AN16" s="144">
        <v>0</v>
      </c>
      <c r="AO16" s="144">
        <v>0</v>
      </c>
      <c r="AP16" s="144">
        <v>0</v>
      </c>
      <c r="AQ16" s="144">
        <v>0</v>
      </c>
      <c r="AR16" s="144">
        <v>0</v>
      </c>
      <c r="AS16" s="144">
        <v>0</v>
      </c>
      <c r="AT16" s="144">
        <v>0</v>
      </c>
      <c r="AU16" s="144">
        <v>0</v>
      </c>
      <c r="AV16" s="144">
        <v>0</v>
      </c>
      <c r="AW16" s="144">
        <v>0</v>
      </c>
      <c r="AX16" s="144">
        <v>0</v>
      </c>
      <c r="AY16" s="144">
        <v>0</v>
      </c>
      <c r="AZ16" s="144">
        <v>0</v>
      </c>
      <c r="BA16" s="144">
        <v>0</v>
      </c>
      <c r="BB16" s="144">
        <v>0</v>
      </c>
      <c r="BC16" s="144">
        <v>0</v>
      </c>
      <c r="BD16" s="144">
        <v>0</v>
      </c>
      <c r="BE16" s="144">
        <v>0</v>
      </c>
      <c r="BF16" s="144">
        <v>0</v>
      </c>
      <c r="BG16" s="144">
        <v>0</v>
      </c>
      <c r="BH16" s="144">
        <v>0</v>
      </c>
      <c r="BI16" s="144">
        <v>0</v>
      </c>
      <c r="BJ16" s="144">
        <v>0</v>
      </c>
      <c r="BK16" s="144">
        <v>0</v>
      </c>
      <c r="BL16" s="144">
        <v>0</v>
      </c>
      <c r="BM16" s="144">
        <v>0</v>
      </c>
      <c r="BN16" s="144">
        <v>0</v>
      </c>
      <c r="BO16" s="144">
        <v>0</v>
      </c>
      <c r="BP16" s="144">
        <v>0</v>
      </c>
      <c r="BQ16" s="144">
        <v>0</v>
      </c>
      <c r="BR16" s="144">
        <v>0</v>
      </c>
      <c r="BS16" s="144">
        <v>0</v>
      </c>
      <c r="BT16" s="144">
        <v>0</v>
      </c>
      <c r="BU16" s="144">
        <v>0</v>
      </c>
      <c r="BV16" s="144">
        <v>0</v>
      </c>
      <c r="BW16" s="144">
        <v>0</v>
      </c>
      <c r="BX16" s="144">
        <v>0</v>
      </c>
      <c r="BY16" s="144">
        <v>0</v>
      </c>
      <c r="BZ16" s="144">
        <v>0</v>
      </c>
      <c r="CA16" s="144">
        <v>0</v>
      </c>
      <c r="CB16" s="144">
        <v>0</v>
      </c>
      <c r="CC16" s="144">
        <v>0</v>
      </c>
      <c r="CD16" s="144">
        <v>0</v>
      </c>
      <c r="CE16" s="144">
        <v>0</v>
      </c>
      <c r="CF16" s="144">
        <v>0</v>
      </c>
      <c r="CG16" s="144">
        <v>0</v>
      </c>
      <c r="CH16" s="144">
        <v>0</v>
      </c>
      <c r="CI16" s="144">
        <v>0</v>
      </c>
      <c r="CJ16" s="144">
        <v>0</v>
      </c>
      <c r="CK16" s="144">
        <v>0</v>
      </c>
      <c r="CL16" s="144">
        <v>0</v>
      </c>
      <c r="CM16" s="144">
        <v>0</v>
      </c>
      <c r="CN16" s="144">
        <v>0</v>
      </c>
      <c r="CO16" s="144">
        <v>0</v>
      </c>
      <c r="CP16" s="144">
        <v>0</v>
      </c>
      <c r="CQ16" s="144">
        <v>0</v>
      </c>
      <c r="CR16" s="144">
        <v>0</v>
      </c>
      <c r="CS16" s="144">
        <v>0</v>
      </c>
      <c r="CT16" s="144">
        <v>0</v>
      </c>
      <c r="CU16" s="144">
        <v>0</v>
      </c>
      <c r="CV16" s="144">
        <v>0</v>
      </c>
    </row>
    <row r="17" spans="1:100" customFormat="1" x14ac:dyDescent="0.15">
      <c r="A17" s="180" t="s">
        <v>207</v>
      </c>
      <c r="B17" s="144">
        <v>0</v>
      </c>
      <c r="C17" s="144">
        <v>0</v>
      </c>
      <c r="D17" s="144">
        <v>0</v>
      </c>
      <c r="E17" s="144">
        <v>0</v>
      </c>
      <c r="F17" s="144">
        <v>0</v>
      </c>
      <c r="G17" s="144">
        <v>0</v>
      </c>
      <c r="H17" s="144">
        <v>0</v>
      </c>
      <c r="I17" s="144">
        <v>0</v>
      </c>
      <c r="J17" s="144">
        <v>0</v>
      </c>
      <c r="K17" s="144">
        <v>0</v>
      </c>
      <c r="L17" s="144">
        <v>0</v>
      </c>
      <c r="M17" s="144">
        <v>0</v>
      </c>
      <c r="N17" s="144">
        <v>0</v>
      </c>
      <c r="O17" s="144">
        <v>0</v>
      </c>
      <c r="P17" s="144">
        <v>0</v>
      </c>
      <c r="Q17" s="144">
        <v>0</v>
      </c>
      <c r="R17" s="144">
        <v>0</v>
      </c>
      <c r="S17" s="144">
        <v>0</v>
      </c>
      <c r="T17" s="144">
        <v>0</v>
      </c>
      <c r="U17" s="144">
        <v>0</v>
      </c>
      <c r="V17" s="144">
        <v>0</v>
      </c>
      <c r="W17" s="144">
        <v>0</v>
      </c>
      <c r="X17" s="144">
        <v>0</v>
      </c>
      <c r="Y17" s="144">
        <v>0</v>
      </c>
      <c r="Z17" s="144">
        <v>0</v>
      </c>
      <c r="AA17" s="144">
        <v>0</v>
      </c>
      <c r="AB17" s="144">
        <v>0</v>
      </c>
      <c r="AC17" s="144">
        <v>0</v>
      </c>
      <c r="AD17" s="144">
        <v>0</v>
      </c>
      <c r="AE17" s="144">
        <v>0</v>
      </c>
      <c r="AF17" s="144">
        <v>0</v>
      </c>
      <c r="AG17" s="144">
        <v>0</v>
      </c>
      <c r="AH17" s="144">
        <v>0</v>
      </c>
      <c r="AI17" s="144">
        <v>0</v>
      </c>
      <c r="AJ17" s="144">
        <v>0</v>
      </c>
      <c r="AK17" s="144">
        <v>0</v>
      </c>
      <c r="AL17" s="144">
        <v>0</v>
      </c>
      <c r="AM17" s="144">
        <v>0</v>
      </c>
      <c r="AN17" s="144">
        <v>0</v>
      </c>
      <c r="AO17" s="144">
        <v>0</v>
      </c>
      <c r="AP17" s="144">
        <v>0</v>
      </c>
      <c r="AQ17" s="144">
        <v>0</v>
      </c>
      <c r="AR17" s="144">
        <v>0</v>
      </c>
      <c r="AS17" s="144">
        <v>0</v>
      </c>
      <c r="AT17" s="144">
        <v>0</v>
      </c>
      <c r="AU17" s="144">
        <v>0</v>
      </c>
      <c r="AV17" s="144">
        <v>0</v>
      </c>
      <c r="AW17" s="144">
        <v>0</v>
      </c>
      <c r="AX17" s="144">
        <v>0</v>
      </c>
      <c r="AY17" s="144">
        <v>0</v>
      </c>
      <c r="AZ17" s="144">
        <v>0</v>
      </c>
      <c r="BA17" s="144">
        <v>0</v>
      </c>
      <c r="BB17" s="144">
        <v>0</v>
      </c>
      <c r="BC17" s="144">
        <v>0</v>
      </c>
      <c r="BD17" s="144">
        <v>0</v>
      </c>
      <c r="BE17" s="144">
        <v>0</v>
      </c>
      <c r="BF17" s="144">
        <v>0</v>
      </c>
      <c r="BG17" s="144">
        <v>0</v>
      </c>
      <c r="BH17" s="144">
        <v>0</v>
      </c>
      <c r="BI17" s="144">
        <v>0</v>
      </c>
      <c r="BJ17" s="144">
        <v>0</v>
      </c>
      <c r="BK17" s="144">
        <v>0</v>
      </c>
      <c r="BL17" s="144">
        <v>0</v>
      </c>
      <c r="BM17" s="144">
        <v>0</v>
      </c>
      <c r="BN17" s="144">
        <v>0</v>
      </c>
      <c r="BO17" s="144">
        <v>0</v>
      </c>
      <c r="BP17" s="144">
        <v>0</v>
      </c>
      <c r="BQ17" s="144">
        <v>0</v>
      </c>
      <c r="BR17" s="144">
        <v>0</v>
      </c>
      <c r="BS17" s="144">
        <v>0</v>
      </c>
      <c r="BT17" s="144">
        <v>0</v>
      </c>
      <c r="BU17" s="144">
        <v>0</v>
      </c>
      <c r="BV17" s="144">
        <v>0</v>
      </c>
      <c r="BW17" s="144">
        <v>0</v>
      </c>
      <c r="BX17" s="144">
        <v>0</v>
      </c>
      <c r="BY17" s="144">
        <v>0</v>
      </c>
      <c r="BZ17" s="144">
        <v>0</v>
      </c>
      <c r="CA17" s="144">
        <v>0</v>
      </c>
      <c r="CB17" s="144">
        <v>0</v>
      </c>
      <c r="CC17" s="144">
        <v>0</v>
      </c>
      <c r="CD17" s="144">
        <v>0</v>
      </c>
      <c r="CE17" s="144">
        <v>0</v>
      </c>
      <c r="CF17" s="144">
        <v>0</v>
      </c>
      <c r="CG17" s="144">
        <v>0</v>
      </c>
      <c r="CH17" s="144">
        <v>0</v>
      </c>
      <c r="CI17" s="144">
        <v>0</v>
      </c>
      <c r="CJ17" s="144">
        <v>0</v>
      </c>
      <c r="CK17" s="144">
        <v>0</v>
      </c>
      <c r="CL17" s="144">
        <v>0</v>
      </c>
      <c r="CM17" s="144">
        <v>0</v>
      </c>
      <c r="CN17" s="144">
        <v>0</v>
      </c>
      <c r="CO17" s="144">
        <v>0</v>
      </c>
      <c r="CP17" s="144">
        <v>0</v>
      </c>
      <c r="CQ17" s="144">
        <v>0</v>
      </c>
      <c r="CR17" s="144">
        <v>0</v>
      </c>
      <c r="CS17" s="144">
        <v>0</v>
      </c>
      <c r="CT17" s="144">
        <v>0</v>
      </c>
      <c r="CU17" s="144">
        <v>0</v>
      </c>
      <c r="CV17" s="144">
        <v>0</v>
      </c>
    </row>
    <row r="18" spans="1:100" customFormat="1" x14ac:dyDescent="0.15">
      <c r="A18" s="180" t="s">
        <v>208</v>
      </c>
      <c r="B18" s="144">
        <v>1.020619530291837E-2</v>
      </c>
      <c r="C18" s="144">
        <v>0</v>
      </c>
      <c r="D18" s="144">
        <v>0</v>
      </c>
      <c r="E18" s="144">
        <v>0</v>
      </c>
      <c r="F18" s="144">
        <v>0</v>
      </c>
      <c r="G18" s="144">
        <v>0</v>
      </c>
      <c r="H18" s="144">
        <v>0</v>
      </c>
      <c r="I18" s="144">
        <v>0</v>
      </c>
      <c r="J18" s="144">
        <v>0</v>
      </c>
      <c r="K18" s="144">
        <v>0</v>
      </c>
      <c r="L18" s="144">
        <v>0</v>
      </c>
      <c r="M18" s="144">
        <v>0</v>
      </c>
      <c r="N18" s="144">
        <v>0</v>
      </c>
      <c r="O18" s="144">
        <v>0</v>
      </c>
      <c r="P18" s="144">
        <v>0</v>
      </c>
      <c r="Q18" s="144">
        <v>1.4054309990691827E-4</v>
      </c>
      <c r="R18" s="144">
        <v>2.6626770028469358E-3</v>
      </c>
      <c r="S18" s="144">
        <v>0</v>
      </c>
      <c r="T18" s="144">
        <v>0</v>
      </c>
      <c r="U18" s="144">
        <v>0</v>
      </c>
      <c r="V18" s="144">
        <v>0</v>
      </c>
      <c r="W18" s="144">
        <v>0</v>
      </c>
      <c r="X18" s="144">
        <v>0</v>
      </c>
      <c r="Y18" s="144">
        <v>0</v>
      </c>
      <c r="Z18" s="144">
        <v>0</v>
      </c>
      <c r="AA18" s="144">
        <v>0</v>
      </c>
      <c r="AB18" s="144">
        <v>0</v>
      </c>
      <c r="AC18" s="144">
        <v>0</v>
      </c>
      <c r="AD18" s="144">
        <v>3.2453123636789927E-2</v>
      </c>
      <c r="AE18" s="144">
        <v>8.8949069506535461E-4</v>
      </c>
      <c r="AF18" s="144">
        <v>1.0002011363064873E-2</v>
      </c>
      <c r="AG18" s="144">
        <v>0</v>
      </c>
      <c r="AH18" s="144">
        <v>0</v>
      </c>
      <c r="AI18" s="144">
        <v>0</v>
      </c>
      <c r="AJ18" s="144">
        <v>0</v>
      </c>
      <c r="AK18" s="144">
        <v>0</v>
      </c>
      <c r="AL18" s="144">
        <v>0</v>
      </c>
      <c r="AM18" s="144">
        <v>0</v>
      </c>
      <c r="AN18" s="144">
        <v>0</v>
      </c>
      <c r="AO18" s="144">
        <v>0</v>
      </c>
      <c r="AP18" s="144">
        <v>0</v>
      </c>
      <c r="AQ18" s="144">
        <v>0</v>
      </c>
      <c r="AR18" s="144">
        <v>0</v>
      </c>
      <c r="AS18" s="144">
        <v>0</v>
      </c>
      <c r="AT18" s="144">
        <v>0</v>
      </c>
      <c r="AU18" s="144">
        <v>0</v>
      </c>
      <c r="AV18" s="144">
        <v>0</v>
      </c>
      <c r="AW18" s="144">
        <v>0</v>
      </c>
      <c r="AX18" s="144">
        <v>0</v>
      </c>
      <c r="AY18" s="144">
        <v>0</v>
      </c>
      <c r="AZ18" s="144">
        <v>0</v>
      </c>
      <c r="BA18" s="144">
        <v>0</v>
      </c>
      <c r="BB18" s="144">
        <v>0</v>
      </c>
      <c r="BC18" s="144">
        <v>0</v>
      </c>
      <c r="BD18" s="144">
        <v>0</v>
      </c>
      <c r="BE18" s="144">
        <v>0</v>
      </c>
      <c r="BF18" s="144">
        <v>0</v>
      </c>
      <c r="BG18" s="144">
        <v>0</v>
      </c>
      <c r="BH18" s="144">
        <v>0</v>
      </c>
      <c r="BI18" s="144">
        <v>0</v>
      </c>
      <c r="BJ18" s="144">
        <v>0</v>
      </c>
      <c r="BK18" s="144">
        <v>0</v>
      </c>
      <c r="BL18" s="144">
        <v>0</v>
      </c>
      <c r="BM18" s="144">
        <v>0</v>
      </c>
      <c r="BN18" s="144">
        <v>0</v>
      </c>
      <c r="BO18" s="144">
        <v>0</v>
      </c>
      <c r="BP18" s="144">
        <v>0</v>
      </c>
      <c r="BQ18" s="144">
        <v>0</v>
      </c>
      <c r="BR18" s="144">
        <v>0</v>
      </c>
      <c r="BS18" s="144">
        <v>0</v>
      </c>
      <c r="BT18" s="144">
        <v>0</v>
      </c>
      <c r="BU18" s="144">
        <v>0</v>
      </c>
      <c r="BV18" s="144">
        <v>0</v>
      </c>
      <c r="BW18" s="144">
        <v>0</v>
      </c>
      <c r="BX18" s="144">
        <v>0</v>
      </c>
      <c r="BY18" s="144">
        <v>0</v>
      </c>
      <c r="BZ18" s="144">
        <v>0</v>
      </c>
      <c r="CA18" s="144">
        <v>0</v>
      </c>
      <c r="CB18" s="144">
        <v>0</v>
      </c>
      <c r="CC18" s="144">
        <v>0</v>
      </c>
      <c r="CD18" s="144">
        <v>0</v>
      </c>
      <c r="CE18" s="144">
        <v>0</v>
      </c>
      <c r="CF18" s="144">
        <v>0</v>
      </c>
      <c r="CG18" s="144">
        <v>0</v>
      </c>
      <c r="CH18" s="144">
        <v>0</v>
      </c>
      <c r="CI18" s="144">
        <v>0</v>
      </c>
      <c r="CJ18" s="144">
        <v>0</v>
      </c>
      <c r="CK18" s="144">
        <v>0</v>
      </c>
      <c r="CL18" s="144">
        <v>0</v>
      </c>
      <c r="CM18" s="144">
        <v>0</v>
      </c>
      <c r="CN18" s="144">
        <v>0</v>
      </c>
      <c r="CO18" s="144">
        <v>0</v>
      </c>
      <c r="CP18" s="144">
        <v>0</v>
      </c>
      <c r="CQ18" s="144">
        <v>0</v>
      </c>
      <c r="CR18" s="144">
        <v>0</v>
      </c>
      <c r="CS18" s="144">
        <v>0</v>
      </c>
      <c r="CT18" s="144">
        <v>0</v>
      </c>
      <c r="CU18" s="144">
        <v>0</v>
      </c>
      <c r="CV18" s="144">
        <v>0</v>
      </c>
    </row>
    <row r="19" spans="1:100" customFormat="1" x14ac:dyDescent="0.15">
      <c r="A19" s="180" t="s">
        <v>209</v>
      </c>
      <c r="B19" s="144">
        <v>2.0412390705836739E-2</v>
      </c>
      <c r="C19" s="144">
        <v>0</v>
      </c>
      <c r="D19" s="144">
        <v>0</v>
      </c>
      <c r="E19" s="144">
        <v>0</v>
      </c>
      <c r="F19" s="144">
        <v>0</v>
      </c>
      <c r="G19" s="144">
        <v>0</v>
      </c>
      <c r="H19" s="144">
        <v>0</v>
      </c>
      <c r="I19" s="144">
        <v>0</v>
      </c>
      <c r="J19" s="144">
        <v>0</v>
      </c>
      <c r="K19" s="144">
        <v>0</v>
      </c>
      <c r="L19" s="144">
        <v>0</v>
      </c>
      <c r="M19" s="144">
        <v>0</v>
      </c>
      <c r="N19" s="144">
        <v>0</v>
      </c>
      <c r="O19" s="144">
        <v>1.0994022782686044E-2</v>
      </c>
      <c r="P19" s="144">
        <v>1.0602893242035047E-2</v>
      </c>
      <c r="Q19" s="144">
        <v>9.9958814633797268E-3</v>
      </c>
      <c r="R19" s="144">
        <v>2.2844383524425225E-2</v>
      </c>
      <c r="S19" s="144">
        <v>0</v>
      </c>
      <c r="T19" s="144">
        <v>3.8306249704658799E-3</v>
      </c>
      <c r="U19" s="144">
        <v>0</v>
      </c>
      <c r="V19" s="144">
        <v>0</v>
      </c>
      <c r="W19" s="144">
        <v>0</v>
      </c>
      <c r="X19" s="144">
        <v>1.9999258014804871E-3</v>
      </c>
      <c r="Y19" s="144">
        <v>0</v>
      </c>
      <c r="Z19" s="144">
        <v>0</v>
      </c>
      <c r="AA19" s="144">
        <v>0</v>
      </c>
      <c r="AB19" s="144">
        <v>0</v>
      </c>
      <c r="AC19" s="144">
        <v>0</v>
      </c>
      <c r="AD19" s="144">
        <v>2.1635412791193268E-3</v>
      </c>
      <c r="AE19" s="144">
        <v>3.5157359804956808E-4</v>
      </c>
      <c r="AF19" s="144">
        <v>0</v>
      </c>
      <c r="AG19" s="144">
        <v>0</v>
      </c>
      <c r="AH19" s="144">
        <v>0</v>
      </c>
      <c r="AI19" s="144">
        <v>0</v>
      </c>
      <c r="AJ19" s="144">
        <v>0</v>
      </c>
      <c r="AK19" s="144">
        <v>0</v>
      </c>
      <c r="AL19" s="144">
        <v>0</v>
      </c>
      <c r="AM19" s="144">
        <v>0</v>
      </c>
      <c r="AN19" s="144">
        <v>0</v>
      </c>
      <c r="AO19" s="144">
        <v>0</v>
      </c>
      <c r="AP19" s="144">
        <v>0</v>
      </c>
      <c r="AQ19" s="144">
        <v>0</v>
      </c>
      <c r="AR19" s="144">
        <v>0</v>
      </c>
      <c r="AS19" s="144">
        <v>0</v>
      </c>
      <c r="AT19" s="144">
        <v>0</v>
      </c>
      <c r="AU19" s="144">
        <v>0</v>
      </c>
      <c r="AV19" s="144">
        <v>0</v>
      </c>
      <c r="AW19" s="144">
        <v>0</v>
      </c>
      <c r="AX19" s="144">
        <v>0</v>
      </c>
      <c r="AY19" s="144">
        <v>0</v>
      </c>
      <c r="AZ19" s="144">
        <v>0</v>
      </c>
      <c r="BA19" s="144">
        <v>0</v>
      </c>
      <c r="BB19" s="144">
        <v>0</v>
      </c>
      <c r="BC19" s="144">
        <v>0</v>
      </c>
      <c r="BD19" s="144">
        <v>0</v>
      </c>
      <c r="BE19" s="144">
        <v>0</v>
      </c>
      <c r="BF19" s="144">
        <v>0</v>
      </c>
      <c r="BG19" s="144">
        <v>0</v>
      </c>
      <c r="BH19" s="144">
        <v>0</v>
      </c>
      <c r="BI19" s="144">
        <v>0</v>
      </c>
      <c r="BJ19" s="144">
        <v>0</v>
      </c>
      <c r="BK19" s="144">
        <v>0</v>
      </c>
      <c r="BL19" s="144">
        <v>0</v>
      </c>
      <c r="BM19" s="144">
        <v>0</v>
      </c>
      <c r="BN19" s="144">
        <v>0</v>
      </c>
      <c r="BO19" s="144">
        <v>0</v>
      </c>
      <c r="BP19" s="144">
        <v>0</v>
      </c>
      <c r="BQ19" s="144">
        <v>0</v>
      </c>
      <c r="BR19" s="144">
        <v>0</v>
      </c>
      <c r="BS19" s="144">
        <v>0</v>
      </c>
      <c r="BT19" s="144">
        <v>0</v>
      </c>
      <c r="BU19" s="144">
        <v>0</v>
      </c>
      <c r="BV19" s="144">
        <v>0</v>
      </c>
      <c r="BW19" s="144">
        <v>0</v>
      </c>
      <c r="BX19" s="144">
        <v>0</v>
      </c>
      <c r="BY19" s="144">
        <v>0</v>
      </c>
      <c r="BZ19" s="144">
        <v>0</v>
      </c>
      <c r="CA19" s="144">
        <v>0</v>
      </c>
      <c r="CB19" s="144">
        <v>0</v>
      </c>
      <c r="CC19" s="144">
        <v>0</v>
      </c>
      <c r="CD19" s="144">
        <v>0</v>
      </c>
      <c r="CE19" s="144">
        <v>0</v>
      </c>
      <c r="CF19" s="144">
        <v>0</v>
      </c>
      <c r="CG19" s="144">
        <v>0</v>
      </c>
      <c r="CH19" s="144">
        <v>0</v>
      </c>
      <c r="CI19" s="144">
        <v>0</v>
      </c>
      <c r="CJ19" s="144">
        <v>0</v>
      </c>
      <c r="CK19" s="144">
        <v>0</v>
      </c>
      <c r="CL19" s="144">
        <v>0</v>
      </c>
      <c r="CM19" s="144">
        <v>0</v>
      </c>
      <c r="CN19" s="144">
        <v>0</v>
      </c>
      <c r="CO19" s="144">
        <v>0</v>
      </c>
      <c r="CP19" s="144">
        <v>0</v>
      </c>
      <c r="CQ19" s="144">
        <v>0</v>
      </c>
      <c r="CR19" s="144">
        <v>0</v>
      </c>
      <c r="CS19" s="144">
        <v>0</v>
      </c>
      <c r="CT19" s="144">
        <v>0</v>
      </c>
      <c r="CU19" s="144">
        <v>0</v>
      </c>
      <c r="CV19" s="144">
        <v>0</v>
      </c>
    </row>
    <row r="20" spans="1:100" customFormat="1" x14ac:dyDescent="0.15">
      <c r="A20" s="180" t="s">
        <v>210</v>
      </c>
      <c r="B20" s="144">
        <v>1.0206195102918374E-3</v>
      </c>
      <c r="C20" s="144">
        <v>0</v>
      </c>
      <c r="D20" s="144">
        <v>0</v>
      </c>
      <c r="E20" s="144">
        <v>0</v>
      </c>
      <c r="F20" s="144">
        <v>0</v>
      </c>
      <c r="G20" s="144">
        <v>0</v>
      </c>
      <c r="H20" s="144">
        <v>0</v>
      </c>
      <c r="I20" s="144">
        <v>0</v>
      </c>
      <c r="J20" s="144">
        <v>0</v>
      </c>
      <c r="K20" s="144">
        <v>0</v>
      </c>
      <c r="L20" s="144">
        <v>0</v>
      </c>
      <c r="M20" s="144">
        <v>0</v>
      </c>
      <c r="N20" s="144">
        <v>0</v>
      </c>
      <c r="O20" s="144">
        <v>0</v>
      </c>
      <c r="P20" s="144">
        <v>0</v>
      </c>
      <c r="Q20" s="144">
        <v>0</v>
      </c>
      <c r="R20" s="144">
        <v>0</v>
      </c>
      <c r="S20" s="144">
        <v>0</v>
      </c>
      <c r="T20" s="144">
        <v>0</v>
      </c>
      <c r="U20" s="144">
        <v>0</v>
      </c>
      <c r="V20" s="144">
        <v>0</v>
      </c>
      <c r="W20" s="144">
        <v>0</v>
      </c>
      <c r="X20" s="144">
        <v>0</v>
      </c>
      <c r="Y20" s="144">
        <v>0</v>
      </c>
      <c r="Z20" s="144">
        <v>0</v>
      </c>
      <c r="AA20" s="144">
        <v>0</v>
      </c>
      <c r="AB20" s="144">
        <v>0</v>
      </c>
      <c r="AC20" s="144">
        <v>0</v>
      </c>
      <c r="AD20" s="144">
        <v>0</v>
      </c>
      <c r="AE20" s="144">
        <v>0</v>
      </c>
      <c r="AF20" s="144">
        <v>0</v>
      </c>
      <c r="AG20" s="144">
        <v>0</v>
      </c>
      <c r="AH20" s="144">
        <v>0</v>
      </c>
      <c r="AI20" s="144">
        <v>0</v>
      </c>
      <c r="AJ20" s="144">
        <v>0</v>
      </c>
      <c r="AK20" s="144">
        <v>0</v>
      </c>
      <c r="AL20" s="144">
        <v>0</v>
      </c>
      <c r="AM20" s="144">
        <v>0</v>
      </c>
      <c r="AN20" s="144">
        <v>0</v>
      </c>
      <c r="AO20" s="144">
        <v>0</v>
      </c>
      <c r="AP20" s="144">
        <v>0</v>
      </c>
      <c r="AQ20" s="144">
        <v>0</v>
      </c>
      <c r="AR20" s="144">
        <v>0</v>
      </c>
      <c r="AS20" s="144">
        <v>0</v>
      </c>
      <c r="AT20" s="144">
        <v>0</v>
      </c>
      <c r="AU20" s="144">
        <v>0</v>
      </c>
      <c r="AV20" s="144">
        <v>0</v>
      </c>
      <c r="AW20" s="144">
        <v>0</v>
      </c>
      <c r="AX20" s="144">
        <v>0</v>
      </c>
      <c r="AY20" s="144">
        <v>0</v>
      </c>
      <c r="AZ20" s="144">
        <v>0</v>
      </c>
      <c r="BA20" s="144">
        <v>0</v>
      </c>
      <c r="BB20" s="144">
        <v>0</v>
      </c>
      <c r="BC20" s="144">
        <v>0</v>
      </c>
      <c r="BD20" s="144">
        <v>0</v>
      </c>
      <c r="BE20" s="144">
        <v>0</v>
      </c>
      <c r="BF20" s="144">
        <v>0</v>
      </c>
      <c r="BG20" s="144">
        <v>0</v>
      </c>
      <c r="BH20" s="144">
        <v>0</v>
      </c>
      <c r="BI20" s="144">
        <v>0</v>
      </c>
      <c r="BJ20" s="144">
        <v>0</v>
      </c>
      <c r="BK20" s="144">
        <v>0</v>
      </c>
      <c r="BL20" s="144">
        <v>0</v>
      </c>
      <c r="BM20" s="144">
        <v>0</v>
      </c>
      <c r="BN20" s="144">
        <v>0</v>
      </c>
      <c r="BO20" s="144">
        <v>0</v>
      </c>
      <c r="BP20" s="144">
        <v>0</v>
      </c>
      <c r="BQ20" s="144">
        <v>0</v>
      </c>
      <c r="BR20" s="144">
        <v>0</v>
      </c>
      <c r="BS20" s="144">
        <v>0</v>
      </c>
      <c r="BT20" s="144">
        <v>0</v>
      </c>
      <c r="BU20" s="144">
        <v>0</v>
      </c>
      <c r="BV20" s="144">
        <v>0</v>
      </c>
      <c r="BW20" s="144">
        <v>0</v>
      </c>
      <c r="BX20" s="144">
        <v>0</v>
      </c>
      <c r="BY20" s="144">
        <v>0</v>
      </c>
      <c r="BZ20" s="144">
        <v>0</v>
      </c>
      <c r="CA20" s="144">
        <v>0</v>
      </c>
      <c r="CB20" s="144">
        <v>0</v>
      </c>
      <c r="CC20" s="144">
        <v>0</v>
      </c>
      <c r="CD20" s="144">
        <v>0</v>
      </c>
      <c r="CE20" s="144">
        <v>0</v>
      </c>
      <c r="CF20" s="144">
        <v>0</v>
      </c>
      <c r="CG20" s="144">
        <v>0</v>
      </c>
      <c r="CH20" s="144">
        <v>0</v>
      </c>
      <c r="CI20" s="144">
        <v>0</v>
      </c>
      <c r="CJ20" s="144">
        <v>0</v>
      </c>
      <c r="CK20" s="144">
        <v>0</v>
      </c>
      <c r="CL20" s="144">
        <v>0</v>
      </c>
      <c r="CM20" s="144">
        <v>0</v>
      </c>
      <c r="CN20" s="144">
        <v>0</v>
      </c>
      <c r="CO20" s="144">
        <v>0</v>
      </c>
      <c r="CP20" s="144">
        <v>0</v>
      </c>
      <c r="CQ20" s="144">
        <v>0</v>
      </c>
      <c r="CR20" s="144">
        <v>0</v>
      </c>
      <c r="CS20" s="144">
        <v>0</v>
      </c>
      <c r="CT20" s="144">
        <v>0</v>
      </c>
      <c r="CU20" s="144">
        <v>0</v>
      </c>
      <c r="CV20" s="144">
        <v>0</v>
      </c>
    </row>
    <row r="21" spans="1:100" customFormat="1" x14ac:dyDescent="0.15">
      <c r="A21" s="180" t="s">
        <v>211</v>
      </c>
      <c r="B21" s="144">
        <v>1.0206195102918374E-3</v>
      </c>
      <c r="C21" s="144">
        <v>0</v>
      </c>
      <c r="D21" s="144">
        <v>0</v>
      </c>
      <c r="E21" s="144">
        <v>0</v>
      </c>
      <c r="F21" s="144">
        <v>0.17899999999999999</v>
      </c>
      <c r="G21" s="144">
        <v>9.3000000000000013E-2</v>
      </c>
      <c r="H21" s="144">
        <v>8.0094232667137957E-2</v>
      </c>
      <c r="I21" s="144">
        <v>0.53400000000000003</v>
      </c>
      <c r="J21" s="144">
        <v>0.05</v>
      </c>
      <c r="K21" s="144">
        <v>0</v>
      </c>
      <c r="L21" s="144">
        <v>6.8033979129165076E-2</v>
      </c>
      <c r="M21" s="144">
        <v>2.0927822480432824E-2</v>
      </c>
      <c r="N21" s="144">
        <v>0.80100707548918337</v>
      </c>
      <c r="O21" s="144">
        <v>0.11456810086166667</v>
      </c>
      <c r="P21" s="144">
        <v>0.22869849074972831</v>
      </c>
      <c r="Q21" s="144">
        <v>0.22045415585399317</v>
      </c>
      <c r="R21" s="144">
        <v>0.26494327228327746</v>
      </c>
      <c r="S21" s="144">
        <v>0.24058131481147926</v>
      </c>
      <c r="T21" s="144">
        <v>8.9142225012713405E-2</v>
      </c>
      <c r="U21" s="144">
        <v>0</v>
      </c>
      <c r="V21" s="144">
        <v>4.8778118224715988E-3</v>
      </c>
      <c r="W21" s="144">
        <v>0.28539222204901588</v>
      </c>
      <c r="X21" s="144">
        <v>4.999813953701223E-2</v>
      </c>
      <c r="Y21" s="144">
        <v>0</v>
      </c>
      <c r="Z21" s="144">
        <v>0</v>
      </c>
      <c r="AA21" s="144">
        <v>0</v>
      </c>
      <c r="AB21" s="144">
        <v>0</v>
      </c>
      <c r="AC21" s="144">
        <v>0</v>
      </c>
      <c r="AD21" s="144">
        <v>4.327083018238656E-2</v>
      </c>
      <c r="AE21" s="144">
        <v>5.8094445277708281E-2</v>
      </c>
      <c r="AF21" s="144">
        <v>8.8630729672707128E-3</v>
      </c>
      <c r="AG21" s="144">
        <v>9.0522648079743057E-2</v>
      </c>
      <c r="AH21" s="144">
        <v>0</v>
      </c>
      <c r="AI21" s="144">
        <v>0</v>
      </c>
      <c r="AJ21" s="144">
        <v>0</v>
      </c>
      <c r="AK21" s="144">
        <v>6.8971515396819214E-2</v>
      </c>
      <c r="AL21" s="144">
        <v>0</v>
      </c>
      <c r="AM21" s="144">
        <v>0</v>
      </c>
      <c r="AN21" s="144">
        <v>0</v>
      </c>
      <c r="AO21" s="144">
        <v>0</v>
      </c>
      <c r="AP21" s="144">
        <v>0.06</v>
      </c>
      <c r="AQ21" s="144">
        <v>0</v>
      </c>
      <c r="AR21" s="144">
        <v>0</v>
      </c>
      <c r="AS21" s="144">
        <v>0</v>
      </c>
      <c r="AT21" s="144">
        <v>0</v>
      </c>
      <c r="AU21" s="144">
        <v>0</v>
      </c>
      <c r="AV21" s="144">
        <v>0</v>
      </c>
      <c r="AW21" s="144">
        <v>0</v>
      </c>
      <c r="AX21" s="144">
        <v>0</v>
      </c>
      <c r="AY21" s="144">
        <v>0</v>
      </c>
      <c r="AZ21" s="144">
        <v>0</v>
      </c>
      <c r="BA21" s="144">
        <v>0</v>
      </c>
      <c r="BB21" s="144">
        <v>0</v>
      </c>
      <c r="BC21" s="144">
        <v>0</v>
      </c>
      <c r="BD21" s="144">
        <v>0</v>
      </c>
      <c r="BE21" s="144">
        <v>0</v>
      </c>
      <c r="BF21" s="144">
        <v>0</v>
      </c>
      <c r="BG21" s="144">
        <v>0</v>
      </c>
      <c r="BH21" s="144">
        <v>0</v>
      </c>
      <c r="BI21" s="144">
        <v>0</v>
      </c>
      <c r="BJ21" s="144">
        <v>0</v>
      </c>
      <c r="BK21" s="144">
        <v>0</v>
      </c>
      <c r="BL21" s="144">
        <v>0</v>
      </c>
      <c r="BM21" s="144">
        <v>0</v>
      </c>
      <c r="BN21" s="144">
        <v>0</v>
      </c>
      <c r="BO21" s="144">
        <v>0</v>
      </c>
      <c r="BP21" s="144">
        <v>0</v>
      </c>
      <c r="BQ21" s="144">
        <v>0</v>
      </c>
      <c r="BR21" s="144">
        <v>0</v>
      </c>
      <c r="BS21" s="144">
        <v>0</v>
      </c>
      <c r="BT21" s="144">
        <v>0</v>
      </c>
      <c r="BU21" s="144">
        <v>0</v>
      </c>
      <c r="BV21" s="144">
        <v>0</v>
      </c>
      <c r="BW21" s="144">
        <v>0</v>
      </c>
      <c r="BX21" s="144">
        <v>0</v>
      </c>
      <c r="BY21" s="144">
        <v>0</v>
      </c>
      <c r="BZ21" s="144">
        <v>0</v>
      </c>
      <c r="CA21" s="144">
        <v>0</v>
      </c>
      <c r="CB21" s="144">
        <v>0</v>
      </c>
      <c r="CC21" s="144">
        <v>0</v>
      </c>
      <c r="CD21" s="144">
        <v>0</v>
      </c>
      <c r="CE21" s="144">
        <v>0</v>
      </c>
      <c r="CF21" s="144">
        <v>0</v>
      </c>
      <c r="CG21" s="144">
        <v>0</v>
      </c>
      <c r="CH21" s="144">
        <v>0</v>
      </c>
      <c r="CI21" s="144">
        <v>0</v>
      </c>
      <c r="CJ21" s="144">
        <v>0</v>
      </c>
      <c r="CK21" s="144">
        <v>0</v>
      </c>
      <c r="CL21" s="144">
        <v>0</v>
      </c>
      <c r="CM21" s="144">
        <v>0</v>
      </c>
      <c r="CN21" s="144">
        <v>0</v>
      </c>
      <c r="CO21" s="144">
        <v>0</v>
      </c>
      <c r="CP21" s="144">
        <v>0</v>
      </c>
      <c r="CQ21" s="144">
        <v>0</v>
      </c>
      <c r="CR21" s="144">
        <v>0</v>
      </c>
      <c r="CS21" s="144">
        <v>0</v>
      </c>
      <c r="CT21" s="144">
        <v>0</v>
      </c>
      <c r="CU21" s="144">
        <v>0</v>
      </c>
      <c r="CV21" s="144">
        <v>0</v>
      </c>
    </row>
    <row r="22" spans="1:100" customFormat="1" x14ac:dyDescent="0.15">
      <c r="A22" s="180" t="s">
        <v>212</v>
      </c>
      <c r="B22" s="144">
        <v>0</v>
      </c>
      <c r="C22" s="144">
        <v>0</v>
      </c>
      <c r="D22" s="144">
        <v>0</v>
      </c>
      <c r="E22" s="144">
        <v>0</v>
      </c>
      <c r="F22" s="144">
        <v>0</v>
      </c>
      <c r="G22" s="144">
        <v>0</v>
      </c>
      <c r="H22" s="144">
        <v>0</v>
      </c>
      <c r="I22" s="144">
        <v>0</v>
      </c>
      <c r="J22" s="144">
        <v>0</v>
      </c>
      <c r="K22" s="144">
        <v>0</v>
      </c>
      <c r="L22" s="144">
        <v>0</v>
      </c>
      <c r="M22" s="144">
        <v>0</v>
      </c>
      <c r="N22" s="144">
        <v>0</v>
      </c>
      <c r="O22" s="144">
        <v>0</v>
      </c>
      <c r="P22" s="144">
        <v>0</v>
      </c>
      <c r="Q22" s="144">
        <v>0</v>
      </c>
      <c r="R22" s="144">
        <v>0</v>
      </c>
      <c r="S22" s="144">
        <v>0</v>
      </c>
      <c r="T22" s="144">
        <v>0.16405421373514195</v>
      </c>
      <c r="U22" s="144">
        <v>0</v>
      </c>
      <c r="V22" s="144">
        <v>0</v>
      </c>
      <c r="W22" s="144">
        <v>0</v>
      </c>
      <c r="X22" s="144">
        <v>0</v>
      </c>
      <c r="Y22" s="144">
        <v>0</v>
      </c>
      <c r="Z22" s="144">
        <v>0</v>
      </c>
      <c r="AA22" s="144">
        <v>0</v>
      </c>
      <c r="AB22" s="144">
        <v>0</v>
      </c>
      <c r="AC22" s="144">
        <v>0</v>
      </c>
      <c r="AD22" s="144">
        <v>0</v>
      </c>
      <c r="AE22" s="144">
        <v>0</v>
      </c>
      <c r="AF22" s="144">
        <v>0</v>
      </c>
      <c r="AG22" s="144">
        <v>0</v>
      </c>
      <c r="AH22" s="144">
        <v>0</v>
      </c>
      <c r="AI22" s="144">
        <v>0</v>
      </c>
      <c r="AJ22" s="144">
        <v>0</v>
      </c>
      <c r="AK22" s="144">
        <v>0</v>
      </c>
      <c r="AL22" s="144">
        <v>0</v>
      </c>
      <c r="AM22" s="144">
        <v>0</v>
      </c>
      <c r="AN22" s="144">
        <v>0</v>
      </c>
      <c r="AO22" s="144">
        <v>0</v>
      </c>
      <c r="AP22" s="144">
        <v>0</v>
      </c>
      <c r="AQ22" s="144">
        <v>0</v>
      </c>
      <c r="AR22" s="144">
        <v>0</v>
      </c>
      <c r="AS22" s="144">
        <v>0</v>
      </c>
      <c r="AT22" s="144">
        <v>0</v>
      </c>
      <c r="AU22" s="144">
        <v>0</v>
      </c>
      <c r="AV22" s="144">
        <v>0</v>
      </c>
      <c r="AW22" s="144">
        <v>0</v>
      </c>
      <c r="AX22" s="144">
        <v>0</v>
      </c>
      <c r="AY22" s="144">
        <v>0</v>
      </c>
      <c r="AZ22" s="144">
        <v>0</v>
      </c>
      <c r="BA22" s="144">
        <v>0</v>
      </c>
      <c r="BB22" s="144">
        <v>0</v>
      </c>
      <c r="BC22" s="144">
        <v>0</v>
      </c>
      <c r="BD22" s="144">
        <v>0</v>
      </c>
      <c r="BE22" s="144">
        <v>0</v>
      </c>
      <c r="BF22" s="144">
        <v>0</v>
      </c>
      <c r="BG22" s="144">
        <v>0</v>
      </c>
      <c r="BH22" s="144">
        <v>0</v>
      </c>
      <c r="BI22" s="144">
        <v>0</v>
      </c>
      <c r="BJ22" s="144">
        <v>0</v>
      </c>
      <c r="BK22" s="144">
        <v>0</v>
      </c>
      <c r="BL22" s="144">
        <v>0</v>
      </c>
      <c r="BM22" s="144">
        <v>0</v>
      </c>
      <c r="BN22" s="144">
        <v>0</v>
      </c>
      <c r="BO22" s="144">
        <v>0</v>
      </c>
      <c r="BP22" s="144">
        <v>0</v>
      </c>
      <c r="BQ22" s="144">
        <v>0</v>
      </c>
      <c r="BR22" s="144">
        <v>0</v>
      </c>
      <c r="BS22" s="144">
        <v>0</v>
      </c>
      <c r="BT22" s="144">
        <v>0</v>
      </c>
      <c r="BU22" s="144">
        <v>0</v>
      </c>
      <c r="BV22" s="144">
        <v>0</v>
      </c>
      <c r="BW22" s="144">
        <v>0</v>
      </c>
      <c r="BX22" s="144">
        <v>0</v>
      </c>
      <c r="BY22" s="144">
        <v>0</v>
      </c>
      <c r="BZ22" s="144">
        <v>0</v>
      </c>
      <c r="CA22" s="144">
        <v>0</v>
      </c>
      <c r="CB22" s="144">
        <v>0</v>
      </c>
      <c r="CC22" s="144">
        <v>0</v>
      </c>
      <c r="CD22" s="144">
        <v>0</v>
      </c>
      <c r="CE22" s="144">
        <v>0</v>
      </c>
      <c r="CF22" s="144">
        <v>0</v>
      </c>
      <c r="CG22" s="144">
        <v>0</v>
      </c>
      <c r="CH22" s="144">
        <v>0</v>
      </c>
      <c r="CI22" s="144">
        <v>0</v>
      </c>
      <c r="CJ22" s="144">
        <v>0</v>
      </c>
      <c r="CK22" s="144">
        <v>0</v>
      </c>
      <c r="CL22" s="144">
        <v>0</v>
      </c>
      <c r="CM22" s="144">
        <v>0</v>
      </c>
      <c r="CN22" s="144">
        <v>0</v>
      </c>
      <c r="CO22" s="144">
        <v>0</v>
      </c>
      <c r="CP22" s="144">
        <v>0</v>
      </c>
      <c r="CQ22" s="144">
        <v>0</v>
      </c>
      <c r="CR22" s="144">
        <v>0</v>
      </c>
      <c r="CS22" s="144">
        <v>0</v>
      </c>
      <c r="CT22" s="144">
        <v>0</v>
      </c>
      <c r="CU22" s="144">
        <v>0</v>
      </c>
      <c r="CV22" s="144">
        <v>0</v>
      </c>
    </row>
    <row r="23" spans="1:100" customFormat="1" x14ac:dyDescent="0.15">
      <c r="A23" s="180" t="s">
        <v>213</v>
      </c>
      <c r="B23" s="144">
        <v>3.0618585008755129E-2</v>
      </c>
      <c r="C23" s="144">
        <v>0</v>
      </c>
      <c r="D23" s="144">
        <v>0</v>
      </c>
      <c r="E23" s="144">
        <v>0</v>
      </c>
      <c r="F23" s="144">
        <v>0</v>
      </c>
      <c r="G23" s="144">
        <v>0</v>
      </c>
      <c r="H23" s="144">
        <v>0</v>
      </c>
      <c r="I23" s="144">
        <v>0</v>
      </c>
      <c r="J23" s="144">
        <v>0</v>
      </c>
      <c r="K23" s="144">
        <v>0</v>
      </c>
      <c r="L23" s="144">
        <v>0</v>
      </c>
      <c r="M23" s="144">
        <v>0</v>
      </c>
      <c r="N23" s="144">
        <v>0</v>
      </c>
      <c r="O23" s="144">
        <v>0</v>
      </c>
      <c r="P23" s="144">
        <v>5.3014109710177186E-4</v>
      </c>
      <c r="Q23" s="144">
        <v>6.47796799570964E-3</v>
      </c>
      <c r="R23" s="144">
        <v>0</v>
      </c>
      <c r="S23" s="144">
        <v>0</v>
      </c>
      <c r="T23" s="144">
        <v>0</v>
      </c>
      <c r="U23" s="144">
        <v>0</v>
      </c>
      <c r="V23" s="144">
        <v>0</v>
      </c>
      <c r="W23" s="144">
        <v>0</v>
      </c>
      <c r="X23" s="144">
        <v>0</v>
      </c>
      <c r="Y23" s="144">
        <v>0</v>
      </c>
      <c r="Z23" s="144">
        <v>0</v>
      </c>
      <c r="AA23" s="144">
        <v>0</v>
      </c>
      <c r="AB23" s="144">
        <v>0</v>
      </c>
      <c r="AC23" s="144">
        <v>0</v>
      </c>
      <c r="AD23" s="144">
        <v>5.2411505220914512E-4</v>
      </c>
      <c r="AE23" s="144">
        <v>2.0983456483589661E-3</v>
      </c>
      <c r="AF23" s="144">
        <v>0</v>
      </c>
      <c r="AG23" s="144">
        <v>0</v>
      </c>
      <c r="AH23" s="144">
        <v>0</v>
      </c>
      <c r="AI23" s="144">
        <v>0</v>
      </c>
      <c r="AJ23" s="144">
        <v>0</v>
      </c>
      <c r="AK23" s="144">
        <v>0</v>
      </c>
      <c r="AL23" s="144">
        <v>0</v>
      </c>
      <c r="AM23" s="144">
        <v>0</v>
      </c>
      <c r="AN23" s="144">
        <v>0</v>
      </c>
      <c r="AO23" s="144">
        <v>0</v>
      </c>
      <c r="AP23" s="144">
        <v>3.0000000000000001E-3</v>
      </c>
      <c r="AQ23" s="144">
        <v>0</v>
      </c>
      <c r="AR23" s="144">
        <v>0</v>
      </c>
      <c r="AS23" s="144">
        <v>0</v>
      </c>
      <c r="AT23" s="144">
        <v>0</v>
      </c>
      <c r="AU23" s="144">
        <v>0</v>
      </c>
      <c r="AV23" s="144">
        <v>0</v>
      </c>
      <c r="AW23" s="144">
        <v>0</v>
      </c>
      <c r="AX23" s="144">
        <v>0</v>
      </c>
      <c r="AY23" s="144">
        <v>0</v>
      </c>
      <c r="AZ23" s="144">
        <v>0</v>
      </c>
      <c r="BA23" s="144">
        <v>0</v>
      </c>
      <c r="BB23" s="144">
        <v>0</v>
      </c>
      <c r="BC23" s="144">
        <v>0</v>
      </c>
      <c r="BD23" s="144">
        <v>0</v>
      </c>
      <c r="BE23" s="144">
        <v>0</v>
      </c>
      <c r="BF23" s="144">
        <v>0</v>
      </c>
      <c r="BG23" s="144">
        <v>0</v>
      </c>
      <c r="BH23" s="144">
        <v>0</v>
      </c>
      <c r="BI23" s="144">
        <v>0</v>
      </c>
      <c r="BJ23" s="144">
        <v>0</v>
      </c>
      <c r="BK23" s="144">
        <v>0</v>
      </c>
      <c r="BL23" s="144">
        <v>0</v>
      </c>
      <c r="BM23" s="144">
        <v>0</v>
      </c>
      <c r="BN23" s="144">
        <v>0</v>
      </c>
      <c r="BO23" s="144">
        <v>0</v>
      </c>
      <c r="BP23" s="144">
        <v>0</v>
      </c>
      <c r="BQ23" s="144">
        <v>0</v>
      </c>
      <c r="BR23" s="144">
        <v>0</v>
      </c>
      <c r="BS23" s="144">
        <v>0</v>
      </c>
      <c r="BT23" s="144">
        <v>0</v>
      </c>
      <c r="BU23" s="144">
        <v>0</v>
      </c>
      <c r="BV23" s="144">
        <v>0</v>
      </c>
      <c r="BW23" s="144">
        <v>0</v>
      </c>
      <c r="BX23" s="144">
        <v>0</v>
      </c>
      <c r="BY23" s="144">
        <v>0</v>
      </c>
      <c r="BZ23" s="144">
        <v>0</v>
      </c>
      <c r="CA23" s="144">
        <v>0</v>
      </c>
      <c r="CB23" s="144">
        <v>0</v>
      </c>
      <c r="CC23" s="144">
        <v>0</v>
      </c>
      <c r="CD23" s="144">
        <v>0</v>
      </c>
      <c r="CE23" s="144">
        <v>0</v>
      </c>
      <c r="CF23" s="144">
        <v>0</v>
      </c>
      <c r="CG23" s="144">
        <v>0</v>
      </c>
      <c r="CH23" s="144">
        <v>0</v>
      </c>
      <c r="CI23" s="144">
        <v>0</v>
      </c>
      <c r="CJ23" s="144">
        <v>0</v>
      </c>
      <c r="CK23" s="144">
        <v>0</v>
      </c>
      <c r="CL23" s="144">
        <v>0</v>
      </c>
      <c r="CM23" s="144">
        <v>0</v>
      </c>
      <c r="CN23" s="144">
        <v>0</v>
      </c>
      <c r="CO23" s="144">
        <v>0</v>
      </c>
      <c r="CP23" s="144">
        <v>0</v>
      </c>
      <c r="CQ23" s="144">
        <v>0</v>
      </c>
      <c r="CR23" s="144">
        <v>0</v>
      </c>
      <c r="CS23" s="144">
        <v>0</v>
      </c>
      <c r="CT23" s="144">
        <v>0</v>
      </c>
      <c r="CU23" s="144">
        <v>0</v>
      </c>
      <c r="CV23" s="144">
        <v>0</v>
      </c>
    </row>
    <row r="24" spans="1:100" customFormat="1" x14ac:dyDescent="0.15">
      <c r="A24" s="180" t="s">
        <v>214</v>
      </c>
      <c r="B24" s="144">
        <v>2.0412390705836739E-2</v>
      </c>
      <c r="C24" s="144">
        <v>0</v>
      </c>
      <c r="D24" s="144">
        <v>0</v>
      </c>
      <c r="E24" s="144">
        <v>0</v>
      </c>
      <c r="F24" s="144">
        <v>0.39400000000000002</v>
      </c>
      <c r="G24" s="144">
        <v>7.7000000000000013E-2</v>
      </c>
      <c r="H24" s="144">
        <v>0.33333331109999931</v>
      </c>
      <c r="I24" s="144">
        <v>0.307</v>
      </c>
      <c r="J24" s="144">
        <v>0</v>
      </c>
      <c r="K24" s="144">
        <v>0</v>
      </c>
      <c r="L24" s="144">
        <v>1.1431032653682784E-2</v>
      </c>
      <c r="M24" s="144">
        <v>0</v>
      </c>
      <c r="N24" s="144">
        <v>0</v>
      </c>
      <c r="O24" s="144">
        <v>1.1281803384850441E-2</v>
      </c>
      <c r="P24" s="144">
        <v>2.1110219884592548E-3</v>
      </c>
      <c r="Q24" s="144">
        <v>7.9689145047221854E-2</v>
      </c>
      <c r="R24" s="144">
        <v>2.1142717522605807E-3</v>
      </c>
      <c r="S24" s="144">
        <v>7.2210508742815037E-3</v>
      </c>
      <c r="T24" s="144">
        <v>9.0676129300887004E-2</v>
      </c>
      <c r="U24" s="144">
        <v>5.0260922924249525E-3</v>
      </c>
      <c r="V24" s="144">
        <v>1.8320335334634029E-2</v>
      </c>
      <c r="W24" s="144">
        <v>3.347465735386869E-3</v>
      </c>
      <c r="X24" s="144">
        <v>0</v>
      </c>
      <c r="Y24" s="144">
        <v>0</v>
      </c>
      <c r="Z24" s="144">
        <v>0</v>
      </c>
      <c r="AA24" s="144">
        <v>0</v>
      </c>
      <c r="AB24" s="144">
        <v>0</v>
      </c>
      <c r="AC24" s="144">
        <v>0</v>
      </c>
      <c r="AD24" s="144">
        <v>2.4880730104872285E-2</v>
      </c>
      <c r="AE24" s="144">
        <v>2.0588326585781729E-3</v>
      </c>
      <c r="AF24" s="144">
        <v>4.5114336333403138E-3</v>
      </c>
      <c r="AG24" s="144">
        <v>0</v>
      </c>
      <c r="AH24" s="144">
        <v>0</v>
      </c>
      <c r="AI24" s="144">
        <v>0</v>
      </c>
      <c r="AJ24" s="144">
        <v>1.0290929902246457E-3</v>
      </c>
      <c r="AK24" s="144">
        <v>0</v>
      </c>
      <c r="AL24" s="144">
        <v>0</v>
      </c>
      <c r="AM24" s="144">
        <v>0</v>
      </c>
      <c r="AN24" s="144">
        <v>0</v>
      </c>
      <c r="AO24" s="144">
        <v>0</v>
      </c>
      <c r="AP24" s="144">
        <v>0.01</v>
      </c>
      <c r="AQ24" s="144">
        <v>0</v>
      </c>
      <c r="AR24" s="144">
        <v>1.9996000091981603E-3</v>
      </c>
      <c r="AS24" s="144">
        <v>0</v>
      </c>
      <c r="AT24" s="144">
        <v>0</v>
      </c>
      <c r="AU24" s="144">
        <v>0</v>
      </c>
      <c r="AV24" s="144">
        <v>0</v>
      </c>
      <c r="AW24" s="144">
        <v>0</v>
      </c>
      <c r="AX24" s="144">
        <v>0</v>
      </c>
      <c r="AY24" s="144">
        <v>0</v>
      </c>
      <c r="AZ24" s="144">
        <v>0</v>
      </c>
      <c r="BA24" s="144">
        <v>0</v>
      </c>
      <c r="BB24" s="144">
        <v>0</v>
      </c>
      <c r="BC24" s="144">
        <v>0</v>
      </c>
      <c r="BD24" s="144">
        <v>0</v>
      </c>
      <c r="BE24" s="144">
        <v>0</v>
      </c>
      <c r="BF24" s="144">
        <v>0</v>
      </c>
      <c r="BG24" s="144">
        <v>0</v>
      </c>
      <c r="BH24" s="144">
        <v>0</v>
      </c>
      <c r="BI24" s="144">
        <v>0</v>
      </c>
      <c r="BJ24" s="144">
        <v>0</v>
      </c>
      <c r="BK24" s="144">
        <v>0</v>
      </c>
      <c r="BL24" s="144">
        <v>0</v>
      </c>
      <c r="BM24" s="144">
        <v>0</v>
      </c>
      <c r="BN24" s="144">
        <v>0</v>
      </c>
      <c r="BO24" s="144">
        <v>0</v>
      </c>
      <c r="BP24" s="144">
        <v>0</v>
      </c>
      <c r="BQ24" s="144">
        <v>0</v>
      </c>
      <c r="BR24" s="144">
        <v>0</v>
      </c>
      <c r="BS24" s="144">
        <v>0</v>
      </c>
      <c r="BT24" s="144">
        <v>0</v>
      </c>
      <c r="BU24" s="144">
        <v>0</v>
      </c>
      <c r="BV24" s="144">
        <v>0</v>
      </c>
      <c r="BW24" s="144">
        <v>0</v>
      </c>
      <c r="BX24" s="144">
        <v>0</v>
      </c>
      <c r="BY24" s="144">
        <v>0</v>
      </c>
      <c r="BZ24" s="144">
        <v>0</v>
      </c>
      <c r="CA24" s="144">
        <v>0</v>
      </c>
      <c r="CB24" s="144">
        <v>0</v>
      </c>
      <c r="CC24" s="144">
        <v>0</v>
      </c>
      <c r="CD24" s="144">
        <v>0</v>
      </c>
      <c r="CE24" s="144">
        <v>0</v>
      </c>
      <c r="CF24" s="144">
        <v>0</v>
      </c>
      <c r="CG24" s="144">
        <v>0</v>
      </c>
      <c r="CH24" s="144">
        <v>0</v>
      </c>
      <c r="CI24" s="144">
        <v>0</v>
      </c>
      <c r="CJ24" s="144">
        <v>0</v>
      </c>
      <c r="CK24" s="144">
        <v>0</v>
      </c>
      <c r="CL24" s="144">
        <v>0</v>
      </c>
      <c r="CM24" s="144">
        <v>0</v>
      </c>
      <c r="CN24" s="144">
        <v>0</v>
      </c>
      <c r="CO24" s="144">
        <v>0</v>
      </c>
      <c r="CP24" s="144">
        <v>0</v>
      </c>
      <c r="CQ24" s="144">
        <v>0</v>
      </c>
      <c r="CR24" s="144">
        <v>0</v>
      </c>
      <c r="CS24" s="144">
        <v>0</v>
      </c>
      <c r="CT24" s="144">
        <v>0</v>
      </c>
      <c r="CU24" s="144">
        <v>0</v>
      </c>
      <c r="CV24" s="144">
        <v>0</v>
      </c>
    </row>
    <row r="25" spans="1:100" customFormat="1" x14ac:dyDescent="0.15">
      <c r="A25" s="180" t="s">
        <v>215</v>
      </c>
      <c r="B25" s="144">
        <v>0</v>
      </c>
      <c r="C25" s="144">
        <v>0</v>
      </c>
      <c r="D25" s="144">
        <v>0</v>
      </c>
      <c r="E25" s="144">
        <v>0</v>
      </c>
      <c r="F25" s="144">
        <v>0</v>
      </c>
      <c r="G25" s="144">
        <v>0</v>
      </c>
      <c r="H25" s="144">
        <v>0</v>
      </c>
      <c r="I25" s="144">
        <v>0</v>
      </c>
      <c r="J25" s="144">
        <v>0</v>
      </c>
      <c r="K25" s="144">
        <v>0</v>
      </c>
      <c r="L25" s="144">
        <v>0</v>
      </c>
      <c r="M25" s="144">
        <v>0</v>
      </c>
      <c r="N25" s="144">
        <v>0</v>
      </c>
      <c r="O25" s="144">
        <v>0</v>
      </c>
      <c r="P25" s="144">
        <v>3.1808677926105151E-2</v>
      </c>
      <c r="Q25" s="144">
        <v>3.9983525873518902E-2</v>
      </c>
      <c r="R25" s="144">
        <v>4.9294337652705529E-2</v>
      </c>
      <c r="S25" s="144">
        <v>0</v>
      </c>
      <c r="T25" s="144">
        <v>4.1801799677708114E-3</v>
      </c>
      <c r="U25" s="144">
        <v>3.4177430016489686E-2</v>
      </c>
      <c r="V25" s="144">
        <v>0.11398223145980463</v>
      </c>
      <c r="W25" s="144">
        <v>7.4774399226825231E-2</v>
      </c>
      <c r="X25" s="144">
        <v>0</v>
      </c>
      <c r="Y25" s="144">
        <v>0</v>
      </c>
      <c r="Z25" s="144">
        <v>0</v>
      </c>
      <c r="AA25" s="144">
        <v>0</v>
      </c>
      <c r="AB25" s="144">
        <v>0</v>
      </c>
      <c r="AC25" s="144">
        <v>0</v>
      </c>
      <c r="AD25" s="144">
        <v>1.081770754559664E-2</v>
      </c>
      <c r="AE25" s="144">
        <v>7.4495889586717661E-3</v>
      </c>
      <c r="AF25" s="144">
        <v>2.0004022826129748E-2</v>
      </c>
      <c r="AG25" s="144">
        <v>0</v>
      </c>
      <c r="AH25" s="144">
        <v>0</v>
      </c>
      <c r="AI25" s="144">
        <v>0</v>
      </c>
      <c r="AJ25" s="144">
        <v>2.8525449729036752E-2</v>
      </c>
      <c r="AK25" s="144">
        <v>0</v>
      </c>
      <c r="AL25" s="144">
        <v>0</v>
      </c>
      <c r="AM25" s="144">
        <v>0</v>
      </c>
      <c r="AN25" s="144">
        <v>0</v>
      </c>
      <c r="AO25" s="144">
        <v>0</v>
      </c>
      <c r="AP25" s="144">
        <v>0.02</v>
      </c>
      <c r="AQ25" s="144">
        <v>0</v>
      </c>
      <c r="AR25" s="144">
        <v>1.9996000091981603E-3</v>
      </c>
      <c r="AS25" s="144">
        <v>0</v>
      </c>
      <c r="AT25" s="144">
        <v>0</v>
      </c>
      <c r="AU25" s="144">
        <v>0</v>
      </c>
      <c r="AV25" s="144">
        <v>0</v>
      </c>
      <c r="AW25" s="144">
        <v>0</v>
      </c>
      <c r="AX25" s="144">
        <v>0</v>
      </c>
      <c r="AY25" s="144">
        <v>0</v>
      </c>
      <c r="AZ25" s="144">
        <v>0</v>
      </c>
      <c r="BA25" s="144">
        <v>0</v>
      </c>
      <c r="BB25" s="144">
        <v>0</v>
      </c>
      <c r="BC25" s="144">
        <v>0</v>
      </c>
      <c r="BD25" s="144">
        <v>0</v>
      </c>
      <c r="BE25" s="144">
        <v>0</v>
      </c>
      <c r="BF25" s="144">
        <v>0</v>
      </c>
      <c r="BG25" s="144">
        <v>0</v>
      </c>
      <c r="BH25" s="144">
        <v>0</v>
      </c>
      <c r="BI25" s="144">
        <v>0</v>
      </c>
      <c r="BJ25" s="144">
        <v>0</v>
      </c>
      <c r="BK25" s="144">
        <v>0</v>
      </c>
      <c r="BL25" s="144">
        <v>0</v>
      </c>
      <c r="BM25" s="144">
        <v>0</v>
      </c>
      <c r="BN25" s="144">
        <v>0</v>
      </c>
      <c r="BO25" s="144">
        <v>0</v>
      </c>
      <c r="BP25" s="144">
        <v>0</v>
      </c>
      <c r="BQ25" s="144">
        <v>0</v>
      </c>
      <c r="BR25" s="144">
        <v>0</v>
      </c>
      <c r="BS25" s="144">
        <v>0</v>
      </c>
      <c r="BT25" s="144">
        <v>0</v>
      </c>
      <c r="BU25" s="144">
        <v>0</v>
      </c>
      <c r="BV25" s="144">
        <v>0</v>
      </c>
      <c r="BW25" s="144">
        <v>0</v>
      </c>
      <c r="BX25" s="144">
        <v>0</v>
      </c>
      <c r="BY25" s="144">
        <v>0</v>
      </c>
      <c r="BZ25" s="144">
        <v>0</v>
      </c>
      <c r="CA25" s="144">
        <v>0</v>
      </c>
      <c r="CB25" s="144">
        <v>0</v>
      </c>
      <c r="CC25" s="144">
        <v>0</v>
      </c>
      <c r="CD25" s="144">
        <v>0</v>
      </c>
      <c r="CE25" s="144">
        <v>0</v>
      </c>
      <c r="CF25" s="144">
        <v>0</v>
      </c>
      <c r="CG25" s="144">
        <v>0</v>
      </c>
      <c r="CH25" s="144">
        <v>0</v>
      </c>
      <c r="CI25" s="144">
        <v>0</v>
      </c>
      <c r="CJ25" s="144">
        <v>0</v>
      </c>
      <c r="CK25" s="144">
        <v>0</v>
      </c>
      <c r="CL25" s="144">
        <v>0</v>
      </c>
      <c r="CM25" s="144">
        <v>0</v>
      </c>
      <c r="CN25" s="144">
        <v>0</v>
      </c>
      <c r="CO25" s="144">
        <v>0</v>
      </c>
      <c r="CP25" s="144">
        <v>0</v>
      </c>
      <c r="CQ25" s="144">
        <v>0</v>
      </c>
      <c r="CR25" s="144">
        <v>0</v>
      </c>
      <c r="CS25" s="144">
        <v>0</v>
      </c>
      <c r="CT25" s="144">
        <v>0</v>
      </c>
      <c r="CU25" s="144">
        <v>0</v>
      </c>
      <c r="CV25" s="144">
        <v>0</v>
      </c>
    </row>
    <row r="26" spans="1:100" customFormat="1" x14ac:dyDescent="0.15">
      <c r="A26" s="180" t="s">
        <v>216</v>
      </c>
      <c r="B26" s="144">
        <v>0.20412392505836705</v>
      </c>
      <c r="C26" s="144">
        <v>0</v>
      </c>
      <c r="D26" s="144">
        <v>0</v>
      </c>
      <c r="E26" s="144">
        <v>7.000000000000001E-3</v>
      </c>
      <c r="F26" s="144">
        <v>0</v>
      </c>
      <c r="G26" s="144">
        <v>0</v>
      </c>
      <c r="H26" s="144">
        <v>0</v>
      </c>
      <c r="I26" s="144">
        <v>0</v>
      </c>
      <c r="J26" s="144">
        <v>0</v>
      </c>
      <c r="K26" s="144">
        <v>0</v>
      </c>
      <c r="L26" s="144">
        <v>0</v>
      </c>
      <c r="M26" s="144">
        <v>0</v>
      </c>
      <c r="N26" s="144">
        <v>0</v>
      </c>
      <c r="O26" s="144">
        <v>0</v>
      </c>
      <c r="P26" s="144">
        <v>0</v>
      </c>
      <c r="Q26" s="144">
        <v>0</v>
      </c>
      <c r="R26" s="144">
        <v>0</v>
      </c>
      <c r="S26" s="144">
        <v>0</v>
      </c>
      <c r="T26" s="144">
        <v>0</v>
      </c>
      <c r="U26" s="144">
        <v>0</v>
      </c>
      <c r="V26" s="144">
        <v>0</v>
      </c>
      <c r="W26" s="144">
        <v>0</v>
      </c>
      <c r="X26" s="144">
        <v>0</v>
      </c>
      <c r="Y26" s="144">
        <v>0</v>
      </c>
      <c r="Z26" s="144">
        <v>0</v>
      </c>
      <c r="AA26" s="144">
        <v>0</v>
      </c>
      <c r="AB26" s="144">
        <v>0</v>
      </c>
      <c r="AC26" s="144">
        <v>0</v>
      </c>
      <c r="AD26" s="144">
        <v>0</v>
      </c>
      <c r="AE26" s="144">
        <v>0</v>
      </c>
      <c r="AF26" s="144">
        <v>0</v>
      </c>
      <c r="AG26" s="144">
        <v>0</v>
      </c>
      <c r="AH26" s="144">
        <v>0</v>
      </c>
      <c r="AI26" s="144">
        <v>0</v>
      </c>
      <c r="AJ26" s="144">
        <v>0</v>
      </c>
      <c r="AK26" s="144">
        <v>0</v>
      </c>
      <c r="AL26" s="144">
        <v>0</v>
      </c>
      <c r="AM26" s="144">
        <v>0</v>
      </c>
      <c r="AN26" s="144">
        <v>0</v>
      </c>
      <c r="AO26" s="144">
        <v>0</v>
      </c>
      <c r="AP26" s="144">
        <v>0</v>
      </c>
      <c r="AQ26" s="144">
        <v>0</v>
      </c>
      <c r="AR26" s="144">
        <v>0</v>
      </c>
      <c r="AS26" s="144">
        <v>0</v>
      </c>
      <c r="AT26" s="144">
        <v>0</v>
      </c>
      <c r="AU26" s="144">
        <v>0</v>
      </c>
      <c r="AV26" s="144">
        <v>0</v>
      </c>
      <c r="AW26" s="144">
        <v>0</v>
      </c>
      <c r="AX26" s="144">
        <v>0</v>
      </c>
      <c r="AY26" s="144">
        <v>0</v>
      </c>
      <c r="AZ26" s="144">
        <v>0</v>
      </c>
      <c r="BA26" s="144">
        <v>0</v>
      </c>
      <c r="BB26" s="144">
        <v>0</v>
      </c>
      <c r="BC26" s="144">
        <v>0</v>
      </c>
      <c r="BD26" s="144">
        <v>0</v>
      </c>
      <c r="BE26" s="144">
        <v>0</v>
      </c>
      <c r="BF26" s="144">
        <v>0</v>
      </c>
      <c r="BG26" s="144">
        <v>0</v>
      </c>
      <c r="BH26" s="144">
        <v>0</v>
      </c>
      <c r="BI26" s="144">
        <v>0</v>
      </c>
      <c r="BJ26" s="144">
        <v>0</v>
      </c>
      <c r="BK26" s="144">
        <v>0</v>
      </c>
      <c r="BL26" s="144">
        <v>0</v>
      </c>
      <c r="BM26" s="144">
        <v>0</v>
      </c>
      <c r="BN26" s="144">
        <v>0</v>
      </c>
      <c r="BO26" s="144">
        <v>0</v>
      </c>
      <c r="BP26" s="144">
        <v>0</v>
      </c>
      <c r="BQ26" s="144">
        <v>0</v>
      </c>
      <c r="BR26" s="144">
        <v>0</v>
      </c>
      <c r="BS26" s="144">
        <v>0</v>
      </c>
      <c r="BT26" s="144">
        <v>0</v>
      </c>
      <c r="BU26" s="144">
        <v>0</v>
      </c>
      <c r="BV26" s="144">
        <v>0</v>
      </c>
      <c r="BW26" s="144">
        <v>0</v>
      </c>
      <c r="BX26" s="144">
        <v>0</v>
      </c>
      <c r="BY26" s="144">
        <v>0</v>
      </c>
      <c r="BZ26" s="144">
        <v>0</v>
      </c>
      <c r="CA26" s="144">
        <v>0</v>
      </c>
      <c r="CB26" s="144">
        <v>0</v>
      </c>
      <c r="CC26" s="144">
        <v>0</v>
      </c>
      <c r="CD26" s="144">
        <v>0</v>
      </c>
      <c r="CE26" s="144">
        <v>0</v>
      </c>
      <c r="CF26" s="144">
        <v>0</v>
      </c>
      <c r="CG26" s="144">
        <v>0</v>
      </c>
      <c r="CH26" s="144">
        <v>0</v>
      </c>
      <c r="CI26" s="144">
        <v>0</v>
      </c>
      <c r="CJ26" s="144">
        <v>0</v>
      </c>
      <c r="CK26" s="144">
        <v>0</v>
      </c>
      <c r="CL26" s="144">
        <v>0</v>
      </c>
      <c r="CM26" s="144">
        <v>0</v>
      </c>
      <c r="CN26" s="144">
        <v>0</v>
      </c>
      <c r="CO26" s="144">
        <v>0</v>
      </c>
      <c r="CP26" s="144">
        <v>0</v>
      </c>
      <c r="CQ26" s="144">
        <v>0</v>
      </c>
      <c r="CR26" s="144">
        <v>0</v>
      </c>
      <c r="CS26" s="144">
        <v>0</v>
      </c>
      <c r="CT26" s="144">
        <v>0</v>
      </c>
      <c r="CU26" s="144">
        <v>0</v>
      </c>
      <c r="CV26" s="144">
        <v>0</v>
      </c>
    </row>
    <row r="27" spans="1:100" customFormat="1" x14ac:dyDescent="0.15">
      <c r="A27" s="180" t="s">
        <v>217</v>
      </c>
      <c r="B27" s="144">
        <v>0.19085588731457284</v>
      </c>
      <c r="C27" s="144">
        <v>0</v>
      </c>
      <c r="D27" s="144">
        <v>0</v>
      </c>
      <c r="E27" s="144">
        <v>7.000000000000001E-3</v>
      </c>
      <c r="F27" s="144">
        <v>1.4E-2</v>
      </c>
      <c r="G27" s="144">
        <v>0.36000000000000004</v>
      </c>
      <c r="H27" s="144">
        <v>0.38633687586501797</v>
      </c>
      <c r="I27" s="144">
        <v>0.159</v>
      </c>
      <c r="J27" s="144">
        <v>0.95</v>
      </c>
      <c r="K27" s="144">
        <v>0.70609162293552619</v>
      </c>
      <c r="L27" s="144">
        <v>0.72074999077440027</v>
      </c>
      <c r="M27" s="144">
        <v>0.58271960780844279</v>
      </c>
      <c r="N27" s="144">
        <v>0</v>
      </c>
      <c r="O27" s="144">
        <v>3.0003572125656863E-2</v>
      </c>
      <c r="P27" s="144">
        <v>0.31066479830162674</v>
      </c>
      <c r="Q27" s="144">
        <v>6.9492669953974989E-2</v>
      </c>
      <c r="R27" s="144">
        <v>9.697821010368915E-2</v>
      </c>
      <c r="S27" s="144">
        <v>0.17037109703383918</v>
      </c>
      <c r="T27" s="144">
        <v>0.16831217570231305</v>
      </c>
      <c r="U27" s="144">
        <v>5.7534050027758616E-3</v>
      </c>
      <c r="V27" s="144">
        <v>1.4657515887723201E-5</v>
      </c>
      <c r="W27" s="144">
        <v>1.2379771871991921E-2</v>
      </c>
      <c r="X27" s="144">
        <v>1.9999256214804886E-2</v>
      </c>
      <c r="Y27" s="144">
        <v>0</v>
      </c>
      <c r="Z27" s="144">
        <v>0.60382121617637041</v>
      </c>
      <c r="AA27" s="144">
        <v>0</v>
      </c>
      <c r="AB27" s="144">
        <v>0</v>
      </c>
      <c r="AC27" s="144">
        <v>0</v>
      </c>
      <c r="AD27" s="144">
        <v>0.17308332072954624</v>
      </c>
      <c r="AE27" s="144">
        <v>0.21612959880097349</v>
      </c>
      <c r="AF27" s="144">
        <v>4.2008449844872467E-2</v>
      </c>
      <c r="AG27" s="144">
        <v>1.3470425014251873E-2</v>
      </c>
      <c r="AH27" s="144">
        <v>0</v>
      </c>
      <c r="AI27" s="144">
        <v>0</v>
      </c>
      <c r="AJ27" s="144">
        <v>0</v>
      </c>
      <c r="AK27" s="144">
        <v>0.11095418112097009</v>
      </c>
      <c r="AL27" s="144">
        <v>0</v>
      </c>
      <c r="AM27" s="144">
        <v>0</v>
      </c>
      <c r="AN27" s="144">
        <v>0</v>
      </c>
      <c r="AO27" s="144">
        <v>0</v>
      </c>
      <c r="AP27" s="144">
        <v>0</v>
      </c>
      <c r="AQ27" s="144">
        <v>0.36</v>
      </c>
      <c r="AR27" s="144">
        <v>0</v>
      </c>
      <c r="AS27" s="144">
        <v>0</v>
      </c>
      <c r="AT27" s="144">
        <v>0</v>
      </c>
      <c r="AU27" s="144">
        <v>0</v>
      </c>
      <c r="AV27" s="144">
        <v>0</v>
      </c>
      <c r="AW27" s="144">
        <v>0</v>
      </c>
      <c r="AX27" s="144">
        <v>0</v>
      </c>
      <c r="AY27" s="144">
        <v>0</v>
      </c>
      <c r="AZ27" s="144">
        <v>0</v>
      </c>
      <c r="BA27" s="144">
        <v>0</v>
      </c>
      <c r="BB27" s="144">
        <v>0</v>
      </c>
      <c r="BC27" s="144">
        <v>0</v>
      </c>
      <c r="BD27" s="144">
        <v>0</v>
      </c>
      <c r="BE27" s="144">
        <v>0</v>
      </c>
      <c r="BF27" s="144">
        <v>0</v>
      </c>
      <c r="BG27" s="144">
        <v>0</v>
      </c>
      <c r="BH27" s="144">
        <v>0</v>
      </c>
      <c r="BI27" s="144">
        <v>0</v>
      </c>
      <c r="BJ27" s="144">
        <v>0</v>
      </c>
      <c r="BK27" s="144">
        <v>0</v>
      </c>
      <c r="BL27" s="144">
        <v>0</v>
      </c>
      <c r="BM27" s="144">
        <v>0</v>
      </c>
      <c r="BN27" s="144">
        <v>0</v>
      </c>
      <c r="BO27" s="144">
        <v>0</v>
      </c>
      <c r="BP27" s="144">
        <v>0</v>
      </c>
      <c r="BQ27" s="144">
        <v>0</v>
      </c>
      <c r="BR27" s="144">
        <v>0</v>
      </c>
      <c r="BS27" s="144">
        <v>0</v>
      </c>
      <c r="BT27" s="144">
        <v>0</v>
      </c>
      <c r="BU27" s="144">
        <v>0</v>
      </c>
      <c r="BV27" s="144">
        <v>0</v>
      </c>
      <c r="BW27" s="144">
        <v>0</v>
      </c>
      <c r="BX27" s="144">
        <v>0</v>
      </c>
      <c r="BY27" s="144">
        <v>0</v>
      </c>
      <c r="BZ27" s="144">
        <v>0</v>
      </c>
      <c r="CA27" s="144">
        <v>0</v>
      </c>
      <c r="CB27" s="144">
        <v>0</v>
      </c>
      <c r="CC27" s="144">
        <v>0</v>
      </c>
      <c r="CD27" s="144">
        <v>0</v>
      </c>
      <c r="CE27" s="144">
        <v>0</v>
      </c>
      <c r="CF27" s="144">
        <v>0</v>
      </c>
      <c r="CG27" s="144">
        <v>0</v>
      </c>
      <c r="CH27" s="144">
        <v>0</v>
      </c>
      <c r="CI27" s="144">
        <v>0</v>
      </c>
      <c r="CJ27" s="144">
        <v>0</v>
      </c>
      <c r="CK27" s="144">
        <v>0</v>
      </c>
      <c r="CL27" s="144">
        <v>0</v>
      </c>
      <c r="CM27" s="144">
        <v>0</v>
      </c>
      <c r="CN27" s="144">
        <v>0</v>
      </c>
      <c r="CO27" s="144">
        <v>0</v>
      </c>
      <c r="CP27" s="144">
        <v>0</v>
      </c>
      <c r="CQ27" s="144">
        <v>0</v>
      </c>
      <c r="CR27" s="144">
        <v>0</v>
      </c>
      <c r="CS27" s="144">
        <v>0</v>
      </c>
      <c r="CT27" s="144">
        <v>0</v>
      </c>
      <c r="CU27" s="144">
        <v>0</v>
      </c>
      <c r="CV27" s="144">
        <v>0</v>
      </c>
    </row>
    <row r="28" spans="1:100" customFormat="1" x14ac:dyDescent="0.15">
      <c r="A28" s="180" t="s">
        <v>218</v>
      </c>
      <c r="B28" s="144">
        <v>0</v>
      </c>
      <c r="C28" s="144">
        <v>0</v>
      </c>
      <c r="D28" s="144">
        <v>0</v>
      </c>
      <c r="E28" s="144">
        <v>0</v>
      </c>
      <c r="F28" s="144">
        <v>0</v>
      </c>
      <c r="G28" s="144">
        <v>0</v>
      </c>
      <c r="H28" s="144">
        <v>0</v>
      </c>
      <c r="I28" s="144">
        <v>0</v>
      </c>
      <c r="J28" s="144">
        <v>0</v>
      </c>
      <c r="K28" s="144">
        <v>0</v>
      </c>
      <c r="L28" s="144">
        <v>0</v>
      </c>
      <c r="M28" s="144">
        <v>0</v>
      </c>
      <c r="N28" s="144">
        <v>0</v>
      </c>
      <c r="O28" s="144">
        <v>0</v>
      </c>
      <c r="P28" s="144">
        <v>3.1808677426105156E-3</v>
      </c>
      <c r="Q28" s="144">
        <v>0</v>
      </c>
      <c r="R28" s="144">
        <v>1.0095624010794245E-3</v>
      </c>
      <c r="S28" s="144">
        <v>0</v>
      </c>
      <c r="T28" s="144">
        <v>0</v>
      </c>
      <c r="U28" s="144">
        <v>0</v>
      </c>
      <c r="V28" s="144">
        <v>0</v>
      </c>
      <c r="W28" s="144">
        <v>0</v>
      </c>
      <c r="X28" s="144">
        <v>0</v>
      </c>
      <c r="Y28" s="144">
        <v>0</v>
      </c>
      <c r="Z28" s="144">
        <v>0</v>
      </c>
      <c r="AA28" s="144">
        <v>0</v>
      </c>
      <c r="AB28" s="144">
        <v>0</v>
      </c>
      <c r="AC28" s="144">
        <v>0</v>
      </c>
      <c r="AD28" s="144">
        <v>0</v>
      </c>
      <c r="AE28" s="144">
        <v>3.1475184825384486E-3</v>
      </c>
      <c r="AF28" s="144">
        <v>0</v>
      </c>
      <c r="AG28" s="144">
        <v>0</v>
      </c>
      <c r="AH28" s="144">
        <v>0</v>
      </c>
      <c r="AI28" s="144">
        <v>0</v>
      </c>
      <c r="AJ28" s="144">
        <v>0</v>
      </c>
      <c r="AK28" s="144">
        <v>0</v>
      </c>
      <c r="AL28" s="144">
        <v>0</v>
      </c>
      <c r="AM28" s="144">
        <v>0</v>
      </c>
      <c r="AN28" s="144">
        <v>0</v>
      </c>
      <c r="AO28" s="144">
        <v>0</v>
      </c>
      <c r="AP28" s="144">
        <v>7.0000000000000001E-3</v>
      </c>
      <c r="AQ28" s="144">
        <v>0</v>
      </c>
      <c r="AR28" s="144">
        <v>0</v>
      </c>
      <c r="AS28" s="144">
        <v>0</v>
      </c>
      <c r="AT28" s="144">
        <v>0</v>
      </c>
      <c r="AU28" s="144">
        <v>0</v>
      </c>
      <c r="AV28" s="144">
        <v>0</v>
      </c>
      <c r="AW28" s="144">
        <v>0</v>
      </c>
      <c r="AX28" s="144">
        <v>0</v>
      </c>
      <c r="AY28" s="144">
        <v>0</v>
      </c>
      <c r="AZ28" s="144">
        <v>0</v>
      </c>
      <c r="BA28" s="144">
        <v>0</v>
      </c>
      <c r="BB28" s="144">
        <v>0</v>
      </c>
      <c r="BC28" s="144">
        <v>0</v>
      </c>
      <c r="BD28" s="144">
        <v>0</v>
      </c>
      <c r="BE28" s="144">
        <v>0</v>
      </c>
      <c r="BF28" s="144">
        <v>0</v>
      </c>
      <c r="BG28" s="144">
        <v>0</v>
      </c>
      <c r="BH28" s="144">
        <v>0</v>
      </c>
      <c r="BI28" s="144">
        <v>0</v>
      </c>
      <c r="BJ28" s="144">
        <v>0</v>
      </c>
      <c r="BK28" s="144">
        <v>0</v>
      </c>
      <c r="BL28" s="144">
        <v>0</v>
      </c>
      <c r="BM28" s="144">
        <v>0</v>
      </c>
      <c r="BN28" s="144">
        <v>0</v>
      </c>
      <c r="BO28" s="144">
        <v>0</v>
      </c>
      <c r="BP28" s="144">
        <v>0</v>
      </c>
      <c r="BQ28" s="144">
        <v>0</v>
      </c>
      <c r="BR28" s="144">
        <v>0</v>
      </c>
      <c r="BS28" s="144">
        <v>0</v>
      </c>
      <c r="BT28" s="144">
        <v>0</v>
      </c>
      <c r="BU28" s="144">
        <v>0</v>
      </c>
      <c r="BV28" s="144">
        <v>0</v>
      </c>
      <c r="BW28" s="144">
        <v>0</v>
      </c>
      <c r="BX28" s="144">
        <v>0</v>
      </c>
      <c r="BY28" s="144">
        <v>0</v>
      </c>
      <c r="BZ28" s="144">
        <v>0</v>
      </c>
      <c r="CA28" s="144">
        <v>0</v>
      </c>
      <c r="CB28" s="144">
        <v>0</v>
      </c>
      <c r="CC28" s="144">
        <v>0</v>
      </c>
      <c r="CD28" s="144">
        <v>0</v>
      </c>
      <c r="CE28" s="144">
        <v>0</v>
      </c>
      <c r="CF28" s="144">
        <v>0</v>
      </c>
      <c r="CG28" s="144">
        <v>0</v>
      </c>
      <c r="CH28" s="144">
        <v>0</v>
      </c>
      <c r="CI28" s="144">
        <v>0</v>
      </c>
      <c r="CJ28" s="144">
        <v>0</v>
      </c>
      <c r="CK28" s="144">
        <v>0</v>
      </c>
      <c r="CL28" s="144">
        <v>0</v>
      </c>
      <c r="CM28" s="144">
        <v>0</v>
      </c>
      <c r="CN28" s="144">
        <v>0</v>
      </c>
      <c r="CO28" s="144">
        <v>0</v>
      </c>
      <c r="CP28" s="144">
        <v>0</v>
      </c>
      <c r="CQ28" s="144">
        <v>0</v>
      </c>
      <c r="CR28" s="144">
        <v>0</v>
      </c>
      <c r="CS28" s="144">
        <v>0</v>
      </c>
      <c r="CT28" s="144">
        <v>0</v>
      </c>
      <c r="CU28" s="144">
        <v>0</v>
      </c>
      <c r="CV28" s="144">
        <v>0</v>
      </c>
    </row>
    <row r="29" spans="1:100" customFormat="1" x14ac:dyDescent="0.15">
      <c r="A29" s="180" t="s">
        <v>219</v>
      </c>
      <c r="B29" s="144">
        <v>0</v>
      </c>
      <c r="C29" s="144">
        <v>0</v>
      </c>
      <c r="D29" s="144">
        <v>0</v>
      </c>
      <c r="E29" s="144">
        <v>0</v>
      </c>
      <c r="F29" s="144">
        <v>0</v>
      </c>
      <c r="G29" s="144">
        <v>0</v>
      </c>
      <c r="H29" s="144">
        <v>0</v>
      </c>
      <c r="I29" s="144">
        <v>0</v>
      </c>
      <c r="J29" s="144">
        <v>0</v>
      </c>
      <c r="K29" s="144">
        <v>0</v>
      </c>
      <c r="L29" s="144">
        <v>0</v>
      </c>
      <c r="M29" s="144">
        <v>0</v>
      </c>
      <c r="N29" s="144">
        <v>0</v>
      </c>
      <c r="O29" s="144">
        <v>0</v>
      </c>
      <c r="P29" s="144">
        <v>0</v>
      </c>
      <c r="Q29" s="144">
        <v>0</v>
      </c>
      <c r="R29" s="144">
        <v>0</v>
      </c>
      <c r="S29" s="144">
        <v>0</v>
      </c>
      <c r="T29" s="144">
        <v>0</v>
      </c>
      <c r="U29" s="144">
        <v>0</v>
      </c>
      <c r="V29" s="144">
        <v>0</v>
      </c>
      <c r="W29" s="144">
        <v>1.0009010896505826E-4</v>
      </c>
      <c r="X29" s="144">
        <v>0</v>
      </c>
      <c r="Y29" s="144">
        <v>0</v>
      </c>
      <c r="Z29" s="144">
        <v>0</v>
      </c>
      <c r="AA29" s="144">
        <v>0</v>
      </c>
      <c r="AB29" s="144">
        <v>0</v>
      </c>
      <c r="AC29" s="144">
        <v>0</v>
      </c>
      <c r="AD29" s="144">
        <v>0</v>
      </c>
      <c r="AE29" s="144">
        <v>0</v>
      </c>
      <c r="AF29" s="144">
        <v>0</v>
      </c>
      <c r="AG29" s="144">
        <v>0</v>
      </c>
      <c r="AH29" s="144">
        <v>0</v>
      </c>
      <c r="AI29" s="144">
        <v>0</v>
      </c>
      <c r="AJ29" s="144">
        <v>0</v>
      </c>
      <c r="AK29" s="144">
        <v>0</v>
      </c>
      <c r="AL29" s="144">
        <v>0</v>
      </c>
      <c r="AM29" s="144">
        <v>0</v>
      </c>
      <c r="AN29" s="144">
        <v>0</v>
      </c>
      <c r="AO29" s="144">
        <v>0</v>
      </c>
      <c r="AP29" s="144">
        <v>0</v>
      </c>
      <c r="AQ29" s="144">
        <v>0</v>
      </c>
      <c r="AR29" s="144">
        <v>0</v>
      </c>
      <c r="AS29" s="144">
        <v>0</v>
      </c>
      <c r="AT29" s="144">
        <v>0</v>
      </c>
      <c r="AU29" s="144">
        <v>0</v>
      </c>
      <c r="AV29" s="144">
        <v>0</v>
      </c>
      <c r="AW29" s="144">
        <v>0</v>
      </c>
      <c r="AX29" s="144">
        <v>0</v>
      </c>
      <c r="AY29" s="144">
        <v>0</v>
      </c>
      <c r="AZ29" s="144">
        <v>0</v>
      </c>
      <c r="BA29" s="144">
        <v>0</v>
      </c>
      <c r="BB29" s="144">
        <v>0</v>
      </c>
      <c r="BC29" s="144">
        <v>0</v>
      </c>
      <c r="BD29" s="144">
        <v>0</v>
      </c>
      <c r="BE29" s="144">
        <v>0</v>
      </c>
      <c r="BF29" s="144">
        <v>0</v>
      </c>
      <c r="BG29" s="144">
        <v>0</v>
      </c>
      <c r="BH29" s="144">
        <v>0</v>
      </c>
      <c r="BI29" s="144">
        <v>0</v>
      </c>
      <c r="BJ29" s="144">
        <v>0</v>
      </c>
      <c r="BK29" s="144">
        <v>0</v>
      </c>
      <c r="BL29" s="144">
        <v>0</v>
      </c>
      <c r="BM29" s="144">
        <v>0</v>
      </c>
      <c r="BN29" s="144">
        <v>0</v>
      </c>
      <c r="BO29" s="144">
        <v>0</v>
      </c>
      <c r="BP29" s="144">
        <v>0</v>
      </c>
      <c r="BQ29" s="144">
        <v>0</v>
      </c>
      <c r="BR29" s="144">
        <v>0</v>
      </c>
      <c r="BS29" s="144">
        <v>0</v>
      </c>
      <c r="BT29" s="144">
        <v>0</v>
      </c>
      <c r="BU29" s="144">
        <v>0</v>
      </c>
      <c r="BV29" s="144">
        <v>0</v>
      </c>
      <c r="BW29" s="144">
        <v>0</v>
      </c>
      <c r="BX29" s="144">
        <v>0</v>
      </c>
      <c r="BY29" s="144">
        <v>0</v>
      </c>
      <c r="BZ29" s="144">
        <v>0</v>
      </c>
      <c r="CA29" s="144">
        <v>0</v>
      </c>
      <c r="CB29" s="144">
        <v>0</v>
      </c>
      <c r="CC29" s="144">
        <v>0</v>
      </c>
      <c r="CD29" s="144">
        <v>0</v>
      </c>
      <c r="CE29" s="144">
        <v>0</v>
      </c>
      <c r="CF29" s="144">
        <v>0</v>
      </c>
      <c r="CG29" s="144">
        <v>0</v>
      </c>
      <c r="CH29" s="144">
        <v>0</v>
      </c>
      <c r="CI29" s="144">
        <v>0</v>
      </c>
      <c r="CJ29" s="144">
        <v>0</v>
      </c>
      <c r="CK29" s="144">
        <v>0</v>
      </c>
      <c r="CL29" s="144">
        <v>0</v>
      </c>
      <c r="CM29" s="144">
        <v>0</v>
      </c>
      <c r="CN29" s="144">
        <v>0</v>
      </c>
      <c r="CO29" s="144">
        <v>0</v>
      </c>
      <c r="CP29" s="144">
        <v>0</v>
      </c>
      <c r="CQ29" s="144">
        <v>0</v>
      </c>
      <c r="CR29" s="144">
        <v>0</v>
      </c>
      <c r="CS29" s="144">
        <v>0</v>
      </c>
      <c r="CT29" s="144">
        <v>0</v>
      </c>
      <c r="CU29" s="144">
        <v>0</v>
      </c>
      <c r="CV29" s="144">
        <v>0</v>
      </c>
    </row>
    <row r="30" spans="1:100" customFormat="1" x14ac:dyDescent="0.15">
      <c r="A30" s="180" t="s">
        <v>220</v>
      </c>
      <c r="B30" s="144">
        <v>0</v>
      </c>
      <c r="C30" s="144">
        <v>0</v>
      </c>
      <c r="D30" s="144">
        <v>0</v>
      </c>
      <c r="E30" s="144">
        <v>0</v>
      </c>
      <c r="F30" s="144">
        <v>0</v>
      </c>
      <c r="G30" s="144">
        <v>0</v>
      </c>
      <c r="H30" s="144">
        <v>0</v>
      </c>
      <c r="I30" s="144">
        <v>0</v>
      </c>
      <c r="J30" s="144">
        <v>0</v>
      </c>
      <c r="K30" s="144">
        <v>0</v>
      </c>
      <c r="L30" s="144">
        <v>0</v>
      </c>
      <c r="M30" s="144">
        <v>0</v>
      </c>
      <c r="N30" s="144">
        <v>0</v>
      </c>
      <c r="O30" s="144">
        <v>0</v>
      </c>
      <c r="P30" s="144">
        <v>5.3014466210175235E-3</v>
      </c>
      <c r="Q30" s="144">
        <v>0</v>
      </c>
      <c r="R30" s="144">
        <v>0</v>
      </c>
      <c r="S30" s="144">
        <v>0</v>
      </c>
      <c r="T30" s="144">
        <v>0</v>
      </c>
      <c r="U30" s="144">
        <v>0</v>
      </c>
      <c r="V30" s="144">
        <v>0</v>
      </c>
      <c r="W30" s="144">
        <v>0</v>
      </c>
      <c r="X30" s="144">
        <v>0</v>
      </c>
      <c r="Y30" s="144">
        <v>0</v>
      </c>
      <c r="Z30" s="144">
        <v>0</v>
      </c>
      <c r="AA30" s="144">
        <v>0</v>
      </c>
      <c r="AB30" s="144">
        <v>0</v>
      </c>
      <c r="AC30" s="144">
        <v>0</v>
      </c>
      <c r="AD30" s="144">
        <v>0</v>
      </c>
      <c r="AE30" s="144">
        <v>3.1475184825384486E-3</v>
      </c>
      <c r="AF30" s="144">
        <v>0</v>
      </c>
      <c r="AG30" s="144">
        <v>0</v>
      </c>
      <c r="AH30" s="144">
        <v>0</v>
      </c>
      <c r="AI30" s="144">
        <v>0</v>
      </c>
      <c r="AJ30" s="144">
        <v>0</v>
      </c>
      <c r="AK30" s="144">
        <v>0</v>
      </c>
      <c r="AL30" s="144">
        <v>0</v>
      </c>
      <c r="AM30" s="144">
        <v>0</v>
      </c>
      <c r="AN30" s="144">
        <v>0</v>
      </c>
      <c r="AO30" s="144">
        <v>0</v>
      </c>
      <c r="AP30" s="144">
        <v>0</v>
      </c>
      <c r="AQ30" s="144">
        <v>0</v>
      </c>
      <c r="AR30" s="144">
        <v>0</v>
      </c>
      <c r="AS30" s="144">
        <v>0</v>
      </c>
      <c r="AT30" s="144">
        <v>0</v>
      </c>
      <c r="AU30" s="144">
        <v>0</v>
      </c>
      <c r="AV30" s="144">
        <v>0</v>
      </c>
      <c r="AW30" s="144">
        <v>0</v>
      </c>
      <c r="AX30" s="144">
        <v>0</v>
      </c>
      <c r="AY30" s="144">
        <v>0</v>
      </c>
      <c r="AZ30" s="144">
        <v>0</v>
      </c>
      <c r="BA30" s="144">
        <v>0</v>
      </c>
      <c r="BB30" s="144">
        <v>0</v>
      </c>
      <c r="BC30" s="144">
        <v>0</v>
      </c>
      <c r="BD30" s="144">
        <v>0</v>
      </c>
      <c r="BE30" s="144">
        <v>0</v>
      </c>
      <c r="BF30" s="144">
        <v>0</v>
      </c>
      <c r="BG30" s="144">
        <v>0</v>
      </c>
      <c r="BH30" s="144">
        <v>0</v>
      </c>
      <c r="BI30" s="144">
        <v>0</v>
      </c>
      <c r="BJ30" s="144">
        <v>0</v>
      </c>
      <c r="BK30" s="144">
        <v>0</v>
      </c>
      <c r="BL30" s="144">
        <v>0</v>
      </c>
      <c r="BM30" s="144">
        <v>0</v>
      </c>
      <c r="BN30" s="144">
        <v>0</v>
      </c>
      <c r="BO30" s="144">
        <v>0</v>
      </c>
      <c r="BP30" s="144">
        <v>0</v>
      </c>
      <c r="BQ30" s="144">
        <v>0</v>
      </c>
      <c r="BR30" s="144">
        <v>0</v>
      </c>
      <c r="BS30" s="144">
        <v>0</v>
      </c>
      <c r="BT30" s="144">
        <v>0</v>
      </c>
      <c r="BU30" s="144">
        <v>0</v>
      </c>
      <c r="BV30" s="144">
        <v>0</v>
      </c>
      <c r="BW30" s="144">
        <v>0</v>
      </c>
      <c r="BX30" s="144">
        <v>0</v>
      </c>
      <c r="BY30" s="144">
        <v>0</v>
      </c>
      <c r="BZ30" s="144">
        <v>0</v>
      </c>
      <c r="CA30" s="144">
        <v>0</v>
      </c>
      <c r="CB30" s="144">
        <v>0</v>
      </c>
      <c r="CC30" s="144">
        <v>0</v>
      </c>
      <c r="CD30" s="144">
        <v>0</v>
      </c>
      <c r="CE30" s="144">
        <v>0</v>
      </c>
      <c r="CF30" s="144">
        <v>0</v>
      </c>
      <c r="CG30" s="144">
        <v>0</v>
      </c>
      <c r="CH30" s="144">
        <v>0</v>
      </c>
      <c r="CI30" s="144">
        <v>0</v>
      </c>
      <c r="CJ30" s="144">
        <v>0</v>
      </c>
      <c r="CK30" s="144">
        <v>0</v>
      </c>
      <c r="CL30" s="144">
        <v>0</v>
      </c>
      <c r="CM30" s="144">
        <v>0</v>
      </c>
      <c r="CN30" s="144">
        <v>0</v>
      </c>
      <c r="CO30" s="144">
        <v>0</v>
      </c>
      <c r="CP30" s="144">
        <v>0</v>
      </c>
      <c r="CQ30" s="144">
        <v>0</v>
      </c>
      <c r="CR30" s="144">
        <v>0</v>
      </c>
      <c r="CS30" s="144">
        <v>0</v>
      </c>
      <c r="CT30" s="144">
        <v>0</v>
      </c>
      <c r="CU30" s="144">
        <v>0</v>
      </c>
      <c r="CV30" s="144">
        <v>0</v>
      </c>
    </row>
    <row r="31" spans="1:100" customFormat="1" x14ac:dyDescent="0.15">
      <c r="A31" s="180" t="s">
        <v>221</v>
      </c>
      <c r="B31" s="144">
        <v>0</v>
      </c>
      <c r="C31" s="144">
        <v>0</v>
      </c>
      <c r="D31" s="144">
        <v>7.6500000000000026E-2</v>
      </c>
      <c r="E31" s="144">
        <v>0</v>
      </c>
      <c r="F31" s="144">
        <v>0</v>
      </c>
      <c r="G31" s="144">
        <v>0</v>
      </c>
      <c r="H31" s="144">
        <v>0</v>
      </c>
      <c r="I31" s="144">
        <v>0</v>
      </c>
      <c r="J31" s="144">
        <v>0</v>
      </c>
      <c r="K31" s="144">
        <v>0</v>
      </c>
      <c r="L31" s="144">
        <v>5.4403749303632027E-3</v>
      </c>
      <c r="M31" s="144">
        <v>0</v>
      </c>
      <c r="N31" s="144">
        <v>0</v>
      </c>
      <c r="O31" s="144">
        <v>0</v>
      </c>
      <c r="P31" s="144">
        <v>7.0322514115553879E-4</v>
      </c>
      <c r="Q31" s="144">
        <v>8.367449994458237E-3</v>
      </c>
      <c r="R31" s="144">
        <v>0</v>
      </c>
      <c r="S31" s="144">
        <v>0</v>
      </c>
      <c r="T31" s="144">
        <v>0</v>
      </c>
      <c r="U31" s="144">
        <v>0</v>
      </c>
      <c r="V31" s="144">
        <v>0</v>
      </c>
      <c r="W31" s="144">
        <v>0</v>
      </c>
      <c r="X31" s="144">
        <v>0</v>
      </c>
      <c r="Y31" s="144">
        <v>0</v>
      </c>
      <c r="Z31" s="144">
        <v>0</v>
      </c>
      <c r="AA31" s="144">
        <v>0</v>
      </c>
      <c r="AB31" s="144">
        <v>0</v>
      </c>
      <c r="AC31" s="144">
        <v>0</v>
      </c>
      <c r="AD31" s="144">
        <v>1.0073308442458998E-3</v>
      </c>
      <c r="AE31" s="144">
        <v>0</v>
      </c>
      <c r="AF31" s="144">
        <v>0</v>
      </c>
      <c r="AG31" s="144">
        <v>0</v>
      </c>
      <c r="AH31" s="144">
        <v>0</v>
      </c>
      <c r="AI31" s="144">
        <v>0</v>
      </c>
      <c r="AJ31" s="144">
        <v>0</v>
      </c>
      <c r="AK31" s="144">
        <v>0</v>
      </c>
      <c r="AL31" s="144">
        <v>0</v>
      </c>
      <c r="AM31" s="144">
        <v>0</v>
      </c>
      <c r="AN31" s="144">
        <v>0</v>
      </c>
      <c r="AO31" s="144">
        <v>0</v>
      </c>
      <c r="AP31" s="144">
        <v>0</v>
      </c>
      <c r="AQ31" s="144">
        <v>0</v>
      </c>
      <c r="AR31" s="144">
        <v>0</v>
      </c>
      <c r="AS31" s="144">
        <v>0</v>
      </c>
      <c r="AT31" s="144">
        <v>0</v>
      </c>
      <c r="AU31" s="144">
        <v>0</v>
      </c>
      <c r="AV31" s="144">
        <v>0</v>
      </c>
      <c r="AW31" s="144">
        <v>0</v>
      </c>
      <c r="AX31" s="144">
        <v>0</v>
      </c>
      <c r="AY31" s="144">
        <v>0</v>
      </c>
      <c r="AZ31" s="144">
        <v>0</v>
      </c>
      <c r="BA31" s="144">
        <v>0</v>
      </c>
      <c r="BB31" s="144">
        <v>0</v>
      </c>
      <c r="BC31" s="144">
        <v>0</v>
      </c>
      <c r="BD31" s="144">
        <v>0</v>
      </c>
      <c r="BE31" s="144">
        <v>0</v>
      </c>
      <c r="BF31" s="144">
        <v>0</v>
      </c>
      <c r="BG31" s="144">
        <v>0</v>
      </c>
      <c r="BH31" s="144">
        <v>0</v>
      </c>
      <c r="BI31" s="144">
        <v>0</v>
      </c>
      <c r="BJ31" s="144">
        <v>0</v>
      </c>
      <c r="BK31" s="144">
        <v>0</v>
      </c>
      <c r="BL31" s="144">
        <v>0</v>
      </c>
      <c r="BM31" s="144">
        <v>0</v>
      </c>
      <c r="BN31" s="144">
        <v>0</v>
      </c>
      <c r="BO31" s="144">
        <v>0</v>
      </c>
      <c r="BP31" s="144">
        <v>0</v>
      </c>
      <c r="BQ31" s="144">
        <v>0</v>
      </c>
      <c r="BR31" s="144">
        <v>0</v>
      </c>
      <c r="BS31" s="144">
        <v>0</v>
      </c>
      <c r="BT31" s="144">
        <v>0</v>
      </c>
      <c r="BU31" s="144">
        <v>0</v>
      </c>
      <c r="BV31" s="144">
        <v>0</v>
      </c>
      <c r="BW31" s="144">
        <v>0</v>
      </c>
      <c r="BX31" s="144">
        <v>0</v>
      </c>
      <c r="BY31" s="144">
        <v>0</v>
      </c>
      <c r="BZ31" s="144">
        <v>0</v>
      </c>
      <c r="CA31" s="144">
        <v>0</v>
      </c>
      <c r="CB31" s="144">
        <v>0</v>
      </c>
      <c r="CC31" s="144">
        <v>0</v>
      </c>
      <c r="CD31" s="144">
        <v>0</v>
      </c>
      <c r="CE31" s="144">
        <v>0</v>
      </c>
      <c r="CF31" s="144">
        <v>0</v>
      </c>
      <c r="CG31" s="144">
        <v>0</v>
      </c>
      <c r="CH31" s="144">
        <v>0</v>
      </c>
      <c r="CI31" s="144">
        <v>0</v>
      </c>
      <c r="CJ31" s="144">
        <v>0</v>
      </c>
      <c r="CK31" s="144">
        <v>0</v>
      </c>
      <c r="CL31" s="144">
        <v>0</v>
      </c>
      <c r="CM31" s="144">
        <v>0</v>
      </c>
      <c r="CN31" s="144">
        <v>0</v>
      </c>
      <c r="CO31" s="144">
        <v>0</v>
      </c>
      <c r="CP31" s="144">
        <v>0</v>
      </c>
      <c r="CQ31" s="144">
        <v>0</v>
      </c>
      <c r="CR31" s="144">
        <v>0</v>
      </c>
      <c r="CS31" s="144">
        <v>0</v>
      </c>
      <c r="CT31" s="144">
        <v>0</v>
      </c>
      <c r="CU31" s="144">
        <v>0</v>
      </c>
      <c r="CV31" s="144">
        <v>0</v>
      </c>
    </row>
    <row r="32" spans="1:100" customFormat="1" x14ac:dyDescent="0.15">
      <c r="A32" s="180" t="s">
        <v>222</v>
      </c>
      <c r="B32" s="144">
        <v>0</v>
      </c>
      <c r="C32" s="144">
        <v>0</v>
      </c>
      <c r="D32" s="144">
        <v>7.6500000000000026E-2</v>
      </c>
      <c r="E32" s="144">
        <v>0</v>
      </c>
      <c r="F32" s="144">
        <v>0</v>
      </c>
      <c r="G32" s="144">
        <v>0</v>
      </c>
      <c r="H32" s="144">
        <v>0</v>
      </c>
      <c r="I32" s="144">
        <v>0</v>
      </c>
      <c r="J32" s="144">
        <v>0</v>
      </c>
      <c r="K32" s="144">
        <v>0</v>
      </c>
      <c r="L32" s="144">
        <v>4.1652809466844049E-3</v>
      </c>
      <c r="M32" s="144">
        <v>0</v>
      </c>
      <c r="N32" s="144">
        <v>0</v>
      </c>
      <c r="O32" s="144">
        <v>0</v>
      </c>
      <c r="P32" s="144">
        <v>2.2036523879528537E-4</v>
      </c>
      <c r="Q32" s="144">
        <v>1.1883382692129633E-2</v>
      </c>
      <c r="R32" s="144">
        <v>2.1153803922617658E-2</v>
      </c>
      <c r="S32" s="144">
        <v>0</v>
      </c>
      <c r="T32" s="144">
        <v>2.5969739799773296E-3</v>
      </c>
      <c r="U32" s="144">
        <v>1.0052184804849906E-3</v>
      </c>
      <c r="V32" s="144">
        <v>0</v>
      </c>
      <c r="W32" s="144">
        <v>0</v>
      </c>
      <c r="X32" s="144">
        <v>9.8892419084246311E-4</v>
      </c>
      <c r="Y32" s="144">
        <v>0</v>
      </c>
      <c r="Z32" s="144">
        <v>1.3098553150910242E-2</v>
      </c>
      <c r="AA32" s="144">
        <v>0</v>
      </c>
      <c r="AB32" s="144">
        <v>0</v>
      </c>
      <c r="AC32" s="144">
        <v>0</v>
      </c>
      <c r="AD32" s="144">
        <v>3.2453123636789927E-2</v>
      </c>
      <c r="AE32" s="144">
        <v>2.2217299876744639E-3</v>
      </c>
      <c r="AF32" s="144">
        <v>0</v>
      </c>
      <c r="AG32" s="144">
        <v>0</v>
      </c>
      <c r="AH32" s="144">
        <v>0</v>
      </c>
      <c r="AI32" s="144">
        <v>0</v>
      </c>
      <c r="AJ32" s="144">
        <v>0</v>
      </c>
      <c r="AK32" s="144">
        <v>0</v>
      </c>
      <c r="AL32" s="144">
        <v>0</v>
      </c>
      <c r="AM32" s="144">
        <v>0</v>
      </c>
      <c r="AN32" s="144">
        <v>0</v>
      </c>
      <c r="AO32" s="144">
        <v>0</v>
      </c>
      <c r="AP32" s="144">
        <v>0</v>
      </c>
      <c r="AQ32" s="144">
        <v>0</v>
      </c>
      <c r="AR32" s="144">
        <v>0</v>
      </c>
      <c r="AS32" s="144">
        <v>0</v>
      </c>
      <c r="AT32" s="144">
        <v>0</v>
      </c>
      <c r="AU32" s="144">
        <v>0</v>
      </c>
      <c r="AV32" s="144">
        <v>0</v>
      </c>
      <c r="AW32" s="144">
        <v>0</v>
      </c>
      <c r="AX32" s="144">
        <v>0</v>
      </c>
      <c r="AY32" s="144">
        <v>0</v>
      </c>
      <c r="AZ32" s="144">
        <v>0</v>
      </c>
      <c r="BA32" s="144">
        <v>0</v>
      </c>
      <c r="BB32" s="144">
        <v>0</v>
      </c>
      <c r="BC32" s="144">
        <v>0</v>
      </c>
      <c r="BD32" s="144">
        <v>0</v>
      </c>
      <c r="BE32" s="144">
        <v>0</v>
      </c>
      <c r="BF32" s="144">
        <v>0</v>
      </c>
      <c r="BG32" s="144">
        <v>0</v>
      </c>
      <c r="BH32" s="144">
        <v>0</v>
      </c>
      <c r="BI32" s="144">
        <v>0</v>
      </c>
      <c r="BJ32" s="144">
        <v>0</v>
      </c>
      <c r="BK32" s="144">
        <v>0</v>
      </c>
      <c r="BL32" s="144">
        <v>0</v>
      </c>
      <c r="BM32" s="144">
        <v>0</v>
      </c>
      <c r="BN32" s="144">
        <v>0</v>
      </c>
      <c r="BO32" s="144">
        <v>0</v>
      </c>
      <c r="BP32" s="144">
        <v>0</v>
      </c>
      <c r="BQ32" s="144">
        <v>0</v>
      </c>
      <c r="BR32" s="144">
        <v>0</v>
      </c>
      <c r="BS32" s="144">
        <v>0</v>
      </c>
      <c r="BT32" s="144">
        <v>0</v>
      </c>
      <c r="BU32" s="144">
        <v>0</v>
      </c>
      <c r="BV32" s="144">
        <v>0</v>
      </c>
      <c r="BW32" s="144">
        <v>0</v>
      </c>
      <c r="BX32" s="144">
        <v>0</v>
      </c>
      <c r="BY32" s="144">
        <v>0</v>
      </c>
      <c r="BZ32" s="144">
        <v>0</v>
      </c>
      <c r="CA32" s="144">
        <v>0</v>
      </c>
      <c r="CB32" s="144">
        <v>0</v>
      </c>
      <c r="CC32" s="144">
        <v>0</v>
      </c>
      <c r="CD32" s="144">
        <v>0</v>
      </c>
      <c r="CE32" s="144">
        <v>0</v>
      </c>
      <c r="CF32" s="144">
        <v>0</v>
      </c>
      <c r="CG32" s="144">
        <v>0</v>
      </c>
      <c r="CH32" s="144">
        <v>0</v>
      </c>
      <c r="CI32" s="144">
        <v>0</v>
      </c>
      <c r="CJ32" s="144">
        <v>0</v>
      </c>
      <c r="CK32" s="144">
        <v>0</v>
      </c>
      <c r="CL32" s="144">
        <v>0</v>
      </c>
      <c r="CM32" s="144">
        <v>0</v>
      </c>
      <c r="CN32" s="144">
        <v>0</v>
      </c>
      <c r="CO32" s="144">
        <v>0</v>
      </c>
      <c r="CP32" s="144">
        <v>0</v>
      </c>
      <c r="CQ32" s="144">
        <v>0</v>
      </c>
      <c r="CR32" s="144">
        <v>0</v>
      </c>
      <c r="CS32" s="144">
        <v>0</v>
      </c>
      <c r="CT32" s="144">
        <v>0</v>
      </c>
      <c r="CU32" s="144">
        <v>0</v>
      </c>
      <c r="CV32" s="144">
        <v>0</v>
      </c>
    </row>
    <row r="33" spans="1:100" customFormat="1" x14ac:dyDescent="0.15">
      <c r="A33" s="180" t="s">
        <v>223</v>
      </c>
      <c r="B33" s="144">
        <v>0</v>
      </c>
      <c r="C33" s="144">
        <v>0</v>
      </c>
      <c r="D33" s="144">
        <v>7.6500000000000026E-2</v>
      </c>
      <c r="E33" s="144">
        <v>0</v>
      </c>
      <c r="F33" s="144">
        <v>0</v>
      </c>
      <c r="G33" s="144">
        <v>0</v>
      </c>
      <c r="H33" s="144">
        <v>0</v>
      </c>
      <c r="I33" s="144">
        <v>0</v>
      </c>
      <c r="J33" s="144">
        <v>0</v>
      </c>
      <c r="K33" s="144">
        <v>0</v>
      </c>
      <c r="L33" s="144">
        <v>0</v>
      </c>
      <c r="M33" s="144">
        <v>0</v>
      </c>
      <c r="N33" s="144">
        <v>0</v>
      </c>
      <c r="O33" s="144">
        <v>0</v>
      </c>
      <c r="P33" s="144">
        <v>0</v>
      </c>
      <c r="Q33" s="144">
        <v>1.2258369191881279E-3</v>
      </c>
      <c r="R33" s="144">
        <v>0</v>
      </c>
      <c r="S33" s="144">
        <v>0</v>
      </c>
      <c r="T33" s="144">
        <v>9.2284269288488256E-3</v>
      </c>
      <c r="U33" s="144">
        <v>0</v>
      </c>
      <c r="V33" s="144">
        <v>0</v>
      </c>
      <c r="W33" s="144">
        <v>0</v>
      </c>
      <c r="X33" s="144">
        <v>0</v>
      </c>
      <c r="Y33" s="144">
        <v>0</v>
      </c>
      <c r="Z33" s="144">
        <v>0</v>
      </c>
      <c r="AA33" s="144">
        <v>0</v>
      </c>
      <c r="AB33" s="144">
        <v>0</v>
      </c>
      <c r="AC33" s="144">
        <v>0</v>
      </c>
      <c r="AD33" s="144">
        <v>0</v>
      </c>
      <c r="AE33" s="144">
        <v>2.9700822635228151E-4</v>
      </c>
      <c r="AF33" s="144">
        <v>0</v>
      </c>
      <c r="AG33" s="144">
        <v>0</v>
      </c>
      <c r="AH33" s="144">
        <v>0</v>
      </c>
      <c r="AI33" s="144">
        <v>0</v>
      </c>
      <c r="AJ33" s="144">
        <v>0</v>
      </c>
      <c r="AK33" s="144">
        <v>0</v>
      </c>
      <c r="AL33" s="144">
        <v>0</v>
      </c>
      <c r="AM33" s="144">
        <v>0</v>
      </c>
      <c r="AN33" s="144">
        <v>0</v>
      </c>
      <c r="AO33" s="144">
        <v>0</v>
      </c>
      <c r="AP33" s="144">
        <v>0</v>
      </c>
      <c r="AQ33" s="144">
        <v>0</v>
      </c>
      <c r="AR33" s="144">
        <v>0</v>
      </c>
      <c r="AS33" s="144">
        <v>0</v>
      </c>
      <c r="AT33" s="144">
        <v>0</v>
      </c>
      <c r="AU33" s="144">
        <v>0</v>
      </c>
      <c r="AV33" s="144">
        <v>0</v>
      </c>
      <c r="AW33" s="144">
        <v>0</v>
      </c>
      <c r="AX33" s="144">
        <v>0</v>
      </c>
      <c r="AY33" s="144">
        <v>0</v>
      </c>
      <c r="AZ33" s="144">
        <v>0</v>
      </c>
      <c r="BA33" s="144">
        <v>0</v>
      </c>
      <c r="BB33" s="144">
        <v>0</v>
      </c>
      <c r="BC33" s="144">
        <v>0</v>
      </c>
      <c r="BD33" s="144">
        <v>0</v>
      </c>
      <c r="BE33" s="144">
        <v>0</v>
      </c>
      <c r="BF33" s="144">
        <v>0</v>
      </c>
      <c r="BG33" s="144">
        <v>0</v>
      </c>
      <c r="BH33" s="144">
        <v>0</v>
      </c>
      <c r="BI33" s="144">
        <v>0</v>
      </c>
      <c r="BJ33" s="144">
        <v>0</v>
      </c>
      <c r="BK33" s="144">
        <v>0</v>
      </c>
      <c r="BL33" s="144">
        <v>0</v>
      </c>
      <c r="BM33" s="144">
        <v>0</v>
      </c>
      <c r="BN33" s="144">
        <v>0</v>
      </c>
      <c r="BO33" s="144">
        <v>0</v>
      </c>
      <c r="BP33" s="144">
        <v>0</v>
      </c>
      <c r="BQ33" s="144">
        <v>0</v>
      </c>
      <c r="BR33" s="144">
        <v>0</v>
      </c>
      <c r="BS33" s="144">
        <v>0</v>
      </c>
      <c r="BT33" s="144">
        <v>0</v>
      </c>
      <c r="BU33" s="144">
        <v>0</v>
      </c>
      <c r="BV33" s="144">
        <v>0</v>
      </c>
      <c r="BW33" s="144">
        <v>0</v>
      </c>
      <c r="BX33" s="144">
        <v>0</v>
      </c>
      <c r="BY33" s="144">
        <v>0</v>
      </c>
      <c r="BZ33" s="144">
        <v>0</v>
      </c>
      <c r="CA33" s="144">
        <v>0</v>
      </c>
      <c r="CB33" s="144">
        <v>0</v>
      </c>
      <c r="CC33" s="144">
        <v>0</v>
      </c>
      <c r="CD33" s="144">
        <v>0</v>
      </c>
      <c r="CE33" s="144">
        <v>0</v>
      </c>
      <c r="CF33" s="144">
        <v>0</v>
      </c>
      <c r="CG33" s="144">
        <v>0</v>
      </c>
      <c r="CH33" s="144">
        <v>0</v>
      </c>
      <c r="CI33" s="144">
        <v>0</v>
      </c>
      <c r="CJ33" s="144">
        <v>0</v>
      </c>
      <c r="CK33" s="144">
        <v>0</v>
      </c>
      <c r="CL33" s="144">
        <v>0</v>
      </c>
      <c r="CM33" s="144">
        <v>0</v>
      </c>
      <c r="CN33" s="144">
        <v>0</v>
      </c>
      <c r="CO33" s="144">
        <v>0</v>
      </c>
      <c r="CP33" s="144">
        <v>0</v>
      </c>
      <c r="CQ33" s="144">
        <v>0</v>
      </c>
      <c r="CR33" s="144">
        <v>0</v>
      </c>
      <c r="CS33" s="144">
        <v>0</v>
      </c>
      <c r="CT33" s="144">
        <v>0</v>
      </c>
      <c r="CU33" s="144">
        <v>0</v>
      </c>
      <c r="CV33" s="144">
        <v>0</v>
      </c>
    </row>
    <row r="34" spans="1:100" customFormat="1" x14ac:dyDescent="0.15">
      <c r="A34" s="180" t="s">
        <v>224</v>
      </c>
      <c r="B34" s="144">
        <v>0</v>
      </c>
      <c r="C34" s="144">
        <v>0</v>
      </c>
      <c r="D34" s="144">
        <v>3.7500000000000012E-2</v>
      </c>
      <c r="E34" s="144">
        <v>0</v>
      </c>
      <c r="F34" s="144">
        <v>0</v>
      </c>
      <c r="G34" s="144">
        <v>0</v>
      </c>
      <c r="H34" s="144">
        <v>0</v>
      </c>
      <c r="I34" s="144">
        <v>0</v>
      </c>
      <c r="J34" s="144">
        <v>0</v>
      </c>
      <c r="K34" s="144">
        <v>0</v>
      </c>
      <c r="L34" s="144">
        <v>0</v>
      </c>
      <c r="M34" s="144">
        <v>0</v>
      </c>
      <c r="N34" s="144">
        <v>0</v>
      </c>
      <c r="O34" s="144">
        <v>0</v>
      </c>
      <c r="P34" s="144">
        <v>0</v>
      </c>
      <c r="Q34" s="144">
        <v>0</v>
      </c>
      <c r="R34" s="144">
        <v>0</v>
      </c>
      <c r="S34" s="144">
        <v>0</v>
      </c>
      <c r="T34" s="144">
        <v>0</v>
      </c>
      <c r="U34" s="144">
        <v>0</v>
      </c>
      <c r="V34" s="144">
        <v>0</v>
      </c>
      <c r="W34" s="144">
        <v>0</v>
      </c>
      <c r="X34" s="144">
        <v>0</v>
      </c>
      <c r="Y34" s="144">
        <v>0</v>
      </c>
      <c r="Z34" s="144">
        <v>0</v>
      </c>
      <c r="AA34" s="144">
        <v>0</v>
      </c>
      <c r="AB34" s="144">
        <v>0</v>
      </c>
      <c r="AC34" s="144">
        <v>0</v>
      </c>
      <c r="AD34" s="144">
        <v>0</v>
      </c>
      <c r="AE34" s="144">
        <v>0</v>
      </c>
      <c r="AF34" s="144">
        <v>0</v>
      </c>
      <c r="AG34" s="144">
        <v>0</v>
      </c>
      <c r="AH34" s="144">
        <v>0</v>
      </c>
      <c r="AI34" s="144">
        <v>0</v>
      </c>
      <c r="AJ34" s="144">
        <v>0</v>
      </c>
      <c r="AK34" s="144">
        <v>0</v>
      </c>
      <c r="AL34" s="144">
        <v>0</v>
      </c>
      <c r="AM34" s="144">
        <v>0</v>
      </c>
      <c r="AN34" s="144">
        <v>0</v>
      </c>
      <c r="AO34" s="144">
        <v>0</v>
      </c>
      <c r="AP34" s="144">
        <v>0</v>
      </c>
      <c r="AQ34" s="144">
        <v>0</v>
      </c>
      <c r="AR34" s="144">
        <v>0</v>
      </c>
      <c r="AS34" s="144">
        <v>0</v>
      </c>
      <c r="AT34" s="144">
        <v>0</v>
      </c>
      <c r="AU34" s="144">
        <v>0</v>
      </c>
      <c r="AV34" s="144">
        <v>0</v>
      </c>
      <c r="AW34" s="144">
        <v>0</v>
      </c>
      <c r="AX34" s="144">
        <v>0</v>
      </c>
      <c r="AY34" s="144">
        <v>0</v>
      </c>
      <c r="AZ34" s="144">
        <v>0</v>
      </c>
      <c r="BA34" s="144">
        <v>0</v>
      </c>
      <c r="BB34" s="144">
        <v>0</v>
      </c>
      <c r="BC34" s="144">
        <v>0</v>
      </c>
      <c r="BD34" s="144">
        <v>0</v>
      </c>
      <c r="BE34" s="144">
        <v>0</v>
      </c>
      <c r="BF34" s="144">
        <v>0</v>
      </c>
      <c r="BG34" s="144">
        <v>0</v>
      </c>
      <c r="BH34" s="144">
        <v>0</v>
      </c>
      <c r="BI34" s="144">
        <v>0</v>
      </c>
      <c r="BJ34" s="144">
        <v>0</v>
      </c>
      <c r="BK34" s="144">
        <v>0</v>
      </c>
      <c r="BL34" s="144">
        <v>0</v>
      </c>
      <c r="BM34" s="144">
        <v>0</v>
      </c>
      <c r="BN34" s="144">
        <v>0</v>
      </c>
      <c r="BO34" s="144">
        <v>0</v>
      </c>
      <c r="BP34" s="144">
        <v>0</v>
      </c>
      <c r="BQ34" s="144">
        <v>0</v>
      </c>
      <c r="BR34" s="144">
        <v>0</v>
      </c>
      <c r="BS34" s="144">
        <v>0</v>
      </c>
      <c r="BT34" s="144">
        <v>0</v>
      </c>
      <c r="BU34" s="144">
        <v>0</v>
      </c>
      <c r="BV34" s="144">
        <v>0</v>
      </c>
      <c r="BW34" s="144">
        <v>0</v>
      </c>
      <c r="BX34" s="144">
        <v>0</v>
      </c>
      <c r="BY34" s="144">
        <v>0</v>
      </c>
      <c r="BZ34" s="144">
        <v>0</v>
      </c>
      <c r="CA34" s="144">
        <v>0</v>
      </c>
      <c r="CB34" s="144">
        <v>0</v>
      </c>
      <c r="CC34" s="144">
        <v>0</v>
      </c>
      <c r="CD34" s="144">
        <v>0</v>
      </c>
      <c r="CE34" s="144">
        <v>0</v>
      </c>
      <c r="CF34" s="144">
        <v>0</v>
      </c>
      <c r="CG34" s="144">
        <v>0</v>
      </c>
      <c r="CH34" s="144">
        <v>0</v>
      </c>
      <c r="CI34" s="144">
        <v>0</v>
      </c>
      <c r="CJ34" s="144">
        <v>0</v>
      </c>
      <c r="CK34" s="144">
        <v>0</v>
      </c>
      <c r="CL34" s="144">
        <v>0</v>
      </c>
      <c r="CM34" s="144">
        <v>0</v>
      </c>
      <c r="CN34" s="144">
        <v>0</v>
      </c>
      <c r="CO34" s="144">
        <v>0</v>
      </c>
      <c r="CP34" s="144">
        <v>0</v>
      </c>
      <c r="CQ34" s="144">
        <v>0</v>
      </c>
      <c r="CR34" s="144">
        <v>0</v>
      </c>
      <c r="CS34" s="144">
        <v>0</v>
      </c>
      <c r="CT34" s="144">
        <v>0</v>
      </c>
      <c r="CU34" s="144">
        <v>0</v>
      </c>
      <c r="CV34" s="144">
        <v>0</v>
      </c>
    </row>
    <row r="35" spans="1:100" customFormat="1" x14ac:dyDescent="0.15">
      <c r="A35" s="180" t="s">
        <v>225</v>
      </c>
      <c r="B35" s="144">
        <v>0</v>
      </c>
      <c r="C35" s="144">
        <v>0</v>
      </c>
      <c r="D35" s="144">
        <v>3.7500000000000012E-2</v>
      </c>
      <c r="E35" s="144">
        <v>0</v>
      </c>
      <c r="F35" s="144">
        <v>0</v>
      </c>
      <c r="G35" s="144">
        <v>0</v>
      </c>
      <c r="H35" s="144">
        <v>0</v>
      </c>
      <c r="I35" s="144">
        <v>0</v>
      </c>
      <c r="J35" s="144">
        <v>0</v>
      </c>
      <c r="K35" s="144">
        <v>0</v>
      </c>
      <c r="L35" s="144">
        <v>0</v>
      </c>
      <c r="M35" s="144">
        <v>0</v>
      </c>
      <c r="N35" s="144">
        <v>0</v>
      </c>
      <c r="O35" s="144">
        <v>0</v>
      </c>
      <c r="P35" s="144">
        <v>1.1663182536238553E-2</v>
      </c>
      <c r="Q35" s="144">
        <v>4.2751645671685575E-3</v>
      </c>
      <c r="R35" s="144">
        <v>6.433136006878312E-3</v>
      </c>
      <c r="S35" s="144">
        <v>0</v>
      </c>
      <c r="T35" s="144">
        <v>1.0728011717287024E-2</v>
      </c>
      <c r="U35" s="144">
        <v>0</v>
      </c>
      <c r="V35" s="144">
        <v>0</v>
      </c>
      <c r="W35" s="144">
        <v>0</v>
      </c>
      <c r="X35" s="144">
        <v>0</v>
      </c>
      <c r="Y35" s="144">
        <v>0</v>
      </c>
      <c r="Z35" s="144">
        <v>0</v>
      </c>
      <c r="AA35" s="144">
        <v>0</v>
      </c>
      <c r="AB35" s="144">
        <v>0</v>
      </c>
      <c r="AC35" s="144">
        <v>0</v>
      </c>
      <c r="AD35" s="144">
        <v>2.1635412791193268E-3</v>
      </c>
      <c r="AE35" s="144">
        <v>1.6399609109019558E-3</v>
      </c>
      <c r="AF35" s="144">
        <v>0</v>
      </c>
      <c r="AG35" s="144">
        <v>0</v>
      </c>
      <c r="AH35" s="144">
        <v>0</v>
      </c>
      <c r="AI35" s="144">
        <v>0</v>
      </c>
      <c r="AJ35" s="144">
        <v>0</v>
      </c>
      <c r="AK35" s="144">
        <v>0</v>
      </c>
      <c r="AL35" s="144">
        <v>0</v>
      </c>
      <c r="AM35" s="144">
        <v>0</v>
      </c>
      <c r="AN35" s="144">
        <v>0</v>
      </c>
      <c r="AO35" s="144">
        <v>0</v>
      </c>
      <c r="AP35" s="144">
        <v>0</v>
      </c>
      <c r="AQ35" s="144">
        <v>0</v>
      </c>
      <c r="AR35" s="144">
        <v>2.9994002637972416E-3</v>
      </c>
      <c r="AS35" s="144">
        <v>0</v>
      </c>
      <c r="AT35" s="144">
        <v>0</v>
      </c>
      <c r="AU35" s="144">
        <v>0</v>
      </c>
      <c r="AV35" s="144">
        <v>0</v>
      </c>
      <c r="AW35" s="144">
        <v>0</v>
      </c>
      <c r="AX35" s="144">
        <v>0</v>
      </c>
      <c r="AY35" s="144">
        <v>0</v>
      </c>
      <c r="AZ35" s="144">
        <v>0</v>
      </c>
      <c r="BA35" s="144">
        <v>0</v>
      </c>
      <c r="BB35" s="144">
        <v>0</v>
      </c>
      <c r="BC35" s="144">
        <v>0</v>
      </c>
      <c r="BD35" s="144">
        <v>0</v>
      </c>
      <c r="BE35" s="144">
        <v>0</v>
      </c>
      <c r="BF35" s="144">
        <v>0</v>
      </c>
      <c r="BG35" s="144">
        <v>0</v>
      </c>
      <c r="BH35" s="144">
        <v>0</v>
      </c>
      <c r="BI35" s="144">
        <v>0</v>
      </c>
      <c r="BJ35" s="144">
        <v>0</v>
      </c>
      <c r="BK35" s="144">
        <v>0</v>
      </c>
      <c r="BL35" s="144">
        <v>0</v>
      </c>
      <c r="BM35" s="144">
        <v>0</v>
      </c>
      <c r="BN35" s="144">
        <v>0</v>
      </c>
      <c r="BO35" s="144">
        <v>0</v>
      </c>
      <c r="BP35" s="144">
        <v>0</v>
      </c>
      <c r="BQ35" s="144">
        <v>0</v>
      </c>
      <c r="BR35" s="144">
        <v>0</v>
      </c>
      <c r="BS35" s="144">
        <v>0</v>
      </c>
      <c r="BT35" s="144">
        <v>0</v>
      </c>
      <c r="BU35" s="144">
        <v>0</v>
      </c>
      <c r="BV35" s="144">
        <v>0</v>
      </c>
      <c r="BW35" s="144">
        <v>0</v>
      </c>
      <c r="BX35" s="144">
        <v>0</v>
      </c>
      <c r="BY35" s="144">
        <v>0</v>
      </c>
      <c r="BZ35" s="144">
        <v>0</v>
      </c>
      <c r="CA35" s="144">
        <v>0</v>
      </c>
      <c r="CB35" s="144">
        <v>0</v>
      </c>
      <c r="CC35" s="144">
        <v>0</v>
      </c>
      <c r="CD35" s="144">
        <v>0</v>
      </c>
      <c r="CE35" s="144">
        <v>0</v>
      </c>
      <c r="CF35" s="144">
        <v>0</v>
      </c>
      <c r="CG35" s="144">
        <v>0</v>
      </c>
      <c r="CH35" s="144">
        <v>0</v>
      </c>
      <c r="CI35" s="144">
        <v>0</v>
      </c>
      <c r="CJ35" s="144">
        <v>0</v>
      </c>
      <c r="CK35" s="144">
        <v>0</v>
      </c>
      <c r="CL35" s="144">
        <v>0</v>
      </c>
      <c r="CM35" s="144">
        <v>0</v>
      </c>
      <c r="CN35" s="144">
        <v>0</v>
      </c>
      <c r="CO35" s="144">
        <v>0</v>
      </c>
      <c r="CP35" s="144">
        <v>0</v>
      </c>
      <c r="CQ35" s="144">
        <v>0</v>
      </c>
      <c r="CR35" s="144">
        <v>0</v>
      </c>
      <c r="CS35" s="144">
        <v>0</v>
      </c>
      <c r="CT35" s="144">
        <v>0</v>
      </c>
      <c r="CU35" s="144">
        <v>0</v>
      </c>
      <c r="CV35" s="144">
        <v>0</v>
      </c>
    </row>
    <row r="36" spans="1:100" customFormat="1" x14ac:dyDescent="0.15">
      <c r="A36" s="180" t="s">
        <v>226</v>
      </c>
      <c r="B36" s="144">
        <v>0</v>
      </c>
      <c r="C36" s="144">
        <v>0</v>
      </c>
      <c r="D36" s="144">
        <v>7.5750000000000026E-2</v>
      </c>
      <c r="E36" s="144">
        <v>0</v>
      </c>
      <c r="F36" s="144">
        <v>0</v>
      </c>
      <c r="G36" s="144">
        <v>0</v>
      </c>
      <c r="H36" s="144">
        <v>0</v>
      </c>
      <c r="I36" s="144">
        <v>0</v>
      </c>
      <c r="J36" s="144">
        <v>0</v>
      </c>
      <c r="K36" s="144">
        <v>0</v>
      </c>
      <c r="L36" s="144">
        <v>2.4385679687863307E-3</v>
      </c>
      <c r="M36" s="144">
        <v>0</v>
      </c>
      <c r="N36" s="144">
        <v>0</v>
      </c>
      <c r="O36" s="144">
        <v>0</v>
      </c>
      <c r="P36" s="144">
        <v>2.1438075082800195E-2</v>
      </c>
      <c r="Q36" s="144">
        <v>2.2666793284987781E-2</v>
      </c>
      <c r="R36" s="144">
        <v>5.7915830061923638E-3</v>
      </c>
      <c r="S36" s="144">
        <v>1.8419899679309544E-3</v>
      </c>
      <c r="T36" s="144">
        <v>8.548323934092418E-3</v>
      </c>
      <c r="U36" s="144">
        <v>1.0052184804849906E-3</v>
      </c>
      <c r="V36" s="144">
        <v>3.1698460405971689E-5</v>
      </c>
      <c r="W36" s="144">
        <v>1.3981071155434325E-2</v>
      </c>
      <c r="X36" s="144">
        <v>1.1350967594888903E-3</v>
      </c>
      <c r="Y36" s="144">
        <v>0</v>
      </c>
      <c r="Z36" s="144">
        <v>1.5530260416055681E-3</v>
      </c>
      <c r="AA36" s="144">
        <v>0</v>
      </c>
      <c r="AB36" s="144">
        <v>0</v>
      </c>
      <c r="AC36" s="144">
        <v>0</v>
      </c>
      <c r="AD36" s="144">
        <v>6.706978408269916E-2</v>
      </c>
      <c r="AE36" s="144">
        <v>5.2458634308974184E-3</v>
      </c>
      <c r="AF36" s="144">
        <v>5.0010057015324365E-3</v>
      </c>
      <c r="AG36" s="144">
        <v>2.5069796868194398E-3</v>
      </c>
      <c r="AH36" s="144">
        <v>9.1241776156214798E-3</v>
      </c>
      <c r="AI36" s="144">
        <v>0</v>
      </c>
      <c r="AJ36" s="144">
        <v>8.9625129148650888E-3</v>
      </c>
      <c r="AK36" s="144">
        <v>0</v>
      </c>
      <c r="AL36" s="144">
        <v>0</v>
      </c>
      <c r="AM36" s="144">
        <v>0</v>
      </c>
      <c r="AN36" s="144">
        <v>0</v>
      </c>
      <c r="AO36" s="144">
        <v>0</v>
      </c>
      <c r="AP36" s="144">
        <v>0</v>
      </c>
      <c r="AQ36" s="144">
        <v>0</v>
      </c>
      <c r="AR36" s="144">
        <v>9.9980000459908014E-4</v>
      </c>
      <c r="AS36" s="144">
        <v>0</v>
      </c>
      <c r="AT36" s="144">
        <v>0</v>
      </c>
      <c r="AU36" s="144">
        <v>0</v>
      </c>
      <c r="AV36" s="144">
        <v>0</v>
      </c>
      <c r="AW36" s="144">
        <v>0</v>
      </c>
      <c r="AX36" s="144">
        <v>0</v>
      </c>
      <c r="AY36" s="144">
        <v>0</v>
      </c>
      <c r="AZ36" s="144">
        <v>0</v>
      </c>
      <c r="BA36" s="144">
        <v>0</v>
      </c>
      <c r="BB36" s="144">
        <v>0</v>
      </c>
      <c r="BC36" s="144">
        <v>0</v>
      </c>
      <c r="BD36" s="144">
        <v>0</v>
      </c>
      <c r="BE36" s="144">
        <v>0</v>
      </c>
      <c r="BF36" s="144">
        <v>0</v>
      </c>
      <c r="BG36" s="144">
        <v>0</v>
      </c>
      <c r="BH36" s="144">
        <v>0</v>
      </c>
      <c r="BI36" s="144">
        <v>0</v>
      </c>
      <c r="BJ36" s="144">
        <v>0</v>
      </c>
      <c r="BK36" s="144">
        <v>0</v>
      </c>
      <c r="BL36" s="144">
        <v>0</v>
      </c>
      <c r="BM36" s="144">
        <v>0</v>
      </c>
      <c r="BN36" s="144">
        <v>0</v>
      </c>
      <c r="BO36" s="144">
        <v>0</v>
      </c>
      <c r="BP36" s="144">
        <v>0</v>
      </c>
      <c r="BQ36" s="144">
        <v>0</v>
      </c>
      <c r="BR36" s="144">
        <v>0</v>
      </c>
      <c r="BS36" s="144">
        <v>0</v>
      </c>
      <c r="BT36" s="144">
        <v>0</v>
      </c>
      <c r="BU36" s="144">
        <v>0</v>
      </c>
      <c r="BV36" s="144">
        <v>0</v>
      </c>
      <c r="BW36" s="144">
        <v>0</v>
      </c>
      <c r="BX36" s="144">
        <v>0</v>
      </c>
      <c r="BY36" s="144">
        <v>0</v>
      </c>
      <c r="BZ36" s="144">
        <v>0</v>
      </c>
      <c r="CA36" s="144">
        <v>0</v>
      </c>
      <c r="CB36" s="144">
        <v>0</v>
      </c>
      <c r="CC36" s="144">
        <v>0</v>
      </c>
      <c r="CD36" s="144">
        <v>0</v>
      </c>
      <c r="CE36" s="144">
        <v>0</v>
      </c>
      <c r="CF36" s="144">
        <v>0</v>
      </c>
      <c r="CG36" s="144">
        <v>0</v>
      </c>
      <c r="CH36" s="144">
        <v>0</v>
      </c>
      <c r="CI36" s="144">
        <v>0</v>
      </c>
      <c r="CJ36" s="144">
        <v>0</v>
      </c>
      <c r="CK36" s="144">
        <v>0</v>
      </c>
      <c r="CL36" s="144">
        <v>0</v>
      </c>
      <c r="CM36" s="144">
        <v>0</v>
      </c>
      <c r="CN36" s="144">
        <v>0</v>
      </c>
      <c r="CO36" s="144">
        <v>0</v>
      </c>
      <c r="CP36" s="144">
        <v>0</v>
      </c>
      <c r="CQ36" s="144">
        <v>0</v>
      </c>
      <c r="CR36" s="144">
        <v>0</v>
      </c>
      <c r="CS36" s="144">
        <v>0</v>
      </c>
      <c r="CT36" s="144">
        <v>0</v>
      </c>
      <c r="CU36" s="144">
        <v>0</v>
      </c>
      <c r="CV36" s="144">
        <v>0</v>
      </c>
    </row>
    <row r="37" spans="1:100" customFormat="1" x14ac:dyDescent="0.15">
      <c r="A37" s="180" t="s">
        <v>227</v>
      </c>
      <c r="B37" s="144">
        <v>2.0412390705836739E-2</v>
      </c>
      <c r="C37" s="144">
        <v>0</v>
      </c>
      <c r="D37" s="144">
        <v>0</v>
      </c>
      <c r="E37" s="144">
        <v>0</v>
      </c>
      <c r="F37" s="144">
        <v>0</v>
      </c>
      <c r="G37" s="144">
        <v>0</v>
      </c>
      <c r="H37" s="144">
        <v>0</v>
      </c>
      <c r="I37" s="144">
        <v>0</v>
      </c>
      <c r="J37" s="144">
        <v>0</v>
      </c>
      <c r="K37" s="144">
        <v>0.2221406190022033</v>
      </c>
      <c r="L37" s="144">
        <v>6.9277249113251227E-2</v>
      </c>
      <c r="M37" s="144">
        <v>0.39369845927555935</v>
      </c>
      <c r="N37" s="144">
        <v>0</v>
      </c>
      <c r="O37" s="144">
        <v>1.0001190975218956E-2</v>
      </c>
      <c r="P37" s="144">
        <v>2.2832419875177451E-2</v>
      </c>
      <c r="Q37" s="144">
        <v>6.8731179954479324E-4</v>
      </c>
      <c r="R37" s="144">
        <v>8.5655935191583377E-3</v>
      </c>
      <c r="S37" s="144">
        <v>2.5605724654204333E-2</v>
      </c>
      <c r="T37" s="144">
        <v>0</v>
      </c>
      <c r="U37" s="144">
        <v>6.3492260030633295E-3</v>
      </c>
      <c r="V37" s="144">
        <v>0</v>
      </c>
      <c r="W37" s="144">
        <v>0</v>
      </c>
      <c r="X37" s="144">
        <v>0</v>
      </c>
      <c r="Y37" s="144">
        <v>0</v>
      </c>
      <c r="Z37" s="144">
        <v>0.18055382883703711</v>
      </c>
      <c r="AA37" s="144">
        <v>0</v>
      </c>
      <c r="AB37" s="144">
        <v>0</v>
      </c>
      <c r="AC37" s="144">
        <v>0</v>
      </c>
      <c r="AD37" s="144">
        <v>6.4906240273579826E-3</v>
      </c>
      <c r="AE37" s="144">
        <v>4.397385545604536E-2</v>
      </c>
      <c r="AF37" s="144">
        <v>1.0002011363064873E-2</v>
      </c>
      <c r="AG37" s="144">
        <v>0</v>
      </c>
      <c r="AH37" s="144">
        <v>0</v>
      </c>
      <c r="AI37" s="144">
        <v>0</v>
      </c>
      <c r="AJ37" s="144">
        <v>1.9912604010850172E-2</v>
      </c>
      <c r="AK37" s="144">
        <v>0</v>
      </c>
      <c r="AL37" s="144">
        <v>0</v>
      </c>
      <c r="AM37" s="144">
        <v>0</v>
      </c>
      <c r="AN37" s="144">
        <v>0</v>
      </c>
      <c r="AO37" s="144">
        <v>0</v>
      </c>
      <c r="AP37" s="144">
        <v>0</v>
      </c>
      <c r="AQ37" s="144">
        <v>0</v>
      </c>
      <c r="AR37" s="144">
        <v>0</v>
      </c>
      <c r="AS37" s="144">
        <v>0</v>
      </c>
      <c r="AT37" s="144">
        <v>0</v>
      </c>
      <c r="AU37" s="144">
        <v>0</v>
      </c>
      <c r="AV37" s="144">
        <v>0</v>
      </c>
      <c r="AW37" s="144">
        <v>0</v>
      </c>
      <c r="AX37" s="144">
        <v>0</v>
      </c>
      <c r="AY37" s="144">
        <v>0</v>
      </c>
      <c r="AZ37" s="144">
        <v>0</v>
      </c>
      <c r="BA37" s="144">
        <v>0</v>
      </c>
      <c r="BB37" s="144">
        <v>0</v>
      </c>
      <c r="BC37" s="144">
        <v>0</v>
      </c>
      <c r="BD37" s="144">
        <v>0</v>
      </c>
      <c r="BE37" s="144">
        <v>0</v>
      </c>
      <c r="BF37" s="144">
        <v>0</v>
      </c>
      <c r="BG37" s="144">
        <v>0</v>
      </c>
      <c r="BH37" s="144">
        <v>0</v>
      </c>
      <c r="BI37" s="144">
        <v>0</v>
      </c>
      <c r="BJ37" s="144">
        <v>0</v>
      </c>
      <c r="BK37" s="144">
        <v>0</v>
      </c>
      <c r="BL37" s="144">
        <v>0</v>
      </c>
      <c r="BM37" s="144">
        <v>0</v>
      </c>
      <c r="BN37" s="144">
        <v>0</v>
      </c>
      <c r="BO37" s="144">
        <v>0</v>
      </c>
      <c r="BP37" s="144">
        <v>0</v>
      </c>
      <c r="BQ37" s="144">
        <v>0</v>
      </c>
      <c r="BR37" s="144">
        <v>0</v>
      </c>
      <c r="BS37" s="144">
        <v>0</v>
      </c>
      <c r="BT37" s="144">
        <v>0</v>
      </c>
      <c r="BU37" s="144">
        <v>0</v>
      </c>
      <c r="BV37" s="144">
        <v>0</v>
      </c>
      <c r="BW37" s="144">
        <v>0</v>
      </c>
      <c r="BX37" s="144">
        <v>0</v>
      </c>
      <c r="BY37" s="144">
        <v>0</v>
      </c>
      <c r="BZ37" s="144">
        <v>0</v>
      </c>
      <c r="CA37" s="144">
        <v>0</v>
      </c>
      <c r="CB37" s="144">
        <v>0</v>
      </c>
      <c r="CC37" s="144">
        <v>0</v>
      </c>
      <c r="CD37" s="144">
        <v>0</v>
      </c>
      <c r="CE37" s="144">
        <v>0</v>
      </c>
      <c r="CF37" s="144">
        <v>0</v>
      </c>
      <c r="CG37" s="144">
        <v>0</v>
      </c>
      <c r="CH37" s="144">
        <v>0</v>
      </c>
      <c r="CI37" s="144">
        <v>0</v>
      </c>
      <c r="CJ37" s="144">
        <v>0</v>
      </c>
      <c r="CK37" s="144">
        <v>0</v>
      </c>
      <c r="CL37" s="144">
        <v>0</v>
      </c>
      <c r="CM37" s="144">
        <v>0</v>
      </c>
      <c r="CN37" s="144">
        <v>0</v>
      </c>
      <c r="CO37" s="144">
        <v>0</v>
      </c>
      <c r="CP37" s="144">
        <v>0</v>
      </c>
      <c r="CQ37" s="144">
        <v>0</v>
      </c>
      <c r="CR37" s="144">
        <v>0</v>
      </c>
      <c r="CS37" s="144">
        <v>0</v>
      </c>
      <c r="CT37" s="144">
        <v>0</v>
      </c>
      <c r="CU37" s="144">
        <v>0</v>
      </c>
      <c r="CV37" s="144">
        <v>0</v>
      </c>
    </row>
    <row r="38" spans="1:100" customFormat="1" x14ac:dyDescent="0.15">
      <c r="A38" s="180" t="s">
        <v>228</v>
      </c>
      <c r="B38" s="144">
        <v>0</v>
      </c>
      <c r="C38" s="144">
        <v>0</v>
      </c>
      <c r="D38" s="144">
        <v>7.5750000000000026E-2</v>
      </c>
      <c r="E38" s="144">
        <v>0</v>
      </c>
      <c r="F38" s="144">
        <v>0</v>
      </c>
      <c r="G38" s="144">
        <v>0</v>
      </c>
      <c r="H38" s="144">
        <v>0</v>
      </c>
      <c r="I38" s="144">
        <v>0</v>
      </c>
      <c r="J38" s="144">
        <v>0</v>
      </c>
      <c r="K38" s="144">
        <v>0</v>
      </c>
      <c r="L38" s="144">
        <v>5.5071446295085508E-2</v>
      </c>
      <c r="M38" s="144">
        <v>0</v>
      </c>
      <c r="N38" s="144">
        <v>0</v>
      </c>
      <c r="O38" s="144">
        <v>0</v>
      </c>
      <c r="P38" s="144">
        <v>2.8227835745681256E-2</v>
      </c>
      <c r="Q38" s="144">
        <v>5.4319627564024101E-2</v>
      </c>
      <c r="R38" s="144">
        <v>2.1547647223038754E-2</v>
      </c>
      <c r="S38" s="144">
        <v>0</v>
      </c>
      <c r="T38" s="144">
        <v>3.7674799709527282E-3</v>
      </c>
      <c r="U38" s="144">
        <v>1.1839536905712255E-2</v>
      </c>
      <c r="V38" s="144">
        <v>1.0194732930567002E-2</v>
      </c>
      <c r="W38" s="144">
        <v>0</v>
      </c>
      <c r="X38" s="144">
        <v>0</v>
      </c>
      <c r="Y38" s="144">
        <v>0</v>
      </c>
      <c r="Z38" s="144">
        <v>0</v>
      </c>
      <c r="AA38" s="144">
        <v>0</v>
      </c>
      <c r="AB38" s="144">
        <v>0</v>
      </c>
      <c r="AC38" s="144">
        <v>0</v>
      </c>
      <c r="AD38" s="144">
        <v>0.41215467673723211</v>
      </c>
      <c r="AE38" s="144">
        <v>0.38399722986969087</v>
      </c>
      <c r="AF38" s="144">
        <v>6.9013879745147624E-2</v>
      </c>
      <c r="AG38" s="144">
        <v>5.0690664324698931E-4</v>
      </c>
      <c r="AH38" s="144">
        <v>0</v>
      </c>
      <c r="AI38" s="144">
        <v>0</v>
      </c>
      <c r="AJ38" s="144">
        <v>0</v>
      </c>
      <c r="AK38" s="144">
        <v>0</v>
      </c>
      <c r="AL38" s="144">
        <v>0</v>
      </c>
      <c r="AM38" s="144">
        <v>0</v>
      </c>
      <c r="AN38" s="144">
        <v>0</v>
      </c>
      <c r="AO38" s="144">
        <v>0</v>
      </c>
      <c r="AP38" s="144">
        <v>0</v>
      </c>
      <c r="AQ38" s="144">
        <v>0</v>
      </c>
      <c r="AR38" s="144">
        <v>0</v>
      </c>
      <c r="AS38" s="144">
        <v>0</v>
      </c>
      <c r="AT38" s="144">
        <v>0</v>
      </c>
      <c r="AU38" s="144">
        <v>0</v>
      </c>
      <c r="AV38" s="144">
        <v>0</v>
      </c>
      <c r="AW38" s="144">
        <v>0</v>
      </c>
      <c r="AX38" s="144">
        <v>0</v>
      </c>
      <c r="AY38" s="144">
        <v>0</v>
      </c>
      <c r="AZ38" s="144">
        <v>0</v>
      </c>
      <c r="BA38" s="144">
        <v>0</v>
      </c>
      <c r="BB38" s="144">
        <v>0</v>
      </c>
      <c r="BC38" s="144">
        <v>0</v>
      </c>
      <c r="BD38" s="144">
        <v>0</v>
      </c>
      <c r="BE38" s="144">
        <v>0</v>
      </c>
      <c r="BF38" s="144">
        <v>0</v>
      </c>
      <c r="BG38" s="144">
        <v>0</v>
      </c>
      <c r="BH38" s="144">
        <v>0</v>
      </c>
      <c r="BI38" s="144">
        <v>0</v>
      </c>
      <c r="BJ38" s="144">
        <v>0</v>
      </c>
      <c r="BK38" s="144">
        <v>0</v>
      </c>
      <c r="BL38" s="144">
        <v>0</v>
      </c>
      <c r="BM38" s="144">
        <v>0</v>
      </c>
      <c r="BN38" s="144">
        <v>0</v>
      </c>
      <c r="BO38" s="144">
        <v>0</v>
      </c>
      <c r="BP38" s="144">
        <v>0</v>
      </c>
      <c r="BQ38" s="144">
        <v>0</v>
      </c>
      <c r="BR38" s="144">
        <v>0</v>
      </c>
      <c r="BS38" s="144">
        <v>0</v>
      </c>
      <c r="BT38" s="144">
        <v>0</v>
      </c>
      <c r="BU38" s="144">
        <v>0</v>
      </c>
      <c r="BV38" s="144">
        <v>0</v>
      </c>
      <c r="BW38" s="144">
        <v>0</v>
      </c>
      <c r="BX38" s="144">
        <v>0</v>
      </c>
      <c r="BY38" s="144">
        <v>0</v>
      </c>
      <c r="BZ38" s="144">
        <v>0</v>
      </c>
      <c r="CA38" s="144">
        <v>0</v>
      </c>
      <c r="CB38" s="144">
        <v>0</v>
      </c>
      <c r="CC38" s="144">
        <v>0</v>
      </c>
      <c r="CD38" s="144">
        <v>0</v>
      </c>
      <c r="CE38" s="144">
        <v>0</v>
      </c>
      <c r="CF38" s="144">
        <v>0</v>
      </c>
      <c r="CG38" s="144">
        <v>0</v>
      </c>
      <c r="CH38" s="144">
        <v>0</v>
      </c>
      <c r="CI38" s="144">
        <v>0</v>
      </c>
      <c r="CJ38" s="144">
        <v>0</v>
      </c>
      <c r="CK38" s="144">
        <v>0</v>
      </c>
      <c r="CL38" s="144">
        <v>0</v>
      </c>
      <c r="CM38" s="144">
        <v>0</v>
      </c>
      <c r="CN38" s="144">
        <v>0</v>
      </c>
      <c r="CO38" s="144">
        <v>0</v>
      </c>
      <c r="CP38" s="144">
        <v>0</v>
      </c>
      <c r="CQ38" s="144">
        <v>0</v>
      </c>
      <c r="CR38" s="144">
        <v>0</v>
      </c>
      <c r="CS38" s="144">
        <v>0</v>
      </c>
      <c r="CT38" s="144">
        <v>0</v>
      </c>
      <c r="CU38" s="144">
        <v>0</v>
      </c>
      <c r="CV38" s="144">
        <v>0</v>
      </c>
    </row>
    <row r="39" spans="1:100" x14ac:dyDescent="0.15">
      <c r="A39" s="180" t="s">
        <v>229</v>
      </c>
      <c r="B39" s="144">
        <v>0</v>
      </c>
      <c r="C39" s="144">
        <v>0</v>
      </c>
      <c r="D39" s="144">
        <v>7.5750000000000026E-2</v>
      </c>
      <c r="E39" s="144">
        <v>0</v>
      </c>
      <c r="F39" s="144">
        <v>0</v>
      </c>
      <c r="G39" s="144">
        <v>0</v>
      </c>
      <c r="H39" s="144">
        <v>0</v>
      </c>
      <c r="I39" s="144">
        <v>0</v>
      </c>
      <c r="J39" s="144">
        <v>0</v>
      </c>
      <c r="K39" s="144">
        <v>0</v>
      </c>
      <c r="L39" s="144">
        <v>9.8588498738067225E-4</v>
      </c>
      <c r="M39" s="144">
        <v>0</v>
      </c>
      <c r="N39" s="144">
        <v>0</v>
      </c>
      <c r="O39" s="144">
        <v>0</v>
      </c>
      <c r="P39" s="144">
        <v>0</v>
      </c>
      <c r="Q39" s="144">
        <v>3.506631997677557E-3</v>
      </c>
      <c r="R39" s="144">
        <v>0</v>
      </c>
      <c r="S39" s="144">
        <v>0</v>
      </c>
      <c r="T39" s="144">
        <v>1.2234779905669843E-3</v>
      </c>
      <c r="U39" s="144">
        <v>0</v>
      </c>
      <c r="V39" s="144">
        <v>0</v>
      </c>
      <c r="W39" s="144">
        <v>0</v>
      </c>
      <c r="X39" s="144">
        <v>0</v>
      </c>
      <c r="Y39" s="144">
        <v>0</v>
      </c>
      <c r="Z39" s="144">
        <v>0</v>
      </c>
      <c r="AA39" s="144">
        <v>0</v>
      </c>
      <c r="AB39" s="144">
        <v>0</v>
      </c>
      <c r="AC39" s="144">
        <v>0</v>
      </c>
      <c r="AD39" s="144">
        <v>0</v>
      </c>
      <c r="AE39" s="144">
        <v>3.7543368291719902E-3</v>
      </c>
      <c r="AF39" s="144">
        <v>0</v>
      </c>
      <c r="AG39" s="144">
        <v>0</v>
      </c>
      <c r="AH39" s="144">
        <v>0</v>
      </c>
      <c r="AI39" s="144">
        <v>0</v>
      </c>
      <c r="AJ39" s="144">
        <v>0</v>
      </c>
      <c r="AK39" s="144">
        <v>0</v>
      </c>
      <c r="AL39" s="144">
        <v>0</v>
      </c>
      <c r="AM39" s="144">
        <v>0</v>
      </c>
      <c r="AN39" s="144">
        <v>0</v>
      </c>
      <c r="AO39" s="144">
        <v>0</v>
      </c>
      <c r="AP39" s="144">
        <v>0</v>
      </c>
      <c r="AQ39" s="144">
        <v>0</v>
      </c>
      <c r="AR39" s="144">
        <v>0</v>
      </c>
      <c r="AS39" s="144">
        <v>0</v>
      </c>
      <c r="AT39" s="144">
        <v>0</v>
      </c>
      <c r="AU39" s="144">
        <v>0</v>
      </c>
      <c r="AV39" s="144">
        <v>0</v>
      </c>
      <c r="AW39" s="144">
        <v>0</v>
      </c>
      <c r="AX39" s="144">
        <v>0</v>
      </c>
      <c r="AY39" s="144">
        <v>0</v>
      </c>
      <c r="AZ39" s="144">
        <v>0</v>
      </c>
      <c r="BA39" s="144">
        <v>0</v>
      </c>
      <c r="BB39" s="144">
        <v>0</v>
      </c>
      <c r="BC39" s="144">
        <v>0</v>
      </c>
      <c r="BD39" s="144">
        <v>0</v>
      </c>
      <c r="BE39" s="144">
        <v>0</v>
      </c>
      <c r="BF39" s="144">
        <v>0</v>
      </c>
      <c r="BG39" s="144">
        <v>0</v>
      </c>
      <c r="BH39" s="144">
        <v>0</v>
      </c>
      <c r="BI39" s="144">
        <v>0</v>
      </c>
      <c r="BJ39" s="144">
        <v>0</v>
      </c>
      <c r="BK39" s="144">
        <v>0</v>
      </c>
      <c r="BL39" s="144">
        <v>0</v>
      </c>
      <c r="BM39" s="144">
        <v>0</v>
      </c>
      <c r="BN39" s="144">
        <v>0</v>
      </c>
      <c r="BO39" s="144">
        <v>0</v>
      </c>
      <c r="BP39" s="144">
        <v>0</v>
      </c>
      <c r="BQ39" s="144">
        <v>0</v>
      </c>
      <c r="BR39" s="144">
        <v>0</v>
      </c>
      <c r="BS39" s="144">
        <v>0</v>
      </c>
      <c r="BT39" s="144">
        <v>0</v>
      </c>
      <c r="BU39" s="144">
        <v>0</v>
      </c>
      <c r="BV39" s="144">
        <v>0</v>
      </c>
      <c r="BW39" s="144">
        <v>0</v>
      </c>
      <c r="BX39" s="144">
        <v>0</v>
      </c>
      <c r="BY39" s="144">
        <v>0</v>
      </c>
      <c r="BZ39" s="144">
        <v>0</v>
      </c>
      <c r="CA39" s="144">
        <v>0</v>
      </c>
      <c r="CB39" s="144">
        <v>0</v>
      </c>
      <c r="CC39" s="144">
        <v>0</v>
      </c>
      <c r="CD39" s="144">
        <v>0</v>
      </c>
      <c r="CE39" s="144">
        <v>0</v>
      </c>
      <c r="CF39" s="144">
        <v>0</v>
      </c>
      <c r="CG39" s="144">
        <v>0</v>
      </c>
      <c r="CH39" s="144">
        <v>0</v>
      </c>
      <c r="CI39" s="144">
        <v>0</v>
      </c>
      <c r="CJ39" s="144">
        <v>0</v>
      </c>
      <c r="CK39" s="144">
        <v>0</v>
      </c>
      <c r="CL39" s="144">
        <v>0</v>
      </c>
      <c r="CM39" s="144">
        <v>0</v>
      </c>
      <c r="CN39" s="144">
        <v>0</v>
      </c>
      <c r="CO39" s="144">
        <v>0</v>
      </c>
      <c r="CP39" s="144">
        <v>0</v>
      </c>
      <c r="CQ39" s="144">
        <v>0</v>
      </c>
      <c r="CR39" s="144">
        <v>0</v>
      </c>
      <c r="CS39" s="144">
        <v>0</v>
      </c>
      <c r="CT39" s="144">
        <v>0</v>
      </c>
      <c r="CU39" s="144">
        <v>0</v>
      </c>
      <c r="CV39" s="144">
        <v>0</v>
      </c>
    </row>
    <row r="40" spans="1:100" x14ac:dyDescent="0.15">
      <c r="A40" s="180" t="s">
        <v>230</v>
      </c>
      <c r="B40" s="144">
        <v>0</v>
      </c>
      <c r="C40" s="144">
        <v>0</v>
      </c>
      <c r="D40" s="144">
        <v>3.7500000000000012E-2</v>
      </c>
      <c r="E40" s="144">
        <v>0</v>
      </c>
      <c r="F40" s="144">
        <v>0</v>
      </c>
      <c r="G40" s="144">
        <v>0</v>
      </c>
      <c r="H40" s="144">
        <v>0</v>
      </c>
      <c r="I40" s="144">
        <v>0</v>
      </c>
      <c r="J40" s="144">
        <v>0</v>
      </c>
      <c r="K40" s="144">
        <v>0</v>
      </c>
      <c r="L40" s="144">
        <v>0</v>
      </c>
      <c r="M40" s="144">
        <v>0</v>
      </c>
      <c r="N40" s="144">
        <v>0</v>
      </c>
      <c r="O40" s="144">
        <v>0</v>
      </c>
      <c r="P40" s="144">
        <v>0</v>
      </c>
      <c r="Q40" s="144">
        <v>0</v>
      </c>
      <c r="R40" s="144">
        <v>0</v>
      </c>
      <c r="S40" s="144">
        <v>0</v>
      </c>
      <c r="T40" s="144">
        <v>0</v>
      </c>
      <c r="U40" s="144">
        <v>0</v>
      </c>
      <c r="V40" s="144">
        <v>0</v>
      </c>
      <c r="W40" s="144">
        <v>0</v>
      </c>
      <c r="X40" s="144">
        <v>0</v>
      </c>
      <c r="Y40" s="144">
        <v>0</v>
      </c>
      <c r="Z40" s="144">
        <v>0</v>
      </c>
      <c r="AA40" s="144">
        <v>0</v>
      </c>
      <c r="AB40" s="144">
        <v>0</v>
      </c>
      <c r="AC40" s="144">
        <v>0</v>
      </c>
      <c r="AD40" s="144">
        <v>0</v>
      </c>
      <c r="AE40" s="144">
        <v>0</v>
      </c>
      <c r="AF40" s="144">
        <v>0</v>
      </c>
      <c r="AG40" s="144">
        <v>0</v>
      </c>
      <c r="AH40" s="144">
        <v>0</v>
      </c>
      <c r="AI40" s="144">
        <v>0</v>
      </c>
      <c r="AJ40" s="144">
        <v>0</v>
      </c>
      <c r="AK40" s="144">
        <v>0</v>
      </c>
      <c r="AL40" s="144">
        <v>0</v>
      </c>
      <c r="AM40" s="144">
        <v>0</v>
      </c>
      <c r="AN40" s="144">
        <v>0</v>
      </c>
      <c r="AO40" s="144">
        <v>0</v>
      </c>
      <c r="AP40" s="144">
        <v>0</v>
      </c>
      <c r="AQ40" s="144">
        <v>0</v>
      </c>
      <c r="AR40" s="144">
        <v>0</v>
      </c>
      <c r="AS40" s="144">
        <v>0</v>
      </c>
      <c r="AT40" s="144">
        <v>0</v>
      </c>
      <c r="AU40" s="144">
        <v>0</v>
      </c>
      <c r="AV40" s="144">
        <v>0</v>
      </c>
      <c r="AW40" s="144">
        <v>0</v>
      </c>
      <c r="AX40" s="144">
        <v>0</v>
      </c>
      <c r="AY40" s="144">
        <v>0</v>
      </c>
      <c r="AZ40" s="144">
        <v>0</v>
      </c>
      <c r="BA40" s="144">
        <v>0</v>
      </c>
      <c r="BB40" s="144">
        <v>0</v>
      </c>
      <c r="BC40" s="144">
        <v>0</v>
      </c>
      <c r="BD40" s="144">
        <v>0</v>
      </c>
      <c r="BE40" s="144">
        <v>0</v>
      </c>
      <c r="BF40" s="144">
        <v>0</v>
      </c>
      <c r="BG40" s="144">
        <v>0</v>
      </c>
      <c r="BH40" s="144">
        <v>0</v>
      </c>
      <c r="BI40" s="144">
        <v>0</v>
      </c>
      <c r="BJ40" s="144">
        <v>0</v>
      </c>
      <c r="BK40" s="144">
        <v>0</v>
      </c>
      <c r="BL40" s="144">
        <v>0</v>
      </c>
      <c r="BM40" s="144">
        <v>0</v>
      </c>
      <c r="BN40" s="144">
        <v>0</v>
      </c>
      <c r="BO40" s="144">
        <v>0</v>
      </c>
      <c r="BP40" s="144">
        <v>0</v>
      </c>
      <c r="BQ40" s="144">
        <v>0</v>
      </c>
      <c r="BR40" s="144">
        <v>0</v>
      </c>
      <c r="BS40" s="144">
        <v>0</v>
      </c>
      <c r="BT40" s="144">
        <v>0</v>
      </c>
      <c r="BU40" s="144">
        <v>0</v>
      </c>
      <c r="BV40" s="144">
        <v>0</v>
      </c>
      <c r="BW40" s="144">
        <v>0</v>
      </c>
      <c r="BX40" s="144">
        <v>0</v>
      </c>
      <c r="BY40" s="144">
        <v>0</v>
      </c>
      <c r="BZ40" s="144">
        <v>0</v>
      </c>
      <c r="CA40" s="144">
        <v>0</v>
      </c>
      <c r="CB40" s="144">
        <v>0</v>
      </c>
      <c r="CC40" s="144">
        <v>0</v>
      </c>
      <c r="CD40" s="144">
        <v>0</v>
      </c>
      <c r="CE40" s="144">
        <v>0</v>
      </c>
      <c r="CF40" s="144">
        <v>0</v>
      </c>
      <c r="CG40" s="144">
        <v>0</v>
      </c>
      <c r="CH40" s="144">
        <v>0</v>
      </c>
      <c r="CI40" s="144">
        <v>0</v>
      </c>
      <c r="CJ40" s="144">
        <v>0</v>
      </c>
      <c r="CK40" s="144">
        <v>0</v>
      </c>
      <c r="CL40" s="144">
        <v>0</v>
      </c>
      <c r="CM40" s="144">
        <v>0</v>
      </c>
      <c r="CN40" s="144">
        <v>0</v>
      </c>
      <c r="CO40" s="144">
        <v>0</v>
      </c>
      <c r="CP40" s="144">
        <v>0</v>
      </c>
      <c r="CQ40" s="144">
        <v>0</v>
      </c>
      <c r="CR40" s="144">
        <v>0</v>
      </c>
      <c r="CS40" s="144">
        <v>0</v>
      </c>
      <c r="CT40" s="144">
        <v>0</v>
      </c>
      <c r="CU40" s="144">
        <v>0</v>
      </c>
      <c r="CV40" s="144">
        <v>0</v>
      </c>
    </row>
    <row r="41" spans="1:100" x14ac:dyDescent="0.15">
      <c r="A41" s="180" t="s">
        <v>231</v>
      </c>
      <c r="B41" s="144">
        <v>0</v>
      </c>
      <c r="C41" s="144">
        <v>0</v>
      </c>
      <c r="D41" s="144">
        <v>7.5750000000000026E-2</v>
      </c>
      <c r="E41" s="144">
        <v>0</v>
      </c>
      <c r="F41" s="144">
        <v>0</v>
      </c>
      <c r="G41" s="144">
        <v>0</v>
      </c>
      <c r="H41" s="144">
        <v>0</v>
      </c>
      <c r="I41" s="144">
        <v>0</v>
      </c>
      <c r="J41" s="144">
        <v>0</v>
      </c>
      <c r="K41" s="144">
        <v>0</v>
      </c>
      <c r="L41" s="144">
        <v>2.9794487718630563E-2</v>
      </c>
      <c r="M41" s="144">
        <v>0</v>
      </c>
      <c r="N41" s="144">
        <v>0</v>
      </c>
      <c r="O41" s="144">
        <v>0</v>
      </c>
      <c r="P41" s="144">
        <v>6.9730885618788253E-4</v>
      </c>
      <c r="Q41" s="144">
        <v>1.0193059993249135E-3</v>
      </c>
      <c r="R41" s="144">
        <v>0</v>
      </c>
      <c r="S41" s="144">
        <v>0</v>
      </c>
      <c r="T41" s="144">
        <v>5.7618779555759182E-3</v>
      </c>
      <c r="U41" s="144">
        <v>0</v>
      </c>
      <c r="V41" s="144">
        <v>0</v>
      </c>
      <c r="W41" s="144">
        <v>0</v>
      </c>
      <c r="X41" s="144">
        <v>0</v>
      </c>
      <c r="Y41" s="144">
        <v>0</v>
      </c>
      <c r="Z41" s="144">
        <v>0</v>
      </c>
      <c r="AA41" s="144">
        <v>0</v>
      </c>
      <c r="AB41" s="144">
        <v>0</v>
      </c>
      <c r="AC41" s="144">
        <v>0</v>
      </c>
      <c r="AD41" s="144">
        <v>5.517030533254285E-2</v>
      </c>
      <c r="AE41" s="144">
        <v>4.1905581767519559E-2</v>
      </c>
      <c r="AF41" s="144">
        <v>3.0006034189194623E-2</v>
      </c>
      <c r="AG41" s="144">
        <v>0</v>
      </c>
      <c r="AH41" s="144">
        <v>0</v>
      </c>
      <c r="AI41" s="144">
        <v>0</v>
      </c>
      <c r="AJ41" s="144">
        <v>0</v>
      </c>
      <c r="AK41" s="144">
        <v>0</v>
      </c>
      <c r="AL41" s="144">
        <v>0</v>
      </c>
      <c r="AM41" s="144">
        <v>0</v>
      </c>
      <c r="AN41" s="144">
        <v>0</v>
      </c>
      <c r="AO41" s="144">
        <v>0</v>
      </c>
      <c r="AP41" s="144">
        <v>0</v>
      </c>
      <c r="AQ41" s="144">
        <v>0</v>
      </c>
      <c r="AR41" s="144">
        <v>0</v>
      </c>
      <c r="AS41" s="144">
        <v>0</v>
      </c>
      <c r="AT41" s="144">
        <v>0</v>
      </c>
      <c r="AU41" s="144">
        <v>0</v>
      </c>
      <c r="AV41" s="144">
        <v>0</v>
      </c>
      <c r="AW41" s="144">
        <v>0</v>
      </c>
      <c r="AX41" s="144">
        <v>0</v>
      </c>
      <c r="AY41" s="144">
        <v>0</v>
      </c>
      <c r="AZ41" s="144">
        <v>0</v>
      </c>
      <c r="BA41" s="144">
        <v>0</v>
      </c>
      <c r="BB41" s="144">
        <v>0</v>
      </c>
      <c r="BC41" s="144">
        <v>0</v>
      </c>
      <c r="BD41" s="144">
        <v>0</v>
      </c>
      <c r="BE41" s="144">
        <v>0</v>
      </c>
      <c r="BF41" s="144">
        <v>0</v>
      </c>
      <c r="BG41" s="144">
        <v>0</v>
      </c>
      <c r="BH41" s="144">
        <v>0</v>
      </c>
      <c r="BI41" s="144">
        <v>0</v>
      </c>
      <c r="BJ41" s="144">
        <v>0</v>
      </c>
      <c r="BK41" s="144">
        <v>0</v>
      </c>
      <c r="BL41" s="144">
        <v>0</v>
      </c>
      <c r="BM41" s="144">
        <v>0</v>
      </c>
      <c r="BN41" s="144">
        <v>0</v>
      </c>
      <c r="BO41" s="144">
        <v>0</v>
      </c>
      <c r="BP41" s="144">
        <v>0</v>
      </c>
      <c r="BQ41" s="144">
        <v>0</v>
      </c>
      <c r="BR41" s="144">
        <v>0</v>
      </c>
      <c r="BS41" s="144">
        <v>0</v>
      </c>
      <c r="BT41" s="144">
        <v>0</v>
      </c>
      <c r="BU41" s="144">
        <v>0</v>
      </c>
      <c r="BV41" s="144">
        <v>0</v>
      </c>
      <c r="BW41" s="144">
        <v>0</v>
      </c>
      <c r="BX41" s="144">
        <v>0</v>
      </c>
      <c r="BY41" s="144">
        <v>0</v>
      </c>
      <c r="BZ41" s="144">
        <v>0</v>
      </c>
      <c r="CA41" s="144">
        <v>0</v>
      </c>
      <c r="CB41" s="144">
        <v>0</v>
      </c>
      <c r="CC41" s="144">
        <v>0</v>
      </c>
      <c r="CD41" s="144">
        <v>0</v>
      </c>
      <c r="CE41" s="144">
        <v>0</v>
      </c>
      <c r="CF41" s="144">
        <v>0</v>
      </c>
      <c r="CG41" s="144">
        <v>0</v>
      </c>
      <c r="CH41" s="144">
        <v>0</v>
      </c>
      <c r="CI41" s="144">
        <v>0</v>
      </c>
      <c r="CJ41" s="144">
        <v>0</v>
      </c>
      <c r="CK41" s="144">
        <v>0</v>
      </c>
      <c r="CL41" s="144">
        <v>0</v>
      </c>
      <c r="CM41" s="144">
        <v>0</v>
      </c>
      <c r="CN41" s="144">
        <v>0</v>
      </c>
      <c r="CO41" s="144">
        <v>0</v>
      </c>
      <c r="CP41" s="144">
        <v>0</v>
      </c>
      <c r="CQ41" s="144">
        <v>0</v>
      </c>
      <c r="CR41" s="144">
        <v>0</v>
      </c>
      <c r="CS41" s="144">
        <v>0</v>
      </c>
      <c r="CT41" s="144">
        <v>0</v>
      </c>
      <c r="CU41" s="144">
        <v>0</v>
      </c>
      <c r="CV41" s="144">
        <v>0</v>
      </c>
    </row>
    <row r="42" spans="1:100" x14ac:dyDescent="0.15">
      <c r="A42" s="180" t="s">
        <v>232</v>
      </c>
      <c r="B42" s="144">
        <v>1.0206195102918374E-3</v>
      </c>
      <c r="C42" s="144">
        <v>0</v>
      </c>
      <c r="D42" s="144">
        <v>0</v>
      </c>
      <c r="E42" s="144">
        <v>0</v>
      </c>
      <c r="F42" s="144">
        <v>0</v>
      </c>
      <c r="G42" s="144">
        <v>0</v>
      </c>
      <c r="H42" s="144">
        <v>0</v>
      </c>
      <c r="I42" s="144">
        <v>0</v>
      </c>
      <c r="J42" s="144">
        <v>0</v>
      </c>
      <c r="K42" s="144">
        <v>0</v>
      </c>
      <c r="L42" s="144">
        <v>0</v>
      </c>
      <c r="M42" s="144">
        <v>3.709440049706497E-5</v>
      </c>
      <c r="N42" s="144">
        <v>0</v>
      </c>
      <c r="O42" s="144">
        <v>3.5866000269748183E-3</v>
      </c>
      <c r="P42" s="144">
        <v>1.2441012531986235E-5</v>
      </c>
      <c r="Q42" s="144">
        <v>2.2069444885383399E-2</v>
      </c>
      <c r="R42" s="144">
        <v>7.9350330084841398E-3</v>
      </c>
      <c r="S42" s="144">
        <v>9.7502298302484976E-4</v>
      </c>
      <c r="T42" s="144">
        <v>1.9016563753382284E-2</v>
      </c>
      <c r="U42" s="144">
        <v>1.2759937006156324E-2</v>
      </c>
      <c r="V42" s="144">
        <v>4.4918560575285482E-2</v>
      </c>
      <c r="W42" s="144">
        <v>8.0714459165404408E-3</v>
      </c>
      <c r="X42" s="144">
        <v>2.6853081951337776E-3</v>
      </c>
      <c r="Y42" s="144">
        <v>0</v>
      </c>
      <c r="Z42" s="144">
        <v>0</v>
      </c>
      <c r="AA42" s="144">
        <v>0</v>
      </c>
      <c r="AB42" s="144">
        <v>0</v>
      </c>
      <c r="AC42" s="144">
        <v>0</v>
      </c>
      <c r="AD42" s="144">
        <v>0</v>
      </c>
      <c r="AE42" s="144">
        <v>0</v>
      </c>
      <c r="AF42" s="144">
        <v>1.6767441938081696E-3</v>
      </c>
      <c r="AG42" s="144">
        <v>9.9558867888057735E-4</v>
      </c>
      <c r="AH42" s="144">
        <v>0</v>
      </c>
      <c r="AI42" s="144">
        <v>0</v>
      </c>
      <c r="AJ42" s="144">
        <v>1.2067034385375241E-4</v>
      </c>
      <c r="AK42" s="144">
        <v>0</v>
      </c>
      <c r="AL42" s="144">
        <v>0</v>
      </c>
      <c r="AM42" s="144">
        <v>0</v>
      </c>
      <c r="AN42" s="144">
        <v>0</v>
      </c>
      <c r="AO42" s="144">
        <v>0</v>
      </c>
      <c r="AP42" s="144">
        <v>0</v>
      </c>
      <c r="AQ42" s="144">
        <v>0</v>
      </c>
      <c r="AR42" s="144">
        <v>0</v>
      </c>
      <c r="AS42" s="144">
        <v>0</v>
      </c>
      <c r="AT42" s="144">
        <v>0</v>
      </c>
      <c r="AU42" s="144">
        <v>0</v>
      </c>
      <c r="AV42" s="144">
        <v>0</v>
      </c>
      <c r="AW42" s="144">
        <v>0</v>
      </c>
      <c r="AX42" s="144">
        <v>0</v>
      </c>
      <c r="AY42" s="144">
        <v>0</v>
      </c>
      <c r="AZ42" s="144">
        <v>0</v>
      </c>
      <c r="BA42" s="144">
        <v>0</v>
      </c>
      <c r="BB42" s="144">
        <v>0</v>
      </c>
      <c r="BC42" s="144">
        <v>0</v>
      </c>
      <c r="BD42" s="144">
        <v>0</v>
      </c>
      <c r="BE42" s="144">
        <v>0</v>
      </c>
      <c r="BF42" s="144">
        <v>0</v>
      </c>
      <c r="BG42" s="144">
        <v>0</v>
      </c>
      <c r="BH42" s="144">
        <v>0</v>
      </c>
      <c r="BI42" s="144">
        <v>0</v>
      </c>
      <c r="BJ42" s="144">
        <v>0</v>
      </c>
      <c r="BK42" s="144">
        <v>0</v>
      </c>
      <c r="BL42" s="144">
        <v>0</v>
      </c>
      <c r="BM42" s="144">
        <v>0</v>
      </c>
      <c r="BN42" s="144">
        <v>0</v>
      </c>
      <c r="BO42" s="144">
        <v>0</v>
      </c>
      <c r="BP42" s="144">
        <v>0</v>
      </c>
      <c r="BQ42" s="144">
        <v>0</v>
      </c>
      <c r="BR42" s="144">
        <v>0</v>
      </c>
      <c r="BS42" s="144">
        <v>0</v>
      </c>
      <c r="BT42" s="144">
        <v>0</v>
      </c>
      <c r="BU42" s="144">
        <v>0</v>
      </c>
      <c r="BV42" s="144">
        <v>0</v>
      </c>
      <c r="BW42" s="144">
        <v>0</v>
      </c>
      <c r="BX42" s="144">
        <v>0</v>
      </c>
      <c r="BY42" s="144">
        <v>0</v>
      </c>
      <c r="BZ42" s="144">
        <v>0</v>
      </c>
      <c r="CA42" s="144">
        <v>0</v>
      </c>
      <c r="CB42" s="144">
        <v>0</v>
      </c>
      <c r="CC42" s="144">
        <v>0</v>
      </c>
      <c r="CD42" s="144">
        <v>0</v>
      </c>
      <c r="CE42" s="144">
        <v>0</v>
      </c>
      <c r="CF42" s="144">
        <v>0</v>
      </c>
      <c r="CG42" s="144">
        <v>0</v>
      </c>
      <c r="CH42" s="144">
        <v>0</v>
      </c>
      <c r="CI42" s="144">
        <v>0</v>
      </c>
      <c r="CJ42" s="144">
        <v>0</v>
      </c>
      <c r="CK42" s="144">
        <v>0</v>
      </c>
      <c r="CL42" s="144">
        <v>0</v>
      </c>
      <c r="CM42" s="144">
        <v>0</v>
      </c>
      <c r="CN42" s="144">
        <v>0</v>
      </c>
      <c r="CO42" s="144">
        <v>0</v>
      </c>
      <c r="CP42" s="144">
        <v>0</v>
      </c>
      <c r="CQ42" s="144">
        <v>0</v>
      </c>
      <c r="CR42" s="144">
        <v>0</v>
      </c>
      <c r="CS42" s="144">
        <v>0</v>
      </c>
      <c r="CT42" s="144">
        <v>0</v>
      </c>
      <c r="CU42" s="144">
        <v>0</v>
      </c>
      <c r="CV42" s="144">
        <v>0</v>
      </c>
    </row>
    <row r="43" spans="1:100" x14ac:dyDescent="0.15">
      <c r="A43" s="180" t="s">
        <v>233</v>
      </c>
      <c r="B43" s="144">
        <v>0.40824785011673409</v>
      </c>
      <c r="C43" s="144">
        <v>0</v>
      </c>
      <c r="D43" s="144">
        <v>0</v>
      </c>
      <c r="E43" s="144">
        <v>0</v>
      </c>
      <c r="F43" s="144">
        <v>0</v>
      </c>
      <c r="G43" s="144">
        <v>0</v>
      </c>
      <c r="H43" s="144">
        <v>0</v>
      </c>
      <c r="I43" s="144">
        <v>0</v>
      </c>
      <c r="J43" s="144">
        <v>0</v>
      </c>
      <c r="K43" s="144">
        <v>7.1767758062270537E-2</v>
      </c>
      <c r="L43" s="144">
        <v>1.6128731693552237E-2</v>
      </c>
      <c r="M43" s="144">
        <v>0</v>
      </c>
      <c r="N43" s="144">
        <v>0</v>
      </c>
      <c r="O43" s="144">
        <v>6.0886435657926868E-2</v>
      </c>
      <c r="P43" s="144">
        <v>0.23008277874216054</v>
      </c>
      <c r="Q43" s="144">
        <v>0.11395304692452887</v>
      </c>
      <c r="R43" s="144">
        <v>0.12686255613564149</v>
      </c>
      <c r="S43" s="144">
        <v>5.3444299069534747E-2</v>
      </c>
      <c r="T43" s="144">
        <v>9.6964919252400424E-3</v>
      </c>
      <c r="U43" s="144">
        <v>8.2921030040007157E-2</v>
      </c>
      <c r="V43" s="144">
        <v>5.929274555937997E-3</v>
      </c>
      <c r="W43" s="144">
        <v>5.5539331725717754E-2</v>
      </c>
      <c r="X43" s="144">
        <v>1.1809860590639509E-4</v>
      </c>
      <c r="Y43" s="144">
        <v>0</v>
      </c>
      <c r="Z43" s="144">
        <v>6.8489501834833775E-4</v>
      </c>
      <c r="AA43" s="144">
        <v>0</v>
      </c>
      <c r="AB43" s="144">
        <v>0</v>
      </c>
      <c r="AC43" s="144">
        <v>0</v>
      </c>
      <c r="AD43" s="144">
        <v>1.9471870082073937E-2</v>
      </c>
      <c r="AE43" s="144">
        <v>2.7875417645354988E-2</v>
      </c>
      <c r="AF43" s="144">
        <v>3.1894876082219563E-3</v>
      </c>
      <c r="AG43" s="144">
        <v>1.0840319770044297E-2</v>
      </c>
      <c r="AH43" s="144">
        <v>0</v>
      </c>
      <c r="AI43" s="144">
        <v>0</v>
      </c>
      <c r="AJ43" s="144">
        <v>0</v>
      </c>
      <c r="AK43" s="144">
        <v>0</v>
      </c>
      <c r="AL43" s="144">
        <v>0</v>
      </c>
      <c r="AM43" s="144">
        <v>0</v>
      </c>
      <c r="AN43" s="144">
        <v>2.6280175463529739E-5</v>
      </c>
      <c r="AO43" s="144">
        <v>0</v>
      </c>
      <c r="AP43" s="144">
        <v>0</v>
      </c>
      <c r="AQ43" s="144">
        <v>0.01</v>
      </c>
      <c r="AR43" s="144">
        <v>9.9980004559908048E-2</v>
      </c>
      <c r="AS43" s="144">
        <v>0</v>
      </c>
      <c r="AT43" s="144">
        <v>0</v>
      </c>
      <c r="AU43" s="144">
        <v>0</v>
      </c>
      <c r="AV43" s="144">
        <v>0</v>
      </c>
      <c r="AW43" s="144">
        <v>0</v>
      </c>
      <c r="AX43" s="144">
        <v>0</v>
      </c>
      <c r="AY43" s="144">
        <v>0</v>
      </c>
      <c r="AZ43" s="144">
        <v>0</v>
      </c>
      <c r="BA43" s="144">
        <v>0</v>
      </c>
      <c r="BB43" s="144">
        <v>0</v>
      </c>
      <c r="BC43" s="144">
        <v>0</v>
      </c>
      <c r="BD43" s="144">
        <v>0</v>
      </c>
      <c r="BE43" s="144">
        <v>0</v>
      </c>
      <c r="BF43" s="144">
        <v>0</v>
      </c>
      <c r="BG43" s="144">
        <v>0</v>
      </c>
      <c r="BH43" s="144">
        <v>0</v>
      </c>
      <c r="BI43" s="144">
        <v>0</v>
      </c>
      <c r="BJ43" s="144">
        <v>0</v>
      </c>
      <c r="BK43" s="144">
        <v>0</v>
      </c>
      <c r="BL43" s="144">
        <v>0</v>
      </c>
      <c r="BM43" s="144">
        <v>0</v>
      </c>
      <c r="BN43" s="144">
        <v>0</v>
      </c>
      <c r="BO43" s="144">
        <v>0</v>
      </c>
      <c r="BP43" s="144">
        <v>0</v>
      </c>
      <c r="BQ43" s="144">
        <v>0</v>
      </c>
      <c r="BR43" s="144">
        <v>0</v>
      </c>
      <c r="BS43" s="144">
        <v>0</v>
      </c>
      <c r="BT43" s="144">
        <v>0</v>
      </c>
      <c r="BU43" s="144">
        <v>0</v>
      </c>
      <c r="BV43" s="144">
        <v>0</v>
      </c>
      <c r="BW43" s="144">
        <v>0</v>
      </c>
      <c r="BX43" s="144">
        <v>0</v>
      </c>
      <c r="BY43" s="144">
        <v>0</v>
      </c>
      <c r="BZ43" s="144">
        <v>0</v>
      </c>
      <c r="CA43" s="144">
        <v>0</v>
      </c>
      <c r="CB43" s="144">
        <v>0</v>
      </c>
      <c r="CC43" s="144">
        <v>0</v>
      </c>
      <c r="CD43" s="144">
        <v>0</v>
      </c>
      <c r="CE43" s="144">
        <v>0</v>
      </c>
      <c r="CF43" s="144">
        <v>0</v>
      </c>
      <c r="CG43" s="144">
        <v>0</v>
      </c>
      <c r="CH43" s="144">
        <v>0</v>
      </c>
      <c r="CI43" s="144">
        <v>0</v>
      </c>
      <c r="CJ43" s="144">
        <v>0</v>
      </c>
      <c r="CK43" s="144">
        <v>0</v>
      </c>
      <c r="CL43" s="144">
        <v>0</v>
      </c>
      <c r="CM43" s="144">
        <v>0</v>
      </c>
      <c r="CN43" s="144">
        <v>0</v>
      </c>
      <c r="CO43" s="144">
        <v>0</v>
      </c>
      <c r="CP43" s="144">
        <v>0</v>
      </c>
      <c r="CQ43" s="144">
        <v>0</v>
      </c>
      <c r="CR43" s="144">
        <v>0</v>
      </c>
      <c r="CS43" s="144">
        <v>0</v>
      </c>
      <c r="CT43" s="144">
        <v>0</v>
      </c>
      <c r="CU43" s="144">
        <v>0</v>
      </c>
      <c r="CV43" s="144">
        <v>0</v>
      </c>
    </row>
    <row r="44" spans="1:100" x14ac:dyDescent="0.15">
      <c r="A44" s="180" t="s">
        <v>234</v>
      </c>
      <c r="B44" s="144">
        <v>0</v>
      </c>
      <c r="C44" s="144">
        <v>0</v>
      </c>
      <c r="D44" s="144">
        <v>0</v>
      </c>
      <c r="E44" s="144">
        <v>0</v>
      </c>
      <c r="F44" s="144">
        <v>0</v>
      </c>
      <c r="G44" s="144">
        <v>0</v>
      </c>
      <c r="H44" s="144">
        <v>0</v>
      </c>
      <c r="I44" s="144">
        <v>0</v>
      </c>
      <c r="J44" s="144">
        <v>0</v>
      </c>
      <c r="K44" s="144">
        <v>0</v>
      </c>
      <c r="L44" s="144">
        <v>1.3519639826948613E-3</v>
      </c>
      <c r="M44" s="144">
        <v>1.2323600165136243E-4</v>
      </c>
      <c r="N44" s="144">
        <v>0</v>
      </c>
      <c r="O44" s="144">
        <v>5.6074448321735915E-2</v>
      </c>
      <c r="P44" s="144">
        <v>4.7411792640804484E-3</v>
      </c>
      <c r="Q44" s="144">
        <v>7.2393719952053612E-2</v>
      </c>
      <c r="R44" s="144">
        <v>2.5372512627128304E-2</v>
      </c>
      <c r="S44" s="144">
        <v>3.2294749437748408E-3</v>
      </c>
      <c r="T44" s="144">
        <v>2.7828959785438707E-2</v>
      </c>
      <c r="U44" s="144">
        <v>3.5297330017030004E-2</v>
      </c>
      <c r="V44" s="144">
        <v>0.14449505685059152</v>
      </c>
      <c r="W44" s="144">
        <v>2.2070141271792531E-2</v>
      </c>
      <c r="X44" s="144">
        <v>2.7514066245216996E-2</v>
      </c>
      <c r="Y44" s="144">
        <v>0</v>
      </c>
      <c r="Z44" s="144">
        <v>3.992806106967276E-3</v>
      </c>
      <c r="AA44" s="144">
        <v>0</v>
      </c>
      <c r="AB44" s="144">
        <v>0</v>
      </c>
      <c r="AC44" s="144">
        <v>0</v>
      </c>
      <c r="AD44" s="144">
        <v>4.0025517468707569E-2</v>
      </c>
      <c r="AE44" s="144">
        <v>5.7901179678780468E-3</v>
      </c>
      <c r="AF44" s="144">
        <v>4.3291542540134294E-2</v>
      </c>
      <c r="AG44" s="144">
        <v>1.1262313261092548E-2</v>
      </c>
      <c r="AH44" s="144">
        <v>0</v>
      </c>
      <c r="AI44" s="144">
        <v>1.3896927231962935E-2</v>
      </c>
      <c r="AJ44" s="144">
        <v>3.1158569704024747E-3</v>
      </c>
      <c r="AK44" s="144">
        <v>0</v>
      </c>
      <c r="AL44" s="144">
        <v>0</v>
      </c>
      <c r="AM44" s="144">
        <v>0</v>
      </c>
      <c r="AN44" s="144">
        <v>2.9933346027964359E-3</v>
      </c>
      <c r="AO44" s="144">
        <v>0</v>
      </c>
      <c r="AP44" s="144">
        <v>0</v>
      </c>
      <c r="AQ44" s="144">
        <v>0.05</v>
      </c>
      <c r="AR44" s="144">
        <v>0</v>
      </c>
      <c r="AS44" s="144">
        <v>0</v>
      </c>
      <c r="AT44" s="144">
        <v>0</v>
      </c>
      <c r="AU44" s="144">
        <v>3.0003001470807083E-3</v>
      </c>
      <c r="AV44" s="144">
        <v>0</v>
      </c>
      <c r="AW44" s="144">
        <v>0</v>
      </c>
      <c r="AX44" s="144">
        <v>0</v>
      </c>
      <c r="AY44" s="144">
        <v>0</v>
      </c>
      <c r="AZ44" s="144">
        <v>0</v>
      </c>
      <c r="BA44" s="144">
        <v>0</v>
      </c>
      <c r="BB44" s="144">
        <v>0</v>
      </c>
      <c r="BC44" s="144">
        <v>0</v>
      </c>
      <c r="BD44" s="144">
        <v>0</v>
      </c>
      <c r="BE44" s="144">
        <v>0</v>
      </c>
      <c r="BF44" s="144">
        <v>0</v>
      </c>
      <c r="BG44" s="144">
        <v>0</v>
      </c>
      <c r="BH44" s="144">
        <v>0</v>
      </c>
      <c r="BI44" s="144">
        <v>0</v>
      </c>
      <c r="BJ44" s="144">
        <v>0</v>
      </c>
      <c r="BK44" s="144">
        <v>0</v>
      </c>
      <c r="BL44" s="144">
        <v>0</v>
      </c>
      <c r="BM44" s="144">
        <v>0</v>
      </c>
      <c r="BN44" s="144">
        <v>0</v>
      </c>
      <c r="BO44" s="144">
        <v>0</v>
      </c>
      <c r="BP44" s="144">
        <v>0</v>
      </c>
      <c r="BQ44" s="144">
        <v>0</v>
      </c>
      <c r="BR44" s="144">
        <v>0</v>
      </c>
      <c r="BS44" s="144">
        <v>0</v>
      </c>
      <c r="BT44" s="144">
        <v>0</v>
      </c>
      <c r="BU44" s="144">
        <v>0</v>
      </c>
      <c r="BV44" s="144">
        <v>0</v>
      </c>
      <c r="BW44" s="144">
        <v>0</v>
      </c>
      <c r="BX44" s="144">
        <v>0</v>
      </c>
      <c r="BY44" s="144">
        <v>0</v>
      </c>
      <c r="BZ44" s="144">
        <v>0</v>
      </c>
      <c r="CA44" s="144">
        <v>0</v>
      </c>
      <c r="CB44" s="144">
        <v>0</v>
      </c>
      <c r="CC44" s="144">
        <v>0</v>
      </c>
      <c r="CD44" s="144">
        <v>0</v>
      </c>
      <c r="CE44" s="144">
        <v>0</v>
      </c>
      <c r="CF44" s="144">
        <v>0</v>
      </c>
      <c r="CG44" s="144">
        <v>0</v>
      </c>
      <c r="CH44" s="144">
        <v>0</v>
      </c>
      <c r="CI44" s="144">
        <v>0</v>
      </c>
      <c r="CJ44" s="144">
        <v>0</v>
      </c>
      <c r="CK44" s="144">
        <v>0</v>
      </c>
      <c r="CL44" s="144">
        <v>0</v>
      </c>
      <c r="CM44" s="144">
        <v>0</v>
      </c>
      <c r="CN44" s="144">
        <v>0</v>
      </c>
      <c r="CO44" s="144">
        <v>0</v>
      </c>
      <c r="CP44" s="144">
        <v>0</v>
      </c>
      <c r="CQ44" s="144">
        <v>0</v>
      </c>
      <c r="CR44" s="144">
        <v>0</v>
      </c>
      <c r="CS44" s="144">
        <v>0</v>
      </c>
      <c r="CT44" s="144">
        <v>0</v>
      </c>
      <c r="CU44" s="144">
        <v>0</v>
      </c>
      <c r="CV44" s="144">
        <v>0</v>
      </c>
    </row>
    <row r="45" spans="1:100" x14ac:dyDescent="0.15">
      <c r="A45" s="180" t="s">
        <v>235</v>
      </c>
      <c r="B45" s="144">
        <v>0</v>
      </c>
      <c r="C45" s="144">
        <v>0</v>
      </c>
      <c r="D45" s="144">
        <v>0</v>
      </c>
      <c r="E45" s="144">
        <v>0</v>
      </c>
      <c r="F45" s="144">
        <v>0</v>
      </c>
      <c r="G45" s="144">
        <v>0</v>
      </c>
      <c r="H45" s="144">
        <v>0</v>
      </c>
      <c r="I45" s="144">
        <v>0</v>
      </c>
      <c r="J45" s="144">
        <v>0</v>
      </c>
      <c r="K45" s="144">
        <v>0</v>
      </c>
      <c r="L45" s="144">
        <v>0</v>
      </c>
      <c r="M45" s="144">
        <v>0</v>
      </c>
      <c r="N45" s="144">
        <v>0</v>
      </c>
      <c r="O45" s="144">
        <v>0</v>
      </c>
      <c r="P45" s="144">
        <v>0</v>
      </c>
      <c r="Q45" s="144">
        <v>0</v>
      </c>
      <c r="R45" s="144">
        <v>0</v>
      </c>
      <c r="S45" s="144">
        <v>0</v>
      </c>
      <c r="T45" s="144">
        <v>0</v>
      </c>
      <c r="U45" s="144">
        <v>0</v>
      </c>
      <c r="V45" s="144">
        <v>0</v>
      </c>
      <c r="W45" s="144">
        <v>0</v>
      </c>
      <c r="X45" s="144">
        <v>0</v>
      </c>
      <c r="Y45" s="144">
        <v>0</v>
      </c>
      <c r="Z45" s="144">
        <v>0</v>
      </c>
      <c r="AA45" s="144">
        <v>0</v>
      </c>
      <c r="AB45" s="144">
        <v>0</v>
      </c>
      <c r="AC45" s="144">
        <v>0</v>
      </c>
      <c r="AD45" s="144">
        <v>1.0817706445596636E-3</v>
      </c>
      <c r="AE45" s="144">
        <v>2.6229317154487092E-3</v>
      </c>
      <c r="AF45" s="144">
        <v>5.0010057015324365E-3</v>
      </c>
      <c r="AG45" s="144">
        <v>0</v>
      </c>
      <c r="AH45" s="144">
        <v>0</v>
      </c>
      <c r="AI45" s="144">
        <v>0</v>
      </c>
      <c r="AJ45" s="144">
        <v>2.5727311455616265E-4</v>
      </c>
      <c r="AK45" s="144">
        <v>6.9971100706918036E-5</v>
      </c>
      <c r="AL45" s="144">
        <v>0</v>
      </c>
      <c r="AM45" s="144">
        <v>0</v>
      </c>
      <c r="AN45" s="144">
        <v>2.4992272240813699E-3</v>
      </c>
      <c r="AO45" s="144">
        <v>0</v>
      </c>
      <c r="AP45" s="144">
        <v>0.01</v>
      </c>
      <c r="AQ45" s="144">
        <v>0</v>
      </c>
      <c r="AR45" s="144">
        <v>9.9980000459908014E-4</v>
      </c>
      <c r="AS45" s="144">
        <v>0</v>
      </c>
      <c r="AT45" s="144">
        <v>0</v>
      </c>
      <c r="AU45" s="144">
        <v>0</v>
      </c>
      <c r="AV45" s="144">
        <v>0</v>
      </c>
      <c r="AW45" s="144">
        <v>0</v>
      </c>
      <c r="AX45" s="144">
        <v>0</v>
      </c>
      <c r="AY45" s="144">
        <v>0</v>
      </c>
      <c r="AZ45" s="144">
        <v>0</v>
      </c>
      <c r="BA45" s="144">
        <v>0</v>
      </c>
      <c r="BB45" s="144">
        <v>0</v>
      </c>
      <c r="BC45" s="144">
        <v>0</v>
      </c>
      <c r="BD45" s="144">
        <v>0</v>
      </c>
      <c r="BE45" s="144">
        <v>0</v>
      </c>
      <c r="BF45" s="144">
        <v>0</v>
      </c>
      <c r="BG45" s="144">
        <v>0</v>
      </c>
      <c r="BH45" s="144">
        <v>0</v>
      </c>
      <c r="BI45" s="144">
        <v>0</v>
      </c>
      <c r="BJ45" s="144">
        <v>0</v>
      </c>
      <c r="BK45" s="144">
        <v>0</v>
      </c>
      <c r="BL45" s="144">
        <v>0</v>
      </c>
      <c r="BM45" s="144">
        <v>0</v>
      </c>
      <c r="BN45" s="144">
        <v>0</v>
      </c>
      <c r="BO45" s="144">
        <v>0</v>
      </c>
      <c r="BP45" s="144">
        <v>0</v>
      </c>
      <c r="BQ45" s="144">
        <v>0</v>
      </c>
      <c r="BR45" s="144">
        <v>0</v>
      </c>
      <c r="BS45" s="144">
        <v>0</v>
      </c>
      <c r="BT45" s="144">
        <v>0</v>
      </c>
      <c r="BU45" s="144">
        <v>0</v>
      </c>
      <c r="BV45" s="144">
        <v>0</v>
      </c>
      <c r="BW45" s="144">
        <v>0</v>
      </c>
      <c r="BX45" s="144">
        <v>0</v>
      </c>
      <c r="BY45" s="144">
        <v>0</v>
      </c>
      <c r="BZ45" s="144">
        <v>0</v>
      </c>
      <c r="CA45" s="144">
        <v>0</v>
      </c>
      <c r="CB45" s="144">
        <v>0</v>
      </c>
      <c r="CC45" s="144">
        <v>0</v>
      </c>
      <c r="CD45" s="144">
        <v>0</v>
      </c>
      <c r="CE45" s="144">
        <v>0</v>
      </c>
      <c r="CF45" s="144">
        <v>0</v>
      </c>
      <c r="CG45" s="144">
        <v>0</v>
      </c>
      <c r="CH45" s="144">
        <v>0</v>
      </c>
      <c r="CI45" s="144">
        <v>0</v>
      </c>
      <c r="CJ45" s="144">
        <v>0</v>
      </c>
      <c r="CK45" s="144">
        <v>0</v>
      </c>
      <c r="CL45" s="144">
        <v>0</v>
      </c>
      <c r="CM45" s="144">
        <v>0</v>
      </c>
      <c r="CN45" s="144">
        <v>0</v>
      </c>
      <c r="CO45" s="144">
        <v>0</v>
      </c>
      <c r="CP45" s="144">
        <v>0</v>
      </c>
      <c r="CQ45" s="144">
        <v>0</v>
      </c>
      <c r="CR45" s="144">
        <v>0</v>
      </c>
      <c r="CS45" s="144">
        <v>0</v>
      </c>
      <c r="CT45" s="144">
        <v>0</v>
      </c>
      <c r="CU45" s="144">
        <v>0</v>
      </c>
      <c r="CV45" s="144">
        <v>0</v>
      </c>
    </row>
    <row r="46" spans="1:100" x14ac:dyDescent="0.15">
      <c r="A46" s="180" t="s">
        <v>236</v>
      </c>
      <c r="B46" s="144">
        <v>0</v>
      </c>
      <c r="C46" s="144">
        <v>0</v>
      </c>
      <c r="D46" s="144">
        <v>0</v>
      </c>
      <c r="E46" s="144">
        <v>0</v>
      </c>
      <c r="F46" s="144">
        <v>0</v>
      </c>
      <c r="G46" s="144">
        <v>0</v>
      </c>
      <c r="H46" s="144">
        <v>0</v>
      </c>
      <c r="I46" s="144">
        <v>0</v>
      </c>
      <c r="J46" s="144">
        <v>0</v>
      </c>
      <c r="K46" s="144">
        <v>0</v>
      </c>
      <c r="L46" s="144">
        <v>0</v>
      </c>
      <c r="M46" s="144">
        <v>0</v>
      </c>
      <c r="N46" s="144">
        <v>0</v>
      </c>
      <c r="O46" s="144">
        <v>0</v>
      </c>
      <c r="P46" s="144">
        <v>0</v>
      </c>
      <c r="Q46" s="144">
        <v>0</v>
      </c>
      <c r="R46" s="144">
        <v>0</v>
      </c>
      <c r="S46" s="144">
        <v>0</v>
      </c>
      <c r="T46" s="144">
        <v>0</v>
      </c>
      <c r="U46" s="144">
        <v>0</v>
      </c>
      <c r="V46" s="144">
        <v>0</v>
      </c>
      <c r="W46" s="144">
        <v>0</v>
      </c>
      <c r="X46" s="144">
        <v>0</v>
      </c>
      <c r="Y46" s="144">
        <v>0</v>
      </c>
      <c r="Z46" s="144">
        <v>0</v>
      </c>
      <c r="AA46" s="144">
        <v>0</v>
      </c>
      <c r="AB46" s="144">
        <v>0</v>
      </c>
      <c r="AC46" s="144">
        <v>0</v>
      </c>
      <c r="AD46" s="144">
        <v>1.0817706445596636E-3</v>
      </c>
      <c r="AE46" s="144">
        <v>2.6229317154487092E-3</v>
      </c>
      <c r="AF46" s="144">
        <v>5.0010057015324365E-3</v>
      </c>
      <c r="AG46" s="144">
        <v>0</v>
      </c>
      <c r="AH46" s="144">
        <v>0</v>
      </c>
      <c r="AI46" s="144">
        <v>0</v>
      </c>
      <c r="AJ46" s="144">
        <v>2.5727311455616265E-4</v>
      </c>
      <c r="AK46" s="144">
        <v>6.9971100706918036E-5</v>
      </c>
      <c r="AL46" s="144">
        <v>0</v>
      </c>
      <c r="AM46" s="144">
        <v>0</v>
      </c>
      <c r="AN46" s="144">
        <v>2.4992272240813699E-3</v>
      </c>
      <c r="AO46" s="144">
        <v>0</v>
      </c>
      <c r="AP46" s="144">
        <v>0.01</v>
      </c>
      <c r="AQ46" s="144">
        <v>0</v>
      </c>
      <c r="AR46" s="144">
        <v>9.9980000459908014E-4</v>
      </c>
      <c r="AS46" s="144">
        <v>0</v>
      </c>
      <c r="AT46" s="144">
        <v>0</v>
      </c>
      <c r="AU46" s="144">
        <v>0</v>
      </c>
      <c r="AV46" s="144">
        <v>0</v>
      </c>
      <c r="AW46" s="144">
        <v>0</v>
      </c>
      <c r="AX46" s="144">
        <v>0</v>
      </c>
      <c r="AY46" s="144">
        <v>0</v>
      </c>
      <c r="AZ46" s="144">
        <v>0</v>
      </c>
      <c r="BA46" s="144">
        <v>0</v>
      </c>
      <c r="BB46" s="144">
        <v>0</v>
      </c>
      <c r="BC46" s="144">
        <v>0</v>
      </c>
      <c r="BD46" s="144">
        <v>0</v>
      </c>
      <c r="BE46" s="144">
        <v>0</v>
      </c>
      <c r="BF46" s="144">
        <v>0</v>
      </c>
      <c r="BG46" s="144">
        <v>0</v>
      </c>
      <c r="BH46" s="144">
        <v>0</v>
      </c>
      <c r="BI46" s="144">
        <v>0</v>
      </c>
      <c r="BJ46" s="144">
        <v>0</v>
      </c>
      <c r="BK46" s="144">
        <v>0</v>
      </c>
      <c r="BL46" s="144">
        <v>0</v>
      </c>
      <c r="BM46" s="144">
        <v>0</v>
      </c>
      <c r="BN46" s="144">
        <v>0</v>
      </c>
      <c r="BO46" s="144">
        <v>0</v>
      </c>
      <c r="BP46" s="144">
        <v>0</v>
      </c>
      <c r="BQ46" s="144">
        <v>0</v>
      </c>
      <c r="BR46" s="144">
        <v>0</v>
      </c>
      <c r="BS46" s="144">
        <v>0</v>
      </c>
      <c r="BT46" s="144">
        <v>0</v>
      </c>
      <c r="BU46" s="144">
        <v>0</v>
      </c>
      <c r="BV46" s="144">
        <v>0</v>
      </c>
      <c r="BW46" s="144">
        <v>0</v>
      </c>
      <c r="BX46" s="144">
        <v>0</v>
      </c>
      <c r="BY46" s="144">
        <v>0</v>
      </c>
      <c r="BZ46" s="144">
        <v>0</v>
      </c>
      <c r="CA46" s="144">
        <v>0</v>
      </c>
      <c r="CB46" s="144">
        <v>0</v>
      </c>
      <c r="CC46" s="144">
        <v>0</v>
      </c>
      <c r="CD46" s="144">
        <v>0</v>
      </c>
      <c r="CE46" s="144">
        <v>0</v>
      </c>
      <c r="CF46" s="144">
        <v>0</v>
      </c>
      <c r="CG46" s="144">
        <v>0</v>
      </c>
      <c r="CH46" s="144">
        <v>0</v>
      </c>
      <c r="CI46" s="144">
        <v>0</v>
      </c>
      <c r="CJ46" s="144">
        <v>0</v>
      </c>
      <c r="CK46" s="144">
        <v>0</v>
      </c>
      <c r="CL46" s="144">
        <v>0</v>
      </c>
      <c r="CM46" s="144">
        <v>0</v>
      </c>
      <c r="CN46" s="144">
        <v>0</v>
      </c>
      <c r="CO46" s="144">
        <v>0</v>
      </c>
      <c r="CP46" s="144">
        <v>0</v>
      </c>
      <c r="CQ46" s="144">
        <v>0</v>
      </c>
      <c r="CR46" s="144">
        <v>0</v>
      </c>
      <c r="CS46" s="144">
        <v>0</v>
      </c>
      <c r="CT46" s="144">
        <v>0</v>
      </c>
      <c r="CU46" s="144">
        <v>0</v>
      </c>
      <c r="CV46" s="144">
        <v>0</v>
      </c>
    </row>
    <row r="47" spans="1:100" x14ac:dyDescent="0.15">
      <c r="A47" s="180" t="s">
        <v>237</v>
      </c>
      <c r="B47" s="144">
        <v>1.0206195102918374E-3</v>
      </c>
      <c r="C47" s="144">
        <v>0</v>
      </c>
      <c r="D47" s="144">
        <v>0</v>
      </c>
      <c r="E47" s="144">
        <v>0</v>
      </c>
      <c r="F47" s="144">
        <v>0</v>
      </c>
      <c r="G47" s="144">
        <v>0</v>
      </c>
      <c r="H47" s="144">
        <v>0</v>
      </c>
      <c r="I47" s="144">
        <v>0</v>
      </c>
      <c r="J47" s="144">
        <v>0</v>
      </c>
      <c r="K47" s="144">
        <v>0</v>
      </c>
      <c r="L47" s="144">
        <v>1.193377984724762E-3</v>
      </c>
      <c r="M47" s="144">
        <v>0</v>
      </c>
      <c r="N47" s="144">
        <v>0.13844742976350866</v>
      </c>
      <c r="O47" s="144">
        <v>0</v>
      </c>
      <c r="P47" s="144">
        <v>8.0775254858409806E-3</v>
      </c>
      <c r="Q47" s="144">
        <v>2.403959998407857E-2</v>
      </c>
      <c r="R47" s="144">
        <v>9.9537890106425955E-3</v>
      </c>
      <c r="S47" s="144">
        <v>0</v>
      </c>
      <c r="T47" s="144">
        <v>1.1544506910991847E-2</v>
      </c>
      <c r="U47" s="144">
        <v>5.0260922924249525E-3</v>
      </c>
      <c r="V47" s="144">
        <v>1.5991117304803035E-3</v>
      </c>
      <c r="W47" s="144">
        <v>0</v>
      </c>
      <c r="X47" s="144">
        <v>0</v>
      </c>
      <c r="Y47" s="144">
        <v>0</v>
      </c>
      <c r="Z47" s="144">
        <v>0</v>
      </c>
      <c r="AA47" s="144">
        <v>0</v>
      </c>
      <c r="AB47" s="144">
        <v>0</v>
      </c>
      <c r="AC47" s="144">
        <v>0</v>
      </c>
      <c r="AD47" s="144">
        <v>0</v>
      </c>
      <c r="AE47" s="144">
        <v>5.2458634308974184E-3</v>
      </c>
      <c r="AF47" s="144">
        <v>0</v>
      </c>
      <c r="AG47" s="144">
        <v>0</v>
      </c>
      <c r="AH47" s="144">
        <v>0</v>
      </c>
      <c r="AI47" s="144">
        <v>0</v>
      </c>
      <c r="AJ47" s="144">
        <v>0</v>
      </c>
      <c r="AK47" s="144">
        <v>0</v>
      </c>
      <c r="AL47" s="144">
        <v>0</v>
      </c>
      <c r="AM47" s="144">
        <v>0</v>
      </c>
      <c r="AN47" s="144">
        <v>0</v>
      </c>
      <c r="AO47" s="144">
        <v>0</v>
      </c>
      <c r="AP47" s="144">
        <v>3.3000000000000002E-2</v>
      </c>
      <c r="AQ47" s="144">
        <v>0</v>
      </c>
      <c r="AR47" s="144">
        <v>0</v>
      </c>
      <c r="AS47" s="144">
        <v>0</v>
      </c>
      <c r="AT47" s="144">
        <v>0</v>
      </c>
      <c r="AU47" s="144">
        <v>0</v>
      </c>
      <c r="AV47" s="144">
        <v>0</v>
      </c>
      <c r="AW47" s="144">
        <v>0</v>
      </c>
      <c r="AX47" s="144">
        <v>0</v>
      </c>
      <c r="AY47" s="144">
        <v>0</v>
      </c>
      <c r="AZ47" s="144">
        <v>0</v>
      </c>
      <c r="BA47" s="144">
        <v>0</v>
      </c>
      <c r="BB47" s="144">
        <v>0</v>
      </c>
      <c r="BC47" s="144">
        <v>1.9999999999999996E-3</v>
      </c>
      <c r="BD47" s="144">
        <v>1.9994945802360511E-3</v>
      </c>
      <c r="BE47" s="144">
        <v>0</v>
      </c>
      <c r="BF47" s="144">
        <v>0</v>
      </c>
      <c r="BG47" s="144">
        <v>0</v>
      </c>
      <c r="BH47" s="144">
        <v>0</v>
      </c>
      <c r="BI47" s="144">
        <v>0</v>
      </c>
      <c r="BJ47" s="144">
        <v>0</v>
      </c>
      <c r="BK47" s="144">
        <v>0</v>
      </c>
      <c r="BL47" s="144">
        <v>0</v>
      </c>
      <c r="BM47" s="144">
        <v>0</v>
      </c>
      <c r="BN47" s="144">
        <v>0</v>
      </c>
      <c r="BO47" s="144">
        <v>0</v>
      </c>
      <c r="BP47" s="144">
        <v>0</v>
      </c>
      <c r="BQ47" s="144">
        <v>0</v>
      </c>
      <c r="BR47" s="144">
        <v>0</v>
      </c>
      <c r="BS47" s="144">
        <v>0</v>
      </c>
      <c r="BT47" s="144">
        <v>0</v>
      </c>
      <c r="BU47" s="144">
        <v>0</v>
      </c>
      <c r="BV47" s="144">
        <v>0</v>
      </c>
      <c r="BW47" s="144">
        <v>0</v>
      </c>
      <c r="BX47" s="144">
        <v>0</v>
      </c>
      <c r="BY47" s="144">
        <v>0</v>
      </c>
      <c r="BZ47" s="144">
        <v>0</v>
      </c>
      <c r="CA47" s="144">
        <v>0</v>
      </c>
      <c r="CB47" s="144">
        <v>0</v>
      </c>
      <c r="CC47" s="144">
        <v>0</v>
      </c>
      <c r="CD47" s="144">
        <v>0</v>
      </c>
      <c r="CE47" s="144">
        <v>0</v>
      </c>
      <c r="CF47" s="144">
        <v>0</v>
      </c>
      <c r="CG47" s="144">
        <v>0</v>
      </c>
      <c r="CH47" s="144">
        <v>0</v>
      </c>
      <c r="CI47" s="144">
        <v>0</v>
      </c>
      <c r="CJ47" s="144">
        <v>0</v>
      </c>
      <c r="CK47" s="144">
        <v>0</v>
      </c>
      <c r="CL47" s="144">
        <v>0</v>
      </c>
      <c r="CM47" s="144">
        <v>0</v>
      </c>
      <c r="CN47" s="144">
        <v>0</v>
      </c>
      <c r="CO47" s="144">
        <v>0</v>
      </c>
      <c r="CP47" s="144">
        <v>0</v>
      </c>
      <c r="CQ47" s="144">
        <v>0</v>
      </c>
      <c r="CR47" s="144">
        <v>0</v>
      </c>
      <c r="CS47" s="144">
        <v>0</v>
      </c>
      <c r="CT47" s="144">
        <v>0</v>
      </c>
      <c r="CU47" s="144">
        <v>0</v>
      </c>
      <c r="CV47" s="144">
        <v>0</v>
      </c>
    </row>
    <row r="48" spans="1:100" x14ac:dyDescent="0.15">
      <c r="A48" s="180" t="s">
        <v>238</v>
      </c>
      <c r="B48" s="144">
        <v>0</v>
      </c>
      <c r="C48" s="144">
        <v>0</v>
      </c>
      <c r="D48" s="144">
        <v>0</v>
      </c>
      <c r="E48" s="144">
        <v>0</v>
      </c>
      <c r="F48" s="144">
        <v>0</v>
      </c>
      <c r="G48" s="144">
        <v>0</v>
      </c>
      <c r="H48" s="144">
        <v>0</v>
      </c>
      <c r="I48" s="144">
        <v>0</v>
      </c>
      <c r="J48" s="144">
        <v>0</v>
      </c>
      <c r="K48" s="144">
        <v>0</v>
      </c>
      <c r="L48" s="144">
        <v>0</v>
      </c>
      <c r="M48" s="144">
        <v>0</v>
      </c>
      <c r="N48" s="144">
        <v>0</v>
      </c>
      <c r="O48" s="144">
        <v>0</v>
      </c>
      <c r="P48" s="144">
        <v>0</v>
      </c>
      <c r="Q48" s="144">
        <v>0</v>
      </c>
      <c r="R48" s="144">
        <v>0</v>
      </c>
      <c r="S48" s="144">
        <v>0</v>
      </c>
      <c r="T48" s="144">
        <v>0</v>
      </c>
      <c r="U48" s="144">
        <v>0</v>
      </c>
      <c r="V48" s="144">
        <v>0</v>
      </c>
      <c r="W48" s="144">
        <v>0</v>
      </c>
      <c r="X48" s="144">
        <v>0</v>
      </c>
      <c r="Y48" s="144">
        <v>0</v>
      </c>
      <c r="Z48" s="144">
        <v>0</v>
      </c>
      <c r="AA48" s="144">
        <v>0</v>
      </c>
      <c r="AB48" s="144">
        <v>0</v>
      </c>
      <c r="AC48" s="144">
        <v>0</v>
      </c>
      <c r="AD48" s="144">
        <v>0</v>
      </c>
      <c r="AE48" s="144">
        <v>0</v>
      </c>
      <c r="AF48" s="144">
        <v>0</v>
      </c>
      <c r="AG48" s="144">
        <v>0</v>
      </c>
      <c r="AH48" s="144">
        <v>0</v>
      </c>
      <c r="AI48" s="144">
        <v>0</v>
      </c>
      <c r="AJ48" s="144">
        <v>0</v>
      </c>
      <c r="AK48" s="144">
        <v>0</v>
      </c>
      <c r="AL48" s="144">
        <v>0</v>
      </c>
      <c r="AM48" s="144">
        <v>0</v>
      </c>
      <c r="AN48" s="144">
        <v>0</v>
      </c>
      <c r="AO48" s="144">
        <v>0</v>
      </c>
      <c r="AP48" s="144">
        <v>0</v>
      </c>
      <c r="AQ48" s="144">
        <v>0</v>
      </c>
      <c r="AR48" s="144">
        <v>1.9996000091981603E-3</v>
      </c>
      <c r="AS48" s="144">
        <v>0</v>
      </c>
      <c r="AT48" s="144">
        <v>0</v>
      </c>
      <c r="AU48" s="144">
        <v>0</v>
      </c>
      <c r="AV48" s="144">
        <v>0</v>
      </c>
      <c r="AW48" s="144">
        <v>0</v>
      </c>
      <c r="AX48" s="144">
        <v>0</v>
      </c>
      <c r="AY48" s="144">
        <v>0</v>
      </c>
      <c r="AZ48" s="144">
        <v>0</v>
      </c>
      <c r="BA48" s="144">
        <v>0</v>
      </c>
      <c r="BB48" s="144">
        <v>0</v>
      </c>
      <c r="BC48" s="144">
        <v>0</v>
      </c>
      <c r="BD48" s="144">
        <v>0</v>
      </c>
      <c r="BE48" s="144">
        <v>0</v>
      </c>
      <c r="BF48" s="144">
        <v>0</v>
      </c>
      <c r="BG48" s="144">
        <v>0</v>
      </c>
      <c r="BH48" s="144">
        <v>0</v>
      </c>
      <c r="BI48" s="144">
        <v>0</v>
      </c>
      <c r="BJ48" s="144">
        <v>0</v>
      </c>
      <c r="BK48" s="144">
        <v>0</v>
      </c>
      <c r="BL48" s="144">
        <v>0</v>
      </c>
      <c r="BM48" s="144">
        <v>0</v>
      </c>
      <c r="BN48" s="144">
        <v>0</v>
      </c>
      <c r="BO48" s="144">
        <v>0</v>
      </c>
      <c r="BP48" s="144">
        <v>0</v>
      </c>
      <c r="BQ48" s="144">
        <v>0</v>
      </c>
      <c r="BR48" s="144">
        <v>0</v>
      </c>
      <c r="BS48" s="144">
        <v>0</v>
      </c>
      <c r="BT48" s="144">
        <v>0</v>
      </c>
      <c r="BU48" s="144">
        <v>0</v>
      </c>
      <c r="BV48" s="144">
        <v>0</v>
      </c>
      <c r="BW48" s="144">
        <v>0</v>
      </c>
      <c r="BX48" s="144">
        <v>0</v>
      </c>
      <c r="BY48" s="144">
        <v>0</v>
      </c>
      <c r="BZ48" s="144">
        <v>0</v>
      </c>
      <c r="CA48" s="144">
        <v>0</v>
      </c>
      <c r="CB48" s="144">
        <v>0</v>
      </c>
      <c r="CC48" s="144">
        <v>0</v>
      </c>
      <c r="CD48" s="144">
        <v>0</v>
      </c>
      <c r="CE48" s="144">
        <v>0</v>
      </c>
      <c r="CF48" s="144">
        <v>0</v>
      </c>
      <c r="CG48" s="144">
        <v>0</v>
      </c>
      <c r="CH48" s="144">
        <v>0</v>
      </c>
      <c r="CI48" s="144">
        <v>0</v>
      </c>
      <c r="CJ48" s="144">
        <v>0</v>
      </c>
      <c r="CK48" s="144">
        <v>0</v>
      </c>
      <c r="CL48" s="144">
        <v>0</v>
      </c>
      <c r="CM48" s="144">
        <v>0</v>
      </c>
      <c r="CN48" s="144">
        <v>0</v>
      </c>
      <c r="CO48" s="144">
        <v>0</v>
      </c>
      <c r="CP48" s="144">
        <v>0</v>
      </c>
      <c r="CQ48" s="144">
        <v>0</v>
      </c>
      <c r="CR48" s="144">
        <v>0</v>
      </c>
      <c r="CS48" s="144">
        <v>0</v>
      </c>
      <c r="CT48" s="144">
        <v>0</v>
      </c>
      <c r="CU48" s="144">
        <v>0</v>
      </c>
      <c r="CV48" s="144">
        <v>0</v>
      </c>
    </row>
    <row r="49" spans="1:100" x14ac:dyDescent="0.15">
      <c r="A49" s="180" t="s">
        <v>239</v>
      </c>
      <c r="B49" s="144">
        <v>0</v>
      </c>
      <c r="C49" s="144">
        <v>0</v>
      </c>
      <c r="D49" s="144">
        <v>0</v>
      </c>
      <c r="E49" s="144">
        <v>0</v>
      </c>
      <c r="F49" s="144">
        <v>0</v>
      </c>
      <c r="G49" s="144">
        <v>0</v>
      </c>
      <c r="H49" s="144">
        <v>0</v>
      </c>
      <c r="I49" s="144">
        <v>0</v>
      </c>
      <c r="J49" s="144">
        <v>0</v>
      </c>
      <c r="K49" s="144">
        <v>0</v>
      </c>
      <c r="L49" s="144">
        <v>0</v>
      </c>
      <c r="M49" s="144">
        <v>0</v>
      </c>
      <c r="N49" s="144">
        <v>0</v>
      </c>
      <c r="O49" s="144">
        <v>0</v>
      </c>
      <c r="P49" s="144">
        <v>0</v>
      </c>
      <c r="Q49" s="144">
        <v>0</v>
      </c>
      <c r="R49" s="144">
        <v>0</v>
      </c>
      <c r="S49" s="144">
        <v>0</v>
      </c>
      <c r="T49" s="144">
        <v>0</v>
      </c>
      <c r="U49" s="144">
        <v>0</v>
      </c>
      <c r="V49" s="144">
        <v>0</v>
      </c>
      <c r="W49" s="144">
        <v>0</v>
      </c>
      <c r="X49" s="144">
        <v>0</v>
      </c>
      <c r="Y49" s="144">
        <v>0</v>
      </c>
      <c r="Z49" s="144">
        <v>0</v>
      </c>
      <c r="AA49" s="144">
        <v>0</v>
      </c>
      <c r="AB49" s="144">
        <v>0</v>
      </c>
      <c r="AC49" s="144">
        <v>0</v>
      </c>
      <c r="AD49" s="144">
        <v>2.1635412791193268E-3</v>
      </c>
      <c r="AE49" s="144">
        <v>8.3933829534358611E-3</v>
      </c>
      <c r="AF49" s="144">
        <v>2.0004024226129742E-3</v>
      </c>
      <c r="AG49" s="144">
        <v>4.0016871951122097E-3</v>
      </c>
      <c r="AH49" s="144">
        <v>9.9991041157496282E-4</v>
      </c>
      <c r="AI49" s="144">
        <v>0</v>
      </c>
      <c r="AJ49" s="144">
        <v>0</v>
      </c>
      <c r="AK49" s="144">
        <v>0</v>
      </c>
      <c r="AL49" s="144">
        <v>0</v>
      </c>
      <c r="AM49" s="144">
        <v>0</v>
      </c>
      <c r="AN49" s="144">
        <v>0</v>
      </c>
      <c r="AO49" s="144">
        <v>0</v>
      </c>
      <c r="AP49" s="144">
        <v>0.02</v>
      </c>
      <c r="AQ49" s="144">
        <v>0</v>
      </c>
      <c r="AR49" s="144">
        <v>9.9980000459908019E-5</v>
      </c>
      <c r="AS49" s="144">
        <v>0</v>
      </c>
      <c r="AT49" s="144">
        <v>0</v>
      </c>
      <c r="AU49" s="144">
        <v>0</v>
      </c>
      <c r="AV49" s="144">
        <v>0</v>
      </c>
      <c r="AW49" s="144">
        <v>0</v>
      </c>
      <c r="AX49" s="144">
        <v>0</v>
      </c>
      <c r="AY49" s="144">
        <v>0</v>
      </c>
      <c r="AZ49" s="144">
        <v>0</v>
      </c>
      <c r="BA49" s="144">
        <v>0</v>
      </c>
      <c r="BB49" s="144">
        <v>0</v>
      </c>
      <c r="BC49" s="144">
        <v>0</v>
      </c>
      <c r="BD49" s="144">
        <v>0</v>
      </c>
      <c r="BE49" s="144">
        <v>0</v>
      </c>
      <c r="BF49" s="144">
        <v>0</v>
      </c>
      <c r="BG49" s="144">
        <v>0</v>
      </c>
      <c r="BH49" s="144">
        <v>0</v>
      </c>
      <c r="BI49" s="144">
        <v>0</v>
      </c>
      <c r="BJ49" s="144">
        <v>0</v>
      </c>
      <c r="BK49" s="144">
        <v>0</v>
      </c>
      <c r="BL49" s="144">
        <v>0</v>
      </c>
      <c r="BM49" s="144">
        <v>0</v>
      </c>
      <c r="BN49" s="144">
        <v>0</v>
      </c>
      <c r="BO49" s="144">
        <v>0</v>
      </c>
      <c r="BP49" s="144">
        <v>0</v>
      </c>
      <c r="BQ49" s="144">
        <v>0</v>
      </c>
      <c r="BR49" s="144">
        <v>0</v>
      </c>
      <c r="BS49" s="144">
        <v>0</v>
      </c>
      <c r="BT49" s="144">
        <v>0</v>
      </c>
      <c r="BU49" s="144">
        <v>0</v>
      </c>
      <c r="BV49" s="144">
        <v>0</v>
      </c>
      <c r="BW49" s="144">
        <v>0</v>
      </c>
      <c r="BX49" s="144">
        <v>0</v>
      </c>
      <c r="BY49" s="144">
        <v>0</v>
      </c>
      <c r="BZ49" s="144">
        <v>0</v>
      </c>
      <c r="CA49" s="144">
        <v>0</v>
      </c>
      <c r="CB49" s="144">
        <v>0</v>
      </c>
      <c r="CC49" s="144">
        <v>0</v>
      </c>
      <c r="CD49" s="144">
        <v>0</v>
      </c>
      <c r="CE49" s="144">
        <v>0</v>
      </c>
      <c r="CF49" s="144">
        <v>0</v>
      </c>
      <c r="CG49" s="144">
        <v>0</v>
      </c>
      <c r="CH49" s="144">
        <v>0</v>
      </c>
      <c r="CI49" s="144">
        <v>0</v>
      </c>
      <c r="CJ49" s="144">
        <v>0</v>
      </c>
      <c r="CK49" s="144">
        <v>0</v>
      </c>
      <c r="CL49" s="144">
        <v>0</v>
      </c>
      <c r="CM49" s="144">
        <v>0</v>
      </c>
      <c r="CN49" s="144">
        <v>0</v>
      </c>
      <c r="CO49" s="144">
        <v>0</v>
      </c>
      <c r="CP49" s="144">
        <v>0</v>
      </c>
      <c r="CQ49" s="144">
        <v>0</v>
      </c>
      <c r="CR49" s="144">
        <v>0</v>
      </c>
      <c r="CS49" s="144">
        <v>0</v>
      </c>
      <c r="CT49" s="144">
        <v>0</v>
      </c>
      <c r="CU49" s="144">
        <v>0</v>
      </c>
      <c r="CV49" s="144">
        <v>0</v>
      </c>
    </row>
    <row r="50" spans="1:100" x14ac:dyDescent="0.15">
      <c r="A50" s="180" t="s">
        <v>240</v>
      </c>
      <c r="B50" s="144">
        <v>1.0206195102918374E-3</v>
      </c>
      <c r="C50" s="144">
        <v>0</v>
      </c>
      <c r="D50" s="144">
        <v>0</v>
      </c>
      <c r="E50" s="144">
        <v>0</v>
      </c>
      <c r="F50" s="144">
        <v>0</v>
      </c>
      <c r="G50" s="144">
        <v>0</v>
      </c>
      <c r="H50" s="144">
        <v>0</v>
      </c>
      <c r="I50" s="144">
        <v>0</v>
      </c>
      <c r="J50" s="144">
        <v>0</v>
      </c>
      <c r="K50" s="144">
        <v>0</v>
      </c>
      <c r="L50" s="144">
        <v>3.8296399509806097E-4</v>
      </c>
      <c r="M50" s="144">
        <v>0</v>
      </c>
      <c r="N50" s="144">
        <v>0</v>
      </c>
      <c r="O50" s="144">
        <v>7.2997490549014108E-6</v>
      </c>
      <c r="P50" s="144">
        <v>0</v>
      </c>
      <c r="Q50" s="144">
        <v>1.1840918092157758E-2</v>
      </c>
      <c r="R50" s="144">
        <v>1.1917142212741814E-2</v>
      </c>
      <c r="S50" s="144">
        <v>0</v>
      </c>
      <c r="T50" s="144">
        <v>4.7407009634491933E-3</v>
      </c>
      <c r="U50" s="144">
        <v>5.5517910026785884E-4</v>
      </c>
      <c r="V50" s="144">
        <v>9.8929321267017482E-3</v>
      </c>
      <c r="W50" s="144">
        <v>0</v>
      </c>
      <c r="X50" s="144">
        <v>0</v>
      </c>
      <c r="Y50" s="144">
        <v>0</v>
      </c>
      <c r="Z50" s="144">
        <v>0</v>
      </c>
      <c r="AA50" s="144">
        <v>0</v>
      </c>
      <c r="AB50" s="144">
        <v>0</v>
      </c>
      <c r="AC50" s="144">
        <v>0</v>
      </c>
      <c r="AD50" s="144">
        <v>0</v>
      </c>
      <c r="AE50" s="144">
        <v>0</v>
      </c>
      <c r="AF50" s="144">
        <v>0</v>
      </c>
      <c r="AG50" s="144">
        <v>0</v>
      </c>
      <c r="AH50" s="144">
        <v>0</v>
      </c>
      <c r="AI50" s="144">
        <v>0</v>
      </c>
      <c r="AJ50" s="144">
        <v>0</v>
      </c>
      <c r="AK50" s="144">
        <v>0</v>
      </c>
      <c r="AL50" s="144">
        <v>0</v>
      </c>
      <c r="AM50" s="144">
        <v>0</v>
      </c>
      <c r="AN50" s="144">
        <v>0</v>
      </c>
      <c r="AO50" s="144">
        <v>0</v>
      </c>
      <c r="AP50" s="144">
        <v>0</v>
      </c>
      <c r="AQ50" s="144">
        <v>0</v>
      </c>
      <c r="AR50" s="144">
        <v>4.9990002329954021E-2</v>
      </c>
      <c r="AS50" s="144">
        <v>0</v>
      </c>
      <c r="AT50" s="144">
        <v>0</v>
      </c>
      <c r="AU50" s="144">
        <v>0</v>
      </c>
      <c r="AV50" s="144">
        <v>0</v>
      </c>
      <c r="AW50" s="144">
        <v>0</v>
      </c>
      <c r="AX50" s="144">
        <v>0</v>
      </c>
      <c r="AY50" s="144">
        <v>0</v>
      </c>
      <c r="AZ50" s="144">
        <v>0</v>
      </c>
      <c r="BA50" s="144">
        <v>0</v>
      </c>
      <c r="BB50" s="144">
        <v>0</v>
      </c>
      <c r="BC50" s="144">
        <v>0</v>
      </c>
      <c r="BD50" s="144">
        <v>0</v>
      </c>
      <c r="BE50" s="144">
        <v>0</v>
      </c>
      <c r="BF50" s="144">
        <v>0</v>
      </c>
      <c r="BG50" s="144">
        <v>0</v>
      </c>
      <c r="BH50" s="144">
        <v>0</v>
      </c>
      <c r="BI50" s="144">
        <v>0</v>
      </c>
      <c r="BJ50" s="144">
        <v>0</v>
      </c>
      <c r="BK50" s="144">
        <v>0</v>
      </c>
      <c r="BL50" s="144">
        <v>0</v>
      </c>
      <c r="BM50" s="144">
        <v>0</v>
      </c>
      <c r="BN50" s="144">
        <v>0</v>
      </c>
      <c r="BO50" s="144">
        <v>0</v>
      </c>
      <c r="BP50" s="144">
        <v>0</v>
      </c>
      <c r="BQ50" s="144">
        <v>0</v>
      </c>
      <c r="BR50" s="144">
        <v>0</v>
      </c>
      <c r="BS50" s="144">
        <v>0</v>
      </c>
      <c r="BT50" s="144">
        <v>0</v>
      </c>
      <c r="BU50" s="144">
        <v>0</v>
      </c>
      <c r="BV50" s="144">
        <v>0</v>
      </c>
      <c r="BW50" s="144">
        <v>0</v>
      </c>
      <c r="BX50" s="144">
        <v>0</v>
      </c>
      <c r="BY50" s="144">
        <v>0</v>
      </c>
      <c r="BZ50" s="144">
        <v>0</v>
      </c>
      <c r="CA50" s="144">
        <v>0</v>
      </c>
      <c r="CB50" s="144">
        <v>0</v>
      </c>
      <c r="CC50" s="144">
        <v>0</v>
      </c>
      <c r="CD50" s="144">
        <v>0</v>
      </c>
      <c r="CE50" s="144">
        <v>0</v>
      </c>
      <c r="CF50" s="144">
        <v>0</v>
      </c>
      <c r="CG50" s="144">
        <v>0</v>
      </c>
      <c r="CH50" s="144">
        <v>0</v>
      </c>
      <c r="CI50" s="144">
        <v>0</v>
      </c>
      <c r="CJ50" s="144">
        <v>0</v>
      </c>
      <c r="CK50" s="144">
        <v>0</v>
      </c>
      <c r="CL50" s="144">
        <v>0</v>
      </c>
      <c r="CM50" s="144">
        <v>0</v>
      </c>
      <c r="CN50" s="144">
        <v>0</v>
      </c>
      <c r="CO50" s="144">
        <v>0</v>
      </c>
      <c r="CP50" s="144">
        <v>0</v>
      </c>
      <c r="CQ50" s="144">
        <v>0</v>
      </c>
      <c r="CR50" s="144">
        <v>0</v>
      </c>
      <c r="CS50" s="144">
        <v>0</v>
      </c>
      <c r="CT50" s="144">
        <v>0</v>
      </c>
      <c r="CU50" s="144">
        <v>0</v>
      </c>
      <c r="CV50" s="144">
        <v>0</v>
      </c>
    </row>
    <row r="51" spans="1:100" x14ac:dyDescent="0.15">
      <c r="A51" s="180" t="s">
        <v>241</v>
      </c>
      <c r="B51" s="144">
        <v>0</v>
      </c>
      <c r="C51" s="144">
        <v>0</v>
      </c>
      <c r="D51" s="144">
        <v>0</v>
      </c>
      <c r="E51" s="144">
        <v>0</v>
      </c>
      <c r="F51" s="144">
        <v>0</v>
      </c>
      <c r="G51" s="144">
        <v>0</v>
      </c>
      <c r="H51" s="144">
        <v>0</v>
      </c>
      <c r="I51" s="144">
        <v>0</v>
      </c>
      <c r="J51" s="144">
        <v>0</v>
      </c>
      <c r="K51" s="144">
        <v>0</v>
      </c>
      <c r="L51" s="144">
        <v>5.7268699266960668E-5</v>
      </c>
      <c r="M51" s="144">
        <v>0</v>
      </c>
      <c r="N51" s="144">
        <v>0</v>
      </c>
      <c r="O51" s="144">
        <v>3.6513337674616807E-3</v>
      </c>
      <c r="P51" s="144">
        <v>5.6892906688972187E-4</v>
      </c>
      <c r="Q51" s="144">
        <v>2.1307293285888172E-2</v>
      </c>
      <c r="R51" s="144">
        <v>1.7070780018252088E-2</v>
      </c>
      <c r="S51" s="144">
        <v>0</v>
      </c>
      <c r="T51" s="144">
        <v>2.0069239845266155E-3</v>
      </c>
      <c r="U51" s="144">
        <v>1.9823792409564443E-3</v>
      </c>
      <c r="V51" s="144">
        <v>1.4433568484855039E-2</v>
      </c>
      <c r="W51" s="144">
        <v>0</v>
      </c>
      <c r="X51" s="144">
        <v>5.9997769444414661E-3</v>
      </c>
      <c r="Y51" s="144">
        <v>0</v>
      </c>
      <c r="Z51" s="144">
        <v>0</v>
      </c>
      <c r="AA51" s="144">
        <v>0</v>
      </c>
      <c r="AB51" s="144">
        <v>0</v>
      </c>
      <c r="AC51" s="144">
        <v>0</v>
      </c>
      <c r="AD51" s="144">
        <v>2.1635412791193268E-3</v>
      </c>
      <c r="AE51" s="144">
        <v>6.3422299648150833E-3</v>
      </c>
      <c r="AF51" s="144">
        <v>5.1476753809908196E-4</v>
      </c>
      <c r="AG51" s="144">
        <v>2.3725572496709432E-3</v>
      </c>
      <c r="AH51" s="144">
        <v>0</v>
      </c>
      <c r="AI51" s="144">
        <v>1.4097820032424988E-3</v>
      </c>
      <c r="AJ51" s="144">
        <v>3.1234281803305558E-3</v>
      </c>
      <c r="AK51" s="144">
        <v>0</v>
      </c>
      <c r="AL51" s="144">
        <v>0</v>
      </c>
      <c r="AM51" s="144">
        <v>0</v>
      </c>
      <c r="AN51" s="144">
        <v>0</v>
      </c>
      <c r="AO51" s="144">
        <v>0</v>
      </c>
      <c r="AP51" s="144">
        <v>0.01</v>
      </c>
      <c r="AQ51" s="144">
        <v>0</v>
      </c>
      <c r="AR51" s="144">
        <v>1.9996000091981603E-2</v>
      </c>
      <c r="AS51" s="144">
        <v>0</v>
      </c>
      <c r="AT51" s="144">
        <v>0</v>
      </c>
      <c r="AU51" s="144">
        <v>0</v>
      </c>
      <c r="AV51" s="144">
        <v>0</v>
      </c>
      <c r="AW51" s="144">
        <v>0</v>
      </c>
      <c r="AX51" s="144">
        <v>0</v>
      </c>
      <c r="AY51" s="144">
        <v>0</v>
      </c>
      <c r="AZ51" s="144">
        <v>0</v>
      </c>
      <c r="BA51" s="144">
        <v>0</v>
      </c>
      <c r="BB51" s="144">
        <v>0</v>
      </c>
      <c r="BC51" s="144">
        <v>1.9999999999999996E-3</v>
      </c>
      <c r="BD51" s="144">
        <v>1.9994945802360511E-3</v>
      </c>
      <c r="BE51" s="144">
        <v>0</v>
      </c>
      <c r="BF51" s="144">
        <v>2.0005033022156534E-3</v>
      </c>
      <c r="BG51" s="144">
        <v>0</v>
      </c>
      <c r="BH51" s="144">
        <v>0</v>
      </c>
      <c r="BI51" s="144">
        <v>0</v>
      </c>
      <c r="BJ51" s="144">
        <v>0</v>
      </c>
      <c r="BK51" s="144">
        <v>0</v>
      </c>
      <c r="BL51" s="144">
        <v>0</v>
      </c>
      <c r="BM51" s="144">
        <v>0</v>
      </c>
      <c r="BN51" s="144">
        <v>0</v>
      </c>
      <c r="BO51" s="144">
        <v>0</v>
      </c>
      <c r="BP51" s="144">
        <v>0</v>
      </c>
      <c r="BQ51" s="144">
        <v>0</v>
      </c>
      <c r="BR51" s="144">
        <v>0</v>
      </c>
      <c r="BS51" s="144">
        <v>0</v>
      </c>
      <c r="BT51" s="144">
        <v>0</v>
      </c>
      <c r="BU51" s="144">
        <v>0</v>
      </c>
      <c r="BV51" s="144">
        <v>0</v>
      </c>
      <c r="BW51" s="144">
        <v>0</v>
      </c>
      <c r="BX51" s="144">
        <v>0</v>
      </c>
      <c r="BY51" s="144">
        <v>0</v>
      </c>
      <c r="BZ51" s="144">
        <v>0</v>
      </c>
      <c r="CA51" s="144">
        <v>0</v>
      </c>
      <c r="CB51" s="144">
        <v>0</v>
      </c>
      <c r="CC51" s="144">
        <v>0</v>
      </c>
      <c r="CD51" s="144">
        <v>0</v>
      </c>
      <c r="CE51" s="144">
        <v>0</v>
      </c>
      <c r="CF51" s="144">
        <v>0</v>
      </c>
      <c r="CG51" s="144">
        <v>0</v>
      </c>
      <c r="CH51" s="144">
        <v>0</v>
      </c>
      <c r="CI51" s="144">
        <v>0</v>
      </c>
      <c r="CJ51" s="144">
        <v>0</v>
      </c>
      <c r="CK51" s="144">
        <v>0</v>
      </c>
      <c r="CL51" s="144">
        <v>0</v>
      </c>
      <c r="CM51" s="144">
        <v>0</v>
      </c>
      <c r="CN51" s="144">
        <v>0</v>
      </c>
      <c r="CO51" s="144">
        <v>0</v>
      </c>
      <c r="CP51" s="144">
        <v>0</v>
      </c>
      <c r="CQ51" s="144">
        <v>0</v>
      </c>
      <c r="CR51" s="144">
        <v>0</v>
      </c>
      <c r="CS51" s="144">
        <v>0</v>
      </c>
      <c r="CT51" s="144">
        <v>0</v>
      </c>
      <c r="CU51" s="144">
        <v>0</v>
      </c>
      <c r="CV51" s="144">
        <v>0</v>
      </c>
    </row>
    <row r="52" spans="1:100" x14ac:dyDescent="0.15">
      <c r="A52" s="180" t="s">
        <v>242</v>
      </c>
      <c r="B52" s="144">
        <v>0</v>
      </c>
      <c r="C52" s="144">
        <v>0</v>
      </c>
      <c r="D52" s="144">
        <v>7.5000000000000032E-3</v>
      </c>
      <c r="E52" s="144">
        <v>0</v>
      </c>
      <c r="F52" s="144">
        <v>0</v>
      </c>
      <c r="G52" s="144">
        <v>0</v>
      </c>
      <c r="H52" s="144">
        <v>0</v>
      </c>
      <c r="I52" s="144">
        <v>0</v>
      </c>
      <c r="J52" s="144">
        <v>0</v>
      </c>
      <c r="K52" s="144">
        <v>0</v>
      </c>
      <c r="L52" s="144">
        <v>0</v>
      </c>
      <c r="M52" s="144">
        <v>0</v>
      </c>
      <c r="N52" s="144">
        <v>0</v>
      </c>
      <c r="O52" s="144">
        <v>3.0003572125656863E-2</v>
      </c>
      <c r="P52" s="144">
        <v>1.9169605995201686E-4</v>
      </c>
      <c r="Q52" s="144">
        <v>9.5503649936747915E-4</v>
      </c>
      <c r="R52" s="144">
        <v>6.1990260066280018E-3</v>
      </c>
      <c r="S52" s="144">
        <v>0.16141991018967936</v>
      </c>
      <c r="T52" s="144">
        <v>1.1873019908459012E-3</v>
      </c>
      <c r="U52" s="144">
        <v>0.20104370009699812</v>
      </c>
      <c r="V52" s="144">
        <v>7.3362990939581832E-2</v>
      </c>
      <c r="W52" s="144">
        <v>5.7995024500325641E-2</v>
      </c>
      <c r="X52" s="144">
        <v>3.0228709720079124E-2</v>
      </c>
      <c r="Y52" s="144">
        <v>0</v>
      </c>
      <c r="Z52" s="144">
        <v>8.8717002376728507E-4</v>
      </c>
      <c r="AA52" s="144">
        <v>0</v>
      </c>
      <c r="AB52" s="144">
        <v>0</v>
      </c>
      <c r="AC52" s="144">
        <v>0</v>
      </c>
      <c r="AD52" s="144">
        <v>5.0843220214304185E-4</v>
      </c>
      <c r="AE52" s="144">
        <v>1.5737593112692239E-2</v>
      </c>
      <c r="AF52" s="144">
        <v>3.9011759855938549E-2</v>
      </c>
      <c r="AG52" s="144">
        <v>9.3597068014525386E-3</v>
      </c>
      <c r="AH52" s="144">
        <v>0</v>
      </c>
      <c r="AI52" s="144">
        <v>8.5959960197707908E-3</v>
      </c>
      <c r="AJ52" s="144">
        <v>0</v>
      </c>
      <c r="AK52" s="144">
        <v>0</v>
      </c>
      <c r="AL52" s="144">
        <v>0</v>
      </c>
      <c r="AM52" s="144">
        <v>0</v>
      </c>
      <c r="AN52" s="144">
        <v>3.1591512857211103E-2</v>
      </c>
      <c r="AO52" s="144">
        <v>0</v>
      </c>
      <c r="AP52" s="144">
        <v>0.01</v>
      </c>
      <c r="AQ52" s="144">
        <v>0</v>
      </c>
      <c r="AR52" s="144">
        <v>9.9980000459908014E-3</v>
      </c>
      <c r="AS52" s="144">
        <v>0</v>
      </c>
      <c r="AT52" s="144">
        <v>0</v>
      </c>
      <c r="AU52" s="144">
        <v>0</v>
      </c>
      <c r="AV52" s="144">
        <v>0</v>
      </c>
      <c r="AW52" s="144">
        <v>0</v>
      </c>
      <c r="AX52" s="144">
        <v>0</v>
      </c>
      <c r="AY52" s="144">
        <v>0</v>
      </c>
      <c r="AZ52" s="144">
        <v>0</v>
      </c>
      <c r="BA52" s="144">
        <v>0</v>
      </c>
      <c r="BB52" s="144">
        <v>0</v>
      </c>
      <c r="BC52" s="144">
        <v>1.9999999999999996E-3</v>
      </c>
      <c r="BD52" s="144">
        <v>1.9994945802360511E-3</v>
      </c>
      <c r="BE52" s="144">
        <v>0</v>
      </c>
      <c r="BF52" s="144">
        <v>2.0005033022156534E-3</v>
      </c>
      <c r="BG52" s="144">
        <v>0</v>
      </c>
      <c r="BH52" s="144">
        <v>0</v>
      </c>
      <c r="BI52" s="144">
        <v>0</v>
      </c>
      <c r="BJ52" s="144">
        <v>0</v>
      </c>
      <c r="BK52" s="144">
        <v>0</v>
      </c>
      <c r="BL52" s="144">
        <v>0</v>
      </c>
      <c r="BM52" s="144">
        <v>0</v>
      </c>
      <c r="BN52" s="144">
        <v>0</v>
      </c>
      <c r="BO52" s="144">
        <v>0</v>
      </c>
      <c r="BP52" s="144">
        <v>0</v>
      </c>
      <c r="BQ52" s="144">
        <v>0</v>
      </c>
      <c r="BR52" s="144">
        <v>0</v>
      </c>
      <c r="BS52" s="144">
        <v>0</v>
      </c>
      <c r="BT52" s="144">
        <v>0</v>
      </c>
      <c r="BU52" s="144">
        <v>0</v>
      </c>
      <c r="BV52" s="144">
        <v>0</v>
      </c>
      <c r="BW52" s="144">
        <v>0</v>
      </c>
      <c r="BX52" s="144">
        <v>0</v>
      </c>
      <c r="BY52" s="144">
        <v>0</v>
      </c>
      <c r="BZ52" s="144">
        <v>0</v>
      </c>
      <c r="CA52" s="144">
        <v>0</v>
      </c>
      <c r="CB52" s="144">
        <v>0</v>
      </c>
      <c r="CC52" s="144">
        <v>0</v>
      </c>
      <c r="CD52" s="144">
        <v>0</v>
      </c>
      <c r="CE52" s="144">
        <v>0</v>
      </c>
      <c r="CF52" s="144">
        <v>0</v>
      </c>
      <c r="CG52" s="144">
        <v>0</v>
      </c>
      <c r="CH52" s="144">
        <v>0</v>
      </c>
      <c r="CI52" s="144">
        <v>0</v>
      </c>
      <c r="CJ52" s="144">
        <v>0</v>
      </c>
      <c r="CK52" s="144">
        <v>0</v>
      </c>
      <c r="CL52" s="144">
        <v>0</v>
      </c>
      <c r="CM52" s="144">
        <v>0</v>
      </c>
      <c r="CN52" s="144">
        <v>0</v>
      </c>
      <c r="CO52" s="144">
        <v>0</v>
      </c>
      <c r="CP52" s="144">
        <v>0</v>
      </c>
      <c r="CQ52" s="144">
        <v>0</v>
      </c>
      <c r="CR52" s="144">
        <v>0</v>
      </c>
      <c r="CS52" s="144">
        <v>0</v>
      </c>
      <c r="CT52" s="144">
        <v>0</v>
      </c>
      <c r="CU52" s="144">
        <v>0</v>
      </c>
      <c r="CV52" s="144">
        <v>0</v>
      </c>
    </row>
    <row r="53" spans="1:100" x14ac:dyDescent="0.15">
      <c r="A53" s="180" t="s">
        <v>243</v>
      </c>
      <c r="B53" s="144">
        <v>0</v>
      </c>
      <c r="C53" s="144">
        <v>0</v>
      </c>
      <c r="D53" s="144">
        <v>7.5000000000000032E-3</v>
      </c>
      <c r="E53" s="144">
        <v>0</v>
      </c>
      <c r="F53" s="144">
        <v>0</v>
      </c>
      <c r="G53" s="144">
        <v>0</v>
      </c>
      <c r="H53" s="144">
        <v>0</v>
      </c>
      <c r="I53" s="144">
        <v>0</v>
      </c>
      <c r="J53" s="144">
        <v>0</v>
      </c>
      <c r="K53" s="144">
        <v>0</v>
      </c>
      <c r="L53" s="144">
        <v>8.7303698882512681E-4</v>
      </c>
      <c r="M53" s="144">
        <v>0</v>
      </c>
      <c r="N53" s="144">
        <v>0</v>
      </c>
      <c r="O53" s="144">
        <v>3.0003572125656863E-2</v>
      </c>
      <c r="P53" s="144">
        <v>1.5067228917628971E-2</v>
      </c>
      <c r="Q53" s="144">
        <v>3.430207447728173E-2</v>
      </c>
      <c r="R53" s="144">
        <v>3.1376290033547548E-2</v>
      </c>
      <c r="S53" s="144">
        <v>7.7121078657322012E-2</v>
      </c>
      <c r="T53" s="144">
        <v>8.5469299341031668E-4</v>
      </c>
      <c r="U53" s="144">
        <v>5.7067047827533302E-2</v>
      </c>
      <c r="V53" s="144">
        <v>0.1359788017415213</v>
      </c>
      <c r="W53" s="144">
        <v>4.8384805599696271E-3</v>
      </c>
      <c r="X53" s="144">
        <v>5.3279129506629934E-2</v>
      </c>
      <c r="Y53" s="144">
        <v>0</v>
      </c>
      <c r="Z53" s="144">
        <v>5.2047701394357935E-4</v>
      </c>
      <c r="AA53" s="144">
        <v>0.50000000000000011</v>
      </c>
      <c r="AB53" s="144">
        <v>0</v>
      </c>
      <c r="AC53" s="144">
        <v>9.9976294018924397E-2</v>
      </c>
      <c r="AD53" s="144">
        <v>5.40885378279832E-3</v>
      </c>
      <c r="AE53" s="144">
        <v>9.4425549476153475E-2</v>
      </c>
      <c r="AF53" s="144">
        <v>9.8475419636352944E-3</v>
      </c>
      <c r="AG53" s="144">
        <v>6.1531448694733372E-3</v>
      </c>
      <c r="AH53" s="144">
        <v>0</v>
      </c>
      <c r="AI53" s="144">
        <v>8.7759240201846257E-3</v>
      </c>
      <c r="AJ53" s="144">
        <v>9.9164432858037041E-2</v>
      </c>
      <c r="AK53" s="144">
        <v>0</v>
      </c>
      <c r="AL53" s="144">
        <v>0</v>
      </c>
      <c r="AM53" s="144">
        <v>0</v>
      </c>
      <c r="AN53" s="144">
        <v>3.4185600602965626E-3</v>
      </c>
      <c r="AO53" s="144">
        <v>0</v>
      </c>
      <c r="AP53" s="144">
        <v>0.01</v>
      </c>
      <c r="AQ53" s="144">
        <v>0</v>
      </c>
      <c r="AR53" s="144">
        <v>9.9980000459908014E-3</v>
      </c>
      <c r="AS53" s="144">
        <v>0.13701505968486535</v>
      </c>
      <c r="AT53" s="144">
        <v>0.10000000000000002</v>
      </c>
      <c r="AU53" s="144">
        <v>0</v>
      </c>
      <c r="AV53" s="144">
        <v>0</v>
      </c>
      <c r="AW53" s="144">
        <v>0</v>
      </c>
      <c r="AX53" s="144">
        <v>7.0021006106992087E-4</v>
      </c>
      <c r="AY53" s="144">
        <v>3.5017641607714263E-4</v>
      </c>
      <c r="AZ53" s="144">
        <v>0</v>
      </c>
      <c r="BA53" s="144">
        <v>3.4987659398912009E-4</v>
      </c>
      <c r="BB53" s="144">
        <v>0</v>
      </c>
      <c r="BC53" s="144">
        <v>1.9999999999999996E-3</v>
      </c>
      <c r="BD53" s="144">
        <v>1.9994945802360511E-3</v>
      </c>
      <c r="BE53" s="144">
        <v>0</v>
      </c>
      <c r="BF53" s="144">
        <v>2.0005033022156534E-3</v>
      </c>
      <c r="BG53" s="144">
        <v>0</v>
      </c>
      <c r="BH53" s="144">
        <v>0</v>
      </c>
      <c r="BI53" s="144">
        <v>0</v>
      </c>
      <c r="BJ53" s="144">
        <v>0</v>
      </c>
      <c r="BK53" s="144">
        <v>0</v>
      </c>
      <c r="BL53" s="144">
        <v>0</v>
      </c>
      <c r="BM53" s="144">
        <v>0</v>
      </c>
      <c r="BN53" s="144">
        <v>0</v>
      </c>
      <c r="BO53" s="144">
        <v>0</v>
      </c>
      <c r="BP53" s="144">
        <v>0</v>
      </c>
      <c r="BQ53" s="144">
        <v>0</v>
      </c>
      <c r="BR53" s="144">
        <v>0</v>
      </c>
      <c r="BS53" s="144">
        <v>0</v>
      </c>
      <c r="BT53" s="144">
        <v>0</v>
      </c>
      <c r="BU53" s="144">
        <v>0</v>
      </c>
      <c r="BV53" s="144">
        <v>0</v>
      </c>
      <c r="BW53" s="144">
        <v>0</v>
      </c>
      <c r="BX53" s="144">
        <v>0</v>
      </c>
      <c r="BY53" s="144">
        <v>0</v>
      </c>
      <c r="BZ53" s="144">
        <v>0</v>
      </c>
      <c r="CA53" s="144">
        <v>0</v>
      </c>
      <c r="CB53" s="144">
        <v>0</v>
      </c>
      <c r="CC53" s="144">
        <v>0</v>
      </c>
      <c r="CD53" s="144">
        <v>0</v>
      </c>
      <c r="CE53" s="144">
        <v>0</v>
      </c>
      <c r="CF53" s="144">
        <v>0</v>
      </c>
      <c r="CG53" s="144">
        <v>0</v>
      </c>
      <c r="CH53" s="144">
        <v>0</v>
      </c>
      <c r="CI53" s="144">
        <v>0</v>
      </c>
      <c r="CJ53" s="144">
        <v>0</v>
      </c>
      <c r="CK53" s="144">
        <v>0</v>
      </c>
      <c r="CL53" s="144">
        <v>0</v>
      </c>
      <c r="CM53" s="144">
        <v>0</v>
      </c>
      <c r="CN53" s="144">
        <v>0</v>
      </c>
      <c r="CO53" s="144">
        <v>0</v>
      </c>
      <c r="CP53" s="144">
        <v>0</v>
      </c>
      <c r="CQ53" s="144">
        <v>0</v>
      </c>
      <c r="CR53" s="144">
        <v>0</v>
      </c>
      <c r="CS53" s="144">
        <v>0</v>
      </c>
      <c r="CT53" s="144">
        <v>0</v>
      </c>
      <c r="CU53" s="144">
        <v>0</v>
      </c>
      <c r="CV53" s="144">
        <v>0</v>
      </c>
    </row>
    <row r="54" spans="1:100" x14ac:dyDescent="0.15">
      <c r="A54" s="180" t="s">
        <v>244</v>
      </c>
      <c r="B54" s="144">
        <v>0</v>
      </c>
      <c r="C54" s="144">
        <v>0</v>
      </c>
      <c r="D54" s="144">
        <v>3.7500000000000012E-2</v>
      </c>
      <c r="E54" s="144">
        <v>0</v>
      </c>
      <c r="F54" s="144">
        <v>0</v>
      </c>
      <c r="G54" s="144">
        <v>0</v>
      </c>
      <c r="H54" s="144">
        <v>0</v>
      </c>
      <c r="I54" s="144">
        <v>0</v>
      </c>
      <c r="J54" s="144">
        <v>0</v>
      </c>
      <c r="K54" s="144">
        <v>0</v>
      </c>
      <c r="L54" s="144">
        <v>1.2263799843023364E-5</v>
      </c>
      <c r="M54" s="144">
        <v>0</v>
      </c>
      <c r="N54" s="144">
        <v>0</v>
      </c>
      <c r="O54" s="144">
        <v>2.4252677482404384E-2</v>
      </c>
      <c r="P54" s="144">
        <v>0</v>
      </c>
      <c r="Q54" s="144">
        <v>7.3735219951165149E-5</v>
      </c>
      <c r="R54" s="144">
        <v>1.3872633014832627E-3</v>
      </c>
      <c r="S54" s="144">
        <v>1.5789589725103241E-3</v>
      </c>
      <c r="T54" s="144">
        <v>0</v>
      </c>
      <c r="U54" s="144">
        <v>6.0693075629282762E-4</v>
      </c>
      <c r="V54" s="144">
        <v>2.5715940329351758E-3</v>
      </c>
      <c r="W54" s="144">
        <v>1.6802419826261297E-4</v>
      </c>
      <c r="X54" s="144">
        <v>0</v>
      </c>
      <c r="Y54" s="144">
        <v>0</v>
      </c>
      <c r="Z54" s="144">
        <v>2.2697700608071405E-5</v>
      </c>
      <c r="AA54" s="144">
        <v>0</v>
      </c>
      <c r="AB54" s="144">
        <v>0</v>
      </c>
      <c r="AC54" s="144">
        <v>0</v>
      </c>
      <c r="AD54" s="144">
        <v>0</v>
      </c>
      <c r="AE54" s="144">
        <v>0</v>
      </c>
      <c r="AF54" s="144">
        <v>0</v>
      </c>
      <c r="AG54" s="144">
        <v>0</v>
      </c>
      <c r="AH54" s="144">
        <v>0</v>
      </c>
      <c r="AI54" s="144">
        <v>0</v>
      </c>
      <c r="AJ54" s="144">
        <v>0</v>
      </c>
      <c r="AK54" s="144">
        <v>0</v>
      </c>
      <c r="AL54" s="144">
        <v>0</v>
      </c>
      <c r="AM54" s="144">
        <v>0</v>
      </c>
      <c r="AN54" s="144">
        <v>0</v>
      </c>
      <c r="AO54" s="144">
        <v>0</v>
      </c>
      <c r="AP54" s="144">
        <v>0.01</v>
      </c>
      <c r="AQ54" s="144">
        <v>0</v>
      </c>
      <c r="AR54" s="144">
        <v>0</v>
      </c>
      <c r="AS54" s="144">
        <v>0</v>
      </c>
      <c r="AT54" s="144">
        <v>0</v>
      </c>
      <c r="AU54" s="144">
        <v>0</v>
      </c>
      <c r="AV54" s="144">
        <v>0</v>
      </c>
      <c r="AW54" s="144">
        <v>0</v>
      </c>
      <c r="AX54" s="144">
        <v>0</v>
      </c>
      <c r="AY54" s="144">
        <v>0</v>
      </c>
      <c r="AZ54" s="144">
        <v>0</v>
      </c>
      <c r="BA54" s="144">
        <v>0</v>
      </c>
      <c r="BB54" s="144">
        <v>0</v>
      </c>
      <c r="BC54" s="144">
        <v>0</v>
      </c>
      <c r="BD54" s="144">
        <v>0</v>
      </c>
      <c r="BE54" s="144">
        <v>0</v>
      </c>
      <c r="BF54" s="144">
        <v>0</v>
      </c>
      <c r="BG54" s="144">
        <v>0</v>
      </c>
      <c r="BH54" s="144">
        <v>0</v>
      </c>
      <c r="BI54" s="144">
        <v>0</v>
      </c>
      <c r="BJ54" s="144">
        <v>0</v>
      </c>
      <c r="BK54" s="144">
        <v>0</v>
      </c>
      <c r="BL54" s="144">
        <v>0</v>
      </c>
      <c r="BM54" s="144">
        <v>0</v>
      </c>
      <c r="BN54" s="144">
        <v>0</v>
      </c>
      <c r="BO54" s="144">
        <v>0</v>
      </c>
      <c r="BP54" s="144">
        <v>0</v>
      </c>
      <c r="BQ54" s="144">
        <v>0</v>
      </c>
      <c r="BR54" s="144">
        <v>0</v>
      </c>
      <c r="BS54" s="144">
        <v>0</v>
      </c>
      <c r="BT54" s="144">
        <v>0</v>
      </c>
      <c r="BU54" s="144">
        <v>0</v>
      </c>
      <c r="BV54" s="144">
        <v>0</v>
      </c>
      <c r="BW54" s="144">
        <v>0</v>
      </c>
      <c r="BX54" s="144">
        <v>0</v>
      </c>
      <c r="BY54" s="144">
        <v>0</v>
      </c>
      <c r="BZ54" s="144">
        <v>0</v>
      </c>
      <c r="CA54" s="144">
        <v>0</v>
      </c>
      <c r="CB54" s="144">
        <v>0</v>
      </c>
      <c r="CC54" s="144">
        <v>0</v>
      </c>
      <c r="CD54" s="144">
        <v>0</v>
      </c>
      <c r="CE54" s="144">
        <v>0</v>
      </c>
      <c r="CF54" s="144">
        <v>0</v>
      </c>
      <c r="CG54" s="144">
        <v>0</v>
      </c>
      <c r="CH54" s="144">
        <v>0</v>
      </c>
      <c r="CI54" s="144">
        <v>0</v>
      </c>
      <c r="CJ54" s="144">
        <v>0</v>
      </c>
      <c r="CK54" s="144">
        <v>0</v>
      </c>
      <c r="CL54" s="144">
        <v>0</v>
      </c>
      <c r="CM54" s="144">
        <v>0</v>
      </c>
      <c r="CN54" s="144">
        <v>0</v>
      </c>
      <c r="CO54" s="144">
        <v>0</v>
      </c>
      <c r="CP54" s="144">
        <v>0</v>
      </c>
      <c r="CQ54" s="144">
        <v>0</v>
      </c>
      <c r="CR54" s="144">
        <v>0</v>
      </c>
      <c r="CS54" s="144">
        <v>0</v>
      </c>
      <c r="CT54" s="144">
        <v>0</v>
      </c>
      <c r="CU54" s="144">
        <v>0</v>
      </c>
      <c r="CV54" s="144">
        <v>0</v>
      </c>
    </row>
    <row r="55" spans="1:100" x14ac:dyDescent="0.15">
      <c r="A55" s="180" t="s">
        <v>245</v>
      </c>
      <c r="B55" s="144">
        <v>1.0206195102918374E-3</v>
      </c>
      <c r="C55" s="144">
        <v>0</v>
      </c>
      <c r="D55" s="144">
        <v>7.5000000000000032E-3</v>
      </c>
      <c r="E55" s="144">
        <v>5.800000000000001E-2</v>
      </c>
      <c r="F55" s="144">
        <v>0</v>
      </c>
      <c r="G55" s="144">
        <v>0</v>
      </c>
      <c r="H55" s="144">
        <v>0</v>
      </c>
      <c r="I55" s="144">
        <v>0</v>
      </c>
      <c r="J55" s="144">
        <v>0</v>
      </c>
      <c r="K55" s="144">
        <v>0</v>
      </c>
      <c r="L55" s="144">
        <v>0</v>
      </c>
      <c r="M55" s="144">
        <v>0</v>
      </c>
      <c r="N55" s="144">
        <v>0</v>
      </c>
      <c r="O55" s="144">
        <v>0</v>
      </c>
      <c r="P55" s="144">
        <v>0</v>
      </c>
      <c r="Q55" s="144">
        <v>0</v>
      </c>
      <c r="R55" s="144">
        <v>0</v>
      </c>
      <c r="S55" s="144">
        <v>0</v>
      </c>
      <c r="T55" s="144">
        <v>0</v>
      </c>
      <c r="U55" s="144">
        <v>0</v>
      </c>
      <c r="V55" s="144">
        <v>0</v>
      </c>
      <c r="W55" s="144">
        <v>0</v>
      </c>
      <c r="X55" s="144">
        <v>0</v>
      </c>
      <c r="Y55" s="144">
        <v>0</v>
      </c>
      <c r="Z55" s="144">
        <v>0</v>
      </c>
      <c r="AA55" s="144">
        <v>0</v>
      </c>
      <c r="AB55" s="144">
        <v>0</v>
      </c>
      <c r="AC55" s="144">
        <v>0</v>
      </c>
      <c r="AD55" s="144">
        <v>0</v>
      </c>
      <c r="AE55" s="144">
        <v>0</v>
      </c>
      <c r="AF55" s="144">
        <v>0</v>
      </c>
      <c r="AG55" s="144">
        <v>0</v>
      </c>
      <c r="AH55" s="144">
        <v>0</v>
      </c>
      <c r="AI55" s="144">
        <v>0</v>
      </c>
      <c r="AJ55" s="144">
        <v>0</v>
      </c>
      <c r="AK55" s="144">
        <v>0</v>
      </c>
      <c r="AL55" s="144">
        <v>0</v>
      </c>
      <c r="AM55" s="144">
        <v>0</v>
      </c>
      <c r="AN55" s="144">
        <v>0</v>
      </c>
      <c r="AO55" s="144">
        <v>0</v>
      </c>
      <c r="AP55" s="144">
        <v>0.04</v>
      </c>
      <c r="AQ55" s="144">
        <v>0</v>
      </c>
      <c r="AR55" s="144">
        <v>2.9994000137972404E-2</v>
      </c>
      <c r="AS55" s="144">
        <v>0</v>
      </c>
      <c r="AT55" s="144">
        <v>0</v>
      </c>
      <c r="AU55" s="144">
        <v>0</v>
      </c>
      <c r="AV55" s="144">
        <v>0</v>
      </c>
      <c r="AW55" s="144">
        <v>0</v>
      </c>
      <c r="AX55" s="144">
        <v>0</v>
      </c>
      <c r="AY55" s="144">
        <v>0</v>
      </c>
      <c r="AZ55" s="144">
        <v>0</v>
      </c>
      <c r="BA55" s="144">
        <v>0</v>
      </c>
      <c r="BB55" s="144">
        <v>0</v>
      </c>
      <c r="BC55" s="144">
        <v>9.999999999999998E-4</v>
      </c>
      <c r="BD55" s="144">
        <v>9.9974728011802583E-4</v>
      </c>
      <c r="BE55" s="144">
        <v>0</v>
      </c>
      <c r="BF55" s="144">
        <v>1.0002516511078267E-3</v>
      </c>
      <c r="BG55" s="144">
        <v>0</v>
      </c>
      <c r="BH55" s="144">
        <v>0</v>
      </c>
      <c r="BI55" s="144">
        <v>0</v>
      </c>
      <c r="BJ55" s="144">
        <v>0</v>
      </c>
      <c r="BK55" s="144">
        <v>0</v>
      </c>
      <c r="BL55" s="144">
        <v>0</v>
      </c>
      <c r="BM55" s="144">
        <v>0</v>
      </c>
      <c r="BN55" s="144">
        <v>0</v>
      </c>
      <c r="BO55" s="144">
        <v>0</v>
      </c>
      <c r="BP55" s="144">
        <v>0</v>
      </c>
      <c r="BQ55" s="144">
        <v>0</v>
      </c>
      <c r="BR55" s="144">
        <v>0</v>
      </c>
      <c r="BS55" s="144">
        <v>0</v>
      </c>
      <c r="BT55" s="144">
        <v>0</v>
      </c>
      <c r="BU55" s="144">
        <v>0</v>
      </c>
      <c r="BV55" s="144">
        <v>0</v>
      </c>
      <c r="BW55" s="144">
        <v>0</v>
      </c>
      <c r="BX55" s="144">
        <v>0</v>
      </c>
      <c r="BY55" s="144">
        <v>0</v>
      </c>
      <c r="BZ55" s="144">
        <v>0</v>
      </c>
      <c r="CA55" s="144">
        <v>0</v>
      </c>
      <c r="CB55" s="144">
        <v>0</v>
      </c>
      <c r="CC55" s="144">
        <v>0</v>
      </c>
      <c r="CD55" s="144">
        <v>0</v>
      </c>
      <c r="CE55" s="144">
        <v>0</v>
      </c>
      <c r="CF55" s="144">
        <v>0</v>
      </c>
      <c r="CG55" s="144">
        <v>0</v>
      </c>
      <c r="CH55" s="144">
        <v>0</v>
      </c>
      <c r="CI55" s="144">
        <v>0</v>
      </c>
      <c r="CJ55" s="144">
        <v>0</v>
      </c>
      <c r="CK55" s="144">
        <v>0</v>
      </c>
      <c r="CL55" s="144">
        <v>0</v>
      </c>
      <c r="CM55" s="144">
        <v>0</v>
      </c>
      <c r="CN55" s="144">
        <v>0</v>
      </c>
      <c r="CO55" s="144">
        <v>0</v>
      </c>
      <c r="CP55" s="144">
        <v>0</v>
      </c>
      <c r="CQ55" s="144">
        <v>0</v>
      </c>
      <c r="CR55" s="144">
        <v>0</v>
      </c>
      <c r="CS55" s="144">
        <v>0</v>
      </c>
      <c r="CT55" s="144">
        <v>0</v>
      </c>
      <c r="CU55" s="144">
        <v>0</v>
      </c>
      <c r="CV55" s="144">
        <v>0</v>
      </c>
    </row>
    <row r="56" spans="1:100" x14ac:dyDescent="0.15">
      <c r="A56" s="180" t="s">
        <v>246</v>
      </c>
      <c r="B56" s="144">
        <v>1.0206195102918374E-3</v>
      </c>
      <c r="C56" s="144">
        <v>0</v>
      </c>
      <c r="D56" s="144">
        <v>7.5000000000000032E-3</v>
      </c>
      <c r="E56" s="144">
        <v>5.800000000000001E-2</v>
      </c>
      <c r="F56" s="144">
        <v>0</v>
      </c>
      <c r="G56" s="144">
        <v>0</v>
      </c>
      <c r="H56" s="144">
        <v>0</v>
      </c>
      <c r="I56" s="144">
        <v>0</v>
      </c>
      <c r="J56" s="144">
        <v>0</v>
      </c>
      <c r="K56" s="144">
        <v>0</v>
      </c>
      <c r="L56" s="144">
        <v>0</v>
      </c>
      <c r="M56" s="144">
        <v>0</v>
      </c>
      <c r="N56" s="144">
        <v>0</v>
      </c>
      <c r="O56" s="144">
        <v>0</v>
      </c>
      <c r="P56" s="144">
        <v>0</v>
      </c>
      <c r="Q56" s="144">
        <v>0</v>
      </c>
      <c r="R56" s="144">
        <v>0</v>
      </c>
      <c r="S56" s="144">
        <v>0</v>
      </c>
      <c r="T56" s="144">
        <v>0</v>
      </c>
      <c r="U56" s="144">
        <v>0</v>
      </c>
      <c r="V56" s="144">
        <v>0</v>
      </c>
      <c r="W56" s="144">
        <v>0</v>
      </c>
      <c r="X56" s="144">
        <v>0</v>
      </c>
      <c r="Y56" s="144">
        <v>0</v>
      </c>
      <c r="Z56" s="144">
        <v>0</v>
      </c>
      <c r="AA56" s="144">
        <v>0</v>
      </c>
      <c r="AB56" s="144">
        <v>0</v>
      </c>
      <c r="AC56" s="144">
        <v>0</v>
      </c>
      <c r="AD56" s="144">
        <v>0</v>
      </c>
      <c r="AE56" s="144">
        <v>0</v>
      </c>
      <c r="AF56" s="144">
        <v>0</v>
      </c>
      <c r="AG56" s="144">
        <v>0</v>
      </c>
      <c r="AH56" s="144">
        <v>0</v>
      </c>
      <c r="AI56" s="144">
        <v>0</v>
      </c>
      <c r="AJ56" s="144">
        <v>0</v>
      </c>
      <c r="AK56" s="144">
        <v>0</v>
      </c>
      <c r="AL56" s="144">
        <v>0</v>
      </c>
      <c r="AM56" s="144">
        <v>0</v>
      </c>
      <c r="AN56" s="144">
        <v>0</v>
      </c>
      <c r="AO56" s="144">
        <v>0</v>
      </c>
      <c r="AP56" s="144">
        <v>0.04</v>
      </c>
      <c r="AQ56" s="144">
        <v>0</v>
      </c>
      <c r="AR56" s="144">
        <v>1.9996000091981603E-2</v>
      </c>
      <c r="AS56" s="144">
        <v>0</v>
      </c>
      <c r="AT56" s="144">
        <v>0</v>
      </c>
      <c r="AU56" s="144">
        <v>0</v>
      </c>
      <c r="AV56" s="144">
        <v>0</v>
      </c>
      <c r="AW56" s="144">
        <v>0</v>
      </c>
      <c r="AX56" s="144">
        <v>0</v>
      </c>
      <c r="AY56" s="144">
        <v>0</v>
      </c>
      <c r="AZ56" s="144">
        <v>0</v>
      </c>
      <c r="BA56" s="144">
        <v>0</v>
      </c>
      <c r="BB56" s="144">
        <v>0</v>
      </c>
      <c r="BC56" s="144">
        <v>9.999999999999998E-4</v>
      </c>
      <c r="BD56" s="144">
        <v>9.9974728011802583E-4</v>
      </c>
      <c r="BE56" s="144">
        <v>0</v>
      </c>
      <c r="BF56" s="144">
        <v>1.0002516511078267E-3</v>
      </c>
      <c r="BG56" s="144">
        <v>0</v>
      </c>
      <c r="BH56" s="144">
        <v>0</v>
      </c>
      <c r="BI56" s="144">
        <v>0</v>
      </c>
      <c r="BJ56" s="144">
        <v>0</v>
      </c>
      <c r="BK56" s="144">
        <v>0</v>
      </c>
      <c r="BL56" s="144">
        <v>0</v>
      </c>
      <c r="BM56" s="144">
        <v>0</v>
      </c>
      <c r="BN56" s="144">
        <v>0</v>
      </c>
      <c r="BO56" s="144">
        <v>0</v>
      </c>
      <c r="BP56" s="144">
        <v>0</v>
      </c>
      <c r="BQ56" s="144">
        <v>0</v>
      </c>
      <c r="BR56" s="144">
        <v>0</v>
      </c>
      <c r="BS56" s="144">
        <v>0</v>
      </c>
      <c r="BT56" s="144">
        <v>0</v>
      </c>
      <c r="BU56" s="144">
        <v>0</v>
      </c>
      <c r="BV56" s="144">
        <v>0</v>
      </c>
      <c r="BW56" s="144">
        <v>0</v>
      </c>
      <c r="BX56" s="144">
        <v>0</v>
      </c>
      <c r="BY56" s="144">
        <v>0</v>
      </c>
      <c r="BZ56" s="144">
        <v>0</v>
      </c>
      <c r="CA56" s="144">
        <v>0</v>
      </c>
      <c r="CB56" s="144">
        <v>0</v>
      </c>
      <c r="CC56" s="144">
        <v>0</v>
      </c>
      <c r="CD56" s="144">
        <v>0</v>
      </c>
      <c r="CE56" s="144">
        <v>0</v>
      </c>
      <c r="CF56" s="144">
        <v>0</v>
      </c>
      <c r="CG56" s="144">
        <v>0</v>
      </c>
      <c r="CH56" s="144">
        <v>0</v>
      </c>
      <c r="CI56" s="144">
        <v>0</v>
      </c>
      <c r="CJ56" s="144">
        <v>0</v>
      </c>
      <c r="CK56" s="144">
        <v>0</v>
      </c>
      <c r="CL56" s="144">
        <v>0</v>
      </c>
      <c r="CM56" s="144">
        <v>0</v>
      </c>
      <c r="CN56" s="144">
        <v>0</v>
      </c>
      <c r="CO56" s="144">
        <v>0</v>
      </c>
      <c r="CP56" s="144">
        <v>0</v>
      </c>
      <c r="CQ56" s="144">
        <v>0</v>
      </c>
      <c r="CR56" s="144">
        <v>0</v>
      </c>
      <c r="CS56" s="144">
        <v>0</v>
      </c>
      <c r="CT56" s="144">
        <v>0</v>
      </c>
      <c r="CU56" s="144">
        <v>0</v>
      </c>
      <c r="CV56" s="144">
        <v>0</v>
      </c>
    </row>
    <row r="57" spans="1:100" x14ac:dyDescent="0.15">
      <c r="A57" s="180" t="s">
        <v>247</v>
      </c>
      <c r="B57" s="144">
        <v>1.0206195102918374E-3</v>
      </c>
      <c r="C57" s="144">
        <v>0</v>
      </c>
      <c r="D57" s="144">
        <v>0</v>
      </c>
      <c r="E57" s="144">
        <v>5.800000000000001E-2</v>
      </c>
      <c r="F57" s="144">
        <v>0</v>
      </c>
      <c r="G57" s="144">
        <v>0</v>
      </c>
      <c r="H57" s="144">
        <v>0</v>
      </c>
      <c r="I57" s="144">
        <v>0</v>
      </c>
      <c r="J57" s="144">
        <v>0</v>
      </c>
      <c r="K57" s="144">
        <v>0</v>
      </c>
      <c r="L57" s="144">
        <v>3.1136399601454094E-5</v>
      </c>
      <c r="M57" s="144">
        <v>0</v>
      </c>
      <c r="N57" s="144">
        <v>0</v>
      </c>
      <c r="O57" s="144">
        <v>0</v>
      </c>
      <c r="P57" s="144">
        <v>0</v>
      </c>
      <c r="Q57" s="144">
        <v>1.3059129991350935E-3</v>
      </c>
      <c r="R57" s="144">
        <v>0</v>
      </c>
      <c r="S57" s="144">
        <v>9.2657098386839901E-4</v>
      </c>
      <c r="T57" s="144">
        <v>0.16139744075562568</v>
      </c>
      <c r="U57" s="144">
        <v>0</v>
      </c>
      <c r="V57" s="144">
        <v>0</v>
      </c>
      <c r="W57" s="144">
        <v>0</v>
      </c>
      <c r="X57" s="144">
        <v>0</v>
      </c>
      <c r="Y57" s="144">
        <v>0</v>
      </c>
      <c r="Z57" s="144">
        <v>0</v>
      </c>
      <c r="AA57" s="144">
        <v>0</v>
      </c>
      <c r="AB57" s="144">
        <v>0</v>
      </c>
      <c r="AC57" s="144">
        <v>0</v>
      </c>
      <c r="AD57" s="144">
        <v>2.1635412791193268E-3</v>
      </c>
      <c r="AE57" s="144">
        <v>3.1475184825384486E-3</v>
      </c>
      <c r="AF57" s="144">
        <v>0</v>
      </c>
      <c r="AG57" s="144">
        <v>0</v>
      </c>
      <c r="AH57" s="144">
        <v>0</v>
      </c>
      <c r="AI57" s="144">
        <v>0</v>
      </c>
      <c r="AJ57" s="144">
        <v>0</v>
      </c>
      <c r="AK57" s="144">
        <v>0</v>
      </c>
      <c r="AL57" s="144">
        <v>0</v>
      </c>
      <c r="AM57" s="144">
        <v>0</v>
      </c>
      <c r="AN57" s="144">
        <v>0</v>
      </c>
      <c r="AO57" s="144">
        <v>0</v>
      </c>
      <c r="AP57" s="144">
        <v>0.04</v>
      </c>
      <c r="AQ57" s="144">
        <v>0</v>
      </c>
      <c r="AR57" s="144">
        <v>1.9996000091981603E-2</v>
      </c>
      <c r="AS57" s="144">
        <v>0</v>
      </c>
      <c r="AT57" s="144">
        <v>0</v>
      </c>
      <c r="AU57" s="144">
        <v>0</v>
      </c>
      <c r="AV57" s="144">
        <v>0</v>
      </c>
      <c r="AW57" s="144">
        <v>0</v>
      </c>
      <c r="AX57" s="144">
        <v>0</v>
      </c>
      <c r="AY57" s="144">
        <v>0</v>
      </c>
      <c r="AZ57" s="144">
        <v>0</v>
      </c>
      <c r="BA57" s="144">
        <v>0</v>
      </c>
      <c r="BB57" s="144">
        <v>0</v>
      </c>
      <c r="BC57" s="144">
        <v>9.999999999999998E-4</v>
      </c>
      <c r="BD57" s="144">
        <v>9.9974728011802583E-4</v>
      </c>
      <c r="BE57" s="144">
        <v>0</v>
      </c>
      <c r="BF57" s="144">
        <v>1.0002516511078267E-3</v>
      </c>
      <c r="BG57" s="144">
        <v>0</v>
      </c>
      <c r="BH57" s="144">
        <v>0</v>
      </c>
      <c r="BI57" s="144">
        <v>0</v>
      </c>
      <c r="BJ57" s="144">
        <v>0</v>
      </c>
      <c r="BK57" s="144">
        <v>0</v>
      </c>
      <c r="BL57" s="144">
        <v>0</v>
      </c>
      <c r="BM57" s="144">
        <v>0</v>
      </c>
      <c r="BN57" s="144">
        <v>0</v>
      </c>
      <c r="BO57" s="144">
        <v>0</v>
      </c>
      <c r="BP57" s="144">
        <v>0</v>
      </c>
      <c r="BQ57" s="144">
        <v>0</v>
      </c>
      <c r="BR57" s="144">
        <v>0</v>
      </c>
      <c r="BS57" s="144">
        <v>0</v>
      </c>
      <c r="BT57" s="144">
        <v>0</v>
      </c>
      <c r="BU57" s="144">
        <v>0</v>
      </c>
      <c r="BV57" s="144">
        <v>0</v>
      </c>
      <c r="BW57" s="144">
        <v>0</v>
      </c>
      <c r="BX57" s="144">
        <v>0</v>
      </c>
      <c r="BY57" s="144">
        <v>0</v>
      </c>
      <c r="BZ57" s="144">
        <v>0</v>
      </c>
      <c r="CA57" s="144">
        <v>0</v>
      </c>
      <c r="CB57" s="144">
        <v>0</v>
      </c>
      <c r="CC57" s="144">
        <v>0</v>
      </c>
      <c r="CD57" s="144">
        <v>0</v>
      </c>
      <c r="CE57" s="144">
        <v>0</v>
      </c>
      <c r="CF57" s="144">
        <v>0</v>
      </c>
      <c r="CG57" s="144">
        <v>0</v>
      </c>
      <c r="CH57" s="144">
        <v>0</v>
      </c>
      <c r="CI57" s="144">
        <v>0</v>
      </c>
      <c r="CJ57" s="144">
        <v>0</v>
      </c>
      <c r="CK57" s="144">
        <v>0</v>
      </c>
      <c r="CL57" s="144">
        <v>0</v>
      </c>
      <c r="CM57" s="144">
        <v>0</v>
      </c>
      <c r="CN57" s="144">
        <v>0</v>
      </c>
      <c r="CO57" s="144">
        <v>0</v>
      </c>
      <c r="CP57" s="144">
        <v>0</v>
      </c>
      <c r="CQ57" s="144">
        <v>0</v>
      </c>
      <c r="CR57" s="144">
        <v>0</v>
      </c>
      <c r="CS57" s="144">
        <v>0</v>
      </c>
      <c r="CT57" s="144">
        <v>0</v>
      </c>
      <c r="CU57" s="144">
        <v>0</v>
      </c>
      <c r="CV57" s="144">
        <v>0</v>
      </c>
    </row>
    <row r="58" spans="1:100" x14ac:dyDescent="0.15">
      <c r="A58" s="180" t="s">
        <v>248</v>
      </c>
      <c r="B58" s="144">
        <v>1.0206195102918374E-3</v>
      </c>
      <c r="C58" s="144">
        <v>0</v>
      </c>
      <c r="D58" s="144">
        <v>7.5000000000000032E-3</v>
      </c>
      <c r="E58" s="144">
        <v>5.800000000000001E-2</v>
      </c>
      <c r="F58" s="144">
        <v>0</v>
      </c>
      <c r="G58" s="144">
        <v>0</v>
      </c>
      <c r="H58" s="144">
        <v>0</v>
      </c>
      <c r="I58" s="144">
        <v>0</v>
      </c>
      <c r="J58" s="144">
        <v>0</v>
      </c>
      <c r="K58" s="144">
        <v>0</v>
      </c>
      <c r="L58" s="144">
        <v>1.0392959866970118E-3</v>
      </c>
      <c r="M58" s="144">
        <v>8.6564401159962983E-4</v>
      </c>
      <c r="N58" s="144">
        <v>0</v>
      </c>
      <c r="O58" s="144">
        <v>0.4980593037459039</v>
      </c>
      <c r="P58" s="144">
        <v>1.321520302775381E-3</v>
      </c>
      <c r="Q58" s="144">
        <v>2.3181039984647191E-2</v>
      </c>
      <c r="R58" s="144">
        <v>0.11003518811764969</v>
      </c>
      <c r="S58" s="144">
        <v>1.0618501115131894E-2</v>
      </c>
      <c r="T58" s="144">
        <v>0.13408338896621702</v>
      </c>
      <c r="U58" s="144">
        <v>0.20606978209942309</v>
      </c>
      <c r="V58" s="144">
        <v>0.3192595880888533</v>
      </c>
      <c r="W58" s="144">
        <v>0.24129611050497407</v>
      </c>
      <c r="X58" s="144">
        <v>0.14999443161103657</v>
      </c>
      <c r="Y58" s="144">
        <v>8.833184070665473E-2</v>
      </c>
      <c r="Z58" s="144">
        <v>9.0502572424563943E-2</v>
      </c>
      <c r="AA58" s="144">
        <v>0</v>
      </c>
      <c r="AB58" s="144">
        <v>0</v>
      </c>
      <c r="AC58" s="144">
        <v>0.48512208654753958</v>
      </c>
      <c r="AD58" s="144">
        <v>3.1371347732230243E-2</v>
      </c>
      <c r="AE58" s="144">
        <v>2.2032627677769149E-2</v>
      </c>
      <c r="AF58" s="144">
        <v>0.32606559879591479</v>
      </c>
      <c r="AG58" s="144">
        <v>0.29089247582929789</v>
      </c>
      <c r="AH58" s="144">
        <v>0.3471685040188226</v>
      </c>
      <c r="AI58" s="144">
        <v>3.2848910075552497E-2</v>
      </c>
      <c r="AJ58" s="144">
        <v>0.24266803069489637</v>
      </c>
      <c r="AK58" s="144">
        <v>6.5972750666522695E-2</v>
      </c>
      <c r="AL58" s="144">
        <v>0</v>
      </c>
      <c r="AM58" s="144">
        <v>0</v>
      </c>
      <c r="AN58" s="144">
        <v>0.59851116955654005</v>
      </c>
      <c r="AO58" s="144">
        <v>0</v>
      </c>
      <c r="AP58" s="144">
        <v>0.25</v>
      </c>
      <c r="AQ58" s="144">
        <v>0</v>
      </c>
      <c r="AR58" s="144">
        <v>5.0989803134553098E-2</v>
      </c>
      <c r="AS58" s="144">
        <v>0</v>
      </c>
      <c r="AT58" s="144">
        <v>0</v>
      </c>
      <c r="AU58" s="144">
        <v>0</v>
      </c>
      <c r="AV58" s="144">
        <v>0</v>
      </c>
      <c r="AW58" s="144">
        <v>0</v>
      </c>
      <c r="AX58" s="144">
        <v>0</v>
      </c>
      <c r="AY58" s="144">
        <v>0</v>
      </c>
      <c r="AZ58" s="144">
        <v>0</v>
      </c>
      <c r="BA58" s="144">
        <v>0</v>
      </c>
      <c r="BB58" s="144">
        <v>0</v>
      </c>
      <c r="BC58" s="144">
        <v>9.999999999999998E-4</v>
      </c>
      <c r="BD58" s="144">
        <v>9.9974728011802583E-4</v>
      </c>
      <c r="BE58" s="144">
        <v>0</v>
      </c>
      <c r="BF58" s="144">
        <v>1.0002516511078267E-3</v>
      </c>
      <c r="BG58" s="144">
        <v>0</v>
      </c>
      <c r="BH58" s="144">
        <v>0</v>
      </c>
      <c r="BI58" s="144">
        <v>0</v>
      </c>
      <c r="BJ58" s="144">
        <v>0</v>
      </c>
      <c r="BK58" s="144">
        <v>0</v>
      </c>
      <c r="BL58" s="144">
        <v>0</v>
      </c>
      <c r="BM58" s="144">
        <v>0</v>
      </c>
      <c r="BN58" s="144">
        <v>0</v>
      </c>
      <c r="BO58" s="144">
        <v>0</v>
      </c>
      <c r="BP58" s="144">
        <v>0</v>
      </c>
      <c r="BQ58" s="144">
        <v>0</v>
      </c>
      <c r="BR58" s="144">
        <v>0</v>
      </c>
      <c r="BS58" s="144">
        <v>0</v>
      </c>
      <c r="BT58" s="144">
        <v>0</v>
      </c>
      <c r="BU58" s="144">
        <v>0</v>
      </c>
      <c r="BV58" s="144">
        <v>0</v>
      </c>
      <c r="BW58" s="144">
        <v>0</v>
      </c>
      <c r="BX58" s="144">
        <v>0</v>
      </c>
      <c r="BY58" s="144">
        <v>0</v>
      </c>
      <c r="BZ58" s="144">
        <v>0</v>
      </c>
      <c r="CA58" s="144">
        <v>0</v>
      </c>
      <c r="CB58" s="144">
        <v>0</v>
      </c>
      <c r="CC58" s="144">
        <v>0</v>
      </c>
      <c r="CD58" s="144">
        <v>0</v>
      </c>
      <c r="CE58" s="144">
        <v>0</v>
      </c>
      <c r="CF58" s="144">
        <v>0</v>
      </c>
      <c r="CG58" s="144">
        <v>0</v>
      </c>
      <c r="CH58" s="144">
        <v>0</v>
      </c>
      <c r="CI58" s="144">
        <v>0</v>
      </c>
      <c r="CJ58" s="144">
        <v>0</v>
      </c>
      <c r="CK58" s="144">
        <v>0</v>
      </c>
      <c r="CL58" s="144">
        <v>0</v>
      </c>
      <c r="CM58" s="144">
        <v>0</v>
      </c>
      <c r="CN58" s="144">
        <v>0</v>
      </c>
      <c r="CO58" s="144">
        <v>0</v>
      </c>
      <c r="CP58" s="144">
        <v>0</v>
      </c>
      <c r="CQ58" s="144">
        <v>0</v>
      </c>
      <c r="CR58" s="144">
        <v>0</v>
      </c>
      <c r="CS58" s="144">
        <v>0</v>
      </c>
      <c r="CT58" s="144">
        <v>0</v>
      </c>
      <c r="CU58" s="144">
        <v>0</v>
      </c>
      <c r="CV58" s="144">
        <v>0</v>
      </c>
    </row>
    <row r="59" spans="1:100" x14ac:dyDescent="0.15">
      <c r="A59" s="180" t="s">
        <v>249</v>
      </c>
      <c r="B59" s="144">
        <v>1.0206195102918374E-3</v>
      </c>
      <c r="C59" s="144">
        <v>0</v>
      </c>
      <c r="D59" s="144">
        <v>2.250000000000001E-2</v>
      </c>
      <c r="E59" s="144">
        <v>0</v>
      </c>
      <c r="F59" s="144">
        <v>0</v>
      </c>
      <c r="G59" s="144">
        <v>0</v>
      </c>
      <c r="H59" s="144">
        <v>0</v>
      </c>
      <c r="I59" s="144">
        <v>0</v>
      </c>
      <c r="J59" s="144">
        <v>0</v>
      </c>
      <c r="K59" s="144">
        <v>0</v>
      </c>
      <c r="L59" s="144">
        <v>0</v>
      </c>
      <c r="M59" s="144">
        <v>0</v>
      </c>
      <c r="N59" s="144">
        <v>0</v>
      </c>
      <c r="O59" s="144">
        <v>0</v>
      </c>
      <c r="P59" s="144">
        <v>0</v>
      </c>
      <c r="Q59" s="144">
        <v>0</v>
      </c>
      <c r="R59" s="144">
        <v>0</v>
      </c>
      <c r="S59" s="144">
        <v>0</v>
      </c>
      <c r="T59" s="144">
        <v>0</v>
      </c>
      <c r="U59" s="144">
        <v>0</v>
      </c>
      <c r="V59" s="144">
        <v>0</v>
      </c>
      <c r="W59" s="144">
        <v>0</v>
      </c>
      <c r="X59" s="144">
        <v>0</v>
      </c>
      <c r="Y59" s="144">
        <v>0</v>
      </c>
      <c r="Z59" s="144">
        <v>0</v>
      </c>
      <c r="AA59" s="144">
        <v>0</v>
      </c>
      <c r="AB59" s="144">
        <v>0</v>
      </c>
      <c r="AC59" s="144">
        <v>0</v>
      </c>
      <c r="AD59" s="144">
        <v>0</v>
      </c>
      <c r="AE59" s="144">
        <v>0</v>
      </c>
      <c r="AF59" s="144">
        <v>0</v>
      </c>
      <c r="AG59" s="144">
        <v>0</v>
      </c>
      <c r="AH59" s="144">
        <v>0</v>
      </c>
      <c r="AI59" s="144">
        <v>0</v>
      </c>
      <c r="AJ59" s="144">
        <v>0</v>
      </c>
      <c r="AK59" s="144">
        <v>0</v>
      </c>
      <c r="AL59" s="144">
        <v>0</v>
      </c>
      <c r="AM59" s="144">
        <v>0</v>
      </c>
      <c r="AN59" s="144">
        <v>0</v>
      </c>
      <c r="AO59" s="144">
        <v>0</v>
      </c>
      <c r="AP59" s="144">
        <v>6.0000000000000001E-3</v>
      </c>
      <c r="AQ59" s="144">
        <v>0</v>
      </c>
      <c r="AR59" s="144">
        <v>0</v>
      </c>
      <c r="AS59" s="144">
        <v>0</v>
      </c>
      <c r="AT59" s="144">
        <v>0</v>
      </c>
      <c r="AU59" s="144">
        <v>0</v>
      </c>
      <c r="AV59" s="144">
        <v>0</v>
      </c>
      <c r="AW59" s="144">
        <v>0</v>
      </c>
      <c r="AX59" s="144">
        <v>0</v>
      </c>
      <c r="AY59" s="144">
        <v>0</v>
      </c>
      <c r="AZ59" s="144">
        <v>0</v>
      </c>
      <c r="BA59" s="144">
        <v>0</v>
      </c>
      <c r="BB59" s="144">
        <v>0</v>
      </c>
      <c r="BC59" s="144">
        <v>9.999999999999998E-4</v>
      </c>
      <c r="BD59" s="144">
        <v>9.9974728011802583E-4</v>
      </c>
      <c r="BE59" s="144">
        <v>0</v>
      </c>
      <c r="BF59" s="144">
        <v>5.0012581555391295E-4</v>
      </c>
      <c r="BG59" s="144">
        <v>0</v>
      </c>
      <c r="BH59" s="144">
        <v>0</v>
      </c>
      <c r="BI59" s="144">
        <v>0</v>
      </c>
      <c r="BJ59" s="144">
        <v>0</v>
      </c>
      <c r="BK59" s="144">
        <v>0</v>
      </c>
      <c r="BL59" s="144">
        <v>0</v>
      </c>
      <c r="BM59" s="144">
        <v>0</v>
      </c>
      <c r="BN59" s="144">
        <v>0</v>
      </c>
      <c r="BO59" s="144">
        <v>0</v>
      </c>
      <c r="BP59" s="144">
        <v>0</v>
      </c>
      <c r="BQ59" s="144">
        <v>0</v>
      </c>
      <c r="BR59" s="144">
        <v>0</v>
      </c>
      <c r="BS59" s="144">
        <v>0</v>
      </c>
      <c r="BT59" s="144">
        <v>0</v>
      </c>
      <c r="BU59" s="144">
        <v>0</v>
      </c>
      <c r="BV59" s="144">
        <v>0</v>
      </c>
      <c r="BW59" s="144">
        <v>0</v>
      </c>
      <c r="BX59" s="144">
        <v>0</v>
      </c>
      <c r="BY59" s="144">
        <v>0</v>
      </c>
      <c r="BZ59" s="144">
        <v>0</v>
      </c>
      <c r="CA59" s="144">
        <v>0</v>
      </c>
      <c r="CB59" s="144">
        <v>0</v>
      </c>
      <c r="CC59" s="144">
        <v>0</v>
      </c>
      <c r="CD59" s="144">
        <v>0</v>
      </c>
      <c r="CE59" s="144">
        <v>0</v>
      </c>
      <c r="CF59" s="144">
        <v>0</v>
      </c>
      <c r="CG59" s="144">
        <v>0</v>
      </c>
      <c r="CH59" s="144">
        <v>0</v>
      </c>
      <c r="CI59" s="144">
        <v>0</v>
      </c>
      <c r="CJ59" s="144">
        <v>0</v>
      </c>
      <c r="CK59" s="144">
        <v>0</v>
      </c>
      <c r="CL59" s="144">
        <v>0</v>
      </c>
      <c r="CM59" s="144">
        <v>0</v>
      </c>
      <c r="CN59" s="144">
        <v>0</v>
      </c>
      <c r="CO59" s="144">
        <v>0</v>
      </c>
      <c r="CP59" s="144">
        <v>0</v>
      </c>
      <c r="CQ59" s="144">
        <v>0</v>
      </c>
      <c r="CR59" s="144">
        <v>0</v>
      </c>
      <c r="CS59" s="144">
        <v>0</v>
      </c>
      <c r="CT59" s="144">
        <v>0</v>
      </c>
      <c r="CU59" s="144">
        <v>0</v>
      </c>
      <c r="CV59" s="144">
        <v>0</v>
      </c>
    </row>
    <row r="60" spans="1:100" x14ac:dyDescent="0.15">
      <c r="A60" s="180" t="s">
        <v>250</v>
      </c>
      <c r="B60" s="144">
        <v>0</v>
      </c>
      <c r="C60" s="144">
        <v>0</v>
      </c>
      <c r="D60" s="144">
        <v>0</v>
      </c>
      <c r="E60" s="144">
        <v>0</v>
      </c>
      <c r="F60" s="144">
        <v>0</v>
      </c>
      <c r="G60" s="144">
        <v>0</v>
      </c>
      <c r="H60" s="144">
        <v>0</v>
      </c>
      <c r="I60" s="144">
        <v>0</v>
      </c>
      <c r="J60" s="144">
        <v>0</v>
      </c>
      <c r="K60" s="144">
        <v>0</v>
      </c>
      <c r="L60" s="144">
        <v>0</v>
      </c>
      <c r="M60" s="144">
        <v>0</v>
      </c>
      <c r="N60" s="144">
        <v>0</v>
      </c>
      <c r="O60" s="144">
        <v>2.5002977088047388E-2</v>
      </c>
      <c r="P60" s="144">
        <v>0</v>
      </c>
      <c r="Q60" s="144">
        <v>0</v>
      </c>
      <c r="R60" s="144">
        <v>4.8204814151540611E-4</v>
      </c>
      <c r="S60" s="144">
        <v>0</v>
      </c>
      <c r="T60" s="144">
        <v>0</v>
      </c>
      <c r="U60" s="144">
        <v>1.0052184804849906E-3</v>
      </c>
      <c r="V60" s="144">
        <v>4.2940984049958057E-3</v>
      </c>
      <c r="W60" s="144">
        <v>8.8226165687732615E-4</v>
      </c>
      <c r="X60" s="144">
        <v>2.0026184914555523E-3</v>
      </c>
      <c r="Y60" s="144">
        <v>0</v>
      </c>
      <c r="Z60" s="144">
        <v>0</v>
      </c>
      <c r="AA60" s="144">
        <v>0</v>
      </c>
      <c r="AB60" s="144">
        <v>0</v>
      </c>
      <c r="AC60" s="144">
        <v>0</v>
      </c>
      <c r="AD60" s="144">
        <v>3.2453122636789917E-4</v>
      </c>
      <c r="AE60" s="144">
        <v>0</v>
      </c>
      <c r="AF60" s="144">
        <v>1.0002012063064871E-3</v>
      </c>
      <c r="AG60" s="144">
        <v>0</v>
      </c>
      <c r="AH60" s="144">
        <v>0</v>
      </c>
      <c r="AI60" s="144">
        <v>1.6415000037754501E-4</v>
      </c>
      <c r="AJ60" s="144">
        <v>0</v>
      </c>
      <c r="AK60" s="144">
        <v>0</v>
      </c>
      <c r="AL60" s="144">
        <v>0</v>
      </c>
      <c r="AM60" s="144">
        <v>0</v>
      </c>
      <c r="AN60" s="144">
        <v>0</v>
      </c>
      <c r="AO60" s="144">
        <v>0</v>
      </c>
      <c r="AP60" s="144">
        <v>0</v>
      </c>
      <c r="AQ60" s="144">
        <v>0</v>
      </c>
      <c r="AR60" s="144">
        <v>9.9980000459908019E-5</v>
      </c>
      <c r="AS60" s="144">
        <v>0</v>
      </c>
      <c r="AT60" s="144">
        <v>0</v>
      </c>
      <c r="AU60" s="144">
        <v>0</v>
      </c>
      <c r="AV60" s="144">
        <v>0</v>
      </c>
      <c r="AW60" s="144">
        <v>0</v>
      </c>
      <c r="AX60" s="144">
        <v>0</v>
      </c>
      <c r="AY60" s="144">
        <v>0</v>
      </c>
      <c r="AZ60" s="144">
        <v>0</v>
      </c>
      <c r="BA60" s="144">
        <v>0</v>
      </c>
      <c r="BB60" s="144">
        <v>0</v>
      </c>
      <c r="BC60" s="144">
        <v>0</v>
      </c>
      <c r="BD60" s="144">
        <v>0</v>
      </c>
      <c r="BE60" s="144">
        <v>0</v>
      </c>
      <c r="BF60" s="144">
        <v>0</v>
      </c>
      <c r="BG60" s="144">
        <v>0</v>
      </c>
      <c r="BH60" s="144">
        <v>0</v>
      </c>
      <c r="BI60" s="144">
        <v>0</v>
      </c>
      <c r="BJ60" s="144">
        <v>0</v>
      </c>
      <c r="BK60" s="144">
        <v>0</v>
      </c>
      <c r="BL60" s="144">
        <v>1.0000000000000002E-3</v>
      </c>
      <c r="BM60" s="144">
        <v>0</v>
      </c>
      <c r="BN60" s="144">
        <v>0</v>
      </c>
      <c r="BO60" s="144">
        <v>0</v>
      </c>
      <c r="BP60" s="144">
        <v>0</v>
      </c>
      <c r="BQ60" s="144">
        <v>0</v>
      </c>
      <c r="BR60" s="144">
        <v>0</v>
      </c>
      <c r="BS60" s="144">
        <v>0</v>
      </c>
      <c r="BT60" s="144">
        <v>0</v>
      </c>
      <c r="BU60" s="144">
        <v>0</v>
      </c>
      <c r="BV60" s="144">
        <v>0</v>
      </c>
      <c r="BW60" s="144">
        <v>0</v>
      </c>
      <c r="BX60" s="144">
        <v>0</v>
      </c>
      <c r="BY60" s="144">
        <v>0</v>
      </c>
      <c r="BZ60" s="144">
        <v>0</v>
      </c>
      <c r="CA60" s="144">
        <v>0</v>
      </c>
      <c r="CB60" s="144">
        <v>0</v>
      </c>
      <c r="CC60" s="144">
        <v>0</v>
      </c>
      <c r="CD60" s="144">
        <v>0</v>
      </c>
      <c r="CE60" s="144">
        <v>0</v>
      </c>
      <c r="CF60" s="144">
        <v>0</v>
      </c>
      <c r="CG60" s="144">
        <v>0</v>
      </c>
      <c r="CH60" s="144">
        <v>0</v>
      </c>
      <c r="CI60" s="144">
        <v>0</v>
      </c>
      <c r="CJ60" s="144">
        <v>0</v>
      </c>
      <c r="CK60" s="144">
        <v>0</v>
      </c>
      <c r="CL60" s="144">
        <v>0</v>
      </c>
      <c r="CM60" s="144">
        <v>0</v>
      </c>
      <c r="CN60" s="144">
        <v>0</v>
      </c>
      <c r="CO60" s="144">
        <v>0</v>
      </c>
      <c r="CP60" s="144">
        <v>0</v>
      </c>
      <c r="CQ60" s="144">
        <v>0</v>
      </c>
      <c r="CR60" s="144">
        <v>0</v>
      </c>
      <c r="CS60" s="144">
        <v>0</v>
      </c>
      <c r="CT60" s="144">
        <v>0</v>
      </c>
      <c r="CU60" s="144">
        <v>0</v>
      </c>
      <c r="CV60" s="144">
        <v>0</v>
      </c>
    </row>
    <row r="61" spans="1:100" x14ac:dyDescent="0.15">
      <c r="A61" s="180" t="s">
        <v>251</v>
      </c>
      <c r="B61" s="144">
        <v>0</v>
      </c>
      <c r="C61" s="144">
        <v>0</v>
      </c>
      <c r="D61" s="144">
        <v>0</v>
      </c>
      <c r="E61" s="144">
        <v>0</v>
      </c>
      <c r="F61" s="144">
        <v>0</v>
      </c>
      <c r="G61" s="144">
        <v>0</v>
      </c>
      <c r="H61" s="144">
        <v>0</v>
      </c>
      <c r="I61" s="144">
        <v>0</v>
      </c>
      <c r="J61" s="144">
        <v>0</v>
      </c>
      <c r="K61" s="144">
        <v>0</v>
      </c>
      <c r="L61" s="144">
        <v>0</v>
      </c>
      <c r="M61" s="144">
        <v>0</v>
      </c>
      <c r="N61" s="144">
        <v>0</v>
      </c>
      <c r="O61" s="144">
        <v>0</v>
      </c>
      <c r="P61" s="144">
        <v>0</v>
      </c>
      <c r="Q61" s="144">
        <v>0</v>
      </c>
      <c r="R61" s="144">
        <v>0</v>
      </c>
      <c r="S61" s="144">
        <v>0</v>
      </c>
      <c r="T61" s="144">
        <v>0</v>
      </c>
      <c r="U61" s="144">
        <v>0</v>
      </c>
      <c r="V61" s="144">
        <v>0</v>
      </c>
      <c r="W61" s="144">
        <v>0</v>
      </c>
      <c r="X61" s="144">
        <v>0</v>
      </c>
      <c r="Y61" s="144">
        <v>0</v>
      </c>
      <c r="Z61" s="144">
        <v>0</v>
      </c>
      <c r="AA61" s="144">
        <v>0</v>
      </c>
      <c r="AB61" s="144">
        <v>0</v>
      </c>
      <c r="AC61" s="144">
        <v>0</v>
      </c>
      <c r="AD61" s="144">
        <v>0</v>
      </c>
      <c r="AE61" s="144">
        <v>0</v>
      </c>
      <c r="AF61" s="144">
        <v>0</v>
      </c>
      <c r="AG61" s="144">
        <v>0</v>
      </c>
      <c r="AH61" s="144">
        <v>0</v>
      </c>
      <c r="AI61" s="144">
        <v>0</v>
      </c>
      <c r="AJ61" s="144">
        <v>0</v>
      </c>
      <c r="AK61" s="144">
        <v>0</v>
      </c>
      <c r="AL61" s="144">
        <v>0</v>
      </c>
      <c r="AM61" s="144">
        <v>0</v>
      </c>
      <c r="AN61" s="144">
        <v>0</v>
      </c>
      <c r="AO61" s="144">
        <v>0</v>
      </c>
      <c r="AP61" s="144">
        <v>0.01</v>
      </c>
      <c r="AQ61" s="144">
        <v>0</v>
      </c>
      <c r="AR61" s="144">
        <v>2.9994002637972416E-3</v>
      </c>
      <c r="AS61" s="144">
        <v>0</v>
      </c>
      <c r="AT61" s="144">
        <v>0</v>
      </c>
      <c r="AU61" s="144">
        <v>0</v>
      </c>
      <c r="AV61" s="144">
        <v>0</v>
      </c>
      <c r="AW61" s="144">
        <v>0</v>
      </c>
      <c r="AX61" s="144">
        <v>0</v>
      </c>
      <c r="AY61" s="144">
        <v>0</v>
      </c>
      <c r="AZ61" s="144">
        <v>0</v>
      </c>
      <c r="BA61" s="144">
        <v>0</v>
      </c>
      <c r="BB61" s="144">
        <v>0</v>
      </c>
      <c r="BC61" s="144">
        <v>9.9999999999999985E-3</v>
      </c>
      <c r="BD61" s="144">
        <v>9.9974718011802775E-3</v>
      </c>
      <c r="BE61" s="144">
        <v>0</v>
      </c>
      <c r="BF61" s="144">
        <v>1.0002515611078238E-2</v>
      </c>
      <c r="BG61" s="144">
        <v>2.0000000000000004E-2</v>
      </c>
      <c r="BH61" s="144">
        <v>0</v>
      </c>
      <c r="BI61" s="144">
        <v>0</v>
      </c>
      <c r="BJ61" s="144">
        <v>0</v>
      </c>
      <c r="BK61" s="144">
        <v>0</v>
      </c>
      <c r="BL61" s="144">
        <v>0</v>
      </c>
      <c r="BM61" s="144">
        <v>0</v>
      </c>
      <c r="BN61" s="144">
        <v>0</v>
      </c>
      <c r="BO61" s="144">
        <v>0</v>
      </c>
      <c r="BP61" s="144">
        <v>0</v>
      </c>
      <c r="BQ61" s="144">
        <v>0</v>
      </c>
      <c r="BR61" s="144">
        <v>0</v>
      </c>
      <c r="BS61" s="144">
        <v>0</v>
      </c>
      <c r="BT61" s="144">
        <v>0</v>
      </c>
      <c r="BU61" s="144">
        <v>0</v>
      </c>
      <c r="BV61" s="144">
        <v>0</v>
      </c>
      <c r="BW61" s="144">
        <v>0</v>
      </c>
      <c r="BX61" s="144">
        <v>0</v>
      </c>
      <c r="BY61" s="144">
        <v>0</v>
      </c>
      <c r="BZ61" s="144">
        <v>0</v>
      </c>
      <c r="CA61" s="144">
        <v>0</v>
      </c>
      <c r="CB61" s="144">
        <v>0</v>
      </c>
      <c r="CC61" s="144">
        <v>0</v>
      </c>
      <c r="CD61" s="144">
        <v>0</v>
      </c>
      <c r="CE61" s="144">
        <v>0</v>
      </c>
      <c r="CF61" s="144">
        <v>0</v>
      </c>
      <c r="CG61" s="144">
        <v>0</v>
      </c>
      <c r="CH61" s="144">
        <v>0</v>
      </c>
      <c r="CI61" s="144">
        <v>0</v>
      </c>
      <c r="CJ61" s="144">
        <v>0</v>
      </c>
      <c r="CK61" s="144">
        <v>0</v>
      </c>
      <c r="CL61" s="144">
        <v>0</v>
      </c>
      <c r="CM61" s="144">
        <v>0</v>
      </c>
      <c r="CN61" s="144">
        <v>0</v>
      </c>
      <c r="CO61" s="144">
        <v>0</v>
      </c>
      <c r="CP61" s="144">
        <v>0</v>
      </c>
      <c r="CQ61" s="144">
        <v>0</v>
      </c>
      <c r="CR61" s="144">
        <v>0</v>
      </c>
      <c r="CS61" s="144">
        <v>0</v>
      </c>
      <c r="CT61" s="144">
        <v>0</v>
      </c>
      <c r="CU61" s="144">
        <v>0</v>
      </c>
      <c r="CV61" s="144">
        <v>0</v>
      </c>
    </row>
    <row r="62" spans="1:100" x14ac:dyDescent="0.15">
      <c r="A62" s="180" t="s">
        <v>252</v>
      </c>
      <c r="B62" s="144">
        <v>0</v>
      </c>
      <c r="C62" s="144">
        <v>0</v>
      </c>
      <c r="D62" s="144">
        <v>0</v>
      </c>
      <c r="E62" s="144">
        <v>0</v>
      </c>
      <c r="F62" s="144">
        <v>0</v>
      </c>
      <c r="G62" s="144">
        <v>0</v>
      </c>
      <c r="H62" s="144">
        <v>0</v>
      </c>
      <c r="I62" s="144">
        <v>0</v>
      </c>
      <c r="J62" s="144">
        <v>0</v>
      </c>
      <c r="K62" s="144">
        <v>0</v>
      </c>
      <c r="L62" s="144">
        <v>0</v>
      </c>
      <c r="M62" s="144">
        <v>0</v>
      </c>
      <c r="N62" s="144">
        <v>0</v>
      </c>
      <c r="O62" s="144">
        <v>6.5670920493910974E-4</v>
      </c>
      <c r="P62" s="144">
        <v>5.7292419686788098E-4</v>
      </c>
      <c r="Q62" s="144">
        <v>1.6849357088840667E-4</v>
      </c>
      <c r="R62" s="144">
        <v>5.4676387758460021E-5</v>
      </c>
      <c r="S62" s="144">
        <v>0</v>
      </c>
      <c r="T62" s="144">
        <v>0</v>
      </c>
      <c r="U62" s="144">
        <v>2.0104370009699809E-3</v>
      </c>
      <c r="V62" s="144">
        <v>5.2377738670817408E-5</v>
      </c>
      <c r="W62" s="144">
        <v>2.5090751940559115E-2</v>
      </c>
      <c r="X62" s="144">
        <v>4.3672174395591298E-4</v>
      </c>
      <c r="Y62" s="144">
        <v>0</v>
      </c>
      <c r="Z62" s="144">
        <v>5.4134101450252598E-6</v>
      </c>
      <c r="AA62" s="144">
        <v>0</v>
      </c>
      <c r="AB62" s="144">
        <v>0</v>
      </c>
      <c r="AC62" s="144">
        <v>0</v>
      </c>
      <c r="AD62" s="144">
        <v>8.2214570346534428E-4</v>
      </c>
      <c r="AE62" s="144">
        <v>0</v>
      </c>
      <c r="AF62" s="144">
        <v>0</v>
      </c>
      <c r="AG62" s="144">
        <v>4.409407636463236E-3</v>
      </c>
      <c r="AH62" s="144">
        <v>0</v>
      </c>
      <c r="AI62" s="144">
        <v>0</v>
      </c>
      <c r="AJ62" s="144">
        <v>3.5788816960042025E-3</v>
      </c>
      <c r="AK62" s="144">
        <v>0</v>
      </c>
      <c r="AL62" s="144">
        <v>0</v>
      </c>
      <c r="AM62" s="144">
        <v>0</v>
      </c>
      <c r="AN62" s="144">
        <v>0</v>
      </c>
      <c r="AO62" s="144">
        <v>0</v>
      </c>
      <c r="AP62" s="144">
        <v>0</v>
      </c>
      <c r="AQ62" s="144">
        <v>0</v>
      </c>
      <c r="AR62" s="144">
        <v>9.9980000459908014E-4</v>
      </c>
      <c r="AS62" s="144">
        <v>0</v>
      </c>
      <c r="AT62" s="144">
        <v>0</v>
      </c>
      <c r="AU62" s="144">
        <v>0</v>
      </c>
      <c r="AV62" s="144">
        <v>0</v>
      </c>
      <c r="AW62" s="144">
        <v>0</v>
      </c>
      <c r="AX62" s="144">
        <v>0</v>
      </c>
      <c r="AY62" s="144">
        <v>0</v>
      </c>
      <c r="AZ62" s="144">
        <v>0</v>
      </c>
      <c r="BA62" s="144">
        <v>0</v>
      </c>
      <c r="BB62" s="144">
        <v>0</v>
      </c>
      <c r="BC62" s="144">
        <v>9.9999999999999985E-3</v>
      </c>
      <c r="BD62" s="144">
        <v>9.9974718011802775E-3</v>
      </c>
      <c r="BE62" s="144">
        <v>0</v>
      </c>
      <c r="BF62" s="144">
        <v>1.0002516511078267E-3</v>
      </c>
      <c r="BG62" s="144">
        <v>1.0000000000000002E-2</v>
      </c>
      <c r="BH62" s="144">
        <v>0</v>
      </c>
      <c r="BI62" s="144">
        <v>0</v>
      </c>
      <c r="BJ62" s="144">
        <v>0</v>
      </c>
      <c r="BK62" s="144">
        <v>0</v>
      </c>
      <c r="BL62" s="144">
        <v>0</v>
      </c>
      <c r="BM62" s="144">
        <v>0</v>
      </c>
      <c r="BN62" s="144">
        <v>0</v>
      </c>
      <c r="BO62" s="144">
        <v>0</v>
      </c>
      <c r="BP62" s="144">
        <v>0</v>
      </c>
      <c r="BQ62" s="144">
        <v>0</v>
      </c>
      <c r="BR62" s="144">
        <v>0</v>
      </c>
      <c r="BS62" s="144">
        <v>0</v>
      </c>
      <c r="BT62" s="144">
        <v>0</v>
      </c>
      <c r="BU62" s="144">
        <v>0</v>
      </c>
      <c r="BV62" s="144">
        <v>0</v>
      </c>
      <c r="BW62" s="144">
        <v>0</v>
      </c>
      <c r="BX62" s="144">
        <v>0</v>
      </c>
      <c r="BY62" s="144">
        <v>0</v>
      </c>
      <c r="BZ62" s="144">
        <v>0</v>
      </c>
      <c r="CA62" s="144">
        <v>0</v>
      </c>
      <c r="CB62" s="144">
        <v>0</v>
      </c>
      <c r="CC62" s="144">
        <v>0</v>
      </c>
      <c r="CD62" s="144">
        <v>0</v>
      </c>
      <c r="CE62" s="144">
        <v>0</v>
      </c>
      <c r="CF62" s="144">
        <v>0</v>
      </c>
      <c r="CG62" s="144">
        <v>0</v>
      </c>
      <c r="CH62" s="144">
        <v>0</v>
      </c>
      <c r="CI62" s="144">
        <v>0</v>
      </c>
      <c r="CJ62" s="144">
        <v>0</v>
      </c>
      <c r="CK62" s="144">
        <v>0</v>
      </c>
      <c r="CL62" s="144">
        <v>0</v>
      </c>
      <c r="CM62" s="144">
        <v>0</v>
      </c>
      <c r="CN62" s="144">
        <v>0</v>
      </c>
      <c r="CO62" s="144">
        <v>0</v>
      </c>
      <c r="CP62" s="144">
        <v>0</v>
      </c>
      <c r="CQ62" s="144">
        <v>0</v>
      </c>
      <c r="CR62" s="144">
        <v>0</v>
      </c>
      <c r="CS62" s="144">
        <v>0</v>
      </c>
      <c r="CT62" s="144">
        <v>0</v>
      </c>
      <c r="CU62" s="144">
        <v>0</v>
      </c>
      <c r="CV62" s="144">
        <v>0</v>
      </c>
    </row>
    <row r="63" spans="1:100" x14ac:dyDescent="0.15">
      <c r="A63" s="180" t="s">
        <v>253</v>
      </c>
      <c r="B63" s="144">
        <v>0</v>
      </c>
      <c r="C63" s="144">
        <v>0</v>
      </c>
      <c r="D63" s="144">
        <v>0</v>
      </c>
      <c r="E63" s="144">
        <v>0</v>
      </c>
      <c r="F63" s="144">
        <v>0</v>
      </c>
      <c r="G63" s="144">
        <v>0</v>
      </c>
      <c r="H63" s="144">
        <v>0</v>
      </c>
      <c r="I63" s="144">
        <v>0</v>
      </c>
      <c r="J63" s="144">
        <v>0</v>
      </c>
      <c r="K63" s="144">
        <v>0</v>
      </c>
      <c r="L63" s="144">
        <v>0</v>
      </c>
      <c r="M63" s="144">
        <v>0</v>
      </c>
      <c r="N63" s="144">
        <v>0</v>
      </c>
      <c r="O63" s="144">
        <v>1.0708274980536935E-4</v>
      </c>
      <c r="P63" s="144">
        <v>0</v>
      </c>
      <c r="Q63" s="144">
        <v>9.1761496139226341E-4</v>
      </c>
      <c r="R63" s="144">
        <v>2.6103758727910151E-3</v>
      </c>
      <c r="S63" s="144">
        <v>0</v>
      </c>
      <c r="T63" s="144">
        <v>1.0480799919193029E-4</v>
      </c>
      <c r="U63" s="144">
        <v>5.8601107428273439E-3</v>
      </c>
      <c r="V63" s="144">
        <v>4.437808296836342E-4</v>
      </c>
      <c r="W63" s="144">
        <v>6.4462245733453924E-3</v>
      </c>
      <c r="X63" s="144">
        <v>2.9998883322207341E-2</v>
      </c>
      <c r="Y63" s="144">
        <v>0</v>
      </c>
      <c r="Z63" s="144">
        <v>1.305120034964166E-5</v>
      </c>
      <c r="AA63" s="144">
        <v>0</v>
      </c>
      <c r="AB63" s="144">
        <v>0</v>
      </c>
      <c r="AC63" s="144">
        <v>0</v>
      </c>
      <c r="AD63" s="144">
        <v>0</v>
      </c>
      <c r="AE63" s="144">
        <v>0</v>
      </c>
      <c r="AF63" s="144">
        <v>2.7665564497837438E-5</v>
      </c>
      <c r="AG63" s="144">
        <v>3.5177029253789679E-4</v>
      </c>
      <c r="AH63" s="144">
        <v>0</v>
      </c>
      <c r="AI63" s="144">
        <v>0</v>
      </c>
      <c r="AJ63" s="144">
        <v>1.4288232564276079E-2</v>
      </c>
      <c r="AK63" s="144">
        <v>0</v>
      </c>
      <c r="AL63" s="144">
        <v>0</v>
      </c>
      <c r="AM63" s="144">
        <v>0</v>
      </c>
      <c r="AN63" s="144">
        <v>0</v>
      </c>
      <c r="AO63" s="144">
        <v>0</v>
      </c>
      <c r="AP63" s="144">
        <v>0</v>
      </c>
      <c r="AQ63" s="144">
        <v>0</v>
      </c>
      <c r="AR63" s="144">
        <v>1.9996000091981603E-3</v>
      </c>
      <c r="AS63" s="144">
        <v>0</v>
      </c>
      <c r="AT63" s="144">
        <v>0</v>
      </c>
      <c r="AU63" s="144">
        <v>7.3907390174421439E-2</v>
      </c>
      <c r="AV63" s="144">
        <v>3.0003002298229837E-4</v>
      </c>
      <c r="AW63" s="144">
        <v>0.17</v>
      </c>
      <c r="AX63" s="144">
        <v>0.17435230375241026</v>
      </c>
      <c r="AY63" s="144">
        <v>0.12406250838161627</v>
      </c>
      <c r="AZ63" s="144">
        <v>4.9999999999999989E-2</v>
      </c>
      <c r="BA63" s="144">
        <v>4.9982375541302783E-2</v>
      </c>
      <c r="BB63" s="144">
        <v>0</v>
      </c>
      <c r="BC63" s="144">
        <v>9.9999999999999985E-3</v>
      </c>
      <c r="BD63" s="144">
        <v>9.9974718011802775E-3</v>
      </c>
      <c r="BE63" s="144">
        <v>2.2726422054778164E-2</v>
      </c>
      <c r="BF63" s="144">
        <v>1.0002515611078238E-2</v>
      </c>
      <c r="BG63" s="144">
        <v>0</v>
      </c>
      <c r="BH63" s="144">
        <v>0</v>
      </c>
      <c r="BI63" s="144">
        <v>0</v>
      </c>
      <c r="BJ63" s="144">
        <v>0</v>
      </c>
      <c r="BK63" s="144">
        <v>0</v>
      </c>
      <c r="BL63" s="144">
        <v>1.0000000000000002E-2</v>
      </c>
      <c r="BM63" s="144">
        <v>0</v>
      </c>
      <c r="BN63" s="144">
        <v>0</v>
      </c>
      <c r="BO63" s="144">
        <v>0</v>
      </c>
      <c r="BP63" s="144">
        <v>0</v>
      </c>
      <c r="BQ63" s="144">
        <v>0</v>
      </c>
      <c r="BR63" s="144">
        <v>0</v>
      </c>
      <c r="BS63" s="144">
        <v>0</v>
      </c>
      <c r="BT63" s="144">
        <v>0</v>
      </c>
      <c r="BU63" s="144">
        <v>0</v>
      </c>
      <c r="BV63" s="144">
        <v>0</v>
      </c>
      <c r="BW63" s="144">
        <v>0</v>
      </c>
      <c r="BX63" s="144">
        <v>0</v>
      </c>
      <c r="BY63" s="144">
        <v>0</v>
      </c>
      <c r="BZ63" s="144">
        <v>0</v>
      </c>
      <c r="CA63" s="144">
        <v>0</v>
      </c>
      <c r="CB63" s="144">
        <v>0</v>
      </c>
      <c r="CC63" s="144">
        <v>0</v>
      </c>
      <c r="CD63" s="144">
        <v>0</v>
      </c>
      <c r="CE63" s="144">
        <v>0</v>
      </c>
      <c r="CF63" s="144">
        <v>0</v>
      </c>
      <c r="CG63" s="144">
        <v>0</v>
      </c>
      <c r="CH63" s="144">
        <v>0</v>
      </c>
      <c r="CI63" s="144">
        <v>0</v>
      </c>
      <c r="CJ63" s="144">
        <v>0</v>
      </c>
      <c r="CK63" s="144">
        <v>0</v>
      </c>
      <c r="CL63" s="144">
        <v>0</v>
      </c>
      <c r="CM63" s="144">
        <v>0</v>
      </c>
      <c r="CN63" s="144">
        <v>0</v>
      </c>
      <c r="CO63" s="144">
        <v>0</v>
      </c>
      <c r="CP63" s="144">
        <v>0</v>
      </c>
      <c r="CQ63" s="144">
        <v>0</v>
      </c>
      <c r="CR63" s="144">
        <v>0</v>
      </c>
      <c r="CS63" s="144">
        <v>0</v>
      </c>
      <c r="CT63" s="144">
        <v>0</v>
      </c>
      <c r="CU63" s="144">
        <v>0</v>
      </c>
      <c r="CV63" s="144">
        <v>0</v>
      </c>
    </row>
    <row r="64" spans="1:100" x14ac:dyDescent="0.15">
      <c r="A64" s="180" t="s">
        <v>254</v>
      </c>
      <c r="B64" s="144">
        <v>0</v>
      </c>
      <c r="C64" s="144">
        <v>0</v>
      </c>
      <c r="D64" s="144">
        <v>0</v>
      </c>
      <c r="E64" s="144">
        <v>0</v>
      </c>
      <c r="F64" s="144">
        <v>0</v>
      </c>
      <c r="G64" s="144">
        <v>0</v>
      </c>
      <c r="H64" s="144">
        <v>0</v>
      </c>
      <c r="I64" s="144">
        <v>0</v>
      </c>
      <c r="J64" s="144">
        <v>0</v>
      </c>
      <c r="K64" s="144">
        <v>0</v>
      </c>
      <c r="L64" s="144">
        <v>0</v>
      </c>
      <c r="M64" s="144">
        <v>0</v>
      </c>
      <c r="N64" s="144">
        <v>0</v>
      </c>
      <c r="O64" s="144">
        <v>0</v>
      </c>
      <c r="P64" s="144">
        <v>0</v>
      </c>
      <c r="Q64" s="144">
        <v>0</v>
      </c>
      <c r="R64" s="144">
        <v>0</v>
      </c>
      <c r="S64" s="144">
        <v>0</v>
      </c>
      <c r="T64" s="144">
        <v>0</v>
      </c>
      <c r="U64" s="144">
        <v>4.2265113720391769E-5</v>
      </c>
      <c r="V64" s="144">
        <v>0</v>
      </c>
      <c r="W64" s="144">
        <v>0</v>
      </c>
      <c r="X64" s="144">
        <v>0</v>
      </c>
      <c r="Y64" s="144">
        <v>0</v>
      </c>
      <c r="Z64" s="144">
        <v>0</v>
      </c>
      <c r="AA64" s="144">
        <v>0</v>
      </c>
      <c r="AB64" s="144">
        <v>0</v>
      </c>
      <c r="AC64" s="144">
        <v>0</v>
      </c>
      <c r="AD64" s="144">
        <v>0</v>
      </c>
      <c r="AE64" s="144">
        <v>0</v>
      </c>
      <c r="AF64" s="144">
        <v>4.9540965617056621E-5</v>
      </c>
      <c r="AG64" s="144">
        <v>0</v>
      </c>
      <c r="AH64" s="144">
        <v>0</v>
      </c>
      <c r="AI64" s="144">
        <v>0</v>
      </c>
      <c r="AJ64" s="144">
        <v>0</v>
      </c>
      <c r="AK64" s="144">
        <v>0</v>
      </c>
      <c r="AL64" s="144">
        <v>0</v>
      </c>
      <c r="AM64" s="144">
        <v>0</v>
      </c>
      <c r="AN64" s="144">
        <v>0</v>
      </c>
      <c r="AO64" s="144">
        <v>0</v>
      </c>
      <c r="AP64" s="144">
        <v>0</v>
      </c>
      <c r="AQ64" s="144">
        <v>0</v>
      </c>
      <c r="AR64" s="144">
        <v>9.9980000459908014E-4</v>
      </c>
      <c r="AS64" s="144">
        <v>0</v>
      </c>
      <c r="AT64" s="144">
        <v>0</v>
      </c>
      <c r="AU64" s="144">
        <v>0</v>
      </c>
      <c r="AV64" s="144">
        <v>0</v>
      </c>
      <c r="AW64" s="144">
        <v>0</v>
      </c>
      <c r="AX64" s="144">
        <v>0</v>
      </c>
      <c r="AY64" s="144">
        <v>0</v>
      </c>
      <c r="AZ64" s="144">
        <v>0</v>
      </c>
      <c r="BA64" s="144">
        <v>0</v>
      </c>
      <c r="BB64" s="144">
        <v>0</v>
      </c>
      <c r="BC64" s="144">
        <v>0</v>
      </c>
      <c r="BD64" s="144">
        <v>0</v>
      </c>
      <c r="BE64" s="144">
        <v>0</v>
      </c>
      <c r="BF64" s="144">
        <v>0</v>
      </c>
      <c r="BG64" s="144">
        <v>0</v>
      </c>
      <c r="BH64" s="144">
        <v>0</v>
      </c>
      <c r="BI64" s="144">
        <v>0</v>
      </c>
      <c r="BJ64" s="144">
        <v>0</v>
      </c>
      <c r="BK64" s="144">
        <v>0</v>
      </c>
      <c r="BL64" s="144">
        <v>0</v>
      </c>
      <c r="BM64" s="144">
        <v>0</v>
      </c>
      <c r="BN64" s="144">
        <v>0</v>
      </c>
      <c r="BO64" s="144">
        <v>0</v>
      </c>
      <c r="BP64" s="144">
        <v>0</v>
      </c>
      <c r="BQ64" s="144">
        <v>0</v>
      </c>
      <c r="BR64" s="144">
        <v>0</v>
      </c>
      <c r="BS64" s="144">
        <v>0</v>
      </c>
      <c r="BT64" s="144">
        <v>0</v>
      </c>
      <c r="BU64" s="144">
        <v>0</v>
      </c>
      <c r="BV64" s="144">
        <v>0</v>
      </c>
      <c r="BW64" s="144">
        <v>0</v>
      </c>
      <c r="BX64" s="144">
        <v>0</v>
      </c>
      <c r="BY64" s="144">
        <v>0</v>
      </c>
      <c r="BZ64" s="144">
        <v>0</v>
      </c>
      <c r="CA64" s="144">
        <v>0</v>
      </c>
      <c r="CB64" s="144">
        <v>0</v>
      </c>
      <c r="CC64" s="144">
        <v>0</v>
      </c>
      <c r="CD64" s="144">
        <v>0</v>
      </c>
      <c r="CE64" s="144">
        <v>0</v>
      </c>
      <c r="CF64" s="144">
        <v>0</v>
      </c>
      <c r="CG64" s="144">
        <v>0</v>
      </c>
      <c r="CH64" s="144">
        <v>0</v>
      </c>
      <c r="CI64" s="144">
        <v>0</v>
      </c>
      <c r="CJ64" s="144">
        <v>0</v>
      </c>
      <c r="CK64" s="144">
        <v>0</v>
      </c>
      <c r="CL64" s="144">
        <v>0</v>
      </c>
      <c r="CM64" s="144">
        <v>0</v>
      </c>
      <c r="CN64" s="144">
        <v>0</v>
      </c>
      <c r="CO64" s="144">
        <v>0</v>
      </c>
      <c r="CP64" s="144">
        <v>0</v>
      </c>
      <c r="CQ64" s="144">
        <v>0</v>
      </c>
      <c r="CR64" s="144">
        <v>0</v>
      </c>
      <c r="CS64" s="144">
        <v>0</v>
      </c>
      <c r="CT64" s="144">
        <v>0</v>
      </c>
      <c r="CU64" s="144">
        <v>0</v>
      </c>
      <c r="CV64" s="144">
        <v>0</v>
      </c>
    </row>
    <row r="65" spans="1:100" x14ac:dyDescent="0.15">
      <c r="A65" s="180" t="s">
        <v>255</v>
      </c>
      <c r="B65" s="144">
        <v>0</v>
      </c>
      <c r="C65" s="144">
        <v>0</v>
      </c>
      <c r="D65" s="144">
        <v>0</v>
      </c>
      <c r="E65" s="144">
        <v>0.23000000000000004</v>
      </c>
      <c r="F65" s="144">
        <v>0</v>
      </c>
      <c r="G65" s="144">
        <v>0</v>
      </c>
      <c r="H65" s="144">
        <v>0</v>
      </c>
      <c r="I65" s="144">
        <v>0</v>
      </c>
      <c r="J65" s="144">
        <v>0</v>
      </c>
      <c r="K65" s="144">
        <v>0</v>
      </c>
      <c r="L65" s="144">
        <v>0</v>
      </c>
      <c r="M65" s="144">
        <v>0</v>
      </c>
      <c r="N65" s="144">
        <v>0</v>
      </c>
      <c r="O65" s="144">
        <v>2.2049145965831623E-3</v>
      </c>
      <c r="P65" s="144">
        <v>1.0538024942389676E-5</v>
      </c>
      <c r="Q65" s="144">
        <v>7.3526602951303317E-6</v>
      </c>
      <c r="R65" s="144">
        <v>6.3616610068018911E-5</v>
      </c>
      <c r="S65" s="144">
        <v>6.9950098782168776E-4</v>
      </c>
      <c r="T65" s="144">
        <v>3.3549799741331034E-5</v>
      </c>
      <c r="U65" s="144">
        <v>1.2329437305948618E-3</v>
      </c>
      <c r="V65" s="144">
        <v>5.0673800648994558E-4</v>
      </c>
      <c r="W65" s="144">
        <v>9.0453989064696698E-3</v>
      </c>
      <c r="X65" s="144">
        <v>8.5138034011613295E-4</v>
      </c>
      <c r="Y65" s="144">
        <v>0</v>
      </c>
      <c r="Z65" s="144">
        <v>7.0861201898371609E-5</v>
      </c>
      <c r="AA65" s="144">
        <v>0</v>
      </c>
      <c r="AB65" s="144">
        <v>0</v>
      </c>
      <c r="AC65" s="144">
        <v>0</v>
      </c>
      <c r="AD65" s="144">
        <v>4.9761450209744529E-6</v>
      </c>
      <c r="AE65" s="144">
        <v>2.0950826983770679E-5</v>
      </c>
      <c r="AF65" s="144">
        <v>8.8121019674589351E-3</v>
      </c>
      <c r="AG65" s="144">
        <v>0</v>
      </c>
      <c r="AH65" s="144">
        <v>0</v>
      </c>
      <c r="AI65" s="144">
        <v>0</v>
      </c>
      <c r="AJ65" s="144">
        <v>0</v>
      </c>
      <c r="AK65" s="144">
        <v>4.1982660424150818E-5</v>
      </c>
      <c r="AL65" s="144">
        <v>0</v>
      </c>
      <c r="AM65" s="144">
        <v>0</v>
      </c>
      <c r="AN65" s="144">
        <v>0</v>
      </c>
      <c r="AO65" s="144">
        <v>0</v>
      </c>
      <c r="AP65" s="144">
        <v>0.11</v>
      </c>
      <c r="AQ65" s="144">
        <v>0</v>
      </c>
      <c r="AR65" s="144">
        <v>0</v>
      </c>
      <c r="AS65" s="144">
        <v>1.5901749963425974E-2</v>
      </c>
      <c r="AT65" s="144">
        <v>0</v>
      </c>
      <c r="AU65" s="144">
        <v>0</v>
      </c>
      <c r="AV65" s="144">
        <v>0</v>
      </c>
      <c r="AW65" s="144">
        <v>0.03</v>
      </c>
      <c r="AX65" s="144">
        <v>0</v>
      </c>
      <c r="AY65" s="144">
        <v>0</v>
      </c>
      <c r="AZ65" s="144">
        <v>0</v>
      </c>
      <c r="BA65" s="144">
        <v>0</v>
      </c>
      <c r="BB65" s="144">
        <v>0</v>
      </c>
      <c r="BC65" s="144">
        <v>0.15299999999999997</v>
      </c>
      <c r="BD65" s="144">
        <v>0.1529613409580578</v>
      </c>
      <c r="BE65" s="144">
        <v>0</v>
      </c>
      <c r="BF65" s="144">
        <v>5.0012578855391211E-2</v>
      </c>
      <c r="BG65" s="144">
        <v>0.36000000000000004</v>
      </c>
      <c r="BH65" s="144">
        <v>0</v>
      </c>
      <c r="BI65" s="144">
        <v>0</v>
      </c>
      <c r="BJ65" s="144">
        <v>9.9999999999999985E-3</v>
      </c>
      <c r="BK65" s="144">
        <v>0</v>
      </c>
      <c r="BL65" s="144">
        <v>0.22900000000000004</v>
      </c>
      <c r="BM65" s="144">
        <v>0</v>
      </c>
      <c r="BN65" s="144">
        <v>0</v>
      </c>
      <c r="BO65" s="144">
        <v>0</v>
      </c>
      <c r="BP65" s="144">
        <v>0</v>
      </c>
      <c r="BQ65" s="144">
        <v>0</v>
      </c>
      <c r="BR65" s="144">
        <v>0</v>
      </c>
      <c r="BS65" s="144">
        <v>0</v>
      </c>
      <c r="BT65" s="144">
        <v>0</v>
      </c>
      <c r="BU65" s="144">
        <v>0</v>
      </c>
      <c r="BV65" s="144">
        <v>0</v>
      </c>
      <c r="BW65" s="144">
        <v>0</v>
      </c>
      <c r="BX65" s="144">
        <v>0</v>
      </c>
      <c r="BY65" s="144">
        <v>0</v>
      </c>
      <c r="BZ65" s="144">
        <v>0</v>
      </c>
      <c r="CA65" s="144">
        <v>0</v>
      </c>
      <c r="CB65" s="144">
        <v>0</v>
      </c>
      <c r="CC65" s="144">
        <v>0</v>
      </c>
      <c r="CD65" s="144">
        <v>0</v>
      </c>
      <c r="CE65" s="144">
        <v>0</v>
      </c>
      <c r="CF65" s="144">
        <v>0</v>
      </c>
      <c r="CG65" s="144">
        <v>0</v>
      </c>
      <c r="CH65" s="144">
        <v>0</v>
      </c>
      <c r="CI65" s="144">
        <v>0</v>
      </c>
      <c r="CJ65" s="144">
        <v>0</v>
      </c>
      <c r="CK65" s="144">
        <v>0</v>
      </c>
      <c r="CL65" s="144">
        <v>0</v>
      </c>
      <c r="CM65" s="144">
        <v>0</v>
      </c>
      <c r="CN65" s="144">
        <v>0</v>
      </c>
      <c r="CO65" s="144">
        <v>0</v>
      </c>
      <c r="CP65" s="144">
        <v>0</v>
      </c>
      <c r="CQ65" s="144">
        <v>0</v>
      </c>
      <c r="CR65" s="144">
        <v>0</v>
      </c>
      <c r="CS65" s="144">
        <v>0</v>
      </c>
      <c r="CT65" s="144">
        <v>0</v>
      </c>
      <c r="CU65" s="144">
        <v>0</v>
      </c>
      <c r="CV65" s="144">
        <v>0</v>
      </c>
    </row>
    <row r="66" spans="1:100" x14ac:dyDescent="0.15">
      <c r="A66" s="180" t="s">
        <v>256</v>
      </c>
      <c r="B66" s="144">
        <v>1.0206195102918374E-3</v>
      </c>
      <c r="C66" s="144">
        <v>0</v>
      </c>
      <c r="D66" s="144">
        <v>0</v>
      </c>
      <c r="E66" s="144">
        <v>0.21400000000000002</v>
      </c>
      <c r="F66" s="144">
        <v>0</v>
      </c>
      <c r="G66" s="144">
        <v>0</v>
      </c>
      <c r="H66" s="144">
        <v>0</v>
      </c>
      <c r="I66" s="144">
        <v>0</v>
      </c>
      <c r="J66" s="144">
        <v>0</v>
      </c>
      <c r="K66" s="144">
        <v>0</v>
      </c>
      <c r="L66" s="144">
        <v>0</v>
      </c>
      <c r="M66" s="144">
        <v>0</v>
      </c>
      <c r="N66" s="144">
        <v>0</v>
      </c>
      <c r="O66" s="144">
        <v>0</v>
      </c>
      <c r="P66" s="144">
        <v>0</v>
      </c>
      <c r="Q66" s="144">
        <v>0</v>
      </c>
      <c r="R66" s="144">
        <v>0</v>
      </c>
      <c r="S66" s="144">
        <v>0</v>
      </c>
      <c r="T66" s="144">
        <v>0</v>
      </c>
      <c r="U66" s="144">
        <v>0</v>
      </c>
      <c r="V66" s="144">
        <v>0</v>
      </c>
      <c r="W66" s="144">
        <v>0</v>
      </c>
      <c r="X66" s="144">
        <v>5.9997766644414682E-2</v>
      </c>
      <c r="Y66" s="144">
        <v>0</v>
      </c>
      <c r="Z66" s="144">
        <v>0</v>
      </c>
      <c r="AA66" s="144">
        <v>0</v>
      </c>
      <c r="AB66" s="144">
        <v>0</v>
      </c>
      <c r="AC66" s="144">
        <v>9.9976294018924397E-2</v>
      </c>
      <c r="AD66" s="144">
        <v>0</v>
      </c>
      <c r="AE66" s="144">
        <v>0</v>
      </c>
      <c r="AF66" s="144">
        <v>0</v>
      </c>
      <c r="AG66" s="144">
        <v>0</v>
      </c>
      <c r="AH66" s="144">
        <v>0</v>
      </c>
      <c r="AI66" s="144">
        <v>0</v>
      </c>
      <c r="AJ66" s="144">
        <v>0</v>
      </c>
      <c r="AK66" s="144">
        <v>0</v>
      </c>
      <c r="AL66" s="144">
        <v>0</v>
      </c>
      <c r="AM66" s="144">
        <v>0</v>
      </c>
      <c r="AN66" s="144">
        <v>0</v>
      </c>
      <c r="AO66" s="144">
        <v>0</v>
      </c>
      <c r="AP66" s="144">
        <v>0.1</v>
      </c>
      <c r="AQ66" s="144">
        <v>0</v>
      </c>
      <c r="AR66" s="144">
        <v>9.9980004559908048E-2</v>
      </c>
      <c r="AS66" s="144">
        <v>0</v>
      </c>
      <c r="AT66" s="144">
        <v>0.17000000000000004</v>
      </c>
      <c r="AU66" s="144">
        <v>0.18601860043900389</v>
      </c>
      <c r="AV66" s="144">
        <v>0</v>
      </c>
      <c r="AW66" s="144">
        <v>0.25</v>
      </c>
      <c r="AX66" s="144">
        <v>0.27288187187296359</v>
      </c>
      <c r="AY66" s="144">
        <v>0.22611391569552639</v>
      </c>
      <c r="AZ66" s="144">
        <v>0.14999999999999997</v>
      </c>
      <c r="BA66" s="144">
        <v>0.14994711942390845</v>
      </c>
      <c r="BB66" s="144">
        <v>0</v>
      </c>
      <c r="BC66" s="144">
        <v>0.18599999999999997</v>
      </c>
      <c r="BD66" s="144">
        <v>0.18595299630195275</v>
      </c>
      <c r="BE66" s="144">
        <v>0.47243407098114631</v>
      </c>
      <c r="BF66" s="144">
        <v>0.15003774066617379</v>
      </c>
      <c r="BG66" s="144">
        <v>0.32000000000000006</v>
      </c>
      <c r="BH66" s="144">
        <v>0</v>
      </c>
      <c r="BI66" s="144">
        <v>0</v>
      </c>
      <c r="BJ66" s="144">
        <v>0</v>
      </c>
      <c r="BK66" s="144">
        <v>0</v>
      </c>
      <c r="BL66" s="144">
        <v>0</v>
      </c>
      <c r="BM66" s="144">
        <v>0</v>
      </c>
      <c r="BN66" s="144">
        <v>0</v>
      </c>
      <c r="BO66" s="144">
        <v>0</v>
      </c>
      <c r="BP66" s="144">
        <v>0</v>
      </c>
      <c r="BQ66" s="144">
        <v>0</v>
      </c>
      <c r="BR66" s="144">
        <v>0</v>
      </c>
      <c r="BS66" s="144">
        <v>0</v>
      </c>
      <c r="BT66" s="144">
        <v>0</v>
      </c>
      <c r="BU66" s="144">
        <v>0</v>
      </c>
      <c r="BV66" s="144">
        <v>0</v>
      </c>
      <c r="BW66" s="144">
        <v>0</v>
      </c>
      <c r="BX66" s="144">
        <v>0</v>
      </c>
      <c r="BY66" s="144">
        <v>0</v>
      </c>
      <c r="BZ66" s="144">
        <v>0</v>
      </c>
      <c r="CA66" s="144">
        <v>0</v>
      </c>
      <c r="CB66" s="144">
        <v>0</v>
      </c>
      <c r="CC66" s="144">
        <v>0</v>
      </c>
      <c r="CD66" s="144">
        <v>0</v>
      </c>
      <c r="CE66" s="144">
        <v>0</v>
      </c>
      <c r="CF66" s="144">
        <v>0</v>
      </c>
      <c r="CG66" s="144">
        <v>0</v>
      </c>
      <c r="CH66" s="144">
        <v>0</v>
      </c>
      <c r="CI66" s="144">
        <v>0</v>
      </c>
      <c r="CJ66" s="144">
        <v>0</v>
      </c>
      <c r="CK66" s="144">
        <v>0</v>
      </c>
      <c r="CL66" s="144">
        <v>0</v>
      </c>
      <c r="CM66" s="144">
        <v>0</v>
      </c>
      <c r="CN66" s="144">
        <v>0</v>
      </c>
      <c r="CO66" s="144">
        <v>0</v>
      </c>
      <c r="CP66" s="144">
        <v>0</v>
      </c>
      <c r="CQ66" s="144">
        <v>0</v>
      </c>
      <c r="CR66" s="144">
        <v>0</v>
      </c>
      <c r="CS66" s="144">
        <v>0</v>
      </c>
      <c r="CT66" s="144">
        <v>0</v>
      </c>
      <c r="CU66" s="144">
        <v>0</v>
      </c>
      <c r="CV66" s="144">
        <v>0</v>
      </c>
    </row>
    <row r="67" spans="1:100" x14ac:dyDescent="0.15">
      <c r="A67" s="180" t="s">
        <v>257</v>
      </c>
      <c r="B67" s="144">
        <v>1.0206195102918374E-3</v>
      </c>
      <c r="C67" s="144">
        <v>0</v>
      </c>
      <c r="D67" s="144">
        <v>0</v>
      </c>
      <c r="E67" s="144">
        <v>0</v>
      </c>
      <c r="F67" s="144">
        <v>0</v>
      </c>
      <c r="G67" s="144">
        <v>0</v>
      </c>
      <c r="H67" s="144">
        <v>0</v>
      </c>
      <c r="I67" s="144">
        <v>0</v>
      </c>
      <c r="J67" s="144">
        <v>0</v>
      </c>
      <c r="K67" s="144">
        <v>0</v>
      </c>
      <c r="L67" s="144">
        <v>0</v>
      </c>
      <c r="M67" s="144">
        <v>0</v>
      </c>
      <c r="N67" s="144">
        <v>6.0545494747307853E-2</v>
      </c>
      <c r="O67" s="144">
        <v>2.2856632871904731E-3</v>
      </c>
      <c r="P67" s="144">
        <v>1.2028346734242236E-4</v>
      </c>
      <c r="Q67" s="144">
        <v>1.1689603592257972E-3</v>
      </c>
      <c r="R67" s="144">
        <v>6.4038783368470303E-3</v>
      </c>
      <c r="S67" s="144">
        <v>4.9432989139371651E-3</v>
      </c>
      <c r="T67" s="144">
        <v>2.6233119797742636E-3</v>
      </c>
      <c r="U67" s="144">
        <v>1.9949175409624938E-2</v>
      </c>
      <c r="V67" s="144">
        <v>1.5477816498229036E-3</v>
      </c>
      <c r="W67" s="144">
        <v>3.3446759654157159E-2</v>
      </c>
      <c r="X67" s="144">
        <v>2.9998883322207341E-2</v>
      </c>
      <c r="Y67" s="144">
        <v>0</v>
      </c>
      <c r="Z67" s="144">
        <v>1.8832300504517336E-3</v>
      </c>
      <c r="AA67" s="144">
        <v>0</v>
      </c>
      <c r="AB67" s="144">
        <v>0</v>
      </c>
      <c r="AC67" s="144">
        <v>0</v>
      </c>
      <c r="AD67" s="144">
        <v>3.2453122636789917E-4</v>
      </c>
      <c r="AE67" s="144">
        <v>1.2533292130468803E-3</v>
      </c>
      <c r="AF67" s="144">
        <v>3.0006034189194623E-2</v>
      </c>
      <c r="AG67" s="144">
        <v>0.43345444480513085</v>
      </c>
      <c r="AH67" s="144">
        <v>0.28597438631043948</v>
      </c>
      <c r="AI67" s="144">
        <v>4.726751010871528E-3</v>
      </c>
      <c r="AJ67" s="144">
        <v>3.7282615545852438E-2</v>
      </c>
      <c r="AK67" s="144">
        <v>4.997935660494144E-3</v>
      </c>
      <c r="AL67" s="144">
        <v>0</v>
      </c>
      <c r="AM67" s="144">
        <v>0</v>
      </c>
      <c r="AN67" s="144">
        <v>0</v>
      </c>
      <c r="AO67" s="144">
        <v>0</v>
      </c>
      <c r="AP67" s="144">
        <v>0.02</v>
      </c>
      <c r="AQ67" s="144">
        <v>0</v>
      </c>
      <c r="AR67" s="144">
        <v>3.9992000183963206E-2</v>
      </c>
      <c r="AS67" s="144">
        <v>0</v>
      </c>
      <c r="AT67" s="144">
        <v>0</v>
      </c>
      <c r="AU67" s="144">
        <v>0</v>
      </c>
      <c r="AV67" s="144">
        <v>7.6007600755515548E-2</v>
      </c>
      <c r="AW67" s="144">
        <v>0</v>
      </c>
      <c r="AX67" s="144">
        <v>0</v>
      </c>
      <c r="AY67" s="144">
        <v>0</v>
      </c>
      <c r="AZ67" s="144">
        <v>0</v>
      </c>
      <c r="BA67" s="144">
        <v>0</v>
      </c>
      <c r="BB67" s="144">
        <v>0.05</v>
      </c>
      <c r="BC67" s="144">
        <v>0.17999999999999997</v>
      </c>
      <c r="BD67" s="144">
        <v>0.17995452542124435</v>
      </c>
      <c r="BE67" s="144">
        <v>0</v>
      </c>
      <c r="BF67" s="144">
        <v>0.18004528259940833</v>
      </c>
      <c r="BG67" s="144">
        <v>5.000000000000001E-2</v>
      </c>
      <c r="BH67" s="144">
        <v>0</v>
      </c>
      <c r="BI67" s="144">
        <v>0</v>
      </c>
      <c r="BJ67" s="144">
        <v>0</v>
      </c>
      <c r="BK67" s="144">
        <v>0</v>
      </c>
      <c r="BL67" s="144">
        <v>0</v>
      </c>
      <c r="BM67" s="144">
        <v>0</v>
      </c>
      <c r="BN67" s="144">
        <v>0</v>
      </c>
      <c r="BO67" s="144">
        <v>0</v>
      </c>
      <c r="BP67" s="144">
        <v>0</v>
      </c>
      <c r="BQ67" s="144">
        <v>0</v>
      </c>
      <c r="BR67" s="144">
        <v>0</v>
      </c>
      <c r="BS67" s="144">
        <v>0</v>
      </c>
      <c r="BT67" s="144">
        <v>0</v>
      </c>
      <c r="BU67" s="144">
        <v>0</v>
      </c>
      <c r="BV67" s="144">
        <v>0</v>
      </c>
      <c r="BW67" s="144">
        <v>0</v>
      </c>
      <c r="BX67" s="144">
        <v>0</v>
      </c>
      <c r="BY67" s="144">
        <v>0</v>
      </c>
      <c r="BZ67" s="144">
        <v>0</v>
      </c>
      <c r="CA67" s="144">
        <v>0</v>
      </c>
      <c r="CB67" s="144">
        <v>0</v>
      </c>
      <c r="CC67" s="144">
        <v>0</v>
      </c>
      <c r="CD67" s="144">
        <v>0</v>
      </c>
      <c r="CE67" s="144">
        <v>0</v>
      </c>
      <c r="CF67" s="144">
        <v>0</v>
      </c>
      <c r="CG67" s="144">
        <v>0</v>
      </c>
      <c r="CH67" s="144">
        <v>0</v>
      </c>
      <c r="CI67" s="144">
        <v>0</v>
      </c>
      <c r="CJ67" s="144">
        <v>0</v>
      </c>
      <c r="CK67" s="144">
        <v>0</v>
      </c>
      <c r="CL67" s="144">
        <v>0</v>
      </c>
      <c r="CM67" s="144">
        <v>0</v>
      </c>
      <c r="CN67" s="144">
        <v>0</v>
      </c>
      <c r="CO67" s="144">
        <v>0</v>
      </c>
      <c r="CP67" s="144">
        <v>0</v>
      </c>
      <c r="CQ67" s="144">
        <v>0</v>
      </c>
      <c r="CR67" s="144">
        <v>0</v>
      </c>
      <c r="CS67" s="144">
        <v>0</v>
      </c>
      <c r="CT67" s="144">
        <v>0</v>
      </c>
      <c r="CU67" s="144">
        <v>0</v>
      </c>
      <c r="CV67" s="144">
        <v>0</v>
      </c>
    </row>
    <row r="68" spans="1:100" x14ac:dyDescent="0.15">
      <c r="A68" s="180" t="s">
        <v>258</v>
      </c>
      <c r="B68" s="144">
        <v>0</v>
      </c>
      <c r="C68" s="144">
        <v>0</v>
      </c>
      <c r="D68" s="144">
        <v>0</v>
      </c>
      <c r="E68" s="144">
        <v>0</v>
      </c>
      <c r="F68" s="144">
        <v>0</v>
      </c>
      <c r="G68" s="144">
        <v>0</v>
      </c>
      <c r="H68" s="144">
        <v>0</v>
      </c>
      <c r="I68" s="144">
        <v>0</v>
      </c>
      <c r="J68" s="144">
        <v>0</v>
      </c>
      <c r="K68" s="144">
        <v>0</v>
      </c>
      <c r="L68" s="144">
        <v>0</v>
      </c>
      <c r="M68" s="144">
        <v>0</v>
      </c>
      <c r="N68" s="144">
        <v>0</v>
      </c>
      <c r="O68" s="144">
        <v>3.338210545106681E-3</v>
      </c>
      <c r="P68" s="144">
        <v>0</v>
      </c>
      <c r="Q68" s="144">
        <v>6.9725969953820476E-6</v>
      </c>
      <c r="R68" s="144">
        <v>5.2396770056022655E-4</v>
      </c>
      <c r="S68" s="144">
        <v>1.1659999796999402E-4</v>
      </c>
      <c r="T68" s="144">
        <v>1.412949989106155E-4</v>
      </c>
      <c r="U68" s="144">
        <v>4.4229610021339585E-2</v>
      </c>
      <c r="V68" s="144">
        <v>7.3682310943671449E-5</v>
      </c>
      <c r="W68" s="144">
        <v>2.7478912115865297E-3</v>
      </c>
      <c r="X68" s="144">
        <v>0.13999479870363415</v>
      </c>
      <c r="Y68" s="144">
        <v>0.5299910352399283</v>
      </c>
      <c r="Z68" s="144">
        <v>1.0759140288237371E-3</v>
      </c>
      <c r="AA68" s="144">
        <v>0</v>
      </c>
      <c r="AB68" s="144">
        <v>0</v>
      </c>
      <c r="AC68" s="144">
        <v>9.9976294018924397E-2</v>
      </c>
      <c r="AD68" s="144">
        <v>0</v>
      </c>
      <c r="AE68" s="144">
        <v>0</v>
      </c>
      <c r="AF68" s="144">
        <v>0</v>
      </c>
      <c r="AG68" s="144">
        <v>0</v>
      </c>
      <c r="AH68" s="144">
        <v>0</v>
      </c>
      <c r="AI68" s="144">
        <v>0</v>
      </c>
      <c r="AJ68" s="144">
        <v>0</v>
      </c>
      <c r="AK68" s="144">
        <v>0</v>
      </c>
      <c r="AL68" s="144">
        <v>0</v>
      </c>
      <c r="AM68" s="144">
        <v>0</v>
      </c>
      <c r="AN68" s="144">
        <v>0</v>
      </c>
      <c r="AO68" s="144">
        <v>0</v>
      </c>
      <c r="AP68" s="144">
        <v>0.02</v>
      </c>
      <c r="AQ68" s="144">
        <v>0.06</v>
      </c>
      <c r="AR68" s="144">
        <v>9.1981605123115401E-2</v>
      </c>
      <c r="AS68" s="144">
        <v>0</v>
      </c>
      <c r="AT68" s="144">
        <v>0.21000000000000002</v>
      </c>
      <c r="AU68" s="144">
        <v>0.22502250053105308</v>
      </c>
      <c r="AV68" s="144">
        <v>0</v>
      </c>
      <c r="AW68" s="144">
        <v>0.16</v>
      </c>
      <c r="AX68" s="144">
        <v>0.16624987457802978</v>
      </c>
      <c r="AY68" s="144">
        <v>0.19109627658781214</v>
      </c>
      <c r="AZ68" s="144">
        <v>0.19999999999999996</v>
      </c>
      <c r="BA68" s="144">
        <v>0.19992949656521125</v>
      </c>
      <c r="BB68" s="144">
        <v>0</v>
      </c>
      <c r="BC68" s="144">
        <v>9.9999999999999985E-3</v>
      </c>
      <c r="BD68" s="144">
        <v>9.9974718011802775E-3</v>
      </c>
      <c r="BE68" s="144">
        <v>0.14204518409233127</v>
      </c>
      <c r="BF68" s="144">
        <v>1.0002515611078238E-2</v>
      </c>
      <c r="BG68" s="144">
        <v>0</v>
      </c>
      <c r="BH68" s="144">
        <v>0</v>
      </c>
      <c r="BI68" s="144">
        <v>0</v>
      </c>
      <c r="BJ68" s="144">
        <v>0</v>
      </c>
      <c r="BK68" s="144">
        <v>0</v>
      </c>
      <c r="BL68" s="144">
        <v>1.0000000000000002E-2</v>
      </c>
      <c r="BM68" s="144">
        <v>1.499849858650633E-2</v>
      </c>
      <c r="BN68" s="144">
        <v>0</v>
      </c>
      <c r="BO68" s="144">
        <v>0</v>
      </c>
      <c r="BP68" s="144">
        <v>9.9999999999999985E-3</v>
      </c>
      <c r="BQ68" s="144">
        <v>0</v>
      </c>
      <c r="BR68" s="144">
        <v>0.01</v>
      </c>
      <c r="BS68" s="144">
        <v>0</v>
      </c>
      <c r="BT68" s="144">
        <v>0</v>
      </c>
      <c r="BU68" s="144">
        <v>0</v>
      </c>
      <c r="BV68" s="144">
        <v>0</v>
      </c>
      <c r="BW68" s="144">
        <v>0</v>
      </c>
      <c r="BX68" s="144">
        <v>0</v>
      </c>
      <c r="BY68" s="144">
        <v>0</v>
      </c>
      <c r="BZ68" s="144">
        <v>0</v>
      </c>
      <c r="CA68" s="144">
        <v>0</v>
      </c>
      <c r="CB68" s="144">
        <v>0</v>
      </c>
      <c r="CC68" s="144">
        <v>0</v>
      </c>
      <c r="CD68" s="144">
        <v>0</v>
      </c>
      <c r="CE68" s="144">
        <v>0</v>
      </c>
      <c r="CF68" s="144">
        <v>0</v>
      </c>
      <c r="CG68" s="144">
        <v>0</v>
      </c>
      <c r="CH68" s="144">
        <v>0</v>
      </c>
      <c r="CI68" s="144">
        <v>0</v>
      </c>
      <c r="CJ68" s="144">
        <v>0</v>
      </c>
      <c r="CK68" s="144">
        <v>0</v>
      </c>
      <c r="CL68" s="144">
        <v>0</v>
      </c>
      <c r="CM68" s="144">
        <v>0</v>
      </c>
      <c r="CN68" s="144">
        <v>0</v>
      </c>
      <c r="CO68" s="144">
        <v>0</v>
      </c>
      <c r="CP68" s="144">
        <v>0</v>
      </c>
      <c r="CQ68" s="144">
        <v>0</v>
      </c>
      <c r="CR68" s="144">
        <v>0</v>
      </c>
      <c r="CS68" s="144">
        <v>0</v>
      </c>
      <c r="CT68" s="144">
        <v>0</v>
      </c>
      <c r="CU68" s="144">
        <v>0</v>
      </c>
      <c r="CV68" s="144">
        <v>0</v>
      </c>
    </row>
    <row r="69" spans="1:100" x14ac:dyDescent="0.15">
      <c r="A69" s="180" t="s">
        <v>259</v>
      </c>
      <c r="B69" s="144">
        <v>0</v>
      </c>
      <c r="C69" s="144">
        <v>0</v>
      </c>
      <c r="D69" s="144">
        <v>0</v>
      </c>
      <c r="E69" s="144">
        <v>0</v>
      </c>
      <c r="F69" s="144">
        <v>0</v>
      </c>
      <c r="G69" s="144">
        <v>0</v>
      </c>
      <c r="H69" s="144">
        <v>0</v>
      </c>
      <c r="I69" s="144">
        <v>0</v>
      </c>
      <c r="J69" s="144">
        <v>0</v>
      </c>
      <c r="K69" s="144">
        <v>0</v>
      </c>
      <c r="L69" s="144">
        <v>3.2564899583169293E-4</v>
      </c>
      <c r="M69" s="144">
        <v>6.4143200859518895E-4</v>
      </c>
      <c r="N69" s="144">
        <v>0</v>
      </c>
      <c r="O69" s="144">
        <v>1.1988453690165159E-2</v>
      </c>
      <c r="P69" s="144">
        <v>1.1754612135738715E-3</v>
      </c>
      <c r="Q69" s="144">
        <v>3.4909665076879319E-3</v>
      </c>
      <c r="R69" s="144">
        <v>7.339048007846914E-3</v>
      </c>
      <c r="S69" s="144">
        <v>2.7022743129534038E-2</v>
      </c>
      <c r="T69" s="144">
        <v>1.9202463151949001E-2</v>
      </c>
      <c r="U69" s="144">
        <v>2.3655928711413341E-2</v>
      </c>
      <c r="V69" s="144">
        <v>2.821148036131289E-2</v>
      </c>
      <c r="W69" s="144">
        <v>7.1575489259902278E-3</v>
      </c>
      <c r="X69" s="144">
        <v>5.9997766644414682E-2</v>
      </c>
      <c r="Y69" s="144">
        <v>0</v>
      </c>
      <c r="Z69" s="144">
        <v>3.4305808119052608E-2</v>
      </c>
      <c r="AA69" s="144">
        <v>0</v>
      </c>
      <c r="AB69" s="144">
        <v>0</v>
      </c>
      <c r="AC69" s="144">
        <v>0</v>
      </c>
      <c r="AD69" s="144">
        <v>5.0843220214304185E-4</v>
      </c>
      <c r="AE69" s="144">
        <v>4.9837039723518058E-3</v>
      </c>
      <c r="AF69" s="144">
        <v>6.3585459765193525E-3</v>
      </c>
      <c r="AG69" s="144">
        <v>7.7399528358123804E-2</v>
      </c>
      <c r="AH69" s="144">
        <v>2.7968222623760142E-3</v>
      </c>
      <c r="AI69" s="144">
        <v>2.1251607748878701E-2</v>
      </c>
      <c r="AJ69" s="144">
        <v>1.7329064935391211E-2</v>
      </c>
      <c r="AK69" s="144">
        <v>8.9962850908894675E-3</v>
      </c>
      <c r="AL69" s="144">
        <v>0</v>
      </c>
      <c r="AM69" s="144">
        <v>0</v>
      </c>
      <c r="AN69" s="144">
        <v>2.2552726297784985E-3</v>
      </c>
      <c r="AO69" s="144">
        <v>0</v>
      </c>
      <c r="AP69" s="144">
        <v>0.01</v>
      </c>
      <c r="AQ69" s="144">
        <v>0</v>
      </c>
      <c r="AR69" s="144">
        <v>3.4993000160967812E-2</v>
      </c>
      <c r="AS69" s="144">
        <v>7.900868981828001E-3</v>
      </c>
      <c r="AT69" s="144">
        <v>0</v>
      </c>
      <c r="AU69" s="144">
        <v>0</v>
      </c>
      <c r="AV69" s="144">
        <v>0.14201420141162116</v>
      </c>
      <c r="AW69" s="144">
        <v>0.01</v>
      </c>
      <c r="AX69" s="144">
        <v>0</v>
      </c>
      <c r="AY69" s="144">
        <v>0</v>
      </c>
      <c r="AZ69" s="144">
        <v>0</v>
      </c>
      <c r="BA69" s="144">
        <v>0</v>
      </c>
      <c r="BB69" s="144">
        <v>0.05</v>
      </c>
      <c r="BC69" s="144">
        <v>9.9999999999999985E-3</v>
      </c>
      <c r="BD69" s="144">
        <v>9.9974718011802775E-3</v>
      </c>
      <c r="BE69" s="144">
        <v>0</v>
      </c>
      <c r="BF69" s="144">
        <v>1.0002515611078238E-2</v>
      </c>
      <c r="BG69" s="144">
        <v>0</v>
      </c>
      <c r="BH69" s="144">
        <v>0</v>
      </c>
      <c r="BI69" s="144">
        <v>0</v>
      </c>
      <c r="BJ69" s="144">
        <v>0</v>
      </c>
      <c r="BK69" s="144">
        <v>0</v>
      </c>
      <c r="BL69" s="144">
        <v>1.0000000000000002E-2</v>
      </c>
      <c r="BM69" s="144">
        <v>4.9994993621687751E-3</v>
      </c>
      <c r="BN69" s="144">
        <v>0</v>
      </c>
      <c r="BO69" s="144">
        <v>0</v>
      </c>
      <c r="BP69" s="144">
        <v>0</v>
      </c>
      <c r="BQ69" s="144">
        <v>0.01</v>
      </c>
      <c r="BR69" s="144">
        <v>0</v>
      </c>
      <c r="BS69" s="144">
        <v>0.01</v>
      </c>
      <c r="BT69" s="144">
        <v>0</v>
      </c>
      <c r="BU69" s="144">
        <v>0</v>
      </c>
      <c r="BV69" s="144">
        <v>0</v>
      </c>
      <c r="BW69" s="144">
        <v>0</v>
      </c>
      <c r="BX69" s="144">
        <v>0</v>
      </c>
      <c r="BY69" s="144">
        <v>0</v>
      </c>
      <c r="BZ69" s="144">
        <v>0</v>
      </c>
      <c r="CA69" s="144">
        <v>0</v>
      </c>
      <c r="CB69" s="144">
        <v>0</v>
      </c>
      <c r="CC69" s="144">
        <v>0</v>
      </c>
      <c r="CD69" s="144">
        <v>0</v>
      </c>
      <c r="CE69" s="144">
        <v>0</v>
      </c>
      <c r="CF69" s="144">
        <v>0</v>
      </c>
      <c r="CG69" s="144">
        <v>0</v>
      </c>
      <c r="CH69" s="144">
        <v>0</v>
      </c>
      <c r="CI69" s="144">
        <v>0</v>
      </c>
      <c r="CJ69" s="144">
        <v>0</v>
      </c>
      <c r="CK69" s="144">
        <v>0</v>
      </c>
      <c r="CL69" s="144">
        <v>0</v>
      </c>
      <c r="CM69" s="144">
        <v>0</v>
      </c>
      <c r="CN69" s="144">
        <v>0</v>
      </c>
      <c r="CO69" s="144">
        <v>0</v>
      </c>
      <c r="CP69" s="144">
        <v>0</v>
      </c>
      <c r="CQ69" s="144">
        <v>0</v>
      </c>
      <c r="CR69" s="144">
        <v>0</v>
      </c>
      <c r="CS69" s="144">
        <v>0</v>
      </c>
      <c r="CT69" s="144">
        <v>0</v>
      </c>
      <c r="CU69" s="144">
        <v>0</v>
      </c>
      <c r="CV69" s="144">
        <v>0</v>
      </c>
    </row>
    <row r="70" spans="1:100" x14ac:dyDescent="0.15">
      <c r="A70" s="180" t="s">
        <v>260</v>
      </c>
      <c r="B70" s="144">
        <v>0</v>
      </c>
      <c r="C70" s="144">
        <v>0</v>
      </c>
      <c r="D70" s="144">
        <v>0</v>
      </c>
      <c r="E70" s="144">
        <v>0</v>
      </c>
      <c r="F70" s="144">
        <v>0</v>
      </c>
      <c r="G70" s="144">
        <v>0</v>
      </c>
      <c r="H70" s="144">
        <v>0</v>
      </c>
      <c r="I70" s="144">
        <v>0</v>
      </c>
      <c r="J70" s="144">
        <v>0</v>
      </c>
      <c r="K70" s="144">
        <v>0</v>
      </c>
      <c r="L70" s="144">
        <v>0</v>
      </c>
      <c r="M70" s="144">
        <v>4.085100054740341E-4</v>
      </c>
      <c r="N70" s="144">
        <v>0</v>
      </c>
      <c r="O70" s="144">
        <v>1.6507150124150275E-2</v>
      </c>
      <c r="P70" s="144">
        <v>5.3014469710175219E-2</v>
      </c>
      <c r="Q70" s="144">
        <v>9.9958814633797268E-3</v>
      </c>
      <c r="R70" s="144">
        <v>7.1436560076379996E-2</v>
      </c>
      <c r="S70" s="144">
        <v>2.5927988348593719E-2</v>
      </c>
      <c r="T70" s="144">
        <v>4.3774799662496273E-5</v>
      </c>
      <c r="U70" s="144">
        <v>0.18395496908875328</v>
      </c>
      <c r="V70" s="144">
        <v>1.4044591379873293E-2</v>
      </c>
      <c r="W70" s="144">
        <v>5.068566227590518E-2</v>
      </c>
      <c r="X70" s="144">
        <v>0.11999553288882936</v>
      </c>
      <c r="Y70" s="144">
        <v>0.19785139158281115</v>
      </c>
      <c r="Z70" s="144">
        <v>3.0573000819050696E-4</v>
      </c>
      <c r="AA70" s="144">
        <v>0</v>
      </c>
      <c r="AB70" s="144">
        <v>0</v>
      </c>
      <c r="AC70" s="144">
        <v>9.9976294018924397E-2</v>
      </c>
      <c r="AD70" s="144">
        <v>2.1635412791193268E-3</v>
      </c>
      <c r="AE70" s="144">
        <v>1.1571389935805167E-3</v>
      </c>
      <c r="AF70" s="144">
        <v>0.20504124424282988</v>
      </c>
      <c r="AG70" s="144">
        <v>1.6202699656292133E-2</v>
      </c>
      <c r="AH70" s="144">
        <v>0.32820610379931386</v>
      </c>
      <c r="AI70" s="144">
        <v>0.59900930137772146</v>
      </c>
      <c r="AJ70" s="144">
        <v>0.42432426996934375</v>
      </c>
      <c r="AK70" s="144">
        <v>6.997110390691807E-3</v>
      </c>
      <c r="AL70" s="144">
        <v>0</v>
      </c>
      <c r="AM70" s="144">
        <v>0</v>
      </c>
      <c r="AN70" s="144">
        <v>0</v>
      </c>
      <c r="AO70" s="144">
        <v>0</v>
      </c>
      <c r="AP70" s="144">
        <v>0.06</v>
      </c>
      <c r="AQ70" s="144">
        <v>0.02</v>
      </c>
      <c r="AR70" s="144">
        <v>7.9984000367926411E-2</v>
      </c>
      <c r="AS70" s="144">
        <v>0</v>
      </c>
      <c r="AT70" s="144">
        <v>0.21000000000000002</v>
      </c>
      <c r="AU70" s="144">
        <v>0.24602460958061809</v>
      </c>
      <c r="AV70" s="144">
        <v>0</v>
      </c>
      <c r="AW70" s="144">
        <v>0.05</v>
      </c>
      <c r="AX70" s="144">
        <v>4.4413325355863592E-2</v>
      </c>
      <c r="AY70" s="144">
        <v>0.14007055843085703</v>
      </c>
      <c r="AZ70" s="144">
        <v>0.14999999999999997</v>
      </c>
      <c r="BA70" s="144">
        <v>0.14994711942390845</v>
      </c>
      <c r="BB70" s="144">
        <v>0</v>
      </c>
      <c r="BC70" s="144">
        <v>7.8999999999999987E-2</v>
      </c>
      <c r="BD70" s="144">
        <v>7.8980038429323968E-2</v>
      </c>
      <c r="BE70" s="144">
        <v>0.2652792983048653</v>
      </c>
      <c r="BF70" s="144">
        <v>0.17204326935054573</v>
      </c>
      <c r="BG70" s="144">
        <v>8.0000000000000016E-2</v>
      </c>
      <c r="BH70" s="144">
        <v>0</v>
      </c>
      <c r="BI70" s="144">
        <v>0.19999999999999996</v>
      </c>
      <c r="BJ70" s="144">
        <v>0</v>
      </c>
      <c r="BK70" s="144">
        <v>0</v>
      </c>
      <c r="BL70" s="144">
        <v>1.0000000000000002E-2</v>
      </c>
      <c r="BM70" s="144">
        <v>8.9990994819038033E-4</v>
      </c>
      <c r="BN70" s="144">
        <v>0</v>
      </c>
      <c r="BO70" s="144">
        <v>0</v>
      </c>
      <c r="BP70" s="144">
        <v>3.9999999999999994E-2</v>
      </c>
      <c r="BQ70" s="144">
        <v>0</v>
      </c>
      <c r="BR70" s="144">
        <v>0.01</v>
      </c>
      <c r="BS70" s="144">
        <v>0</v>
      </c>
      <c r="BT70" s="144">
        <v>0</v>
      </c>
      <c r="BU70" s="144">
        <v>0</v>
      </c>
      <c r="BV70" s="144">
        <v>0</v>
      </c>
      <c r="BW70" s="144">
        <v>0</v>
      </c>
      <c r="BX70" s="144">
        <v>0</v>
      </c>
      <c r="BY70" s="144">
        <v>0</v>
      </c>
      <c r="BZ70" s="144">
        <v>0</v>
      </c>
      <c r="CA70" s="144">
        <v>0</v>
      </c>
      <c r="CB70" s="144">
        <v>0</v>
      </c>
      <c r="CC70" s="144">
        <v>0</v>
      </c>
      <c r="CD70" s="144">
        <v>0</v>
      </c>
      <c r="CE70" s="144">
        <v>0</v>
      </c>
      <c r="CF70" s="144">
        <v>0</v>
      </c>
      <c r="CG70" s="144">
        <v>0</v>
      </c>
      <c r="CH70" s="144">
        <v>0</v>
      </c>
      <c r="CI70" s="144">
        <v>0</v>
      </c>
      <c r="CJ70" s="144">
        <v>0</v>
      </c>
      <c r="CK70" s="144">
        <v>0</v>
      </c>
      <c r="CL70" s="144">
        <v>0</v>
      </c>
      <c r="CM70" s="144">
        <v>0</v>
      </c>
      <c r="CN70" s="144">
        <v>0</v>
      </c>
      <c r="CO70" s="144">
        <v>0</v>
      </c>
      <c r="CP70" s="144">
        <v>0</v>
      </c>
      <c r="CQ70" s="144">
        <v>0</v>
      </c>
      <c r="CR70" s="144">
        <v>0</v>
      </c>
      <c r="CS70" s="144">
        <v>0</v>
      </c>
      <c r="CT70" s="144">
        <v>0</v>
      </c>
      <c r="CU70" s="144">
        <v>0</v>
      </c>
      <c r="CV70" s="144">
        <v>0</v>
      </c>
    </row>
    <row r="71" spans="1:100" x14ac:dyDescent="0.15">
      <c r="A71" s="180" t="s">
        <v>261</v>
      </c>
      <c r="B71" s="144">
        <v>0</v>
      </c>
      <c r="C71" s="144">
        <v>0</v>
      </c>
      <c r="D71" s="144">
        <v>0</v>
      </c>
      <c r="E71" s="144">
        <v>0</v>
      </c>
      <c r="F71" s="144">
        <v>0</v>
      </c>
      <c r="G71" s="144">
        <v>0</v>
      </c>
      <c r="H71" s="144">
        <v>0</v>
      </c>
      <c r="I71" s="144">
        <v>0</v>
      </c>
      <c r="J71" s="144">
        <v>0</v>
      </c>
      <c r="K71" s="144">
        <v>0</v>
      </c>
      <c r="L71" s="144">
        <v>0</v>
      </c>
      <c r="M71" s="144">
        <v>0</v>
      </c>
      <c r="N71" s="144">
        <v>0</v>
      </c>
      <c r="O71" s="144">
        <v>2.4493015584211967E-4</v>
      </c>
      <c r="P71" s="144">
        <v>0</v>
      </c>
      <c r="Q71" s="144">
        <v>5.2222079965413308E-5</v>
      </c>
      <c r="R71" s="144">
        <v>2.3495050025120922E-5</v>
      </c>
      <c r="S71" s="144">
        <v>0</v>
      </c>
      <c r="T71" s="144">
        <v>0</v>
      </c>
      <c r="U71" s="144">
        <v>4.0208740019399619E-3</v>
      </c>
      <c r="V71" s="144">
        <v>1.1208952643556418E-4</v>
      </c>
      <c r="W71" s="144">
        <v>0</v>
      </c>
      <c r="X71" s="144">
        <v>9.9996279074024454E-3</v>
      </c>
      <c r="Y71" s="144">
        <v>0</v>
      </c>
      <c r="Z71" s="144">
        <v>0</v>
      </c>
      <c r="AA71" s="144">
        <v>0</v>
      </c>
      <c r="AB71" s="144">
        <v>0</v>
      </c>
      <c r="AC71" s="144">
        <v>0</v>
      </c>
      <c r="AD71" s="144">
        <v>0</v>
      </c>
      <c r="AE71" s="144">
        <v>0</v>
      </c>
      <c r="AF71" s="144">
        <v>0</v>
      </c>
      <c r="AG71" s="144">
        <v>0</v>
      </c>
      <c r="AH71" s="144">
        <v>0</v>
      </c>
      <c r="AI71" s="144">
        <v>0</v>
      </c>
      <c r="AJ71" s="144">
        <v>0</v>
      </c>
      <c r="AK71" s="144">
        <v>0</v>
      </c>
      <c r="AL71" s="144">
        <v>0</v>
      </c>
      <c r="AM71" s="144">
        <v>0</v>
      </c>
      <c r="AN71" s="144">
        <v>0</v>
      </c>
      <c r="AO71" s="144">
        <v>0</v>
      </c>
      <c r="AP71" s="144">
        <v>0.01</v>
      </c>
      <c r="AQ71" s="144">
        <v>0</v>
      </c>
      <c r="AR71" s="144">
        <v>2.9994000137972404E-2</v>
      </c>
      <c r="AS71" s="144">
        <v>0.32103532526161876</v>
      </c>
      <c r="AT71" s="144">
        <v>0</v>
      </c>
      <c r="AU71" s="144">
        <v>0</v>
      </c>
      <c r="AV71" s="144">
        <v>3.0003002298229837E-4</v>
      </c>
      <c r="AW71" s="144">
        <v>0</v>
      </c>
      <c r="AX71" s="144">
        <v>0</v>
      </c>
      <c r="AY71" s="144">
        <v>0</v>
      </c>
      <c r="AZ71" s="144">
        <v>0</v>
      </c>
      <c r="BA71" s="144">
        <v>0</v>
      </c>
      <c r="BB71" s="144">
        <v>0.1</v>
      </c>
      <c r="BC71" s="144">
        <v>6.9999999999999993E-2</v>
      </c>
      <c r="BD71" s="144">
        <v>6.9982308608261837E-2</v>
      </c>
      <c r="BE71" s="144">
        <v>0</v>
      </c>
      <c r="BF71" s="144">
        <v>7.0017608177547624E-2</v>
      </c>
      <c r="BG71" s="144">
        <v>2.0000000000000004E-2</v>
      </c>
      <c r="BH71" s="144">
        <v>0</v>
      </c>
      <c r="BI71" s="144">
        <v>0</v>
      </c>
      <c r="BJ71" s="144">
        <v>0</v>
      </c>
      <c r="BK71" s="144">
        <v>0</v>
      </c>
      <c r="BL71" s="144">
        <v>1.0000000000000002E-2</v>
      </c>
      <c r="BM71" s="144">
        <v>9.9989991243375556E-5</v>
      </c>
      <c r="BN71" s="144">
        <v>0</v>
      </c>
      <c r="BO71" s="144">
        <v>0</v>
      </c>
      <c r="BP71" s="144">
        <v>0</v>
      </c>
      <c r="BQ71" s="144">
        <v>0.04</v>
      </c>
      <c r="BR71" s="144">
        <v>0</v>
      </c>
      <c r="BS71" s="144">
        <v>0.01</v>
      </c>
      <c r="BT71" s="144">
        <v>0</v>
      </c>
      <c r="BU71" s="144">
        <v>0</v>
      </c>
      <c r="BV71" s="144">
        <v>0</v>
      </c>
      <c r="BW71" s="144">
        <v>0</v>
      </c>
      <c r="BX71" s="144">
        <v>0</v>
      </c>
      <c r="BY71" s="144">
        <v>0</v>
      </c>
      <c r="BZ71" s="144">
        <v>0</v>
      </c>
      <c r="CA71" s="144">
        <v>0</v>
      </c>
      <c r="CB71" s="144">
        <v>0</v>
      </c>
      <c r="CC71" s="144">
        <v>0</v>
      </c>
      <c r="CD71" s="144">
        <v>0</v>
      </c>
      <c r="CE71" s="144">
        <v>0</v>
      </c>
      <c r="CF71" s="144">
        <v>0</v>
      </c>
      <c r="CG71" s="144">
        <v>0</v>
      </c>
      <c r="CH71" s="144">
        <v>0</v>
      </c>
      <c r="CI71" s="144">
        <v>0</v>
      </c>
      <c r="CJ71" s="144">
        <v>0</v>
      </c>
      <c r="CK71" s="144">
        <v>0</v>
      </c>
      <c r="CL71" s="144">
        <v>0</v>
      </c>
      <c r="CM71" s="144">
        <v>0</v>
      </c>
      <c r="CN71" s="144">
        <v>0</v>
      </c>
      <c r="CO71" s="144">
        <v>0</v>
      </c>
      <c r="CP71" s="144">
        <v>0</v>
      </c>
      <c r="CQ71" s="144">
        <v>0</v>
      </c>
      <c r="CR71" s="144">
        <v>0</v>
      </c>
      <c r="CS71" s="144">
        <v>0</v>
      </c>
      <c r="CT71" s="144">
        <v>0</v>
      </c>
      <c r="CU71" s="144">
        <v>0</v>
      </c>
      <c r="CV71" s="144">
        <v>0</v>
      </c>
    </row>
    <row r="72" spans="1:100" x14ac:dyDescent="0.15">
      <c r="A72" s="180" t="s">
        <v>262</v>
      </c>
      <c r="B72" s="144">
        <v>0</v>
      </c>
      <c r="C72" s="144">
        <v>0</v>
      </c>
      <c r="D72" s="144">
        <v>0</v>
      </c>
      <c r="E72" s="144">
        <v>0</v>
      </c>
      <c r="F72" s="144">
        <v>0</v>
      </c>
      <c r="G72" s="144">
        <v>0</v>
      </c>
      <c r="H72" s="144">
        <v>0</v>
      </c>
      <c r="I72" s="144">
        <v>0</v>
      </c>
      <c r="J72" s="144">
        <v>0</v>
      </c>
      <c r="K72" s="144">
        <v>0</v>
      </c>
      <c r="L72" s="144">
        <v>0</v>
      </c>
      <c r="M72" s="144">
        <v>0</v>
      </c>
      <c r="N72" s="144">
        <v>0</v>
      </c>
      <c r="O72" s="144">
        <v>3.309874024893562E-3</v>
      </c>
      <c r="P72" s="144">
        <v>2.5519573560487053E-5</v>
      </c>
      <c r="Q72" s="144">
        <v>1.9662699186977391E-4</v>
      </c>
      <c r="R72" s="144">
        <v>7.4498880079654239E-4</v>
      </c>
      <c r="S72" s="144">
        <v>1.9722699656627796E-4</v>
      </c>
      <c r="T72" s="144">
        <v>3.8927599699868187E-4</v>
      </c>
      <c r="U72" s="144">
        <v>2.8825292813907423E-3</v>
      </c>
      <c r="V72" s="144">
        <v>1.9552542650415278E-3</v>
      </c>
      <c r="W72" s="144">
        <v>5.6398529416833562E-3</v>
      </c>
      <c r="X72" s="144">
        <v>4.999813953701223E-2</v>
      </c>
      <c r="Y72" s="144">
        <v>0.18382573247060588</v>
      </c>
      <c r="Z72" s="144">
        <v>2.778160074426909E-4</v>
      </c>
      <c r="AA72" s="144">
        <v>0</v>
      </c>
      <c r="AB72" s="144">
        <v>0</v>
      </c>
      <c r="AC72" s="144">
        <v>9.9976294018924397E-2</v>
      </c>
      <c r="AD72" s="144">
        <v>2.920781012311093E-4</v>
      </c>
      <c r="AE72" s="144">
        <v>1.3422089325538006E-3</v>
      </c>
      <c r="AF72" s="144">
        <v>1.0386407361645388E-2</v>
      </c>
      <c r="AG72" s="144">
        <v>6.2067581883360383E-3</v>
      </c>
      <c r="AH72" s="144">
        <v>1.2693531946940324E-2</v>
      </c>
      <c r="AI72" s="144">
        <v>1.0480660024105519E-3</v>
      </c>
      <c r="AJ72" s="144">
        <v>3.9523774424563667E-3</v>
      </c>
      <c r="AK72" s="144">
        <v>1.9991742901976579E-4</v>
      </c>
      <c r="AL72" s="144">
        <v>0</v>
      </c>
      <c r="AM72" s="144">
        <v>0</v>
      </c>
      <c r="AN72" s="144">
        <v>1.151853890316399E-4</v>
      </c>
      <c r="AO72" s="144">
        <v>0</v>
      </c>
      <c r="AP72" s="144">
        <v>0.02</v>
      </c>
      <c r="AQ72" s="144">
        <v>0</v>
      </c>
      <c r="AR72" s="144">
        <v>2.9994000137972404E-2</v>
      </c>
      <c r="AS72" s="144">
        <v>0</v>
      </c>
      <c r="AT72" s="144">
        <v>0.19000000000000003</v>
      </c>
      <c r="AU72" s="144">
        <v>0.19301930045552554</v>
      </c>
      <c r="AV72" s="144">
        <v>0</v>
      </c>
      <c r="AW72" s="144">
        <v>0.31900000000000001</v>
      </c>
      <c r="AX72" s="144">
        <v>0.33209962414744809</v>
      </c>
      <c r="AY72" s="144">
        <v>0.25712952079093038</v>
      </c>
      <c r="AZ72" s="144">
        <v>0.24999999999999994</v>
      </c>
      <c r="BA72" s="144">
        <v>0.24991187070651405</v>
      </c>
      <c r="BB72" s="144">
        <v>0</v>
      </c>
      <c r="BC72" s="144">
        <v>0</v>
      </c>
      <c r="BD72" s="144">
        <v>0</v>
      </c>
      <c r="BE72" s="144">
        <v>9.5037759392708736E-3</v>
      </c>
      <c r="BF72" s="144">
        <v>0</v>
      </c>
      <c r="BG72" s="144">
        <v>7.0000000000000021E-2</v>
      </c>
      <c r="BH72" s="144">
        <v>0</v>
      </c>
      <c r="BI72" s="144">
        <v>0</v>
      </c>
      <c r="BJ72" s="144">
        <v>0</v>
      </c>
      <c r="BK72" s="144">
        <v>0</v>
      </c>
      <c r="BL72" s="144">
        <v>5.000000000000001E-2</v>
      </c>
      <c r="BM72" s="144">
        <v>0</v>
      </c>
      <c r="BN72" s="144">
        <v>0</v>
      </c>
      <c r="BO72" s="144">
        <v>0</v>
      </c>
      <c r="BP72" s="144">
        <v>0</v>
      </c>
      <c r="BQ72" s="144">
        <v>0</v>
      </c>
      <c r="BR72" s="144">
        <v>0</v>
      </c>
      <c r="BS72" s="144">
        <v>0</v>
      </c>
      <c r="BT72" s="144">
        <v>0</v>
      </c>
      <c r="BU72" s="144">
        <v>0</v>
      </c>
      <c r="BV72" s="144">
        <v>0</v>
      </c>
      <c r="BW72" s="144">
        <v>0</v>
      </c>
      <c r="BX72" s="144">
        <v>0</v>
      </c>
      <c r="BY72" s="144">
        <v>0</v>
      </c>
      <c r="BZ72" s="144">
        <v>0</v>
      </c>
      <c r="CA72" s="144">
        <v>0</v>
      </c>
      <c r="CB72" s="144">
        <v>0</v>
      </c>
      <c r="CC72" s="144">
        <v>0</v>
      </c>
      <c r="CD72" s="144">
        <v>0</v>
      </c>
      <c r="CE72" s="144">
        <v>0</v>
      </c>
      <c r="CF72" s="144">
        <v>0</v>
      </c>
      <c r="CG72" s="144">
        <v>0</v>
      </c>
      <c r="CH72" s="144">
        <v>0</v>
      </c>
      <c r="CI72" s="144">
        <v>0</v>
      </c>
      <c r="CJ72" s="144">
        <v>0</v>
      </c>
      <c r="CK72" s="144">
        <v>0</v>
      </c>
      <c r="CL72" s="144">
        <v>0</v>
      </c>
      <c r="CM72" s="144">
        <v>0</v>
      </c>
      <c r="CN72" s="144">
        <v>0</v>
      </c>
      <c r="CO72" s="144">
        <v>0</v>
      </c>
      <c r="CP72" s="144">
        <v>0</v>
      </c>
      <c r="CQ72" s="144">
        <v>0</v>
      </c>
      <c r="CR72" s="144">
        <v>0</v>
      </c>
      <c r="CS72" s="144">
        <v>0</v>
      </c>
      <c r="CT72" s="144">
        <v>0</v>
      </c>
      <c r="CU72" s="144">
        <v>0</v>
      </c>
      <c r="CV72" s="144">
        <v>0</v>
      </c>
    </row>
    <row r="73" spans="1:100" x14ac:dyDescent="0.15">
      <c r="A73" s="180" t="s">
        <v>263</v>
      </c>
      <c r="B73" s="144">
        <v>0</v>
      </c>
      <c r="C73" s="144">
        <v>0</v>
      </c>
      <c r="D73" s="144">
        <v>0</v>
      </c>
      <c r="E73" s="144">
        <v>0</v>
      </c>
      <c r="F73" s="144">
        <v>0</v>
      </c>
      <c r="G73" s="144">
        <v>0</v>
      </c>
      <c r="H73" s="144">
        <v>0</v>
      </c>
      <c r="I73" s="144">
        <v>0</v>
      </c>
      <c r="J73" s="144">
        <v>0</v>
      </c>
      <c r="K73" s="144">
        <v>0</v>
      </c>
      <c r="L73" s="144">
        <v>0</v>
      </c>
      <c r="M73" s="144">
        <v>0</v>
      </c>
      <c r="N73" s="144">
        <v>0</v>
      </c>
      <c r="O73" s="144">
        <v>0</v>
      </c>
      <c r="P73" s="144">
        <v>0</v>
      </c>
      <c r="Q73" s="144">
        <v>0</v>
      </c>
      <c r="R73" s="144">
        <v>0</v>
      </c>
      <c r="S73" s="144">
        <v>0</v>
      </c>
      <c r="T73" s="144">
        <v>0</v>
      </c>
      <c r="U73" s="144">
        <v>0</v>
      </c>
      <c r="V73" s="144">
        <v>0</v>
      </c>
      <c r="W73" s="144">
        <v>0</v>
      </c>
      <c r="X73" s="144">
        <v>5.9997769444414661E-3</v>
      </c>
      <c r="Y73" s="144">
        <v>0</v>
      </c>
      <c r="Z73" s="144">
        <v>0</v>
      </c>
      <c r="AA73" s="144">
        <v>0</v>
      </c>
      <c r="AB73" s="144">
        <v>0</v>
      </c>
      <c r="AC73" s="144">
        <v>0</v>
      </c>
      <c r="AD73" s="144">
        <v>0</v>
      </c>
      <c r="AE73" s="144">
        <v>0</v>
      </c>
      <c r="AF73" s="144">
        <v>0</v>
      </c>
      <c r="AG73" s="144">
        <v>0</v>
      </c>
      <c r="AH73" s="144">
        <v>0</v>
      </c>
      <c r="AI73" s="144">
        <v>0</v>
      </c>
      <c r="AJ73" s="144">
        <v>0</v>
      </c>
      <c r="AK73" s="144">
        <v>0</v>
      </c>
      <c r="AL73" s="144">
        <v>0</v>
      </c>
      <c r="AM73" s="144">
        <v>0</v>
      </c>
      <c r="AN73" s="144">
        <v>0</v>
      </c>
      <c r="AO73" s="144">
        <v>0</v>
      </c>
      <c r="AP73" s="144">
        <v>0.01</v>
      </c>
      <c r="AQ73" s="144">
        <v>0</v>
      </c>
      <c r="AR73" s="144">
        <v>1.0997800050589882E-2</v>
      </c>
      <c r="AS73" s="144">
        <v>7.1407854435761933E-2</v>
      </c>
      <c r="AT73" s="144">
        <v>0</v>
      </c>
      <c r="AU73" s="144">
        <v>0</v>
      </c>
      <c r="AV73" s="144">
        <v>0.73807380733645356</v>
      </c>
      <c r="AW73" s="144">
        <v>0</v>
      </c>
      <c r="AX73" s="144">
        <v>0</v>
      </c>
      <c r="AY73" s="144">
        <v>0</v>
      </c>
      <c r="AZ73" s="144">
        <v>0</v>
      </c>
      <c r="BA73" s="144">
        <v>0</v>
      </c>
      <c r="BB73" s="144">
        <v>0.1</v>
      </c>
      <c r="BC73" s="144">
        <v>0</v>
      </c>
      <c r="BD73" s="144">
        <v>0</v>
      </c>
      <c r="BE73" s="144">
        <v>0</v>
      </c>
      <c r="BF73" s="144">
        <v>0</v>
      </c>
      <c r="BG73" s="144">
        <v>2.0000000000000004E-2</v>
      </c>
      <c r="BH73" s="144">
        <v>0</v>
      </c>
      <c r="BI73" s="144">
        <v>0</v>
      </c>
      <c r="BJ73" s="144">
        <v>0</v>
      </c>
      <c r="BK73" s="144">
        <v>0</v>
      </c>
      <c r="BL73" s="144">
        <v>5.000000000000001E-2</v>
      </c>
      <c r="BM73" s="144">
        <v>0</v>
      </c>
      <c r="BN73" s="144">
        <v>0</v>
      </c>
      <c r="BO73" s="144">
        <v>0</v>
      </c>
      <c r="BP73" s="144">
        <v>0</v>
      </c>
      <c r="BQ73" s="144">
        <v>0</v>
      </c>
      <c r="BR73" s="144">
        <v>0</v>
      </c>
      <c r="BS73" s="144">
        <v>0</v>
      </c>
      <c r="BT73" s="144">
        <v>0</v>
      </c>
      <c r="BU73" s="144">
        <v>0</v>
      </c>
      <c r="BV73" s="144">
        <v>0</v>
      </c>
      <c r="BW73" s="144">
        <v>0</v>
      </c>
      <c r="BX73" s="144">
        <v>0</v>
      </c>
      <c r="BY73" s="144">
        <v>0</v>
      </c>
      <c r="BZ73" s="144">
        <v>0</v>
      </c>
      <c r="CA73" s="144">
        <v>0</v>
      </c>
      <c r="CB73" s="144">
        <v>0</v>
      </c>
      <c r="CC73" s="144">
        <v>0</v>
      </c>
      <c r="CD73" s="144">
        <v>0</v>
      </c>
      <c r="CE73" s="144">
        <v>0</v>
      </c>
      <c r="CF73" s="144">
        <v>0</v>
      </c>
      <c r="CG73" s="144">
        <v>0</v>
      </c>
      <c r="CH73" s="144">
        <v>0</v>
      </c>
      <c r="CI73" s="144">
        <v>0</v>
      </c>
      <c r="CJ73" s="144">
        <v>0</v>
      </c>
      <c r="CK73" s="144">
        <v>0</v>
      </c>
      <c r="CL73" s="144">
        <v>0</v>
      </c>
      <c r="CM73" s="144">
        <v>0</v>
      </c>
      <c r="CN73" s="144">
        <v>0</v>
      </c>
      <c r="CO73" s="144">
        <v>0</v>
      </c>
      <c r="CP73" s="144">
        <v>0</v>
      </c>
      <c r="CQ73" s="144">
        <v>0</v>
      </c>
      <c r="CR73" s="144">
        <v>0</v>
      </c>
      <c r="CS73" s="144">
        <v>0</v>
      </c>
      <c r="CT73" s="144">
        <v>0</v>
      </c>
      <c r="CU73" s="144">
        <v>0</v>
      </c>
      <c r="CV73" s="144">
        <v>0</v>
      </c>
    </row>
    <row r="74" spans="1:100" x14ac:dyDescent="0.15">
      <c r="A74" s="180" t="s">
        <v>264</v>
      </c>
      <c r="B74" s="144">
        <v>0</v>
      </c>
      <c r="C74" s="144">
        <v>0</v>
      </c>
      <c r="D74" s="144">
        <v>0</v>
      </c>
      <c r="E74" s="144">
        <v>0</v>
      </c>
      <c r="F74" s="144">
        <v>0</v>
      </c>
      <c r="G74" s="144">
        <v>0</v>
      </c>
      <c r="H74" s="144">
        <v>0</v>
      </c>
      <c r="I74" s="144">
        <v>0</v>
      </c>
      <c r="J74" s="144">
        <v>0</v>
      </c>
      <c r="K74" s="144">
        <v>0</v>
      </c>
      <c r="L74" s="144">
        <v>0</v>
      </c>
      <c r="M74" s="144">
        <v>0</v>
      </c>
      <c r="N74" s="144">
        <v>0</v>
      </c>
      <c r="O74" s="144">
        <v>0</v>
      </c>
      <c r="P74" s="144">
        <v>0</v>
      </c>
      <c r="Q74" s="144">
        <v>0</v>
      </c>
      <c r="R74" s="144">
        <v>0</v>
      </c>
      <c r="S74" s="144">
        <v>0</v>
      </c>
      <c r="T74" s="144">
        <v>0</v>
      </c>
      <c r="U74" s="144">
        <v>0</v>
      </c>
      <c r="V74" s="144">
        <v>0</v>
      </c>
      <c r="W74" s="144">
        <v>0</v>
      </c>
      <c r="X74" s="144">
        <v>3.9998512329609777E-2</v>
      </c>
      <c r="Y74" s="144">
        <v>0</v>
      </c>
      <c r="Z74" s="144">
        <v>0</v>
      </c>
      <c r="AA74" s="144">
        <v>0</v>
      </c>
      <c r="AB74" s="144">
        <v>0</v>
      </c>
      <c r="AC74" s="144">
        <v>9.9976290318924393E-3</v>
      </c>
      <c r="AD74" s="144">
        <v>0</v>
      </c>
      <c r="AE74" s="144">
        <v>0</v>
      </c>
      <c r="AF74" s="144">
        <v>0</v>
      </c>
      <c r="AG74" s="144">
        <v>0</v>
      </c>
      <c r="AH74" s="144">
        <v>0</v>
      </c>
      <c r="AI74" s="144">
        <v>0</v>
      </c>
      <c r="AJ74" s="144">
        <v>0</v>
      </c>
      <c r="AK74" s="144">
        <v>0</v>
      </c>
      <c r="AL74" s="144">
        <v>0</v>
      </c>
      <c r="AM74" s="144">
        <v>0</v>
      </c>
      <c r="AN74" s="144">
        <v>0</v>
      </c>
      <c r="AO74" s="144">
        <v>0</v>
      </c>
      <c r="AP74" s="144">
        <v>0.01</v>
      </c>
      <c r="AQ74" s="144">
        <v>0</v>
      </c>
      <c r="AR74" s="144">
        <v>0</v>
      </c>
      <c r="AS74" s="144">
        <v>0</v>
      </c>
      <c r="AT74" s="144">
        <v>0</v>
      </c>
      <c r="AU74" s="144">
        <v>0</v>
      </c>
      <c r="AV74" s="144">
        <v>0</v>
      </c>
      <c r="AW74" s="144">
        <v>1E-3</v>
      </c>
      <c r="AX74" s="144">
        <v>3.0009003845853782E-4</v>
      </c>
      <c r="AY74" s="144">
        <v>1.500756194616326E-4</v>
      </c>
      <c r="AZ74" s="144">
        <v>9.9999999999999985E-3</v>
      </c>
      <c r="BA74" s="144">
        <v>9.9964748282605608E-3</v>
      </c>
      <c r="BB74" s="144">
        <v>0</v>
      </c>
      <c r="BC74" s="144">
        <v>1.4999999999999996E-2</v>
      </c>
      <c r="BD74" s="144">
        <v>1.4996208001770411E-2</v>
      </c>
      <c r="BE74" s="144">
        <v>0</v>
      </c>
      <c r="BF74" s="144">
        <v>1.0002515611078238E-2</v>
      </c>
      <c r="BG74" s="144">
        <v>0</v>
      </c>
      <c r="BH74" s="144">
        <v>0.01</v>
      </c>
      <c r="BI74" s="144">
        <v>0.39999999999999991</v>
      </c>
      <c r="BJ74" s="144">
        <v>0</v>
      </c>
      <c r="BK74" s="144">
        <v>0</v>
      </c>
      <c r="BL74" s="144">
        <v>0</v>
      </c>
      <c r="BM74" s="144">
        <v>1.9997997448675101E-2</v>
      </c>
      <c r="BN74" s="144">
        <v>0.01</v>
      </c>
      <c r="BO74" s="144">
        <v>0</v>
      </c>
      <c r="BP74" s="144">
        <v>6.9999999999999993E-2</v>
      </c>
      <c r="BQ74" s="144">
        <v>0</v>
      </c>
      <c r="BR74" s="144">
        <v>0.1</v>
      </c>
      <c r="BS74" s="144">
        <v>0</v>
      </c>
      <c r="BT74" s="144">
        <v>0.1</v>
      </c>
      <c r="BU74" s="144">
        <v>0</v>
      </c>
      <c r="BV74" s="144">
        <v>0.01</v>
      </c>
      <c r="BW74" s="144">
        <v>0</v>
      </c>
      <c r="BX74" s="144">
        <v>0</v>
      </c>
      <c r="BY74" s="144">
        <v>0</v>
      </c>
      <c r="BZ74" s="144">
        <v>0</v>
      </c>
      <c r="CA74" s="144">
        <v>0</v>
      </c>
      <c r="CB74" s="144">
        <v>0</v>
      </c>
      <c r="CC74" s="144">
        <v>0</v>
      </c>
      <c r="CD74" s="144">
        <v>0</v>
      </c>
      <c r="CE74" s="144">
        <v>0</v>
      </c>
      <c r="CF74" s="144">
        <v>0</v>
      </c>
      <c r="CG74" s="144">
        <v>0</v>
      </c>
      <c r="CH74" s="144">
        <v>0</v>
      </c>
      <c r="CI74" s="144">
        <v>0</v>
      </c>
      <c r="CJ74" s="144">
        <v>0</v>
      </c>
      <c r="CK74" s="144">
        <v>0</v>
      </c>
      <c r="CL74" s="144">
        <v>0</v>
      </c>
      <c r="CM74" s="144">
        <v>0</v>
      </c>
      <c r="CN74" s="144">
        <v>0</v>
      </c>
      <c r="CO74" s="144">
        <v>0</v>
      </c>
      <c r="CP74" s="144">
        <v>0</v>
      </c>
      <c r="CQ74" s="144">
        <v>0</v>
      </c>
      <c r="CR74" s="144">
        <v>0</v>
      </c>
      <c r="CS74" s="144">
        <v>0</v>
      </c>
      <c r="CT74" s="144">
        <v>0</v>
      </c>
      <c r="CU74" s="144">
        <v>0</v>
      </c>
      <c r="CV74" s="144">
        <v>0</v>
      </c>
    </row>
    <row r="75" spans="1:100" x14ac:dyDescent="0.15">
      <c r="A75" s="180" t="s">
        <v>265</v>
      </c>
      <c r="B75" s="144">
        <v>0</v>
      </c>
      <c r="C75" s="144">
        <v>0</v>
      </c>
      <c r="D75" s="144">
        <v>0</v>
      </c>
      <c r="E75" s="144">
        <v>0</v>
      </c>
      <c r="F75" s="144">
        <v>0</v>
      </c>
      <c r="G75" s="144">
        <v>0</v>
      </c>
      <c r="H75" s="144">
        <v>0</v>
      </c>
      <c r="I75" s="144">
        <v>0</v>
      </c>
      <c r="J75" s="144">
        <v>0</v>
      </c>
      <c r="K75" s="144">
        <v>0</v>
      </c>
      <c r="L75" s="144">
        <v>0</v>
      </c>
      <c r="M75" s="144">
        <v>0</v>
      </c>
      <c r="N75" s="144">
        <v>0</v>
      </c>
      <c r="O75" s="144">
        <v>0</v>
      </c>
      <c r="P75" s="144">
        <v>0</v>
      </c>
      <c r="Q75" s="144">
        <v>0</v>
      </c>
      <c r="R75" s="144">
        <v>0</v>
      </c>
      <c r="S75" s="144">
        <v>0</v>
      </c>
      <c r="T75" s="144">
        <v>0</v>
      </c>
      <c r="U75" s="144">
        <v>0</v>
      </c>
      <c r="V75" s="144">
        <v>0</v>
      </c>
      <c r="W75" s="144">
        <v>0</v>
      </c>
      <c r="X75" s="144">
        <v>4.9998139537012227E-3</v>
      </c>
      <c r="Y75" s="144">
        <v>0</v>
      </c>
      <c r="Z75" s="144">
        <v>0</v>
      </c>
      <c r="AA75" s="144">
        <v>0</v>
      </c>
      <c r="AB75" s="144">
        <v>0</v>
      </c>
      <c r="AC75" s="144">
        <v>0</v>
      </c>
      <c r="AD75" s="144">
        <v>0</v>
      </c>
      <c r="AE75" s="144">
        <v>0</v>
      </c>
      <c r="AF75" s="144">
        <v>0</v>
      </c>
      <c r="AG75" s="144">
        <v>0</v>
      </c>
      <c r="AH75" s="144">
        <v>0</v>
      </c>
      <c r="AI75" s="144">
        <v>0</v>
      </c>
      <c r="AJ75" s="144">
        <v>0</v>
      </c>
      <c r="AK75" s="144">
        <v>0</v>
      </c>
      <c r="AL75" s="144">
        <v>0</v>
      </c>
      <c r="AM75" s="144">
        <v>0</v>
      </c>
      <c r="AN75" s="144">
        <v>0</v>
      </c>
      <c r="AO75" s="144">
        <v>0</v>
      </c>
      <c r="AP75" s="144">
        <v>5.0000000000000001E-3</v>
      </c>
      <c r="AQ75" s="144">
        <v>0</v>
      </c>
      <c r="AR75" s="144">
        <v>0</v>
      </c>
      <c r="AS75" s="144">
        <v>3.0003299930992412E-2</v>
      </c>
      <c r="AT75" s="144">
        <v>0</v>
      </c>
      <c r="AU75" s="144">
        <v>0</v>
      </c>
      <c r="AV75" s="144">
        <v>0</v>
      </c>
      <c r="AW75" s="144">
        <v>0</v>
      </c>
      <c r="AX75" s="144">
        <v>0</v>
      </c>
      <c r="AY75" s="144">
        <v>0</v>
      </c>
      <c r="AZ75" s="144">
        <v>0</v>
      </c>
      <c r="BA75" s="144">
        <v>0</v>
      </c>
      <c r="BB75" s="144">
        <v>0.1</v>
      </c>
      <c r="BC75" s="144">
        <v>1.4999999999999996E-2</v>
      </c>
      <c r="BD75" s="144">
        <v>1.4996208001770411E-2</v>
      </c>
      <c r="BE75" s="144">
        <v>0</v>
      </c>
      <c r="BF75" s="144">
        <v>1.5003772966617344E-2</v>
      </c>
      <c r="BG75" s="144">
        <v>0</v>
      </c>
      <c r="BH75" s="144">
        <v>0.01</v>
      </c>
      <c r="BI75" s="144">
        <v>0</v>
      </c>
      <c r="BJ75" s="144">
        <v>0</v>
      </c>
      <c r="BK75" s="144">
        <v>0</v>
      </c>
      <c r="BL75" s="144">
        <v>0</v>
      </c>
      <c r="BM75" s="144">
        <v>9.9989991243375556E-3</v>
      </c>
      <c r="BN75" s="144">
        <v>0</v>
      </c>
      <c r="BO75" s="144">
        <v>0.01</v>
      </c>
      <c r="BP75" s="144">
        <v>0</v>
      </c>
      <c r="BQ75" s="144">
        <v>7.0000000000000007E-2</v>
      </c>
      <c r="BR75" s="144">
        <v>0</v>
      </c>
      <c r="BS75" s="144">
        <v>0.1</v>
      </c>
      <c r="BT75" s="144">
        <v>0</v>
      </c>
      <c r="BU75" s="144">
        <v>0.1</v>
      </c>
      <c r="BV75" s="144">
        <v>0</v>
      </c>
      <c r="BW75" s="144">
        <v>0.01</v>
      </c>
      <c r="BX75" s="144">
        <v>0</v>
      </c>
      <c r="BY75" s="144">
        <v>0</v>
      </c>
      <c r="BZ75" s="144">
        <v>0</v>
      </c>
      <c r="CA75" s="144">
        <v>0</v>
      </c>
      <c r="CB75" s="144">
        <v>0</v>
      </c>
      <c r="CC75" s="144">
        <v>0</v>
      </c>
      <c r="CD75" s="144">
        <v>0</v>
      </c>
      <c r="CE75" s="144">
        <v>0</v>
      </c>
      <c r="CF75" s="144">
        <v>0</v>
      </c>
      <c r="CG75" s="144">
        <v>0</v>
      </c>
      <c r="CH75" s="144">
        <v>0</v>
      </c>
      <c r="CI75" s="144">
        <v>0</v>
      </c>
      <c r="CJ75" s="144">
        <v>0</v>
      </c>
      <c r="CK75" s="144">
        <v>0</v>
      </c>
      <c r="CL75" s="144">
        <v>0</v>
      </c>
      <c r="CM75" s="144">
        <v>0</v>
      </c>
      <c r="CN75" s="144">
        <v>0</v>
      </c>
      <c r="CO75" s="144">
        <v>0</v>
      </c>
      <c r="CP75" s="144">
        <v>0</v>
      </c>
      <c r="CQ75" s="144">
        <v>0</v>
      </c>
      <c r="CR75" s="144">
        <v>0</v>
      </c>
      <c r="CS75" s="144">
        <v>0</v>
      </c>
      <c r="CT75" s="144">
        <v>0</v>
      </c>
      <c r="CU75" s="144">
        <v>0</v>
      </c>
      <c r="CV75" s="144">
        <v>0</v>
      </c>
    </row>
    <row r="76" spans="1:100" x14ac:dyDescent="0.15">
      <c r="A76" s="180" t="s">
        <v>266</v>
      </c>
      <c r="B76" s="144">
        <v>0</v>
      </c>
      <c r="C76" s="144">
        <v>0</v>
      </c>
      <c r="D76" s="144">
        <v>0</v>
      </c>
      <c r="E76" s="144">
        <v>0</v>
      </c>
      <c r="F76" s="144">
        <v>0</v>
      </c>
      <c r="G76" s="144">
        <v>0</v>
      </c>
      <c r="H76" s="144">
        <v>0</v>
      </c>
      <c r="I76" s="144">
        <v>0</v>
      </c>
      <c r="J76" s="144">
        <v>0</v>
      </c>
      <c r="K76" s="144">
        <v>0</v>
      </c>
      <c r="L76" s="144">
        <v>0</v>
      </c>
      <c r="M76" s="144">
        <v>0</v>
      </c>
      <c r="N76" s="144">
        <v>0</v>
      </c>
      <c r="O76" s="144">
        <v>0</v>
      </c>
      <c r="P76" s="144">
        <v>0</v>
      </c>
      <c r="Q76" s="144">
        <v>0</v>
      </c>
      <c r="R76" s="144">
        <v>0</v>
      </c>
      <c r="S76" s="144">
        <v>0</v>
      </c>
      <c r="T76" s="144">
        <v>0</v>
      </c>
      <c r="U76" s="144">
        <v>8.2416954739763946E-7</v>
      </c>
      <c r="V76" s="144">
        <v>0</v>
      </c>
      <c r="W76" s="144">
        <v>0</v>
      </c>
      <c r="X76" s="144">
        <v>3.9998512329609777E-2</v>
      </c>
      <c r="Y76" s="144">
        <v>0</v>
      </c>
      <c r="Z76" s="144">
        <v>2.0026000536496558E-5</v>
      </c>
      <c r="AA76" s="144">
        <v>0</v>
      </c>
      <c r="AB76" s="144">
        <v>0</v>
      </c>
      <c r="AC76" s="144">
        <v>4.9988143259462195E-3</v>
      </c>
      <c r="AD76" s="144">
        <v>0</v>
      </c>
      <c r="AE76" s="144">
        <v>0</v>
      </c>
      <c r="AF76" s="144">
        <v>0</v>
      </c>
      <c r="AG76" s="144">
        <v>0</v>
      </c>
      <c r="AH76" s="144">
        <v>0</v>
      </c>
      <c r="AI76" s="144">
        <v>0</v>
      </c>
      <c r="AJ76" s="144">
        <v>7.5458399283220658E-5</v>
      </c>
      <c r="AK76" s="144">
        <v>0</v>
      </c>
      <c r="AL76" s="144">
        <v>0</v>
      </c>
      <c r="AM76" s="144">
        <v>0</v>
      </c>
      <c r="AN76" s="144">
        <v>0</v>
      </c>
      <c r="AO76" s="144">
        <v>0</v>
      </c>
      <c r="AP76" s="144">
        <v>0</v>
      </c>
      <c r="AQ76" s="144">
        <v>0</v>
      </c>
      <c r="AR76" s="144">
        <v>0</v>
      </c>
      <c r="AS76" s="144">
        <v>0</v>
      </c>
      <c r="AT76" s="144">
        <v>5.000000000000001E-2</v>
      </c>
      <c r="AU76" s="144">
        <v>5.5005500129812979E-2</v>
      </c>
      <c r="AV76" s="144">
        <v>0</v>
      </c>
      <c r="AW76" s="144">
        <v>0.01</v>
      </c>
      <c r="AX76" s="144">
        <v>9.0027001937561142E-3</v>
      </c>
      <c r="AY76" s="144">
        <v>2.7013610083093862E-2</v>
      </c>
      <c r="AZ76" s="144">
        <v>2.9999999999999992E-2</v>
      </c>
      <c r="BA76" s="144">
        <v>2.9989424584781686E-2</v>
      </c>
      <c r="BB76" s="144">
        <v>0</v>
      </c>
      <c r="BC76" s="144">
        <v>0</v>
      </c>
      <c r="BD76" s="144">
        <v>0</v>
      </c>
      <c r="BE76" s="144">
        <v>0</v>
      </c>
      <c r="BF76" s="144">
        <v>0</v>
      </c>
      <c r="BG76" s="144">
        <v>0</v>
      </c>
      <c r="BH76" s="144">
        <v>0.01</v>
      </c>
      <c r="BI76" s="144">
        <v>4.9999999999999989E-2</v>
      </c>
      <c r="BJ76" s="144">
        <v>0</v>
      </c>
      <c r="BK76" s="144">
        <v>0</v>
      </c>
      <c r="BL76" s="144">
        <v>0</v>
      </c>
      <c r="BM76" s="144">
        <v>0</v>
      </c>
      <c r="BN76" s="144">
        <v>0</v>
      </c>
      <c r="BO76" s="144">
        <v>0</v>
      </c>
      <c r="BP76" s="144">
        <v>0</v>
      </c>
      <c r="BQ76" s="144">
        <v>0</v>
      </c>
      <c r="BR76" s="144">
        <v>0</v>
      </c>
      <c r="BS76" s="144">
        <v>0</v>
      </c>
      <c r="BT76" s="144">
        <v>0.1</v>
      </c>
      <c r="BU76" s="144">
        <v>0</v>
      </c>
      <c r="BV76" s="144">
        <v>0</v>
      </c>
      <c r="BW76" s="144">
        <v>0</v>
      </c>
      <c r="BX76" s="144">
        <v>0</v>
      </c>
      <c r="BY76" s="144">
        <v>0</v>
      </c>
      <c r="BZ76" s="144">
        <v>0</v>
      </c>
      <c r="CA76" s="144">
        <v>0</v>
      </c>
      <c r="CB76" s="144">
        <v>0</v>
      </c>
      <c r="CC76" s="144">
        <v>0</v>
      </c>
      <c r="CD76" s="144">
        <v>0</v>
      </c>
      <c r="CE76" s="144">
        <v>0</v>
      </c>
      <c r="CF76" s="144">
        <v>0</v>
      </c>
      <c r="CG76" s="144">
        <v>0</v>
      </c>
      <c r="CH76" s="144">
        <v>0</v>
      </c>
      <c r="CI76" s="144">
        <v>0</v>
      </c>
      <c r="CJ76" s="144">
        <v>0</v>
      </c>
      <c r="CK76" s="144">
        <v>0</v>
      </c>
      <c r="CL76" s="144">
        <v>0</v>
      </c>
      <c r="CM76" s="144">
        <v>0</v>
      </c>
      <c r="CN76" s="144">
        <v>0</v>
      </c>
      <c r="CO76" s="144">
        <v>0</v>
      </c>
      <c r="CP76" s="144">
        <v>0</v>
      </c>
      <c r="CQ76" s="144">
        <v>0</v>
      </c>
      <c r="CR76" s="144">
        <v>0</v>
      </c>
      <c r="CS76" s="144">
        <v>0</v>
      </c>
      <c r="CT76" s="144">
        <v>0</v>
      </c>
      <c r="CU76" s="144">
        <v>0</v>
      </c>
      <c r="CV76" s="144">
        <v>0</v>
      </c>
    </row>
    <row r="77" spans="1:100" x14ac:dyDescent="0.15">
      <c r="A77" s="180" t="s">
        <v>267</v>
      </c>
      <c r="B77" s="144">
        <v>0</v>
      </c>
      <c r="C77" s="144">
        <v>0</v>
      </c>
      <c r="D77" s="144">
        <v>0</v>
      </c>
      <c r="E77" s="144">
        <v>0</v>
      </c>
      <c r="F77" s="144">
        <v>0</v>
      </c>
      <c r="G77" s="144">
        <v>0</v>
      </c>
      <c r="H77" s="144">
        <v>0</v>
      </c>
      <c r="I77" s="144">
        <v>0</v>
      </c>
      <c r="J77" s="144">
        <v>0</v>
      </c>
      <c r="K77" s="144">
        <v>0</v>
      </c>
      <c r="L77" s="144">
        <v>0</v>
      </c>
      <c r="M77" s="144">
        <v>0</v>
      </c>
      <c r="N77" s="144">
        <v>0</v>
      </c>
      <c r="O77" s="144">
        <v>0</v>
      </c>
      <c r="P77" s="144">
        <v>0</v>
      </c>
      <c r="Q77" s="144">
        <v>0</v>
      </c>
      <c r="R77" s="144">
        <v>0</v>
      </c>
      <c r="S77" s="144">
        <v>0</v>
      </c>
      <c r="T77" s="144">
        <v>0</v>
      </c>
      <c r="U77" s="144">
        <v>0</v>
      </c>
      <c r="V77" s="144">
        <v>0</v>
      </c>
      <c r="W77" s="144">
        <v>0</v>
      </c>
      <c r="X77" s="144">
        <v>9.9996279074024454E-3</v>
      </c>
      <c r="Y77" s="144">
        <v>0</v>
      </c>
      <c r="Z77" s="144">
        <v>0</v>
      </c>
      <c r="AA77" s="144">
        <v>0</v>
      </c>
      <c r="AB77" s="144">
        <v>0</v>
      </c>
      <c r="AC77" s="144">
        <v>0</v>
      </c>
      <c r="AD77" s="144">
        <v>0</v>
      </c>
      <c r="AE77" s="144">
        <v>0</v>
      </c>
      <c r="AF77" s="144">
        <v>0</v>
      </c>
      <c r="AG77" s="144">
        <v>0</v>
      </c>
      <c r="AH77" s="144">
        <v>0</v>
      </c>
      <c r="AI77" s="144">
        <v>0</v>
      </c>
      <c r="AJ77" s="144">
        <v>0</v>
      </c>
      <c r="AK77" s="144">
        <v>0</v>
      </c>
      <c r="AL77" s="144">
        <v>0</v>
      </c>
      <c r="AM77" s="144">
        <v>0</v>
      </c>
      <c r="AN77" s="144">
        <v>0</v>
      </c>
      <c r="AO77" s="144">
        <v>0</v>
      </c>
      <c r="AP77" s="144">
        <v>0</v>
      </c>
      <c r="AQ77" s="144">
        <v>0</v>
      </c>
      <c r="AR77" s="144">
        <v>0</v>
      </c>
      <c r="AS77" s="144">
        <v>1.5901749963425974E-2</v>
      </c>
      <c r="AT77" s="144">
        <v>0</v>
      </c>
      <c r="AU77" s="144">
        <v>0</v>
      </c>
      <c r="AV77" s="144">
        <v>3.0003002298229837E-4</v>
      </c>
      <c r="AW77" s="144">
        <v>0</v>
      </c>
      <c r="AX77" s="144">
        <v>0</v>
      </c>
      <c r="AY77" s="144">
        <v>0</v>
      </c>
      <c r="AZ77" s="144">
        <v>0</v>
      </c>
      <c r="BA77" s="144">
        <v>0</v>
      </c>
      <c r="BB77" s="144">
        <v>0.05</v>
      </c>
      <c r="BC77" s="144">
        <v>0</v>
      </c>
      <c r="BD77" s="144">
        <v>0</v>
      </c>
      <c r="BE77" s="144">
        <v>0</v>
      </c>
      <c r="BF77" s="144">
        <v>0</v>
      </c>
      <c r="BG77" s="144">
        <v>0</v>
      </c>
      <c r="BH77" s="144">
        <v>0.01</v>
      </c>
      <c r="BI77" s="144">
        <v>0</v>
      </c>
      <c r="BJ77" s="144">
        <v>0</v>
      </c>
      <c r="BK77" s="144">
        <v>0</v>
      </c>
      <c r="BL77" s="144">
        <v>0</v>
      </c>
      <c r="BM77" s="144">
        <v>0</v>
      </c>
      <c r="BN77" s="144">
        <v>0</v>
      </c>
      <c r="BO77" s="144">
        <v>0</v>
      </c>
      <c r="BP77" s="144">
        <v>0</v>
      </c>
      <c r="BQ77" s="144">
        <v>0</v>
      </c>
      <c r="BR77" s="144">
        <v>0</v>
      </c>
      <c r="BS77" s="144">
        <v>0</v>
      </c>
      <c r="BT77" s="144">
        <v>0</v>
      </c>
      <c r="BU77" s="144">
        <v>0.1</v>
      </c>
      <c r="BV77" s="144">
        <v>0</v>
      </c>
      <c r="BW77" s="144">
        <v>0</v>
      </c>
      <c r="BX77" s="144">
        <v>0</v>
      </c>
      <c r="BY77" s="144">
        <v>0</v>
      </c>
      <c r="BZ77" s="144">
        <v>0</v>
      </c>
      <c r="CA77" s="144">
        <v>0</v>
      </c>
      <c r="CB77" s="144">
        <v>0</v>
      </c>
      <c r="CC77" s="144">
        <v>0</v>
      </c>
      <c r="CD77" s="144">
        <v>0</v>
      </c>
      <c r="CE77" s="144">
        <v>0</v>
      </c>
      <c r="CF77" s="144">
        <v>0</v>
      </c>
      <c r="CG77" s="144">
        <v>0</v>
      </c>
      <c r="CH77" s="144">
        <v>0</v>
      </c>
      <c r="CI77" s="144">
        <v>0</v>
      </c>
      <c r="CJ77" s="144">
        <v>0</v>
      </c>
      <c r="CK77" s="144">
        <v>0</v>
      </c>
      <c r="CL77" s="144">
        <v>0</v>
      </c>
      <c r="CM77" s="144">
        <v>0</v>
      </c>
      <c r="CN77" s="144">
        <v>0</v>
      </c>
      <c r="CO77" s="144">
        <v>0</v>
      </c>
      <c r="CP77" s="144">
        <v>0</v>
      </c>
      <c r="CQ77" s="144">
        <v>0</v>
      </c>
      <c r="CR77" s="144">
        <v>0</v>
      </c>
      <c r="CS77" s="144">
        <v>0</v>
      </c>
      <c r="CT77" s="144">
        <v>0</v>
      </c>
      <c r="CU77" s="144">
        <v>0</v>
      </c>
      <c r="CV77" s="144">
        <v>0</v>
      </c>
    </row>
    <row r="78" spans="1:100" x14ac:dyDescent="0.15">
      <c r="A78" s="180" t="s">
        <v>268</v>
      </c>
      <c r="B78" s="144">
        <v>0</v>
      </c>
      <c r="C78" s="144">
        <v>0</v>
      </c>
      <c r="D78" s="144">
        <v>0</v>
      </c>
      <c r="E78" s="144">
        <v>8.0000000000000016E-2</v>
      </c>
      <c r="F78" s="144">
        <v>0</v>
      </c>
      <c r="G78" s="144">
        <v>0</v>
      </c>
      <c r="H78" s="144">
        <v>0</v>
      </c>
      <c r="I78" s="144">
        <v>0</v>
      </c>
      <c r="J78" s="144">
        <v>0</v>
      </c>
      <c r="K78" s="144">
        <v>0</v>
      </c>
      <c r="L78" s="144">
        <v>0</v>
      </c>
      <c r="M78" s="144">
        <v>0</v>
      </c>
      <c r="N78" s="144">
        <v>0</v>
      </c>
      <c r="O78" s="144">
        <v>0</v>
      </c>
      <c r="P78" s="144">
        <v>0</v>
      </c>
      <c r="Q78" s="144">
        <v>0</v>
      </c>
      <c r="R78" s="144">
        <v>0</v>
      </c>
      <c r="S78" s="144">
        <v>0</v>
      </c>
      <c r="T78" s="144">
        <v>0</v>
      </c>
      <c r="U78" s="144">
        <v>0</v>
      </c>
      <c r="V78" s="144">
        <v>0</v>
      </c>
      <c r="W78" s="144">
        <v>0</v>
      </c>
      <c r="X78" s="144">
        <v>0</v>
      </c>
      <c r="Y78" s="144">
        <v>0</v>
      </c>
      <c r="Z78" s="144">
        <v>0</v>
      </c>
      <c r="AA78" s="144">
        <v>0</v>
      </c>
      <c r="AB78" s="144">
        <v>0</v>
      </c>
      <c r="AC78" s="144">
        <v>0</v>
      </c>
      <c r="AD78" s="144">
        <v>0</v>
      </c>
      <c r="AE78" s="144">
        <v>0</v>
      </c>
      <c r="AF78" s="144">
        <v>0</v>
      </c>
      <c r="AG78" s="144">
        <v>0</v>
      </c>
      <c r="AH78" s="144">
        <v>0</v>
      </c>
      <c r="AI78" s="144">
        <v>0</v>
      </c>
      <c r="AJ78" s="144">
        <v>0</v>
      </c>
      <c r="AK78" s="144">
        <v>0</v>
      </c>
      <c r="AL78" s="144">
        <v>0</v>
      </c>
      <c r="AM78" s="144">
        <v>0</v>
      </c>
      <c r="AN78" s="144">
        <v>0</v>
      </c>
      <c r="AO78" s="144">
        <v>0</v>
      </c>
      <c r="AP78" s="144">
        <v>0</v>
      </c>
      <c r="AQ78" s="144">
        <v>0.01</v>
      </c>
      <c r="AR78" s="144">
        <v>0</v>
      </c>
      <c r="AS78" s="144">
        <v>0</v>
      </c>
      <c r="AT78" s="144">
        <v>0</v>
      </c>
      <c r="AU78" s="144">
        <v>0</v>
      </c>
      <c r="AV78" s="144">
        <v>0</v>
      </c>
      <c r="AW78" s="144">
        <v>0</v>
      </c>
      <c r="AX78" s="144">
        <v>0</v>
      </c>
      <c r="AY78" s="144">
        <v>0</v>
      </c>
      <c r="AZ78" s="144">
        <v>0</v>
      </c>
      <c r="BA78" s="144">
        <v>0</v>
      </c>
      <c r="BB78" s="144">
        <v>0</v>
      </c>
      <c r="BC78" s="144">
        <v>0</v>
      </c>
      <c r="BD78" s="144">
        <v>0</v>
      </c>
      <c r="BE78" s="144">
        <v>0</v>
      </c>
      <c r="BF78" s="144">
        <v>0</v>
      </c>
      <c r="BG78" s="144">
        <v>0</v>
      </c>
      <c r="BH78" s="144">
        <v>0</v>
      </c>
      <c r="BI78" s="144">
        <v>0</v>
      </c>
      <c r="BJ78" s="144">
        <v>0</v>
      </c>
      <c r="BK78" s="144">
        <v>0</v>
      </c>
      <c r="BL78" s="144">
        <v>0</v>
      </c>
      <c r="BM78" s="144">
        <v>4.9994993621687751E-3</v>
      </c>
      <c r="BN78" s="144">
        <v>0</v>
      </c>
      <c r="BO78" s="144">
        <v>0</v>
      </c>
      <c r="BP78" s="144">
        <v>0</v>
      </c>
      <c r="BQ78" s="144">
        <v>0</v>
      </c>
      <c r="BR78" s="144">
        <v>0</v>
      </c>
      <c r="BS78" s="144">
        <v>0</v>
      </c>
      <c r="BT78" s="144">
        <v>0</v>
      </c>
      <c r="BU78" s="144">
        <v>0</v>
      </c>
      <c r="BV78" s="144">
        <v>0</v>
      </c>
      <c r="BW78" s="144">
        <v>0</v>
      </c>
      <c r="BX78" s="144">
        <v>0</v>
      </c>
      <c r="BY78" s="144">
        <v>0</v>
      </c>
      <c r="BZ78" s="144">
        <v>0</v>
      </c>
      <c r="CA78" s="144">
        <v>0</v>
      </c>
      <c r="CB78" s="144">
        <v>0</v>
      </c>
      <c r="CC78" s="144">
        <v>0</v>
      </c>
      <c r="CD78" s="144">
        <v>0</v>
      </c>
      <c r="CE78" s="144">
        <v>0</v>
      </c>
      <c r="CF78" s="144">
        <v>0</v>
      </c>
      <c r="CG78" s="144">
        <v>0</v>
      </c>
      <c r="CH78" s="144">
        <v>0</v>
      </c>
      <c r="CI78" s="144">
        <v>0</v>
      </c>
      <c r="CJ78" s="144">
        <v>0</v>
      </c>
      <c r="CK78" s="144">
        <v>0</v>
      </c>
      <c r="CL78" s="144">
        <v>0</v>
      </c>
      <c r="CM78" s="144">
        <v>0</v>
      </c>
      <c r="CN78" s="144">
        <v>0</v>
      </c>
      <c r="CO78" s="144">
        <v>0</v>
      </c>
      <c r="CP78" s="144">
        <v>0</v>
      </c>
      <c r="CQ78" s="144">
        <v>0</v>
      </c>
      <c r="CR78" s="144">
        <v>0</v>
      </c>
      <c r="CS78" s="144">
        <v>0</v>
      </c>
      <c r="CT78" s="144">
        <v>0</v>
      </c>
      <c r="CU78" s="144">
        <v>0</v>
      </c>
      <c r="CV78" s="144">
        <v>0</v>
      </c>
    </row>
    <row r="79" spans="1:100" x14ac:dyDescent="0.15">
      <c r="A79" s="180" t="s">
        <v>269</v>
      </c>
      <c r="B79" s="144">
        <v>0</v>
      </c>
      <c r="C79" s="144">
        <v>0</v>
      </c>
      <c r="D79" s="144">
        <v>0</v>
      </c>
      <c r="E79" s="144">
        <v>2.0000000000000004E-2</v>
      </c>
      <c r="F79" s="144">
        <v>0</v>
      </c>
      <c r="G79" s="144">
        <v>0</v>
      </c>
      <c r="H79" s="144">
        <v>0</v>
      </c>
      <c r="I79" s="144">
        <v>0</v>
      </c>
      <c r="J79" s="144">
        <v>0</v>
      </c>
      <c r="K79" s="144">
        <v>0</v>
      </c>
      <c r="L79" s="144">
        <v>0</v>
      </c>
      <c r="M79" s="144">
        <v>0</v>
      </c>
      <c r="N79" s="144">
        <v>0</v>
      </c>
      <c r="O79" s="144">
        <v>0</v>
      </c>
      <c r="P79" s="144">
        <v>0</v>
      </c>
      <c r="Q79" s="144">
        <v>0</v>
      </c>
      <c r="R79" s="144">
        <v>0</v>
      </c>
      <c r="S79" s="144">
        <v>0</v>
      </c>
      <c r="T79" s="144">
        <v>0</v>
      </c>
      <c r="U79" s="144">
        <v>1.7962650008666491E-6</v>
      </c>
      <c r="V79" s="144">
        <v>0</v>
      </c>
      <c r="W79" s="144">
        <v>0</v>
      </c>
      <c r="X79" s="144">
        <v>0</v>
      </c>
      <c r="Y79" s="144">
        <v>0</v>
      </c>
      <c r="Z79" s="144">
        <v>0</v>
      </c>
      <c r="AA79" s="144">
        <v>0</v>
      </c>
      <c r="AB79" s="144">
        <v>0</v>
      </c>
      <c r="AC79" s="144">
        <v>0</v>
      </c>
      <c r="AD79" s="144">
        <v>0</v>
      </c>
      <c r="AE79" s="144">
        <v>0</v>
      </c>
      <c r="AF79" s="144">
        <v>0</v>
      </c>
      <c r="AG79" s="144">
        <v>0</v>
      </c>
      <c r="AH79" s="144">
        <v>0</v>
      </c>
      <c r="AI79" s="144">
        <v>0</v>
      </c>
      <c r="AJ79" s="144">
        <v>0</v>
      </c>
      <c r="AK79" s="144">
        <v>0</v>
      </c>
      <c r="AL79" s="144">
        <v>0</v>
      </c>
      <c r="AM79" s="144">
        <v>0</v>
      </c>
      <c r="AN79" s="144">
        <v>0</v>
      </c>
      <c r="AO79" s="144">
        <v>0</v>
      </c>
      <c r="AP79" s="144">
        <v>0</v>
      </c>
      <c r="AQ79" s="144">
        <v>0.01</v>
      </c>
      <c r="AR79" s="144">
        <v>0</v>
      </c>
      <c r="AS79" s="144">
        <v>0</v>
      </c>
      <c r="AT79" s="144">
        <v>0</v>
      </c>
      <c r="AU79" s="144">
        <v>0</v>
      </c>
      <c r="AV79" s="144">
        <v>0</v>
      </c>
      <c r="AW79" s="144">
        <v>0</v>
      </c>
      <c r="AX79" s="144">
        <v>0</v>
      </c>
      <c r="AY79" s="144">
        <v>0</v>
      </c>
      <c r="AZ79" s="144">
        <v>0</v>
      </c>
      <c r="BA79" s="144">
        <v>0</v>
      </c>
      <c r="BB79" s="144">
        <v>0</v>
      </c>
      <c r="BC79" s="144">
        <v>0</v>
      </c>
      <c r="BD79" s="144">
        <v>0</v>
      </c>
      <c r="BE79" s="144">
        <v>0</v>
      </c>
      <c r="BF79" s="144">
        <v>0</v>
      </c>
      <c r="BG79" s="144">
        <v>0</v>
      </c>
      <c r="BH79" s="144">
        <v>0</v>
      </c>
      <c r="BI79" s="144">
        <v>0</v>
      </c>
      <c r="BJ79" s="144">
        <v>0</v>
      </c>
      <c r="BK79" s="144">
        <v>0</v>
      </c>
      <c r="BL79" s="144">
        <v>0</v>
      </c>
      <c r="BM79" s="144">
        <v>4.9994993621687751E-3</v>
      </c>
      <c r="BN79" s="144">
        <v>0</v>
      </c>
      <c r="BO79" s="144">
        <v>0</v>
      </c>
      <c r="BP79" s="144">
        <v>0</v>
      </c>
      <c r="BQ79" s="144">
        <v>0</v>
      </c>
      <c r="BR79" s="144">
        <v>0</v>
      </c>
      <c r="BS79" s="144">
        <v>0</v>
      </c>
      <c r="BT79" s="144">
        <v>0</v>
      </c>
      <c r="BU79" s="144">
        <v>0</v>
      </c>
      <c r="BV79" s="144">
        <v>0</v>
      </c>
      <c r="BW79" s="144">
        <v>0</v>
      </c>
      <c r="BX79" s="144">
        <v>0</v>
      </c>
      <c r="BY79" s="144">
        <v>0</v>
      </c>
      <c r="BZ79" s="144">
        <v>0.19999999999999996</v>
      </c>
      <c r="CA79" s="144">
        <v>0</v>
      </c>
      <c r="CB79" s="144">
        <v>0</v>
      </c>
      <c r="CC79" s="144">
        <v>0</v>
      </c>
      <c r="CD79" s="144">
        <v>0</v>
      </c>
      <c r="CE79" s="144">
        <v>0</v>
      </c>
      <c r="CF79" s="144">
        <v>0</v>
      </c>
      <c r="CG79" s="144">
        <v>0</v>
      </c>
      <c r="CH79" s="144">
        <v>0</v>
      </c>
      <c r="CI79" s="144">
        <v>0</v>
      </c>
      <c r="CJ79" s="144">
        <v>0</v>
      </c>
      <c r="CK79" s="144">
        <v>0</v>
      </c>
      <c r="CL79" s="144">
        <v>0</v>
      </c>
      <c r="CM79" s="144">
        <v>0</v>
      </c>
      <c r="CN79" s="144">
        <v>0</v>
      </c>
      <c r="CO79" s="144">
        <v>0</v>
      </c>
      <c r="CP79" s="144">
        <v>0</v>
      </c>
      <c r="CQ79" s="144">
        <v>0</v>
      </c>
      <c r="CR79" s="144">
        <v>0</v>
      </c>
      <c r="CS79" s="144">
        <v>0</v>
      </c>
      <c r="CT79" s="144">
        <v>0</v>
      </c>
      <c r="CU79" s="144">
        <v>0</v>
      </c>
      <c r="CV79" s="144">
        <v>0</v>
      </c>
    </row>
    <row r="80" spans="1:100" x14ac:dyDescent="0.15">
      <c r="A80" s="180" t="s">
        <v>270</v>
      </c>
      <c r="B80" s="144">
        <v>1.0206195102918374E-3</v>
      </c>
      <c r="C80" s="144">
        <v>0</v>
      </c>
      <c r="D80" s="144">
        <v>0</v>
      </c>
      <c r="E80" s="144">
        <v>0</v>
      </c>
      <c r="F80" s="144">
        <v>0</v>
      </c>
      <c r="G80" s="144">
        <v>0</v>
      </c>
      <c r="H80" s="144">
        <v>0</v>
      </c>
      <c r="I80" s="144">
        <v>0</v>
      </c>
      <c r="J80" s="144">
        <v>0</v>
      </c>
      <c r="K80" s="144">
        <v>0</v>
      </c>
      <c r="L80" s="144">
        <v>4.2685799453621781E-4</v>
      </c>
      <c r="M80" s="144">
        <v>5.7819400774779966E-4</v>
      </c>
      <c r="N80" s="144">
        <v>0</v>
      </c>
      <c r="O80" s="144">
        <v>3.1247997935016186E-2</v>
      </c>
      <c r="P80" s="144">
        <v>2.8217057545740177E-3</v>
      </c>
      <c r="Q80" s="144">
        <v>2.1506082285756518E-2</v>
      </c>
      <c r="R80" s="144">
        <v>8.4955750090834736E-3</v>
      </c>
      <c r="S80" s="144">
        <v>0.17754049690901991</v>
      </c>
      <c r="T80" s="144">
        <v>1.9892899846625734E-4</v>
      </c>
      <c r="U80" s="144">
        <v>3.9887980019244873E-2</v>
      </c>
      <c r="V80" s="144">
        <v>4.3493220557030719E-2</v>
      </c>
      <c r="W80" s="144">
        <v>6.7804164498898159E-2</v>
      </c>
      <c r="X80" s="144">
        <v>4.6025774973796722E-2</v>
      </c>
      <c r="Y80" s="144">
        <v>0</v>
      </c>
      <c r="Z80" s="144">
        <v>1.837400769223967E-2</v>
      </c>
      <c r="AA80" s="144">
        <v>8.0000000000000016E-2</v>
      </c>
      <c r="AB80" s="144">
        <v>0</v>
      </c>
      <c r="AC80" s="144">
        <v>0</v>
      </c>
      <c r="AD80" s="144">
        <v>7.5723950319176465E-3</v>
      </c>
      <c r="AE80" s="144">
        <v>7.4614329586060587E-3</v>
      </c>
      <c r="AF80" s="144">
        <v>9.0646089665264856E-2</v>
      </c>
      <c r="AG80" s="144">
        <v>9.1731288054104181E-3</v>
      </c>
      <c r="AH80" s="144">
        <v>1.2886947149179298E-2</v>
      </c>
      <c r="AI80" s="144">
        <v>0.28090903264609079</v>
      </c>
      <c r="AJ80" s="144">
        <v>3.583315355962087E-2</v>
      </c>
      <c r="AK80" s="144">
        <v>4.5981012764546171E-2</v>
      </c>
      <c r="AL80" s="144">
        <v>0</v>
      </c>
      <c r="AM80" s="144">
        <v>0</v>
      </c>
      <c r="AN80" s="144">
        <v>1.8871470332854995E-2</v>
      </c>
      <c r="AO80" s="144">
        <v>0</v>
      </c>
      <c r="AP80" s="144">
        <v>0</v>
      </c>
      <c r="AQ80" s="144">
        <v>0.47</v>
      </c>
      <c r="AR80" s="144">
        <v>0</v>
      </c>
      <c r="AS80" s="144">
        <v>0</v>
      </c>
      <c r="AT80" s="144">
        <v>0</v>
      </c>
      <c r="AU80" s="144">
        <v>0</v>
      </c>
      <c r="AV80" s="144">
        <v>0</v>
      </c>
      <c r="AW80" s="144">
        <v>0</v>
      </c>
      <c r="AX80" s="144">
        <v>0</v>
      </c>
      <c r="AY80" s="144">
        <v>0</v>
      </c>
      <c r="AZ80" s="144">
        <v>0</v>
      </c>
      <c r="BA80" s="144">
        <v>0</v>
      </c>
      <c r="BB80" s="144">
        <v>0</v>
      </c>
      <c r="BC80" s="144">
        <v>0</v>
      </c>
      <c r="BD80" s="144">
        <v>0</v>
      </c>
      <c r="BE80" s="144">
        <v>0</v>
      </c>
      <c r="BF80" s="144">
        <v>0</v>
      </c>
      <c r="BG80" s="144">
        <v>0</v>
      </c>
      <c r="BH80" s="144">
        <v>0</v>
      </c>
      <c r="BI80" s="144">
        <v>0</v>
      </c>
      <c r="BJ80" s="144">
        <v>0</v>
      </c>
      <c r="BK80" s="144">
        <v>0.01</v>
      </c>
      <c r="BL80" s="144">
        <v>0</v>
      </c>
      <c r="BM80" s="144">
        <v>1.4998500186506353E-3</v>
      </c>
      <c r="BN80" s="144">
        <v>0</v>
      </c>
      <c r="BO80" s="144">
        <v>0</v>
      </c>
      <c r="BP80" s="144">
        <v>0</v>
      </c>
      <c r="BQ80" s="144">
        <v>0</v>
      </c>
      <c r="BR80" s="144">
        <v>0</v>
      </c>
      <c r="BS80" s="144">
        <v>0</v>
      </c>
      <c r="BT80" s="144">
        <v>0</v>
      </c>
      <c r="BU80" s="144">
        <v>0</v>
      </c>
      <c r="BV80" s="144">
        <v>0</v>
      </c>
      <c r="BW80" s="144">
        <v>0</v>
      </c>
      <c r="BX80" s="144">
        <v>0.77</v>
      </c>
      <c r="BY80" s="144">
        <v>0</v>
      </c>
      <c r="BZ80" s="144">
        <v>0.33999999999999997</v>
      </c>
      <c r="CA80" s="144">
        <v>0.3</v>
      </c>
      <c r="CB80" s="144">
        <v>0.02</v>
      </c>
      <c r="CC80" s="144">
        <v>0</v>
      </c>
      <c r="CD80" s="144">
        <v>0.49999999999999989</v>
      </c>
      <c r="CE80" s="144">
        <v>0</v>
      </c>
      <c r="CF80" s="144">
        <v>0</v>
      </c>
      <c r="CG80" s="144">
        <v>0</v>
      </c>
      <c r="CH80" s="144">
        <v>0</v>
      </c>
      <c r="CI80" s="144">
        <v>0</v>
      </c>
      <c r="CJ80" s="144">
        <v>0</v>
      </c>
      <c r="CK80" s="144">
        <v>0</v>
      </c>
      <c r="CL80" s="144">
        <v>0</v>
      </c>
      <c r="CM80" s="144">
        <v>0</v>
      </c>
      <c r="CN80" s="144">
        <v>0</v>
      </c>
      <c r="CO80" s="144">
        <v>0</v>
      </c>
      <c r="CP80" s="144">
        <v>0</v>
      </c>
      <c r="CQ80" s="144">
        <v>0</v>
      </c>
      <c r="CR80" s="144">
        <v>0</v>
      </c>
      <c r="CS80" s="144">
        <v>0</v>
      </c>
      <c r="CT80" s="144">
        <v>0</v>
      </c>
      <c r="CU80" s="144">
        <v>0</v>
      </c>
      <c r="CV80" s="144">
        <v>0</v>
      </c>
    </row>
    <row r="81" spans="1:100" x14ac:dyDescent="0.15">
      <c r="A81" s="180" t="s">
        <v>271</v>
      </c>
      <c r="B81" s="144">
        <v>0</v>
      </c>
      <c r="C81" s="144">
        <v>0</v>
      </c>
      <c r="D81" s="144">
        <v>0</v>
      </c>
      <c r="E81" s="144">
        <v>0</v>
      </c>
      <c r="F81" s="144">
        <v>0</v>
      </c>
      <c r="G81" s="144">
        <v>0</v>
      </c>
      <c r="H81" s="144">
        <v>0</v>
      </c>
      <c r="I81" s="144">
        <v>0</v>
      </c>
      <c r="J81" s="144">
        <v>0</v>
      </c>
      <c r="K81" s="144">
        <v>0</v>
      </c>
      <c r="L81" s="144">
        <v>0</v>
      </c>
      <c r="M81" s="144">
        <v>0</v>
      </c>
      <c r="N81" s="144">
        <v>0</v>
      </c>
      <c r="O81" s="144">
        <v>0</v>
      </c>
      <c r="P81" s="144">
        <v>0</v>
      </c>
      <c r="Q81" s="144">
        <v>0</v>
      </c>
      <c r="R81" s="144">
        <v>0</v>
      </c>
      <c r="S81" s="144">
        <v>0</v>
      </c>
      <c r="T81" s="144">
        <v>1.9207899851907085E-6</v>
      </c>
      <c r="U81" s="144">
        <v>5.5908340026974256E-5</v>
      </c>
      <c r="V81" s="144">
        <v>0</v>
      </c>
      <c r="W81" s="144">
        <v>0</v>
      </c>
      <c r="X81" s="144">
        <v>0</v>
      </c>
      <c r="Y81" s="144">
        <v>0</v>
      </c>
      <c r="Z81" s="144">
        <v>1.6569400443894241E-4</v>
      </c>
      <c r="AA81" s="144">
        <v>2.0000000000000004E-2</v>
      </c>
      <c r="AB81" s="144">
        <v>0</v>
      </c>
      <c r="AC81" s="144">
        <v>0</v>
      </c>
      <c r="AD81" s="144">
        <v>0</v>
      </c>
      <c r="AE81" s="144">
        <v>0</v>
      </c>
      <c r="AF81" s="144">
        <v>0</v>
      </c>
      <c r="AG81" s="144">
        <v>0</v>
      </c>
      <c r="AH81" s="144">
        <v>0</v>
      </c>
      <c r="AI81" s="144">
        <v>0</v>
      </c>
      <c r="AJ81" s="144">
        <v>0</v>
      </c>
      <c r="AK81" s="144">
        <v>0.67672050683690721</v>
      </c>
      <c r="AL81" s="144">
        <v>0</v>
      </c>
      <c r="AM81" s="144">
        <v>0</v>
      </c>
      <c r="AN81" s="144">
        <v>0</v>
      </c>
      <c r="AO81" s="144">
        <v>0</v>
      </c>
      <c r="AP81" s="144">
        <v>0</v>
      </c>
      <c r="AQ81" s="144">
        <v>0</v>
      </c>
      <c r="AR81" s="144">
        <v>0</v>
      </c>
      <c r="AS81" s="144">
        <v>1.7001869960895698E-3</v>
      </c>
      <c r="AT81" s="144">
        <v>0</v>
      </c>
      <c r="AU81" s="144">
        <v>0</v>
      </c>
      <c r="AV81" s="144">
        <v>0</v>
      </c>
      <c r="AW81" s="144">
        <v>0</v>
      </c>
      <c r="AX81" s="144">
        <v>0</v>
      </c>
      <c r="AY81" s="144">
        <v>0</v>
      </c>
      <c r="AZ81" s="144">
        <v>0</v>
      </c>
      <c r="BA81" s="144">
        <v>0</v>
      </c>
      <c r="BB81" s="144">
        <v>0.05</v>
      </c>
      <c r="BC81" s="144">
        <v>0</v>
      </c>
      <c r="BD81" s="144">
        <v>0</v>
      </c>
      <c r="BE81" s="144">
        <v>0</v>
      </c>
      <c r="BF81" s="144">
        <v>0</v>
      </c>
      <c r="BG81" s="144">
        <v>0</v>
      </c>
      <c r="BH81" s="144">
        <v>0</v>
      </c>
      <c r="BI81" s="144">
        <v>0</v>
      </c>
      <c r="BJ81" s="144">
        <v>0</v>
      </c>
      <c r="BK81" s="144">
        <v>0.01</v>
      </c>
      <c r="BL81" s="144">
        <v>0</v>
      </c>
      <c r="BM81" s="144">
        <v>4.9994997121687794E-4</v>
      </c>
      <c r="BN81" s="144">
        <v>0</v>
      </c>
      <c r="BO81" s="144">
        <v>0</v>
      </c>
      <c r="BP81" s="144">
        <v>0</v>
      </c>
      <c r="BQ81" s="144">
        <v>0</v>
      </c>
      <c r="BR81" s="144">
        <v>0</v>
      </c>
      <c r="BS81" s="144">
        <v>0</v>
      </c>
      <c r="BT81" s="144">
        <v>0</v>
      </c>
      <c r="BU81" s="144">
        <v>0</v>
      </c>
      <c r="BV81" s="144">
        <v>0</v>
      </c>
      <c r="BW81" s="144">
        <v>0</v>
      </c>
      <c r="BX81" s="144">
        <v>0</v>
      </c>
      <c r="BY81" s="144">
        <v>0.77</v>
      </c>
      <c r="BZ81" s="144">
        <v>0</v>
      </c>
      <c r="CA81" s="144">
        <v>0.02</v>
      </c>
      <c r="CB81" s="144">
        <v>0</v>
      </c>
      <c r="CC81" s="144">
        <v>0.02</v>
      </c>
      <c r="CD81" s="144">
        <v>0</v>
      </c>
      <c r="CE81" s="144">
        <v>0.01</v>
      </c>
      <c r="CF81" s="144">
        <v>0</v>
      </c>
      <c r="CG81" s="144">
        <v>0</v>
      </c>
      <c r="CH81" s="144">
        <v>0</v>
      </c>
      <c r="CI81" s="144">
        <v>0</v>
      </c>
      <c r="CJ81" s="144">
        <v>0</v>
      </c>
      <c r="CK81" s="144">
        <v>0</v>
      </c>
      <c r="CL81" s="144">
        <v>0</v>
      </c>
      <c r="CM81" s="144">
        <v>0</v>
      </c>
      <c r="CN81" s="144">
        <v>0</v>
      </c>
      <c r="CO81" s="144">
        <v>0</v>
      </c>
      <c r="CP81" s="144">
        <v>0</v>
      </c>
      <c r="CQ81" s="144">
        <v>0</v>
      </c>
      <c r="CR81" s="144">
        <v>0</v>
      </c>
      <c r="CS81" s="144">
        <v>0</v>
      </c>
      <c r="CT81" s="144">
        <v>0</v>
      </c>
      <c r="CU81" s="144">
        <v>0</v>
      </c>
      <c r="CV81" s="144">
        <v>0</v>
      </c>
    </row>
    <row r="82" spans="1:100" x14ac:dyDescent="0.15">
      <c r="A82" s="180" t="s">
        <v>272</v>
      </c>
      <c r="B82" s="144">
        <v>0</v>
      </c>
      <c r="C82" s="144">
        <v>0</v>
      </c>
      <c r="D82" s="144">
        <v>0</v>
      </c>
      <c r="E82" s="144">
        <v>0</v>
      </c>
      <c r="F82" s="144">
        <v>0</v>
      </c>
      <c r="G82" s="144">
        <v>0</v>
      </c>
      <c r="H82" s="144">
        <v>0</v>
      </c>
      <c r="I82" s="144">
        <v>0</v>
      </c>
      <c r="J82" s="144">
        <v>0</v>
      </c>
      <c r="K82" s="144">
        <v>0</v>
      </c>
      <c r="L82" s="144">
        <v>0</v>
      </c>
      <c r="M82" s="144">
        <v>0</v>
      </c>
      <c r="N82" s="144">
        <v>0</v>
      </c>
      <c r="O82" s="144">
        <v>0</v>
      </c>
      <c r="P82" s="144">
        <v>0</v>
      </c>
      <c r="Q82" s="144">
        <v>0</v>
      </c>
      <c r="R82" s="144">
        <v>0</v>
      </c>
      <c r="S82" s="144">
        <v>0</v>
      </c>
      <c r="T82" s="144">
        <v>0</v>
      </c>
      <c r="U82" s="144">
        <v>0</v>
      </c>
      <c r="V82" s="144">
        <v>0</v>
      </c>
      <c r="W82" s="144">
        <v>0</v>
      </c>
      <c r="X82" s="144">
        <v>0</v>
      </c>
      <c r="Y82" s="144">
        <v>0</v>
      </c>
      <c r="Z82" s="144">
        <v>0</v>
      </c>
      <c r="AA82" s="144">
        <v>0</v>
      </c>
      <c r="AB82" s="144">
        <v>0</v>
      </c>
      <c r="AC82" s="144">
        <v>0</v>
      </c>
      <c r="AD82" s="144">
        <v>0</v>
      </c>
      <c r="AE82" s="144">
        <v>0</v>
      </c>
      <c r="AF82" s="144">
        <v>0</v>
      </c>
      <c r="AG82" s="144">
        <v>0</v>
      </c>
      <c r="AH82" s="144">
        <v>0</v>
      </c>
      <c r="AI82" s="144">
        <v>0</v>
      </c>
      <c r="AJ82" s="144">
        <v>0</v>
      </c>
      <c r="AK82" s="144">
        <v>0</v>
      </c>
      <c r="AL82" s="144">
        <v>0</v>
      </c>
      <c r="AM82" s="144">
        <v>0</v>
      </c>
      <c r="AN82" s="144">
        <v>0</v>
      </c>
      <c r="AO82" s="144">
        <v>0</v>
      </c>
      <c r="AP82" s="144">
        <v>0</v>
      </c>
      <c r="AQ82" s="144">
        <v>0.01</v>
      </c>
      <c r="AR82" s="144">
        <v>0</v>
      </c>
      <c r="AS82" s="144">
        <v>0</v>
      </c>
      <c r="AT82" s="144">
        <v>0</v>
      </c>
      <c r="AU82" s="144">
        <v>0</v>
      </c>
      <c r="AV82" s="144">
        <v>0</v>
      </c>
      <c r="AW82" s="144">
        <v>0</v>
      </c>
      <c r="AX82" s="144">
        <v>0</v>
      </c>
      <c r="AY82" s="144">
        <v>0</v>
      </c>
      <c r="AZ82" s="144">
        <v>0</v>
      </c>
      <c r="BA82" s="144">
        <v>0</v>
      </c>
      <c r="BB82" s="144">
        <v>0</v>
      </c>
      <c r="BC82" s="144">
        <v>0</v>
      </c>
      <c r="BD82" s="144">
        <v>0</v>
      </c>
      <c r="BE82" s="144">
        <v>0</v>
      </c>
      <c r="BF82" s="144">
        <v>0</v>
      </c>
      <c r="BG82" s="144">
        <v>0</v>
      </c>
      <c r="BH82" s="144">
        <v>0</v>
      </c>
      <c r="BI82" s="144">
        <v>0</v>
      </c>
      <c r="BJ82" s="144">
        <v>0</v>
      </c>
      <c r="BK82" s="144">
        <v>0</v>
      </c>
      <c r="BL82" s="144">
        <v>0</v>
      </c>
      <c r="BM82" s="144">
        <v>9.9989991243375556E-5</v>
      </c>
      <c r="BN82" s="144">
        <v>0</v>
      </c>
      <c r="BO82" s="144">
        <v>0</v>
      </c>
      <c r="BP82" s="144">
        <v>0</v>
      </c>
      <c r="BQ82" s="144">
        <v>0</v>
      </c>
      <c r="BR82" s="144">
        <v>0</v>
      </c>
      <c r="BS82" s="144">
        <v>0</v>
      </c>
      <c r="BT82" s="144">
        <v>0</v>
      </c>
      <c r="BU82" s="144">
        <v>0</v>
      </c>
      <c r="BV82" s="144">
        <v>0</v>
      </c>
      <c r="BW82" s="144">
        <v>0</v>
      </c>
      <c r="BX82" s="144">
        <v>0</v>
      </c>
      <c r="BY82" s="144">
        <v>0</v>
      </c>
      <c r="BZ82" s="144">
        <v>9.9999999999999985E-3</v>
      </c>
      <c r="CA82" s="144">
        <v>0.01</v>
      </c>
      <c r="CB82" s="144">
        <v>0</v>
      </c>
      <c r="CC82" s="144">
        <v>0</v>
      </c>
      <c r="CD82" s="144">
        <v>0</v>
      </c>
      <c r="CE82" s="144">
        <v>0</v>
      </c>
      <c r="CF82" s="144">
        <v>0</v>
      </c>
      <c r="CG82" s="144">
        <v>0</v>
      </c>
      <c r="CH82" s="144">
        <v>0</v>
      </c>
      <c r="CI82" s="144">
        <v>0</v>
      </c>
      <c r="CJ82" s="144">
        <v>0</v>
      </c>
      <c r="CK82" s="144">
        <v>0</v>
      </c>
      <c r="CL82" s="144">
        <v>0</v>
      </c>
      <c r="CM82" s="144">
        <v>0</v>
      </c>
      <c r="CN82" s="144">
        <v>0</v>
      </c>
      <c r="CO82" s="144">
        <v>0</v>
      </c>
      <c r="CP82" s="144">
        <v>0</v>
      </c>
      <c r="CQ82" s="144">
        <v>0</v>
      </c>
      <c r="CR82" s="144">
        <v>0</v>
      </c>
      <c r="CS82" s="144">
        <v>0</v>
      </c>
      <c r="CT82" s="144">
        <v>0</v>
      </c>
      <c r="CU82" s="144">
        <v>0</v>
      </c>
      <c r="CV82" s="144">
        <v>0</v>
      </c>
    </row>
    <row r="83" spans="1:100" x14ac:dyDescent="0.15">
      <c r="A83" s="180" t="s">
        <v>273</v>
      </c>
      <c r="B83" s="144">
        <v>0</v>
      </c>
      <c r="C83" s="144">
        <v>0</v>
      </c>
      <c r="D83" s="144">
        <v>0</v>
      </c>
      <c r="E83" s="144">
        <v>0</v>
      </c>
      <c r="F83" s="144">
        <v>0</v>
      </c>
      <c r="G83" s="144">
        <v>0</v>
      </c>
      <c r="H83" s="144">
        <v>0</v>
      </c>
      <c r="I83" s="144">
        <v>0</v>
      </c>
      <c r="J83" s="144">
        <v>0</v>
      </c>
      <c r="K83" s="144">
        <v>0</v>
      </c>
      <c r="L83" s="144">
        <v>0</v>
      </c>
      <c r="M83" s="144">
        <v>0</v>
      </c>
      <c r="N83" s="144">
        <v>0</v>
      </c>
      <c r="O83" s="144">
        <v>0</v>
      </c>
      <c r="P83" s="144">
        <v>0</v>
      </c>
      <c r="Q83" s="144">
        <v>0</v>
      </c>
      <c r="R83" s="144">
        <v>0</v>
      </c>
      <c r="S83" s="144">
        <v>0</v>
      </c>
      <c r="T83" s="144">
        <v>0</v>
      </c>
      <c r="U83" s="144">
        <v>0</v>
      </c>
      <c r="V83" s="144">
        <v>0</v>
      </c>
      <c r="W83" s="144">
        <v>0</v>
      </c>
      <c r="X83" s="144">
        <v>0</v>
      </c>
      <c r="Y83" s="144">
        <v>0</v>
      </c>
      <c r="Z83" s="144">
        <v>0</v>
      </c>
      <c r="AA83" s="144">
        <v>0</v>
      </c>
      <c r="AB83" s="144">
        <v>0</v>
      </c>
      <c r="AC83" s="144">
        <v>0</v>
      </c>
      <c r="AD83" s="144">
        <v>0</v>
      </c>
      <c r="AE83" s="144">
        <v>0</v>
      </c>
      <c r="AF83" s="144">
        <v>0</v>
      </c>
      <c r="AG83" s="144">
        <v>0</v>
      </c>
      <c r="AH83" s="144">
        <v>0</v>
      </c>
      <c r="AI83" s="144">
        <v>0</v>
      </c>
      <c r="AJ83" s="144">
        <v>0</v>
      </c>
      <c r="AK83" s="144">
        <v>0</v>
      </c>
      <c r="AL83" s="144">
        <v>0</v>
      </c>
      <c r="AM83" s="144">
        <v>0</v>
      </c>
      <c r="AN83" s="144">
        <v>0</v>
      </c>
      <c r="AO83" s="144">
        <v>0</v>
      </c>
      <c r="AP83" s="144">
        <v>0</v>
      </c>
      <c r="AQ83" s="144">
        <v>0</v>
      </c>
      <c r="AR83" s="144">
        <v>0</v>
      </c>
      <c r="AS83" s="144">
        <v>0</v>
      </c>
      <c r="AT83" s="144">
        <v>0</v>
      </c>
      <c r="AU83" s="144">
        <v>0</v>
      </c>
      <c r="AV83" s="144">
        <v>0</v>
      </c>
      <c r="AW83" s="144">
        <v>0</v>
      </c>
      <c r="AX83" s="144">
        <v>0</v>
      </c>
      <c r="AY83" s="144">
        <v>0</v>
      </c>
      <c r="AZ83" s="144">
        <v>0</v>
      </c>
      <c r="BA83" s="144">
        <v>0</v>
      </c>
      <c r="BB83" s="144">
        <v>0.01</v>
      </c>
      <c r="BC83" s="144">
        <v>0</v>
      </c>
      <c r="BD83" s="144">
        <v>0</v>
      </c>
      <c r="BE83" s="144">
        <v>0</v>
      </c>
      <c r="BF83" s="144">
        <v>0</v>
      </c>
      <c r="BG83" s="144">
        <v>0</v>
      </c>
      <c r="BH83" s="144">
        <v>0</v>
      </c>
      <c r="BI83" s="144">
        <v>0</v>
      </c>
      <c r="BJ83" s="144">
        <v>0</v>
      </c>
      <c r="BK83" s="144">
        <v>0</v>
      </c>
      <c r="BL83" s="144">
        <v>0</v>
      </c>
      <c r="BM83" s="144">
        <v>0</v>
      </c>
      <c r="BN83" s="144">
        <v>0</v>
      </c>
      <c r="BO83" s="144">
        <v>0</v>
      </c>
      <c r="BP83" s="144">
        <v>0</v>
      </c>
      <c r="BQ83" s="144">
        <v>0</v>
      </c>
      <c r="BR83" s="144">
        <v>0</v>
      </c>
      <c r="BS83" s="144">
        <v>0</v>
      </c>
      <c r="BT83" s="144">
        <v>0</v>
      </c>
      <c r="BU83" s="144">
        <v>0</v>
      </c>
      <c r="BV83" s="144">
        <v>0</v>
      </c>
      <c r="BW83" s="144">
        <v>0</v>
      </c>
      <c r="BX83" s="144">
        <v>0</v>
      </c>
      <c r="BY83" s="144">
        <v>0</v>
      </c>
      <c r="BZ83" s="144">
        <v>0</v>
      </c>
      <c r="CA83" s="144">
        <v>0</v>
      </c>
      <c r="CB83" s="144">
        <v>0</v>
      </c>
      <c r="CC83" s="144">
        <v>0</v>
      </c>
      <c r="CD83" s="144">
        <v>0</v>
      </c>
      <c r="CE83" s="144">
        <v>0</v>
      </c>
      <c r="CF83" s="144">
        <v>0</v>
      </c>
      <c r="CG83" s="144">
        <v>0</v>
      </c>
      <c r="CH83" s="144">
        <v>0</v>
      </c>
      <c r="CI83" s="144">
        <v>0</v>
      </c>
      <c r="CJ83" s="144">
        <v>0</v>
      </c>
      <c r="CK83" s="144">
        <v>0</v>
      </c>
      <c r="CL83" s="144">
        <v>0</v>
      </c>
      <c r="CM83" s="144">
        <v>0</v>
      </c>
      <c r="CN83" s="144">
        <v>0</v>
      </c>
      <c r="CO83" s="144">
        <v>0</v>
      </c>
      <c r="CP83" s="144">
        <v>0</v>
      </c>
      <c r="CQ83" s="144">
        <v>0</v>
      </c>
      <c r="CR83" s="144">
        <v>0</v>
      </c>
      <c r="CS83" s="144">
        <v>0</v>
      </c>
      <c r="CT83" s="144">
        <v>0</v>
      </c>
      <c r="CU83" s="144">
        <v>0</v>
      </c>
      <c r="CV83" s="144">
        <v>0</v>
      </c>
    </row>
    <row r="84" spans="1:100" x14ac:dyDescent="0.15">
      <c r="A84" s="180" t="s">
        <v>274</v>
      </c>
      <c r="B84" s="144">
        <v>0</v>
      </c>
      <c r="C84" s="144">
        <v>0</v>
      </c>
      <c r="D84" s="144">
        <v>0</v>
      </c>
      <c r="E84" s="144">
        <v>0</v>
      </c>
      <c r="F84" s="144">
        <v>0</v>
      </c>
      <c r="G84" s="144">
        <v>0</v>
      </c>
      <c r="H84" s="144">
        <v>0</v>
      </c>
      <c r="I84" s="144">
        <v>0</v>
      </c>
      <c r="J84" s="144">
        <v>0</v>
      </c>
      <c r="K84" s="144">
        <v>0</v>
      </c>
      <c r="L84" s="144">
        <v>1.1148899857294086E-6</v>
      </c>
      <c r="M84" s="144">
        <v>0</v>
      </c>
      <c r="N84" s="144">
        <v>0</v>
      </c>
      <c r="O84" s="144">
        <v>1.670290172562252E-2</v>
      </c>
      <c r="P84" s="144">
        <v>0</v>
      </c>
      <c r="Q84" s="144">
        <v>1.0455851393075088E-3</v>
      </c>
      <c r="R84" s="144">
        <v>0</v>
      </c>
      <c r="S84" s="144">
        <v>3.6206099369651806E-6</v>
      </c>
      <c r="T84" s="144">
        <v>0</v>
      </c>
      <c r="U84" s="144">
        <v>3.3812130016313436E-6</v>
      </c>
      <c r="V84" s="144">
        <v>0</v>
      </c>
      <c r="W84" s="144">
        <v>0</v>
      </c>
      <c r="X84" s="144">
        <v>0</v>
      </c>
      <c r="Y84" s="144">
        <v>0</v>
      </c>
      <c r="Z84" s="144">
        <v>0</v>
      </c>
      <c r="AA84" s="144">
        <v>0</v>
      </c>
      <c r="AB84" s="144">
        <v>0</v>
      </c>
      <c r="AC84" s="144">
        <v>0</v>
      </c>
      <c r="AD84" s="144">
        <v>0</v>
      </c>
      <c r="AE84" s="144">
        <v>1.3547128124844326E-6</v>
      </c>
      <c r="AF84" s="144">
        <v>1.1257243958429589E-3</v>
      </c>
      <c r="AG84" s="144">
        <v>6.3853408645477645E-5</v>
      </c>
      <c r="AH84" s="144">
        <v>0</v>
      </c>
      <c r="AI84" s="144">
        <v>1.7384601839984585E-2</v>
      </c>
      <c r="AJ84" s="144">
        <v>0</v>
      </c>
      <c r="AK84" s="144">
        <v>1.99917450019766E-3</v>
      </c>
      <c r="AL84" s="144">
        <v>0</v>
      </c>
      <c r="AM84" s="144">
        <v>0</v>
      </c>
      <c r="AN84" s="144">
        <v>0.1117361879708029</v>
      </c>
      <c r="AO84" s="144">
        <v>0</v>
      </c>
      <c r="AP84" s="144">
        <v>0</v>
      </c>
      <c r="AQ84" s="144">
        <v>0</v>
      </c>
      <c r="AR84" s="144">
        <v>0</v>
      </c>
      <c r="AS84" s="144">
        <v>8.8099695497370692E-2</v>
      </c>
      <c r="AT84" s="144">
        <v>0</v>
      </c>
      <c r="AU84" s="144">
        <v>0</v>
      </c>
      <c r="AV84" s="144">
        <v>0</v>
      </c>
      <c r="AW84" s="144">
        <v>0</v>
      </c>
      <c r="AX84" s="144">
        <v>0</v>
      </c>
      <c r="AY84" s="144">
        <v>0</v>
      </c>
      <c r="AZ84" s="144">
        <v>0</v>
      </c>
      <c r="BA84" s="144">
        <v>0</v>
      </c>
      <c r="BB84" s="144">
        <v>7.0000000000000007E-2</v>
      </c>
      <c r="BC84" s="144">
        <v>0</v>
      </c>
      <c r="BD84" s="144">
        <v>0</v>
      </c>
      <c r="BE84" s="144">
        <v>0</v>
      </c>
      <c r="BF84" s="144">
        <v>0</v>
      </c>
      <c r="BG84" s="144">
        <v>0</v>
      </c>
      <c r="BH84" s="144">
        <v>0</v>
      </c>
      <c r="BI84" s="144">
        <v>0</v>
      </c>
      <c r="BJ84" s="144">
        <v>0</v>
      </c>
      <c r="BK84" s="144">
        <v>0</v>
      </c>
      <c r="BL84" s="144">
        <v>0</v>
      </c>
      <c r="BM84" s="144">
        <v>0</v>
      </c>
      <c r="BN84" s="144">
        <v>0</v>
      </c>
      <c r="BO84" s="144">
        <v>0</v>
      </c>
      <c r="BP84" s="144">
        <v>0</v>
      </c>
      <c r="BQ84" s="144">
        <v>0</v>
      </c>
      <c r="BR84" s="144">
        <v>0</v>
      </c>
      <c r="BS84" s="144">
        <v>0</v>
      </c>
      <c r="BT84" s="144">
        <v>0</v>
      </c>
      <c r="BU84" s="144">
        <v>0</v>
      </c>
      <c r="BV84" s="144">
        <v>0</v>
      </c>
      <c r="BW84" s="144">
        <v>0</v>
      </c>
      <c r="BX84" s="144">
        <v>0</v>
      </c>
      <c r="BY84" s="144">
        <v>0</v>
      </c>
      <c r="BZ84" s="144">
        <v>0</v>
      </c>
      <c r="CA84" s="144">
        <v>0</v>
      </c>
      <c r="CB84" s="144">
        <v>0</v>
      </c>
      <c r="CC84" s="144">
        <v>0</v>
      </c>
      <c r="CD84" s="144">
        <v>0</v>
      </c>
      <c r="CE84" s="144">
        <v>0</v>
      </c>
      <c r="CF84" s="144">
        <v>0</v>
      </c>
      <c r="CG84" s="144">
        <v>0</v>
      </c>
      <c r="CH84" s="144">
        <v>0</v>
      </c>
      <c r="CI84" s="144">
        <v>0</v>
      </c>
      <c r="CJ84" s="144">
        <v>0</v>
      </c>
      <c r="CK84" s="144">
        <v>0</v>
      </c>
      <c r="CL84" s="144">
        <v>0</v>
      </c>
      <c r="CM84" s="144">
        <v>0</v>
      </c>
      <c r="CN84" s="144">
        <v>0</v>
      </c>
      <c r="CO84" s="144">
        <v>0</v>
      </c>
      <c r="CP84" s="144">
        <v>0</v>
      </c>
      <c r="CQ84" s="144">
        <v>0</v>
      </c>
      <c r="CR84" s="144">
        <v>0</v>
      </c>
      <c r="CS84" s="144">
        <v>0</v>
      </c>
      <c r="CT84" s="144">
        <v>0</v>
      </c>
      <c r="CU84" s="144">
        <v>0</v>
      </c>
      <c r="CV84" s="144">
        <v>0</v>
      </c>
    </row>
    <row r="85" spans="1:100" x14ac:dyDescent="0.15">
      <c r="A85" s="180" t="s">
        <v>275</v>
      </c>
      <c r="B85" s="144">
        <v>0</v>
      </c>
      <c r="C85" s="144">
        <v>0</v>
      </c>
      <c r="D85" s="144">
        <v>0</v>
      </c>
      <c r="E85" s="144">
        <v>0</v>
      </c>
      <c r="F85" s="144">
        <v>0</v>
      </c>
      <c r="G85" s="144">
        <v>0</v>
      </c>
      <c r="H85" s="144">
        <v>0</v>
      </c>
      <c r="I85" s="144">
        <v>0</v>
      </c>
      <c r="J85" s="144">
        <v>0</v>
      </c>
      <c r="K85" s="144">
        <v>0</v>
      </c>
      <c r="L85" s="144">
        <v>0</v>
      </c>
      <c r="M85" s="144">
        <v>0</v>
      </c>
      <c r="N85" s="144">
        <v>0</v>
      </c>
      <c r="O85" s="144">
        <v>0</v>
      </c>
      <c r="P85" s="144">
        <v>0</v>
      </c>
      <c r="Q85" s="144">
        <v>0</v>
      </c>
      <c r="R85" s="144">
        <v>0</v>
      </c>
      <c r="S85" s="144">
        <v>0</v>
      </c>
      <c r="T85" s="144">
        <v>0</v>
      </c>
      <c r="U85" s="144">
        <v>0</v>
      </c>
      <c r="V85" s="144">
        <v>0</v>
      </c>
      <c r="W85" s="144">
        <v>0</v>
      </c>
      <c r="X85" s="144">
        <v>0</v>
      </c>
      <c r="Y85" s="144">
        <v>0</v>
      </c>
      <c r="Z85" s="144">
        <v>0</v>
      </c>
      <c r="AA85" s="144">
        <v>0</v>
      </c>
      <c r="AB85" s="144">
        <v>0</v>
      </c>
      <c r="AC85" s="144">
        <v>0</v>
      </c>
      <c r="AD85" s="144">
        <v>0</v>
      </c>
      <c r="AE85" s="144">
        <v>0</v>
      </c>
      <c r="AF85" s="144">
        <v>0</v>
      </c>
      <c r="AG85" s="144">
        <v>0</v>
      </c>
      <c r="AH85" s="144">
        <v>0</v>
      </c>
      <c r="AI85" s="144">
        <v>0</v>
      </c>
      <c r="AJ85" s="144">
        <v>0</v>
      </c>
      <c r="AK85" s="144">
        <v>0</v>
      </c>
      <c r="AL85" s="144">
        <v>0</v>
      </c>
      <c r="AM85" s="144">
        <v>0</v>
      </c>
      <c r="AN85" s="144">
        <v>0</v>
      </c>
      <c r="AO85" s="144">
        <v>0</v>
      </c>
      <c r="AP85" s="144">
        <v>0</v>
      </c>
      <c r="AQ85" s="144">
        <v>0</v>
      </c>
      <c r="AR85" s="144">
        <v>9.5980810441511744E-2</v>
      </c>
      <c r="AS85" s="144">
        <v>0</v>
      </c>
      <c r="AT85" s="144">
        <v>0</v>
      </c>
      <c r="AU85" s="144">
        <v>0</v>
      </c>
      <c r="AV85" s="144">
        <v>0</v>
      </c>
      <c r="AW85" s="144">
        <v>0</v>
      </c>
      <c r="AX85" s="144">
        <v>0</v>
      </c>
      <c r="AY85" s="144">
        <v>0</v>
      </c>
      <c r="AZ85" s="144">
        <v>9.9999999999999985E-3</v>
      </c>
      <c r="BA85" s="144">
        <v>9.9964748282605608E-3</v>
      </c>
      <c r="BB85" s="144">
        <v>0</v>
      </c>
      <c r="BC85" s="144">
        <v>4.9999999999999989E-2</v>
      </c>
      <c r="BD85" s="144">
        <v>4.9987359005901393E-2</v>
      </c>
      <c r="BE85" s="144">
        <v>0</v>
      </c>
      <c r="BF85" s="144">
        <v>5.0012578855391211E-2</v>
      </c>
      <c r="BG85" s="144">
        <v>0</v>
      </c>
      <c r="BH85" s="144">
        <v>0.06</v>
      </c>
      <c r="BI85" s="144">
        <v>1.9999999999999997E-2</v>
      </c>
      <c r="BJ85" s="144">
        <v>0</v>
      </c>
      <c r="BK85" s="144">
        <v>0.1</v>
      </c>
      <c r="BL85" s="144">
        <v>0</v>
      </c>
      <c r="BM85" s="144">
        <v>0.26097387424521018</v>
      </c>
      <c r="BN85" s="144">
        <v>0.1</v>
      </c>
      <c r="BO85" s="144">
        <v>0</v>
      </c>
      <c r="BP85" s="144">
        <v>0.18999999999999995</v>
      </c>
      <c r="BQ85" s="144">
        <v>0</v>
      </c>
      <c r="BR85" s="144">
        <v>0.15</v>
      </c>
      <c r="BS85" s="144">
        <v>0</v>
      </c>
      <c r="BT85" s="144">
        <v>0.2</v>
      </c>
      <c r="BU85" s="144">
        <v>0</v>
      </c>
      <c r="BV85" s="144">
        <v>0.35</v>
      </c>
      <c r="BW85" s="144">
        <v>0</v>
      </c>
      <c r="BX85" s="144">
        <v>0.23</v>
      </c>
      <c r="BY85" s="144">
        <v>0</v>
      </c>
      <c r="BZ85" s="144">
        <v>4.9999999999999989E-2</v>
      </c>
      <c r="CA85" s="144">
        <v>0.05</v>
      </c>
      <c r="CB85" s="144">
        <v>0.1</v>
      </c>
      <c r="CC85" s="144">
        <v>0</v>
      </c>
      <c r="CD85" s="144">
        <v>5.9999999999999984E-2</v>
      </c>
      <c r="CE85" s="144">
        <v>0</v>
      </c>
      <c r="CF85" s="144">
        <v>0</v>
      </c>
      <c r="CG85" s="144">
        <v>0</v>
      </c>
      <c r="CH85" s="144">
        <v>0</v>
      </c>
      <c r="CI85" s="144">
        <v>0</v>
      </c>
      <c r="CJ85" s="144">
        <v>0</v>
      </c>
      <c r="CK85" s="144">
        <v>0</v>
      </c>
      <c r="CL85" s="144">
        <v>0</v>
      </c>
      <c r="CM85" s="144">
        <v>0</v>
      </c>
      <c r="CN85" s="144">
        <v>0</v>
      </c>
      <c r="CO85" s="144">
        <v>0</v>
      </c>
      <c r="CP85" s="144">
        <v>0</v>
      </c>
      <c r="CQ85" s="144">
        <v>0</v>
      </c>
      <c r="CR85" s="144">
        <v>0</v>
      </c>
      <c r="CS85" s="144">
        <v>0</v>
      </c>
      <c r="CT85" s="144">
        <v>0</v>
      </c>
      <c r="CU85" s="144">
        <v>0</v>
      </c>
      <c r="CV85" s="144">
        <v>0</v>
      </c>
    </row>
    <row r="86" spans="1:100" x14ac:dyDescent="0.15">
      <c r="A86" s="180" t="s">
        <v>276</v>
      </c>
      <c r="B86" s="144">
        <v>0</v>
      </c>
      <c r="C86" s="144">
        <v>0</v>
      </c>
      <c r="D86" s="144">
        <v>0</v>
      </c>
      <c r="E86" s="144">
        <v>0</v>
      </c>
      <c r="F86" s="144">
        <v>0</v>
      </c>
      <c r="G86" s="144">
        <v>0</v>
      </c>
      <c r="H86" s="144">
        <v>0</v>
      </c>
      <c r="I86" s="144">
        <v>0</v>
      </c>
      <c r="J86" s="144">
        <v>0</v>
      </c>
      <c r="K86" s="144">
        <v>0</v>
      </c>
      <c r="L86" s="144">
        <v>0</v>
      </c>
      <c r="M86" s="144">
        <v>0</v>
      </c>
      <c r="N86" s="144">
        <v>0</v>
      </c>
      <c r="O86" s="144">
        <v>0</v>
      </c>
      <c r="P86" s="144">
        <v>0</v>
      </c>
      <c r="Q86" s="144">
        <v>0</v>
      </c>
      <c r="R86" s="144">
        <v>0</v>
      </c>
      <c r="S86" s="144">
        <v>0</v>
      </c>
      <c r="T86" s="144">
        <v>0</v>
      </c>
      <c r="U86" s="144">
        <v>0</v>
      </c>
      <c r="V86" s="144">
        <v>0</v>
      </c>
      <c r="W86" s="144">
        <v>0</v>
      </c>
      <c r="X86" s="144">
        <v>0</v>
      </c>
      <c r="Y86" s="144">
        <v>0</v>
      </c>
      <c r="Z86" s="144">
        <v>4.7865205782308871E-2</v>
      </c>
      <c r="AA86" s="144">
        <v>0</v>
      </c>
      <c r="AB86" s="144">
        <v>0</v>
      </c>
      <c r="AC86" s="144">
        <v>0</v>
      </c>
      <c r="AD86" s="144">
        <v>0</v>
      </c>
      <c r="AE86" s="144">
        <v>0</v>
      </c>
      <c r="AF86" s="144">
        <v>0</v>
      </c>
      <c r="AG86" s="144">
        <v>0</v>
      </c>
      <c r="AH86" s="144">
        <v>0</v>
      </c>
      <c r="AI86" s="144">
        <v>0</v>
      </c>
      <c r="AJ86" s="144">
        <v>0</v>
      </c>
      <c r="AK86" s="144">
        <v>0</v>
      </c>
      <c r="AL86" s="144">
        <v>0</v>
      </c>
      <c r="AM86" s="144">
        <v>0</v>
      </c>
      <c r="AN86" s="144">
        <v>0</v>
      </c>
      <c r="AO86" s="144">
        <v>0.1</v>
      </c>
      <c r="AP86" s="144">
        <v>0</v>
      </c>
      <c r="AQ86" s="144">
        <v>0</v>
      </c>
      <c r="AR86" s="144">
        <v>1.9996000091981603E-2</v>
      </c>
      <c r="AS86" s="144">
        <v>0</v>
      </c>
      <c r="AT86" s="144">
        <v>0</v>
      </c>
      <c r="AU86" s="144">
        <v>0</v>
      </c>
      <c r="AV86" s="144">
        <v>0</v>
      </c>
      <c r="AW86" s="144">
        <v>0</v>
      </c>
      <c r="AX86" s="144">
        <v>0</v>
      </c>
      <c r="AY86" s="144">
        <v>0</v>
      </c>
      <c r="AZ86" s="144">
        <v>0</v>
      </c>
      <c r="BA86" s="144">
        <v>0</v>
      </c>
      <c r="BB86" s="144">
        <v>0.08</v>
      </c>
      <c r="BC86" s="144">
        <v>4.9999999999999989E-2</v>
      </c>
      <c r="BD86" s="144">
        <v>4.9987359005901393E-2</v>
      </c>
      <c r="BE86" s="144">
        <v>0</v>
      </c>
      <c r="BF86" s="144">
        <v>5.0012578855391211E-2</v>
      </c>
      <c r="BG86" s="144">
        <v>0</v>
      </c>
      <c r="BH86" s="144">
        <v>0.03</v>
      </c>
      <c r="BI86" s="144">
        <v>0</v>
      </c>
      <c r="BJ86" s="144">
        <v>0</v>
      </c>
      <c r="BK86" s="144">
        <v>0.01</v>
      </c>
      <c r="BL86" s="144">
        <v>0</v>
      </c>
      <c r="BM86" s="144">
        <v>4.9994998321687814E-2</v>
      </c>
      <c r="BN86" s="144">
        <v>0</v>
      </c>
      <c r="BO86" s="144">
        <v>0.1</v>
      </c>
      <c r="BP86" s="144">
        <v>0</v>
      </c>
      <c r="BQ86" s="144">
        <v>0.24</v>
      </c>
      <c r="BR86" s="144">
        <v>0</v>
      </c>
      <c r="BS86" s="144">
        <v>0.15</v>
      </c>
      <c r="BT86" s="144">
        <v>0</v>
      </c>
      <c r="BU86" s="144">
        <v>0.2</v>
      </c>
      <c r="BV86" s="144">
        <v>0</v>
      </c>
      <c r="BW86" s="144">
        <v>0.35</v>
      </c>
      <c r="BX86" s="144">
        <v>0</v>
      </c>
      <c r="BY86" s="144">
        <v>0.23</v>
      </c>
      <c r="BZ86" s="144">
        <v>0</v>
      </c>
      <c r="CA86" s="144">
        <v>0.01</v>
      </c>
      <c r="CB86" s="144">
        <v>0</v>
      </c>
      <c r="CC86" s="144">
        <v>0.1</v>
      </c>
      <c r="CD86" s="144">
        <v>0</v>
      </c>
      <c r="CE86" s="144">
        <v>0.4</v>
      </c>
      <c r="CF86" s="144">
        <v>0</v>
      </c>
      <c r="CG86" s="144">
        <v>0</v>
      </c>
      <c r="CH86" s="144">
        <v>0</v>
      </c>
      <c r="CI86" s="144">
        <v>0</v>
      </c>
      <c r="CJ86" s="144">
        <v>0</v>
      </c>
      <c r="CK86" s="144">
        <v>0</v>
      </c>
      <c r="CL86" s="144">
        <v>0</v>
      </c>
      <c r="CM86" s="144">
        <v>0</v>
      </c>
      <c r="CN86" s="144">
        <v>0</v>
      </c>
      <c r="CO86" s="144">
        <v>0</v>
      </c>
      <c r="CP86" s="144">
        <v>0</v>
      </c>
      <c r="CQ86" s="144">
        <v>0</v>
      </c>
      <c r="CR86" s="144">
        <v>0</v>
      </c>
      <c r="CS86" s="144">
        <v>0</v>
      </c>
      <c r="CT86" s="144">
        <v>0</v>
      </c>
      <c r="CU86" s="144">
        <v>0</v>
      </c>
      <c r="CV86" s="144">
        <v>0</v>
      </c>
    </row>
    <row r="87" spans="1:100" x14ac:dyDescent="0.15">
      <c r="A87" s="180" t="s">
        <v>277</v>
      </c>
      <c r="B87" s="144">
        <v>0</v>
      </c>
      <c r="C87" s="144">
        <v>0</v>
      </c>
      <c r="D87" s="144">
        <v>0</v>
      </c>
      <c r="E87" s="144">
        <v>0</v>
      </c>
      <c r="F87" s="144">
        <v>0</v>
      </c>
      <c r="G87" s="144">
        <v>0</v>
      </c>
      <c r="H87" s="144">
        <v>0</v>
      </c>
      <c r="I87" s="144">
        <v>0</v>
      </c>
      <c r="J87" s="144">
        <v>0</v>
      </c>
      <c r="K87" s="144">
        <v>0</v>
      </c>
      <c r="L87" s="144">
        <v>0</v>
      </c>
      <c r="M87" s="144">
        <v>0</v>
      </c>
      <c r="N87" s="144">
        <v>0</v>
      </c>
      <c r="O87" s="144">
        <v>0</v>
      </c>
      <c r="P87" s="144">
        <v>0</v>
      </c>
      <c r="Q87" s="144">
        <v>0</v>
      </c>
      <c r="R87" s="144">
        <v>0</v>
      </c>
      <c r="S87" s="144">
        <v>0</v>
      </c>
      <c r="T87" s="144">
        <v>0</v>
      </c>
      <c r="U87" s="144">
        <v>0</v>
      </c>
      <c r="V87" s="144">
        <v>0</v>
      </c>
      <c r="W87" s="144">
        <v>0</v>
      </c>
      <c r="X87" s="144">
        <v>0</v>
      </c>
      <c r="Y87" s="144">
        <v>0</v>
      </c>
      <c r="Z87" s="144">
        <v>0</v>
      </c>
      <c r="AA87" s="144">
        <v>0.30000000000000004</v>
      </c>
      <c r="AB87" s="144">
        <v>0</v>
      </c>
      <c r="AC87" s="144">
        <v>0</v>
      </c>
      <c r="AD87" s="144">
        <v>0</v>
      </c>
      <c r="AE87" s="144">
        <v>0</v>
      </c>
      <c r="AF87" s="144">
        <v>0</v>
      </c>
      <c r="AG87" s="144">
        <v>0</v>
      </c>
      <c r="AH87" s="144">
        <v>0</v>
      </c>
      <c r="AI87" s="144">
        <v>0</v>
      </c>
      <c r="AJ87" s="144">
        <v>0</v>
      </c>
      <c r="AK87" s="144">
        <v>0</v>
      </c>
      <c r="AL87" s="144">
        <v>0</v>
      </c>
      <c r="AM87" s="144">
        <v>0</v>
      </c>
      <c r="AN87" s="144">
        <v>0</v>
      </c>
      <c r="AO87" s="144">
        <v>0</v>
      </c>
      <c r="AP87" s="144">
        <v>0</v>
      </c>
      <c r="AQ87" s="144">
        <v>0</v>
      </c>
      <c r="AR87" s="144">
        <v>0</v>
      </c>
      <c r="AS87" s="144">
        <v>0</v>
      </c>
      <c r="AT87" s="144">
        <v>0</v>
      </c>
      <c r="AU87" s="144">
        <v>0</v>
      </c>
      <c r="AV87" s="144">
        <v>0</v>
      </c>
      <c r="AW87" s="144">
        <v>0</v>
      </c>
      <c r="AX87" s="144">
        <v>0</v>
      </c>
      <c r="AY87" s="144">
        <v>0</v>
      </c>
      <c r="AZ87" s="144">
        <v>9.9999999999999985E-3</v>
      </c>
      <c r="BA87" s="144">
        <v>9.9964748282605608E-3</v>
      </c>
      <c r="BB87" s="144">
        <v>0</v>
      </c>
      <c r="BC87" s="144">
        <v>0</v>
      </c>
      <c r="BD87" s="144">
        <v>0</v>
      </c>
      <c r="BE87" s="144">
        <v>0</v>
      </c>
      <c r="BF87" s="144">
        <v>0</v>
      </c>
      <c r="BG87" s="144">
        <v>0</v>
      </c>
      <c r="BH87" s="144">
        <v>0</v>
      </c>
      <c r="BI87" s="144">
        <v>0</v>
      </c>
      <c r="BJ87" s="144">
        <v>0</v>
      </c>
      <c r="BK87" s="144">
        <v>0.05</v>
      </c>
      <c r="BL87" s="144">
        <v>0</v>
      </c>
      <c r="BM87" s="144">
        <v>0.21097888362352246</v>
      </c>
      <c r="BN87" s="144">
        <v>0.23</v>
      </c>
      <c r="BO87" s="144">
        <v>0</v>
      </c>
      <c r="BP87" s="144">
        <v>9.9999999999999978E-2</v>
      </c>
      <c r="BQ87" s="144">
        <v>0</v>
      </c>
      <c r="BR87" s="144">
        <v>0.22</v>
      </c>
      <c r="BS87" s="144">
        <v>0</v>
      </c>
      <c r="BT87" s="144">
        <v>0</v>
      </c>
      <c r="BU87" s="144">
        <v>0</v>
      </c>
      <c r="BV87" s="144">
        <v>0</v>
      </c>
      <c r="BW87" s="144">
        <v>0</v>
      </c>
      <c r="BX87" s="144">
        <v>0</v>
      </c>
      <c r="BY87" s="144">
        <v>0</v>
      </c>
      <c r="BZ87" s="144">
        <v>0.29999999999999993</v>
      </c>
      <c r="CA87" s="144">
        <v>0.3</v>
      </c>
      <c r="CB87" s="144">
        <v>0.63</v>
      </c>
      <c r="CC87" s="144">
        <v>0</v>
      </c>
      <c r="CD87" s="144">
        <v>0.24999999999999994</v>
      </c>
      <c r="CE87" s="144">
        <v>0</v>
      </c>
      <c r="CF87" s="144">
        <v>0</v>
      </c>
      <c r="CG87" s="144">
        <v>4.9995000499949999E-3</v>
      </c>
      <c r="CH87" s="144">
        <v>0</v>
      </c>
      <c r="CI87" s="144">
        <v>0</v>
      </c>
      <c r="CJ87" s="144">
        <v>0</v>
      </c>
      <c r="CK87" s="144">
        <v>0</v>
      </c>
      <c r="CL87" s="144">
        <v>0</v>
      </c>
      <c r="CM87" s="144">
        <v>0</v>
      </c>
      <c r="CN87" s="144">
        <v>0</v>
      </c>
      <c r="CO87" s="144">
        <v>0</v>
      </c>
      <c r="CP87" s="144">
        <v>0</v>
      </c>
      <c r="CQ87" s="144">
        <v>0</v>
      </c>
      <c r="CR87" s="144">
        <v>0</v>
      </c>
      <c r="CS87" s="144">
        <v>0</v>
      </c>
      <c r="CT87" s="144">
        <v>0</v>
      </c>
      <c r="CU87" s="144">
        <v>0</v>
      </c>
      <c r="CV87" s="144">
        <v>0</v>
      </c>
    </row>
    <row r="88" spans="1:100" x14ac:dyDescent="0.15">
      <c r="A88" s="180" t="s">
        <v>278</v>
      </c>
      <c r="B88" s="144">
        <v>0</v>
      </c>
      <c r="C88" s="144">
        <v>0</v>
      </c>
      <c r="D88" s="144">
        <v>0</v>
      </c>
      <c r="E88" s="144">
        <v>0</v>
      </c>
      <c r="F88" s="144">
        <v>0</v>
      </c>
      <c r="G88" s="144">
        <v>0</v>
      </c>
      <c r="H88" s="144">
        <v>0</v>
      </c>
      <c r="I88" s="144">
        <v>0</v>
      </c>
      <c r="J88" s="144">
        <v>0</v>
      </c>
      <c r="K88" s="144">
        <v>0</v>
      </c>
      <c r="L88" s="144">
        <v>0</v>
      </c>
      <c r="M88" s="144">
        <v>0</v>
      </c>
      <c r="N88" s="144">
        <v>0</v>
      </c>
      <c r="O88" s="144">
        <v>0</v>
      </c>
      <c r="P88" s="144">
        <v>0</v>
      </c>
      <c r="Q88" s="144">
        <v>0</v>
      </c>
      <c r="R88" s="144">
        <v>0</v>
      </c>
      <c r="S88" s="144">
        <v>0</v>
      </c>
      <c r="T88" s="144">
        <v>0</v>
      </c>
      <c r="U88" s="144">
        <v>0</v>
      </c>
      <c r="V88" s="144">
        <v>0</v>
      </c>
      <c r="W88" s="144">
        <v>0</v>
      </c>
      <c r="X88" s="144">
        <v>0</v>
      </c>
      <c r="Y88" s="144">
        <v>0</v>
      </c>
      <c r="Z88" s="144">
        <v>0</v>
      </c>
      <c r="AA88" s="144">
        <v>0.10000000000000002</v>
      </c>
      <c r="AB88" s="144">
        <v>0</v>
      </c>
      <c r="AC88" s="144">
        <v>0</v>
      </c>
      <c r="AD88" s="144">
        <v>0</v>
      </c>
      <c r="AE88" s="144">
        <v>0</v>
      </c>
      <c r="AF88" s="144">
        <v>0</v>
      </c>
      <c r="AG88" s="144">
        <v>0</v>
      </c>
      <c r="AH88" s="144">
        <v>0</v>
      </c>
      <c r="AI88" s="144">
        <v>0</v>
      </c>
      <c r="AJ88" s="144">
        <v>0</v>
      </c>
      <c r="AK88" s="144">
        <v>0</v>
      </c>
      <c r="AL88" s="144">
        <v>0</v>
      </c>
      <c r="AM88" s="144">
        <v>0</v>
      </c>
      <c r="AN88" s="144">
        <v>0</v>
      </c>
      <c r="AO88" s="144">
        <v>0.7</v>
      </c>
      <c r="AP88" s="144">
        <v>0</v>
      </c>
      <c r="AQ88" s="144">
        <v>0</v>
      </c>
      <c r="AR88" s="144">
        <v>0</v>
      </c>
      <c r="AS88" s="144">
        <v>0</v>
      </c>
      <c r="AT88" s="144">
        <v>0</v>
      </c>
      <c r="AU88" s="144">
        <v>0</v>
      </c>
      <c r="AV88" s="144">
        <v>0</v>
      </c>
      <c r="AW88" s="144">
        <v>0</v>
      </c>
      <c r="AX88" s="144">
        <v>0</v>
      </c>
      <c r="AY88" s="144">
        <v>0</v>
      </c>
      <c r="AZ88" s="144">
        <v>9.9999999999999985E-3</v>
      </c>
      <c r="BA88" s="144">
        <v>9.9964748282605608E-3</v>
      </c>
      <c r="BB88" s="144">
        <v>0.05</v>
      </c>
      <c r="BC88" s="144">
        <v>0</v>
      </c>
      <c r="BD88" s="144">
        <v>0</v>
      </c>
      <c r="BE88" s="144">
        <v>0</v>
      </c>
      <c r="BF88" s="144">
        <v>0</v>
      </c>
      <c r="BG88" s="144">
        <v>0</v>
      </c>
      <c r="BH88" s="144">
        <v>0</v>
      </c>
      <c r="BI88" s="144">
        <v>0</v>
      </c>
      <c r="BJ88" s="144">
        <v>0</v>
      </c>
      <c r="BK88" s="144">
        <v>0.02</v>
      </c>
      <c r="BL88" s="144">
        <v>0</v>
      </c>
      <c r="BM88" s="144">
        <v>2.9996997073012663E-2</v>
      </c>
      <c r="BN88" s="144">
        <v>0</v>
      </c>
      <c r="BO88" s="144">
        <v>0.23</v>
      </c>
      <c r="BP88" s="144">
        <v>0</v>
      </c>
      <c r="BQ88" s="144">
        <v>0.1</v>
      </c>
      <c r="BR88" s="144">
        <v>0</v>
      </c>
      <c r="BS88" s="144">
        <v>0.22</v>
      </c>
      <c r="BT88" s="144">
        <v>0</v>
      </c>
      <c r="BU88" s="144">
        <v>0</v>
      </c>
      <c r="BV88" s="144">
        <v>0</v>
      </c>
      <c r="BW88" s="144">
        <v>0</v>
      </c>
      <c r="BX88" s="144">
        <v>0</v>
      </c>
      <c r="BY88" s="144">
        <v>0</v>
      </c>
      <c r="BZ88" s="144">
        <v>0</v>
      </c>
      <c r="CA88" s="144">
        <v>0.02</v>
      </c>
      <c r="CB88" s="144">
        <v>0</v>
      </c>
      <c r="CC88" s="144">
        <v>0.63</v>
      </c>
      <c r="CD88" s="144">
        <v>0</v>
      </c>
      <c r="CE88" s="144">
        <v>0.28000000000000003</v>
      </c>
      <c r="CF88" s="144">
        <v>0.01</v>
      </c>
      <c r="CG88" s="144">
        <v>0</v>
      </c>
      <c r="CH88" s="144">
        <v>5.0000000000000001E-3</v>
      </c>
      <c r="CI88" s="144">
        <v>0</v>
      </c>
      <c r="CJ88" s="144">
        <v>0</v>
      </c>
      <c r="CK88" s="144">
        <v>0</v>
      </c>
      <c r="CL88" s="144">
        <v>0</v>
      </c>
      <c r="CM88" s="144">
        <v>0</v>
      </c>
      <c r="CN88" s="144">
        <v>0</v>
      </c>
      <c r="CO88" s="144">
        <v>0</v>
      </c>
      <c r="CP88" s="144">
        <v>0</v>
      </c>
      <c r="CQ88" s="144">
        <v>0</v>
      </c>
      <c r="CR88" s="144">
        <v>0</v>
      </c>
      <c r="CS88" s="144">
        <v>0</v>
      </c>
      <c r="CT88" s="144">
        <v>0</v>
      </c>
      <c r="CU88" s="144">
        <v>0</v>
      </c>
      <c r="CV88" s="144">
        <v>0</v>
      </c>
    </row>
    <row r="89" spans="1:100" x14ac:dyDescent="0.15">
      <c r="A89" s="180" t="s">
        <v>279</v>
      </c>
      <c r="B89" s="144">
        <v>0</v>
      </c>
      <c r="C89" s="144">
        <v>0</v>
      </c>
      <c r="D89" s="144">
        <v>0</v>
      </c>
      <c r="E89" s="144">
        <v>5.000000000000001E-2</v>
      </c>
      <c r="F89" s="144">
        <v>0</v>
      </c>
      <c r="G89" s="144">
        <v>0</v>
      </c>
      <c r="H89" s="144">
        <v>0</v>
      </c>
      <c r="I89" s="144">
        <v>0</v>
      </c>
      <c r="J89" s="144">
        <v>0</v>
      </c>
      <c r="K89" s="144">
        <v>0</v>
      </c>
      <c r="L89" s="144">
        <v>0</v>
      </c>
      <c r="M89" s="144">
        <v>0</v>
      </c>
      <c r="N89" s="144">
        <v>0</v>
      </c>
      <c r="O89" s="144">
        <v>0</v>
      </c>
      <c r="P89" s="144">
        <v>0</v>
      </c>
      <c r="Q89" s="144">
        <v>0</v>
      </c>
      <c r="R89" s="144">
        <v>0</v>
      </c>
      <c r="S89" s="144">
        <v>0</v>
      </c>
      <c r="T89" s="144">
        <v>0</v>
      </c>
      <c r="U89" s="144">
        <v>0</v>
      </c>
      <c r="V89" s="144">
        <v>0</v>
      </c>
      <c r="W89" s="144">
        <v>0</v>
      </c>
      <c r="X89" s="144">
        <v>0</v>
      </c>
      <c r="Y89" s="144">
        <v>0</v>
      </c>
      <c r="Z89" s="144">
        <v>0</v>
      </c>
      <c r="AA89" s="144">
        <v>0</v>
      </c>
      <c r="AB89" s="144">
        <v>0.1</v>
      </c>
      <c r="AC89" s="144">
        <v>0</v>
      </c>
      <c r="AD89" s="144">
        <v>0</v>
      </c>
      <c r="AE89" s="144">
        <v>0</v>
      </c>
      <c r="AF89" s="144">
        <v>0</v>
      </c>
      <c r="AG89" s="144">
        <v>0</v>
      </c>
      <c r="AH89" s="144">
        <v>0</v>
      </c>
      <c r="AI89" s="144">
        <v>0</v>
      </c>
      <c r="AJ89" s="144">
        <v>0</v>
      </c>
      <c r="AK89" s="144">
        <v>0</v>
      </c>
      <c r="AL89" s="144">
        <v>0.15</v>
      </c>
      <c r="AM89" s="144">
        <v>0</v>
      </c>
      <c r="AN89" s="144">
        <v>0</v>
      </c>
      <c r="AO89" s="144">
        <v>0</v>
      </c>
      <c r="AP89" s="144">
        <v>0</v>
      </c>
      <c r="AQ89" s="144">
        <v>0</v>
      </c>
      <c r="AR89" s="144">
        <v>0.12097580755648873</v>
      </c>
      <c r="AS89" s="144">
        <v>0.11301242574007142</v>
      </c>
      <c r="AT89" s="144">
        <v>0</v>
      </c>
      <c r="AU89" s="144">
        <v>0</v>
      </c>
      <c r="AV89" s="144">
        <v>0</v>
      </c>
      <c r="AW89" s="144">
        <v>0</v>
      </c>
      <c r="AX89" s="144">
        <v>0</v>
      </c>
      <c r="AY89" s="144">
        <v>0</v>
      </c>
      <c r="AZ89" s="144">
        <v>4.9999999999999989E-2</v>
      </c>
      <c r="BA89" s="144">
        <v>4.9982375541302783E-2</v>
      </c>
      <c r="BB89" s="144">
        <v>0.08</v>
      </c>
      <c r="BC89" s="144">
        <v>3.9999999999999994E-2</v>
      </c>
      <c r="BD89" s="144">
        <v>3.9989889204721074E-2</v>
      </c>
      <c r="BE89" s="144">
        <v>0</v>
      </c>
      <c r="BF89" s="144">
        <v>4.0010061244312917E-2</v>
      </c>
      <c r="BG89" s="144">
        <v>0</v>
      </c>
      <c r="BH89" s="144">
        <v>7.0000000000000007E-2</v>
      </c>
      <c r="BI89" s="144">
        <v>0</v>
      </c>
      <c r="BJ89" s="144">
        <v>0.19999999999999996</v>
      </c>
      <c r="BK89" s="144">
        <v>0</v>
      </c>
      <c r="BL89" s="144">
        <v>0.30000000000000004</v>
      </c>
      <c r="BM89" s="144">
        <v>3.9995994897350201E-2</v>
      </c>
      <c r="BN89" s="144">
        <v>0.12</v>
      </c>
      <c r="BO89" s="144">
        <v>0.12</v>
      </c>
      <c r="BP89" s="144">
        <v>7.9999999999999988E-2</v>
      </c>
      <c r="BQ89" s="144">
        <v>0.08</v>
      </c>
      <c r="BR89" s="144">
        <v>0.09</v>
      </c>
      <c r="BS89" s="144">
        <v>0.09</v>
      </c>
      <c r="BT89" s="144">
        <v>0.3</v>
      </c>
      <c r="BU89" s="144">
        <v>0.3</v>
      </c>
      <c r="BV89" s="144">
        <v>0.2</v>
      </c>
      <c r="BW89" s="144">
        <v>0.2</v>
      </c>
      <c r="BX89" s="144">
        <v>0</v>
      </c>
      <c r="BY89" s="144">
        <v>0</v>
      </c>
      <c r="BZ89" s="144">
        <v>0</v>
      </c>
      <c r="CA89" s="144">
        <v>0</v>
      </c>
      <c r="CB89" s="144">
        <v>0.05</v>
      </c>
      <c r="CC89" s="144">
        <v>0</v>
      </c>
      <c r="CD89" s="144">
        <v>6.9999999999999993E-2</v>
      </c>
      <c r="CE89" s="144">
        <v>0.21</v>
      </c>
      <c r="CF89" s="144">
        <v>0.02</v>
      </c>
      <c r="CG89" s="144">
        <v>4.9995000499949999E-3</v>
      </c>
      <c r="CH89" s="144">
        <v>5.0000000000000001E-3</v>
      </c>
      <c r="CI89" s="144">
        <v>0</v>
      </c>
      <c r="CJ89" s="144">
        <v>0</v>
      </c>
      <c r="CK89" s="144">
        <v>0</v>
      </c>
      <c r="CL89" s="144">
        <v>0</v>
      </c>
      <c r="CM89" s="144">
        <v>0</v>
      </c>
      <c r="CN89" s="144">
        <v>0</v>
      </c>
      <c r="CO89" s="144">
        <v>0</v>
      </c>
      <c r="CP89" s="144">
        <v>0</v>
      </c>
      <c r="CQ89" s="144">
        <v>0</v>
      </c>
      <c r="CR89" s="144">
        <v>0</v>
      </c>
      <c r="CS89" s="144">
        <v>0</v>
      </c>
      <c r="CT89" s="144">
        <v>0</v>
      </c>
      <c r="CU89" s="144">
        <v>0</v>
      </c>
      <c r="CV89" s="144">
        <v>0</v>
      </c>
    </row>
    <row r="90" spans="1:100" x14ac:dyDescent="0.15">
      <c r="A90" s="180" t="s">
        <v>280</v>
      </c>
      <c r="B90" s="144">
        <v>0</v>
      </c>
      <c r="C90" s="144">
        <v>1</v>
      </c>
      <c r="D90" s="144">
        <v>0</v>
      </c>
      <c r="E90" s="144">
        <v>0</v>
      </c>
      <c r="F90" s="144">
        <v>0</v>
      </c>
      <c r="G90" s="144">
        <v>0</v>
      </c>
      <c r="H90" s="144">
        <v>0</v>
      </c>
      <c r="I90" s="144">
        <v>0</v>
      </c>
      <c r="J90" s="144">
        <v>0</v>
      </c>
      <c r="K90" s="144">
        <v>0</v>
      </c>
      <c r="L90" s="144">
        <v>1.2690899837556485E-4</v>
      </c>
      <c r="M90" s="144">
        <v>0</v>
      </c>
      <c r="N90" s="144">
        <v>0</v>
      </c>
      <c r="O90" s="144">
        <v>2.9435204021382164E-4</v>
      </c>
      <c r="P90" s="144">
        <v>0</v>
      </c>
      <c r="Q90" s="144">
        <v>0</v>
      </c>
      <c r="R90" s="144">
        <v>9.1991320098357169E-7</v>
      </c>
      <c r="S90" s="144">
        <v>0</v>
      </c>
      <c r="T90" s="144">
        <v>7.1374199449704897E-6</v>
      </c>
      <c r="U90" s="144">
        <v>0</v>
      </c>
      <c r="V90" s="144">
        <v>0</v>
      </c>
      <c r="W90" s="144">
        <v>0</v>
      </c>
      <c r="X90" s="144">
        <v>0</v>
      </c>
      <c r="Y90" s="144">
        <v>0</v>
      </c>
      <c r="Z90" s="144">
        <v>0</v>
      </c>
      <c r="AA90" s="144">
        <v>0</v>
      </c>
      <c r="AB90" s="144">
        <v>0</v>
      </c>
      <c r="AC90" s="144">
        <v>0</v>
      </c>
      <c r="AD90" s="144">
        <v>2.3798957500312611E-4</v>
      </c>
      <c r="AE90" s="144">
        <v>1.033973404263805E-3</v>
      </c>
      <c r="AF90" s="144">
        <v>3.3645165875756145E-4</v>
      </c>
      <c r="AG90" s="144">
        <v>2.9285703178762376E-3</v>
      </c>
      <c r="AH90" s="144">
        <v>4.8805523564972739E-5</v>
      </c>
      <c r="AI90" s="144">
        <v>0</v>
      </c>
      <c r="AJ90" s="144">
        <v>0</v>
      </c>
      <c r="AK90" s="144">
        <v>0</v>
      </c>
      <c r="AL90" s="144">
        <v>0</v>
      </c>
      <c r="AM90" s="144">
        <v>0</v>
      </c>
      <c r="AN90" s="144">
        <v>0</v>
      </c>
      <c r="AO90" s="144">
        <v>0</v>
      </c>
      <c r="AP90" s="144">
        <v>0</v>
      </c>
      <c r="AQ90" s="144">
        <v>0</v>
      </c>
      <c r="AR90" s="144">
        <v>0</v>
      </c>
      <c r="AS90" s="144">
        <v>0</v>
      </c>
      <c r="AT90" s="144">
        <v>0</v>
      </c>
      <c r="AU90" s="144">
        <v>0</v>
      </c>
      <c r="AV90" s="144">
        <v>4.2004200417521745E-2</v>
      </c>
      <c r="AW90" s="144">
        <v>0</v>
      </c>
      <c r="AX90" s="144">
        <v>0</v>
      </c>
      <c r="AY90" s="144">
        <v>0</v>
      </c>
      <c r="AZ90" s="144">
        <v>0</v>
      </c>
      <c r="BA90" s="144">
        <v>0</v>
      </c>
      <c r="BB90" s="144">
        <v>0</v>
      </c>
      <c r="BC90" s="144">
        <v>0</v>
      </c>
      <c r="BD90" s="144">
        <v>0</v>
      </c>
      <c r="BE90" s="144">
        <v>0</v>
      </c>
      <c r="BF90" s="144">
        <v>0</v>
      </c>
      <c r="BG90" s="144">
        <v>0</v>
      </c>
      <c r="BH90" s="144">
        <v>0</v>
      </c>
      <c r="BI90" s="144">
        <v>0</v>
      </c>
      <c r="BJ90" s="144">
        <v>0</v>
      </c>
      <c r="BK90" s="144">
        <v>0</v>
      </c>
      <c r="BL90" s="144">
        <v>0</v>
      </c>
      <c r="BM90" s="144">
        <v>0</v>
      </c>
      <c r="BN90" s="144">
        <v>0</v>
      </c>
      <c r="BO90" s="144">
        <v>0</v>
      </c>
      <c r="BP90" s="144">
        <v>9.999999999999998E-4</v>
      </c>
      <c r="BQ90" s="144">
        <v>0.05</v>
      </c>
      <c r="BR90" s="144">
        <v>0</v>
      </c>
      <c r="BS90" s="144">
        <v>0</v>
      </c>
      <c r="BT90" s="144">
        <v>0</v>
      </c>
      <c r="BU90" s="144">
        <v>0</v>
      </c>
      <c r="BV90" s="144">
        <v>0</v>
      </c>
      <c r="BW90" s="144">
        <v>0</v>
      </c>
      <c r="BX90" s="144">
        <v>0</v>
      </c>
      <c r="BY90" s="144">
        <v>0</v>
      </c>
      <c r="BZ90" s="144">
        <v>0</v>
      </c>
      <c r="CA90" s="144">
        <v>0</v>
      </c>
      <c r="CB90" s="144">
        <v>0</v>
      </c>
      <c r="CC90" s="144">
        <v>1E-3</v>
      </c>
      <c r="CD90" s="144">
        <v>0</v>
      </c>
      <c r="CE90" s="144">
        <v>0</v>
      </c>
      <c r="CF90" s="144">
        <v>0.02</v>
      </c>
      <c r="CG90" s="144">
        <v>0</v>
      </c>
      <c r="CH90" s="144">
        <v>0</v>
      </c>
      <c r="CI90" s="144">
        <v>0</v>
      </c>
      <c r="CJ90" s="144">
        <v>0</v>
      </c>
      <c r="CK90" s="144">
        <v>0</v>
      </c>
      <c r="CL90" s="144">
        <v>0</v>
      </c>
      <c r="CM90" s="144">
        <v>0</v>
      </c>
      <c r="CN90" s="144">
        <v>0</v>
      </c>
      <c r="CO90" s="144">
        <v>0</v>
      </c>
      <c r="CP90" s="144">
        <v>0</v>
      </c>
      <c r="CQ90" s="144">
        <v>0</v>
      </c>
      <c r="CR90" s="144">
        <v>0</v>
      </c>
      <c r="CS90" s="144">
        <v>0</v>
      </c>
      <c r="CT90" s="144">
        <v>0</v>
      </c>
      <c r="CU90" s="144">
        <v>0</v>
      </c>
      <c r="CV90" s="144">
        <v>0</v>
      </c>
    </row>
    <row r="91" spans="1:100" x14ac:dyDescent="0.15">
      <c r="A91" s="180" t="s">
        <v>281</v>
      </c>
      <c r="B91" s="144">
        <v>0</v>
      </c>
      <c r="C91" s="144">
        <v>0</v>
      </c>
      <c r="D91" s="144">
        <v>0</v>
      </c>
      <c r="E91" s="144">
        <v>8.0000000000000016E-2</v>
      </c>
      <c r="F91" s="144">
        <v>0</v>
      </c>
      <c r="G91" s="144">
        <v>0</v>
      </c>
      <c r="H91" s="144">
        <v>0</v>
      </c>
      <c r="I91" s="144">
        <v>0</v>
      </c>
      <c r="J91" s="144">
        <v>0</v>
      </c>
      <c r="K91" s="144">
        <v>0</v>
      </c>
      <c r="L91" s="144">
        <v>0</v>
      </c>
      <c r="M91" s="144">
        <v>0</v>
      </c>
      <c r="N91" s="144">
        <v>0</v>
      </c>
      <c r="O91" s="144">
        <v>0</v>
      </c>
      <c r="P91" s="144">
        <v>0</v>
      </c>
      <c r="Q91" s="144">
        <v>0</v>
      </c>
      <c r="R91" s="144">
        <v>0</v>
      </c>
      <c r="S91" s="144">
        <v>0</v>
      </c>
      <c r="T91" s="144">
        <v>3.3234999743758138E-6</v>
      </c>
      <c r="U91" s="144">
        <v>3.169212281529059E-6</v>
      </c>
      <c r="V91" s="144">
        <v>0</v>
      </c>
      <c r="W91" s="144">
        <v>0</v>
      </c>
      <c r="X91" s="144">
        <v>0</v>
      </c>
      <c r="Y91" s="144">
        <v>0</v>
      </c>
      <c r="Z91" s="144">
        <v>0</v>
      </c>
      <c r="AA91" s="144">
        <v>0</v>
      </c>
      <c r="AB91" s="144">
        <v>0</v>
      </c>
      <c r="AC91" s="144">
        <v>0</v>
      </c>
      <c r="AD91" s="144">
        <v>0</v>
      </c>
      <c r="AE91" s="144">
        <v>4.7216764938054609E-4</v>
      </c>
      <c r="AF91" s="144">
        <v>2.5252377906748782E-4</v>
      </c>
      <c r="AG91" s="144">
        <v>4.4926339046977569E-5</v>
      </c>
      <c r="AH91" s="144">
        <v>0</v>
      </c>
      <c r="AI91" s="144">
        <v>0</v>
      </c>
      <c r="AJ91" s="144">
        <v>3.7924866739751692E-2</v>
      </c>
      <c r="AK91" s="144">
        <v>3.0987200313063683E-5</v>
      </c>
      <c r="AL91" s="144">
        <v>0</v>
      </c>
      <c r="AM91" s="144">
        <v>0</v>
      </c>
      <c r="AN91" s="144">
        <v>0</v>
      </c>
      <c r="AO91" s="144">
        <v>0</v>
      </c>
      <c r="AP91" s="144">
        <v>0</v>
      </c>
      <c r="AQ91" s="144">
        <v>0</v>
      </c>
      <c r="AR91" s="144">
        <v>4.9990000229954007E-3</v>
      </c>
      <c r="AS91" s="144">
        <v>0.19802178354454991</v>
      </c>
      <c r="AT91" s="144">
        <v>0</v>
      </c>
      <c r="AU91" s="144">
        <v>0</v>
      </c>
      <c r="AV91" s="144">
        <v>1.0001000099409941E-3</v>
      </c>
      <c r="AW91" s="144">
        <v>0</v>
      </c>
      <c r="AX91" s="144">
        <v>0</v>
      </c>
      <c r="AY91" s="144">
        <v>0</v>
      </c>
      <c r="AZ91" s="144">
        <v>0</v>
      </c>
      <c r="BA91" s="144">
        <v>0</v>
      </c>
      <c r="BB91" s="144">
        <v>0.01</v>
      </c>
      <c r="BC91" s="144">
        <v>0</v>
      </c>
      <c r="BD91" s="144">
        <v>0</v>
      </c>
      <c r="BE91" s="144">
        <v>0</v>
      </c>
      <c r="BF91" s="144">
        <v>0</v>
      </c>
      <c r="BG91" s="144">
        <v>0</v>
      </c>
      <c r="BH91" s="144">
        <v>0</v>
      </c>
      <c r="BI91" s="144">
        <v>0</v>
      </c>
      <c r="BJ91" s="144">
        <v>0</v>
      </c>
      <c r="BK91" s="144">
        <v>0</v>
      </c>
      <c r="BL91" s="144">
        <v>1.0000000000000002E-2</v>
      </c>
      <c r="BM91" s="144">
        <v>0</v>
      </c>
      <c r="BN91" s="144">
        <v>0</v>
      </c>
      <c r="BO91" s="144">
        <v>0</v>
      </c>
      <c r="BP91" s="144">
        <v>0</v>
      </c>
      <c r="BQ91" s="144">
        <v>0.12</v>
      </c>
      <c r="BR91" s="144">
        <v>0</v>
      </c>
      <c r="BS91" s="144">
        <v>0</v>
      </c>
      <c r="BT91" s="144">
        <v>0</v>
      </c>
      <c r="BU91" s="144">
        <v>0.1</v>
      </c>
      <c r="BV91" s="144">
        <v>0</v>
      </c>
      <c r="BW91" s="144">
        <v>0</v>
      </c>
      <c r="BX91" s="144">
        <v>0</v>
      </c>
      <c r="BY91" s="144">
        <v>0</v>
      </c>
      <c r="BZ91" s="144">
        <v>0</v>
      </c>
      <c r="CA91" s="144">
        <v>0</v>
      </c>
      <c r="CB91" s="144">
        <v>0</v>
      </c>
      <c r="CC91" s="144">
        <v>0</v>
      </c>
      <c r="CD91" s="144">
        <v>0</v>
      </c>
      <c r="CE91" s="144">
        <v>0</v>
      </c>
      <c r="CF91" s="144">
        <v>0.05</v>
      </c>
      <c r="CG91" s="144">
        <v>0</v>
      </c>
      <c r="CH91" s="144">
        <v>3.5000000000000003E-2</v>
      </c>
      <c r="CI91" s="144">
        <v>0</v>
      </c>
      <c r="CJ91" s="144">
        <v>0</v>
      </c>
      <c r="CK91" s="144">
        <v>0</v>
      </c>
      <c r="CL91" s="144">
        <v>0</v>
      </c>
      <c r="CM91" s="144">
        <v>0</v>
      </c>
      <c r="CN91" s="144">
        <v>0</v>
      </c>
      <c r="CO91" s="144">
        <v>0</v>
      </c>
      <c r="CP91" s="144">
        <v>0</v>
      </c>
      <c r="CQ91" s="144">
        <v>0</v>
      </c>
      <c r="CR91" s="144">
        <v>0</v>
      </c>
      <c r="CS91" s="144">
        <v>0</v>
      </c>
      <c r="CT91" s="144">
        <v>0</v>
      </c>
      <c r="CU91" s="144">
        <v>0</v>
      </c>
      <c r="CV91" s="144">
        <v>0</v>
      </c>
    </row>
    <row r="92" spans="1:100" x14ac:dyDescent="0.15">
      <c r="A92" s="180" t="s">
        <v>282</v>
      </c>
      <c r="B92" s="144">
        <v>0</v>
      </c>
      <c r="C92" s="144">
        <v>0</v>
      </c>
      <c r="D92" s="144">
        <v>0</v>
      </c>
      <c r="E92" s="144">
        <v>8.0000000000000016E-2</v>
      </c>
      <c r="F92" s="144">
        <v>0</v>
      </c>
      <c r="G92" s="144">
        <v>0</v>
      </c>
      <c r="H92" s="144">
        <v>0</v>
      </c>
      <c r="I92" s="144">
        <v>0</v>
      </c>
      <c r="J92" s="144">
        <v>0</v>
      </c>
      <c r="K92" s="144">
        <v>0</v>
      </c>
      <c r="L92" s="144">
        <v>2.345849969973121E-5</v>
      </c>
      <c r="M92" s="144">
        <v>0</v>
      </c>
      <c r="N92" s="144">
        <v>0</v>
      </c>
      <c r="O92" s="144">
        <v>0</v>
      </c>
      <c r="P92" s="144">
        <v>0</v>
      </c>
      <c r="Q92" s="144">
        <v>0</v>
      </c>
      <c r="R92" s="144">
        <v>0</v>
      </c>
      <c r="S92" s="144">
        <v>0</v>
      </c>
      <c r="T92" s="144">
        <v>0</v>
      </c>
      <c r="U92" s="144">
        <v>0</v>
      </c>
      <c r="V92" s="144">
        <v>0</v>
      </c>
      <c r="W92" s="144">
        <v>0</v>
      </c>
      <c r="X92" s="144">
        <v>0</v>
      </c>
      <c r="Y92" s="144">
        <v>0</v>
      </c>
      <c r="Z92" s="144">
        <v>0</v>
      </c>
      <c r="AA92" s="144">
        <v>0</v>
      </c>
      <c r="AB92" s="144">
        <v>0.8</v>
      </c>
      <c r="AC92" s="144">
        <v>0</v>
      </c>
      <c r="AD92" s="144">
        <v>0</v>
      </c>
      <c r="AE92" s="144">
        <v>0</v>
      </c>
      <c r="AF92" s="144">
        <v>0</v>
      </c>
      <c r="AG92" s="144">
        <v>0</v>
      </c>
      <c r="AH92" s="144">
        <v>0</v>
      </c>
      <c r="AI92" s="144">
        <v>0</v>
      </c>
      <c r="AJ92" s="144">
        <v>0</v>
      </c>
      <c r="AK92" s="144">
        <v>0</v>
      </c>
      <c r="AL92" s="144">
        <v>0</v>
      </c>
      <c r="AM92" s="144">
        <v>0</v>
      </c>
      <c r="AN92" s="144">
        <v>0</v>
      </c>
      <c r="AO92" s="144">
        <v>0</v>
      </c>
      <c r="AP92" s="144">
        <v>0</v>
      </c>
      <c r="AQ92" s="144">
        <v>0</v>
      </c>
      <c r="AR92" s="144">
        <v>9.9980000459908014E-3</v>
      </c>
      <c r="AS92" s="144">
        <v>0</v>
      </c>
      <c r="AT92" s="144">
        <v>0</v>
      </c>
      <c r="AU92" s="144">
        <v>0</v>
      </c>
      <c r="AV92" s="144">
        <v>0</v>
      </c>
      <c r="AW92" s="144">
        <v>0</v>
      </c>
      <c r="AX92" s="144">
        <v>0</v>
      </c>
      <c r="AY92" s="144">
        <v>0</v>
      </c>
      <c r="AZ92" s="144">
        <v>0</v>
      </c>
      <c r="BA92" s="144">
        <v>0</v>
      </c>
      <c r="BB92" s="144">
        <v>0</v>
      </c>
      <c r="BC92" s="144">
        <v>0</v>
      </c>
      <c r="BD92" s="144">
        <v>0</v>
      </c>
      <c r="BE92" s="144">
        <v>0</v>
      </c>
      <c r="BF92" s="144">
        <v>0</v>
      </c>
      <c r="BG92" s="144">
        <v>0</v>
      </c>
      <c r="BH92" s="144">
        <v>0</v>
      </c>
      <c r="BI92" s="144">
        <v>0</v>
      </c>
      <c r="BJ92" s="144">
        <v>0.3899999999999999</v>
      </c>
      <c r="BK92" s="144">
        <v>0</v>
      </c>
      <c r="BL92" s="144">
        <v>1.0000000000000002E-2</v>
      </c>
      <c r="BM92" s="144">
        <v>0</v>
      </c>
      <c r="BN92" s="144">
        <v>0</v>
      </c>
      <c r="BO92" s="144">
        <v>0</v>
      </c>
      <c r="BP92" s="144">
        <v>0.16899999999999998</v>
      </c>
      <c r="BQ92" s="144">
        <v>0</v>
      </c>
      <c r="BR92" s="144">
        <v>0</v>
      </c>
      <c r="BS92" s="144">
        <v>0</v>
      </c>
      <c r="BT92" s="144">
        <v>0.1</v>
      </c>
      <c r="BU92" s="144">
        <v>0</v>
      </c>
      <c r="BV92" s="144">
        <v>0</v>
      </c>
      <c r="BW92" s="144">
        <v>0</v>
      </c>
      <c r="BX92" s="144">
        <v>0</v>
      </c>
      <c r="BY92" s="144">
        <v>0</v>
      </c>
      <c r="BZ92" s="144">
        <v>0</v>
      </c>
      <c r="CA92" s="144">
        <v>0</v>
      </c>
      <c r="CB92" s="144">
        <v>0</v>
      </c>
      <c r="CC92" s="144">
        <v>0</v>
      </c>
      <c r="CD92" s="144">
        <v>0</v>
      </c>
      <c r="CE92" s="144">
        <v>0</v>
      </c>
      <c r="CF92" s="144">
        <v>0</v>
      </c>
      <c r="CG92" s="144">
        <v>3.4996500349965001E-2</v>
      </c>
      <c r="CH92" s="144">
        <v>0</v>
      </c>
      <c r="CI92" s="144">
        <v>0</v>
      </c>
      <c r="CJ92" s="144">
        <v>0</v>
      </c>
      <c r="CK92" s="144">
        <v>0</v>
      </c>
      <c r="CL92" s="144">
        <v>0</v>
      </c>
      <c r="CM92" s="144">
        <v>0</v>
      </c>
      <c r="CN92" s="144">
        <v>0</v>
      </c>
      <c r="CO92" s="144">
        <v>0</v>
      </c>
      <c r="CP92" s="144">
        <v>0</v>
      </c>
      <c r="CQ92" s="144">
        <v>0</v>
      </c>
      <c r="CR92" s="144">
        <v>0</v>
      </c>
      <c r="CS92" s="144">
        <v>0</v>
      </c>
      <c r="CT92" s="144">
        <v>0</v>
      </c>
      <c r="CU92" s="144">
        <v>0</v>
      </c>
      <c r="CV92" s="144">
        <v>0</v>
      </c>
    </row>
    <row r="93" spans="1:100" x14ac:dyDescent="0.15">
      <c r="A93" s="180" t="s">
        <v>283</v>
      </c>
      <c r="B93" s="144">
        <v>0</v>
      </c>
      <c r="C93" s="144">
        <v>0</v>
      </c>
      <c r="D93" s="144">
        <v>0</v>
      </c>
      <c r="E93" s="144">
        <v>0</v>
      </c>
      <c r="F93" s="144">
        <v>0</v>
      </c>
      <c r="G93" s="144">
        <v>0</v>
      </c>
      <c r="H93" s="144">
        <v>0</v>
      </c>
      <c r="I93" s="144">
        <v>0</v>
      </c>
      <c r="J93" s="144">
        <v>0</v>
      </c>
      <c r="K93" s="144">
        <v>0</v>
      </c>
      <c r="L93" s="144">
        <v>0</v>
      </c>
      <c r="M93" s="144">
        <v>0</v>
      </c>
      <c r="N93" s="144">
        <v>0</v>
      </c>
      <c r="O93" s="144">
        <v>1.5423236015998156E-4</v>
      </c>
      <c r="P93" s="144">
        <v>1.5626861514569518E-5</v>
      </c>
      <c r="Q93" s="144">
        <v>0</v>
      </c>
      <c r="R93" s="144">
        <v>0</v>
      </c>
      <c r="S93" s="144">
        <v>0</v>
      </c>
      <c r="T93" s="144">
        <v>0</v>
      </c>
      <c r="U93" s="144">
        <v>3.2396380015630376E-6</v>
      </c>
      <c r="V93" s="144">
        <v>0</v>
      </c>
      <c r="W93" s="144">
        <v>1.5648903938188766E-5</v>
      </c>
      <c r="X93" s="144">
        <v>4.282760670341208E-5</v>
      </c>
      <c r="Y93" s="144">
        <v>0</v>
      </c>
      <c r="Z93" s="144">
        <v>0</v>
      </c>
      <c r="AA93" s="144">
        <v>0</v>
      </c>
      <c r="AB93" s="144">
        <v>0</v>
      </c>
      <c r="AC93" s="144">
        <v>0</v>
      </c>
      <c r="AD93" s="144">
        <v>2.1635413691193276E-4</v>
      </c>
      <c r="AE93" s="144">
        <v>9.4122543877834478E-4</v>
      </c>
      <c r="AF93" s="144">
        <v>4.9986992815409543E-3</v>
      </c>
      <c r="AG93" s="144">
        <v>5.2868084778509323E-4</v>
      </c>
      <c r="AH93" s="144">
        <v>1.0081096216698769E-4</v>
      </c>
      <c r="AI93" s="144">
        <v>9.9789500229515854E-3</v>
      </c>
      <c r="AJ93" s="144">
        <v>1.8274454226410958E-2</v>
      </c>
      <c r="AK93" s="144">
        <v>7.9966980807906398E-3</v>
      </c>
      <c r="AL93" s="144">
        <v>0</v>
      </c>
      <c r="AM93" s="144">
        <v>0</v>
      </c>
      <c r="AN93" s="144">
        <v>0.22548257197706162</v>
      </c>
      <c r="AO93" s="144">
        <v>0</v>
      </c>
      <c r="AP93" s="144">
        <v>0</v>
      </c>
      <c r="AQ93" s="144">
        <v>0</v>
      </c>
      <c r="AR93" s="144">
        <v>0</v>
      </c>
      <c r="AS93" s="144">
        <v>0</v>
      </c>
      <c r="AT93" s="144">
        <v>0</v>
      </c>
      <c r="AU93" s="144">
        <v>0</v>
      </c>
      <c r="AV93" s="144">
        <v>0</v>
      </c>
      <c r="AW93" s="144">
        <v>0</v>
      </c>
      <c r="AX93" s="144">
        <v>0</v>
      </c>
      <c r="AY93" s="144">
        <v>0</v>
      </c>
      <c r="AZ93" s="144">
        <v>0</v>
      </c>
      <c r="BA93" s="144">
        <v>0</v>
      </c>
      <c r="BB93" s="144">
        <v>0</v>
      </c>
      <c r="BC93" s="144">
        <v>0</v>
      </c>
      <c r="BD93" s="144">
        <v>0</v>
      </c>
      <c r="BE93" s="144">
        <v>0</v>
      </c>
      <c r="BF93" s="144">
        <v>0</v>
      </c>
      <c r="BG93" s="144">
        <v>0</v>
      </c>
      <c r="BH93" s="144">
        <v>0</v>
      </c>
      <c r="BI93" s="144">
        <v>0</v>
      </c>
      <c r="BJ93" s="144">
        <v>0</v>
      </c>
      <c r="BK93" s="144">
        <v>0</v>
      </c>
      <c r="BL93" s="144">
        <v>0</v>
      </c>
      <c r="BM93" s="144">
        <v>0</v>
      </c>
      <c r="BN93" s="144">
        <v>0</v>
      </c>
      <c r="BO93" s="144">
        <v>0</v>
      </c>
      <c r="BP93" s="144">
        <v>0</v>
      </c>
      <c r="BQ93" s="144">
        <v>0</v>
      </c>
      <c r="BR93" s="144">
        <v>0</v>
      </c>
      <c r="BS93" s="144">
        <v>0</v>
      </c>
      <c r="BT93" s="144">
        <v>0</v>
      </c>
      <c r="BU93" s="144">
        <v>0</v>
      </c>
      <c r="BV93" s="144">
        <v>0</v>
      </c>
      <c r="BW93" s="144">
        <v>0</v>
      </c>
      <c r="BX93" s="144">
        <v>0</v>
      </c>
      <c r="BY93" s="144">
        <v>0</v>
      </c>
      <c r="BZ93" s="144">
        <v>0</v>
      </c>
      <c r="CA93" s="144">
        <v>0</v>
      </c>
      <c r="CB93" s="144">
        <v>0</v>
      </c>
      <c r="CC93" s="144">
        <v>0</v>
      </c>
      <c r="CD93" s="144">
        <v>0</v>
      </c>
      <c r="CE93" s="144">
        <v>0</v>
      </c>
      <c r="CF93" s="144">
        <v>0</v>
      </c>
      <c r="CG93" s="144">
        <v>0</v>
      </c>
      <c r="CH93" s="144">
        <v>0</v>
      </c>
      <c r="CI93" s="144">
        <v>0</v>
      </c>
      <c r="CJ93" s="144">
        <v>0</v>
      </c>
      <c r="CK93" s="144">
        <v>0</v>
      </c>
      <c r="CL93" s="144">
        <v>0</v>
      </c>
      <c r="CM93" s="144">
        <v>0</v>
      </c>
      <c r="CN93" s="144">
        <v>0</v>
      </c>
      <c r="CO93" s="144">
        <v>0</v>
      </c>
      <c r="CP93" s="144">
        <v>0</v>
      </c>
      <c r="CQ93" s="144">
        <v>0</v>
      </c>
      <c r="CR93" s="144">
        <v>0</v>
      </c>
      <c r="CS93" s="144">
        <v>0</v>
      </c>
      <c r="CT93" s="144">
        <v>0</v>
      </c>
      <c r="CU93" s="144">
        <v>0</v>
      </c>
      <c r="CV93" s="144">
        <v>0</v>
      </c>
    </row>
    <row r="94" spans="1:100" x14ac:dyDescent="0.15">
      <c r="A94" s="180" t="s">
        <v>284</v>
      </c>
      <c r="B94" s="144">
        <v>5.1030976614591843E-3</v>
      </c>
      <c r="C94" s="144">
        <v>0</v>
      </c>
      <c r="D94" s="144">
        <v>0</v>
      </c>
      <c r="E94" s="144">
        <v>0</v>
      </c>
      <c r="F94" s="144">
        <v>0</v>
      </c>
      <c r="G94" s="144">
        <v>0</v>
      </c>
      <c r="H94" s="144">
        <v>0</v>
      </c>
      <c r="I94" s="144">
        <v>0</v>
      </c>
      <c r="J94" s="144">
        <v>0</v>
      </c>
      <c r="K94" s="144">
        <v>0</v>
      </c>
      <c r="L94" s="144">
        <v>0</v>
      </c>
      <c r="M94" s="144">
        <v>0</v>
      </c>
      <c r="N94" s="144">
        <v>0</v>
      </c>
      <c r="O94" s="144">
        <v>0</v>
      </c>
      <c r="P94" s="144">
        <v>0</v>
      </c>
      <c r="Q94" s="144">
        <v>0</v>
      </c>
      <c r="R94" s="144">
        <v>0</v>
      </c>
      <c r="S94" s="144">
        <v>0</v>
      </c>
      <c r="T94" s="144">
        <v>0</v>
      </c>
      <c r="U94" s="144">
        <v>0</v>
      </c>
      <c r="V94" s="144">
        <v>0</v>
      </c>
      <c r="W94" s="144">
        <v>0</v>
      </c>
      <c r="X94" s="144">
        <v>0</v>
      </c>
      <c r="Y94" s="144">
        <v>0</v>
      </c>
      <c r="Z94" s="144">
        <v>0</v>
      </c>
      <c r="AA94" s="144">
        <v>0</v>
      </c>
      <c r="AB94" s="144">
        <v>0</v>
      </c>
      <c r="AC94" s="144">
        <v>0</v>
      </c>
      <c r="AD94" s="144">
        <v>0</v>
      </c>
      <c r="AE94" s="144">
        <v>0</v>
      </c>
      <c r="AF94" s="144">
        <v>0</v>
      </c>
      <c r="AG94" s="144">
        <v>0</v>
      </c>
      <c r="AH94" s="144">
        <v>0</v>
      </c>
      <c r="AI94" s="144">
        <v>0</v>
      </c>
      <c r="AJ94" s="144">
        <v>0</v>
      </c>
      <c r="AK94" s="144">
        <v>0</v>
      </c>
      <c r="AL94" s="144">
        <v>0</v>
      </c>
      <c r="AM94" s="144">
        <v>0</v>
      </c>
      <c r="AN94" s="144">
        <v>0</v>
      </c>
      <c r="AO94" s="144">
        <v>0</v>
      </c>
      <c r="AP94" s="144">
        <v>6.4999999999999997E-3</v>
      </c>
      <c r="AQ94" s="144">
        <v>0</v>
      </c>
      <c r="AR94" s="144">
        <v>0</v>
      </c>
      <c r="AS94" s="144">
        <v>0</v>
      </c>
      <c r="AT94" s="144">
        <v>1.7500000000000005E-2</v>
      </c>
      <c r="AU94" s="144">
        <v>1.8001798542484244E-2</v>
      </c>
      <c r="AV94" s="144">
        <v>0</v>
      </c>
      <c r="AW94" s="144">
        <v>0</v>
      </c>
      <c r="AX94" s="144">
        <v>0</v>
      </c>
      <c r="AY94" s="144">
        <v>2.501259797693875E-3</v>
      </c>
      <c r="AZ94" s="144">
        <v>2.4999999999999996E-3</v>
      </c>
      <c r="BA94" s="144">
        <v>2.4991186370651418E-3</v>
      </c>
      <c r="BB94" s="144">
        <v>0</v>
      </c>
      <c r="BC94" s="144">
        <v>9.999999999999998E-4</v>
      </c>
      <c r="BD94" s="144">
        <v>2.499368220295064E-4</v>
      </c>
      <c r="BE94" s="144">
        <v>2.5003491740227691E-3</v>
      </c>
      <c r="BF94" s="144">
        <v>2.5006290777695647E-4</v>
      </c>
      <c r="BG94" s="144">
        <v>1.2500000000000002E-2</v>
      </c>
      <c r="BH94" s="144">
        <v>0</v>
      </c>
      <c r="BI94" s="144">
        <v>0</v>
      </c>
      <c r="BJ94" s="144">
        <v>2.4999999999999996E-3</v>
      </c>
      <c r="BK94" s="144">
        <v>0</v>
      </c>
      <c r="BL94" s="144">
        <v>0.10000000000000002</v>
      </c>
      <c r="BM94" s="144">
        <v>2.4997498610843897E-4</v>
      </c>
      <c r="BN94" s="144">
        <v>0</v>
      </c>
      <c r="BO94" s="144">
        <v>0</v>
      </c>
      <c r="BP94" s="144">
        <v>2.4999999999999995E-4</v>
      </c>
      <c r="BQ94" s="144">
        <v>0</v>
      </c>
      <c r="BR94" s="144">
        <v>0</v>
      </c>
      <c r="BS94" s="144">
        <v>0</v>
      </c>
      <c r="BT94" s="144">
        <v>0</v>
      </c>
      <c r="BU94" s="144">
        <v>0</v>
      </c>
      <c r="BV94" s="144">
        <v>0</v>
      </c>
      <c r="BW94" s="144">
        <v>0</v>
      </c>
      <c r="BX94" s="144">
        <v>0</v>
      </c>
      <c r="BY94" s="144">
        <v>0</v>
      </c>
      <c r="BZ94" s="144">
        <v>0</v>
      </c>
      <c r="CA94" s="144">
        <v>0</v>
      </c>
      <c r="CB94" s="144">
        <v>0</v>
      </c>
      <c r="CC94" s="144">
        <v>0</v>
      </c>
      <c r="CD94" s="144">
        <v>0</v>
      </c>
      <c r="CE94" s="144">
        <v>0</v>
      </c>
      <c r="CF94" s="144">
        <v>0</v>
      </c>
      <c r="CG94" s="144">
        <v>9.9990000999900002E-5</v>
      </c>
      <c r="CH94" s="144">
        <v>0</v>
      </c>
      <c r="CI94" s="144">
        <v>0</v>
      </c>
      <c r="CJ94" s="144">
        <v>0</v>
      </c>
      <c r="CK94" s="144">
        <v>0</v>
      </c>
      <c r="CL94" s="144">
        <v>0</v>
      </c>
      <c r="CM94" s="144">
        <v>0</v>
      </c>
      <c r="CN94" s="144">
        <v>0</v>
      </c>
      <c r="CO94" s="144">
        <v>0</v>
      </c>
      <c r="CP94" s="144">
        <v>0</v>
      </c>
      <c r="CQ94" s="144">
        <v>0</v>
      </c>
      <c r="CR94" s="144">
        <v>0</v>
      </c>
      <c r="CS94" s="144">
        <v>0</v>
      </c>
      <c r="CT94" s="144">
        <v>0</v>
      </c>
      <c r="CU94" s="144">
        <v>0</v>
      </c>
      <c r="CV94" s="144">
        <v>0</v>
      </c>
    </row>
    <row r="95" spans="1:100" x14ac:dyDescent="0.15">
      <c r="A95" s="180" t="s">
        <v>285</v>
      </c>
      <c r="B95" s="144">
        <v>0</v>
      </c>
      <c r="C95" s="144">
        <v>0</v>
      </c>
      <c r="D95" s="144">
        <v>0</v>
      </c>
      <c r="E95" s="144">
        <v>0</v>
      </c>
      <c r="F95" s="144">
        <v>0</v>
      </c>
      <c r="G95" s="144">
        <v>0</v>
      </c>
      <c r="H95" s="144">
        <v>0</v>
      </c>
      <c r="I95" s="144">
        <v>0</v>
      </c>
      <c r="J95" s="144">
        <v>0</v>
      </c>
      <c r="K95" s="144">
        <v>0</v>
      </c>
      <c r="L95" s="144">
        <v>0</v>
      </c>
      <c r="M95" s="144">
        <v>0</v>
      </c>
      <c r="N95" s="144">
        <v>0</v>
      </c>
      <c r="O95" s="144">
        <v>0</v>
      </c>
      <c r="P95" s="144">
        <v>0</v>
      </c>
      <c r="Q95" s="144">
        <v>0</v>
      </c>
      <c r="R95" s="144">
        <v>0</v>
      </c>
      <c r="S95" s="144">
        <v>0</v>
      </c>
      <c r="T95" s="144">
        <v>0</v>
      </c>
      <c r="U95" s="144">
        <v>0</v>
      </c>
      <c r="V95" s="144">
        <v>0</v>
      </c>
      <c r="W95" s="144">
        <v>0</v>
      </c>
      <c r="X95" s="144">
        <v>0</v>
      </c>
      <c r="Y95" s="144">
        <v>0</v>
      </c>
      <c r="Z95" s="144">
        <v>0</v>
      </c>
      <c r="AA95" s="144">
        <v>0</v>
      </c>
      <c r="AB95" s="144">
        <v>0.05</v>
      </c>
      <c r="AC95" s="144">
        <v>0</v>
      </c>
      <c r="AD95" s="144">
        <v>0</v>
      </c>
      <c r="AE95" s="144">
        <v>0</v>
      </c>
      <c r="AF95" s="144">
        <v>0</v>
      </c>
      <c r="AG95" s="144">
        <v>0</v>
      </c>
      <c r="AH95" s="144">
        <v>0</v>
      </c>
      <c r="AI95" s="144">
        <v>0</v>
      </c>
      <c r="AJ95" s="144">
        <v>0</v>
      </c>
      <c r="AK95" s="144">
        <v>0</v>
      </c>
      <c r="AL95" s="144">
        <v>0</v>
      </c>
      <c r="AM95" s="144">
        <v>1</v>
      </c>
      <c r="AN95" s="144">
        <v>0</v>
      </c>
      <c r="AO95" s="144">
        <v>0</v>
      </c>
      <c r="AP95" s="144">
        <v>0</v>
      </c>
      <c r="AQ95" s="144">
        <v>0</v>
      </c>
      <c r="AR95" s="144">
        <v>0</v>
      </c>
      <c r="AS95" s="144">
        <v>0</v>
      </c>
      <c r="AT95" s="144">
        <v>0</v>
      </c>
      <c r="AU95" s="144">
        <v>0</v>
      </c>
      <c r="AV95" s="144">
        <v>0</v>
      </c>
      <c r="AW95" s="144">
        <v>0</v>
      </c>
      <c r="AX95" s="144">
        <v>0</v>
      </c>
      <c r="AY95" s="144">
        <v>0</v>
      </c>
      <c r="AZ95" s="144">
        <v>3.9999999999999994E-2</v>
      </c>
      <c r="BA95" s="144">
        <v>3.9985899313042243E-2</v>
      </c>
      <c r="BB95" s="144">
        <v>0</v>
      </c>
      <c r="BC95" s="144">
        <v>3.9999999999999992E-3</v>
      </c>
      <c r="BD95" s="144">
        <v>3.9989891604721023E-3</v>
      </c>
      <c r="BE95" s="144">
        <v>0</v>
      </c>
      <c r="BF95" s="144">
        <v>9.0022642799704213E-3</v>
      </c>
      <c r="BG95" s="144">
        <v>0</v>
      </c>
      <c r="BH95" s="144">
        <v>0</v>
      </c>
      <c r="BI95" s="144">
        <v>0</v>
      </c>
      <c r="BJ95" s="144">
        <v>2.9999999999999992E-2</v>
      </c>
      <c r="BK95" s="144">
        <v>0</v>
      </c>
      <c r="BL95" s="144">
        <v>1.0000000000000002E-2</v>
      </c>
      <c r="BM95" s="144">
        <v>0</v>
      </c>
      <c r="BN95" s="144">
        <v>0</v>
      </c>
      <c r="BO95" s="144">
        <v>0</v>
      </c>
      <c r="BP95" s="144">
        <v>0.19899999999999995</v>
      </c>
      <c r="BQ95" s="144">
        <v>0</v>
      </c>
      <c r="BR95" s="144">
        <v>0.05</v>
      </c>
      <c r="BS95" s="144">
        <v>0</v>
      </c>
      <c r="BT95" s="144">
        <v>0</v>
      </c>
      <c r="BU95" s="144">
        <v>0</v>
      </c>
      <c r="BV95" s="144">
        <v>0</v>
      </c>
      <c r="BW95" s="144">
        <v>0</v>
      </c>
      <c r="BX95" s="144">
        <v>0</v>
      </c>
      <c r="BY95" s="144">
        <v>0</v>
      </c>
      <c r="BZ95" s="144">
        <v>0</v>
      </c>
      <c r="CA95" s="144">
        <v>0</v>
      </c>
      <c r="CB95" s="144">
        <v>0</v>
      </c>
      <c r="CC95" s="144">
        <v>0</v>
      </c>
      <c r="CD95" s="144">
        <v>0</v>
      </c>
      <c r="CE95" s="144">
        <v>0</v>
      </c>
      <c r="CF95" s="144">
        <v>0</v>
      </c>
      <c r="CG95" s="144">
        <v>0</v>
      </c>
      <c r="CH95" s="144">
        <v>0</v>
      </c>
      <c r="CI95" s="144">
        <v>0</v>
      </c>
      <c r="CJ95" s="144">
        <v>0</v>
      </c>
      <c r="CK95" s="144">
        <v>0</v>
      </c>
      <c r="CL95" s="144">
        <v>0</v>
      </c>
      <c r="CM95" s="144">
        <v>0</v>
      </c>
      <c r="CN95" s="144">
        <v>0</v>
      </c>
      <c r="CO95" s="144">
        <v>0</v>
      </c>
      <c r="CP95" s="144">
        <v>0</v>
      </c>
      <c r="CQ95" s="144">
        <v>0</v>
      </c>
      <c r="CR95" s="144">
        <v>0</v>
      </c>
      <c r="CS95" s="144">
        <v>0</v>
      </c>
      <c r="CT95" s="144">
        <v>0</v>
      </c>
      <c r="CU95" s="144">
        <v>0</v>
      </c>
      <c r="CV95" s="144">
        <v>0</v>
      </c>
    </row>
    <row r="96" spans="1:100" x14ac:dyDescent="0.15">
      <c r="A96" s="180" t="s">
        <v>286</v>
      </c>
      <c r="B96" s="144">
        <v>0</v>
      </c>
      <c r="C96" s="144">
        <v>0</v>
      </c>
      <c r="D96" s="144">
        <v>0</v>
      </c>
      <c r="E96" s="144">
        <v>0</v>
      </c>
      <c r="F96" s="144">
        <v>0</v>
      </c>
      <c r="G96" s="144">
        <v>0</v>
      </c>
      <c r="H96" s="144">
        <v>0</v>
      </c>
      <c r="I96" s="144">
        <v>0</v>
      </c>
      <c r="J96" s="144">
        <v>0</v>
      </c>
      <c r="K96" s="144">
        <v>0</v>
      </c>
      <c r="L96" s="144">
        <v>0</v>
      </c>
      <c r="M96" s="144">
        <v>0</v>
      </c>
      <c r="N96" s="144">
        <v>0</v>
      </c>
      <c r="O96" s="144">
        <v>0</v>
      </c>
      <c r="P96" s="144">
        <v>0</v>
      </c>
      <c r="Q96" s="144">
        <v>0</v>
      </c>
      <c r="R96" s="144">
        <v>0</v>
      </c>
      <c r="S96" s="144">
        <v>0</v>
      </c>
      <c r="T96" s="144">
        <v>0</v>
      </c>
      <c r="U96" s="144">
        <v>0</v>
      </c>
      <c r="V96" s="144">
        <v>0</v>
      </c>
      <c r="W96" s="144">
        <v>0</v>
      </c>
      <c r="X96" s="144">
        <v>0</v>
      </c>
      <c r="Y96" s="144">
        <v>0</v>
      </c>
      <c r="Z96" s="144">
        <v>0</v>
      </c>
      <c r="AA96" s="144">
        <v>0</v>
      </c>
      <c r="AB96" s="144">
        <v>0</v>
      </c>
      <c r="AC96" s="144">
        <v>0</v>
      </c>
      <c r="AD96" s="144">
        <v>0</v>
      </c>
      <c r="AE96" s="144">
        <v>0</v>
      </c>
      <c r="AF96" s="144">
        <v>0</v>
      </c>
      <c r="AG96" s="144">
        <v>0</v>
      </c>
      <c r="AH96" s="144">
        <v>0</v>
      </c>
      <c r="AI96" s="144">
        <v>0</v>
      </c>
      <c r="AJ96" s="144">
        <v>0</v>
      </c>
      <c r="AK96" s="144">
        <v>0</v>
      </c>
      <c r="AL96" s="144">
        <v>0</v>
      </c>
      <c r="AM96" s="144">
        <v>0</v>
      </c>
      <c r="AN96" s="144">
        <v>0</v>
      </c>
      <c r="AO96" s="144">
        <v>0</v>
      </c>
      <c r="AP96" s="144">
        <v>0</v>
      </c>
      <c r="AQ96" s="144">
        <v>0</v>
      </c>
      <c r="AR96" s="144">
        <v>0</v>
      </c>
      <c r="AS96" s="144">
        <v>0</v>
      </c>
      <c r="AT96" s="144">
        <v>0</v>
      </c>
      <c r="AU96" s="144">
        <v>0</v>
      </c>
      <c r="AV96" s="144">
        <v>0</v>
      </c>
      <c r="AW96" s="144">
        <v>0</v>
      </c>
      <c r="AX96" s="144">
        <v>0</v>
      </c>
      <c r="AY96" s="144">
        <v>0</v>
      </c>
      <c r="AZ96" s="144">
        <v>0</v>
      </c>
      <c r="BA96" s="144">
        <v>0</v>
      </c>
      <c r="BB96" s="144">
        <v>0.05</v>
      </c>
      <c r="BC96" s="144">
        <v>3.9999999999999992E-3</v>
      </c>
      <c r="BD96" s="144">
        <v>3.9989891604721023E-3</v>
      </c>
      <c r="BE96" s="144">
        <v>0</v>
      </c>
      <c r="BF96" s="144">
        <v>4.0010066044313067E-3</v>
      </c>
      <c r="BG96" s="144">
        <v>0</v>
      </c>
      <c r="BH96" s="144">
        <v>0</v>
      </c>
      <c r="BI96" s="144">
        <v>0</v>
      </c>
      <c r="BJ96" s="144">
        <v>2.9999999999999992E-2</v>
      </c>
      <c r="BK96" s="144">
        <v>0</v>
      </c>
      <c r="BL96" s="144">
        <v>1.0000000000000002E-2</v>
      </c>
      <c r="BM96" s="144">
        <v>0</v>
      </c>
      <c r="BN96" s="144">
        <v>0</v>
      </c>
      <c r="BO96" s="144">
        <v>0</v>
      </c>
      <c r="BP96" s="144">
        <v>0</v>
      </c>
      <c r="BQ96" s="144">
        <v>0.15</v>
      </c>
      <c r="BR96" s="144">
        <v>0</v>
      </c>
      <c r="BS96" s="144">
        <v>0.05</v>
      </c>
      <c r="BT96" s="144">
        <v>0</v>
      </c>
      <c r="BU96" s="144">
        <v>0</v>
      </c>
      <c r="BV96" s="144">
        <v>0</v>
      </c>
      <c r="BW96" s="144">
        <v>0</v>
      </c>
      <c r="BX96" s="144">
        <v>0</v>
      </c>
      <c r="BY96" s="144">
        <v>0</v>
      </c>
      <c r="BZ96" s="144">
        <v>0</v>
      </c>
      <c r="CA96" s="144">
        <v>0</v>
      </c>
      <c r="CB96" s="144">
        <v>0</v>
      </c>
      <c r="CC96" s="144">
        <v>0</v>
      </c>
      <c r="CD96" s="144">
        <v>0</v>
      </c>
      <c r="CE96" s="144">
        <v>0</v>
      </c>
      <c r="CF96" s="144">
        <v>0.1</v>
      </c>
      <c r="CG96" s="144">
        <v>0</v>
      </c>
      <c r="CH96" s="144">
        <v>0</v>
      </c>
      <c r="CI96" s="144">
        <v>0</v>
      </c>
      <c r="CJ96" s="144">
        <v>0</v>
      </c>
      <c r="CK96" s="144">
        <v>0</v>
      </c>
      <c r="CL96" s="144">
        <v>0</v>
      </c>
      <c r="CM96" s="144">
        <v>0</v>
      </c>
      <c r="CN96" s="144">
        <v>0</v>
      </c>
      <c r="CO96" s="144">
        <v>0</v>
      </c>
      <c r="CP96" s="144">
        <v>0</v>
      </c>
      <c r="CQ96" s="144">
        <v>0</v>
      </c>
      <c r="CR96" s="144">
        <v>0</v>
      </c>
      <c r="CS96" s="144">
        <v>0</v>
      </c>
      <c r="CT96" s="144">
        <v>0</v>
      </c>
      <c r="CU96" s="144">
        <v>0</v>
      </c>
      <c r="CV96" s="144">
        <v>0</v>
      </c>
    </row>
    <row r="97" spans="1:100" x14ac:dyDescent="0.15">
      <c r="A97" s="180" t="s">
        <v>287</v>
      </c>
      <c r="B97" s="144">
        <v>0</v>
      </c>
      <c r="C97" s="144">
        <v>0</v>
      </c>
      <c r="D97" s="144">
        <v>0</v>
      </c>
      <c r="E97" s="144">
        <v>0</v>
      </c>
      <c r="F97" s="144">
        <v>0</v>
      </c>
      <c r="G97" s="144">
        <v>0</v>
      </c>
      <c r="H97" s="144">
        <v>0</v>
      </c>
      <c r="I97" s="144">
        <v>0</v>
      </c>
      <c r="J97" s="144">
        <v>0</v>
      </c>
      <c r="K97" s="144">
        <v>0</v>
      </c>
      <c r="L97" s="144">
        <v>2.5681999671270411E-4</v>
      </c>
      <c r="M97" s="144">
        <v>0</v>
      </c>
      <c r="N97" s="144">
        <v>0</v>
      </c>
      <c r="O97" s="144">
        <v>0</v>
      </c>
      <c r="P97" s="144">
        <v>0</v>
      </c>
      <c r="Q97" s="144">
        <v>0</v>
      </c>
      <c r="R97" s="144">
        <v>0</v>
      </c>
      <c r="S97" s="144">
        <v>0</v>
      </c>
      <c r="T97" s="144">
        <v>0</v>
      </c>
      <c r="U97" s="144">
        <v>0</v>
      </c>
      <c r="V97" s="144">
        <v>0</v>
      </c>
      <c r="W97" s="144">
        <v>0</v>
      </c>
      <c r="X97" s="144">
        <v>0</v>
      </c>
      <c r="Y97" s="144">
        <v>0</v>
      </c>
      <c r="Z97" s="144">
        <v>0</v>
      </c>
      <c r="AA97" s="144">
        <v>0</v>
      </c>
      <c r="AB97" s="144">
        <v>0</v>
      </c>
      <c r="AC97" s="144">
        <v>0</v>
      </c>
      <c r="AD97" s="144">
        <v>0</v>
      </c>
      <c r="AE97" s="144">
        <v>4.8146746532895332E-5</v>
      </c>
      <c r="AF97" s="144">
        <v>1.209413305533915E-4</v>
      </c>
      <c r="AG97" s="144">
        <v>0</v>
      </c>
      <c r="AH97" s="144">
        <v>0</v>
      </c>
      <c r="AI97" s="144">
        <v>0</v>
      </c>
      <c r="AJ97" s="144">
        <v>0</v>
      </c>
      <c r="AK97" s="144">
        <v>0</v>
      </c>
      <c r="AL97" s="144">
        <v>0.1</v>
      </c>
      <c r="AM97" s="144">
        <v>0</v>
      </c>
      <c r="AN97" s="144">
        <v>0</v>
      </c>
      <c r="AO97" s="144">
        <v>0.2</v>
      </c>
      <c r="AP97" s="144">
        <v>0</v>
      </c>
      <c r="AQ97" s="144">
        <v>0</v>
      </c>
      <c r="AR97" s="144">
        <v>0</v>
      </c>
      <c r="AS97" s="144">
        <v>0</v>
      </c>
      <c r="AT97" s="144">
        <v>0</v>
      </c>
      <c r="AU97" s="144">
        <v>0</v>
      </c>
      <c r="AV97" s="144">
        <v>0</v>
      </c>
      <c r="AW97" s="144">
        <v>0</v>
      </c>
      <c r="AX97" s="144">
        <v>0</v>
      </c>
      <c r="AY97" s="144">
        <v>0</v>
      </c>
      <c r="AZ97" s="144">
        <v>9.9999999999999985E-3</v>
      </c>
      <c r="BA97" s="144">
        <v>9.9964748282605608E-3</v>
      </c>
      <c r="BB97" s="144">
        <v>0</v>
      </c>
      <c r="BC97" s="144">
        <v>0</v>
      </c>
      <c r="BD97" s="144">
        <v>0</v>
      </c>
      <c r="BE97" s="144">
        <v>0</v>
      </c>
      <c r="BF97" s="144">
        <v>0</v>
      </c>
      <c r="BG97" s="144">
        <v>0</v>
      </c>
      <c r="BH97" s="144">
        <v>0</v>
      </c>
      <c r="BI97" s="144">
        <v>0</v>
      </c>
      <c r="BJ97" s="144">
        <v>0</v>
      </c>
      <c r="BK97" s="144">
        <v>0.02</v>
      </c>
      <c r="BL97" s="144">
        <v>0</v>
      </c>
      <c r="BM97" s="144">
        <v>6.9993000870362976E-2</v>
      </c>
      <c r="BN97" s="144">
        <v>0</v>
      </c>
      <c r="BO97" s="144">
        <v>0</v>
      </c>
      <c r="BP97" s="144">
        <v>0</v>
      </c>
      <c r="BQ97" s="144">
        <v>7.0000000000000007E-2</v>
      </c>
      <c r="BR97" s="144">
        <v>0</v>
      </c>
      <c r="BS97" s="144">
        <v>0.05</v>
      </c>
      <c r="BT97" s="144">
        <v>0</v>
      </c>
      <c r="BU97" s="144">
        <v>0</v>
      </c>
      <c r="BV97" s="144">
        <v>0</v>
      </c>
      <c r="BW97" s="144">
        <v>0</v>
      </c>
      <c r="BX97" s="144">
        <v>0</v>
      </c>
      <c r="BY97" s="144">
        <v>0</v>
      </c>
      <c r="BZ97" s="144">
        <v>0</v>
      </c>
      <c r="CA97" s="144">
        <v>0.09</v>
      </c>
      <c r="CB97" s="144">
        <v>0</v>
      </c>
      <c r="CC97" s="144">
        <v>0.249</v>
      </c>
      <c r="CD97" s="144">
        <v>0</v>
      </c>
      <c r="CE97" s="144">
        <v>0.05</v>
      </c>
      <c r="CF97" s="144">
        <v>0.1</v>
      </c>
      <c r="CG97" s="144">
        <v>0</v>
      </c>
      <c r="CH97" s="144">
        <v>0.5</v>
      </c>
      <c r="CI97" s="144">
        <v>0</v>
      </c>
      <c r="CJ97" s="144">
        <v>0</v>
      </c>
      <c r="CK97" s="144">
        <v>0</v>
      </c>
      <c r="CL97" s="144">
        <v>0</v>
      </c>
      <c r="CM97" s="144">
        <v>0</v>
      </c>
      <c r="CN97" s="144">
        <v>0</v>
      </c>
      <c r="CO97" s="144">
        <v>0</v>
      </c>
      <c r="CP97" s="144">
        <v>0</v>
      </c>
      <c r="CQ97" s="144">
        <v>0</v>
      </c>
      <c r="CR97" s="144">
        <v>0</v>
      </c>
      <c r="CS97" s="144">
        <v>0</v>
      </c>
      <c r="CT97" s="144">
        <v>0</v>
      </c>
      <c r="CU97" s="144">
        <v>0</v>
      </c>
      <c r="CV97" s="144">
        <v>0</v>
      </c>
    </row>
    <row r="98" spans="1:100" x14ac:dyDescent="0.15">
      <c r="A98" s="180" t="s">
        <v>288</v>
      </c>
      <c r="B98" s="144">
        <v>0</v>
      </c>
      <c r="C98" s="144">
        <v>0</v>
      </c>
      <c r="D98" s="144">
        <v>0</v>
      </c>
      <c r="E98" s="144">
        <v>0</v>
      </c>
      <c r="F98" s="144">
        <v>0</v>
      </c>
      <c r="G98" s="144">
        <v>0</v>
      </c>
      <c r="H98" s="144">
        <v>0</v>
      </c>
      <c r="I98" s="144">
        <v>0</v>
      </c>
      <c r="J98" s="144">
        <v>0</v>
      </c>
      <c r="K98" s="144">
        <v>0</v>
      </c>
      <c r="L98" s="144">
        <v>0</v>
      </c>
      <c r="M98" s="144">
        <v>0</v>
      </c>
      <c r="N98" s="144">
        <v>0</v>
      </c>
      <c r="O98" s="144">
        <v>0</v>
      </c>
      <c r="P98" s="144">
        <v>0</v>
      </c>
      <c r="Q98" s="144">
        <v>0</v>
      </c>
      <c r="R98" s="144">
        <v>0</v>
      </c>
      <c r="S98" s="144">
        <v>0</v>
      </c>
      <c r="T98" s="144">
        <v>0</v>
      </c>
      <c r="U98" s="144">
        <v>0</v>
      </c>
      <c r="V98" s="144">
        <v>0</v>
      </c>
      <c r="W98" s="144">
        <v>0</v>
      </c>
      <c r="X98" s="144">
        <v>0</v>
      </c>
      <c r="Y98" s="144">
        <v>0</v>
      </c>
      <c r="Z98" s="144">
        <v>0</v>
      </c>
      <c r="AA98" s="144">
        <v>0</v>
      </c>
      <c r="AB98" s="144">
        <v>0</v>
      </c>
      <c r="AC98" s="144">
        <v>0</v>
      </c>
      <c r="AD98" s="144">
        <v>0</v>
      </c>
      <c r="AE98" s="144">
        <v>0</v>
      </c>
      <c r="AF98" s="144">
        <v>0</v>
      </c>
      <c r="AG98" s="144">
        <v>0</v>
      </c>
      <c r="AH98" s="144">
        <v>0</v>
      </c>
      <c r="AI98" s="144">
        <v>0</v>
      </c>
      <c r="AJ98" s="144">
        <v>0</v>
      </c>
      <c r="AK98" s="144">
        <v>0</v>
      </c>
      <c r="AL98" s="144">
        <v>0.75</v>
      </c>
      <c r="AM98" s="144">
        <v>0</v>
      </c>
      <c r="AN98" s="144">
        <v>0</v>
      </c>
      <c r="AO98" s="144">
        <v>0</v>
      </c>
      <c r="AP98" s="144">
        <v>0</v>
      </c>
      <c r="AQ98" s="144">
        <v>0</v>
      </c>
      <c r="AR98" s="144">
        <v>0</v>
      </c>
      <c r="AS98" s="144">
        <v>0</v>
      </c>
      <c r="AT98" s="144">
        <v>0</v>
      </c>
      <c r="AU98" s="144">
        <v>0</v>
      </c>
      <c r="AV98" s="144">
        <v>0</v>
      </c>
      <c r="AW98" s="144">
        <v>0</v>
      </c>
      <c r="AX98" s="144">
        <v>0</v>
      </c>
      <c r="AY98" s="144">
        <v>0</v>
      </c>
      <c r="AZ98" s="144">
        <v>0</v>
      </c>
      <c r="BA98" s="144">
        <v>0</v>
      </c>
      <c r="BB98" s="144">
        <v>0.15</v>
      </c>
      <c r="BC98" s="144">
        <v>3.9999999999999994E-2</v>
      </c>
      <c r="BD98" s="144">
        <v>3.9989889204721074E-2</v>
      </c>
      <c r="BE98" s="144">
        <v>0</v>
      </c>
      <c r="BF98" s="144">
        <v>4.0010061244312917E-2</v>
      </c>
      <c r="BG98" s="144">
        <v>0</v>
      </c>
      <c r="BH98" s="144">
        <v>0.2</v>
      </c>
      <c r="BI98" s="144">
        <v>0</v>
      </c>
      <c r="BJ98" s="144">
        <v>2.9999999999999992E-2</v>
      </c>
      <c r="BK98" s="144">
        <v>0.03</v>
      </c>
      <c r="BL98" s="144">
        <v>9.0000000000000011E-2</v>
      </c>
      <c r="BM98" s="144">
        <v>6.9993000870362976E-2</v>
      </c>
      <c r="BN98" s="144">
        <v>0</v>
      </c>
      <c r="BO98" s="144">
        <v>0.13</v>
      </c>
      <c r="BP98" s="144">
        <v>0</v>
      </c>
      <c r="BQ98" s="144">
        <v>7.0000000000000007E-2</v>
      </c>
      <c r="BR98" s="144">
        <v>0</v>
      </c>
      <c r="BS98" s="144">
        <v>0.32</v>
      </c>
      <c r="BT98" s="144">
        <v>0</v>
      </c>
      <c r="BU98" s="144">
        <v>0.2</v>
      </c>
      <c r="BV98" s="144">
        <v>0</v>
      </c>
      <c r="BW98" s="144">
        <v>0.44</v>
      </c>
      <c r="BX98" s="144">
        <v>0</v>
      </c>
      <c r="BY98" s="144">
        <v>0</v>
      </c>
      <c r="BZ98" s="144">
        <v>0</v>
      </c>
      <c r="CA98" s="144">
        <v>0</v>
      </c>
      <c r="CB98" s="144">
        <v>0</v>
      </c>
      <c r="CC98" s="144">
        <v>0</v>
      </c>
      <c r="CD98" s="144">
        <v>0</v>
      </c>
      <c r="CE98" s="144">
        <v>0.05</v>
      </c>
      <c r="CF98" s="144">
        <v>0.7</v>
      </c>
      <c r="CG98" s="144">
        <v>0</v>
      </c>
      <c r="CH98" s="144">
        <v>0.45400000000000001</v>
      </c>
      <c r="CI98" s="144">
        <v>0</v>
      </c>
      <c r="CJ98" s="144">
        <v>0</v>
      </c>
      <c r="CK98" s="144">
        <v>0</v>
      </c>
      <c r="CL98" s="144">
        <v>0</v>
      </c>
      <c r="CM98" s="144">
        <v>0</v>
      </c>
      <c r="CN98" s="144">
        <v>0</v>
      </c>
      <c r="CO98" s="144">
        <v>0</v>
      </c>
      <c r="CP98" s="144">
        <v>0</v>
      </c>
      <c r="CQ98" s="144">
        <v>0</v>
      </c>
      <c r="CR98" s="144">
        <v>0</v>
      </c>
      <c r="CS98" s="144">
        <v>0</v>
      </c>
      <c r="CT98" s="144">
        <v>0</v>
      </c>
      <c r="CU98" s="144">
        <v>0</v>
      </c>
      <c r="CV98" s="144">
        <v>0</v>
      </c>
    </row>
    <row r="99" spans="1:100" x14ac:dyDescent="0.15">
      <c r="A99" s="180" t="s">
        <v>289</v>
      </c>
      <c r="B99" s="144">
        <v>0</v>
      </c>
      <c r="C99" s="144">
        <v>0</v>
      </c>
      <c r="D99" s="144">
        <v>0</v>
      </c>
      <c r="E99" s="144">
        <v>0</v>
      </c>
      <c r="F99" s="144">
        <v>0</v>
      </c>
      <c r="G99" s="144">
        <v>0</v>
      </c>
      <c r="H99" s="144">
        <v>0</v>
      </c>
      <c r="I99" s="144">
        <v>0</v>
      </c>
      <c r="J99" s="144">
        <v>0</v>
      </c>
      <c r="K99" s="144">
        <v>0</v>
      </c>
      <c r="L99" s="144">
        <v>0</v>
      </c>
      <c r="M99" s="144">
        <v>0</v>
      </c>
      <c r="N99" s="144">
        <v>0</v>
      </c>
      <c r="O99" s="144">
        <v>0</v>
      </c>
      <c r="P99" s="144">
        <v>0</v>
      </c>
      <c r="Q99" s="144">
        <v>0</v>
      </c>
      <c r="R99" s="144">
        <v>0</v>
      </c>
      <c r="S99" s="144">
        <v>0</v>
      </c>
      <c r="T99" s="144">
        <v>0</v>
      </c>
      <c r="U99" s="144">
        <v>0</v>
      </c>
      <c r="V99" s="144">
        <v>0</v>
      </c>
      <c r="W99" s="144">
        <v>0</v>
      </c>
      <c r="X99" s="144">
        <v>0</v>
      </c>
      <c r="Y99" s="144">
        <v>0</v>
      </c>
      <c r="Z99" s="144">
        <v>0</v>
      </c>
      <c r="AA99" s="144">
        <v>0</v>
      </c>
      <c r="AB99" s="144">
        <v>0</v>
      </c>
      <c r="AC99" s="144">
        <v>0</v>
      </c>
      <c r="AD99" s="144">
        <v>0</v>
      </c>
      <c r="AE99" s="144">
        <v>0</v>
      </c>
      <c r="AF99" s="144">
        <v>5.8211709785037551E-3</v>
      </c>
      <c r="AG99" s="144">
        <v>0</v>
      </c>
      <c r="AH99" s="144">
        <v>0</v>
      </c>
      <c r="AI99" s="144">
        <v>0</v>
      </c>
      <c r="AJ99" s="144">
        <v>0</v>
      </c>
      <c r="AK99" s="144">
        <v>0</v>
      </c>
      <c r="AL99" s="144">
        <v>0</v>
      </c>
      <c r="AM99" s="144">
        <v>0</v>
      </c>
      <c r="AN99" s="144">
        <v>0</v>
      </c>
      <c r="AO99" s="144">
        <v>0</v>
      </c>
      <c r="AP99" s="144">
        <v>0</v>
      </c>
      <c r="AQ99" s="144">
        <v>0</v>
      </c>
      <c r="AR99" s="144">
        <v>0</v>
      </c>
      <c r="AS99" s="144">
        <v>0</v>
      </c>
      <c r="AT99" s="144">
        <v>0</v>
      </c>
      <c r="AU99" s="144">
        <v>0</v>
      </c>
      <c r="AV99" s="144">
        <v>0</v>
      </c>
      <c r="AW99" s="144">
        <v>0</v>
      </c>
      <c r="AX99" s="144">
        <v>0</v>
      </c>
      <c r="AY99" s="144">
        <v>0</v>
      </c>
      <c r="AZ99" s="144">
        <v>9.9999999999999985E-3</v>
      </c>
      <c r="BA99" s="144">
        <v>9.9964748282605608E-3</v>
      </c>
      <c r="BB99" s="144">
        <v>0</v>
      </c>
      <c r="BC99" s="144">
        <v>0</v>
      </c>
      <c r="BD99" s="144">
        <v>0</v>
      </c>
      <c r="BE99" s="144">
        <v>0</v>
      </c>
      <c r="BF99" s="144">
        <v>0</v>
      </c>
      <c r="BG99" s="144">
        <v>0</v>
      </c>
      <c r="BH99" s="144">
        <v>0</v>
      </c>
      <c r="BI99" s="144">
        <v>0</v>
      </c>
      <c r="BJ99" s="144">
        <v>0</v>
      </c>
      <c r="BK99" s="144">
        <v>0.25</v>
      </c>
      <c r="BL99" s="144">
        <v>0</v>
      </c>
      <c r="BM99" s="144">
        <v>9.9989996643375628E-2</v>
      </c>
      <c r="BN99" s="144">
        <v>0.13</v>
      </c>
      <c r="BO99" s="144">
        <v>0.41</v>
      </c>
      <c r="BP99" s="144">
        <v>6.9999999999999993E-2</v>
      </c>
      <c r="BQ99" s="144">
        <v>0</v>
      </c>
      <c r="BR99" s="144">
        <v>0.05</v>
      </c>
      <c r="BS99" s="144">
        <v>0</v>
      </c>
      <c r="BT99" s="144">
        <v>0</v>
      </c>
      <c r="BU99" s="144">
        <v>0</v>
      </c>
      <c r="BV99" s="144">
        <v>0</v>
      </c>
      <c r="BW99" s="144">
        <v>0</v>
      </c>
      <c r="BX99" s="144">
        <v>0</v>
      </c>
      <c r="BY99" s="144">
        <v>0</v>
      </c>
      <c r="BZ99" s="144">
        <v>9.9999999999999978E-2</v>
      </c>
      <c r="CA99" s="144">
        <v>0.2</v>
      </c>
      <c r="CB99" s="144">
        <v>0.2</v>
      </c>
      <c r="CC99" s="144">
        <v>0</v>
      </c>
      <c r="CD99" s="144">
        <v>5.9999999999999984E-2</v>
      </c>
      <c r="CE99" s="144">
        <v>0</v>
      </c>
      <c r="CF99" s="144">
        <v>0</v>
      </c>
      <c r="CG99" s="144">
        <v>0.49995000499950004</v>
      </c>
      <c r="CH99" s="144">
        <v>0</v>
      </c>
      <c r="CI99" s="144">
        <v>0</v>
      </c>
      <c r="CJ99" s="144">
        <v>0</v>
      </c>
      <c r="CK99" s="144">
        <v>0</v>
      </c>
      <c r="CL99" s="144">
        <v>0</v>
      </c>
      <c r="CM99" s="144">
        <v>0</v>
      </c>
      <c r="CN99" s="144">
        <v>0</v>
      </c>
      <c r="CO99" s="144">
        <v>0</v>
      </c>
      <c r="CP99" s="144">
        <v>0</v>
      </c>
      <c r="CQ99" s="144">
        <v>0</v>
      </c>
      <c r="CR99" s="144">
        <v>0</v>
      </c>
      <c r="CS99" s="144">
        <v>0</v>
      </c>
      <c r="CT99" s="144">
        <v>0</v>
      </c>
      <c r="CU99" s="144">
        <v>0</v>
      </c>
      <c r="CV99" s="144">
        <v>0</v>
      </c>
    </row>
    <row r="100" spans="1:100" x14ac:dyDescent="0.15">
      <c r="A100" s="180" t="s">
        <v>290</v>
      </c>
      <c r="B100" s="144">
        <v>0</v>
      </c>
      <c r="C100" s="144">
        <v>0</v>
      </c>
      <c r="D100" s="144">
        <v>0</v>
      </c>
      <c r="E100" s="144">
        <v>0</v>
      </c>
      <c r="F100" s="144">
        <v>0</v>
      </c>
      <c r="G100" s="144">
        <v>0</v>
      </c>
      <c r="H100" s="144">
        <v>0</v>
      </c>
      <c r="I100" s="144">
        <v>0</v>
      </c>
      <c r="J100" s="144">
        <v>0</v>
      </c>
      <c r="K100" s="144">
        <v>0</v>
      </c>
      <c r="L100" s="144">
        <v>0</v>
      </c>
      <c r="M100" s="144">
        <v>0</v>
      </c>
      <c r="N100" s="144">
        <v>0</v>
      </c>
      <c r="O100" s="144">
        <v>0</v>
      </c>
      <c r="P100" s="144">
        <v>0</v>
      </c>
      <c r="Q100" s="144">
        <v>0</v>
      </c>
      <c r="R100" s="144">
        <v>0</v>
      </c>
      <c r="S100" s="144">
        <v>0</v>
      </c>
      <c r="T100" s="144">
        <v>0</v>
      </c>
      <c r="U100" s="144">
        <v>0</v>
      </c>
      <c r="V100" s="144">
        <v>0</v>
      </c>
      <c r="W100" s="144">
        <v>0</v>
      </c>
      <c r="X100" s="144">
        <v>0</v>
      </c>
      <c r="Y100" s="144">
        <v>0</v>
      </c>
      <c r="Z100" s="144">
        <v>0</v>
      </c>
      <c r="AA100" s="144">
        <v>0</v>
      </c>
      <c r="AB100" s="144">
        <v>0.05</v>
      </c>
      <c r="AC100" s="144">
        <v>0</v>
      </c>
      <c r="AD100" s="144">
        <v>0</v>
      </c>
      <c r="AE100" s="144">
        <v>0</v>
      </c>
      <c r="AF100" s="144">
        <v>0</v>
      </c>
      <c r="AG100" s="144">
        <v>0</v>
      </c>
      <c r="AH100" s="144">
        <v>0</v>
      </c>
      <c r="AI100" s="144">
        <v>0</v>
      </c>
      <c r="AJ100" s="144">
        <v>0</v>
      </c>
      <c r="AK100" s="144">
        <v>0</v>
      </c>
      <c r="AL100" s="144">
        <v>0</v>
      </c>
      <c r="AM100" s="144">
        <v>0</v>
      </c>
      <c r="AN100" s="144">
        <v>0</v>
      </c>
      <c r="AO100" s="144">
        <v>0</v>
      </c>
      <c r="AP100" s="144">
        <v>0</v>
      </c>
      <c r="AQ100" s="144">
        <v>0</v>
      </c>
      <c r="AR100" s="144">
        <v>0</v>
      </c>
      <c r="AS100" s="144">
        <v>0</v>
      </c>
      <c r="AT100" s="144">
        <v>0</v>
      </c>
      <c r="AU100" s="144">
        <v>0</v>
      </c>
      <c r="AV100" s="144">
        <v>0</v>
      </c>
      <c r="AW100" s="144">
        <v>0</v>
      </c>
      <c r="AX100" s="144">
        <v>0</v>
      </c>
      <c r="AY100" s="144">
        <v>2.4012098173861213E-2</v>
      </c>
      <c r="AZ100" s="144">
        <v>9.9999999999999985E-3</v>
      </c>
      <c r="BA100" s="144">
        <v>9.9964748282605608E-3</v>
      </c>
      <c r="BB100" s="144">
        <v>0</v>
      </c>
      <c r="BC100" s="144">
        <v>3.9999999999999994E-2</v>
      </c>
      <c r="BD100" s="144">
        <v>3.9989889204721074E-2</v>
      </c>
      <c r="BE100" s="144">
        <v>7.8010899501510356E-2</v>
      </c>
      <c r="BF100" s="144">
        <v>0.10202566117299809</v>
      </c>
      <c r="BG100" s="144">
        <v>0</v>
      </c>
      <c r="BH100" s="144">
        <v>0.6</v>
      </c>
      <c r="BI100" s="144">
        <v>0.32999999999999996</v>
      </c>
      <c r="BJ100" s="144">
        <v>0.29999999999999993</v>
      </c>
      <c r="BK100" s="144">
        <v>0.5</v>
      </c>
      <c r="BL100" s="144">
        <v>9.0000000000000011E-2</v>
      </c>
      <c r="BM100" s="144">
        <v>0.10398959529311064</v>
      </c>
      <c r="BN100" s="144">
        <v>0.41</v>
      </c>
      <c r="BO100" s="144">
        <v>0</v>
      </c>
      <c r="BP100" s="144">
        <v>6.9999999999999993E-2</v>
      </c>
      <c r="BQ100" s="144">
        <v>0</v>
      </c>
      <c r="BR100" s="144">
        <v>0.32</v>
      </c>
      <c r="BS100" s="144">
        <v>0</v>
      </c>
      <c r="BT100" s="144">
        <v>0.2</v>
      </c>
      <c r="BU100" s="144">
        <v>0</v>
      </c>
      <c r="BV100" s="144">
        <v>0.44</v>
      </c>
      <c r="BW100" s="144">
        <v>0</v>
      </c>
      <c r="BX100" s="144">
        <v>0</v>
      </c>
      <c r="BY100" s="144">
        <v>0</v>
      </c>
      <c r="BZ100" s="144">
        <v>0</v>
      </c>
      <c r="CA100" s="144">
        <v>0</v>
      </c>
      <c r="CB100" s="144">
        <v>0</v>
      </c>
      <c r="CC100" s="144">
        <v>0</v>
      </c>
      <c r="CD100" s="144">
        <v>5.9999999999999984E-2</v>
      </c>
      <c r="CE100" s="144">
        <v>0</v>
      </c>
      <c r="CF100" s="144">
        <v>0</v>
      </c>
      <c r="CG100" s="144">
        <v>0.454954504549545</v>
      </c>
      <c r="CH100" s="144">
        <v>0</v>
      </c>
      <c r="CI100" s="144">
        <v>0</v>
      </c>
      <c r="CJ100" s="144">
        <v>0</v>
      </c>
      <c r="CK100" s="144">
        <v>0</v>
      </c>
      <c r="CL100" s="144">
        <v>0</v>
      </c>
      <c r="CM100" s="144">
        <v>0</v>
      </c>
      <c r="CN100" s="144">
        <v>0</v>
      </c>
      <c r="CO100" s="144">
        <v>0</v>
      </c>
      <c r="CP100" s="144">
        <v>0</v>
      </c>
      <c r="CQ100" s="144">
        <v>0</v>
      </c>
      <c r="CR100" s="144">
        <v>0</v>
      </c>
      <c r="CS100" s="144">
        <v>0</v>
      </c>
      <c r="CT100" s="144">
        <v>0</v>
      </c>
      <c r="CU100" s="144">
        <v>0</v>
      </c>
      <c r="CV100" s="144">
        <v>0</v>
      </c>
    </row>
    <row r="101" spans="1:100" x14ac:dyDescent="0.15">
      <c r="A101" s="180" t="s">
        <v>299</v>
      </c>
      <c r="B101" s="144">
        <v>1.4999999710350008E-2</v>
      </c>
      <c r="C101" s="144">
        <v>0</v>
      </c>
      <c r="D101" s="144">
        <v>0.25000000000000011</v>
      </c>
      <c r="E101" s="144">
        <v>0</v>
      </c>
      <c r="F101" s="144">
        <v>0.1</v>
      </c>
      <c r="G101" s="144">
        <v>0</v>
      </c>
      <c r="H101" s="144">
        <v>0</v>
      </c>
      <c r="I101" s="144">
        <v>0</v>
      </c>
      <c r="J101" s="144">
        <v>0</v>
      </c>
      <c r="K101" s="144">
        <v>0</v>
      </c>
      <c r="L101" s="144">
        <v>0</v>
      </c>
      <c r="M101" s="144">
        <v>0</v>
      </c>
      <c r="N101" s="144">
        <v>0</v>
      </c>
      <c r="O101" s="144">
        <v>0</v>
      </c>
      <c r="P101" s="144">
        <v>0</v>
      </c>
      <c r="Q101" s="144">
        <v>0</v>
      </c>
      <c r="R101" s="144">
        <v>0</v>
      </c>
      <c r="S101" s="144">
        <v>0</v>
      </c>
      <c r="T101" s="144">
        <v>0</v>
      </c>
      <c r="U101" s="144">
        <v>0</v>
      </c>
      <c r="V101" s="144">
        <v>0</v>
      </c>
      <c r="W101" s="144">
        <v>0</v>
      </c>
      <c r="X101" s="144">
        <v>0</v>
      </c>
      <c r="Y101" s="144">
        <v>0</v>
      </c>
      <c r="Z101" s="144">
        <v>0</v>
      </c>
      <c r="AA101" s="144">
        <v>0</v>
      </c>
      <c r="AB101" s="144">
        <v>0</v>
      </c>
      <c r="AC101" s="144">
        <v>0</v>
      </c>
      <c r="AD101" s="144">
        <v>0</v>
      </c>
      <c r="AE101" s="144">
        <v>0</v>
      </c>
      <c r="AF101" s="144">
        <v>0</v>
      </c>
      <c r="AG101" s="144">
        <v>0</v>
      </c>
      <c r="AH101" s="144">
        <v>0</v>
      </c>
      <c r="AI101" s="144">
        <v>0</v>
      </c>
      <c r="AJ101" s="144">
        <v>0</v>
      </c>
      <c r="AK101" s="144">
        <v>0</v>
      </c>
      <c r="AL101" s="144">
        <v>0</v>
      </c>
      <c r="AM101" s="144">
        <v>0</v>
      </c>
      <c r="AN101" s="144">
        <v>0</v>
      </c>
      <c r="AO101" s="144">
        <v>0</v>
      </c>
      <c r="AP101" s="144">
        <v>1.95E-2</v>
      </c>
      <c r="AQ101" s="144">
        <v>0</v>
      </c>
      <c r="AR101" s="144">
        <v>0</v>
      </c>
      <c r="AS101" s="144">
        <v>0</v>
      </c>
      <c r="AT101" s="144">
        <v>5.2500000000000005E-2</v>
      </c>
      <c r="AU101" s="144">
        <v>0</v>
      </c>
      <c r="AV101" s="144">
        <v>0</v>
      </c>
      <c r="AW101" s="144">
        <v>0</v>
      </c>
      <c r="AX101" s="144">
        <v>0</v>
      </c>
      <c r="AY101" s="144">
        <v>7.5000000230699988E-3</v>
      </c>
      <c r="AZ101" s="144">
        <v>7.499999999999998E-3</v>
      </c>
      <c r="BA101" s="144">
        <v>7.4999998711500013E-3</v>
      </c>
      <c r="BB101" s="144">
        <v>0</v>
      </c>
      <c r="BC101" s="144">
        <v>9.9999999999999985E-3</v>
      </c>
      <c r="BD101" s="144">
        <v>1.0999999781243002E-2</v>
      </c>
      <c r="BE101" s="144">
        <v>7.4999999520750007E-3</v>
      </c>
      <c r="BF101" s="144">
        <v>6.0000001866000073E-3</v>
      </c>
      <c r="BG101" s="144">
        <v>3.7500000000000006E-2</v>
      </c>
      <c r="BH101" s="144">
        <v>0</v>
      </c>
      <c r="BI101" s="144">
        <v>0</v>
      </c>
      <c r="BJ101" s="144">
        <v>7.499999999999998E-3</v>
      </c>
      <c r="BK101" s="144">
        <v>0</v>
      </c>
      <c r="BL101" s="144">
        <v>0</v>
      </c>
      <c r="BM101" s="144">
        <v>7.5000000932625029E-4</v>
      </c>
      <c r="BN101" s="144">
        <v>0</v>
      </c>
      <c r="BO101" s="144">
        <v>0</v>
      </c>
      <c r="BP101" s="144">
        <v>7.499999999999998E-4</v>
      </c>
      <c r="BQ101" s="144">
        <v>0</v>
      </c>
      <c r="BR101" s="144">
        <v>0</v>
      </c>
      <c r="BS101" s="144">
        <v>0</v>
      </c>
      <c r="BT101" s="144">
        <v>0</v>
      </c>
      <c r="BU101" s="144">
        <v>0</v>
      </c>
      <c r="BV101" s="144">
        <v>0</v>
      </c>
      <c r="BW101" s="144">
        <v>0</v>
      </c>
      <c r="BX101" s="144">
        <v>0</v>
      </c>
      <c r="BY101" s="144">
        <v>0</v>
      </c>
      <c r="BZ101" s="144">
        <v>0</v>
      </c>
      <c r="CA101" s="144">
        <v>0</v>
      </c>
      <c r="CB101" s="144">
        <v>0</v>
      </c>
      <c r="CC101" s="144">
        <v>0</v>
      </c>
      <c r="CD101" s="144">
        <v>0</v>
      </c>
      <c r="CE101" s="144">
        <v>0</v>
      </c>
      <c r="CF101" s="144">
        <v>0</v>
      </c>
      <c r="CG101" s="144">
        <v>0</v>
      </c>
      <c r="CH101" s="144">
        <v>1E-3</v>
      </c>
      <c r="CI101" s="144">
        <v>0</v>
      </c>
      <c r="CJ101" s="144">
        <v>0</v>
      </c>
      <c r="CK101" s="144">
        <v>0</v>
      </c>
      <c r="CL101" s="144">
        <v>0</v>
      </c>
      <c r="CM101" s="144">
        <v>0</v>
      </c>
      <c r="CN101" s="144">
        <v>0</v>
      </c>
      <c r="CO101" s="144">
        <v>0</v>
      </c>
      <c r="CP101" s="144">
        <v>0</v>
      </c>
      <c r="CQ101" s="144">
        <v>0</v>
      </c>
      <c r="CR101" s="144">
        <v>0</v>
      </c>
      <c r="CS101" s="144">
        <v>0</v>
      </c>
      <c r="CT101" s="144">
        <v>0</v>
      </c>
      <c r="CU101" s="144">
        <v>0</v>
      </c>
      <c r="CV101" s="144">
        <v>0</v>
      </c>
    </row>
    <row r="180" ht="15" customHeight="1" x14ac:dyDescent="0.15"/>
    <row r="181" ht="15" customHeight="1" x14ac:dyDescent="0.15"/>
    <row r="182" ht="15" customHeight="1" x14ac:dyDescent="0.15"/>
    <row r="183" ht="15" customHeight="1" x14ac:dyDescent="0.15"/>
    <row r="184" ht="15" customHeight="1" x14ac:dyDescent="0.15"/>
    <row r="185" ht="15" customHeight="1" x14ac:dyDescent="0.15"/>
    <row r="186" ht="15" customHeight="1" x14ac:dyDescent="0.15"/>
    <row r="187" ht="15" customHeight="1" x14ac:dyDescent="0.15"/>
    <row r="188" ht="15" customHeight="1" x14ac:dyDescent="0.15"/>
    <row r="189" ht="15" customHeight="1" x14ac:dyDescent="0.15"/>
    <row r="190" ht="15" customHeight="1" x14ac:dyDescent="0.15"/>
    <row r="191" ht="15" customHeight="1" x14ac:dyDescent="0.15"/>
    <row r="192" ht="15" customHeight="1" x14ac:dyDescent="0.15"/>
    <row r="193" ht="15" customHeight="1" x14ac:dyDescent="0.15"/>
    <row r="194" ht="15" customHeight="1" x14ac:dyDescent="0.15"/>
    <row r="195" ht="15" customHeight="1" x14ac:dyDescent="0.15"/>
    <row r="196" ht="15" customHeight="1" x14ac:dyDescent="0.15"/>
    <row r="197" ht="15" customHeight="1" x14ac:dyDescent="0.15"/>
    <row r="198" ht="15" customHeight="1" x14ac:dyDescent="0.15"/>
    <row r="199" ht="15" customHeight="1" x14ac:dyDescent="0.15"/>
    <row r="200" ht="15" customHeight="1" x14ac:dyDescent="0.15"/>
    <row r="201" ht="15" customHeight="1" x14ac:dyDescent="0.15"/>
    <row r="202" ht="15" customHeight="1" x14ac:dyDescent="0.15"/>
    <row r="203" ht="15" customHeight="1" x14ac:dyDescent="0.15"/>
    <row r="204" ht="15" customHeight="1" x14ac:dyDescent="0.15"/>
    <row r="205" ht="15" customHeight="1" x14ac:dyDescent="0.15"/>
    <row r="206" ht="15" customHeight="1" x14ac:dyDescent="0.15"/>
    <row r="207" ht="15" customHeight="1" x14ac:dyDescent="0.15"/>
    <row r="208" ht="15" customHeight="1" x14ac:dyDescent="0.15"/>
    <row r="209" ht="15" customHeight="1" x14ac:dyDescent="0.15"/>
    <row r="210" ht="15" customHeight="1" x14ac:dyDescent="0.15"/>
    <row r="211" ht="15" customHeight="1" x14ac:dyDescent="0.15"/>
    <row r="212" ht="15" customHeight="1" x14ac:dyDescent="0.15"/>
    <row r="213" ht="15" customHeight="1" x14ac:dyDescent="0.15"/>
    <row r="214" ht="15" customHeight="1" x14ac:dyDescent="0.15"/>
    <row r="215" ht="15" customHeight="1" x14ac:dyDescent="0.15"/>
    <row r="216" ht="15" customHeight="1" x14ac:dyDescent="0.15"/>
    <row r="217" ht="15" customHeight="1" x14ac:dyDescent="0.15"/>
    <row r="218" ht="15" customHeight="1" x14ac:dyDescent="0.15"/>
    <row r="219" ht="15" customHeight="1" x14ac:dyDescent="0.15"/>
    <row r="220" ht="15" customHeight="1" x14ac:dyDescent="0.15"/>
    <row r="221" ht="15" customHeight="1" x14ac:dyDescent="0.15"/>
    <row r="222" ht="15" customHeight="1" x14ac:dyDescent="0.15"/>
    <row r="223" ht="15" customHeight="1" x14ac:dyDescent="0.15"/>
    <row r="224" ht="15" customHeight="1" x14ac:dyDescent="0.15"/>
    <row r="225" ht="15" customHeight="1" x14ac:dyDescent="0.15"/>
    <row r="226" ht="15" customHeight="1" x14ac:dyDescent="0.15"/>
    <row r="227" ht="15" customHeight="1" x14ac:dyDescent="0.15"/>
    <row r="228" ht="15" customHeight="1" x14ac:dyDescent="0.15"/>
    <row r="229" ht="15" customHeight="1" x14ac:dyDescent="0.15"/>
    <row r="230" ht="15" customHeight="1" x14ac:dyDescent="0.15"/>
    <row r="231" ht="15" customHeight="1" x14ac:dyDescent="0.15"/>
    <row r="232" ht="15" customHeight="1" x14ac:dyDescent="0.15"/>
    <row r="233" ht="15" customHeight="1" x14ac:dyDescent="0.15"/>
    <row r="234" ht="15" customHeight="1" x14ac:dyDescent="0.15"/>
    <row r="235" ht="15" customHeight="1" x14ac:dyDescent="0.15"/>
    <row r="236" ht="15" customHeight="1" x14ac:dyDescent="0.15"/>
    <row r="237" ht="15" customHeight="1" x14ac:dyDescent="0.15"/>
    <row r="238" ht="15" customHeight="1" x14ac:dyDescent="0.15"/>
    <row r="239" ht="15" customHeight="1" x14ac:dyDescent="0.15"/>
    <row r="240" ht="15" customHeight="1" x14ac:dyDescent="0.15"/>
    <row r="241" ht="15" customHeight="1" x14ac:dyDescent="0.15"/>
    <row r="242" ht="15" customHeight="1" x14ac:dyDescent="0.15"/>
    <row r="243" ht="15" customHeight="1" x14ac:dyDescent="0.15"/>
    <row r="244" ht="15" customHeight="1" x14ac:dyDescent="0.15"/>
    <row r="245" ht="15" customHeight="1" x14ac:dyDescent="0.15"/>
    <row r="246" ht="15" customHeight="1" x14ac:dyDescent="0.15"/>
    <row r="247" ht="15" customHeight="1" x14ac:dyDescent="0.15"/>
    <row r="248" ht="15" customHeight="1" x14ac:dyDescent="0.15"/>
    <row r="249" ht="15" customHeight="1" x14ac:dyDescent="0.15"/>
    <row r="250" ht="15" customHeight="1" x14ac:dyDescent="0.15"/>
    <row r="251" ht="15" customHeight="1" x14ac:dyDescent="0.15"/>
    <row r="252" ht="15" customHeight="1" x14ac:dyDescent="0.15"/>
    <row r="253" ht="15" customHeight="1" x14ac:dyDescent="0.15"/>
    <row r="254" ht="15" customHeight="1" x14ac:dyDescent="0.15"/>
    <row r="255" ht="15" customHeight="1" x14ac:dyDescent="0.15"/>
    <row r="256" ht="15" customHeight="1" x14ac:dyDescent="0.15"/>
    <row r="257" ht="15" customHeight="1" x14ac:dyDescent="0.15"/>
    <row r="258" ht="15" customHeight="1" x14ac:dyDescent="0.15"/>
    <row r="259" ht="15" customHeight="1" x14ac:dyDescent="0.15"/>
    <row r="260" ht="15" customHeight="1" x14ac:dyDescent="0.15"/>
    <row r="261" ht="15" customHeight="1" x14ac:dyDescent="0.15"/>
    <row r="262" ht="15" customHeight="1" x14ac:dyDescent="0.15"/>
    <row r="263" ht="15" customHeight="1" x14ac:dyDescent="0.15"/>
    <row r="264" ht="15" customHeight="1" x14ac:dyDescent="0.15"/>
    <row r="265" ht="15" customHeight="1" x14ac:dyDescent="0.15"/>
    <row r="266" ht="15" customHeight="1" x14ac:dyDescent="0.15"/>
    <row r="267" ht="15" customHeight="1" x14ac:dyDescent="0.15"/>
    <row r="268" ht="15" customHeight="1" x14ac:dyDescent="0.15"/>
    <row r="269" ht="15" customHeight="1" x14ac:dyDescent="0.15"/>
    <row r="270" ht="15" customHeight="1" x14ac:dyDescent="0.15"/>
    <row r="271" ht="15" customHeight="1" x14ac:dyDescent="0.15"/>
    <row r="272" ht="15" customHeight="1" x14ac:dyDescent="0.15"/>
    <row r="273" ht="15" customHeight="1" x14ac:dyDescent="0.15"/>
    <row r="274" ht="15" customHeight="1" x14ac:dyDescent="0.15"/>
    <row r="275" ht="15" customHeight="1" x14ac:dyDescent="0.15"/>
    <row r="276" ht="15" customHeight="1" x14ac:dyDescent="0.15"/>
    <row r="277" ht="15" customHeight="1" x14ac:dyDescent="0.15"/>
    <row r="278" ht="15" customHeight="1" x14ac:dyDescent="0.15"/>
    <row r="279" ht="15" customHeight="1" x14ac:dyDescent="0.15"/>
    <row r="280" ht="15" customHeight="1" x14ac:dyDescent="0.15"/>
    <row r="281" ht="15" customHeight="1" x14ac:dyDescent="0.15"/>
    <row r="282" ht="15" customHeight="1" x14ac:dyDescent="0.15"/>
    <row r="283" ht="15" customHeight="1" x14ac:dyDescent="0.15"/>
    <row r="284" ht="15" customHeight="1" x14ac:dyDescent="0.15"/>
    <row r="285" ht="15" customHeight="1" x14ac:dyDescent="0.15"/>
    <row r="286" ht="15" customHeight="1" x14ac:dyDescent="0.15"/>
    <row r="287" ht="15" customHeight="1" x14ac:dyDescent="0.15"/>
    <row r="288" ht="15" customHeight="1" x14ac:dyDescent="0.15"/>
    <row r="289" ht="15" customHeight="1" x14ac:dyDescent="0.15"/>
    <row r="290" ht="15" customHeight="1" x14ac:dyDescent="0.15"/>
    <row r="291" ht="15" customHeight="1" x14ac:dyDescent="0.15"/>
    <row r="292" ht="15" customHeight="1" x14ac:dyDescent="0.15"/>
    <row r="293" ht="15" customHeight="1" x14ac:dyDescent="0.15"/>
    <row r="294" ht="15" customHeight="1" x14ac:dyDescent="0.15"/>
    <row r="295" ht="15" customHeight="1" x14ac:dyDescent="0.15"/>
    <row r="296" ht="15" customHeight="1" x14ac:dyDescent="0.15"/>
    <row r="297" ht="15" customHeight="1" x14ac:dyDescent="0.15"/>
    <row r="298" ht="15" customHeight="1" x14ac:dyDescent="0.15"/>
    <row r="299" ht="15" customHeight="1" x14ac:dyDescent="0.15"/>
    <row r="300" ht="15" customHeight="1" x14ac:dyDescent="0.15"/>
    <row r="301" ht="15" customHeight="1" x14ac:dyDescent="0.15"/>
    <row r="302" ht="15" customHeight="1" x14ac:dyDescent="0.15"/>
    <row r="303" ht="15" customHeight="1" x14ac:dyDescent="0.15"/>
    <row r="304" ht="15" customHeight="1" x14ac:dyDescent="0.15"/>
    <row r="305" ht="15" customHeight="1" x14ac:dyDescent="0.15"/>
    <row r="306" ht="15" customHeight="1" x14ac:dyDescent="0.15"/>
    <row r="307" ht="15" customHeight="1" x14ac:dyDescent="0.15"/>
    <row r="308" ht="15" customHeight="1" x14ac:dyDescent="0.15"/>
    <row r="309" ht="15" customHeight="1" x14ac:dyDescent="0.15"/>
    <row r="310" ht="15" customHeight="1" x14ac:dyDescent="0.15"/>
    <row r="311" ht="15" customHeight="1" x14ac:dyDescent="0.15"/>
    <row r="312" ht="15" customHeight="1" x14ac:dyDescent="0.15"/>
    <row r="313" ht="15" customHeight="1" x14ac:dyDescent="0.15"/>
    <row r="314" ht="15" customHeight="1" x14ac:dyDescent="0.15"/>
    <row r="315" ht="15" customHeight="1" x14ac:dyDescent="0.15"/>
    <row r="316" ht="15" customHeight="1" x14ac:dyDescent="0.15"/>
    <row r="317" ht="15" customHeight="1" x14ac:dyDescent="0.15"/>
    <row r="318" ht="15" customHeight="1" x14ac:dyDescent="0.15"/>
    <row r="319" ht="15" customHeight="1" x14ac:dyDescent="0.15"/>
    <row r="320" ht="15" customHeight="1" x14ac:dyDescent="0.15"/>
    <row r="321" ht="15" customHeight="1" x14ac:dyDescent="0.15"/>
    <row r="322" ht="15" customHeight="1" x14ac:dyDescent="0.15"/>
    <row r="323" ht="15" customHeight="1" x14ac:dyDescent="0.15"/>
    <row r="324" ht="15" customHeight="1" x14ac:dyDescent="0.15"/>
    <row r="325" ht="15" customHeight="1" x14ac:dyDescent="0.15"/>
    <row r="326" ht="15" customHeight="1" x14ac:dyDescent="0.15"/>
    <row r="327" ht="15" customHeight="1" x14ac:dyDescent="0.15"/>
    <row r="328" ht="15" customHeight="1" x14ac:dyDescent="0.15"/>
    <row r="329" ht="15" customHeight="1" x14ac:dyDescent="0.15"/>
    <row r="330" ht="15" customHeight="1" x14ac:dyDescent="0.15"/>
    <row r="331" ht="15" customHeight="1" x14ac:dyDescent="0.15"/>
    <row r="332" ht="15" customHeight="1" x14ac:dyDescent="0.15"/>
    <row r="333" ht="15" customHeight="1" x14ac:dyDescent="0.15"/>
    <row r="334" ht="15" customHeight="1" x14ac:dyDescent="0.15"/>
    <row r="335" ht="15" customHeight="1" x14ac:dyDescent="0.15"/>
    <row r="336" ht="15" customHeight="1" x14ac:dyDescent="0.15"/>
    <row r="337" ht="15" customHeight="1" x14ac:dyDescent="0.15"/>
    <row r="338" ht="15" customHeight="1" x14ac:dyDescent="0.15"/>
    <row r="339" ht="15" customHeight="1" x14ac:dyDescent="0.15"/>
    <row r="340" ht="15" customHeight="1" x14ac:dyDescent="0.15"/>
    <row r="341" ht="15" customHeight="1" x14ac:dyDescent="0.15"/>
    <row r="342" ht="15" customHeight="1" x14ac:dyDescent="0.15"/>
    <row r="343" ht="15" customHeight="1" x14ac:dyDescent="0.15"/>
    <row r="344" ht="15" customHeight="1" x14ac:dyDescent="0.15"/>
    <row r="345" ht="15" customHeight="1" x14ac:dyDescent="0.15"/>
    <row r="346" ht="15" customHeight="1" x14ac:dyDescent="0.15"/>
    <row r="347" ht="15" customHeight="1" x14ac:dyDescent="0.15"/>
    <row r="348" ht="15" customHeight="1" x14ac:dyDescent="0.15"/>
    <row r="349" ht="15" customHeight="1" x14ac:dyDescent="0.15"/>
    <row r="350" ht="15" customHeight="1" x14ac:dyDescent="0.15"/>
    <row r="351" ht="15" customHeight="1" x14ac:dyDescent="0.15"/>
    <row r="352" ht="15" customHeight="1" x14ac:dyDescent="0.15"/>
    <row r="353" ht="15" customHeight="1" x14ac:dyDescent="0.15"/>
    <row r="354" ht="15" customHeight="1" x14ac:dyDescent="0.15"/>
    <row r="355" ht="15" customHeight="1" x14ac:dyDescent="0.15"/>
    <row r="356" ht="15" customHeight="1" x14ac:dyDescent="0.15"/>
    <row r="357" ht="15" customHeight="1" x14ac:dyDescent="0.15"/>
    <row r="358" ht="15" customHeight="1" x14ac:dyDescent="0.15"/>
    <row r="359" ht="15" customHeight="1" x14ac:dyDescent="0.15"/>
    <row r="360" ht="15" customHeight="1" x14ac:dyDescent="0.15"/>
    <row r="361" ht="15" customHeight="1" x14ac:dyDescent="0.15"/>
    <row r="362" ht="15" customHeight="1" x14ac:dyDescent="0.15"/>
    <row r="363" ht="15" customHeight="1" x14ac:dyDescent="0.15"/>
    <row r="364" ht="15" customHeight="1" x14ac:dyDescent="0.15"/>
    <row r="365" ht="15" customHeight="1" x14ac:dyDescent="0.15"/>
    <row r="366" ht="15" customHeight="1" x14ac:dyDescent="0.15"/>
    <row r="367" ht="15" customHeight="1" x14ac:dyDescent="0.15"/>
    <row r="368" ht="15" customHeight="1" x14ac:dyDescent="0.15"/>
    <row r="369" ht="15" customHeight="1" x14ac:dyDescent="0.15"/>
    <row r="370" ht="15" customHeight="1" x14ac:dyDescent="0.15"/>
    <row r="371" ht="15" customHeight="1" x14ac:dyDescent="0.15"/>
    <row r="372" ht="15" customHeight="1" x14ac:dyDescent="0.15"/>
    <row r="373" ht="15" customHeight="1" x14ac:dyDescent="0.15"/>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45"/>
  </sheetPr>
  <dimension ref="A1:K185"/>
  <sheetViews>
    <sheetView workbookViewId="0">
      <pane xSplit="2" ySplit="1" topLeftCell="C2" activePane="bottomRight" state="frozen"/>
      <selection pane="topRight" activeCell="C1" sqref="C1"/>
      <selection pane="bottomLeft" activeCell="A2" sqref="A2"/>
      <selection pane="bottomRight" activeCell="A3" sqref="A3"/>
    </sheetView>
  </sheetViews>
  <sheetFormatPr baseColWidth="10" defaultColWidth="8.83203125" defaultRowHeight="13" x14ac:dyDescent="0.15"/>
  <cols>
    <col min="1" max="1" width="4.33203125" customWidth="1"/>
    <col min="2" max="2" width="44.33203125" customWidth="1"/>
    <col min="3" max="3" width="2.33203125" style="114" customWidth="1"/>
    <col min="4" max="4" width="3.83203125" style="114" customWidth="1"/>
    <col min="5" max="5" width="3.83203125" style="113" bestFit="1" customWidth="1"/>
    <col min="6" max="6" width="4.83203125" style="113" bestFit="1" customWidth="1"/>
    <col min="7" max="8" width="3.83203125" style="114" customWidth="1"/>
    <col min="9" max="9" width="4.83203125" customWidth="1"/>
    <col min="10" max="10" width="15.5" customWidth="1"/>
    <col min="11" max="11" width="2.33203125" customWidth="1"/>
  </cols>
  <sheetData>
    <row r="1" spans="1:11" ht="70" x14ac:dyDescent="0.15">
      <c r="A1" s="5" t="s">
        <v>20</v>
      </c>
      <c r="B1" s="1" t="s">
        <v>0</v>
      </c>
      <c r="C1" s="183" t="s">
        <v>284</v>
      </c>
      <c r="D1" s="183" t="s">
        <v>285</v>
      </c>
      <c r="E1" s="183" t="s">
        <v>286</v>
      </c>
      <c r="F1" s="183" t="s">
        <v>287</v>
      </c>
      <c r="G1" s="183" t="s">
        <v>288</v>
      </c>
      <c r="H1" s="183" t="s">
        <v>289</v>
      </c>
      <c r="I1" s="183" t="s">
        <v>290</v>
      </c>
      <c r="J1" s="183" t="s">
        <v>300</v>
      </c>
      <c r="K1" s="183" t="s">
        <v>301</v>
      </c>
    </row>
    <row r="2" spans="1:11" x14ac:dyDescent="0.15">
      <c r="A2">
        <v>1</v>
      </c>
      <c r="B2" s="182" t="s">
        <v>192</v>
      </c>
      <c r="C2" s="114">
        <v>0</v>
      </c>
      <c r="D2" s="114">
        <v>0</v>
      </c>
      <c r="E2" s="113">
        <v>0</v>
      </c>
      <c r="F2" s="113">
        <v>0.1</v>
      </c>
      <c r="G2" s="114">
        <v>0.1</v>
      </c>
      <c r="H2" s="114">
        <v>0.2</v>
      </c>
      <c r="I2">
        <v>0.6</v>
      </c>
      <c r="J2">
        <v>0</v>
      </c>
      <c r="K2">
        <v>1</v>
      </c>
    </row>
    <row r="3" spans="1:11" x14ac:dyDescent="0.15">
      <c r="A3">
        <v>2</v>
      </c>
      <c r="B3" s="182" t="s">
        <v>193</v>
      </c>
      <c r="C3" s="114">
        <v>0</v>
      </c>
      <c r="D3" s="114">
        <v>0</v>
      </c>
      <c r="E3" s="113">
        <v>0</v>
      </c>
      <c r="F3" s="113">
        <v>0.4</v>
      </c>
      <c r="G3" s="114">
        <v>0.3</v>
      </c>
      <c r="H3" s="114">
        <v>0.2</v>
      </c>
      <c r="I3">
        <v>0.1</v>
      </c>
      <c r="J3">
        <v>1.1102230246251565E-16</v>
      </c>
      <c r="K3">
        <v>1</v>
      </c>
    </row>
    <row r="4" spans="1:11" x14ac:dyDescent="0.15">
      <c r="A4">
        <v>3</v>
      </c>
      <c r="B4" s="182" t="s">
        <v>194</v>
      </c>
      <c r="C4" s="114">
        <v>0</v>
      </c>
      <c r="D4" s="114">
        <v>0</v>
      </c>
      <c r="E4" s="113">
        <v>0</v>
      </c>
      <c r="F4" s="113">
        <v>0.5</v>
      </c>
      <c r="G4" s="114">
        <v>0.5</v>
      </c>
      <c r="H4" s="114">
        <v>0</v>
      </c>
      <c r="I4">
        <v>0</v>
      </c>
      <c r="J4">
        <v>0</v>
      </c>
      <c r="K4">
        <v>1</v>
      </c>
    </row>
    <row r="5" spans="1:11" x14ac:dyDescent="0.15">
      <c r="A5">
        <v>4</v>
      </c>
      <c r="B5" s="182" t="s">
        <v>195</v>
      </c>
      <c r="C5" s="114">
        <v>0</v>
      </c>
      <c r="D5" s="114">
        <v>0</v>
      </c>
      <c r="E5" s="113">
        <v>0</v>
      </c>
      <c r="F5" s="113">
        <v>0</v>
      </c>
      <c r="G5" s="114">
        <v>0</v>
      </c>
      <c r="H5" s="114">
        <v>0.6</v>
      </c>
      <c r="I5">
        <v>0.4</v>
      </c>
      <c r="J5">
        <v>0</v>
      </c>
      <c r="K5">
        <v>1</v>
      </c>
    </row>
    <row r="6" spans="1:11" x14ac:dyDescent="0.15">
      <c r="A6">
        <v>5</v>
      </c>
      <c r="B6" s="182" t="s">
        <v>196</v>
      </c>
      <c r="C6" s="114">
        <v>0</v>
      </c>
      <c r="D6" s="114">
        <v>0</v>
      </c>
      <c r="E6" s="113">
        <v>0</v>
      </c>
      <c r="F6" s="113">
        <v>0</v>
      </c>
      <c r="G6" s="114">
        <v>0</v>
      </c>
      <c r="H6" s="114">
        <v>0.8</v>
      </c>
      <c r="I6">
        <v>0.2</v>
      </c>
      <c r="J6">
        <v>0</v>
      </c>
      <c r="K6">
        <v>1</v>
      </c>
    </row>
    <row r="7" spans="1:11" x14ac:dyDescent="0.15">
      <c r="A7">
        <v>6</v>
      </c>
      <c r="B7" s="182" t="s">
        <v>197</v>
      </c>
      <c r="C7" s="114">
        <v>0</v>
      </c>
      <c r="D7" s="114">
        <v>0</v>
      </c>
      <c r="E7" s="113">
        <v>0</v>
      </c>
      <c r="F7" s="113">
        <v>0</v>
      </c>
      <c r="G7" s="114">
        <v>0</v>
      </c>
      <c r="H7" s="114">
        <v>0.9</v>
      </c>
      <c r="I7">
        <v>0.1</v>
      </c>
      <c r="J7">
        <v>0</v>
      </c>
      <c r="K7">
        <v>1</v>
      </c>
    </row>
    <row r="8" spans="1:11" x14ac:dyDescent="0.15">
      <c r="A8">
        <v>7</v>
      </c>
      <c r="B8" s="182" t="s">
        <v>198</v>
      </c>
      <c r="C8" s="114">
        <v>0</v>
      </c>
      <c r="D8" s="114">
        <v>0</v>
      </c>
      <c r="E8" s="113">
        <v>0</v>
      </c>
      <c r="F8" s="113">
        <v>0</v>
      </c>
      <c r="G8" s="114">
        <v>0</v>
      </c>
      <c r="H8" s="114">
        <v>0.8</v>
      </c>
      <c r="I8">
        <v>0.2</v>
      </c>
      <c r="J8">
        <v>0</v>
      </c>
      <c r="K8">
        <v>1</v>
      </c>
    </row>
    <row r="9" spans="1:11" x14ac:dyDescent="0.15">
      <c r="A9">
        <v>8</v>
      </c>
      <c r="B9" s="182" t="s">
        <v>199</v>
      </c>
      <c r="C9" s="114">
        <v>0</v>
      </c>
      <c r="D9" s="114">
        <v>0</v>
      </c>
      <c r="E9" s="113">
        <v>0</v>
      </c>
      <c r="F9" s="113">
        <v>0</v>
      </c>
      <c r="G9" s="114">
        <v>0</v>
      </c>
      <c r="H9" s="114">
        <v>0.9</v>
      </c>
      <c r="I9">
        <v>0.1</v>
      </c>
      <c r="J9">
        <v>0</v>
      </c>
      <c r="K9">
        <v>1</v>
      </c>
    </row>
    <row r="10" spans="1:11" x14ac:dyDescent="0.15">
      <c r="A10">
        <v>9</v>
      </c>
      <c r="B10" s="182" t="s">
        <v>200</v>
      </c>
      <c r="C10" s="114">
        <v>0</v>
      </c>
      <c r="D10" s="114">
        <v>0</v>
      </c>
      <c r="E10" s="113">
        <v>0</v>
      </c>
      <c r="F10" s="113">
        <v>0</v>
      </c>
      <c r="G10" s="114">
        <v>0</v>
      </c>
      <c r="H10" s="114">
        <v>0.9</v>
      </c>
      <c r="I10">
        <v>0.1</v>
      </c>
      <c r="J10">
        <v>0</v>
      </c>
      <c r="K10">
        <v>1</v>
      </c>
    </row>
    <row r="11" spans="1:11" x14ac:dyDescent="0.15">
      <c r="A11">
        <v>10</v>
      </c>
      <c r="B11" s="182" t="s">
        <v>201</v>
      </c>
      <c r="C11" s="114">
        <v>0</v>
      </c>
      <c r="D11" s="114">
        <v>0</v>
      </c>
      <c r="E11" s="113">
        <v>0</v>
      </c>
      <c r="F11" s="113">
        <v>0</v>
      </c>
      <c r="G11" s="114">
        <v>0</v>
      </c>
      <c r="H11" s="114">
        <v>0.6</v>
      </c>
      <c r="I11">
        <v>0.4</v>
      </c>
      <c r="J11">
        <v>0</v>
      </c>
      <c r="K11">
        <v>1</v>
      </c>
    </row>
    <row r="12" spans="1:11" x14ac:dyDescent="0.15">
      <c r="A12">
        <v>11</v>
      </c>
      <c r="B12" s="182" t="s">
        <v>202</v>
      </c>
      <c r="C12" s="114">
        <v>0</v>
      </c>
      <c r="D12" s="114">
        <v>0</v>
      </c>
      <c r="E12" s="113">
        <v>0</v>
      </c>
      <c r="F12" s="113">
        <v>0</v>
      </c>
      <c r="G12" s="114">
        <v>0</v>
      </c>
      <c r="H12" s="114">
        <v>0.7</v>
      </c>
      <c r="I12">
        <v>0.3</v>
      </c>
      <c r="J12">
        <v>0</v>
      </c>
      <c r="K12">
        <v>1</v>
      </c>
    </row>
    <row r="13" spans="1:11" x14ac:dyDescent="0.15">
      <c r="A13">
        <v>12</v>
      </c>
      <c r="B13" s="182" t="s">
        <v>203</v>
      </c>
      <c r="C13" s="114">
        <v>0</v>
      </c>
      <c r="D13" s="114">
        <v>0</v>
      </c>
      <c r="E13" s="113">
        <v>0</v>
      </c>
      <c r="F13" s="113">
        <v>0</v>
      </c>
      <c r="G13" s="114">
        <v>0</v>
      </c>
      <c r="H13" s="114">
        <v>0.8</v>
      </c>
      <c r="I13">
        <v>0.2</v>
      </c>
      <c r="J13">
        <v>0</v>
      </c>
      <c r="K13">
        <v>1</v>
      </c>
    </row>
    <row r="14" spans="1:11" x14ac:dyDescent="0.15">
      <c r="A14">
        <v>13</v>
      </c>
      <c r="B14" s="182" t="s">
        <v>204</v>
      </c>
      <c r="C14" s="114">
        <v>0</v>
      </c>
      <c r="D14" s="114">
        <v>0</v>
      </c>
      <c r="E14" s="113">
        <v>0</v>
      </c>
      <c r="F14" s="113">
        <v>0</v>
      </c>
      <c r="G14" s="114">
        <v>0</v>
      </c>
      <c r="H14" s="114">
        <v>0.2</v>
      </c>
      <c r="I14">
        <v>0.8</v>
      </c>
      <c r="J14">
        <v>0</v>
      </c>
      <c r="K14">
        <v>1</v>
      </c>
    </row>
    <row r="15" spans="1:11" x14ac:dyDescent="0.15">
      <c r="A15">
        <v>14</v>
      </c>
      <c r="B15" s="182" t="s">
        <v>205</v>
      </c>
      <c r="C15" s="114">
        <v>0</v>
      </c>
      <c r="D15" s="114">
        <v>0</v>
      </c>
      <c r="E15" s="113">
        <v>0</v>
      </c>
      <c r="F15" s="113">
        <v>0</v>
      </c>
      <c r="G15" s="114">
        <v>0</v>
      </c>
      <c r="H15" s="114">
        <v>0.3</v>
      </c>
      <c r="I15">
        <v>0.7</v>
      </c>
      <c r="J15">
        <v>0</v>
      </c>
      <c r="K15">
        <v>1</v>
      </c>
    </row>
    <row r="16" spans="1:11" x14ac:dyDescent="0.15">
      <c r="A16">
        <v>15</v>
      </c>
      <c r="B16" s="182" t="s">
        <v>206</v>
      </c>
      <c r="C16" s="114">
        <v>0</v>
      </c>
      <c r="D16" s="114">
        <v>0</v>
      </c>
      <c r="E16" s="113">
        <v>0</v>
      </c>
      <c r="F16" s="113">
        <v>0</v>
      </c>
      <c r="G16" s="114">
        <v>0</v>
      </c>
      <c r="H16" s="114">
        <v>0.3</v>
      </c>
      <c r="I16">
        <v>0.7</v>
      </c>
      <c r="J16">
        <v>0</v>
      </c>
      <c r="K16">
        <v>1</v>
      </c>
    </row>
    <row r="17" spans="1:11" ht="15" customHeight="1" x14ac:dyDescent="0.15">
      <c r="A17">
        <v>16</v>
      </c>
      <c r="B17" s="182" t="s">
        <v>207</v>
      </c>
      <c r="C17" s="114">
        <v>0</v>
      </c>
      <c r="D17" s="114">
        <v>0</v>
      </c>
      <c r="E17" s="113">
        <v>0</v>
      </c>
      <c r="F17" s="113">
        <v>0</v>
      </c>
      <c r="G17" s="114">
        <v>0</v>
      </c>
      <c r="H17" s="114">
        <v>0.3</v>
      </c>
      <c r="I17">
        <v>0.7</v>
      </c>
      <c r="J17">
        <v>0</v>
      </c>
      <c r="K17">
        <v>1</v>
      </c>
    </row>
    <row r="18" spans="1:11" ht="15" customHeight="1" x14ac:dyDescent="0.15">
      <c r="A18">
        <v>17</v>
      </c>
      <c r="B18" s="182" t="s">
        <v>208</v>
      </c>
      <c r="C18" s="114">
        <v>0</v>
      </c>
      <c r="D18" s="114">
        <v>0</v>
      </c>
      <c r="E18" s="113">
        <v>0</v>
      </c>
      <c r="F18" s="113">
        <v>0</v>
      </c>
      <c r="G18" s="114">
        <v>0</v>
      </c>
      <c r="H18" s="114">
        <v>0.3</v>
      </c>
      <c r="I18">
        <v>0.7</v>
      </c>
      <c r="J18">
        <v>0</v>
      </c>
      <c r="K18">
        <v>1</v>
      </c>
    </row>
    <row r="19" spans="1:11" ht="15" customHeight="1" x14ac:dyDescent="0.15">
      <c r="A19">
        <v>18</v>
      </c>
      <c r="B19" s="182" t="s">
        <v>209</v>
      </c>
      <c r="C19" s="114">
        <v>0</v>
      </c>
      <c r="D19" s="114">
        <v>0</v>
      </c>
      <c r="E19" s="113">
        <v>0</v>
      </c>
      <c r="F19" s="113">
        <v>0</v>
      </c>
      <c r="G19" s="114">
        <v>0</v>
      </c>
      <c r="H19" s="114">
        <v>0.4</v>
      </c>
      <c r="I19">
        <v>0.6</v>
      </c>
      <c r="J19">
        <v>0</v>
      </c>
      <c r="K19">
        <v>1</v>
      </c>
    </row>
    <row r="20" spans="1:11" ht="15" customHeight="1" x14ac:dyDescent="0.15">
      <c r="A20">
        <v>19</v>
      </c>
      <c r="B20" s="182" t="s">
        <v>210</v>
      </c>
      <c r="C20" s="114">
        <v>0</v>
      </c>
      <c r="D20" s="114">
        <v>0</v>
      </c>
      <c r="E20" s="113">
        <v>0</v>
      </c>
      <c r="F20" s="113">
        <v>0</v>
      </c>
      <c r="G20" s="114">
        <v>0</v>
      </c>
      <c r="H20" s="114">
        <v>0.3</v>
      </c>
      <c r="I20">
        <v>0.7</v>
      </c>
      <c r="J20">
        <v>0</v>
      </c>
      <c r="K20">
        <v>1</v>
      </c>
    </row>
    <row r="21" spans="1:11" ht="15" customHeight="1" x14ac:dyDescent="0.15">
      <c r="A21">
        <v>20</v>
      </c>
      <c r="B21" s="182" t="s">
        <v>211</v>
      </c>
      <c r="C21" s="114">
        <v>0</v>
      </c>
      <c r="D21" s="114">
        <v>0</v>
      </c>
      <c r="E21" s="113">
        <v>0</v>
      </c>
      <c r="F21" s="113">
        <v>0</v>
      </c>
      <c r="G21" s="114">
        <v>0</v>
      </c>
      <c r="H21" s="114">
        <v>0.3</v>
      </c>
      <c r="I21">
        <v>0.7</v>
      </c>
      <c r="J21">
        <v>0</v>
      </c>
      <c r="K21">
        <v>1</v>
      </c>
    </row>
    <row r="22" spans="1:11" ht="15" customHeight="1" x14ac:dyDescent="0.15">
      <c r="A22">
        <v>21</v>
      </c>
      <c r="B22" s="182" t="s">
        <v>212</v>
      </c>
      <c r="C22" s="114">
        <v>0</v>
      </c>
      <c r="D22" s="114">
        <v>0</v>
      </c>
      <c r="E22" s="113">
        <v>0</v>
      </c>
      <c r="F22" s="113">
        <v>0</v>
      </c>
      <c r="G22" s="114">
        <v>0</v>
      </c>
      <c r="H22" s="114">
        <v>0.2</v>
      </c>
      <c r="I22">
        <v>0.8</v>
      </c>
      <c r="J22">
        <v>0</v>
      </c>
      <c r="K22">
        <v>1</v>
      </c>
    </row>
    <row r="23" spans="1:11" ht="15" customHeight="1" x14ac:dyDescent="0.15">
      <c r="A23">
        <v>22</v>
      </c>
      <c r="B23" s="182" t="s">
        <v>213</v>
      </c>
      <c r="C23" s="114">
        <v>0</v>
      </c>
      <c r="D23" s="114">
        <v>0</v>
      </c>
      <c r="E23" s="113">
        <v>0</v>
      </c>
      <c r="F23" s="113">
        <v>0</v>
      </c>
      <c r="G23" s="114">
        <v>0</v>
      </c>
      <c r="H23" s="114">
        <v>0.3</v>
      </c>
      <c r="I23">
        <v>0.7</v>
      </c>
      <c r="J23">
        <v>0</v>
      </c>
      <c r="K23">
        <v>1</v>
      </c>
    </row>
    <row r="24" spans="1:11" ht="15" customHeight="1" x14ac:dyDescent="0.15">
      <c r="A24">
        <v>23</v>
      </c>
      <c r="B24" s="182" t="s">
        <v>214</v>
      </c>
      <c r="C24" s="114">
        <v>0</v>
      </c>
      <c r="D24" s="114">
        <v>0</v>
      </c>
      <c r="E24" s="113">
        <v>0</v>
      </c>
      <c r="F24" s="113">
        <v>0</v>
      </c>
      <c r="G24" s="114">
        <v>0</v>
      </c>
      <c r="H24" s="114">
        <v>0.3</v>
      </c>
      <c r="I24">
        <v>0.7</v>
      </c>
      <c r="J24">
        <v>0</v>
      </c>
      <c r="K24">
        <v>1</v>
      </c>
    </row>
    <row r="25" spans="1:11" ht="15" customHeight="1" x14ac:dyDescent="0.15">
      <c r="A25">
        <v>24</v>
      </c>
      <c r="B25" s="182" t="s">
        <v>215</v>
      </c>
      <c r="C25" s="114">
        <v>0</v>
      </c>
      <c r="D25" s="114">
        <v>0</v>
      </c>
      <c r="E25" s="113">
        <v>0</v>
      </c>
      <c r="F25" s="113">
        <v>0</v>
      </c>
      <c r="G25" s="114">
        <v>0</v>
      </c>
      <c r="H25" s="114">
        <v>0.3</v>
      </c>
      <c r="I25">
        <v>0.7</v>
      </c>
      <c r="J25">
        <v>0</v>
      </c>
      <c r="K25">
        <v>1</v>
      </c>
    </row>
    <row r="26" spans="1:11" ht="15" customHeight="1" x14ac:dyDescent="0.15">
      <c r="A26">
        <v>25</v>
      </c>
      <c r="B26" s="182" t="s">
        <v>216</v>
      </c>
      <c r="C26" s="114">
        <v>0</v>
      </c>
      <c r="D26" s="114">
        <v>0</v>
      </c>
      <c r="E26" s="113">
        <v>0</v>
      </c>
      <c r="F26" s="113">
        <v>0</v>
      </c>
      <c r="G26" s="114">
        <v>0</v>
      </c>
      <c r="H26" s="114">
        <v>0.7</v>
      </c>
      <c r="I26">
        <v>0.3</v>
      </c>
      <c r="J26">
        <v>0</v>
      </c>
      <c r="K26">
        <v>1</v>
      </c>
    </row>
    <row r="27" spans="1:11" ht="15" customHeight="1" x14ac:dyDescent="0.15">
      <c r="A27">
        <v>26</v>
      </c>
      <c r="B27" s="182" t="s">
        <v>217</v>
      </c>
      <c r="C27" s="114">
        <v>0</v>
      </c>
      <c r="D27" s="114">
        <v>0</v>
      </c>
      <c r="E27" s="113">
        <v>0</v>
      </c>
      <c r="F27" s="113">
        <v>0</v>
      </c>
      <c r="G27" s="114">
        <v>0</v>
      </c>
      <c r="H27" s="114">
        <v>0.9</v>
      </c>
      <c r="I27">
        <v>0.1</v>
      </c>
      <c r="J27">
        <v>0</v>
      </c>
      <c r="K27">
        <v>1</v>
      </c>
    </row>
    <row r="28" spans="1:11" ht="15" customHeight="1" x14ac:dyDescent="0.15">
      <c r="A28">
        <v>27</v>
      </c>
      <c r="B28" s="182" t="s">
        <v>218</v>
      </c>
      <c r="C28" s="114">
        <v>0</v>
      </c>
      <c r="D28" s="114">
        <v>0</v>
      </c>
      <c r="E28" s="113">
        <v>0</v>
      </c>
      <c r="F28" s="113">
        <v>0</v>
      </c>
      <c r="G28" s="114">
        <v>0</v>
      </c>
      <c r="H28" s="114">
        <v>0.2</v>
      </c>
      <c r="I28">
        <v>0.8</v>
      </c>
      <c r="J28">
        <v>0</v>
      </c>
      <c r="K28">
        <v>1</v>
      </c>
    </row>
    <row r="29" spans="1:11" ht="15" customHeight="1" x14ac:dyDescent="0.15">
      <c r="A29">
        <v>28</v>
      </c>
      <c r="B29" s="182" t="s">
        <v>219</v>
      </c>
      <c r="C29" s="114">
        <v>0</v>
      </c>
      <c r="D29" s="114">
        <v>0</v>
      </c>
      <c r="E29" s="113">
        <v>0</v>
      </c>
      <c r="F29" s="113">
        <v>0</v>
      </c>
      <c r="G29" s="114">
        <v>0</v>
      </c>
      <c r="H29" s="114">
        <v>0.3</v>
      </c>
      <c r="I29">
        <v>0.7</v>
      </c>
      <c r="J29">
        <v>0</v>
      </c>
      <c r="K29">
        <v>1</v>
      </c>
    </row>
    <row r="30" spans="1:11" ht="15" customHeight="1" x14ac:dyDescent="0.15">
      <c r="A30">
        <v>29</v>
      </c>
      <c r="B30" s="182" t="s">
        <v>220</v>
      </c>
      <c r="C30" s="114">
        <v>0</v>
      </c>
      <c r="D30" s="114">
        <v>0</v>
      </c>
      <c r="E30" s="113">
        <v>0</v>
      </c>
      <c r="F30" s="113">
        <v>0.1</v>
      </c>
      <c r="G30" s="114">
        <v>0.9</v>
      </c>
      <c r="H30" s="114">
        <v>0</v>
      </c>
      <c r="I30">
        <v>0</v>
      </c>
      <c r="J30">
        <v>0</v>
      </c>
      <c r="K30">
        <v>1</v>
      </c>
    </row>
    <row r="31" spans="1:11" ht="15" customHeight="1" x14ac:dyDescent="0.15">
      <c r="A31">
        <v>30</v>
      </c>
      <c r="B31" s="182" t="s">
        <v>221</v>
      </c>
      <c r="C31" s="114">
        <v>0</v>
      </c>
      <c r="D31" s="114">
        <v>0</v>
      </c>
      <c r="E31" s="113">
        <v>0</v>
      </c>
      <c r="F31" s="113">
        <v>0.2</v>
      </c>
      <c r="G31" s="114">
        <v>0.8</v>
      </c>
      <c r="H31" s="114">
        <v>0</v>
      </c>
      <c r="I31">
        <v>0</v>
      </c>
      <c r="J31">
        <v>0</v>
      </c>
      <c r="K31">
        <v>1</v>
      </c>
    </row>
    <row r="32" spans="1:11" ht="15" customHeight="1" x14ac:dyDescent="0.15">
      <c r="A32">
        <v>31</v>
      </c>
      <c r="B32" s="182" t="s">
        <v>222</v>
      </c>
      <c r="C32" s="114">
        <v>0</v>
      </c>
      <c r="D32" s="114">
        <v>0</v>
      </c>
      <c r="E32" s="113">
        <v>0</v>
      </c>
      <c r="F32" s="113">
        <v>0.1</v>
      </c>
      <c r="G32" s="114">
        <v>0.9</v>
      </c>
      <c r="H32" s="114">
        <v>0</v>
      </c>
      <c r="I32">
        <v>0</v>
      </c>
      <c r="J32">
        <v>0</v>
      </c>
      <c r="K32">
        <v>1</v>
      </c>
    </row>
    <row r="33" spans="1:11" ht="15" customHeight="1" x14ac:dyDescent="0.15">
      <c r="A33">
        <v>32</v>
      </c>
      <c r="B33" s="182" t="s">
        <v>223</v>
      </c>
      <c r="C33" s="114">
        <v>0</v>
      </c>
      <c r="D33" s="114">
        <v>0</v>
      </c>
      <c r="E33" s="113">
        <v>0</v>
      </c>
      <c r="F33" s="113">
        <v>0.1</v>
      </c>
      <c r="G33" s="114">
        <v>0.9</v>
      </c>
      <c r="H33" s="114">
        <v>0</v>
      </c>
      <c r="I33">
        <v>0</v>
      </c>
      <c r="J33">
        <v>0</v>
      </c>
      <c r="K33">
        <v>1</v>
      </c>
    </row>
    <row r="34" spans="1:11" ht="15" customHeight="1" x14ac:dyDescent="0.15">
      <c r="A34">
        <v>33</v>
      </c>
      <c r="B34" s="182" t="s">
        <v>224</v>
      </c>
      <c r="C34" s="114">
        <v>0</v>
      </c>
      <c r="D34" s="114">
        <v>0</v>
      </c>
      <c r="E34" s="113">
        <v>0</v>
      </c>
      <c r="F34" s="113">
        <v>0.1</v>
      </c>
      <c r="G34" s="114">
        <v>0.9</v>
      </c>
      <c r="H34" s="114">
        <v>0</v>
      </c>
      <c r="I34">
        <v>0</v>
      </c>
      <c r="J34">
        <v>0</v>
      </c>
      <c r="K34">
        <v>1</v>
      </c>
    </row>
    <row r="35" spans="1:11" ht="15" customHeight="1" x14ac:dyDescent="0.15">
      <c r="A35">
        <v>34</v>
      </c>
      <c r="B35" s="182" t="s">
        <v>225</v>
      </c>
      <c r="C35" s="114">
        <v>0</v>
      </c>
      <c r="D35" s="114">
        <v>0</v>
      </c>
      <c r="E35" s="113">
        <v>0</v>
      </c>
      <c r="F35" s="113">
        <v>0.2</v>
      </c>
      <c r="G35" s="114">
        <v>0.8</v>
      </c>
      <c r="H35" s="114">
        <v>0</v>
      </c>
      <c r="I35">
        <v>0</v>
      </c>
      <c r="J35">
        <v>0</v>
      </c>
      <c r="K35">
        <v>1</v>
      </c>
    </row>
    <row r="36" spans="1:11" ht="15" customHeight="1" x14ac:dyDescent="0.15">
      <c r="A36">
        <v>35</v>
      </c>
      <c r="B36" s="182" t="s">
        <v>226</v>
      </c>
      <c r="C36" s="114">
        <v>0</v>
      </c>
      <c r="D36" s="114">
        <v>0</v>
      </c>
      <c r="E36" s="114">
        <v>0</v>
      </c>
      <c r="F36" s="114">
        <v>0.2</v>
      </c>
      <c r="G36" s="114">
        <v>0.8</v>
      </c>
      <c r="H36" s="114">
        <v>0</v>
      </c>
      <c r="I36">
        <v>0</v>
      </c>
      <c r="J36">
        <v>0</v>
      </c>
      <c r="K36">
        <v>1</v>
      </c>
    </row>
    <row r="37" spans="1:11" ht="15" customHeight="1" x14ac:dyDescent="0.15">
      <c r="A37">
        <v>36</v>
      </c>
      <c r="B37" s="182" t="s">
        <v>227</v>
      </c>
      <c r="C37" s="114">
        <v>0</v>
      </c>
      <c r="D37" s="114">
        <v>0</v>
      </c>
      <c r="E37" s="114">
        <v>0</v>
      </c>
      <c r="F37" s="114">
        <v>0.8</v>
      </c>
      <c r="G37" s="114">
        <v>0.2</v>
      </c>
      <c r="H37" s="114">
        <v>0</v>
      </c>
      <c r="I37">
        <v>0</v>
      </c>
      <c r="J37">
        <v>0</v>
      </c>
      <c r="K37">
        <v>1</v>
      </c>
    </row>
    <row r="38" spans="1:11" ht="15" customHeight="1" x14ac:dyDescent="0.15">
      <c r="A38">
        <v>37</v>
      </c>
      <c r="B38" s="182" t="s">
        <v>228</v>
      </c>
      <c r="C38" s="114">
        <v>0</v>
      </c>
      <c r="D38" s="114">
        <v>0</v>
      </c>
      <c r="E38" s="114">
        <v>0</v>
      </c>
      <c r="F38" s="114">
        <v>0.3</v>
      </c>
      <c r="G38" s="114">
        <v>0.7</v>
      </c>
      <c r="H38" s="114">
        <v>0</v>
      </c>
      <c r="I38">
        <v>0</v>
      </c>
      <c r="J38">
        <v>0</v>
      </c>
      <c r="K38">
        <v>1</v>
      </c>
    </row>
    <row r="39" spans="1:11" ht="15" customHeight="1" x14ac:dyDescent="0.15">
      <c r="A39">
        <v>38</v>
      </c>
      <c r="B39" s="182" t="s">
        <v>229</v>
      </c>
      <c r="C39" s="114">
        <v>0</v>
      </c>
      <c r="D39" s="114">
        <v>0</v>
      </c>
      <c r="E39" s="114">
        <v>0</v>
      </c>
      <c r="F39" s="114">
        <v>0.2</v>
      </c>
      <c r="G39" s="114">
        <v>0.8</v>
      </c>
      <c r="H39" s="114">
        <v>0</v>
      </c>
      <c r="I39">
        <v>0</v>
      </c>
      <c r="J39">
        <v>0</v>
      </c>
      <c r="K39">
        <v>1</v>
      </c>
    </row>
    <row r="40" spans="1:11" ht="15" customHeight="1" x14ac:dyDescent="0.15">
      <c r="A40">
        <v>39</v>
      </c>
      <c r="B40" s="182" t="s">
        <v>230</v>
      </c>
      <c r="C40" s="114">
        <v>0</v>
      </c>
      <c r="D40" s="114">
        <v>0</v>
      </c>
      <c r="E40" s="114">
        <v>0</v>
      </c>
      <c r="F40" s="114">
        <v>0.3</v>
      </c>
      <c r="G40" s="114">
        <v>0.7</v>
      </c>
      <c r="H40" s="114">
        <v>0</v>
      </c>
      <c r="I40">
        <v>0</v>
      </c>
      <c r="J40">
        <v>0</v>
      </c>
      <c r="K40">
        <v>1</v>
      </c>
    </row>
    <row r="41" spans="1:11" ht="15" customHeight="1" x14ac:dyDescent="0.15">
      <c r="A41">
        <v>40</v>
      </c>
      <c r="B41" s="182" t="s">
        <v>231</v>
      </c>
      <c r="C41" s="114">
        <v>0</v>
      </c>
      <c r="D41" s="114">
        <v>0</v>
      </c>
      <c r="E41" s="114">
        <v>0</v>
      </c>
      <c r="F41" s="114">
        <v>1</v>
      </c>
      <c r="G41" s="114">
        <v>0</v>
      </c>
      <c r="H41" s="114">
        <v>0</v>
      </c>
      <c r="I41">
        <v>0</v>
      </c>
      <c r="J41">
        <v>0</v>
      </c>
      <c r="K41">
        <v>1</v>
      </c>
    </row>
    <row r="42" spans="1:11" ht="15" customHeight="1" x14ac:dyDescent="0.15">
      <c r="A42">
        <v>41</v>
      </c>
      <c r="B42" s="182" t="s">
        <v>232</v>
      </c>
      <c r="C42" s="114">
        <v>0</v>
      </c>
      <c r="D42" s="114">
        <v>0</v>
      </c>
      <c r="E42" s="114">
        <v>0</v>
      </c>
      <c r="F42" s="114">
        <v>0.05</v>
      </c>
      <c r="G42" s="114">
        <v>0.1</v>
      </c>
      <c r="H42" s="114">
        <v>0.2</v>
      </c>
      <c r="I42">
        <v>0.65</v>
      </c>
      <c r="J42">
        <v>0</v>
      </c>
      <c r="K42">
        <v>1</v>
      </c>
    </row>
    <row r="43" spans="1:11" ht="15" customHeight="1" x14ac:dyDescent="0.15">
      <c r="A43">
        <v>42</v>
      </c>
      <c r="B43" s="182" t="s">
        <v>233</v>
      </c>
      <c r="C43" s="114">
        <v>0</v>
      </c>
      <c r="D43" s="114">
        <v>0</v>
      </c>
      <c r="E43" s="114">
        <v>0</v>
      </c>
      <c r="F43" s="114">
        <v>0</v>
      </c>
      <c r="G43" s="114">
        <v>0</v>
      </c>
      <c r="H43" s="114">
        <v>0.7</v>
      </c>
      <c r="I43">
        <v>0.3</v>
      </c>
      <c r="J43">
        <v>0</v>
      </c>
      <c r="K43">
        <v>1</v>
      </c>
    </row>
    <row r="44" spans="1:11" ht="15" customHeight="1" x14ac:dyDescent="0.15">
      <c r="A44">
        <v>43</v>
      </c>
      <c r="B44" s="182" t="s">
        <v>234</v>
      </c>
      <c r="C44" s="114">
        <v>0</v>
      </c>
      <c r="D44" s="114">
        <v>0</v>
      </c>
      <c r="E44" s="113">
        <v>0</v>
      </c>
      <c r="F44" s="113">
        <v>0</v>
      </c>
      <c r="G44" s="114">
        <v>0.1</v>
      </c>
      <c r="H44" s="114">
        <v>0</v>
      </c>
      <c r="I44">
        <v>0.9</v>
      </c>
      <c r="J44">
        <v>0</v>
      </c>
      <c r="K44">
        <v>1</v>
      </c>
    </row>
    <row r="45" spans="1:11" ht="15" customHeight="1" x14ac:dyDescent="0.15">
      <c r="A45">
        <v>44</v>
      </c>
      <c r="B45" s="182" t="s">
        <v>235</v>
      </c>
      <c r="C45" s="114">
        <v>0</v>
      </c>
      <c r="D45" s="114">
        <v>0</v>
      </c>
      <c r="E45" s="113">
        <v>0</v>
      </c>
      <c r="F45" s="113">
        <v>0.4</v>
      </c>
      <c r="G45" s="114">
        <v>0.6</v>
      </c>
      <c r="H45" s="114">
        <v>0</v>
      </c>
      <c r="I45">
        <v>0</v>
      </c>
      <c r="J45">
        <v>0</v>
      </c>
      <c r="K45">
        <v>1</v>
      </c>
    </row>
    <row r="46" spans="1:11" ht="15" customHeight="1" x14ac:dyDescent="0.15">
      <c r="A46">
        <v>45</v>
      </c>
      <c r="B46" s="182" t="s">
        <v>236</v>
      </c>
      <c r="C46" s="114">
        <v>0</v>
      </c>
      <c r="D46" s="114">
        <v>0</v>
      </c>
      <c r="E46" s="114">
        <v>0</v>
      </c>
      <c r="F46" s="114">
        <v>0</v>
      </c>
      <c r="G46" s="114">
        <v>0</v>
      </c>
      <c r="H46" s="114">
        <v>0.1</v>
      </c>
      <c r="I46">
        <v>0.9</v>
      </c>
      <c r="J46">
        <v>0</v>
      </c>
      <c r="K46">
        <v>1</v>
      </c>
    </row>
    <row r="47" spans="1:11" ht="15" customHeight="1" x14ac:dyDescent="0.15">
      <c r="A47">
        <v>46</v>
      </c>
      <c r="B47" s="182" t="s">
        <v>237</v>
      </c>
      <c r="C47" s="114">
        <v>0</v>
      </c>
      <c r="D47" s="114">
        <v>0</v>
      </c>
      <c r="E47" s="113">
        <v>0</v>
      </c>
      <c r="F47" s="113">
        <v>0</v>
      </c>
      <c r="G47" s="114">
        <v>0</v>
      </c>
      <c r="H47" s="114">
        <v>0.1</v>
      </c>
      <c r="I47">
        <v>0.9</v>
      </c>
      <c r="J47">
        <v>0</v>
      </c>
      <c r="K47">
        <v>1</v>
      </c>
    </row>
    <row r="48" spans="1:11" ht="15" customHeight="1" x14ac:dyDescent="0.15">
      <c r="A48">
        <v>47</v>
      </c>
      <c r="B48" s="182" t="s">
        <v>238</v>
      </c>
      <c r="C48" s="114">
        <v>0</v>
      </c>
      <c r="D48" s="114">
        <v>0</v>
      </c>
      <c r="E48" s="113">
        <v>0</v>
      </c>
      <c r="F48" s="113">
        <v>0.4</v>
      </c>
      <c r="G48" s="114">
        <v>0.6</v>
      </c>
      <c r="H48" s="114">
        <v>0</v>
      </c>
      <c r="I48">
        <v>0</v>
      </c>
      <c r="J48">
        <v>0</v>
      </c>
      <c r="K48">
        <v>1</v>
      </c>
    </row>
    <row r="49" spans="1:11" ht="15" customHeight="1" x14ac:dyDescent="0.15">
      <c r="A49">
        <v>48</v>
      </c>
      <c r="B49" s="182" t="s">
        <v>239</v>
      </c>
      <c r="C49" s="114">
        <v>0</v>
      </c>
      <c r="D49" s="114">
        <v>0</v>
      </c>
      <c r="E49" s="113">
        <v>0</v>
      </c>
      <c r="F49" s="113">
        <v>0</v>
      </c>
      <c r="G49" s="114">
        <v>0</v>
      </c>
      <c r="H49" s="114">
        <v>0.1</v>
      </c>
      <c r="I49">
        <v>0.9</v>
      </c>
      <c r="J49">
        <v>0</v>
      </c>
      <c r="K49">
        <v>1</v>
      </c>
    </row>
    <row r="50" spans="1:11" ht="15" customHeight="1" x14ac:dyDescent="0.15">
      <c r="A50">
        <v>49</v>
      </c>
      <c r="B50" s="182" t="s">
        <v>240</v>
      </c>
      <c r="C50" s="114">
        <v>0</v>
      </c>
      <c r="D50" s="114">
        <v>0</v>
      </c>
      <c r="E50" s="113">
        <v>0</v>
      </c>
      <c r="F50" s="113">
        <v>0</v>
      </c>
      <c r="G50" s="114">
        <v>0</v>
      </c>
      <c r="H50" s="114">
        <v>0.1</v>
      </c>
      <c r="I50">
        <v>0.9</v>
      </c>
      <c r="J50">
        <v>0</v>
      </c>
      <c r="K50">
        <v>1</v>
      </c>
    </row>
    <row r="51" spans="1:11" ht="15" customHeight="1" x14ac:dyDescent="0.15">
      <c r="A51">
        <v>50</v>
      </c>
      <c r="B51" s="182" t="s">
        <v>241</v>
      </c>
      <c r="C51" s="114">
        <v>0</v>
      </c>
      <c r="D51" s="114">
        <v>0</v>
      </c>
      <c r="E51" s="113">
        <v>0</v>
      </c>
      <c r="F51" s="113">
        <v>0</v>
      </c>
      <c r="G51" s="114">
        <v>0</v>
      </c>
      <c r="H51" s="114">
        <v>0.1</v>
      </c>
      <c r="I51">
        <v>0.9</v>
      </c>
      <c r="J51">
        <v>0</v>
      </c>
      <c r="K51">
        <v>1</v>
      </c>
    </row>
    <row r="52" spans="1:11" ht="15" customHeight="1" x14ac:dyDescent="0.15">
      <c r="A52">
        <v>51</v>
      </c>
      <c r="B52" s="182" t="s">
        <v>242</v>
      </c>
      <c r="C52" s="114">
        <v>0</v>
      </c>
      <c r="D52" s="114">
        <v>0</v>
      </c>
      <c r="E52" s="113">
        <v>0</v>
      </c>
      <c r="F52" s="113">
        <v>0.05</v>
      </c>
      <c r="G52" s="114">
        <v>0.1</v>
      </c>
      <c r="H52" s="114">
        <v>0.1</v>
      </c>
      <c r="I52">
        <v>0.75</v>
      </c>
      <c r="J52">
        <v>0</v>
      </c>
      <c r="K52">
        <v>1</v>
      </c>
    </row>
    <row r="53" spans="1:11" ht="15" customHeight="1" x14ac:dyDescent="0.15">
      <c r="A53">
        <v>52</v>
      </c>
      <c r="B53" s="182" t="s">
        <v>243</v>
      </c>
      <c r="C53" s="114">
        <v>0</v>
      </c>
      <c r="D53" s="114">
        <v>0</v>
      </c>
      <c r="E53" s="113">
        <v>0</v>
      </c>
      <c r="F53" s="113">
        <v>0.05</v>
      </c>
      <c r="G53" s="114">
        <v>0.1</v>
      </c>
      <c r="H53" s="114">
        <v>0.1</v>
      </c>
      <c r="I53">
        <v>0.75</v>
      </c>
      <c r="J53">
        <v>0</v>
      </c>
      <c r="K53">
        <v>1</v>
      </c>
    </row>
    <row r="54" spans="1:11" ht="15" customHeight="1" x14ac:dyDescent="0.15">
      <c r="A54">
        <v>53</v>
      </c>
      <c r="B54" s="182" t="s">
        <v>244</v>
      </c>
      <c r="C54" s="114">
        <v>0</v>
      </c>
      <c r="D54" s="114">
        <v>0</v>
      </c>
      <c r="E54" s="113">
        <v>0</v>
      </c>
      <c r="F54" s="113">
        <v>0.1</v>
      </c>
      <c r="G54" s="114">
        <v>0.9</v>
      </c>
      <c r="H54" s="114">
        <v>0</v>
      </c>
      <c r="I54">
        <v>0</v>
      </c>
      <c r="J54">
        <v>0</v>
      </c>
      <c r="K54">
        <v>1</v>
      </c>
    </row>
    <row r="55" spans="1:11" ht="15" customHeight="1" x14ac:dyDescent="0.15">
      <c r="A55">
        <v>54</v>
      </c>
      <c r="B55" s="182" t="s">
        <v>245</v>
      </c>
      <c r="C55" s="114">
        <v>0</v>
      </c>
      <c r="D55" s="114">
        <v>0</v>
      </c>
      <c r="E55" s="113">
        <v>0</v>
      </c>
      <c r="F55" s="113">
        <v>0.1</v>
      </c>
      <c r="G55" s="114">
        <v>0.9</v>
      </c>
      <c r="H55" s="114">
        <v>0</v>
      </c>
      <c r="I55">
        <v>0</v>
      </c>
      <c r="J55">
        <v>0</v>
      </c>
      <c r="K55">
        <v>1</v>
      </c>
    </row>
    <row r="56" spans="1:11" ht="15" customHeight="1" x14ac:dyDescent="0.15">
      <c r="A56">
        <v>55</v>
      </c>
      <c r="B56" s="182" t="s">
        <v>246</v>
      </c>
      <c r="C56" s="114">
        <v>0</v>
      </c>
      <c r="D56" s="114">
        <v>0</v>
      </c>
      <c r="E56" s="113">
        <v>0</v>
      </c>
      <c r="F56" s="113">
        <v>0.1</v>
      </c>
      <c r="G56" s="114">
        <v>0.9</v>
      </c>
      <c r="H56" s="114">
        <v>0</v>
      </c>
      <c r="I56">
        <v>0</v>
      </c>
      <c r="J56">
        <v>0</v>
      </c>
      <c r="K56">
        <v>1</v>
      </c>
    </row>
    <row r="57" spans="1:11" ht="15" customHeight="1" x14ac:dyDescent="0.15">
      <c r="A57">
        <v>56</v>
      </c>
      <c r="B57" s="182" t="s">
        <v>247</v>
      </c>
      <c r="C57" s="114">
        <v>0</v>
      </c>
      <c r="D57" s="114">
        <v>0</v>
      </c>
      <c r="E57" s="113">
        <v>0</v>
      </c>
      <c r="F57" s="113">
        <v>0</v>
      </c>
      <c r="G57" s="114">
        <v>0</v>
      </c>
      <c r="H57" s="114">
        <v>0.1</v>
      </c>
      <c r="I57">
        <v>0.9</v>
      </c>
      <c r="J57">
        <v>0</v>
      </c>
      <c r="K57">
        <v>1</v>
      </c>
    </row>
    <row r="58" spans="1:11" ht="15" customHeight="1" x14ac:dyDescent="0.15">
      <c r="A58">
        <v>57</v>
      </c>
      <c r="B58" s="182" t="s">
        <v>248</v>
      </c>
      <c r="C58" s="114">
        <v>0</v>
      </c>
      <c r="D58" s="114">
        <v>0</v>
      </c>
      <c r="E58" s="113">
        <v>0</v>
      </c>
      <c r="F58" s="113">
        <v>0.05</v>
      </c>
      <c r="G58" s="114">
        <v>0.1</v>
      </c>
      <c r="H58" s="114">
        <v>0.1</v>
      </c>
      <c r="I58">
        <v>0.75</v>
      </c>
      <c r="J58">
        <v>0</v>
      </c>
      <c r="K58">
        <v>1</v>
      </c>
    </row>
    <row r="59" spans="1:11" ht="15" customHeight="1" x14ac:dyDescent="0.15">
      <c r="A59">
        <v>58</v>
      </c>
      <c r="B59" s="182" t="s">
        <v>249</v>
      </c>
      <c r="C59" s="114">
        <v>0</v>
      </c>
      <c r="D59" s="114">
        <v>0</v>
      </c>
      <c r="E59" s="113">
        <v>0</v>
      </c>
      <c r="F59" s="113">
        <v>0</v>
      </c>
      <c r="G59" s="114">
        <v>0</v>
      </c>
      <c r="H59" s="114">
        <v>0.1</v>
      </c>
      <c r="I59">
        <v>0.9</v>
      </c>
      <c r="J59">
        <v>0</v>
      </c>
      <c r="K59">
        <v>1</v>
      </c>
    </row>
    <row r="60" spans="1:11" ht="15" customHeight="1" x14ac:dyDescent="0.15">
      <c r="A60">
        <v>59</v>
      </c>
      <c r="B60" s="182" t="s">
        <v>250</v>
      </c>
      <c r="C60" s="114">
        <v>0</v>
      </c>
      <c r="D60" s="114">
        <v>0</v>
      </c>
      <c r="E60" s="113">
        <v>0</v>
      </c>
      <c r="F60" s="113">
        <v>0</v>
      </c>
      <c r="G60" s="114">
        <v>0.1</v>
      </c>
      <c r="H60" s="114">
        <v>0</v>
      </c>
      <c r="I60">
        <v>0.9</v>
      </c>
      <c r="J60">
        <v>0</v>
      </c>
      <c r="K60">
        <v>1</v>
      </c>
    </row>
    <row r="61" spans="1:11" ht="15" customHeight="1" x14ac:dyDescent="0.15">
      <c r="A61">
        <v>60</v>
      </c>
      <c r="B61" s="182" t="s">
        <v>251</v>
      </c>
      <c r="C61" s="114">
        <v>0</v>
      </c>
      <c r="D61" s="114">
        <v>0</v>
      </c>
      <c r="E61" s="113">
        <v>0</v>
      </c>
      <c r="F61" s="113">
        <v>0</v>
      </c>
      <c r="G61" s="114">
        <v>0</v>
      </c>
      <c r="H61" s="114">
        <v>0</v>
      </c>
      <c r="I61">
        <v>1</v>
      </c>
      <c r="J61">
        <v>0</v>
      </c>
      <c r="K61">
        <v>1</v>
      </c>
    </row>
    <row r="62" spans="1:11" ht="15" customHeight="1" x14ac:dyDescent="0.15">
      <c r="A62">
        <v>61</v>
      </c>
      <c r="B62" s="182" t="s">
        <v>252</v>
      </c>
      <c r="C62" s="114">
        <v>0</v>
      </c>
      <c r="D62" s="114">
        <v>0</v>
      </c>
      <c r="E62" s="113">
        <v>0</v>
      </c>
      <c r="F62" s="113">
        <v>0</v>
      </c>
      <c r="G62" s="114">
        <v>0</v>
      </c>
      <c r="H62" s="114">
        <v>0</v>
      </c>
      <c r="I62">
        <v>1</v>
      </c>
      <c r="J62">
        <v>0</v>
      </c>
      <c r="K62">
        <v>1</v>
      </c>
    </row>
    <row r="63" spans="1:11" ht="15" customHeight="1" x14ac:dyDescent="0.15">
      <c r="A63">
        <v>62</v>
      </c>
      <c r="B63" s="182" t="s">
        <v>253</v>
      </c>
      <c r="C63" s="114">
        <v>0</v>
      </c>
      <c r="D63" s="114">
        <v>0</v>
      </c>
      <c r="E63" s="113">
        <v>0</v>
      </c>
      <c r="F63" s="113">
        <v>0</v>
      </c>
      <c r="G63" s="114">
        <v>0.1</v>
      </c>
      <c r="H63" s="114">
        <v>0</v>
      </c>
      <c r="I63">
        <v>0.9</v>
      </c>
      <c r="J63">
        <v>0</v>
      </c>
      <c r="K63">
        <v>1</v>
      </c>
    </row>
    <row r="64" spans="1:11" ht="15" customHeight="1" x14ac:dyDescent="0.15">
      <c r="A64">
        <v>63</v>
      </c>
      <c r="B64" s="182" t="s">
        <v>254</v>
      </c>
      <c r="C64" s="114">
        <v>0</v>
      </c>
      <c r="D64" s="114">
        <v>0</v>
      </c>
      <c r="E64" s="113">
        <v>0</v>
      </c>
      <c r="F64" s="113">
        <v>0</v>
      </c>
      <c r="G64" s="114">
        <v>0.1</v>
      </c>
      <c r="H64" s="114">
        <v>0</v>
      </c>
      <c r="I64">
        <v>0.9</v>
      </c>
      <c r="J64">
        <v>0</v>
      </c>
      <c r="K64">
        <v>1</v>
      </c>
    </row>
    <row r="65" spans="1:11" ht="15" customHeight="1" x14ac:dyDescent="0.15">
      <c r="A65">
        <v>64</v>
      </c>
      <c r="B65" s="182" t="s">
        <v>255</v>
      </c>
      <c r="C65" s="114">
        <v>0</v>
      </c>
      <c r="D65" s="114">
        <v>0</v>
      </c>
      <c r="E65" s="113">
        <v>0</v>
      </c>
      <c r="F65" s="113">
        <v>0</v>
      </c>
      <c r="G65" s="114">
        <v>0.1</v>
      </c>
      <c r="H65" s="114">
        <v>0</v>
      </c>
      <c r="I65">
        <v>0.9</v>
      </c>
      <c r="J65">
        <v>0</v>
      </c>
      <c r="K65">
        <v>1</v>
      </c>
    </row>
    <row r="66" spans="1:11" ht="15" customHeight="1" x14ac:dyDescent="0.15">
      <c r="A66">
        <v>65</v>
      </c>
      <c r="B66" s="182" t="s">
        <v>256</v>
      </c>
      <c r="C66" s="114">
        <v>0</v>
      </c>
      <c r="D66" s="114">
        <v>0</v>
      </c>
      <c r="E66" s="113">
        <v>0</v>
      </c>
      <c r="F66" s="113">
        <v>0</v>
      </c>
      <c r="G66" s="114">
        <v>0</v>
      </c>
      <c r="H66" s="114">
        <v>0.1</v>
      </c>
      <c r="I66">
        <v>0.9</v>
      </c>
      <c r="J66">
        <v>0</v>
      </c>
      <c r="K66">
        <v>1</v>
      </c>
    </row>
    <row r="67" spans="1:11" ht="15" customHeight="1" x14ac:dyDescent="0.15">
      <c r="A67">
        <v>66</v>
      </c>
      <c r="B67" s="182" t="s">
        <v>257</v>
      </c>
      <c r="C67" s="114">
        <v>0</v>
      </c>
      <c r="D67" s="114">
        <v>0</v>
      </c>
      <c r="E67" s="113">
        <v>0</v>
      </c>
      <c r="F67" s="113">
        <v>0.1</v>
      </c>
      <c r="G67" s="114">
        <v>0.9</v>
      </c>
      <c r="H67" s="114">
        <v>0</v>
      </c>
      <c r="I67">
        <v>0</v>
      </c>
      <c r="J67">
        <v>0</v>
      </c>
      <c r="K67">
        <v>1</v>
      </c>
    </row>
    <row r="68" spans="1:11" ht="15" customHeight="1" x14ac:dyDescent="0.15">
      <c r="A68">
        <v>67</v>
      </c>
      <c r="B68" s="182" t="s">
        <v>258</v>
      </c>
      <c r="C68" s="114">
        <v>0</v>
      </c>
      <c r="D68" s="114">
        <v>0</v>
      </c>
      <c r="E68" s="113">
        <v>0</v>
      </c>
      <c r="F68" s="113">
        <v>0</v>
      </c>
      <c r="G68" s="114">
        <v>0</v>
      </c>
      <c r="H68" s="114">
        <v>0.2</v>
      </c>
      <c r="I68">
        <v>0.8</v>
      </c>
      <c r="J68">
        <v>0</v>
      </c>
      <c r="K68">
        <v>1</v>
      </c>
    </row>
    <row r="69" spans="1:11" ht="15" customHeight="1" x14ac:dyDescent="0.15">
      <c r="A69">
        <v>68</v>
      </c>
      <c r="B69" s="182" t="s">
        <v>259</v>
      </c>
      <c r="C69" s="114">
        <v>0</v>
      </c>
      <c r="D69" s="114">
        <v>0</v>
      </c>
      <c r="E69" s="113">
        <v>0</v>
      </c>
      <c r="F69" s="113">
        <v>0.2</v>
      </c>
      <c r="G69" s="114">
        <v>0.8</v>
      </c>
      <c r="H69" s="114">
        <v>0</v>
      </c>
      <c r="I69">
        <v>0</v>
      </c>
      <c r="J69">
        <v>0</v>
      </c>
      <c r="K69">
        <v>1</v>
      </c>
    </row>
    <row r="70" spans="1:11" ht="15" customHeight="1" x14ac:dyDescent="0.15">
      <c r="A70">
        <v>69</v>
      </c>
      <c r="B70" s="182" t="s">
        <v>260</v>
      </c>
      <c r="C70" s="114">
        <v>0</v>
      </c>
      <c r="D70" s="114">
        <v>0</v>
      </c>
      <c r="E70" s="113">
        <v>0</v>
      </c>
      <c r="F70" s="113">
        <v>0</v>
      </c>
      <c r="G70" s="114">
        <v>0</v>
      </c>
      <c r="H70" s="114">
        <v>0</v>
      </c>
      <c r="I70">
        <v>1</v>
      </c>
      <c r="J70">
        <v>0</v>
      </c>
      <c r="K70">
        <v>1</v>
      </c>
    </row>
    <row r="71" spans="1:11" ht="15" customHeight="1" x14ac:dyDescent="0.15">
      <c r="A71">
        <v>70</v>
      </c>
      <c r="B71" s="182" t="s">
        <v>261</v>
      </c>
      <c r="C71" s="114">
        <v>0</v>
      </c>
      <c r="D71" s="114">
        <v>0</v>
      </c>
      <c r="E71" s="113">
        <v>0</v>
      </c>
      <c r="F71" s="113">
        <v>0</v>
      </c>
      <c r="G71" s="114">
        <v>1</v>
      </c>
      <c r="H71" s="114">
        <v>0</v>
      </c>
      <c r="I71">
        <v>0</v>
      </c>
      <c r="J71">
        <v>0</v>
      </c>
      <c r="K71">
        <v>1</v>
      </c>
    </row>
    <row r="72" spans="1:11" ht="15" customHeight="1" x14ac:dyDescent="0.15">
      <c r="A72">
        <v>71</v>
      </c>
      <c r="B72" s="182" t="s">
        <v>262</v>
      </c>
      <c r="C72" s="114">
        <v>0</v>
      </c>
      <c r="D72" s="114">
        <v>0</v>
      </c>
      <c r="E72" s="113">
        <v>0</v>
      </c>
      <c r="F72" s="113">
        <v>0</v>
      </c>
      <c r="G72" s="114">
        <v>0</v>
      </c>
      <c r="H72" s="114">
        <v>0</v>
      </c>
      <c r="I72">
        <v>1</v>
      </c>
      <c r="J72">
        <v>0</v>
      </c>
      <c r="K72">
        <v>1</v>
      </c>
    </row>
    <row r="73" spans="1:11" ht="15" customHeight="1" x14ac:dyDescent="0.15">
      <c r="A73">
        <v>72</v>
      </c>
      <c r="B73" s="182" t="s">
        <v>263</v>
      </c>
      <c r="C73" s="114">
        <v>0</v>
      </c>
      <c r="D73" s="114">
        <v>0</v>
      </c>
      <c r="E73" s="113">
        <v>0</v>
      </c>
      <c r="F73" s="113">
        <v>0</v>
      </c>
      <c r="G73" s="114">
        <v>1</v>
      </c>
      <c r="H73" s="114">
        <v>0</v>
      </c>
      <c r="I73">
        <v>0</v>
      </c>
      <c r="J73">
        <v>0</v>
      </c>
      <c r="K73">
        <v>1</v>
      </c>
    </row>
    <row r="74" spans="1:11" ht="15" customHeight="1" x14ac:dyDescent="0.15">
      <c r="A74">
        <v>73</v>
      </c>
      <c r="B74" s="182" t="s">
        <v>264</v>
      </c>
      <c r="C74" s="114">
        <v>0</v>
      </c>
      <c r="D74" s="114">
        <v>0</v>
      </c>
      <c r="E74" s="113">
        <v>0</v>
      </c>
      <c r="F74" s="113">
        <v>0</v>
      </c>
      <c r="G74" s="114">
        <v>0</v>
      </c>
      <c r="H74" s="114">
        <v>0</v>
      </c>
      <c r="I74">
        <v>1</v>
      </c>
      <c r="J74">
        <v>0</v>
      </c>
      <c r="K74">
        <v>1</v>
      </c>
    </row>
    <row r="75" spans="1:11" ht="15" customHeight="1" x14ac:dyDescent="0.15">
      <c r="A75">
        <v>74</v>
      </c>
      <c r="B75" s="182" t="s">
        <v>265</v>
      </c>
      <c r="C75" s="114">
        <v>0</v>
      </c>
      <c r="D75" s="114">
        <v>0</v>
      </c>
      <c r="E75" s="113">
        <v>0</v>
      </c>
      <c r="F75" s="113">
        <v>0</v>
      </c>
      <c r="G75" s="114">
        <v>1</v>
      </c>
      <c r="H75" s="114">
        <v>0</v>
      </c>
      <c r="I75">
        <v>0</v>
      </c>
      <c r="J75">
        <v>0</v>
      </c>
      <c r="K75">
        <v>1</v>
      </c>
    </row>
    <row r="76" spans="1:11" ht="15" customHeight="1" x14ac:dyDescent="0.15">
      <c r="A76">
        <v>75</v>
      </c>
      <c r="B76" s="182" t="s">
        <v>266</v>
      </c>
      <c r="C76" s="114">
        <v>0</v>
      </c>
      <c r="D76" s="114">
        <v>0</v>
      </c>
      <c r="E76" s="113">
        <v>0</v>
      </c>
      <c r="F76" s="113">
        <v>0</v>
      </c>
      <c r="G76" s="114">
        <v>0</v>
      </c>
      <c r="H76" s="114">
        <v>0</v>
      </c>
      <c r="I76">
        <v>1</v>
      </c>
      <c r="J76">
        <v>0</v>
      </c>
      <c r="K76">
        <v>1</v>
      </c>
    </row>
    <row r="77" spans="1:11" ht="15" customHeight="1" x14ac:dyDescent="0.15">
      <c r="A77">
        <v>76</v>
      </c>
      <c r="B77" s="182" t="s">
        <v>267</v>
      </c>
      <c r="C77" s="114">
        <v>0</v>
      </c>
      <c r="D77" s="114">
        <v>0</v>
      </c>
      <c r="E77" s="113">
        <v>0</v>
      </c>
      <c r="F77" s="113">
        <v>0</v>
      </c>
      <c r="G77" s="114">
        <v>1</v>
      </c>
      <c r="H77" s="114">
        <v>0</v>
      </c>
      <c r="I77">
        <v>0</v>
      </c>
      <c r="J77">
        <v>0</v>
      </c>
      <c r="K77">
        <v>1</v>
      </c>
    </row>
    <row r="78" spans="1:11" ht="15" customHeight="1" x14ac:dyDescent="0.15">
      <c r="A78">
        <v>77</v>
      </c>
      <c r="B78" s="182" t="s">
        <v>268</v>
      </c>
      <c r="C78" s="114">
        <v>0</v>
      </c>
      <c r="D78" s="114">
        <v>0</v>
      </c>
      <c r="E78" s="113">
        <v>0</v>
      </c>
      <c r="F78" s="113">
        <v>0</v>
      </c>
      <c r="G78" s="114">
        <v>0</v>
      </c>
      <c r="H78" s="114">
        <v>0.7</v>
      </c>
      <c r="I78">
        <v>0.3</v>
      </c>
      <c r="J78">
        <v>0</v>
      </c>
      <c r="K78">
        <v>1</v>
      </c>
    </row>
    <row r="79" spans="1:11" ht="15" customHeight="1" x14ac:dyDescent="0.15">
      <c r="A79">
        <v>78</v>
      </c>
      <c r="B79" s="182" t="s">
        <v>269</v>
      </c>
      <c r="C79" s="114">
        <v>0</v>
      </c>
      <c r="D79" s="114">
        <v>0</v>
      </c>
      <c r="E79" s="113">
        <v>0</v>
      </c>
      <c r="F79" s="113">
        <v>0</v>
      </c>
      <c r="G79" s="114">
        <v>0</v>
      </c>
      <c r="H79" s="114">
        <v>0.8</v>
      </c>
      <c r="I79">
        <v>0.2</v>
      </c>
      <c r="J79">
        <v>0</v>
      </c>
      <c r="K79">
        <v>1</v>
      </c>
    </row>
    <row r="80" spans="1:11" ht="15" customHeight="1" x14ac:dyDescent="0.15">
      <c r="A80">
        <v>79</v>
      </c>
      <c r="B80" s="182" t="s">
        <v>270</v>
      </c>
      <c r="C80" s="114">
        <v>0</v>
      </c>
      <c r="D80" s="114">
        <v>0</v>
      </c>
      <c r="E80" s="113">
        <v>0</v>
      </c>
      <c r="F80" s="113">
        <v>0</v>
      </c>
      <c r="G80" s="114">
        <v>0</v>
      </c>
      <c r="H80" s="114">
        <v>0.3</v>
      </c>
      <c r="I80">
        <v>0.7</v>
      </c>
      <c r="J80">
        <v>0</v>
      </c>
      <c r="K80">
        <v>1</v>
      </c>
    </row>
    <row r="81" spans="1:11" ht="15" customHeight="1" x14ac:dyDescent="0.15">
      <c r="A81">
        <v>80</v>
      </c>
      <c r="B81" s="182" t="s">
        <v>271</v>
      </c>
      <c r="C81" s="114">
        <v>0</v>
      </c>
      <c r="D81" s="114">
        <v>0</v>
      </c>
      <c r="E81" s="113">
        <v>0</v>
      </c>
      <c r="F81" s="113">
        <v>0.3</v>
      </c>
      <c r="G81" s="114">
        <v>0.7</v>
      </c>
      <c r="H81" s="114">
        <v>0</v>
      </c>
      <c r="I81">
        <v>0</v>
      </c>
      <c r="J81">
        <v>0</v>
      </c>
      <c r="K81">
        <v>1</v>
      </c>
    </row>
    <row r="82" spans="1:11" ht="15" customHeight="1" x14ac:dyDescent="0.15">
      <c r="A82">
        <v>81</v>
      </c>
      <c r="B82" s="182" t="s">
        <v>272</v>
      </c>
      <c r="C82" s="114">
        <v>0</v>
      </c>
      <c r="D82" s="114">
        <v>0</v>
      </c>
      <c r="E82" s="113">
        <v>0</v>
      </c>
      <c r="F82" s="113">
        <v>0</v>
      </c>
      <c r="G82" s="114">
        <v>0</v>
      </c>
      <c r="H82" s="114">
        <v>0.8</v>
      </c>
      <c r="I82">
        <v>0.2</v>
      </c>
      <c r="J82">
        <v>0</v>
      </c>
      <c r="K82">
        <v>1</v>
      </c>
    </row>
    <row r="83" spans="1:11" ht="15" customHeight="1" x14ac:dyDescent="0.15">
      <c r="A83">
        <v>82</v>
      </c>
      <c r="B83" s="182" t="s">
        <v>273</v>
      </c>
      <c r="C83" s="114">
        <v>0</v>
      </c>
      <c r="D83" s="114">
        <v>0</v>
      </c>
      <c r="E83" s="113">
        <v>0</v>
      </c>
      <c r="F83" s="113">
        <v>0.8</v>
      </c>
      <c r="G83" s="114">
        <v>0.2</v>
      </c>
      <c r="H83" s="114">
        <v>0</v>
      </c>
      <c r="I83">
        <v>0</v>
      </c>
      <c r="J83">
        <v>0</v>
      </c>
      <c r="K83">
        <v>1</v>
      </c>
    </row>
    <row r="84" spans="1:11" ht="15" customHeight="1" x14ac:dyDescent="0.15">
      <c r="A84">
        <v>83</v>
      </c>
      <c r="B84" s="182" t="s">
        <v>274</v>
      </c>
      <c r="C84" s="114">
        <v>0</v>
      </c>
      <c r="D84" s="114">
        <v>0</v>
      </c>
      <c r="E84" s="113">
        <v>0</v>
      </c>
      <c r="F84" s="113">
        <v>0.7</v>
      </c>
      <c r="G84" s="114">
        <v>0.2</v>
      </c>
      <c r="H84" s="114">
        <v>0</v>
      </c>
      <c r="I84">
        <v>0.1</v>
      </c>
      <c r="J84">
        <v>1.1102230246251565E-16</v>
      </c>
      <c r="K84">
        <v>1</v>
      </c>
    </row>
    <row r="85" spans="1:11" ht="15" customHeight="1" x14ac:dyDescent="0.15">
      <c r="A85">
        <v>84</v>
      </c>
      <c r="B85" s="182" t="s">
        <v>275</v>
      </c>
      <c r="C85" s="114">
        <v>0</v>
      </c>
      <c r="D85" s="114">
        <v>0</v>
      </c>
      <c r="E85" s="113">
        <v>0</v>
      </c>
      <c r="F85" s="113">
        <v>0</v>
      </c>
      <c r="G85" s="114">
        <v>0</v>
      </c>
      <c r="H85" s="114">
        <v>0.8</v>
      </c>
      <c r="I85">
        <v>0.2</v>
      </c>
      <c r="J85">
        <v>0</v>
      </c>
      <c r="K85">
        <v>1</v>
      </c>
    </row>
    <row r="86" spans="1:11" ht="15" customHeight="1" x14ac:dyDescent="0.15">
      <c r="A86">
        <v>85</v>
      </c>
      <c r="B86" s="182" t="s">
        <v>276</v>
      </c>
      <c r="C86" s="114">
        <v>0</v>
      </c>
      <c r="D86" s="114">
        <v>0</v>
      </c>
      <c r="E86" s="113">
        <v>0</v>
      </c>
      <c r="F86" s="113">
        <v>0.8</v>
      </c>
      <c r="G86" s="114">
        <v>0.2</v>
      </c>
      <c r="H86" s="114">
        <v>0</v>
      </c>
      <c r="I86">
        <v>0</v>
      </c>
      <c r="J86">
        <v>0</v>
      </c>
      <c r="K86">
        <v>1</v>
      </c>
    </row>
    <row r="87" spans="1:11" ht="15" customHeight="1" x14ac:dyDescent="0.15">
      <c r="A87">
        <v>86</v>
      </c>
      <c r="B87" s="182" t="s">
        <v>277</v>
      </c>
      <c r="C87" s="114">
        <v>0</v>
      </c>
      <c r="D87" s="114">
        <v>0</v>
      </c>
      <c r="E87" s="113">
        <v>0</v>
      </c>
      <c r="F87" s="113">
        <v>0</v>
      </c>
      <c r="G87" s="114">
        <v>0</v>
      </c>
      <c r="H87" s="114">
        <v>0.8</v>
      </c>
      <c r="I87">
        <v>0.2</v>
      </c>
      <c r="J87">
        <v>0</v>
      </c>
      <c r="K87">
        <v>1</v>
      </c>
    </row>
    <row r="88" spans="1:11" ht="15" customHeight="1" x14ac:dyDescent="0.15">
      <c r="A88">
        <v>87</v>
      </c>
      <c r="B88" s="182" t="s">
        <v>278</v>
      </c>
      <c r="C88" s="114">
        <v>0</v>
      </c>
      <c r="D88" s="114">
        <v>0</v>
      </c>
      <c r="E88" s="113">
        <v>0</v>
      </c>
      <c r="F88" s="113">
        <v>0.8</v>
      </c>
      <c r="G88" s="114">
        <v>0.2</v>
      </c>
      <c r="H88" s="114">
        <v>0</v>
      </c>
      <c r="I88">
        <v>0</v>
      </c>
      <c r="J88">
        <v>0</v>
      </c>
      <c r="K88">
        <v>1</v>
      </c>
    </row>
    <row r="89" spans="1:11" ht="15" customHeight="1" x14ac:dyDescent="0.15">
      <c r="A89">
        <v>88</v>
      </c>
      <c r="B89" s="182" t="s">
        <v>279</v>
      </c>
      <c r="C89" s="114">
        <v>0</v>
      </c>
      <c r="D89" s="114">
        <v>0</v>
      </c>
      <c r="E89" s="113">
        <v>0</v>
      </c>
      <c r="F89" s="113">
        <v>0</v>
      </c>
      <c r="G89" s="114">
        <v>0.1</v>
      </c>
      <c r="H89" s="114">
        <v>0</v>
      </c>
      <c r="I89">
        <v>0.9</v>
      </c>
      <c r="J89">
        <v>0</v>
      </c>
      <c r="K89">
        <v>1</v>
      </c>
    </row>
    <row r="90" spans="1:11" ht="15" customHeight="1" x14ac:dyDescent="0.15">
      <c r="A90">
        <v>89</v>
      </c>
      <c r="B90" s="182" t="s">
        <v>280</v>
      </c>
      <c r="C90" s="114">
        <v>0</v>
      </c>
      <c r="D90" s="114">
        <v>0.1</v>
      </c>
      <c r="E90" s="113">
        <v>0.9</v>
      </c>
      <c r="F90" s="113">
        <v>0</v>
      </c>
      <c r="G90" s="114">
        <v>0</v>
      </c>
      <c r="H90" s="114">
        <v>0</v>
      </c>
      <c r="I90">
        <v>0</v>
      </c>
      <c r="J90">
        <v>0</v>
      </c>
      <c r="K90">
        <v>1</v>
      </c>
    </row>
    <row r="91" spans="1:11" ht="15" customHeight="1" x14ac:dyDescent="0.15">
      <c r="A91">
        <v>90</v>
      </c>
      <c r="B91" s="182" t="s">
        <v>281</v>
      </c>
      <c r="C91" s="114">
        <v>0</v>
      </c>
      <c r="D91" s="114">
        <v>0</v>
      </c>
      <c r="E91" s="113">
        <v>1</v>
      </c>
      <c r="F91" s="113">
        <v>0</v>
      </c>
      <c r="G91" s="114">
        <v>0</v>
      </c>
      <c r="H91" s="114">
        <v>0</v>
      </c>
      <c r="I91">
        <v>0</v>
      </c>
      <c r="J91">
        <v>0</v>
      </c>
      <c r="K91">
        <v>1</v>
      </c>
    </row>
    <row r="92" spans="1:11" ht="15" customHeight="1" x14ac:dyDescent="0.15">
      <c r="A92">
        <v>91</v>
      </c>
      <c r="B92" s="182" t="s">
        <v>282</v>
      </c>
      <c r="C92" s="114">
        <v>0</v>
      </c>
      <c r="D92" s="114">
        <v>1</v>
      </c>
      <c r="E92" s="113">
        <v>0</v>
      </c>
      <c r="F92" s="113">
        <v>0</v>
      </c>
      <c r="G92" s="114">
        <v>0</v>
      </c>
      <c r="H92" s="114">
        <v>0</v>
      </c>
      <c r="I92">
        <v>0</v>
      </c>
      <c r="J92">
        <v>0</v>
      </c>
      <c r="K92">
        <v>1</v>
      </c>
    </row>
    <row r="93" spans="1:11" ht="15" customHeight="1" x14ac:dyDescent="0.15">
      <c r="A93">
        <v>92</v>
      </c>
      <c r="B93" s="182" t="s">
        <v>283</v>
      </c>
      <c r="C93" s="114">
        <v>0</v>
      </c>
      <c r="D93" s="114">
        <v>0</v>
      </c>
      <c r="E93" s="113">
        <v>1</v>
      </c>
      <c r="F93" s="113">
        <v>0</v>
      </c>
      <c r="G93" s="114">
        <v>0</v>
      </c>
      <c r="H93" s="114">
        <v>0</v>
      </c>
      <c r="I93">
        <v>0</v>
      </c>
      <c r="J93">
        <v>0</v>
      </c>
      <c r="K93">
        <v>1</v>
      </c>
    </row>
    <row r="94" spans="1:11" ht="15" customHeight="1" x14ac:dyDescent="0.15">
      <c r="A94">
        <v>93</v>
      </c>
      <c r="B94" s="182" t="s">
        <v>284</v>
      </c>
      <c r="C94" s="114">
        <v>0</v>
      </c>
      <c r="D94" s="114">
        <v>0</v>
      </c>
      <c r="E94" s="113">
        <v>0</v>
      </c>
      <c r="F94" s="113">
        <v>0</v>
      </c>
      <c r="G94" s="114">
        <v>0</v>
      </c>
      <c r="H94" s="114">
        <v>0.3</v>
      </c>
      <c r="I94">
        <v>0.7</v>
      </c>
      <c r="J94">
        <v>0</v>
      </c>
      <c r="K94">
        <v>1</v>
      </c>
    </row>
    <row r="95" spans="1:11" ht="15" customHeight="1" x14ac:dyDescent="0.15">
      <c r="A95">
        <v>94</v>
      </c>
      <c r="B95" s="182" t="s">
        <v>285</v>
      </c>
      <c r="C95" s="114">
        <v>0</v>
      </c>
      <c r="D95" s="114">
        <v>0</v>
      </c>
      <c r="E95" s="113">
        <v>0</v>
      </c>
      <c r="F95" s="113">
        <v>0</v>
      </c>
      <c r="G95" s="114">
        <v>0</v>
      </c>
      <c r="H95" s="114">
        <v>0.2</v>
      </c>
      <c r="I95">
        <v>0</v>
      </c>
      <c r="J95">
        <v>0.8</v>
      </c>
      <c r="K95">
        <v>1</v>
      </c>
    </row>
    <row r="96" spans="1:11" ht="15" customHeight="1" x14ac:dyDescent="0.15">
      <c r="A96">
        <v>95</v>
      </c>
      <c r="B96" s="182" t="s">
        <v>286</v>
      </c>
      <c r="C96" s="114">
        <v>0</v>
      </c>
      <c r="D96" s="114">
        <v>0.4</v>
      </c>
      <c r="E96" s="113">
        <v>0</v>
      </c>
      <c r="F96" s="113">
        <v>0.2</v>
      </c>
      <c r="G96" s="114">
        <v>0.4</v>
      </c>
      <c r="H96" s="114">
        <v>0</v>
      </c>
      <c r="I96">
        <v>0</v>
      </c>
      <c r="J96">
        <v>0</v>
      </c>
      <c r="K96">
        <v>1</v>
      </c>
    </row>
    <row r="97" spans="1:11" ht="15" customHeight="1" x14ac:dyDescent="0.15">
      <c r="A97">
        <v>96</v>
      </c>
      <c r="B97" s="182" t="s">
        <v>287</v>
      </c>
      <c r="C97" s="114">
        <v>0</v>
      </c>
      <c r="D97" s="114">
        <v>0</v>
      </c>
      <c r="E97" s="113">
        <v>0</v>
      </c>
      <c r="F97" s="113">
        <v>0</v>
      </c>
      <c r="G97" s="114">
        <v>0</v>
      </c>
      <c r="H97" s="114">
        <v>0.5</v>
      </c>
      <c r="I97">
        <v>0</v>
      </c>
      <c r="J97">
        <v>0.5</v>
      </c>
      <c r="K97">
        <v>1</v>
      </c>
    </row>
    <row r="98" spans="1:11" ht="15" customHeight="1" x14ac:dyDescent="0.15">
      <c r="A98">
        <v>97</v>
      </c>
      <c r="B98" s="182" t="s">
        <v>288</v>
      </c>
      <c r="C98" s="114">
        <v>0</v>
      </c>
      <c r="D98" s="114">
        <v>0</v>
      </c>
      <c r="E98" s="113">
        <v>0</v>
      </c>
      <c r="F98" s="113">
        <v>0</v>
      </c>
      <c r="G98" s="114">
        <v>0</v>
      </c>
      <c r="H98" s="114">
        <v>0</v>
      </c>
      <c r="I98">
        <v>0</v>
      </c>
      <c r="J98">
        <v>1</v>
      </c>
      <c r="K98">
        <v>1</v>
      </c>
    </row>
    <row r="99" spans="1:11" ht="15" customHeight="1" x14ac:dyDescent="0.15">
      <c r="A99">
        <v>98</v>
      </c>
      <c r="B99" s="182" t="s">
        <v>289</v>
      </c>
      <c r="C99" s="114">
        <v>0</v>
      </c>
      <c r="D99" s="114">
        <v>0</v>
      </c>
      <c r="E99" s="113">
        <v>0</v>
      </c>
      <c r="F99" s="113">
        <v>0</v>
      </c>
      <c r="G99" s="114">
        <v>0</v>
      </c>
      <c r="H99" s="114">
        <v>0</v>
      </c>
      <c r="I99">
        <v>1</v>
      </c>
      <c r="J99">
        <v>0</v>
      </c>
      <c r="K99">
        <v>1</v>
      </c>
    </row>
    <row r="100" spans="1:11" ht="15" customHeight="1" x14ac:dyDescent="0.15">
      <c r="A100">
        <v>99</v>
      </c>
      <c r="B100" s="182" t="s">
        <v>290</v>
      </c>
      <c r="C100" s="114">
        <v>0</v>
      </c>
      <c r="D100" s="114">
        <v>0</v>
      </c>
      <c r="E100" s="113">
        <v>0</v>
      </c>
      <c r="F100" s="113">
        <v>0</v>
      </c>
      <c r="G100" s="114">
        <v>0</v>
      </c>
      <c r="H100" s="114">
        <v>0</v>
      </c>
      <c r="I100">
        <v>0</v>
      </c>
      <c r="J100">
        <v>1</v>
      </c>
      <c r="K100">
        <v>1</v>
      </c>
    </row>
    <row r="101" spans="1:11" ht="15" customHeight="1" x14ac:dyDescent="0.15">
      <c r="A101">
        <v>100</v>
      </c>
      <c r="B101" s="182" t="s">
        <v>291</v>
      </c>
      <c r="C101" s="114">
        <v>1</v>
      </c>
      <c r="D101" s="114">
        <v>0</v>
      </c>
      <c r="E101" s="113">
        <v>0</v>
      </c>
      <c r="F101" s="113">
        <v>0</v>
      </c>
      <c r="G101" s="114">
        <v>0</v>
      </c>
      <c r="H101" s="114">
        <v>0</v>
      </c>
      <c r="I101">
        <v>0</v>
      </c>
      <c r="J101">
        <v>0</v>
      </c>
      <c r="K101">
        <v>1</v>
      </c>
    </row>
    <row r="102" spans="1:11" ht="15" customHeight="1" x14ac:dyDescent="0.15">
      <c r="A102">
        <v>101</v>
      </c>
      <c r="B102" s="182" t="s">
        <v>292</v>
      </c>
      <c r="C102" s="114">
        <v>1</v>
      </c>
      <c r="D102" s="114">
        <v>0</v>
      </c>
      <c r="E102" s="113">
        <v>0</v>
      </c>
      <c r="F102" s="113">
        <v>0</v>
      </c>
      <c r="G102" s="114">
        <v>0</v>
      </c>
      <c r="H102" s="114">
        <v>0</v>
      </c>
      <c r="I102">
        <v>0</v>
      </c>
      <c r="J102">
        <v>0</v>
      </c>
      <c r="K102">
        <v>1</v>
      </c>
    </row>
    <row r="103" spans="1:11" ht="15" customHeight="1" x14ac:dyDescent="0.15">
      <c r="A103">
        <v>102</v>
      </c>
      <c r="B103" s="182" t="s">
        <v>293</v>
      </c>
      <c r="C103" s="114">
        <v>1</v>
      </c>
      <c r="D103" s="114">
        <v>0</v>
      </c>
      <c r="E103" s="113">
        <v>0</v>
      </c>
      <c r="F103" s="113">
        <v>0</v>
      </c>
      <c r="G103" s="114">
        <v>0</v>
      </c>
      <c r="H103" s="114">
        <v>0</v>
      </c>
      <c r="I103">
        <v>0</v>
      </c>
      <c r="J103">
        <v>0</v>
      </c>
      <c r="K103">
        <v>1</v>
      </c>
    </row>
    <row r="104" spans="1:11" ht="15" customHeight="1" x14ac:dyDescent="0.15">
      <c r="A104">
        <v>103</v>
      </c>
      <c r="B104" s="182" t="s">
        <v>294</v>
      </c>
      <c r="C104" s="114">
        <v>1</v>
      </c>
      <c r="D104" s="114">
        <v>0</v>
      </c>
      <c r="E104" s="113">
        <v>0</v>
      </c>
      <c r="F104" s="113">
        <v>0</v>
      </c>
      <c r="G104" s="114">
        <v>0</v>
      </c>
      <c r="H104" s="114">
        <v>0</v>
      </c>
      <c r="I104">
        <v>0</v>
      </c>
      <c r="J104">
        <v>0</v>
      </c>
      <c r="K104">
        <v>1</v>
      </c>
    </row>
    <row r="105" spans="1:11" ht="15" customHeight="1" x14ac:dyDescent="0.15">
      <c r="A105">
        <v>104</v>
      </c>
      <c r="B105" s="182" t="s">
        <v>295</v>
      </c>
      <c r="C105" s="114">
        <v>1</v>
      </c>
      <c r="D105" s="114">
        <v>0</v>
      </c>
      <c r="E105" s="113">
        <v>0</v>
      </c>
      <c r="F105" s="113">
        <v>0</v>
      </c>
      <c r="G105" s="114">
        <v>0</v>
      </c>
      <c r="H105" s="114">
        <v>0</v>
      </c>
      <c r="I105">
        <v>0</v>
      </c>
      <c r="J105">
        <v>0</v>
      </c>
      <c r="K105">
        <v>1</v>
      </c>
    </row>
    <row r="106" spans="1:11" ht="15" customHeight="1" x14ac:dyDescent="0.15">
      <c r="A106">
        <v>105</v>
      </c>
      <c r="B106" s="182" t="s">
        <v>296</v>
      </c>
      <c r="C106" s="114">
        <v>1</v>
      </c>
      <c r="D106" s="114">
        <v>0</v>
      </c>
      <c r="E106" s="113">
        <v>0</v>
      </c>
      <c r="F106" s="113">
        <v>0</v>
      </c>
      <c r="G106" s="114">
        <v>0</v>
      </c>
      <c r="H106" s="114">
        <v>0</v>
      </c>
      <c r="I106">
        <v>0</v>
      </c>
      <c r="J106">
        <v>0</v>
      </c>
      <c r="K106">
        <v>1</v>
      </c>
    </row>
    <row r="107" spans="1:11" ht="15" customHeight="1" x14ac:dyDescent="0.15">
      <c r="A107">
        <v>106</v>
      </c>
      <c r="B107" s="182" t="s">
        <v>297</v>
      </c>
      <c r="C107" s="114">
        <v>1</v>
      </c>
      <c r="D107" s="114">
        <v>0</v>
      </c>
      <c r="E107" s="113">
        <v>0</v>
      </c>
      <c r="F107" s="113">
        <v>0</v>
      </c>
      <c r="G107" s="114">
        <v>0</v>
      </c>
      <c r="H107" s="114">
        <v>0</v>
      </c>
      <c r="I107">
        <v>0</v>
      </c>
      <c r="J107">
        <v>0</v>
      </c>
      <c r="K107">
        <v>1</v>
      </c>
    </row>
    <row r="108" spans="1:11" ht="15" customHeight="1" x14ac:dyDescent="0.15">
      <c r="A108">
        <v>107</v>
      </c>
      <c r="B108" s="182" t="s">
        <v>298</v>
      </c>
      <c r="C108" s="114">
        <v>1</v>
      </c>
      <c r="D108" s="114">
        <v>0</v>
      </c>
      <c r="E108" s="113">
        <v>0</v>
      </c>
      <c r="F108" s="113">
        <v>0</v>
      </c>
      <c r="G108" s="114">
        <v>0</v>
      </c>
      <c r="H108" s="114">
        <v>0</v>
      </c>
      <c r="I108">
        <v>0</v>
      </c>
      <c r="J108">
        <v>0</v>
      </c>
      <c r="K108">
        <v>1</v>
      </c>
    </row>
    <row r="109" spans="1:11" ht="15" customHeight="1" x14ac:dyDescent="0.15"/>
    <row r="110" spans="1:11" ht="15" customHeight="1" x14ac:dyDescent="0.15"/>
    <row r="111" spans="1:11" ht="15" customHeight="1" x14ac:dyDescent="0.15"/>
    <row r="112" spans="1:11" ht="15" customHeight="1" x14ac:dyDescent="0.15"/>
    <row r="113" spans="3:8" ht="15" customHeight="1" x14ac:dyDescent="0.15"/>
    <row r="114" spans="3:8" ht="15" customHeight="1" x14ac:dyDescent="0.15"/>
    <row r="115" spans="3:8" ht="15" customHeight="1" x14ac:dyDescent="0.15"/>
    <row r="116" spans="3:8" ht="15" customHeight="1" x14ac:dyDescent="0.15">
      <c r="C116"/>
      <c r="D116"/>
      <c r="E116"/>
      <c r="F116"/>
      <c r="G116"/>
      <c r="H116"/>
    </row>
    <row r="117" spans="3:8" ht="15" customHeight="1" x14ac:dyDescent="0.15">
      <c r="C117"/>
      <c r="D117"/>
      <c r="E117"/>
      <c r="F117"/>
      <c r="G117"/>
      <c r="H117"/>
    </row>
    <row r="118" spans="3:8" ht="15" customHeight="1" x14ac:dyDescent="0.15">
      <c r="C118"/>
      <c r="D118"/>
      <c r="E118"/>
      <c r="F118"/>
      <c r="G118"/>
      <c r="H118"/>
    </row>
    <row r="119" spans="3:8" ht="15" customHeight="1" x14ac:dyDescent="0.15">
      <c r="C119"/>
      <c r="D119"/>
      <c r="E119"/>
      <c r="F119"/>
      <c r="G119"/>
      <c r="H119"/>
    </row>
    <row r="120" spans="3:8" ht="15" customHeight="1" x14ac:dyDescent="0.15">
      <c r="C120"/>
      <c r="D120"/>
      <c r="E120"/>
      <c r="F120"/>
      <c r="G120"/>
      <c r="H120"/>
    </row>
    <row r="121" spans="3:8" ht="15" customHeight="1" x14ac:dyDescent="0.15">
      <c r="C121"/>
      <c r="D121"/>
      <c r="E121"/>
      <c r="F121"/>
      <c r="G121"/>
      <c r="H121"/>
    </row>
    <row r="122" spans="3:8" ht="15" customHeight="1" x14ac:dyDescent="0.15">
      <c r="C122"/>
      <c r="D122"/>
      <c r="E122"/>
      <c r="F122"/>
      <c r="G122"/>
      <c r="H122"/>
    </row>
    <row r="123" spans="3:8" ht="15" customHeight="1" x14ac:dyDescent="0.15">
      <c r="C123"/>
      <c r="D123"/>
      <c r="E123"/>
      <c r="F123"/>
      <c r="G123"/>
      <c r="H123"/>
    </row>
    <row r="124" spans="3:8" ht="15" customHeight="1" x14ac:dyDescent="0.15">
      <c r="C124"/>
      <c r="D124"/>
      <c r="E124"/>
      <c r="F124"/>
      <c r="G124"/>
      <c r="H124"/>
    </row>
    <row r="125" spans="3:8" ht="15" customHeight="1" x14ac:dyDescent="0.15">
      <c r="C125"/>
      <c r="D125"/>
      <c r="E125"/>
      <c r="F125"/>
      <c r="G125"/>
      <c r="H125"/>
    </row>
    <row r="126" spans="3:8" ht="15" customHeight="1" x14ac:dyDescent="0.15">
      <c r="C126"/>
      <c r="D126"/>
      <c r="E126"/>
      <c r="F126"/>
      <c r="G126"/>
      <c r="H126"/>
    </row>
    <row r="127" spans="3:8" ht="15" customHeight="1" x14ac:dyDescent="0.15">
      <c r="C127"/>
      <c r="D127"/>
      <c r="E127"/>
      <c r="F127"/>
      <c r="G127"/>
      <c r="H127"/>
    </row>
    <row r="128" spans="3:8" ht="15" customHeight="1" x14ac:dyDescent="0.15">
      <c r="C128"/>
      <c r="D128"/>
      <c r="E128"/>
      <c r="F128"/>
      <c r="G128"/>
      <c r="H128"/>
    </row>
    <row r="129" spans="3:8" ht="15" customHeight="1" x14ac:dyDescent="0.15">
      <c r="C129"/>
      <c r="D129"/>
      <c r="E129"/>
      <c r="F129"/>
      <c r="G129"/>
      <c r="H129"/>
    </row>
    <row r="130" spans="3:8" ht="15" customHeight="1" x14ac:dyDescent="0.15">
      <c r="C130"/>
      <c r="D130"/>
      <c r="E130"/>
      <c r="F130"/>
      <c r="G130"/>
      <c r="H130"/>
    </row>
    <row r="131" spans="3:8" ht="15" customHeight="1" x14ac:dyDescent="0.15">
      <c r="C131"/>
      <c r="D131"/>
      <c r="E131"/>
      <c r="F131"/>
      <c r="G131"/>
      <c r="H131"/>
    </row>
    <row r="132" spans="3:8" ht="15" customHeight="1" x14ac:dyDescent="0.15">
      <c r="C132"/>
      <c r="D132"/>
      <c r="E132"/>
      <c r="F132"/>
      <c r="G132"/>
      <c r="H132"/>
    </row>
    <row r="133" spans="3:8" ht="15" customHeight="1" x14ac:dyDescent="0.15">
      <c r="C133"/>
      <c r="D133"/>
      <c r="E133"/>
      <c r="F133"/>
      <c r="G133"/>
      <c r="H133"/>
    </row>
    <row r="134" spans="3:8" ht="15" customHeight="1" x14ac:dyDescent="0.15">
      <c r="C134"/>
      <c r="D134"/>
      <c r="E134"/>
      <c r="F134"/>
      <c r="G134"/>
      <c r="H134"/>
    </row>
    <row r="135" spans="3:8" ht="15" customHeight="1" x14ac:dyDescent="0.15">
      <c r="C135"/>
      <c r="D135"/>
      <c r="E135"/>
      <c r="F135"/>
      <c r="G135"/>
      <c r="H135"/>
    </row>
    <row r="136" spans="3:8" ht="15" customHeight="1" x14ac:dyDescent="0.15">
      <c r="C136"/>
      <c r="D136"/>
      <c r="E136"/>
      <c r="F136"/>
      <c r="G136"/>
      <c r="H136"/>
    </row>
    <row r="137" spans="3:8" ht="15" customHeight="1" x14ac:dyDescent="0.15">
      <c r="C137"/>
      <c r="D137"/>
      <c r="E137"/>
      <c r="F137"/>
      <c r="G137"/>
      <c r="H137"/>
    </row>
    <row r="138" spans="3:8" ht="15" customHeight="1" x14ac:dyDescent="0.15">
      <c r="C138"/>
      <c r="D138"/>
      <c r="E138"/>
      <c r="F138"/>
      <c r="G138"/>
      <c r="H138"/>
    </row>
    <row r="139" spans="3:8" ht="15" customHeight="1" x14ac:dyDescent="0.15">
      <c r="C139"/>
      <c r="D139"/>
      <c r="E139"/>
      <c r="F139"/>
      <c r="G139"/>
      <c r="H139"/>
    </row>
    <row r="140" spans="3:8" ht="15" customHeight="1" x14ac:dyDescent="0.15">
      <c r="C140"/>
      <c r="D140"/>
      <c r="E140"/>
      <c r="F140"/>
      <c r="G140"/>
      <c r="H140"/>
    </row>
    <row r="141" spans="3:8" ht="15" customHeight="1" x14ac:dyDescent="0.15">
      <c r="C141"/>
      <c r="D141"/>
      <c r="E141"/>
      <c r="F141"/>
      <c r="G141"/>
      <c r="H141"/>
    </row>
    <row r="142" spans="3:8" ht="15" customHeight="1" x14ac:dyDescent="0.15">
      <c r="C142"/>
      <c r="D142"/>
      <c r="E142"/>
      <c r="F142"/>
      <c r="G142"/>
      <c r="H142"/>
    </row>
    <row r="143" spans="3:8" ht="15" customHeight="1" x14ac:dyDescent="0.15">
      <c r="C143"/>
      <c r="D143"/>
      <c r="E143"/>
      <c r="F143"/>
      <c r="G143"/>
      <c r="H143"/>
    </row>
    <row r="144" spans="3:8" ht="15" customHeight="1" x14ac:dyDescent="0.15">
      <c r="C144"/>
      <c r="D144"/>
      <c r="E144"/>
      <c r="F144"/>
      <c r="G144"/>
      <c r="H144"/>
    </row>
    <row r="145" spans="3:8" ht="15" customHeight="1" x14ac:dyDescent="0.15">
      <c r="C145"/>
      <c r="D145"/>
      <c r="E145"/>
      <c r="F145"/>
      <c r="G145"/>
      <c r="H145"/>
    </row>
    <row r="146" spans="3:8" ht="15" customHeight="1" x14ac:dyDescent="0.15">
      <c r="C146"/>
      <c r="D146"/>
      <c r="E146"/>
      <c r="F146"/>
      <c r="G146"/>
      <c r="H146"/>
    </row>
    <row r="147" spans="3:8" ht="15" customHeight="1" x14ac:dyDescent="0.15">
      <c r="C147"/>
      <c r="D147"/>
      <c r="E147"/>
      <c r="F147"/>
      <c r="G147"/>
      <c r="H147"/>
    </row>
    <row r="148" spans="3:8" ht="15" customHeight="1" x14ac:dyDescent="0.15">
      <c r="C148"/>
      <c r="D148"/>
      <c r="E148"/>
      <c r="F148"/>
      <c r="G148"/>
      <c r="H148"/>
    </row>
    <row r="149" spans="3:8" ht="15" customHeight="1" x14ac:dyDescent="0.15">
      <c r="C149"/>
      <c r="D149"/>
      <c r="E149"/>
      <c r="F149"/>
      <c r="G149"/>
      <c r="H149"/>
    </row>
    <row r="150" spans="3:8" ht="15" customHeight="1" x14ac:dyDescent="0.15">
      <c r="C150"/>
      <c r="D150"/>
      <c r="E150"/>
      <c r="F150"/>
      <c r="G150"/>
      <c r="H150"/>
    </row>
    <row r="151" spans="3:8" ht="15" customHeight="1" x14ac:dyDescent="0.15">
      <c r="C151"/>
      <c r="D151"/>
      <c r="E151"/>
      <c r="F151"/>
      <c r="G151"/>
      <c r="H151"/>
    </row>
    <row r="152" spans="3:8" ht="15" customHeight="1" x14ac:dyDescent="0.15">
      <c r="C152"/>
      <c r="D152"/>
      <c r="E152"/>
      <c r="F152"/>
      <c r="G152"/>
      <c r="H152"/>
    </row>
    <row r="153" spans="3:8" ht="15" customHeight="1" x14ac:dyDescent="0.15">
      <c r="C153"/>
      <c r="D153"/>
      <c r="E153"/>
      <c r="F153"/>
      <c r="G153"/>
      <c r="H153"/>
    </row>
    <row r="154" spans="3:8" ht="15" customHeight="1" x14ac:dyDescent="0.15">
      <c r="C154"/>
      <c r="D154"/>
      <c r="E154"/>
      <c r="F154"/>
      <c r="G154"/>
      <c r="H154"/>
    </row>
    <row r="155" spans="3:8" ht="15" customHeight="1" x14ac:dyDescent="0.15">
      <c r="C155"/>
      <c r="D155"/>
      <c r="E155"/>
      <c r="F155"/>
      <c r="G155"/>
      <c r="H155"/>
    </row>
    <row r="156" spans="3:8" ht="15" customHeight="1" x14ac:dyDescent="0.15">
      <c r="C156"/>
      <c r="D156"/>
      <c r="E156"/>
      <c r="F156"/>
      <c r="G156"/>
      <c r="H156"/>
    </row>
    <row r="157" spans="3:8" ht="15" customHeight="1" x14ac:dyDescent="0.15">
      <c r="C157"/>
      <c r="D157"/>
      <c r="E157"/>
      <c r="F157"/>
      <c r="G157"/>
      <c r="H157"/>
    </row>
    <row r="158" spans="3:8" ht="15" customHeight="1" x14ac:dyDescent="0.15">
      <c r="C158"/>
      <c r="D158"/>
      <c r="E158"/>
      <c r="F158"/>
      <c r="G158"/>
      <c r="H158"/>
    </row>
    <row r="159" spans="3:8" ht="15" customHeight="1" x14ac:dyDescent="0.15">
      <c r="C159"/>
      <c r="D159"/>
      <c r="E159"/>
      <c r="F159"/>
      <c r="G159"/>
      <c r="H159"/>
    </row>
    <row r="160" spans="3:8" ht="15" customHeight="1" x14ac:dyDescent="0.15">
      <c r="C160"/>
      <c r="D160"/>
      <c r="E160"/>
      <c r="F160"/>
      <c r="G160"/>
      <c r="H160"/>
    </row>
    <row r="161" spans="3:8" ht="15" customHeight="1" x14ac:dyDescent="0.15">
      <c r="C161"/>
      <c r="D161"/>
      <c r="E161"/>
      <c r="F161"/>
      <c r="G161"/>
      <c r="H161"/>
    </row>
    <row r="162" spans="3:8" ht="15" customHeight="1" x14ac:dyDescent="0.15">
      <c r="C162"/>
      <c r="D162"/>
      <c r="E162"/>
      <c r="F162"/>
      <c r="G162"/>
      <c r="H162"/>
    </row>
    <row r="163" spans="3:8" ht="15" customHeight="1" x14ac:dyDescent="0.15">
      <c r="C163"/>
      <c r="D163"/>
      <c r="E163"/>
      <c r="F163"/>
      <c r="G163"/>
      <c r="H163"/>
    </row>
    <row r="164" spans="3:8" ht="15" customHeight="1" x14ac:dyDescent="0.15">
      <c r="C164"/>
      <c r="D164"/>
      <c r="E164"/>
      <c r="F164"/>
      <c r="G164"/>
      <c r="H164"/>
    </row>
    <row r="165" spans="3:8" ht="15" customHeight="1" x14ac:dyDescent="0.15">
      <c r="C165"/>
      <c r="D165"/>
      <c r="E165"/>
      <c r="F165"/>
      <c r="G165"/>
      <c r="H165"/>
    </row>
    <row r="166" spans="3:8" ht="15" customHeight="1" x14ac:dyDescent="0.15">
      <c r="C166"/>
      <c r="D166"/>
      <c r="E166"/>
      <c r="F166"/>
      <c r="G166"/>
      <c r="H166"/>
    </row>
    <row r="167" spans="3:8" ht="15" customHeight="1" x14ac:dyDescent="0.15">
      <c r="C167"/>
      <c r="D167"/>
      <c r="E167"/>
      <c r="F167"/>
      <c r="G167"/>
      <c r="H167"/>
    </row>
    <row r="168" spans="3:8" ht="15" customHeight="1" x14ac:dyDescent="0.15">
      <c r="C168"/>
      <c r="D168"/>
      <c r="E168"/>
      <c r="F168"/>
      <c r="G168"/>
      <c r="H168"/>
    </row>
    <row r="169" spans="3:8" ht="15" customHeight="1" x14ac:dyDescent="0.15">
      <c r="C169"/>
      <c r="D169"/>
      <c r="E169"/>
      <c r="F169"/>
      <c r="G169"/>
      <c r="H169"/>
    </row>
    <row r="170" spans="3:8" ht="15" customHeight="1" x14ac:dyDescent="0.15">
      <c r="C170"/>
      <c r="D170"/>
      <c r="E170"/>
      <c r="F170"/>
      <c r="G170"/>
      <c r="H170"/>
    </row>
    <row r="171" spans="3:8" ht="15" customHeight="1" x14ac:dyDescent="0.15">
      <c r="C171"/>
      <c r="D171"/>
      <c r="E171"/>
      <c r="F171"/>
      <c r="G171"/>
      <c r="H171"/>
    </row>
    <row r="172" spans="3:8" ht="15" customHeight="1" x14ac:dyDescent="0.15">
      <c r="C172"/>
      <c r="D172"/>
      <c r="E172"/>
      <c r="F172"/>
      <c r="G172"/>
      <c r="H172"/>
    </row>
    <row r="173" spans="3:8" ht="15" customHeight="1" x14ac:dyDescent="0.15">
      <c r="C173"/>
      <c r="D173"/>
      <c r="E173"/>
      <c r="F173"/>
      <c r="G173"/>
      <c r="H173"/>
    </row>
    <row r="174" spans="3:8" ht="15" customHeight="1" x14ac:dyDescent="0.15">
      <c r="C174"/>
      <c r="D174"/>
      <c r="E174"/>
      <c r="F174"/>
      <c r="G174"/>
      <c r="H174"/>
    </row>
    <row r="175" spans="3:8" ht="15" customHeight="1" x14ac:dyDescent="0.15">
      <c r="C175"/>
      <c r="D175"/>
      <c r="E175"/>
      <c r="F175"/>
      <c r="G175"/>
      <c r="H175"/>
    </row>
    <row r="176" spans="3:8" ht="15" customHeight="1" x14ac:dyDescent="0.15">
      <c r="C176"/>
      <c r="D176"/>
      <c r="E176"/>
      <c r="F176"/>
      <c r="G176"/>
      <c r="H176"/>
    </row>
    <row r="177" spans="3:8" ht="15" customHeight="1" x14ac:dyDescent="0.15">
      <c r="C177"/>
      <c r="D177"/>
      <c r="E177"/>
      <c r="F177"/>
      <c r="G177"/>
      <c r="H177"/>
    </row>
    <row r="178" spans="3:8" ht="15" customHeight="1" x14ac:dyDescent="0.15">
      <c r="C178"/>
      <c r="D178"/>
      <c r="E178"/>
      <c r="F178"/>
      <c r="G178"/>
      <c r="H178"/>
    </row>
    <row r="179" spans="3:8" ht="15" customHeight="1" x14ac:dyDescent="0.15">
      <c r="C179"/>
      <c r="D179"/>
      <c r="E179"/>
      <c r="F179"/>
      <c r="G179"/>
      <c r="H179"/>
    </row>
    <row r="180" spans="3:8" ht="15" customHeight="1" x14ac:dyDescent="0.15">
      <c r="C180"/>
      <c r="D180"/>
      <c r="E180"/>
      <c r="F180"/>
      <c r="G180"/>
      <c r="H180"/>
    </row>
    <row r="181" spans="3:8" ht="15" customHeight="1" x14ac:dyDescent="0.15">
      <c r="C181"/>
      <c r="D181"/>
      <c r="E181"/>
      <c r="F181"/>
      <c r="G181"/>
      <c r="H181"/>
    </row>
    <row r="182" spans="3:8" ht="15" customHeight="1" x14ac:dyDescent="0.15">
      <c r="C182"/>
      <c r="D182"/>
      <c r="E182"/>
      <c r="F182"/>
      <c r="G182"/>
      <c r="H182"/>
    </row>
    <row r="183" spans="3:8" ht="15" customHeight="1" x14ac:dyDescent="0.15">
      <c r="C183"/>
      <c r="D183"/>
      <c r="E183"/>
      <c r="F183"/>
      <c r="G183"/>
      <c r="H183"/>
    </row>
    <row r="184" spans="3:8" ht="15" customHeight="1" x14ac:dyDescent="0.15">
      <c r="C184"/>
      <c r="D184"/>
      <c r="E184"/>
      <c r="F184"/>
      <c r="G184"/>
      <c r="H184"/>
    </row>
    <row r="185" spans="3:8" ht="15" customHeight="1" x14ac:dyDescent="0.15">
      <c r="C185"/>
      <c r="D185"/>
      <c r="E185"/>
      <c r="F185"/>
      <c r="G185"/>
      <c r="H185"/>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indexed="45"/>
  </sheetPr>
  <dimension ref="A1:K174"/>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44.33203125" bestFit="1" customWidth="1"/>
    <col min="3" max="3" width="5.83203125" bestFit="1" customWidth="1"/>
    <col min="4" max="4" width="6.83203125" bestFit="1" customWidth="1"/>
    <col min="5" max="5" width="11.5" bestFit="1" customWidth="1"/>
    <col min="6" max="6" width="11.5" customWidth="1"/>
    <col min="7" max="8" width="11.83203125" customWidth="1"/>
    <col min="9" max="9" width="11.5" customWidth="1"/>
    <col min="10" max="10" width="11.83203125" customWidth="1"/>
    <col min="11" max="11" width="15.83203125" customWidth="1"/>
  </cols>
  <sheetData>
    <row r="1" spans="1:11" s="115" customFormat="1" ht="112" x14ac:dyDescent="0.15">
      <c r="A1" s="5" t="s">
        <v>21</v>
      </c>
      <c r="B1" s="3" t="s">
        <v>0</v>
      </c>
      <c r="C1" s="185" t="s">
        <v>291</v>
      </c>
      <c r="D1" s="185" t="s">
        <v>292</v>
      </c>
      <c r="E1" s="185" t="s">
        <v>293</v>
      </c>
      <c r="F1" s="185" t="s">
        <v>294</v>
      </c>
      <c r="G1" s="185" t="s">
        <v>295</v>
      </c>
      <c r="H1" s="185" t="s">
        <v>296</v>
      </c>
      <c r="I1" s="185" t="s">
        <v>297</v>
      </c>
      <c r="J1" s="185" t="s">
        <v>298</v>
      </c>
      <c r="K1" s="185" t="s">
        <v>302</v>
      </c>
    </row>
    <row r="2" spans="1:11" ht="15" customHeight="1" x14ac:dyDescent="0.15">
      <c r="A2">
        <v>1</v>
      </c>
      <c r="B2" s="184" t="s">
        <v>192</v>
      </c>
      <c r="C2">
        <v>0</v>
      </c>
      <c r="D2">
        <v>0</v>
      </c>
      <c r="E2">
        <v>0</v>
      </c>
      <c r="F2">
        <v>0</v>
      </c>
      <c r="G2">
        <v>0</v>
      </c>
      <c r="H2">
        <v>0</v>
      </c>
      <c r="I2">
        <v>0</v>
      </c>
      <c r="J2">
        <v>0</v>
      </c>
      <c r="K2">
        <v>0</v>
      </c>
    </row>
    <row r="3" spans="1:11" ht="15" customHeight="1" x14ac:dyDescent="0.15">
      <c r="A3">
        <v>2</v>
      </c>
      <c r="B3" s="184" t="s">
        <v>193</v>
      </c>
      <c r="C3">
        <v>0</v>
      </c>
      <c r="D3">
        <v>0</v>
      </c>
      <c r="E3">
        <v>0</v>
      </c>
      <c r="F3">
        <v>0</v>
      </c>
      <c r="G3">
        <v>0</v>
      </c>
      <c r="H3">
        <v>0</v>
      </c>
      <c r="I3">
        <v>0</v>
      </c>
      <c r="J3">
        <v>1E-4</v>
      </c>
      <c r="K3">
        <v>1E-4</v>
      </c>
    </row>
    <row r="4" spans="1:11" ht="15" customHeight="1" x14ac:dyDescent="0.15">
      <c r="A4">
        <v>3</v>
      </c>
      <c r="B4" s="184" t="s">
        <v>194</v>
      </c>
      <c r="C4">
        <v>0</v>
      </c>
      <c r="D4">
        <v>0</v>
      </c>
      <c r="E4">
        <v>0</v>
      </c>
      <c r="F4">
        <v>0</v>
      </c>
      <c r="G4">
        <v>0</v>
      </c>
      <c r="H4">
        <v>0</v>
      </c>
      <c r="I4">
        <v>0</v>
      </c>
      <c r="J4">
        <v>0</v>
      </c>
      <c r="K4">
        <v>0</v>
      </c>
    </row>
    <row r="5" spans="1:11" ht="15" customHeight="1" x14ac:dyDescent="0.15">
      <c r="A5">
        <v>4</v>
      </c>
      <c r="B5" s="184" t="s">
        <v>195</v>
      </c>
      <c r="C5">
        <v>0</v>
      </c>
      <c r="D5">
        <v>0</v>
      </c>
      <c r="E5">
        <v>0</v>
      </c>
      <c r="F5">
        <v>0</v>
      </c>
      <c r="G5">
        <v>0</v>
      </c>
      <c r="H5">
        <v>0</v>
      </c>
      <c r="I5">
        <v>0</v>
      </c>
      <c r="J5">
        <v>4.7898539999999996E-3</v>
      </c>
      <c r="K5">
        <v>4.7898539999999996E-3</v>
      </c>
    </row>
    <row r="6" spans="1:11" ht="15" customHeight="1" x14ac:dyDescent="0.15">
      <c r="A6">
        <v>5</v>
      </c>
      <c r="B6" s="184" t="s">
        <v>196</v>
      </c>
      <c r="C6">
        <v>0</v>
      </c>
      <c r="D6">
        <v>0</v>
      </c>
      <c r="E6">
        <v>0</v>
      </c>
      <c r="F6">
        <v>0</v>
      </c>
      <c r="G6">
        <v>0</v>
      </c>
      <c r="H6">
        <v>0</v>
      </c>
      <c r="I6">
        <v>0</v>
      </c>
      <c r="J6">
        <v>0</v>
      </c>
      <c r="K6">
        <v>0</v>
      </c>
    </row>
    <row r="7" spans="1:11" ht="15" customHeight="1" x14ac:dyDescent="0.15">
      <c r="A7">
        <v>6</v>
      </c>
      <c r="B7" s="184" t="s">
        <v>197</v>
      </c>
      <c r="C7">
        <v>0</v>
      </c>
      <c r="D7">
        <v>0</v>
      </c>
      <c r="E7">
        <v>0</v>
      </c>
      <c r="F7">
        <v>0</v>
      </c>
      <c r="G7">
        <v>0</v>
      </c>
      <c r="H7">
        <v>0</v>
      </c>
      <c r="I7">
        <v>0</v>
      </c>
      <c r="J7">
        <v>0</v>
      </c>
      <c r="K7">
        <v>0</v>
      </c>
    </row>
    <row r="8" spans="1:11" ht="15" customHeight="1" x14ac:dyDescent="0.15">
      <c r="A8">
        <v>7</v>
      </c>
      <c r="B8" s="184" t="s">
        <v>198</v>
      </c>
      <c r="C8">
        <v>0</v>
      </c>
      <c r="D8">
        <v>0</v>
      </c>
      <c r="E8">
        <v>0</v>
      </c>
      <c r="F8">
        <v>0</v>
      </c>
      <c r="G8">
        <v>0</v>
      </c>
      <c r="H8">
        <v>0</v>
      </c>
      <c r="I8">
        <v>0</v>
      </c>
      <c r="J8">
        <v>0</v>
      </c>
      <c r="K8">
        <v>0</v>
      </c>
    </row>
    <row r="9" spans="1:11" ht="15" customHeight="1" x14ac:dyDescent="0.15">
      <c r="A9">
        <v>8</v>
      </c>
      <c r="B9" s="184" t="s">
        <v>199</v>
      </c>
      <c r="C9">
        <v>0</v>
      </c>
      <c r="D9">
        <v>0</v>
      </c>
      <c r="E9">
        <v>0</v>
      </c>
      <c r="F9">
        <v>0</v>
      </c>
      <c r="G9">
        <v>0</v>
      </c>
      <c r="H9">
        <v>0</v>
      </c>
      <c r="I9">
        <v>0</v>
      </c>
      <c r="J9">
        <v>0</v>
      </c>
      <c r="K9">
        <v>0</v>
      </c>
    </row>
    <row r="10" spans="1:11" ht="15" customHeight="1" x14ac:dyDescent="0.15">
      <c r="A10">
        <v>9</v>
      </c>
      <c r="B10" s="184" t="s">
        <v>200</v>
      </c>
      <c r="C10">
        <v>0</v>
      </c>
      <c r="D10">
        <v>0</v>
      </c>
      <c r="E10">
        <v>0</v>
      </c>
      <c r="F10">
        <v>0</v>
      </c>
      <c r="G10">
        <v>0</v>
      </c>
      <c r="H10">
        <v>0</v>
      </c>
      <c r="I10">
        <v>0</v>
      </c>
      <c r="J10">
        <v>0</v>
      </c>
      <c r="K10">
        <v>0</v>
      </c>
    </row>
    <row r="11" spans="1:11" ht="15" customHeight="1" x14ac:dyDescent="0.15">
      <c r="A11">
        <v>10</v>
      </c>
      <c r="B11" s="184" t="s">
        <v>201</v>
      </c>
      <c r="C11">
        <v>0</v>
      </c>
      <c r="D11">
        <v>0</v>
      </c>
      <c r="E11">
        <v>0</v>
      </c>
      <c r="F11">
        <v>0</v>
      </c>
      <c r="G11">
        <v>0</v>
      </c>
      <c r="H11">
        <v>0</v>
      </c>
      <c r="I11">
        <v>0</v>
      </c>
      <c r="J11">
        <v>0</v>
      </c>
      <c r="K11">
        <v>0</v>
      </c>
    </row>
    <row r="12" spans="1:11" ht="15" customHeight="1" x14ac:dyDescent="0.15">
      <c r="A12">
        <v>11</v>
      </c>
      <c r="B12" s="184" t="s">
        <v>202</v>
      </c>
      <c r="C12">
        <v>0</v>
      </c>
      <c r="D12">
        <v>0</v>
      </c>
      <c r="E12">
        <v>1E-4</v>
      </c>
      <c r="F12">
        <v>9.8838000000000001E-6</v>
      </c>
      <c r="G12">
        <v>1.050121E-3</v>
      </c>
      <c r="H12">
        <v>0</v>
      </c>
      <c r="I12">
        <v>3.4745700000000002E-6</v>
      </c>
      <c r="J12">
        <v>2.0471700000000001E-4</v>
      </c>
      <c r="K12">
        <v>1.3681963699999999E-3</v>
      </c>
    </row>
    <row r="13" spans="1:11" ht="15" customHeight="1" x14ac:dyDescent="0.15">
      <c r="A13">
        <v>12</v>
      </c>
      <c r="B13" s="184" t="s">
        <v>203</v>
      </c>
      <c r="C13">
        <v>0</v>
      </c>
      <c r="D13">
        <v>0</v>
      </c>
      <c r="E13">
        <v>0</v>
      </c>
      <c r="F13">
        <v>0</v>
      </c>
      <c r="G13">
        <v>0</v>
      </c>
      <c r="H13">
        <v>0</v>
      </c>
      <c r="I13">
        <v>7.5894300000000007E-9</v>
      </c>
      <c r="J13">
        <v>0</v>
      </c>
      <c r="K13">
        <v>7.5894300000000007E-9</v>
      </c>
    </row>
    <row r="14" spans="1:11" ht="15" customHeight="1" x14ac:dyDescent="0.15">
      <c r="A14">
        <v>13</v>
      </c>
      <c r="B14" s="184" t="s">
        <v>204</v>
      </c>
      <c r="C14">
        <v>0</v>
      </c>
      <c r="D14">
        <v>0</v>
      </c>
      <c r="E14">
        <v>0</v>
      </c>
      <c r="F14">
        <v>0</v>
      </c>
      <c r="G14">
        <v>0</v>
      </c>
      <c r="H14">
        <v>0</v>
      </c>
      <c r="I14">
        <v>0</v>
      </c>
      <c r="J14">
        <v>0</v>
      </c>
      <c r="K14">
        <v>0</v>
      </c>
    </row>
    <row r="15" spans="1:11" ht="15" customHeight="1" x14ac:dyDescent="0.15">
      <c r="A15">
        <v>14</v>
      </c>
      <c r="B15" s="184" t="s">
        <v>205</v>
      </c>
      <c r="C15">
        <v>0</v>
      </c>
      <c r="D15">
        <v>0</v>
      </c>
      <c r="E15">
        <v>3.7055199999999997E-5</v>
      </c>
      <c r="F15">
        <v>0</v>
      </c>
      <c r="G15">
        <v>1.9323000000000001E-6</v>
      </c>
      <c r="H15">
        <v>0</v>
      </c>
      <c r="I15">
        <v>3.5081400000000002E-6</v>
      </c>
      <c r="J15">
        <v>0</v>
      </c>
      <c r="K15">
        <v>4.2495639999999996E-5</v>
      </c>
    </row>
    <row r="16" spans="1:11" ht="15" customHeight="1" x14ac:dyDescent="0.15">
      <c r="A16">
        <v>15</v>
      </c>
      <c r="B16" s="184" t="s">
        <v>206</v>
      </c>
      <c r="C16">
        <v>0</v>
      </c>
      <c r="D16">
        <v>0</v>
      </c>
      <c r="E16">
        <v>0</v>
      </c>
      <c r="F16">
        <v>0</v>
      </c>
      <c r="G16">
        <v>0</v>
      </c>
      <c r="H16">
        <v>0</v>
      </c>
      <c r="I16">
        <v>1.33931E-8</v>
      </c>
      <c r="J16">
        <v>5.4637099999999999E-5</v>
      </c>
      <c r="K16">
        <v>5.46504931E-5</v>
      </c>
    </row>
    <row r="17" spans="1:11" ht="15" customHeight="1" x14ac:dyDescent="0.15">
      <c r="A17">
        <v>16</v>
      </c>
      <c r="B17" s="184" t="s">
        <v>207</v>
      </c>
      <c r="C17">
        <v>0</v>
      </c>
      <c r="D17">
        <v>0</v>
      </c>
      <c r="E17">
        <v>4.2612199999999998E-5</v>
      </c>
      <c r="F17">
        <v>1.32436E-5</v>
      </c>
      <c r="G17">
        <v>7.2522299999999999E-4</v>
      </c>
      <c r="H17">
        <v>0</v>
      </c>
      <c r="I17">
        <v>6.1204099999999999E-7</v>
      </c>
      <c r="J17">
        <v>0</v>
      </c>
      <c r="K17">
        <v>7.8169084100000003E-4</v>
      </c>
    </row>
    <row r="18" spans="1:11" ht="15" customHeight="1" x14ac:dyDescent="0.15">
      <c r="A18">
        <v>17</v>
      </c>
      <c r="B18" s="184" t="s">
        <v>208</v>
      </c>
      <c r="C18">
        <v>0</v>
      </c>
      <c r="D18">
        <v>0</v>
      </c>
      <c r="E18">
        <v>2.16355E-5</v>
      </c>
      <c r="F18">
        <v>1.7896399999999999E-8</v>
      </c>
      <c r="G18">
        <v>7.6926499999999997E-7</v>
      </c>
      <c r="H18">
        <v>0</v>
      </c>
      <c r="I18">
        <v>6.05354E-6</v>
      </c>
      <c r="J18">
        <v>2.6591470000000002E-3</v>
      </c>
      <c r="K18">
        <v>2.6876232014000001E-3</v>
      </c>
    </row>
    <row r="19" spans="1:11" ht="15" customHeight="1" x14ac:dyDescent="0.15">
      <c r="A19">
        <v>18</v>
      </c>
      <c r="B19" s="184" t="s">
        <v>209</v>
      </c>
      <c r="C19">
        <v>0</v>
      </c>
      <c r="D19">
        <v>0</v>
      </c>
      <c r="E19">
        <v>2.0409400000000001E-6</v>
      </c>
      <c r="F19">
        <v>0</v>
      </c>
      <c r="G19">
        <v>1.8893799999999999E-6</v>
      </c>
      <c r="H19">
        <v>0</v>
      </c>
      <c r="I19">
        <v>5.2139299999999997E-6</v>
      </c>
      <c r="J19">
        <v>8.3536999999999993E-6</v>
      </c>
      <c r="K19">
        <v>1.7497949999999997E-5</v>
      </c>
    </row>
    <row r="20" spans="1:11" ht="15" customHeight="1" x14ac:dyDescent="0.15">
      <c r="A20">
        <v>19</v>
      </c>
      <c r="B20" s="184" t="s">
        <v>210</v>
      </c>
      <c r="C20">
        <v>0</v>
      </c>
      <c r="D20">
        <v>0</v>
      </c>
      <c r="E20">
        <v>6.5606700000000002E-6</v>
      </c>
      <c r="F20">
        <v>2.9740399999999999E-8</v>
      </c>
      <c r="G20">
        <v>4.2079599999999999E-6</v>
      </c>
      <c r="H20">
        <v>0</v>
      </c>
      <c r="I20">
        <v>3.0366299999999998E-7</v>
      </c>
      <c r="J20">
        <v>0</v>
      </c>
      <c r="K20">
        <v>1.11020334E-5</v>
      </c>
    </row>
    <row r="21" spans="1:11" ht="15" customHeight="1" x14ac:dyDescent="0.15">
      <c r="A21">
        <v>20</v>
      </c>
      <c r="B21" s="184" t="s">
        <v>211</v>
      </c>
      <c r="C21">
        <v>0</v>
      </c>
      <c r="D21">
        <v>0</v>
      </c>
      <c r="E21">
        <v>5.8822200000000001E-7</v>
      </c>
      <c r="F21">
        <v>4.3828E-8</v>
      </c>
      <c r="G21">
        <v>2.0984199999999998E-6</v>
      </c>
      <c r="H21">
        <v>0</v>
      </c>
      <c r="I21">
        <v>1.5124E-7</v>
      </c>
      <c r="J21">
        <v>0</v>
      </c>
      <c r="K21">
        <v>2.8817100000000001E-6</v>
      </c>
    </row>
    <row r="22" spans="1:11" ht="15" customHeight="1" x14ac:dyDescent="0.15">
      <c r="A22">
        <v>21</v>
      </c>
      <c r="B22" s="184" t="s">
        <v>212</v>
      </c>
      <c r="C22">
        <v>0</v>
      </c>
      <c r="D22">
        <v>0</v>
      </c>
      <c r="E22">
        <v>0</v>
      </c>
      <c r="F22">
        <v>0</v>
      </c>
      <c r="G22">
        <v>0</v>
      </c>
      <c r="H22">
        <v>0</v>
      </c>
      <c r="I22">
        <v>0</v>
      </c>
      <c r="J22">
        <v>0</v>
      </c>
      <c r="K22">
        <v>0</v>
      </c>
    </row>
    <row r="23" spans="1:11" ht="15" customHeight="1" x14ac:dyDescent="0.15">
      <c r="A23">
        <v>22</v>
      </c>
      <c r="B23" s="184" t="s">
        <v>213</v>
      </c>
      <c r="C23">
        <v>0</v>
      </c>
      <c r="D23">
        <v>0</v>
      </c>
      <c r="E23">
        <v>8.4106599999999995E-6</v>
      </c>
      <c r="F23">
        <v>0</v>
      </c>
      <c r="G23">
        <v>0</v>
      </c>
      <c r="H23">
        <v>0</v>
      </c>
      <c r="I23">
        <v>1.57485E-6</v>
      </c>
      <c r="J23">
        <v>5.3101600000000004E-4</v>
      </c>
      <c r="K23">
        <v>5.4100151000000007E-4</v>
      </c>
    </row>
    <row r="24" spans="1:11" ht="15" customHeight="1" x14ac:dyDescent="0.15">
      <c r="A24">
        <v>23</v>
      </c>
      <c r="B24" s="184" t="s">
        <v>214</v>
      </c>
      <c r="C24">
        <v>0</v>
      </c>
      <c r="D24">
        <v>0</v>
      </c>
      <c r="E24">
        <v>1.8284500000000001E-5</v>
      </c>
      <c r="F24">
        <v>0</v>
      </c>
      <c r="G24">
        <v>1.12182E-7</v>
      </c>
      <c r="H24">
        <v>0</v>
      </c>
      <c r="I24">
        <v>2.4418800000000002E-6</v>
      </c>
      <c r="J24">
        <v>1.1387500000000001E-5</v>
      </c>
      <c r="K24">
        <v>3.2226062000000002E-5</v>
      </c>
    </row>
    <row r="25" spans="1:11" ht="15" customHeight="1" x14ac:dyDescent="0.15">
      <c r="A25">
        <v>24</v>
      </c>
      <c r="B25" s="184" t="s">
        <v>215</v>
      </c>
      <c r="C25">
        <v>0</v>
      </c>
      <c r="D25">
        <v>0</v>
      </c>
      <c r="E25">
        <v>0</v>
      </c>
      <c r="F25">
        <v>0</v>
      </c>
      <c r="G25">
        <v>0</v>
      </c>
      <c r="H25">
        <v>0</v>
      </c>
      <c r="I25">
        <v>0</v>
      </c>
      <c r="J25">
        <v>0</v>
      </c>
      <c r="K25">
        <v>0</v>
      </c>
    </row>
    <row r="26" spans="1:11" ht="15" customHeight="1" x14ac:dyDescent="0.15">
      <c r="A26">
        <v>25</v>
      </c>
      <c r="B26" s="184" t="s">
        <v>216</v>
      </c>
      <c r="C26">
        <v>0</v>
      </c>
      <c r="D26">
        <v>0</v>
      </c>
      <c r="E26">
        <v>0</v>
      </c>
      <c r="F26">
        <v>0</v>
      </c>
      <c r="G26">
        <v>0</v>
      </c>
      <c r="H26">
        <v>0</v>
      </c>
      <c r="I26">
        <v>1.2053800000000001E-8</v>
      </c>
      <c r="J26">
        <v>0</v>
      </c>
      <c r="K26">
        <v>1.2053800000000001E-8</v>
      </c>
    </row>
    <row r="27" spans="1:11" ht="15" customHeight="1" x14ac:dyDescent="0.15">
      <c r="A27">
        <v>26</v>
      </c>
      <c r="B27" s="184" t="s">
        <v>217</v>
      </c>
      <c r="C27">
        <v>0</v>
      </c>
      <c r="D27">
        <v>0</v>
      </c>
      <c r="E27">
        <v>0</v>
      </c>
      <c r="F27">
        <v>0</v>
      </c>
      <c r="G27">
        <v>0</v>
      </c>
      <c r="H27">
        <v>0</v>
      </c>
      <c r="I27">
        <v>8.8713799999999999E-8</v>
      </c>
      <c r="J27">
        <v>2.08512E-4</v>
      </c>
      <c r="K27">
        <v>2.0860071380000001E-4</v>
      </c>
    </row>
    <row r="28" spans="1:11" ht="15" customHeight="1" x14ac:dyDescent="0.15">
      <c r="A28">
        <v>27</v>
      </c>
      <c r="B28" s="184" t="s">
        <v>218</v>
      </c>
      <c r="C28">
        <v>0</v>
      </c>
      <c r="D28">
        <v>0</v>
      </c>
      <c r="E28">
        <v>0</v>
      </c>
      <c r="F28">
        <v>0</v>
      </c>
      <c r="G28">
        <v>0</v>
      </c>
      <c r="H28">
        <v>0</v>
      </c>
      <c r="I28">
        <v>3.3836900000000002E-8</v>
      </c>
      <c r="J28">
        <v>0</v>
      </c>
      <c r="K28">
        <v>3.3836900000000002E-8</v>
      </c>
    </row>
    <row r="29" spans="1:11" ht="15" customHeight="1" x14ac:dyDescent="0.15">
      <c r="A29">
        <v>28</v>
      </c>
      <c r="B29" s="184" t="s">
        <v>219</v>
      </c>
      <c r="C29">
        <v>0</v>
      </c>
      <c r="D29">
        <v>0</v>
      </c>
      <c r="E29">
        <v>0</v>
      </c>
      <c r="F29">
        <v>0</v>
      </c>
      <c r="G29">
        <v>0</v>
      </c>
      <c r="H29">
        <v>0</v>
      </c>
      <c r="I29">
        <v>0</v>
      </c>
      <c r="J29">
        <v>0</v>
      </c>
      <c r="K29">
        <v>0</v>
      </c>
    </row>
    <row r="30" spans="1:11" ht="15" customHeight="1" x14ac:dyDescent="0.15">
      <c r="A30">
        <v>29</v>
      </c>
      <c r="B30" s="184" t="s">
        <v>220</v>
      </c>
      <c r="C30">
        <v>0</v>
      </c>
      <c r="D30">
        <v>0</v>
      </c>
      <c r="E30">
        <v>0</v>
      </c>
      <c r="F30">
        <v>0</v>
      </c>
      <c r="G30">
        <v>0</v>
      </c>
      <c r="H30">
        <v>0</v>
      </c>
      <c r="I30">
        <v>0</v>
      </c>
      <c r="J30">
        <v>0</v>
      </c>
      <c r="K30">
        <v>0</v>
      </c>
    </row>
    <row r="31" spans="1:11" ht="15" customHeight="1" x14ac:dyDescent="0.15">
      <c r="A31">
        <v>30</v>
      </c>
      <c r="B31" s="184" t="s">
        <v>221</v>
      </c>
      <c r="C31">
        <v>0</v>
      </c>
      <c r="D31">
        <v>0</v>
      </c>
      <c r="E31">
        <v>1.4597799999999999E-5</v>
      </c>
      <c r="F31">
        <v>1.8366E-8</v>
      </c>
      <c r="G31">
        <v>3.4542299999999998E-4</v>
      </c>
      <c r="H31">
        <v>0</v>
      </c>
      <c r="I31">
        <v>4.3430200000000003E-6</v>
      </c>
      <c r="J31">
        <v>4.9828260000000001E-3</v>
      </c>
      <c r="K31">
        <v>5.3472081860000001E-3</v>
      </c>
    </row>
    <row r="32" spans="1:11" ht="15" customHeight="1" x14ac:dyDescent="0.15">
      <c r="A32">
        <v>31</v>
      </c>
      <c r="B32" s="184" t="s">
        <v>222</v>
      </c>
      <c r="C32">
        <v>0</v>
      </c>
      <c r="D32">
        <v>0</v>
      </c>
      <c r="E32">
        <v>3.3922400000000002E-6</v>
      </c>
      <c r="F32">
        <v>0</v>
      </c>
      <c r="G32">
        <v>3.40634E-7</v>
      </c>
      <c r="H32">
        <v>0</v>
      </c>
      <c r="I32">
        <v>1.6841799999999999E-8</v>
      </c>
      <c r="J32">
        <v>6.6963799999999996E-4</v>
      </c>
      <c r="K32">
        <v>6.7338771580000001E-4</v>
      </c>
    </row>
    <row r="33" spans="1:11" ht="15" customHeight="1" x14ac:dyDescent="0.15">
      <c r="A33">
        <v>32</v>
      </c>
      <c r="B33" s="184" t="s">
        <v>223</v>
      </c>
      <c r="C33">
        <v>0</v>
      </c>
      <c r="D33">
        <v>0</v>
      </c>
      <c r="E33">
        <v>6.2053499999999998E-6</v>
      </c>
      <c r="F33">
        <v>7.2003200000000002E-9</v>
      </c>
      <c r="G33">
        <v>1.6163100000000001E-5</v>
      </c>
      <c r="H33">
        <v>0</v>
      </c>
      <c r="I33">
        <v>1.53248E-6</v>
      </c>
      <c r="J33">
        <v>1.3547100000000001E-3</v>
      </c>
      <c r="K33">
        <v>1.3786181303200001E-3</v>
      </c>
    </row>
    <row r="34" spans="1:11" ht="15" customHeight="1" x14ac:dyDescent="0.15">
      <c r="A34">
        <v>33</v>
      </c>
      <c r="B34" s="184" t="s">
        <v>224</v>
      </c>
      <c r="C34">
        <v>0</v>
      </c>
      <c r="D34">
        <v>0</v>
      </c>
      <c r="E34">
        <v>0</v>
      </c>
      <c r="F34">
        <v>0</v>
      </c>
      <c r="G34">
        <v>1.5896199999999999E-7</v>
      </c>
      <c r="H34">
        <v>0</v>
      </c>
      <c r="I34">
        <v>0</v>
      </c>
      <c r="J34">
        <v>2.18812E-4</v>
      </c>
      <c r="K34">
        <v>2.18970962E-4</v>
      </c>
    </row>
    <row r="35" spans="1:11" ht="15" customHeight="1" x14ac:dyDescent="0.15">
      <c r="A35">
        <v>34</v>
      </c>
      <c r="B35" s="184" t="s">
        <v>225</v>
      </c>
      <c r="C35">
        <v>0</v>
      </c>
      <c r="D35">
        <v>0</v>
      </c>
      <c r="E35">
        <v>0</v>
      </c>
      <c r="F35">
        <v>0</v>
      </c>
      <c r="G35">
        <v>0</v>
      </c>
      <c r="H35">
        <v>0</v>
      </c>
      <c r="I35">
        <v>0</v>
      </c>
      <c r="J35">
        <v>0</v>
      </c>
      <c r="K35">
        <v>0</v>
      </c>
    </row>
    <row r="36" spans="1:11" ht="15" customHeight="1" x14ac:dyDescent="0.15">
      <c r="A36">
        <v>35</v>
      </c>
      <c r="B36" s="184" t="s">
        <v>226</v>
      </c>
      <c r="C36">
        <v>0</v>
      </c>
      <c r="D36">
        <v>0</v>
      </c>
      <c r="E36">
        <v>0</v>
      </c>
      <c r="F36">
        <v>0</v>
      </c>
      <c r="G36">
        <v>0</v>
      </c>
      <c r="H36">
        <v>0</v>
      </c>
      <c r="I36">
        <v>7.7905399999999998E-7</v>
      </c>
      <c r="J36">
        <v>1.7084700000000001E-4</v>
      </c>
      <c r="K36">
        <v>1.71626054E-4</v>
      </c>
    </row>
    <row r="37" spans="1:11" ht="15" customHeight="1" x14ac:dyDescent="0.15">
      <c r="A37">
        <v>36</v>
      </c>
      <c r="B37" s="184" t="s">
        <v>227</v>
      </c>
      <c r="C37">
        <v>0</v>
      </c>
      <c r="D37">
        <v>0</v>
      </c>
      <c r="E37">
        <v>0</v>
      </c>
      <c r="F37">
        <v>0</v>
      </c>
      <c r="G37">
        <v>0</v>
      </c>
      <c r="H37">
        <v>0</v>
      </c>
      <c r="I37">
        <v>0</v>
      </c>
      <c r="J37">
        <v>1.2542E-5</v>
      </c>
      <c r="K37">
        <v>1.2542E-5</v>
      </c>
    </row>
    <row r="38" spans="1:11" ht="15" customHeight="1" x14ac:dyDescent="0.15">
      <c r="A38">
        <v>37</v>
      </c>
      <c r="B38" s="184" t="s">
        <v>228</v>
      </c>
      <c r="C38">
        <v>0</v>
      </c>
      <c r="D38">
        <v>0</v>
      </c>
      <c r="E38">
        <v>0</v>
      </c>
      <c r="F38">
        <v>0</v>
      </c>
      <c r="G38">
        <v>3.4426700000000001E-6</v>
      </c>
      <c r="H38">
        <v>0</v>
      </c>
      <c r="I38">
        <v>0</v>
      </c>
      <c r="J38">
        <v>9.8223300000000011E-4</v>
      </c>
      <c r="K38">
        <v>9.8567567000000002E-4</v>
      </c>
    </row>
    <row r="39" spans="1:11" ht="15" customHeight="1" x14ac:dyDescent="0.15">
      <c r="A39">
        <v>38</v>
      </c>
      <c r="B39" s="184" t="s">
        <v>229</v>
      </c>
      <c r="C39">
        <v>0</v>
      </c>
      <c r="D39">
        <v>0</v>
      </c>
      <c r="E39">
        <v>0</v>
      </c>
      <c r="F39">
        <v>0</v>
      </c>
      <c r="G39">
        <v>0</v>
      </c>
      <c r="H39">
        <v>0</v>
      </c>
      <c r="I39">
        <v>5.0131199999999998E-8</v>
      </c>
      <c r="J39">
        <v>0</v>
      </c>
      <c r="K39">
        <v>5.0131199999999998E-8</v>
      </c>
    </row>
    <row r="40" spans="1:11" ht="15" customHeight="1" x14ac:dyDescent="0.15">
      <c r="A40">
        <v>39</v>
      </c>
      <c r="B40" s="184" t="s">
        <v>230</v>
      </c>
      <c r="C40">
        <v>0</v>
      </c>
      <c r="D40">
        <v>0</v>
      </c>
      <c r="E40">
        <v>0</v>
      </c>
      <c r="F40">
        <v>0</v>
      </c>
      <c r="G40">
        <v>0</v>
      </c>
      <c r="H40">
        <v>0</v>
      </c>
      <c r="I40">
        <v>0</v>
      </c>
      <c r="J40">
        <v>0</v>
      </c>
      <c r="K40">
        <v>0</v>
      </c>
    </row>
    <row r="41" spans="1:11" ht="15" customHeight="1" x14ac:dyDescent="0.15">
      <c r="A41">
        <v>40</v>
      </c>
      <c r="B41" s="184" t="s">
        <v>231</v>
      </c>
      <c r="C41">
        <v>0</v>
      </c>
      <c r="D41">
        <v>0</v>
      </c>
      <c r="E41">
        <v>0</v>
      </c>
      <c r="F41">
        <v>0</v>
      </c>
      <c r="G41">
        <v>3.1111199999999999E-6</v>
      </c>
      <c r="H41">
        <v>0</v>
      </c>
      <c r="I41">
        <v>0</v>
      </c>
      <c r="J41">
        <v>7.4968499999999999E-5</v>
      </c>
      <c r="K41">
        <v>7.8079619999999998E-5</v>
      </c>
    </row>
    <row r="42" spans="1:11" ht="15" customHeight="1" x14ac:dyDescent="0.15">
      <c r="A42">
        <v>41</v>
      </c>
      <c r="B42" s="184" t="s">
        <v>232</v>
      </c>
      <c r="C42">
        <v>0</v>
      </c>
      <c r="D42">
        <v>0</v>
      </c>
      <c r="E42">
        <v>0</v>
      </c>
      <c r="F42">
        <v>0</v>
      </c>
      <c r="G42">
        <v>0</v>
      </c>
      <c r="H42">
        <v>0</v>
      </c>
      <c r="I42">
        <v>0</v>
      </c>
      <c r="J42">
        <v>0</v>
      </c>
      <c r="K42">
        <v>0</v>
      </c>
    </row>
    <row r="43" spans="1:11" ht="15" customHeight="1" x14ac:dyDescent="0.15">
      <c r="A43">
        <v>42</v>
      </c>
      <c r="B43" s="184" t="s">
        <v>233</v>
      </c>
      <c r="C43">
        <v>0</v>
      </c>
      <c r="D43">
        <v>0</v>
      </c>
      <c r="E43">
        <v>1.88846E-7</v>
      </c>
      <c r="F43">
        <v>0</v>
      </c>
      <c r="G43">
        <v>2.27089E-8</v>
      </c>
      <c r="H43">
        <v>0</v>
      </c>
      <c r="I43">
        <v>0</v>
      </c>
      <c r="J43">
        <v>0</v>
      </c>
      <c r="K43">
        <v>2.115549E-7</v>
      </c>
    </row>
    <row r="44" spans="1:11" ht="15" customHeight="1" x14ac:dyDescent="0.15">
      <c r="A44">
        <v>43</v>
      </c>
      <c r="B44" s="184" t="s">
        <v>234</v>
      </c>
      <c r="C44">
        <v>0</v>
      </c>
      <c r="D44">
        <v>0</v>
      </c>
      <c r="E44">
        <v>0</v>
      </c>
      <c r="F44">
        <v>0</v>
      </c>
      <c r="G44">
        <v>0</v>
      </c>
      <c r="H44">
        <v>0</v>
      </c>
      <c r="I44">
        <v>0</v>
      </c>
      <c r="J44">
        <v>0</v>
      </c>
      <c r="K44">
        <v>0</v>
      </c>
    </row>
    <row r="45" spans="1:11" ht="15" customHeight="1" x14ac:dyDescent="0.15">
      <c r="A45">
        <v>44</v>
      </c>
      <c r="B45" s="184" t="s">
        <v>235</v>
      </c>
      <c r="C45">
        <v>0</v>
      </c>
      <c r="D45">
        <v>0</v>
      </c>
      <c r="E45">
        <v>0</v>
      </c>
      <c r="F45">
        <v>0</v>
      </c>
      <c r="G45">
        <v>0</v>
      </c>
      <c r="H45">
        <v>0</v>
      </c>
      <c r="I45">
        <v>0</v>
      </c>
      <c r="J45">
        <v>4.9849100000000002E-6</v>
      </c>
      <c r="K45">
        <v>4.9849100000000002E-6</v>
      </c>
    </row>
    <row r="46" spans="1:11" ht="15" customHeight="1" x14ac:dyDescent="0.15">
      <c r="A46">
        <v>45</v>
      </c>
      <c r="B46" s="184" t="s">
        <v>236</v>
      </c>
      <c r="C46">
        <v>0</v>
      </c>
      <c r="D46">
        <v>0</v>
      </c>
      <c r="E46">
        <v>0</v>
      </c>
      <c r="F46">
        <v>0</v>
      </c>
      <c r="G46">
        <v>0</v>
      </c>
      <c r="H46">
        <v>0</v>
      </c>
      <c r="I46">
        <v>0</v>
      </c>
      <c r="J46">
        <v>4.2727800000000001E-5</v>
      </c>
      <c r="K46">
        <v>4.2727800000000001E-5</v>
      </c>
    </row>
    <row r="47" spans="1:11" ht="15" customHeight="1" x14ac:dyDescent="0.15">
      <c r="A47">
        <v>46</v>
      </c>
      <c r="B47" s="184" t="s">
        <v>237</v>
      </c>
      <c r="C47">
        <v>0.107</v>
      </c>
      <c r="D47">
        <v>0</v>
      </c>
      <c r="E47">
        <v>0</v>
      </c>
      <c r="F47">
        <v>0</v>
      </c>
      <c r="G47">
        <v>0</v>
      </c>
      <c r="H47">
        <v>0</v>
      </c>
      <c r="I47">
        <v>0</v>
      </c>
      <c r="J47">
        <v>0</v>
      </c>
      <c r="K47">
        <v>0.107</v>
      </c>
    </row>
    <row r="48" spans="1:11" ht="15" customHeight="1" x14ac:dyDescent="0.15">
      <c r="A48">
        <v>47</v>
      </c>
      <c r="B48" s="184" t="s">
        <v>238</v>
      </c>
      <c r="C48">
        <v>0</v>
      </c>
      <c r="D48">
        <v>0</v>
      </c>
      <c r="E48">
        <v>0</v>
      </c>
      <c r="F48">
        <v>0</v>
      </c>
      <c r="G48">
        <v>0</v>
      </c>
      <c r="H48">
        <v>0</v>
      </c>
      <c r="I48">
        <v>0</v>
      </c>
      <c r="J48">
        <v>0</v>
      </c>
      <c r="K48">
        <v>0</v>
      </c>
    </row>
    <row r="49" spans="1:11" ht="15" customHeight="1" x14ac:dyDescent="0.15">
      <c r="A49">
        <v>48</v>
      </c>
      <c r="B49" s="184" t="s">
        <v>239</v>
      </c>
      <c r="C49">
        <v>0</v>
      </c>
      <c r="D49">
        <v>0</v>
      </c>
      <c r="E49">
        <v>0</v>
      </c>
      <c r="F49">
        <v>0</v>
      </c>
      <c r="G49">
        <v>0</v>
      </c>
      <c r="H49">
        <v>0</v>
      </c>
      <c r="I49">
        <v>0</v>
      </c>
      <c r="J49">
        <v>0</v>
      </c>
      <c r="K49">
        <v>0</v>
      </c>
    </row>
    <row r="50" spans="1:11" x14ac:dyDescent="0.15">
      <c r="A50">
        <v>49</v>
      </c>
      <c r="B50" s="184" t="s">
        <v>240</v>
      </c>
      <c r="C50">
        <v>0</v>
      </c>
      <c r="D50">
        <v>2.1399999999999999E-2</v>
      </c>
      <c r="E50">
        <v>0</v>
      </c>
      <c r="F50">
        <v>0</v>
      </c>
      <c r="G50">
        <v>0</v>
      </c>
      <c r="H50">
        <v>0</v>
      </c>
      <c r="I50">
        <v>0</v>
      </c>
      <c r="J50">
        <v>0</v>
      </c>
      <c r="K50">
        <v>2.1399999999999999E-2</v>
      </c>
    </row>
    <row r="51" spans="1:11" x14ac:dyDescent="0.15">
      <c r="A51">
        <v>50</v>
      </c>
      <c r="B51" s="184" t="s">
        <v>241</v>
      </c>
      <c r="C51">
        <v>0</v>
      </c>
      <c r="D51">
        <v>1.0800000000000001E-2</v>
      </c>
      <c r="E51">
        <v>0</v>
      </c>
      <c r="F51">
        <v>0</v>
      </c>
      <c r="G51">
        <v>0</v>
      </c>
      <c r="H51">
        <v>0</v>
      </c>
      <c r="I51">
        <v>0</v>
      </c>
      <c r="J51">
        <v>0</v>
      </c>
      <c r="K51">
        <v>1.0800000000000001E-2</v>
      </c>
    </row>
    <row r="52" spans="1:11" x14ac:dyDescent="0.15">
      <c r="A52">
        <v>51</v>
      </c>
      <c r="B52" s="184" t="s">
        <v>242</v>
      </c>
      <c r="C52">
        <v>0</v>
      </c>
      <c r="D52">
        <v>0</v>
      </c>
      <c r="E52">
        <v>0</v>
      </c>
      <c r="F52">
        <v>0</v>
      </c>
      <c r="G52">
        <v>0</v>
      </c>
      <c r="H52">
        <v>0</v>
      </c>
      <c r="I52">
        <v>0</v>
      </c>
      <c r="J52">
        <v>0</v>
      </c>
      <c r="K52">
        <v>0</v>
      </c>
    </row>
    <row r="53" spans="1:11" x14ac:dyDescent="0.15">
      <c r="A53">
        <v>52</v>
      </c>
      <c r="B53" s="184" t="s">
        <v>243</v>
      </c>
      <c r="C53">
        <v>0</v>
      </c>
      <c r="D53">
        <v>0</v>
      </c>
      <c r="E53">
        <v>0</v>
      </c>
      <c r="F53">
        <v>0</v>
      </c>
      <c r="G53">
        <v>0</v>
      </c>
      <c r="H53">
        <v>0</v>
      </c>
      <c r="I53">
        <v>0</v>
      </c>
      <c r="J53">
        <v>0</v>
      </c>
      <c r="K53">
        <v>0</v>
      </c>
    </row>
    <row r="54" spans="1:11" x14ac:dyDescent="0.15">
      <c r="A54">
        <v>53</v>
      </c>
      <c r="B54" s="184" t="s">
        <v>244</v>
      </c>
      <c r="C54">
        <v>0</v>
      </c>
      <c r="D54">
        <v>0</v>
      </c>
      <c r="E54">
        <v>0</v>
      </c>
      <c r="F54">
        <v>0</v>
      </c>
      <c r="G54">
        <v>0</v>
      </c>
      <c r="H54">
        <v>0</v>
      </c>
      <c r="I54">
        <v>0</v>
      </c>
      <c r="J54">
        <v>3.5214099999999999E-4</v>
      </c>
      <c r="K54">
        <v>3.5214099999999999E-4</v>
      </c>
    </row>
    <row r="55" spans="1:11" x14ac:dyDescent="0.15">
      <c r="A55">
        <v>54</v>
      </c>
      <c r="B55" s="184" t="s">
        <v>245</v>
      </c>
      <c r="C55">
        <v>0</v>
      </c>
      <c r="D55">
        <v>0</v>
      </c>
      <c r="E55">
        <v>0</v>
      </c>
      <c r="F55">
        <v>0</v>
      </c>
      <c r="G55">
        <v>5.8816100000000002E-7</v>
      </c>
      <c r="H55">
        <v>4.8295899999999998E-4</v>
      </c>
      <c r="I55">
        <v>8.5611699999999996E-8</v>
      </c>
      <c r="J55">
        <v>1.13588E-4</v>
      </c>
      <c r="K55">
        <v>5.9722077269999999E-4</v>
      </c>
    </row>
    <row r="56" spans="1:11" x14ac:dyDescent="0.15">
      <c r="A56">
        <v>55</v>
      </c>
      <c r="B56" s="184" t="s">
        <v>246</v>
      </c>
      <c r="C56">
        <v>0</v>
      </c>
      <c r="D56">
        <v>0</v>
      </c>
      <c r="E56">
        <v>0</v>
      </c>
      <c r="F56">
        <v>0</v>
      </c>
      <c r="G56">
        <v>0</v>
      </c>
      <c r="H56">
        <v>0</v>
      </c>
      <c r="I56">
        <v>0</v>
      </c>
      <c r="J56">
        <v>0</v>
      </c>
      <c r="K56">
        <v>0</v>
      </c>
    </row>
    <row r="57" spans="1:11" x14ac:dyDescent="0.15">
      <c r="A57">
        <v>56</v>
      </c>
      <c r="B57" s="184" t="s">
        <v>247</v>
      </c>
      <c r="C57">
        <v>0</v>
      </c>
      <c r="D57">
        <v>0</v>
      </c>
      <c r="E57">
        <v>0</v>
      </c>
      <c r="F57">
        <v>0</v>
      </c>
      <c r="G57">
        <v>0</v>
      </c>
      <c r="H57">
        <v>1.11091E-7</v>
      </c>
      <c r="I57">
        <v>0</v>
      </c>
      <c r="J57">
        <v>2.0352699999999998E-6</v>
      </c>
      <c r="K57">
        <v>2.1463609999999999E-6</v>
      </c>
    </row>
    <row r="58" spans="1:11" x14ac:dyDescent="0.15">
      <c r="A58">
        <v>57</v>
      </c>
      <c r="B58" s="184" t="s">
        <v>248</v>
      </c>
      <c r="C58">
        <v>0</v>
      </c>
      <c r="D58">
        <v>0</v>
      </c>
      <c r="E58">
        <v>0</v>
      </c>
      <c r="F58">
        <v>0</v>
      </c>
      <c r="G58">
        <v>0</v>
      </c>
      <c r="H58">
        <v>1.19026E-7</v>
      </c>
      <c r="I58">
        <v>0</v>
      </c>
      <c r="J58">
        <v>2.5464599999999998E-6</v>
      </c>
      <c r="K58">
        <v>2.6654859999999998E-6</v>
      </c>
    </row>
    <row r="59" spans="1:11" x14ac:dyDescent="0.15">
      <c r="A59">
        <v>58</v>
      </c>
      <c r="B59" s="184" t="s">
        <v>249</v>
      </c>
      <c r="C59">
        <v>0</v>
      </c>
      <c r="D59">
        <v>0</v>
      </c>
      <c r="E59">
        <v>0</v>
      </c>
      <c r="F59">
        <v>0</v>
      </c>
      <c r="G59">
        <v>0</v>
      </c>
      <c r="H59">
        <v>0</v>
      </c>
      <c r="I59">
        <v>0</v>
      </c>
      <c r="J59">
        <v>0</v>
      </c>
      <c r="K59">
        <v>0</v>
      </c>
    </row>
    <row r="60" spans="1:11" x14ac:dyDescent="0.15">
      <c r="A60">
        <v>59</v>
      </c>
      <c r="B60" s="184" t="s">
        <v>250</v>
      </c>
      <c r="C60">
        <v>0</v>
      </c>
      <c r="D60">
        <v>0</v>
      </c>
      <c r="E60">
        <v>0</v>
      </c>
      <c r="F60">
        <v>0</v>
      </c>
      <c r="G60">
        <v>0</v>
      </c>
      <c r="H60">
        <v>0</v>
      </c>
      <c r="I60">
        <v>0</v>
      </c>
      <c r="J60">
        <v>0</v>
      </c>
      <c r="K60">
        <v>0</v>
      </c>
    </row>
    <row r="61" spans="1:11" x14ac:dyDescent="0.15">
      <c r="A61">
        <v>60</v>
      </c>
      <c r="B61" s="184" t="s">
        <v>251</v>
      </c>
      <c r="C61">
        <v>0</v>
      </c>
      <c r="D61">
        <v>0</v>
      </c>
      <c r="E61">
        <v>0</v>
      </c>
      <c r="F61">
        <v>0</v>
      </c>
      <c r="G61">
        <v>0</v>
      </c>
      <c r="H61">
        <v>0</v>
      </c>
      <c r="I61">
        <v>0</v>
      </c>
      <c r="J61">
        <v>0</v>
      </c>
      <c r="K61">
        <v>0</v>
      </c>
    </row>
    <row r="62" spans="1:11" x14ac:dyDescent="0.15">
      <c r="A62">
        <v>61</v>
      </c>
      <c r="B62" s="184" t="s">
        <v>252</v>
      </c>
      <c r="C62">
        <v>0</v>
      </c>
      <c r="D62">
        <v>0</v>
      </c>
      <c r="E62">
        <v>0</v>
      </c>
      <c r="F62">
        <v>0</v>
      </c>
      <c r="G62">
        <v>0</v>
      </c>
      <c r="H62">
        <v>0</v>
      </c>
      <c r="I62">
        <v>0</v>
      </c>
      <c r="J62">
        <v>0</v>
      </c>
      <c r="K62">
        <v>0</v>
      </c>
    </row>
    <row r="63" spans="1:11" x14ac:dyDescent="0.15">
      <c r="A63">
        <v>62</v>
      </c>
      <c r="B63" s="184" t="s">
        <v>253</v>
      </c>
      <c r="C63">
        <v>0</v>
      </c>
      <c r="D63">
        <v>0</v>
      </c>
      <c r="E63">
        <v>0</v>
      </c>
      <c r="F63">
        <v>0</v>
      </c>
      <c r="G63">
        <v>0</v>
      </c>
      <c r="H63">
        <v>0</v>
      </c>
      <c r="I63">
        <v>0</v>
      </c>
      <c r="J63">
        <v>0</v>
      </c>
      <c r="K63">
        <v>0</v>
      </c>
    </row>
    <row r="64" spans="1:11" x14ac:dyDescent="0.15">
      <c r="A64">
        <v>63</v>
      </c>
      <c r="B64" s="184" t="s">
        <v>254</v>
      </c>
      <c r="C64">
        <v>0</v>
      </c>
      <c r="D64">
        <v>0</v>
      </c>
      <c r="E64">
        <v>0</v>
      </c>
      <c r="F64">
        <v>0</v>
      </c>
      <c r="G64">
        <v>0</v>
      </c>
      <c r="H64">
        <v>0</v>
      </c>
      <c r="I64">
        <v>0</v>
      </c>
      <c r="J64">
        <v>0</v>
      </c>
      <c r="K64">
        <v>0</v>
      </c>
    </row>
    <row r="65" spans="1:11" x14ac:dyDescent="0.15">
      <c r="A65">
        <v>64</v>
      </c>
      <c r="B65" s="184" t="s">
        <v>255</v>
      </c>
      <c r="C65">
        <v>0</v>
      </c>
      <c r="D65">
        <v>0</v>
      </c>
      <c r="E65">
        <v>0</v>
      </c>
      <c r="F65">
        <v>0</v>
      </c>
      <c r="G65">
        <v>0</v>
      </c>
      <c r="H65">
        <v>0</v>
      </c>
      <c r="I65">
        <v>0</v>
      </c>
      <c r="J65">
        <v>0</v>
      </c>
      <c r="K65">
        <v>0</v>
      </c>
    </row>
    <row r="66" spans="1:11" x14ac:dyDescent="0.15">
      <c r="A66">
        <v>65</v>
      </c>
      <c r="B66" s="184" t="s">
        <v>256</v>
      </c>
      <c r="C66">
        <v>0</v>
      </c>
      <c r="D66">
        <v>0</v>
      </c>
      <c r="E66">
        <v>0</v>
      </c>
      <c r="F66">
        <v>0</v>
      </c>
      <c r="G66">
        <v>0</v>
      </c>
      <c r="H66">
        <v>0</v>
      </c>
      <c r="I66">
        <v>0</v>
      </c>
      <c r="J66">
        <v>0</v>
      </c>
      <c r="K66">
        <v>0</v>
      </c>
    </row>
    <row r="67" spans="1:11" x14ac:dyDescent="0.15">
      <c r="A67">
        <v>66</v>
      </c>
      <c r="B67" s="184" t="s">
        <v>257</v>
      </c>
      <c r="C67">
        <v>0</v>
      </c>
      <c r="D67">
        <v>0</v>
      </c>
      <c r="E67">
        <v>0</v>
      </c>
      <c r="F67">
        <v>0</v>
      </c>
      <c r="G67">
        <v>0</v>
      </c>
      <c r="H67">
        <v>0</v>
      </c>
      <c r="I67">
        <v>0</v>
      </c>
      <c r="J67">
        <v>2.9786800000000001E-5</v>
      </c>
      <c r="K67">
        <v>2.9786800000000001E-5</v>
      </c>
    </row>
    <row r="68" spans="1:11" x14ac:dyDescent="0.15">
      <c r="A68">
        <v>67</v>
      </c>
      <c r="B68" s="184" t="s">
        <v>258</v>
      </c>
      <c r="C68">
        <v>0</v>
      </c>
      <c r="D68">
        <v>0</v>
      </c>
      <c r="E68">
        <v>0</v>
      </c>
      <c r="F68">
        <v>0</v>
      </c>
      <c r="G68">
        <v>0</v>
      </c>
      <c r="H68">
        <v>0</v>
      </c>
      <c r="I68">
        <v>0</v>
      </c>
      <c r="J68">
        <v>0</v>
      </c>
      <c r="K68">
        <v>0</v>
      </c>
    </row>
    <row r="69" spans="1:11" x14ac:dyDescent="0.15">
      <c r="A69">
        <v>68</v>
      </c>
      <c r="B69" s="184" t="s">
        <v>259</v>
      </c>
      <c r="C69">
        <v>0</v>
      </c>
      <c r="D69">
        <v>0</v>
      </c>
      <c r="E69">
        <v>0</v>
      </c>
      <c r="F69">
        <v>0</v>
      </c>
      <c r="G69">
        <v>0</v>
      </c>
      <c r="H69">
        <v>0</v>
      </c>
      <c r="I69">
        <v>0</v>
      </c>
      <c r="J69">
        <v>0</v>
      </c>
      <c r="K69">
        <v>0</v>
      </c>
    </row>
    <row r="70" spans="1:11" x14ac:dyDescent="0.15">
      <c r="A70">
        <v>69</v>
      </c>
      <c r="B70" s="184" t="s">
        <v>260</v>
      </c>
      <c r="C70">
        <v>0</v>
      </c>
      <c r="D70">
        <v>0</v>
      </c>
      <c r="E70">
        <v>0</v>
      </c>
      <c r="F70">
        <v>0</v>
      </c>
      <c r="G70">
        <v>0</v>
      </c>
      <c r="H70">
        <v>0</v>
      </c>
      <c r="I70">
        <v>0</v>
      </c>
      <c r="J70">
        <v>0</v>
      </c>
      <c r="K70">
        <v>0</v>
      </c>
    </row>
    <row r="71" spans="1:11" x14ac:dyDescent="0.15">
      <c r="A71">
        <v>70</v>
      </c>
      <c r="B71" s="184" t="s">
        <v>261</v>
      </c>
      <c r="C71">
        <v>0</v>
      </c>
      <c r="D71">
        <v>0</v>
      </c>
      <c r="E71">
        <v>0</v>
      </c>
      <c r="F71">
        <v>0</v>
      </c>
      <c r="G71">
        <v>0</v>
      </c>
      <c r="H71">
        <v>0</v>
      </c>
      <c r="I71">
        <v>0</v>
      </c>
      <c r="J71">
        <v>0</v>
      </c>
      <c r="K71">
        <v>0</v>
      </c>
    </row>
    <row r="72" spans="1:11" x14ac:dyDescent="0.15">
      <c r="A72">
        <v>71</v>
      </c>
      <c r="B72" s="184" t="s">
        <v>262</v>
      </c>
      <c r="C72">
        <v>0</v>
      </c>
      <c r="D72">
        <v>0</v>
      </c>
      <c r="E72">
        <v>0</v>
      </c>
      <c r="F72">
        <v>0</v>
      </c>
      <c r="G72">
        <v>0</v>
      </c>
      <c r="H72">
        <v>0</v>
      </c>
      <c r="I72">
        <v>0</v>
      </c>
      <c r="J72">
        <v>0</v>
      </c>
      <c r="K72">
        <v>0</v>
      </c>
    </row>
    <row r="73" spans="1:11" x14ac:dyDescent="0.15">
      <c r="A73">
        <v>72</v>
      </c>
      <c r="B73" s="184" t="s">
        <v>263</v>
      </c>
      <c r="C73">
        <v>0</v>
      </c>
      <c r="D73">
        <v>0</v>
      </c>
      <c r="E73">
        <v>0</v>
      </c>
      <c r="F73">
        <v>0</v>
      </c>
      <c r="G73">
        <v>0</v>
      </c>
      <c r="H73">
        <v>0</v>
      </c>
      <c r="I73">
        <v>0</v>
      </c>
      <c r="J73">
        <v>0</v>
      </c>
      <c r="K73">
        <v>0</v>
      </c>
    </row>
    <row r="74" spans="1:11" x14ac:dyDescent="0.15">
      <c r="A74">
        <v>73</v>
      </c>
      <c r="B74" s="184" t="s">
        <v>264</v>
      </c>
      <c r="C74">
        <v>0</v>
      </c>
      <c r="D74">
        <v>0</v>
      </c>
      <c r="E74">
        <v>0</v>
      </c>
      <c r="F74">
        <v>0</v>
      </c>
      <c r="G74">
        <v>0</v>
      </c>
      <c r="H74">
        <v>0</v>
      </c>
      <c r="I74">
        <v>0</v>
      </c>
      <c r="J74">
        <v>0</v>
      </c>
      <c r="K74">
        <v>0</v>
      </c>
    </row>
    <row r="75" spans="1:11" x14ac:dyDescent="0.15">
      <c r="A75">
        <v>74</v>
      </c>
      <c r="B75" s="184" t="s">
        <v>265</v>
      </c>
      <c r="C75">
        <v>0</v>
      </c>
      <c r="D75">
        <v>0</v>
      </c>
      <c r="E75">
        <v>0</v>
      </c>
      <c r="F75">
        <v>0</v>
      </c>
      <c r="G75">
        <v>0</v>
      </c>
      <c r="H75">
        <v>0</v>
      </c>
      <c r="I75">
        <v>0</v>
      </c>
      <c r="J75">
        <v>0</v>
      </c>
      <c r="K75">
        <v>0</v>
      </c>
    </row>
    <row r="76" spans="1:11" x14ac:dyDescent="0.15">
      <c r="A76">
        <v>75</v>
      </c>
      <c r="B76" s="184" t="s">
        <v>266</v>
      </c>
      <c r="C76">
        <v>0</v>
      </c>
      <c r="D76">
        <v>0</v>
      </c>
      <c r="E76">
        <v>0</v>
      </c>
      <c r="F76">
        <v>0</v>
      </c>
      <c r="G76">
        <v>0</v>
      </c>
      <c r="H76">
        <v>0</v>
      </c>
      <c r="I76">
        <v>0</v>
      </c>
      <c r="J76">
        <v>0</v>
      </c>
      <c r="K76">
        <v>0</v>
      </c>
    </row>
    <row r="77" spans="1:11" x14ac:dyDescent="0.15">
      <c r="A77">
        <v>76</v>
      </c>
      <c r="B77" s="184" t="s">
        <v>267</v>
      </c>
      <c r="C77">
        <v>0</v>
      </c>
      <c r="D77">
        <v>0</v>
      </c>
      <c r="E77">
        <v>0</v>
      </c>
      <c r="F77">
        <v>0</v>
      </c>
      <c r="G77">
        <v>0</v>
      </c>
      <c r="H77">
        <v>0</v>
      </c>
      <c r="I77">
        <v>0</v>
      </c>
      <c r="J77">
        <v>0</v>
      </c>
      <c r="K77">
        <v>0</v>
      </c>
    </row>
    <row r="78" spans="1:11" x14ac:dyDescent="0.15">
      <c r="A78">
        <v>77</v>
      </c>
      <c r="B78" s="184" t="s">
        <v>268</v>
      </c>
      <c r="C78">
        <v>0</v>
      </c>
      <c r="D78">
        <v>0</v>
      </c>
      <c r="E78">
        <v>0</v>
      </c>
      <c r="F78">
        <v>0</v>
      </c>
      <c r="G78">
        <v>0</v>
      </c>
      <c r="H78">
        <v>0</v>
      </c>
      <c r="I78">
        <v>0</v>
      </c>
      <c r="J78">
        <v>0</v>
      </c>
      <c r="K78">
        <v>0</v>
      </c>
    </row>
    <row r="79" spans="1:11" x14ac:dyDescent="0.15">
      <c r="A79">
        <v>78</v>
      </c>
      <c r="B79" s="184" t="s">
        <v>269</v>
      </c>
      <c r="C79">
        <v>0</v>
      </c>
      <c r="D79">
        <v>0</v>
      </c>
      <c r="E79">
        <v>0</v>
      </c>
      <c r="F79">
        <v>0</v>
      </c>
      <c r="G79">
        <v>0</v>
      </c>
      <c r="H79">
        <v>0</v>
      </c>
      <c r="I79">
        <v>0</v>
      </c>
      <c r="J79">
        <v>0</v>
      </c>
      <c r="K79">
        <v>0</v>
      </c>
    </row>
    <row r="80" spans="1:11" x14ac:dyDescent="0.15">
      <c r="A80">
        <v>79</v>
      </c>
      <c r="B80" s="184" t="s">
        <v>270</v>
      </c>
      <c r="C80">
        <v>0</v>
      </c>
      <c r="D80">
        <v>0</v>
      </c>
      <c r="E80">
        <v>0</v>
      </c>
      <c r="F80">
        <v>0</v>
      </c>
      <c r="G80">
        <v>0</v>
      </c>
      <c r="H80">
        <v>0</v>
      </c>
      <c r="I80">
        <v>0</v>
      </c>
      <c r="J80">
        <v>0</v>
      </c>
      <c r="K80">
        <v>0</v>
      </c>
    </row>
    <row r="81" spans="1:11" x14ac:dyDescent="0.15">
      <c r="A81">
        <v>80</v>
      </c>
      <c r="B81" s="184" t="s">
        <v>271</v>
      </c>
      <c r="C81">
        <v>0</v>
      </c>
      <c r="D81">
        <v>0</v>
      </c>
      <c r="E81">
        <v>0</v>
      </c>
      <c r="F81">
        <v>0</v>
      </c>
      <c r="G81">
        <v>0</v>
      </c>
      <c r="H81">
        <v>0</v>
      </c>
      <c r="I81">
        <v>0</v>
      </c>
      <c r="J81">
        <v>0</v>
      </c>
      <c r="K81">
        <v>0</v>
      </c>
    </row>
    <row r="82" spans="1:11" ht="15" customHeight="1" x14ac:dyDescent="0.15">
      <c r="A82">
        <v>81</v>
      </c>
      <c r="B82" s="184" t="s">
        <v>272</v>
      </c>
      <c r="C82">
        <v>0</v>
      </c>
      <c r="D82">
        <v>0</v>
      </c>
      <c r="E82">
        <v>0</v>
      </c>
      <c r="F82">
        <v>0</v>
      </c>
      <c r="G82">
        <v>0</v>
      </c>
      <c r="H82">
        <v>0</v>
      </c>
      <c r="I82">
        <v>0</v>
      </c>
      <c r="J82">
        <v>0</v>
      </c>
      <c r="K82">
        <v>0</v>
      </c>
    </row>
    <row r="83" spans="1:11" ht="15" customHeight="1" x14ac:dyDescent="0.15">
      <c r="A83">
        <v>82</v>
      </c>
      <c r="B83" s="184" t="s">
        <v>273</v>
      </c>
      <c r="C83">
        <v>0</v>
      </c>
      <c r="D83">
        <v>0</v>
      </c>
      <c r="E83">
        <v>0</v>
      </c>
      <c r="F83">
        <v>0</v>
      </c>
      <c r="G83">
        <v>0</v>
      </c>
      <c r="H83">
        <v>0</v>
      </c>
      <c r="I83">
        <v>0</v>
      </c>
      <c r="J83">
        <v>0</v>
      </c>
      <c r="K83">
        <v>0</v>
      </c>
    </row>
    <row r="84" spans="1:11" ht="15" customHeight="1" x14ac:dyDescent="0.15">
      <c r="A84">
        <v>83</v>
      </c>
      <c r="B84" s="184" t="s">
        <v>274</v>
      </c>
      <c r="C84">
        <v>0</v>
      </c>
      <c r="D84">
        <v>0</v>
      </c>
      <c r="E84">
        <v>0</v>
      </c>
      <c r="F84">
        <v>0</v>
      </c>
      <c r="G84">
        <v>0</v>
      </c>
      <c r="H84">
        <v>0</v>
      </c>
      <c r="I84">
        <v>0</v>
      </c>
      <c r="J84">
        <v>0</v>
      </c>
      <c r="K84">
        <v>0</v>
      </c>
    </row>
    <row r="85" spans="1:11" ht="15" customHeight="1" x14ac:dyDescent="0.15">
      <c r="A85">
        <v>84</v>
      </c>
      <c r="B85" s="184" t="s">
        <v>275</v>
      </c>
      <c r="C85">
        <v>0</v>
      </c>
      <c r="D85">
        <v>0</v>
      </c>
      <c r="E85">
        <v>0</v>
      </c>
      <c r="F85">
        <v>0</v>
      </c>
      <c r="G85">
        <v>0</v>
      </c>
      <c r="H85">
        <v>0</v>
      </c>
      <c r="I85">
        <v>0</v>
      </c>
      <c r="J85">
        <v>0</v>
      </c>
      <c r="K85">
        <v>0</v>
      </c>
    </row>
    <row r="86" spans="1:11" ht="15" customHeight="1" x14ac:dyDescent="0.15">
      <c r="A86">
        <v>85</v>
      </c>
      <c r="B86" s="184" t="s">
        <v>276</v>
      </c>
      <c r="C86">
        <v>0</v>
      </c>
      <c r="D86">
        <v>0</v>
      </c>
      <c r="E86">
        <v>0</v>
      </c>
      <c r="F86">
        <v>0</v>
      </c>
      <c r="G86">
        <v>0</v>
      </c>
      <c r="H86">
        <v>0</v>
      </c>
      <c r="I86">
        <v>0</v>
      </c>
      <c r="J86">
        <v>0</v>
      </c>
      <c r="K86">
        <v>0</v>
      </c>
    </row>
    <row r="87" spans="1:11" ht="15" customHeight="1" x14ac:dyDescent="0.15">
      <c r="A87">
        <v>86</v>
      </c>
      <c r="B87" s="184" t="s">
        <v>277</v>
      </c>
      <c r="C87">
        <v>0</v>
      </c>
      <c r="D87">
        <v>0</v>
      </c>
      <c r="E87">
        <v>0</v>
      </c>
      <c r="F87">
        <v>0</v>
      </c>
      <c r="G87">
        <v>0</v>
      </c>
      <c r="H87">
        <v>0</v>
      </c>
      <c r="I87">
        <v>0</v>
      </c>
      <c r="J87">
        <v>0</v>
      </c>
      <c r="K87">
        <v>0</v>
      </c>
    </row>
    <row r="88" spans="1:11" ht="15" customHeight="1" x14ac:dyDescent="0.15">
      <c r="A88">
        <v>87</v>
      </c>
      <c r="B88" s="184" t="s">
        <v>278</v>
      </c>
      <c r="C88">
        <v>0</v>
      </c>
      <c r="D88">
        <v>0</v>
      </c>
      <c r="E88">
        <v>0</v>
      </c>
      <c r="F88">
        <v>0</v>
      </c>
      <c r="G88">
        <v>0</v>
      </c>
      <c r="H88">
        <v>0</v>
      </c>
      <c r="I88">
        <v>0</v>
      </c>
      <c r="J88">
        <v>0</v>
      </c>
      <c r="K88">
        <v>0</v>
      </c>
    </row>
    <row r="89" spans="1:11" ht="15" customHeight="1" x14ac:dyDescent="0.15">
      <c r="A89">
        <v>88</v>
      </c>
      <c r="B89" s="184" t="s">
        <v>279</v>
      </c>
      <c r="C89">
        <v>0</v>
      </c>
      <c r="D89">
        <v>0</v>
      </c>
      <c r="E89">
        <v>0</v>
      </c>
      <c r="F89">
        <v>0</v>
      </c>
      <c r="G89">
        <v>0</v>
      </c>
      <c r="H89">
        <v>0</v>
      </c>
      <c r="I89">
        <v>0</v>
      </c>
      <c r="J89">
        <v>0</v>
      </c>
      <c r="K89">
        <v>0</v>
      </c>
    </row>
    <row r="90" spans="1:11" ht="15" customHeight="1" x14ac:dyDescent="0.15">
      <c r="A90">
        <v>89</v>
      </c>
      <c r="B90" s="184" t="s">
        <v>280</v>
      </c>
      <c r="C90">
        <v>0</v>
      </c>
      <c r="D90">
        <v>0</v>
      </c>
      <c r="E90">
        <v>0</v>
      </c>
      <c r="F90">
        <v>0</v>
      </c>
      <c r="G90">
        <v>0</v>
      </c>
      <c r="H90">
        <v>0</v>
      </c>
      <c r="I90">
        <v>0</v>
      </c>
      <c r="J90">
        <v>0</v>
      </c>
      <c r="K90">
        <v>0</v>
      </c>
    </row>
    <row r="91" spans="1:11" ht="15" customHeight="1" x14ac:dyDescent="0.15">
      <c r="A91">
        <v>90</v>
      </c>
      <c r="B91" s="184" t="s">
        <v>281</v>
      </c>
      <c r="C91">
        <v>0</v>
      </c>
      <c r="D91">
        <v>0</v>
      </c>
      <c r="E91">
        <v>0</v>
      </c>
      <c r="F91">
        <v>0</v>
      </c>
      <c r="G91">
        <v>0</v>
      </c>
      <c r="H91">
        <v>0</v>
      </c>
      <c r="I91">
        <v>0</v>
      </c>
      <c r="J91">
        <v>0</v>
      </c>
      <c r="K91">
        <v>0</v>
      </c>
    </row>
    <row r="92" spans="1:11" ht="15" customHeight="1" x14ac:dyDescent="0.15">
      <c r="A92">
        <v>91</v>
      </c>
      <c r="B92" s="184" t="s">
        <v>282</v>
      </c>
      <c r="C92">
        <v>0</v>
      </c>
      <c r="D92">
        <v>0</v>
      </c>
      <c r="E92">
        <v>0</v>
      </c>
      <c r="F92">
        <v>0</v>
      </c>
      <c r="G92">
        <v>0</v>
      </c>
      <c r="H92">
        <v>0</v>
      </c>
      <c r="I92">
        <v>0</v>
      </c>
      <c r="J92">
        <v>0</v>
      </c>
      <c r="K92">
        <v>0</v>
      </c>
    </row>
    <row r="93" spans="1:11" ht="15" customHeight="1" x14ac:dyDescent="0.15">
      <c r="A93">
        <v>92</v>
      </c>
      <c r="B93" s="184" t="s">
        <v>283</v>
      </c>
      <c r="C93">
        <v>0</v>
      </c>
      <c r="D93">
        <v>0</v>
      </c>
      <c r="E93">
        <v>0</v>
      </c>
      <c r="F93">
        <v>0</v>
      </c>
      <c r="G93">
        <v>0</v>
      </c>
      <c r="H93">
        <v>0</v>
      </c>
      <c r="I93">
        <v>0</v>
      </c>
      <c r="J93">
        <v>0</v>
      </c>
      <c r="K93">
        <v>0</v>
      </c>
    </row>
    <row r="94" spans="1:11" ht="15" customHeight="1" x14ac:dyDescent="0.15">
      <c r="A94">
        <v>93</v>
      </c>
      <c r="B94" s="184" t="s">
        <v>284</v>
      </c>
      <c r="C94">
        <v>0</v>
      </c>
      <c r="D94">
        <v>0</v>
      </c>
      <c r="E94">
        <v>0</v>
      </c>
      <c r="F94">
        <v>0</v>
      </c>
      <c r="G94">
        <v>0</v>
      </c>
      <c r="H94">
        <v>0</v>
      </c>
      <c r="I94">
        <v>0</v>
      </c>
      <c r="J94">
        <v>0</v>
      </c>
      <c r="K94">
        <v>0</v>
      </c>
    </row>
    <row r="95" spans="1:11" ht="15" customHeight="1" x14ac:dyDescent="0.15">
      <c r="A95">
        <v>94</v>
      </c>
      <c r="B95" s="184" t="s">
        <v>285</v>
      </c>
      <c r="C95">
        <v>0</v>
      </c>
      <c r="D95">
        <v>0</v>
      </c>
      <c r="E95">
        <v>0</v>
      </c>
      <c r="F95">
        <v>0</v>
      </c>
      <c r="G95">
        <v>0</v>
      </c>
      <c r="H95">
        <v>0</v>
      </c>
      <c r="I95">
        <v>0</v>
      </c>
      <c r="J95">
        <v>0</v>
      </c>
      <c r="K95">
        <v>0</v>
      </c>
    </row>
    <row r="96" spans="1:11" ht="15" customHeight="1" x14ac:dyDescent="0.15">
      <c r="A96">
        <v>95</v>
      </c>
      <c r="B96" s="184" t="s">
        <v>286</v>
      </c>
      <c r="C96">
        <v>0</v>
      </c>
      <c r="D96">
        <v>0</v>
      </c>
      <c r="E96">
        <v>0</v>
      </c>
      <c r="F96">
        <v>0</v>
      </c>
      <c r="G96">
        <v>0</v>
      </c>
      <c r="H96">
        <v>0</v>
      </c>
      <c r="I96">
        <v>0</v>
      </c>
      <c r="J96">
        <v>0</v>
      </c>
      <c r="K96">
        <v>0</v>
      </c>
    </row>
    <row r="97" spans="1:11" ht="15" customHeight="1" x14ac:dyDescent="0.15">
      <c r="A97">
        <v>96</v>
      </c>
      <c r="B97" s="184" t="s">
        <v>287</v>
      </c>
      <c r="C97">
        <v>0</v>
      </c>
      <c r="D97">
        <v>0</v>
      </c>
      <c r="E97">
        <v>0</v>
      </c>
      <c r="F97">
        <v>0</v>
      </c>
      <c r="G97">
        <v>0</v>
      </c>
      <c r="H97">
        <v>0</v>
      </c>
      <c r="I97">
        <v>0</v>
      </c>
      <c r="J97">
        <v>0</v>
      </c>
      <c r="K97">
        <v>0</v>
      </c>
    </row>
    <row r="98" spans="1:11" ht="15" customHeight="1" x14ac:dyDescent="0.15">
      <c r="A98">
        <v>97</v>
      </c>
      <c r="B98" s="184" t="s">
        <v>288</v>
      </c>
      <c r="C98">
        <v>0</v>
      </c>
      <c r="D98">
        <v>0</v>
      </c>
      <c r="E98">
        <v>0</v>
      </c>
      <c r="F98">
        <v>0</v>
      </c>
      <c r="G98">
        <v>0</v>
      </c>
      <c r="H98">
        <v>0</v>
      </c>
      <c r="I98">
        <v>0</v>
      </c>
      <c r="J98">
        <v>0</v>
      </c>
      <c r="K98">
        <v>0</v>
      </c>
    </row>
    <row r="99" spans="1:11" ht="15" customHeight="1" x14ac:dyDescent="0.15">
      <c r="A99">
        <v>98</v>
      </c>
      <c r="B99" s="184" t="s">
        <v>289</v>
      </c>
      <c r="C99">
        <v>0</v>
      </c>
      <c r="D99">
        <v>0</v>
      </c>
      <c r="E99">
        <v>0</v>
      </c>
      <c r="F99">
        <v>0</v>
      </c>
      <c r="G99">
        <v>0</v>
      </c>
      <c r="H99">
        <v>0</v>
      </c>
      <c r="I99">
        <v>0</v>
      </c>
      <c r="J99">
        <v>0</v>
      </c>
      <c r="K99">
        <v>0</v>
      </c>
    </row>
    <row r="100" spans="1:11" ht="15" customHeight="1" x14ac:dyDescent="0.15">
      <c r="A100">
        <v>99</v>
      </c>
      <c r="B100" s="184" t="s">
        <v>290</v>
      </c>
      <c r="C100">
        <v>0</v>
      </c>
      <c r="D100">
        <v>0</v>
      </c>
      <c r="E100">
        <v>0</v>
      </c>
      <c r="F100">
        <v>0</v>
      </c>
      <c r="G100">
        <v>0</v>
      </c>
      <c r="H100">
        <v>0</v>
      </c>
      <c r="I100">
        <v>0</v>
      </c>
      <c r="J100">
        <v>0</v>
      </c>
      <c r="K100">
        <v>0</v>
      </c>
    </row>
    <row r="101" spans="1:11" ht="15" customHeight="1" x14ac:dyDescent="0.15"/>
    <row r="102" spans="1:11" ht="15" customHeight="1" x14ac:dyDescent="0.15"/>
    <row r="103" spans="1:11" ht="15" customHeight="1" x14ac:dyDescent="0.15"/>
    <row r="104" spans="1:11" ht="15" customHeight="1" x14ac:dyDescent="0.15"/>
    <row r="105" spans="1:11" ht="15" customHeight="1" x14ac:dyDescent="0.15"/>
    <row r="106" spans="1:11" ht="15" customHeight="1" x14ac:dyDescent="0.15"/>
    <row r="107" spans="1:11" ht="15" customHeight="1" x14ac:dyDescent="0.15"/>
    <row r="108" spans="1:11" ht="15" customHeight="1" x14ac:dyDescent="0.15"/>
    <row r="109" spans="1:11" ht="15" customHeight="1" x14ac:dyDescent="0.15"/>
    <row r="110" spans="1:11" ht="15" customHeight="1" x14ac:dyDescent="0.15"/>
    <row r="111" spans="1:11" ht="15" customHeight="1" x14ac:dyDescent="0.15"/>
    <row r="112" spans="1:11" ht="15" customHeight="1" x14ac:dyDescent="0.15"/>
    <row r="113" ht="15" customHeight="1" x14ac:dyDescent="0.15"/>
    <row r="114" ht="15" customHeight="1" x14ac:dyDescent="0.15"/>
    <row r="115" ht="15" customHeight="1" x14ac:dyDescent="0.15"/>
    <row r="116" ht="15" customHeight="1" x14ac:dyDescent="0.15"/>
    <row r="117" ht="15" customHeight="1" x14ac:dyDescent="0.15"/>
    <row r="118" ht="15" customHeight="1" x14ac:dyDescent="0.15"/>
    <row r="119" ht="15" customHeight="1" x14ac:dyDescent="0.15"/>
    <row r="120" ht="15" customHeight="1" x14ac:dyDescent="0.15"/>
    <row r="121" ht="15" customHeight="1" x14ac:dyDescent="0.15"/>
    <row r="122" ht="15" customHeight="1" x14ac:dyDescent="0.15"/>
    <row r="123" ht="15" customHeight="1" x14ac:dyDescent="0.15"/>
    <row r="124" ht="15" customHeight="1" x14ac:dyDescent="0.15"/>
    <row r="125" ht="15" customHeight="1" x14ac:dyDescent="0.15"/>
    <row r="126" ht="15" customHeight="1" x14ac:dyDescent="0.15"/>
    <row r="127" ht="15" customHeight="1" x14ac:dyDescent="0.15"/>
    <row r="128" ht="15" customHeight="1" x14ac:dyDescent="0.15"/>
    <row r="129" ht="15" customHeight="1" x14ac:dyDescent="0.15"/>
    <row r="130" ht="15" customHeight="1" x14ac:dyDescent="0.15"/>
    <row r="131" ht="15" customHeight="1" x14ac:dyDescent="0.15"/>
    <row r="132" ht="15" customHeight="1" x14ac:dyDescent="0.15"/>
    <row r="133" ht="15" customHeight="1" x14ac:dyDescent="0.15"/>
    <row r="134" ht="15" customHeight="1" x14ac:dyDescent="0.15"/>
    <row r="135" ht="15" customHeight="1" x14ac:dyDescent="0.15"/>
    <row r="136" ht="15" customHeight="1" x14ac:dyDescent="0.15"/>
    <row r="137" ht="15" customHeight="1" x14ac:dyDescent="0.15"/>
    <row r="138" ht="15" customHeight="1" x14ac:dyDescent="0.15"/>
    <row r="139" ht="15" customHeight="1" x14ac:dyDescent="0.15"/>
    <row r="140" ht="15" customHeight="1" x14ac:dyDescent="0.15"/>
    <row r="141" ht="15" customHeight="1" x14ac:dyDescent="0.15"/>
    <row r="142" ht="15" customHeight="1" x14ac:dyDescent="0.15"/>
    <row r="143" ht="15" customHeight="1" x14ac:dyDescent="0.15"/>
    <row r="144" ht="15" customHeight="1" x14ac:dyDescent="0.15"/>
    <row r="145" ht="15" customHeight="1" x14ac:dyDescent="0.15"/>
    <row r="146" ht="15" customHeight="1" x14ac:dyDescent="0.15"/>
    <row r="147" ht="15" customHeight="1" x14ac:dyDescent="0.15"/>
    <row r="148" ht="15" customHeight="1" x14ac:dyDescent="0.15"/>
    <row r="149" ht="15" customHeight="1" x14ac:dyDescent="0.15"/>
    <row r="150" ht="15" customHeight="1" x14ac:dyDescent="0.15"/>
    <row r="151" ht="15" customHeight="1" x14ac:dyDescent="0.15"/>
    <row r="152" ht="15" customHeight="1" x14ac:dyDescent="0.15"/>
    <row r="153" ht="15" customHeight="1" x14ac:dyDescent="0.15"/>
    <row r="154" ht="15" customHeight="1" x14ac:dyDescent="0.15"/>
    <row r="155" ht="15" customHeight="1" x14ac:dyDescent="0.15"/>
    <row r="156" ht="15" customHeight="1" x14ac:dyDescent="0.15"/>
    <row r="157" ht="15" customHeight="1" x14ac:dyDescent="0.15"/>
    <row r="158" ht="15" customHeight="1" x14ac:dyDescent="0.15"/>
    <row r="159" ht="15" customHeight="1" x14ac:dyDescent="0.15"/>
    <row r="160" ht="15" customHeight="1" x14ac:dyDescent="0.15"/>
    <row r="161" ht="15" customHeight="1" x14ac:dyDescent="0.15"/>
    <row r="162" ht="15" customHeight="1" x14ac:dyDescent="0.15"/>
    <row r="163" ht="15" customHeight="1" x14ac:dyDescent="0.15"/>
    <row r="164" ht="15" customHeight="1" x14ac:dyDescent="0.15"/>
    <row r="165" ht="15" customHeight="1" x14ac:dyDescent="0.15"/>
    <row r="166" ht="15" customHeight="1" x14ac:dyDescent="0.15"/>
    <row r="167" ht="15" customHeight="1" x14ac:dyDescent="0.15"/>
    <row r="168" ht="15" customHeight="1" x14ac:dyDescent="0.15"/>
    <row r="169" ht="15" customHeight="1" x14ac:dyDescent="0.15"/>
    <row r="170" ht="15" customHeight="1" x14ac:dyDescent="0.15"/>
    <row r="173" ht="15" customHeight="1" x14ac:dyDescent="0.15"/>
    <row r="174" ht="15" customHeight="1" x14ac:dyDescent="0.15"/>
  </sheetData>
  <phoneticPr fontId="2" type="noConversion"/>
  <pageMargins left="0.18" right="0.18" top="0.19" bottom="0.18" header="0.18" footer="0.17"/>
  <pageSetup scale="70" fitToWidth="2" fitToHeight="4"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indexed="45"/>
  </sheetPr>
  <dimension ref="A1:K100"/>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44.33203125" bestFit="1" customWidth="1"/>
    <col min="3" max="4" width="9.83203125" bestFit="1" customWidth="1"/>
    <col min="5" max="5" width="2.33203125" bestFit="1" customWidth="1"/>
    <col min="6" max="6" width="12.83203125" customWidth="1"/>
    <col min="7" max="7" width="11.83203125" customWidth="1"/>
    <col min="8" max="9" width="11.5" customWidth="1"/>
    <col min="10" max="10" width="2.33203125" customWidth="1"/>
    <col min="11" max="11" width="15.83203125" customWidth="1"/>
  </cols>
  <sheetData>
    <row r="1" spans="1:11" s="115" customFormat="1" ht="112" x14ac:dyDescent="0.15">
      <c r="A1" s="5" t="s">
        <v>22</v>
      </c>
      <c r="B1" s="3" t="s">
        <v>0</v>
      </c>
      <c r="C1" s="187" t="s">
        <v>291</v>
      </c>
      <c r="D1" s="187" t="s">
        <v>292</v>
      </c>
      <c r="E1" s="187" t="s">
        <v>293</v>
      </c>
      <c r="F1" s="187" t="s">
        <v>294</v>
      </c>
      <c r="G1" s="187" t="s">
        <v>295</v>
      </c>
      <c r="H1" s="187" t="s">
        <v>296</v>
      </c>
      <c r="I1" s="187" t="s">
        <v>297</v>
      </c>
      <c r="J1" s="187" t="s">
        <v>298</v>
      </c>
      <c r="K1" s="187" t="s">
        <v>302</v>
      </c>
    </row>
    <row r="2" spans="1:11" x14ac:dyDescent="0.15">
      <c r="A2">
        <v>1</v>
      </c>
      <c r="B2" s="186" t="s">
        <v>192</v>
      </c>
      <c r="C2">
        <v>0</v>
      </c>
      <c r="D2">
        <v>0</v>
      </c>
      <c r="E2">
        <v>0</v>
      </c>
      <c r="F2">
        <v>3.35565E-7</v>
      </c>
      <c r="G2">
        <v>0</v>
      </c>
      <c r="H2">
        <v>0</v>
      </c>
      <c r="I2">
        <v>0</v>
      </c>
      <c r="J2">
        <v>0</v>
      </c>
      <c r="K2">
        <v>3.35565E-7</v>
      </c>
    </row>
    <row r="3" spans="1:11" x14ac:dyDescent="0.15">
      <c r="A3">
        <v>2</v>
      </c>
      <c r="B3" s="186" t="s">
        <v>193</v>
      </c>
      <c r="C3">
        <v>0</v>
      </c>
      <c r="D3">
        <v>0</v>
      </c>
      <c r="E3">
        <v>0</v>
      </c>
      <c r="F3">
        <v>0</v>
      </c>
      <c r="G3">
        <v>0</v>
      </c>
      <c r="H3">
        <v>0</v>
      </c>
      <c r="I3">
        <v>0</v>
      </c>
      <c r="J3">
        <v>0</v>
      </c>
      <c r="K3">
        <v>0</v>
      </c>
    </row>
    <row r="4" spans="1:11" x14ac:dyDescent="0.15">
      <c r="A4">
        <v>3</v>
      </c>
      <c r="B4" s="186" t="s">
        <v>194</v>
      </c>
      <c r="C4">
        <v>0</v>
      </c>
      <c r="D4">
        <v>0</v>
      </c>
      <c r="E4">
        <v>0</v>
      </c>
      <c r="F4">
        <v>0</v>
      </c>
      <c r="G4">
        <v>1.7532399999999998E-5</v>
      </c>
      <c r="H4">
        <v>0</v>
      </c>
      <c r="I4">
        <v>0</v>
      </c>
      <c r="J4">
        <v>0</v>
      </c>
      <c r="K4">
        <v>1.7532399999999998E-5</v>
      </c>
    </row>
    <row r="5" spans="1:11" x14ac:dyDescent="0.15">
      <c r="A5">
        <v>4</v>
      </c>
      <c r="B5" s="186" t="s">
        <v>195</v>
      </c>
      <c r="C5">
        <v>0</v>
      </c>
      <c r="D5">
        <v>0</v>
      </c>
      <c r="E5">
        <v>0</v>
      </c>
      <c r="F5">
        <v>0</v>
      </c>
      <c r="G5">
        <v>0</v>
      </c>
      <c r="H5">
        <v>0</v>
      </c>
      <c r="I5">
        <v>0</v>
      </c>
      <c r="J5">
        <v>0</v>
      </c>
      <c r="K5">
        <v>0</v>
      </c>
    </row>
    <row r="6" spans="1:11" x14ac:dyDescent="0.15">
      <c r="A6">
        <v>5</v>
      </c>
      <c r="B6" s="186" t="s">
        <v>196</v>
      </c>
      <c r="C6">
        <v>2.5759999999999997E-4</v>
      </c>
      <c r="D6">
        <v>1.2761000000000001E-3</v>
      </c>
      <c r="E6">
        <v>0</v>
      </c>
      <c r="F6">
        <v>0</v>
      </c>
      <c r="G6">
        <v>0</v>
      </c>
      <c r="H6">
        <v>0</v>
      </c>
      <c r="I6">
        <v>0</v>
      </c>
      <c r="J6">
        <v>0</v>
      </c>
      <c r="K6">
        <v>1.5337E-3</v>
      </c>
    </row>
    <row r="7" spans="1:11" x14ac:dyDescent="0.15">
      <c r="A7">
        <v>6</v>
      </c>
      <c r="B7" s="186" t="s">
        <v>197</v>
      </c>
      <c r="C7">
        <v>0</v>
      </c>
      <c r="D7">
        <v>0</v>
      </c>
      <c r="E7">
        <v>0</v>
      </c>
      <c r="F7">
        <v>0</v>
      </c>
      <c r="G7">
        <v>0</v>
      </c>
      <c r="H7">
        <v>0</v>
      </c>
      <c r="I7">
        <v>0</v>
      </c>
      <c r="J7">
        <v>0</v>
      </c>
      <c r="K7">
        <v>0</v>
      </c>
    </row>
    <row r="8" spans="1:11" x14ac:dyDescent="0.15">
      <c r="A8">
        <v>7</v>
      </c>
      <c r="B8" s="186" t="s">
        <v>198</v>
      </c>
      <c r="C8">
        <v>0</v>
      </c>
      <c r="D8">
        <v>0</v>
      </c>
      <c r="E8">
        <v>0</v>
      </c>
      <c r="F8">
        <v>0</v>
      </c>
      <c r="G8">
        <v>0</v>
      </c>
      <c r="H8">
        <v>0</v>
      </c>
      <c r="I8">
        <v>0</v>
      </c>
      <c r="J8">
        <v>0</v>
      </c>
      <c r="K8">
        <v>0</v>
      </c>
    </row>
    <row r="9" spans="1:11" x14ac:dyDescent="0.15">
      <c r="A9">
        <v>8</v>
      </c>
      <c r="B9" s="186" t="s">
        <v>199</v>
      </c>
      <c r="C9">
        <v>0</v>
      </c>
      <c r="D9">
        <v>0</v>
      </c>
      <c r="E9">
        <v>0</v>
      </c>
      <c r="F9">
        <v>0</v>
      </c>
      <c r="G9">
        <v>0</v>
      </c>
      <c r="H9">
        <v>0</v>
      </c>
      <c r="I9">
        <v>0</v>
      </c>
      <c r="J9">
        <v>0</v>
      </c>
      <c r="K9">
        <v>0</v>
      </c>
    </row>
    <row r="10" spans="1:11" x14ac:dyDescent="0.15">
      <c r="A10">
        <v>9</v>
      </c>
      <c r="B10" s="186" t="s">
        <v>200</v>
      </c>
      <c r="C10">
        <v>0</v>
      </c>
      <c r="D10">
        <v>0</v>
      </c>
      <c r="E10">
        <v>0</v>
      </c>
      <c r="F10">
        <v>0</v>
      </c>
      <c r="G10">
        <v>0</v>
      </c>
      <c r="H10">
        <v>0</v>
      </c>
      <c r="I10">
        <v>0</v>
      </c>
      <c r="J10">
        <v>0</v>
      </c>
      <c r="K10">
        <v>0</v>
      </c>
    </row>
    <row r="11" spans="1:11" x14ac:dyDescent="0.15">
      <c r="A11">
        <v>10</v>
      </c>
      <c r="B11" s="186" t="s">
        <v>201</v>
      </c>
      <c r="C11">
        <v>0</v>
      </c>
      <c r="D11">
        <v>0</v>
      </c>
      <c r="E11">
        <v>0</v>
      </c>
      <c r="F11">
        <v>2.0244400000000001E-7</v>
      </c>
      <c r="G11">
        <v>0</v>
      </c>
      <c r="H11">
        <v>0</v>
      </c>
      <c r="I11">
        <v>1.8750400000000001E-7</v>
      </c>
      <c r="J11">
        <v>0</v>
      </c>
      <c r="K11">
        <v>3.8994800000000002E-7</v>
      </c>
    </row>
    <row r="12" spans="1:11" x14ac:dyDescent="0.15">
      <c r="A12">
        <v>11</v>
      </c>
      <c r="B12" s="186" t="s">
        <v>202</v>
      </c>
      <c r="C12">
        <v>1.1876E-3</v>
      </c>
      <c r="D12">
        <v>3.2691E-3</v>
      </c>
      <c r="E12">
        <v>0</v>
      </c>
      <c r="F12">
        <v>1.7646E-5</v>
      </c>
      <c r="G12">
        <v>0</v>
      </c>
      <c r="H12">
        <v>0</v>
      </c>
      <c r="I12">
        <v>2.54922E-5</v>
      </c>
      <c r="J12">
        <v>0</v>
      </c>
      <c r="K12">
        <v>4.4998382E-3</v>
      </c>
    </row>
    <row r="13" spans="1:11" x14ac:dyDescent="0.15">
      <c r="A13">
        <v>12</v>
      </c>
      <c r="B13" s="186" t="s">
        <v>203</v>
      </c>
      <c r="C13">
        <v>8.9800000000000001E-5</v>
      </c>
      <c r="D13">
        <v>6.2999999999999998E-6</v>
      </c>
      <c r="E13">
        <v>0</v>
      </c>
      <c r="F13">
        <v>1.2858E-7</v>
      </c>
      <c r="G13">
        <v>0</v>
      </c>
      <c r="H13">
        <v>0</v>
      </c>
      <c r="I13">
        <v>9.6782699999999997E-8</v>
      </c>
      <c r="J13">
        <v>0</v>
      </c>
      <c r="K13">
        <v>9.6325362699999995E-5</v>
      </c>
    </row>
    <row r="14" spans="1:11" x14ac:dyDescent="0.15">
      <c r="A14">
        <v>13</v>
      </c>
      <c r="B14" s="186" t="s">
        <v>204</v>
      </c>
      <c r="C14">
        <v>1E-4</v>
      </c>
      <c r="D14">
        <v>8.0000000000000004E-4</v>
      </c>
      <c r="E14">
        <v>0</v>
      </c>
      <c r="F14">
        <v>2.59091E-7</v>
      </c>
      <c r="G14">
        <v>2.5304100000000001E-5</v>
      </c>
      <c r="H14">
        <v>0</v>
      </c>
      <c r="I14">
        <v>0</v>
      </c>
      <c r="J14">
        <v>0</v>
      </c>
      <c r="K14">
        <v>9.2556319100000012E-4</v>
      </c>
    </row>
    <row r="15" spans="1:11" x14ac:dyDescent="0.15">
      <c r="A15">
        <v>14</v>
      </c>
      <c r="B15" s="186" t="s">
        <v>205</v>
      </c>
      <c r="C15">
        <v>3.4099999999999999E-4</v>
      </c>
      <c r="D15">
        <v>1.8105900000000001E-2</v>
      </c>
      <c r="E15">
        <v>0</v>
      </c>
      <c r="F15">
        <v>2.0091699999999999E-8</v>
      </c>
      <c r="G15">
        <v>0</v>
      </c>
      <c r="H15">
        <v>2.3741799999999999E-6</v>
      </c>
      <c r="I15">
        <v>1.22973E-5</v>
      </c>
      <c r="J15">
        <v>0</v>
      </c>
      <c r="K15">
        <v>1.8461591571700003E-2</v>
      </c>
    </row>
    <row r="16" spans="1:11" x14ac:dyDescent="0.15">
      <c r="A16">
        <v>15</v>
      </c>
      <c r="B16" s="186" t="s">
        <v>206</v>
      </c>
      <c r="C16">
        <v>3.0855000000000001E-3</v>
      </c>
      <c r="D16">
        <v>0.1230339</v>
      </c>
      <c r="E16">
        <v>0</v>
      </c>
      <c r="F16">
        <v>8.28225E-10</v>
      </c>
      <c r="G16">
        <v>0</v>
      </c>
      <c r="H16">
        <v>0</v>
      </c>
      <c r="I16">
        <v>3.66637E-8</v>
      </c>
      <c r="J16">
        <v>0</v>
      </c>
      <c r="K16">
        <v>0.12611943749192497</v>
      </c>
    </row>
    <row r="17" spans="1:11" x14ac:dyDescent="0.15">
      <c r="A17">
        <v>16</v>
      </c>
      <c r="B17" s="186" t="s">
        <v>207</v>
      </c>
      <c r="C17">
        <v>8.0000000000000004E-4</v>
      </c>
      <c r="D17">
        <v>1.3808900000000001E-2</v>
      </c>
      <c r="E17">
        <v>0</v>
      </c>
      <c r="F17">
        <v>1.1610899999999999E-6</v>
      </c>
      <c r="G17">
        <v>1.8907E-4</v>
      </c>
      <c r="H17">
        <v>0</v>
      </c>
      <c r="I17">
        <v>3.10103E-6</v>
      </c>
      <c r="J17">
        <v>0</v>
      </c>
      <c r="K17">
        <v>1.480223212E-2</v>
      </c>
    </row>
    <row r="18" spans="1:11" x14ac:dyDescent="0.15">
      <c r="A18">
        <v>17</v>
      </c>
      <c r="B18" s="186" t="s">
        <v>208</v>
      </c>
      <c r="C18">
        <v>1.45281E-2</v>
      </c>
      <c r="D18">
        <v>3.4751200000000003E-2</v>
      </c>
      <c r="E18">
        <v>0</v>
      </c>
      <c r="F18">
        <v>1.29907E-6</v>
      </c>
      <c r="G18">
        <v>0</v>
      </c>
      <c r="H18">
        <v>0</v>
      </c>
      <c r="I18">
        <v>1.50684E-5</v>
      </c>
      <c r="J18">
        <v>0</v>
      </c>
      <c r="K18">
        <v>4.9295667470000006E-2</v>
      </c>
    </row>
    <row r="19" spans="1:11" x14ac:dyDescent="0.15">
      <c r="A19">
        <v>18</v>
      </c>
      <c r="B19" s="186" t="s">
        <v>209</v>
      </c>
      <c r="C19">
        <v>1.2359999999999999E-3</v>
      </c>
      <c r="D19">
        <v>7.1123099999999995E-2</v>
      </c>
      <c r="E19">
        <v>0</v>
      </c>
      <c r="F19">
        <v>0</v>
      </c>
      <c r="G19">
        <v>7.2247099999999995E-5</v>
      </c>
      <c r="H19">
        <v>0</v>
      </c>
      <c r="I19">
        <v>6.6601599999999999E-6</v>
      </c>
      <c r="J19">
        <v>0</v>
      </c>
      <c r="K19">
        <v>7.2438007260000006E-2</v>
      </c>
    </row>
    <row r="20" spans="1:11" x14ac:dyDescent="0.15">
      <c r="A20">
        <v>19</v>
      </c>
      <c r="B20" s="186" t="s">
        <v>210</v>
      </c>
      <c r="C20">
        <v>2.2799999999999999E-5</v>
      </c>
      <c r="D20">
        <v>1E-4</v>
      </c>
      <c r="E20">
        <v>0</v>
      </c>
      <c r="F20">
        <v>0</v>
      </c>
      <c r="G20">
        <v>0</v>
      </c>
      <c r="H20">
        <v>0</v>
      </c>
      <c r="I20">
        <v>4.9053299999999996E-7</v>
      </c>
      <c r="J20">
        <v>0</v>
      </c>
      <c r="K20">
        <v>1.2329053300000001E-4</v>
      </c>
    </row>
    <row r="21" spans="1:11" x14ac:dyDescent="0.15">
      <c r="A21">
        <v>20</v>
      </c>
      <c r="B21" s="186" t="s">
        <v>211</v>
      </c>
      <c r="C21">
        <v>1.7670499999999999E-2</v>
      </c>
      <c r="D21">
        <v>0.82316109999999998</v>
      </c>
      <c r="E21">
        <v>0</v>
      </c>
      <c r="F21">
        <v>4.1119099999999998E-8</v>
      </c>
      <c r="G21">
        <v>0</v>
      </c>
      <c r="H21">
        <v>1.16564E-8</v>
      </c>
      <c r="I21">
        <v>1.0646599999999999E-6</v>
      </c>
      <c r="J21">
        <v>0</v>
      </c>
      <c r="K21">
        <v>0.84083271743550003</v>
      </c>
    </row>
    <row r="22" spans="1:11" x14ac:dyDescent="0.15">
      <c r="A22">
        <v>21</v>
      </c>
      <c r="B22" s="186" t="s">
        <v>212</v>
      </c>
      <c r="C22">
        <v>5.3800000000000002E-3</v>
      </c>
      <c r="D22">
        <v>4.7175000000000003E-3</v>
      </c>
      <c r="E22">
        <v>0</v>
      </c>
      <c r="F22">
        <v>2.0717800000000001E-9</v>
      </c>
      <c r="G22">
        <v>2.27068E-4</v>
      </c>
      <c r="H22">
        <v>2.33129E-7</v>
      </c>
      <c r="I22">
        <v>3.2786499999999999E-6</v>
      </c>
      <c r="J22">
        <v>0</v>
      </c>
      <c r="K22">
        <v>1.0328081850780001E-2</v>
      </c>
    </row>
    <row r="23" spans="1:11" x14ac:dyDescent="0.15">
      <c r="A23">
        <v>22</v>
      </c>
      <c r="B23" s="186" t="s">
        <v>213</v>
      </c>
      <c r="C23">
        <v>5.7099999999999999E-5</v>
      </c>
      <c r="D23">
        <v>1.6453300000000001E-2</v>
      </c>
      <c r="E23">
        <v>0</v>
      </c>
      <c r="F23">
        <v>4.6251300000000001E-4</v>
      </c>
      <c r="G23">
        <v>0</v>
      </c>
      <c r="H23">
        <v>0</v>
      </c>
      <c r="I23">
        <v>4.2899300000000001E-7</v>
      </c>
      <c r="J23">
        <v>0</v>
      </c>
      <c r="K23">
        <v>1.6973341993000001E-2</v>
      </c>
    </row>
    <row r="24" spans="1:11" x14ac:dyDescent="0.15">
      <c r="A24">
        <v>23</v>
      </c>
      <c r="B24" s="186" t="s">
        <v>214</v>
      </c>
      <c r="C24">
        <v>9.2143699999999995E-2</v>
      </c>
      <c r="D24">
        <v>0.34597339999999999</v>
      </c>
      <c r="E24">
        <v>0</v>
      </c>
      <c r="F24">
        <v>0</v>
      </c>
      <c r="G24">
        <v>0</v>
      </c>
      <c r="H24">
        <v>0</v>
      </c>
      <c r="I24">
        <v>7.5837099999999998E-6</v>
      </c>
      <c r="J24">
        <v>0</v>
      </c>
      <c r="K24">
        <v>0.43812468370999996</v>
      </c>
    </row>
    <row r="25" spans="1:11" x14ac:dyDescent="0.15">
      <c r="A25">
        <v>24</v>
      </c>
      <c r="B25" s="186" t="s">
        <v>215</v>
      </c>
      <c r="C25">
        <v>8.5840000000000005E-4</v>
      </c>
      <c r="D25">
        <v>0</v>
      </c>
      <c r="E25">
        <v>0</v>
      </c>
      <c r="F25">
        <v>0</v>
      </c>
      <c r="G25">
        <v>0</v>
      </c>
      <c r="H25">
        <v>0</v>
      </c>
      <c r="I25">
        <v>0</v>
      </c>
      <c r="J25">
        <v>0</v>
      </c>
      <c r="K25">
        <v>8.5840000000000005E-4</v>
      </c>
    </row>
    <row r="26" spans="1:11" x14ac:dyDescent="0.15">
      <c r="A26">
        <v>25</v>
      </c>
      <c r="B26" s="186" t="s">
        <v>216</v>
      </c>
      <c r="C26">
        <v>6.1739000000000004E-3</v>
      </c>
      <c r="D26">
        <v>5.7635999999999998E-3</v>
      </c>
      <c r="E26">
        <v>0</v>
      </c>
      <c r="F26">
        <v>1.9751299999999999E-8</v>
      </c>
      <c r="G26">
        <v>0</v>
      </c>
      <c r="H26">
        <v>0</v>
      </c>
      <c r="I26">
        <v>4.5526099999999999E-7</v>
      </c>
      <c r="J26">
        <v>0</v>
      </c>
      <c r="K26">
        <v>1.19379750123E-2</v>
      </c>
    </row>
    <row r="27" spans="1:11" x14ac:dyDescent="0.15">
      <c r="A27">
        <v>26</v>
      </c>
      <c r="B27" s="186" t="s">
        <v>217</v>
      </c>
      <c r="C27">
        <v>2.6469900000000001E-2</v>
      </c>
      <c r="D27">
        <v>0.13159770000000001</v>
      </c>
      <c r="E27">
        <v>0</v>
      </c>
      <c r="F27">
        <v>0</v>
      </c>
      <c r="G27">
        <v>0</v>
      </c>
      <c r="H27">
        <v>0</v>
      </c>
      <c r="I27">
        <v>1.66697E-7</v>
      </c>
      <c r="J27">
        <v>0</v>
      </c>
      <c r="K27">
        <v>0.15806776669700001</v>
      </c>
    </row>
    <row r="28" spans="1:11" x14ac:dyDescent="0.15">
      <c r="A28">
        <v>27</v>
      </c>
      <c r="B28" s="186" t="s">
        <v>218</v>
      </c>
      <c r="C28">
        <v>2.8909999999999998E-4</v>
      </c>
      <c r="D28">
        <v>0</v>
      </c>
      <c r="E28">
        <v>0</v>
      </c>
      <c r="F28">
        <v>0</v>
      </c>
      <c r="G28">
        <v>9.7445499999999997E-7</v>
      </c>
      <c r="H28">
        <v>0</v>
      </c>
      <c r="I28">
        <v>2.0519700000000001E-7</v>
      </c>
      <c r="J28">
        <v>0</v>
      </c>
      <c r="K28">
        <v>2.90279652E-4</v>
      </c>
    </row>
    <row r="29" spans="1:11" x14ac:dyDescent="0.15">
      <c r="A29">
        <v>28</v>
      </c>
      <c r="B29" s="186" t="s">
        <v>219</v>
      </c>
      <c r="C29">
        <v>1.1790000000000001E-4</v>
      </c>
      <c r="D29">
        <v>0</v>
      </c>
      <c r="E29">
        <v>0</v>
      </c>
      <c r="F29">
        <v>0</v>
      </c>
      <c r="G29">
        <v>0</v>
      </c>
      <c r="H29">
        <v>0</v>
      </c>
      <c r="I29">
        <v>1.2857400000000001E-8</v>
      </c>
      <c r="J29">
        <v>0</v>
      </c>
      <c r="K29">
        <v>1.179128574E-4</v>
      </c>
    </row>
    <row r="30" spans="1:11" x14ac:dyDescent="0.15">
      <c r="A30">
        <v>29</v>
      </c>
      <c r="B30" s="186" t="s">
        <v>220</v>
      </c>
      <c r="C30">
        <v>0</v>
      </c>
      <c r="D30">
        <v>0</v>
      </c>
      <c r="E30">
        <v>0</v>
      </c>
      <c r="F30">
        <v>0</v>
      </c>
      <c r="G30">
        <v>0</v>
      </c>
      <c r="H30">
        <v>4.6625799999999999E-7</v>
      </c>
      <c r="I30">
        <v>9.3761900000000003E-7</v>
      </c>
      <c r="J30">
        <v>0</v>
      </c>
      <c r="K30">
        <v>1.403877E-6</v>
      </c>
    </row>
    <row r="31" spans="1:11" x14ac:dyDescent="0.15">
      <c r="A31">
        <v>30</v>
      </c>
      <c r="B31" s="186" t="s">
        <v>221</v>
      </c>
      <c r="C31">
        <v>8.8999999999999999E-3</v>
      </c>
      <c r="D31">
        <v>0</v>
      </c>
      <c r="E31">
        <v>0</v>
      </c>
      <c r="F31">
        <v>3.63786E-7</v>
      </c>
      <c r="G31">
        <v>1.42767E-4</v>
      </c>
      <c r="H31">
        <v>6.5602399999999997E-7</v>
      </c>
      <c r="I31">
        <v>3.9047800000000002E-5</v>
      </c>
      <c r="J31">
        <v>0</v>
      </c>
      <c r="K31">
        <v>9.0828346099999999E-3</v>
      </c>
    </row>
    <row r="32" spans="1:11" x14ac:dyDescent="0.15">
      <c r="A32">
        <v>31</v>
      </c>
      <c r="B32" s="186" t="s">
        <v>222</v>
      </c>
      <c r="C32">
        <v>0</v>
      </c>
      <c r="D32">
        <v>0</v>
      </c>
      <c r="E32">
        <v>0</v>
      </c>
      <c r="F32">
        <v>0</v>
      </c>
      <c r="G32">
        <v>1.4228599999999999E-6</v>
      </c>
      <c r="H32">
        <v>5.8335799999999998E-6</v>
      </c>
      <c r="I32">
        <v>1.2842600000000001E-6</v>
      </c>
      <c r="J32">
        <v>0</v>
      </c>
      <c r="K32">
        <v>8.5406999999999994E-6</v>
      </c>
    </row>
    <row r="33" spans="1:11" x14ac:dyDescent="0.15">
      <c r="A33">
        <v>32</v>
      </c>
      <c r="B33" s="186" t="s">
        <v>223</v>
      </c>
      <c r="C33">
        <v>3.1099999999999997E-5</v>
      </c>
      <c r="D33">
        <v>0</v>
      </c>
      <c r="E33">
        <v>0</v>
      </c>
      <c r="F33">
        <v>0</v>
      </c>
      <c r="G33">
        <v>1.28481E-5</v>
      </c>
      <c r="H33">
        <v>7.9503900000000003E-6</v>
      </c>
      <c r="I33">
        <v>1.50093E-5</v>
      </c>
      <c r="J33">
        <v>0</v>
      </c>
      <c r="K33">
        <v>6.6907790000000003E-5</v>
      </c>
    </row>
    <row r="34" spans="1:11" x14ac:dyDescent="0.15">
      <c r="A34">
        <v>33</v>
      </c>
      <c r="B34" s="186" t="s">
        <v>224</v>
      </c>
      <c r="C34">
        <v>0</v>
      </c>
      <c r="D34">
        <v>0</v>
      </c>
      <c r="E34">
        <v>0</v>
      </c>
      <c r="F34">
        <v>0</v>
      </c>
      <c r="G34">
        <v>0</v>
      </c>
      <c r="H34">
        <v>0</v>
      </c>
      <c r="I34">
        <v>0</v>
      </c>
      <c r="J34">
        <v>0</v>
      </c>
      <c r="K34">
        <v>0</v>
      </c>
    </row>
    <row r="35" spans="1:11" x14ac:dyDescent="0.15">
      <c r="A35">
        <v>34</v>
      </c>
      <c r="B35" s="186" t="s">
        <v>225</v>
      </c>
      <c r="C35">
        <v>0</v>
      </c>
      <c r="D35">
        <v>4.9781800000000001E-2</v>
      </c>
      <c r="E35">
        <v>0</v>
      </c>
      <c r="F35">
        <v>0</v>
      </c>
      <c r="G35">
        <v>1.27471E-5</v>
      </c>
      <c r="H35">
        <v>0</v>
      </c>
      <c r="I35">
        <v>0</v>
      </c>
      <c r="J35">
        <v>0</v>
      </c>
      <c r="K35">
        <v>4.9794547100000003E-2</v>
      </c>
    </row>
    <row r="36" spans="1:11" x14ac:dyDescent="0.15">
      <c r="A36">
        <v>35</v>
      </c>
      <c r="B36" s="186" t="s">
        <v>226</v>
      </c>
      <c r="C36">
        <v>3.68E-4</v>
      </c>
      <c r="D36">
        <v>0</v>
      </c>
      <c r="E36">
        <v>0</v>
      </c>
      <c r="F36">
        <v>1.0272770000000001E-3</v>
      </c>
      <c r="G36">
        <v>0</v>
      </c>
      <c r="H36">
        <v>0</v>
      </c>
      <c r="I36">
        <v>4.5532999999999999E-7</v>
      </c>
      <c r="J36">
        <v>0</v>
      </c>
      <c r="K36">
        <v>1.3957323300000002E-3</v>
      </c>
    </row>
    <row r="37" spans="1:11" x14ac:dyDescent="0.15">
      <c r="A37">
        <v>36</v>
      </c>
      <c r="B37" s="186" t="s">
        <v>227</v>
      </c>
      <c r="C37">
        <v>0</v>
      </c>
      <c r="D37">
        <v>0</v>
      </c>
      <c r="E37">
        <v>0</v>
      </c>
      <c r="F37">
        <v>0</v>
      </c>
      <c r="G37">
        <v>8.87676E-6</v>
      </c>
      <c r="H37">
        <v>2.3312900000000001E-9</v>
      </c>
      <c r="I37">
        <v>0</v>
      </c>
      <c r="J37">
        <v>0</v>
      </c>
      <c r="K37">
        <v>8.8790912899999998E-6</v>
      </c>
    </row>
    <row r="38" spans="1:11" x14ac:dyDescent="0.15">
      <c r="A38">
        <v>37</v>
      </c>
      <c r="B38" s="186" t="s">
        <v>228</v>
      </c>
      <c r="C38">
        <v>0</v>
      </c>
      <c r="D38">
        <v>0</v>
      </c>
      <c r="E38">
        <v>0</v>
      </c>
      <c r="F38">
        <v>2.6258899999999998E-4</v>
      </c>
      <c r="G38">
        <v>8.9398300000000008E-6</v>
      </c>
      <c r="H38">
        <v>0</v>
      </c>
      <c r="I38">
        <v>2.1429E-8</v>
      </c>
      <c r="J38">
        <v>0</v>
      </c>
      <c r="K38">
        <v>2.7155025900000001E-4</v>
      </c>
    </row>
    <row r="39" spans="1:11" x14ac:dyDescent="0.15">
      <c r="A39">
        <v>38</v>
      </c>
      <c r="B39" s="186" t="s">
        <v>229</v>
      </c>
      <c r="C39">
        <v>0</v>
      </c>
      <c r="D39">
        <v>4.6460000000000002E-4</v>
      </c>
      <c r="E39">
        <v>0</v>
      </c>
      <c r="F39">
        <v>0</v>
      </c>
      <c r="G39">
        <v>0</v>
      </c>
      <c r="H39">
        <v>0</v>
      </c>
      <c r="I39">
        <v>1.7409199999999999E-7</v>
      </c>
      <c r="J39">
        <v>0</v>
      </c>
      <c r="K39">
        <v>4.64774092E-4</v>
      </c>
    </row>
    <row r="40" spans="1:11" x14ac:dyDescent="0.15">
      <c r="A40">
        <v>39</v>
      </c>
      <c r="B40" s="186" t="s">
        <v>230</v>
      </c>
      <c r="C40">
        <v>0</v>
      </c>
      <c r="D40">
        <v>0</v>
      </c>
      <c r="E40">
        <v>0</v>
      </c>
      <c r="F40">
        <v>2.9180513700000001E-2</v>
      </c>
      <c r="G40">
        <v>0</v>
      </c>
      <c r="H40">
        <v>0</v>
      </c>
      <c r="I40">
        <v>8.7390099999999996E-9</v>
      </c>
      <c r="J40">
        <v>0</v>
      </c>
      <c r="K40">
        <v>2.9180522439009999E-2</v>
      </c>
    </row>
    <row r="41" spans="1:11" x14ac:dyDescent="0.15">
      <c r="A41">
        <v>40</v>
      </c>
      <c r="B41" s="186" t="s">
        <v>231</v>
      </c>
      <c r="C41">
        <v>0</v>
      </c>
      <c r="D41">
        <v>0</v>
      </c>
      <c r="E41">
        <v>0</v>
      </c>
      <c r="F41">
        <v>9.0837590000000003E-3</v>
      </c>
      <c r="G41">
        <v>0</v>
      </c>
      <c r="H41">
        <v>0</v>
      </c>
      <c r="I41">
        <v>0</v>
      </c>
      <c r="J41">
        <v>0</v>
      </c>
      <c r="K41">
        <v>9.0837590000000003E-3</v>
      </c>
    </row>
    <row r="42" spans="1:11" x14ac:dyDescent="0.15">
      <c r="A42">
        <v>41</v>
      </c>
      <c r="B42" s="186" t="s">
        <v>232</v>
      </c>
      <c r="C42">
        <v>1.93E-4</v>
      </c>
      <c r="D42">
        <v>5.2010000000000001E-4</v>
      </c>
      <c r="E42">
        <v>0</v>
      </c>
      <c r="F42">
        <v>0</v>
      </c>
      <c r="G42">
        <v>0</v>
      </c>
      <c r="H42">
        <v>0</v>
      </c>
      <c r="I42">
        <v>0</v>
      </c>
      <c r="J42">
        <v>0</v>
      </c>
      <c r="K42">
        <v>7.1310000000000004E-4</v>
      </c>
    </row>
    <row r="43" spans="1:11" x14ac:dyDescent="0.15">
      <c r="A43">
        <v>42</v>
      </c>
      <c r="B43" s="186" t="s">
        <v>233</v>
      </c>
      <c r="C43">
        <v>2.1929999999999999E-4</v>
      </c>
      <c r="D43">
        <v>6.8319000000000001E-3</v>
      </c>
      <c r="E43">
        <v>0</v>
      </c>
      <c r="F43">
        <v>0</v>
      </c>
      <c r="G43">
        <v>0</v>
      </c>
      <c r="H43">
        <v>0</v>
      </c>
      <c r="I43">
        <v>0</v>
      </c>
      <c r="J43">
        <v>0</v>
      </c>
      <c r="K43">
        <v>7.0512000000000005E-3</v>
      </c>
    </row>
    <row r="44" spans="1:11" x14ac:dyDescent="0.15">
      <c r="A44">
        <v>43</v>
      </c>
      <c r="B44" s="186" t="s">
        <v>234</v>
      </c>
      <c r="C44">
        <v>2.8E-5</v>
      </c>
      <c r="D44">
        <v>2.5282999999999998E-3</v>
      </c>
      <c r="E44">
        <v>0</v>
      </c>
      <c r="F44">
        <v>0</v>
      </c>
      <c r="G44">
        <v>0</v>
      </c>
      <c r="H44">
        <v>0</v>
      </c>
      <c r="I44">
        <v>0</v>
      </c>
      <c r="J44">
        <v>0</v>
      </c>
      <c r="K44">
        <v>2.5562999999999996E-3</v>
      </c>
    </row>
    <row r="45" spans="1:11" x14ac:dyDescent="0.15">
      <c r="A45">
        <v>44</v>
      </c>
      <c r="B45" s="186" t="s">
        <v>235</v>
      </c>
      <c r="C45">
        <v>0</v>
      </c>
      <c r="D45">
        <v>0</v>
      </c>
      <c r="E45">
        <v>0</v>
      </c>
      <c r="F45">
        <v>0</v>
      </c>
      <c r="G45">
        <v>0</v>
      </c>
      <c r="H45">
        <v>0</v>
      </c>
      <c r="I45">
        <v>0</v>
      </c>
      <c r="J45">
        <v>0</v>
      </c>
      <c r="K45">
        <v>0</v>
      </c>
    </row>
    <row r="46" spans="1:11" x14ac:dyDescent="0.15">
      <c r="A46">
        <v>45</v>
      </c>
      <c r="B46" s="186" t="s">
        <v>236</v>
      </c>
      <c r="C46">
        <v>0</v>
      </c>
      <c r="D46">
        <v>0</v>
      </c>
      <c r="E46">
        <v>0</v>
      </c>
      <c r="F46">
        <v>0</v>
      </c>
      <c r="G46">
        <v>0</v>
      </c>
      <c r="H46">
        <v>0</v>
      </c>
      <c r="I46">
        <v>0</v>
      </c>
      <c r="J46">
        <v>0</v>
      </c>
      <c r="K46">
        <v>0</v>
      </c>
    </row>
    <row r="47" spans="1:11" x14ac:dyDescent="0.15">
      <c r="A47">
        <v>46</v>
      </c>
      <c r="B47" s="186" t="s">
        <v>237</v>
      </c>
      <c r="C47">
        <v>0</v>
      </c>
      <c r="D47">
        <v>0</v>
      </c>
      <c r="E47">
        <v>0</v>
      </c>
      <c r="F47">
        <v>0</v>
      </c>
      <c r="G47">
        <v>0</v>
      </c>
      <c r="H47">
        <v>0</v>
      </c>
      <c r="I47">
        <v>0</v>
      </c>
      <c r="J47">
        <v>0</v>
      </c>
      <c r="K47">
        <v>0</v>
      </c>
    </row>
    <row r="48" spans="1:11" x14ac:dyDescent="0.15">
      <c r="A48">
        <v>47</v>
      </c>
      <c r="B48" s="186" t="s">
        <v>238</v>
      </c>
      <c r="C48">
        <v>0</v>
      </c>
      <c r="D48">
        <v>0</v>
      </c>
      <c r="E48">
        <v>0</v>
      </c>
      <c r="F48">
        <v>0</v>
      </c>
      <c r="G48">
        <v>0</v>
      </c>
      <c r="H48">
        <v>0</v>
      </c>
      <c r="I48">
        <v>0</v>
      </c>
      <c r="J48">
        <v>0</v>
      </c>
      <c r="K48">
        <v>0</v>
      </c>
    </row>
    <row r="49" spans="1:11" x14ac:dyDescent="0.15">
      <c r="A49">
        <v>48</v>
      </c>
      <c r="B49" s="186" t="s">
        <v>239</v>
      </c>
      <c r="C49">
        <v>0</v>
      </c>
      <c r="D49">
        <v>0</v>
      </c>
      <c r="E49">
        <v>0</v>
      </c>
      <c r="F49">
        <v>0</v>
      </c>
      <c r="G49">
        <v>0</v>
      </c>
      <c r="H49">
        <v>0</v>
      </c>
      <c r="I49">
        <v>0</v>
      </c>
      <c r="J49">
        <v>0</v>
      </c>
      <c r="K49">
        <v>0</v>
      </c>
    </row>
    <row r="50" spans="1:11" x14ac:dyDescent="0.15">
      <c r="A50">
        <v>49</v>
      </c>
      <c r="B50" s="186" t="s">
        <v>240</v>
      </c>
      <c r="C50">
        <v>0</v>
      </c>
      <c r="D50">
        <v>0</v>
      </c>
      <c r="E50">
        <v>0</v>
      </c>
      <c r="F50">
        <v>0</v>
      </c>
      <c r="G50">
        <v>0</v>
      </c>
      <c r="H50">
        <v>0</v>
      </c>
      <c r="I50">
        <v>0</v>
      </c>
      <c r="J50">
        <v>0</v>
      </c>
      <c r="K50">
        <v>0</v>
      </c>
    </row>
    <row r="51" spans="1:11" x14ac:dyDescent="0.15">
      <c r="A51">
        <v>50</v>
      </c>
      <c r="B51" s="186" t="s">
        <v>241</v>
      </c>
      <c r="C51">
        <v>0</v>
      </c>
      <c r="D51">
        <v>0</v>
      </c>
      <c r="E51">
        <v>0</v>
      </c>
      <c r="F51">
        <v>0</v>
      </c>
      <c r="G51">
        <v>0</v>
      </c>
      <c r="H51">
        <v>0</v>
      </c>
      <c r="I51">
        <v>0</v>
      </c>
      <c r="J51">
        <v>0</v>
      </c>
      <c r="K51">
        <v>0</v>
      </c>
    </row>
    <row r="52" spans="1:11" x14ac:dyDescent="0.15">
      <c r="A52">
        <v>51</v>
      </c>
      <c r="B52" s="186" t="s">
        <v>242</v>
      </c>
      <c r="C52">
        <v>0</v>
      </c>
      <c r="D52">
        <v>0</v>
      </c>
      <c r="E52">
        <v>0</v>
      </c>
      <c r="F52">
        <v>0</v>
      </c>
      <c r="G52">
        <v>0</v>
      </c>
      <c r="H52">
        <v>0</v>
      </c>
      <c r="I52">
        <v>0</v>
      </c>
      <c r="J52">
        <v>0</v>
      </c>
      <c r="K52">
        <v>0</v>
      </c>
    </row>
    <row r="53" spans="1:11" x14ac:dyDescent="0.15">
      <c r="A53">
        <v>52</v>
      </c>
      <c r="B53" s="186" t="s">
        <v>243</v>
      </c>
      <c r="C53">
        <v>1.9999999999999999E-6</v>
      </c>
      <c r="D53">
        <v>5.2969999999999996E-3</v>
      </c>
      <c r="E53">
        <v>0</v>
      </c>
      <c r="F53">
        <v>0</v>
      </c>
      <c r="G53">
        <v>0</v>
      </c>
      <c r="H53">
        <v>0</v>
      </c>
      <c r="I53">
        <v>0</v>
      </c>
      <c r="J53">
        <v>0</v>
      </c>
      <c r="K53">
        <v>5.2989999999999999E-3</v>
      </c>
    </row>
    <row r="54" spans="1:11" x14ac:dyDescent="0.15">
      <c r="A54">
        <v>53</v>
      </c>
      <c r="B54" s="186" t="s">
        <v>244</v>
      </c>
      <c r="C54">
        <v>0</v>
      </c>
      <c r="D54">
        <v>0</v>
      </c>
      <c r="E54">
        <v>0</v>
      </c>
      <c r="F54">
        <v>0</v>
      </c>
      <c r="G54">
        <v>0</v>
      </c>
      <c r="H54">
        <v>0</v>
      </c>
      <c r="I54">
        <v>0</v>
      </c>
      <c r="J54">
        <v>0</v>
      </c>
      <c r="K54">
        <v>0</v>
      </c>
    </row>
    <row r="55" spans="1:11" x14ac:dyDescent="0.15">
      <c r="A55">
        <v>54</v>
      </c>
      <c r="B55" s="186" t="s">
        <v>245</v>
      </c>
      <c r="C55">
        <v>0</v>
      </c>
      <c r="D55">
        <v>0</v>
      </c>
      <c r="E55">
        <v>0</v>
      </c>
      <c r="F55">
        <v>0</v>
      </c>
      <c r="G55">
        <v>5.8441300000000001E-6</v>
      </c>
      <c r="H55">
        <v>0</v>
      </c>
      <c r="I55">
        <v>1.9607799999999999E-7</v>
      </c>
      <c r="J55">
        <v>0</v>
      </c>
      <c r="K55">
        <v>6.0402080000000004E-6</v>
      </c>
    </row>
    <row r="56" spans="1:11" x14ac:dyDescent="0.15">
      <c r="A56">
        <v>55</v>
      </c>
      <c r="B56" s="186" t="s">
        <v>246</v>
      </c>
      <c r="C56">
        <v>0</v>
      </c>
      <c r="D56">
        <v>0</v>
      </c>
      <c r="E56">
        <v>0</v>
      </c>
      <c r="F56">
        <v>0</v>
      </c>
      <c r="G56">
        <v>0</v>
      </c>
      <c r="H56">
        <v>0</v>
      </c>
      <c r="I56">
        <v>0</v>
      </c>
      <c r="J56">
        <v>0</v>
      </c>
      <c r="K56">
        <v>0</v>
      </c>
    </row>
    <row r="57" spans="1:11" x14ac:dyDescent="0.15">
      <c r="A57">
        <v>56</v>
      </c>
      <c r="B57" s="186" t="s">
        <v>247</v>
      </c>
      <c r="C57">
        <v>7.0910000000000005E-4</v>
      </c>
      <c r="D57">
        <v>1.7522599999999999E-2</v>
      </c>
      <c r="E57">
        <v>0</v>
      </c>
      <c r="F57">
        <v>0</v>
      </c>
      <c r="G57">
        <v>0</v>
      </c>
      <c r="H57">
        <v>1.16564E-8</v>
      </c>
      <c r="I57">
        <v>0</v>
      </c>
      <c r="J57">
        <v>0</v>
      </c>
      <c r="K57">
        <v>1.8231711656400001E-2</v>
      </c>
    </row>
    <row r="58" spans="1:11" x14ac:dyDescent="0.15">
      <c r="A58">
        <v>57</v>
      </c>
      <c r="B58" s="186" t="s">
        <v>248</v>
      </c>
      <c r="C58">
        <v>2.854E-4</v>
      </c>
      <c r="D58">
        <v>0</v>
      </c>
      <c r="E58">
        <v>0</v>
      </c>
      <c r="F58">
        <v>0</v>
      </c>
      <c r="G58">
        <v>0</v>
      </c>
      <c r="H58">
        <v>1.6085900000000001E-6</v>
      </c>
      <c r="I58">
        <v>0</v>
      </c>
      <c r="J58">
        <v>0</v>
      </c>
      <c r="K58">
        <v>2.8700858999999997E-4</v>
      </c>
    </row>
    <row r="59" spans="1:11" x14ac:dyDescent="0.15">
      <c r="A59">
        <v>58</v>
      </c>
      <c r="B59" s="186" t="s">
        <v>249</v>
      </c>
      <c r="C59">
        <v>0</v>
      </c>
      <c r="D59">
        <v>0</v>
      </c>
      <c r="E59">
        <v>0</v>
      </c>
      <c r="F59">
        <v>0</v>
      </c>
      <c r="G59">
        <v>0</v>
      </c>
      <c r="H59">
        <v>0</v>
      </c>
      <c r="I59">
        <v>0</v>
      </c>
      <c r="J59">
        <v>0</v>
      </c>
      <c r="K59">
        <v>0</v>
      </c>
    </row>
    <row r="60" spans="1:11" x14ac:dyDescent="0.15">
      <c r="A60">
        <v>59</v>
      </c>
      <c r="B60" s="186" t="s">
        <v>250</v>
      </c>
      <c r="C60">
        <v>1.5E-6</v>
      </c>
      <c r="D60">
        <v>3.0165999999999999E-3</v>
      </c>
      <c r="E60">
        <v>0</v>
      </c>
      <c r="F60">
        <v>0</v>
      </c>
      <c r="G60">
        <v>0</v>
      </c>
      <c r="H60">
        <v>0</v>
      </c>
      <c r="I60">
        <v>0</v>
      </c>
      <c r="J60">
        <v>0</v>
      </c>
      <c r="K60">
        <v>3.0181000000000001E-3</v>
      </c>
    </row>
    <row r="61" spans="1:11" x14ac:dyDescent="0.15">
      <c r="A61">
        <v>60</v>
      </c>
      <c r="B61" s="186" t="s">
        <v>251</v>
      </c>
      <c r="C61">
        <v>2.9999999999999999E-7</v>
      </c>
      <c r="D61">
        <v>0</v>
      </c>
      <c r="E61">
        <v>0</v>
      </c>
      <c r="F61">
        <v>0</v>
      </c>
      <c r="G61">
        <v>0</v>
      </c>
      <c r="H61">
        <v>0</v>
      </c>
      <c r="I61">
        <v>0</v>
      </c>
      <c r="J61">
        <v>0</v>
      </c>
      <c r="K61">
        <v>2.9999999999999999E-7</v>
      </c>
    </row>
    <row r="62" spans="1:11" x14ac:dyDescent="0.15">
      <c r="A62">
        <v>61</v>
      </c>
      <c r="B62" s="186" t="s">
        <v>252</v>
      </c>
      <c r="C62">
        <v>5.2000000000000002E-6</v>
      </c>
      <c r="D62">
        <v>1.76E-4</v>
      </c>
      <c r="E62">
        <v>0</v>
      </c>
      <c r="F62">
        <v>0</v>
      </c>
      <c r="G62">
        <v>0</v>
      </c>
      <c r="H62">
        <v>0</v>
      </c>
      <c r="I62">
        <v>0</v>
      </c>
      <c r="J62">
        <v>0</v>
      </c>
      <c r="K62">
        <v>1.8119999999999999E-4</v>
      </c>
    </row>
    <row r="63" spans="1:11" x14ac:dyDescent="0.15">
      <c r="A63">
        <v>62</v>
      </c>
      <c r="B63" s="186" t="s">
        <v>253</v>
      </c>
      <c r="C63">
        <v>5.9999999999999997E-7</v>
      </c>
      <c r="D63">
        <v>2.94E-5</v>
      </c>
      <c r="E63">
        <v>0</v>
      </c>
      <c r="F63">
        <v>0</v>
      </c>
      <c r="G63">
        <v>0</v>
      </c>
      <c r="H63">
        <v>0</v>
      </c>
      <c r="I63">
        <v>0</v>
      </c>
      <c r="J63">
        <v>0</v>
      </c>
      <c r="K63">
        <v>3.0000000000000001E-5</v>
      </c>
    </row>
    <row r="64" spans="1:11" x14ac:dyDescent="0.15">
      <c r="A64">
        <v>63</v>
      </c>
      <c r="B64" s="186" t="s">
        <v>254</v>
      </c>
      <c r="C64">
        <v>1.26E-5</v>
      </c>
      <c r="D64">
        <v>2.7040000000000001E-4</v>
      </c>
      <c r="E64">
        <v>0</v>
      </c>
      <c r="F64">
        <v>0</v>
      </c>
      <c r="G64">
        <v>0</v>
      </c>
      <c r="H64">
        <v>0</v>
      </c>
      <c r="I64">
        <v>0</v>
      </c>
      <c r="J64">
        <v>0</v>
      </c>
      <c r="K64">
        <v>2.8299999999999999E-4</v>
      </c>
    </row>
    <row r="65" spans="1:11" x14ac:dyDescent="0.15">
      <c r="A65">
        <v>64</v>
      </c>
      <c r="B65" s="186" t="s">
        <v>255</v>
      </c>
      <c r="C65">
        <v>7.1699999999999995E-5</v>
      </c>
      <c r="D65">
        <v>1.05004E-2</v>
      </c>
      <c r="E65">
        <v>0</v>
      </c>
      <c r="F65">
        <v>0</v>
      </c>
      <c r="G65">
        <v>0</v>
      </c>
      <c r="H65">
        <v>0</v>
      </c>
      <c r="I65">
        <v>0</v>
      </c>
      <c r="J65">
        <v>0</v>
      </c>
      <c r="K65">
        <v>1.0572099999999999E-2</v>
      </c>
    </row>
    <row r="66" spans="1:11" x14ac:dyDescent="0.15">
      <c r="A66">
        <v>65</v>
      </c>
      <c r="B66" s="186" t="s">
        <v>256</v>
      </c>
      <c r="C66">
        <v>4.57E-5</v>
      </c>
      <c r="D66">
        <v>7.4080999999999999E-3</v>
      </c>
      <c r="E66">
        <v>0</v>
      </c>
      <c r="F66">
        <v>0</v>
      </c>
      <c r="G66">
        <v>0</v>
      </c>
      <c r="H66">
        <v>0</v>
      </c>
      <c r="I66">
        <v>0</v>
      </c>
      <c r="J66">
        <v>0</v>
      </c>
      <c r="K66">
        <v>7.4538E-3</v>
      </c>
    </row>
    <row r="67" spans="1:11" x14ac:dyDescent="0.15">
      <c r="A67">
        <v>66</v>
      </c>
      <c r="B67" s="186" t="s">
        <v>257</v>
      </c>
      <c r="C67">
        <v>0</v>
      </c>
      <c r="D67">
        <v>0</v>
      </c>
      <c r="E67">
        <v>0</v>
      </c>
      <c r="F67">
        <v>0</v>
      </c>
      <c r="G67">
        <v>0</v>
      </c>
      <c r="H67">
        <v>0</v>
      </c>
      <c r="I67">
        <v>0</v>
      </c>
      <c r="J67">
        <v>0</v>
      </c>
      <c r="K67">
        <v>0</v>
      </c>
    </row>
    <row r="68" spans="1:11" x14ac:dyDescent="0.15">
      <c r="A68">
        <v>67</v>
      </c>
      <c r="B68" s="186" t="s">
        <v>258</v>
      </c>
      <c r="C68">
        <v>7.3499999999999998E-5</v>
      </c>
      <c r="D68">
        <v>7.7153999999999999E-3</v>
      </c>
      <c r="E68">
        <v>0</v>
      </c>
      <c r="F68">
        <v>0</v>
      </c>
      <c r="G68">
        <v>0</v>
      </c>
      <c r="H68">
        <v>0</v>
      </c>
      <c r="I68">
        <v>0</v>
      </c>
      <c r="J68">
        <v>0</v>
      </c>
      <c r="K68">
        <v>7.7888999999999996E-3</v>
      </c>
    </row>
    <row r="69" spans="1:11" x14ac:dyDescent="0.15">
      <c r="A69">
        <v>68</v>
      </c>
      <c r="B69" s="186" t="s">
        <v>259</v>
      </c>
      <c r="C69">
        <v>0</v>
      </c>
      <c r="D69">
        <v>0</v>
      </c>
      <c r="E69">
        <v>0</v>
      </c>
      <c r="F69">
        <v>0</v>
      </c>
      <c r="G69">
        <v>0</v>
      </c>
      <c r="H69">
        <v>4.6625800000000003E-9</v>
      </c>
      <c r="I69">
        <v>0</v>
      </c>
      <c r="J69">
        <v>0</v>
      </c>
      <c r="K69">
        <v>4.6625800000000003E-9</v>
      </c>
    </row>
    <row r="70" spans="1:11" x14ac:dyDescent="0.15">
      <c r="A70">
        <v>69</v>
      </c>
      <c r="B70" s="186" t="s">
        <v>260</v>
      </c>
      <c r="C70">
        <v>0</v>
      </c>
      <c r="D70">
        <v>3.3000000000000002E-6</v>
      </c>
      <c r="E70">
        <v>0</v>
      </c>
      <c r="F70">
        <v>0</v>
      </c>
      <c r="G70">
        <v>0</v>
      </c>
      <c r="H70">
        <v>0</v>
      </c>
      <c r="I70">
        <v>0</v>
      </c>
      <c r="J70">
        <v>0</v>
      </c>
      <c r="K70">
        <v>3.3000000000000002E-6</v>
      </c>
    </row>
    <row r="71" spans="1:11" x14ac:dyDescent="0.15">
      <c r="A71">
        <v>70</v>
      </c>
      <c r="B71" s="186" t="s">
        <v>261</v>
      </c>
      <c r="C71">
        <v>0</v>
      </c>
      <c r="D71">
        <v>0</v>
      </c>
      <c r="E71">
        <v>0</v>
      </c>
      <c r="F71">
        <v>0</v>
      </c>
      <c r="G71">
        <v>0</v>
      </c>
      <c r="H71">
        <v>0</v>
      </c>
      <c r="I71">
        <v>0</v>
      </c>
      <c r="J71">
        <v>0</v>
      </c>
      <c r="K71">
        <v>0</v>
      </c>
    </row>
    <row r="72" spans="1:11" x14ac:dyDescent="0.15">
      <c r="A72">
        <v>71</v>
      </c>
      <c r="B72" s="186" t="s">
        <v>262</v>
      </c>
      <c r="C72">
        <v>9.9999999999999995E-8</v>
      </c>
      <c r="D72">
        <v>1.088E-4</v>
      </c>
      <c r="E72">
        <v>0</v>
      </c>
      <c r="F72">
        <v>0</v>
      </c>
      <c r="G72">
        <v>0</v>
      </c>
      <c r="H72">
        <v>0</v>
      </c>
      <c r="I72">
        <v>0</v>
      </c>
      <c r="J72">
        <v>0</v>
      </c>
      <c r="K72">
        <v>1.089E-4</v>
      </c>
    </row>
    <row r="73" spans="1:11" x14ac:dyDescent="0.15">
      <c r="A73">
        <v>72</v>
      </c>
      <c r="B73" s="186" t="s">
        <v>263</v>
      </c>
      <c r="C73">
        <v>0</v>
      </c>
      <c r="D73">
        <v>0</v>
      </c>
      <c r="E73">
        <v>0</v>
      </c>
      <c r="F73">
        <v>0</v>
      </c>
      <c r="G73">
        <v>0</v>
      </c>
      <c r="H73">
        <v>1.3987699999999999E-9</v>
      </c>
      <c r="I73">
        <v>0</v>
      </c>
      <c r="J73">
        <v>0</v>
      </c>
      <c r="K73">
        <v>1.3987699999999999E-9</v>
      </c>
    </row>
    <row r="74" spans="1:11" x14ac:dyDescent="0.15">
      <c r="A74">
        <v>73</v>
      </c>
      <c r="B74" s="186" t="s">
        <v>264</v>
      </c>
      <c r="C74">
        <v>0</v>
      </c>
      <c r="D74">
        <v>0</v>
      </c>
      <c r="E74">
        <v>0</v>
      </c>
      <c r="F74">
        <v>0</v>
      </c>
      <c r="G74">
        <v>0</v>
      </c>
      <c r="H74">
        <v>0</v>
      </c>
      <c r="I74">
        <v>0</v>
      </c>
      <c r="J74">
        <v>0</v>
      </c>
      <c r="K74">
        <v>0</v>
      </c>
    </row>
    <row r="75" spans="1:11" x14ac:dyDescent="0.15">
      <c r="A75">
        <v>74</v>
      </c>
      <c r="B75" s="186" t="s">
        <v>265</v>
      </c>
      <c r="C75">
        <v>0</v>
      </c>
      <c r="D75">
        <v>0</v>
      </c>
      <c r="E75">
        <v>0</v>
      </c>
      <c r="F75">
        <v>0</v>
      </c>
      <c r="G75">
        <v>0</v>
      </c>
      <c r="H75">
        <v>0</v>
      </c>
      <c r="I75">
        <v>0</v>
      </c>
      <c r="J75">
        <v>0</v>
      </c>
      <c r="K75">
        <v>0</v>
      </c>
    </row>
    <row r="76" spans="1:11" x14ac:dyDescent="0.15">
      <c r="A76">
        <v>75</v>
      </c>
      <c r="B76" s="186" t="s">
        <v>266</v>
      </c>
      <c r="C76">
        <v>0</v>
      </c>
      <c r="D76">
        <v>0</v>
      </c>
      <c r="E76">
        <v>0</v>
      </c>
      <c r="F76">
        <v>0</v>
      </c>
      <c r="G76">
        <v>0</v>
      </c>
      <c r="H76">
        <v>0</v>
      </c>
      <c r="I76">
        <v>0</v>
      </c>
      <c r="J76">
        <v>0</v>
      </c>
      <c r="K76">
        <v>0</v>
      </c>
    </row>
    <row r="77" spans="1:11" x14ac:dyDescent="0.15">
      <c r="A77">
        <v>76</v>
      </c>
      <c r="B77" s="186" t="s">
        <v>267</v>
      </c>
      <c r="C77">
        <v>0</v>
      </c>
      <c r="D77">
        <v>0</v>
      </c>
      <c r="E77">
        <v>0</v>
      </c>
      <c r="F77">
        <v>0</v>
      </c>
      <c r="G77">
        <v>0</v>
      </c>
      <c r="H77">
        <v>0</v>
      </c>
      <c r="I77">
        <v>0</v>
      </c>
      <c r="J77">
        <v>0</v>
      </c>
      <c r="K77">
        <v>0</v>
      </c>
    </row>
    <row r="78" spans="1:11" x14ac:dyDescent="0.15">
      <c r="A78">
        <v>77</v>
      </c>
      <c r="B78" s="186" t="s">
        <v>268</v>
      </c>
      <c r="C78">
        <v>2.7529999999999999E-5</v>
      </c>
      <c r="D78">
        <v>5.2899999999999998E-5</v>
      </c>
      <c r="E78">
        <v>0</v>
      </c>
      <c r="F78">
        <v>0</v>
      </c>
      <c r="G78">
        <v>0</v>
      </c>
      <c r="H78">
        <v>0</v>
      </c>
      <c r="I78">
        <v>0</v>
      </c>
      <c r="J78">
        <v>0</v>
      </c>
      <c r="K78">
        <v>8.0430000000000001E-5</v>
      </c>
    </row>
    <row r="79" spans="1:11" x14ac:dyDescent="0.15">
      <c r="A79">
        <v>78</v>
      </c>
      <c r="B79" s="186" t="s">
        <v>269</v>
      </c>
      <c r="C79">
        <v>3.8999999999999999E-6</v>
      </c>
      <c r="D79">
        <v>8.9249999999999996E-4</v>
      </c>
      <c r="E79">
        <v>0</v>
      </c>
      <c r="F79">
        <v>0</v>
      </c>
      <c r="G79">
        <v>0</v>
      </c>
      <c r="H79">
        <v>0</v>
      </c>
      <c r="I79">
        <v>0</v>
      </c>
      <c r="J79">
        <v>0</v>
      </c>
      <c r="K79">
        <v>8.964E-4</v>
      </c>
    </row>
    <row r="80" spans="1:11" x14ac:dyDescent="0.15">
      <c r="A80">
        <v>79</v>
      </c>
      <c r="B80" s="186" t="s">
        <v>270</v>
      </c>
      <c r="C80">
        <v>0</v>
      </c>
      <c r="D80">
        <v>0</v>
      </c>
      <c r="E80">
        <v>0</v>
      </c>
      <c r="F80">
        <v>0</v>
      </c>
      <c r="G80">
        <v>0</v>
      </c>
      <c r="H80">
        <v>0</v>
      </c>
      <c r="I80">
        <v>0</v>
      </c>
      <c r="J80">
        <v>0</v>
      </c>
      <c r="K80">
        <v>0</v>
      </c>
    </row>
    <row r="81" spans="1:11" x14ac:dyDescent="0.15">
      <c r="A81">
        <v>80</v>
      </c>
      <c r="B81" s="186" t="s">
        <v>271</v>
      </c>
      <c r="C81">
        <v>0</v>
      </c>
      <c r="D81">
        <v>0</v>
      </c>
      <c r="E81">
        <v>0</v>
      </c>
      <c r="F81">
        <v>0</v>
      </c>
      <c r="G81">
        <v>0</v>
      </c>
      <c r="H81">
        <v>0</v>
      </c>
      <c r="I81">
        <v>0</v>
      </c>
      <c r="J81">
        <v>0</v>
      </c>
      <c r="K81">
        <v>0</v>
      </c>
    </row>
    <row r="82" spans="1:11" x14ac:dyDescent="0.15">
      <c r="A82">
        <v>81</v>
      </c>
      <c r="B82" s="186" t="s">
        <v>272</v>
      </c>
      <c r="C82">
        <v>0</v>
      </c>
      <c r="D82">
        <v>0</v>
      </c>
      <c r="E82">
        <v>0</v>
      </c>
      <c r="F82">
        <v>0</v>
      </c>
      <c r="G82">
        <v>0</v>
      </c>
      <c r="H82">
        <v>0</v>
      </c>
      <c r="I82">
        <v>0</v>
      </c>
      <c r="J82">
        <v>0</v>
      </c>
      <c r="K82">
        <v>0</v>
      </c>
    </row>
    <row r="83" spans="1:11" x14ac:dyDescent="0.15">
      <c r="A83">
        <v>82</v>
      </c>
      <c r="B83" s="186" t="s">
        <v>273</v>
      </c>
      <c r="C83">
        <v>0</v>
      </c>
      <c r="D83">
        <v>0</v>
      </c>
      <c r="E83">
        <v>0</v>
      </c>
      <c r="F83">
        <v>0</v>
      </c>
      <c r="G83">
        <v>0</v>
      </c>
      <c r="H83">
        <v>0</v>
      </c>
      <c r="I83">
        <v>0</v>
      </c>
      <c r="J83">
        <v>0</v>
      </c>
      <c r="K83">
        <v>0</v>
      </c>
    </row>
    <row r="84" spans="1:11" x14ac:dyDescent="0.15">
      <c r="A84">
        <v>83</v>
      </c>
      <c r="B84" s="186" t="s">
        <v>274</v>
      </c>
      <c r="C84">
        <v>0</v>
      </c>
      <c r="D84">
        <v>0</v>
      </c>
      <c r="E84">
        <v>0</v>
      </c>
      <c r="F84">
        <v>0</v>
      </c>
      <c r="G84">
        <v>0</v>
      </c>
      <c r="H84">
        <v>0</v>
      </c>
      <c r="I84">
        <v>0</v>
      </c>
      <c r="J84">
        <v>0</v>
      </c>
      <c r="K84">
        <v>0</v>
      </c>
    </row>
    <row r="85" spans="1:11" x14ac:dyDescent="0.15">
      <c r="A85">
        <v>84</v>
      </c>
      <c r="B85" s="186" t="s">
        <v>275</v>
      </c>
      <c r="C85">
        <v>0</v>
      </c>
      <c r="D85">
        <v>0</v>
      </c>
      <c r="E85">
        <v>0</v>
      </c>
      <c r="F85">
        <v>0</v>
      </c>
      <c r="G85">
        <v>0</v>
      </c>
      <c r="H85">
        <v>0</v>
      </c>
      <c r="I85">
        <v>0</v>
      </c>
      <c r="J85">
        <v>0</v>
      </c>
      <c r="K85">
        <v>0</v>
      </c>
    </row>
    <row r="86" spans="1:11" x14ac:dyDescent="0.15">
      <c r="A86">
        <v>85</v>
      </c>
      <c r="B86" s="186" t="s">
        <v>276</v>
      </c>
      <c r="C86">
        <v>0</v>
      </c>
      <c r="D86">
        <v>0</v>
      </c>
      <c r="E86">
        <v>0</v>
      </c>
      <c r="F86">
        <v>0</v>
      </c>
      <c r="G86">
        <v>0</v>
      </c>
      <c r="H86">
        <v>0</v>
      </c>
      <c r="I86">
        <v>0</v>
      </c>
      <c r="J86">
        <v>0</v>
      </c>
      <c r="K86">
        <v>0</v>
      </c>
    </row>
    <row r="87" spans="1:11" x14ac:dyDescent="0.15">
      <c r="A87">
        <v>86</v>
      </c>
      <c r="B87" s="186" t="s">
        <v>277</v>
      </c>
      <c r="C87">
        <v>0</v>
      </c>
      <c r="D87">
        <v>0</v>
      </c>
      <c r="E87">
        <v>0</v>
      </c>
      <c r="F87">
        <v>0</v>
      </c>
      <c r="G87">
        <v>0</v>
      </c>
      <c r="H87">
        <v>0</v>
      </c>
      <c r="I87">
        <v>0</v>
      </c>
      <c r="J87">
        <v>0</v>
      </c>
      <c r="K87">
        <v>0</v>
      </c>
    </row>
    <row r="88" spans="1:11" x14ac:dyDescent="0.15">
      <c r="A88">
        <v>87</v>
      </c>
      <c r="B88" s="186" t="s">
        <v>278</v>
      </c>
      <c r="C88">
        <v>0</v>
      </c>
      <c r="D88">
        <v>0</v>
      </c>
      <c r="E88">
        <v>0</v>
      </c>
      <c r="F88">
        <v>0</v>
      </c>
      <c r="G88">
        <v>0</v>
      </c>
      <c r="H88">
        <v>0</v>
      </c>
      <c r="I88">
        <v>0</v>
      </c>
      <c r="J88">
        <v>0</v>
      </c>
      <c r="K88">
        <v>0</v>
      </c>
    </row>
    <row r="89" spans="1:11" x14ac:dyDescent="0.15">
      <c r="A89">
        <v>88</v>
      </c>
      <c r="B89" s="186" t="s">
        <v>279</v>
      </c>
      <c r="C89">
        <v>0</v>
      </c>
      <c r="D89">
        <v>0</v>
      </c>
      <c r="E89">
        <v>0</v>
      </c>
      <c r="F89">
        <v>0</v>
      </c>
      <c r="G89">
        <v>0</v>
      </c>
      <c r="H89">
        <v>0</v>
      </c>
      <c r="I89">
        <v>0</v>
      </c>
      <c r="J89">
        <v>0</v>
      </c>
      <c r="K89">
        <v>0</v>
      </c>
    </row>
    <row r="90" spans="1:11" x14ac:dyDescent="0.15">
      <c r="A90">
        <v>89</v>
      </c>
      <c r="B90" s="186" t="s">
        <v>280</v>
      </c>
      <c r="C90">
        <v>0</v>
      </c>
      <c r="D90">
        <v>0</v>
      </c>
      <c r="E90">
        <v>0</v>
      </c>
      <c r="F90">
        <v>0</v>
      </c>
      <c r="G90">
        <v>0</v>
      </c>
      <c r="H90">
        <v>0</v>
      </c>
      <c r="I90">
        <v>0</v>
      </c>
      <c r="J90">
        <v>0</v>
      </c>
      <c r="K90">
        <v>0</v>
      </c>
    </row>
    <row r="91" spans="1:11" x14ac:dyDescent="0.15">
      <c r="A91">
        <v>90</v>
      </c>
      <c r="B91" s="186" t="s">
        <v>281</v>
      </c>
      <c r="C91">
        <v>0</v>
      </c>
      <c r="D91">
        <v>0</v>
      </c>
      <c r="E91">
        <v>0</v>
      </c>
      <c r="F91">
        <v>0</v>
      </c>
      <c r="G91">
        <v>0</v>
      </c>
      <c r="H91">
        <v>0</v>
      </c>
      <c r="I91">
        <v>0</v>
      </c>
      <c r="J91">
        <v>0</v>
      </c>
      <c r="K91">
        <v>0</v>
      </c>
    </row>
    <row r="92" spans="1:11" x14ac:dyDescent="0.15">
      <c r="A92">
        <v>91</v>
      </c>
      <c r="B92" s="186" t="s">
        <v>282</v>
      </c>
      <c r="C92">
        <v>0</v>
      </c>
      <c r="D92">
        <v>0</v>
      </c>
      <c r="E92">
        <v>0</v>
      </c>
      <c r="F92">
        <v>0</v>
      </c>
      <c r="G92">
        <v>0</v>
      </c>
      <c r="H92">
        <v>0</v>
      </c>
      <c r="I92">
        <v>0</v>
      </c>
      <c r="J92">
        <v>0</v>
      </c>
      <c r="K92">
        <v>0</v>
      </c>
    </row>
    <row r="93" spans="1:11" x14ac:dyDescent="0.15">
      <c r="A93">
        <v>92</v>
      </c>
      <c r="B93" s="186" t="s">
        <v>283</v>
      </c>
      <c r="C93">
        <v>0</v>
      </c>
      <c r="D93">
        <v>0</v>
      </c>
      <c r="E93">
        <v>0</v>
      </c>
      <c r="F93">
        <v>0</v>
      </c>
      <c r="G93">
        <v>0</v>
      </c>
      <c r="H93">
        <v>0</v>
      </c>
      <c r="I93">
        <v>0</v>
      </c>
      <c r="J93">
        <v>0</v>
      </c>
      <c r="K93">
        <v>0</v>
      </c>
    </row>
    <row r="94" spans="1:11" x14ac:dyDescent="0.15">
      <c r="A94">
        <v>93</v>
      </c>
      <c r="B94" s="186" t="s">
        <v>284</v>
      </c>
      <c r="C94">
        <v>0</v>
      </c>
      <c r="D94">
        <v>0</v>
      </c>
      <c r="E94">
        <v>0</v>
      </c>
      <c r="F94">
        <v>0</v>
      </c>
      <c r="G94">
        <v>0</v>
      </c>
      <c r="H94">
        <v>0</v>
      </c>
      <c r="I94">
        <v>0</v>
      </c>
      <c r="J94">
        <v>0</v>
      </c>
      <c r="K94">
        <v>0</v>
      </c>
    </row>
    <row r="95" spans="1:11" x14ac:dyDescent="0.15">
      <c r="A95">
        <v>94</v>
      </c>
      <c r="B95" s="186" t="s">
        <v>285</v>
      </c>
      <c r="C95">
        <v>0</v>
      </c>
      <c r="D95">
        <v>0</v>
      </c>
      <c r="E95">
        <v>0</v>
      </c>
      <c r="F95">
        <v>0</v>
      </c>
      <c r="G95">
        <v>0</v>
      </c>
      <c r="H95">
        <v>0</v>
      </c>
      <c r="I95">
        <v>0</v>
      </c>
      <c r="J95">
        <v>0</v>
      </c>
      <c r="K95">
        <v>0</v>
      </c>
    </row>
    <row r="96" spans="1:11" x14ac:dyDescent="0.15">
      <c r="A96">
        <v>95</v>
      </c>
      <c r="B96" s="186" t="s">
        <v>286</v>
      </c>
      <c r="C96">
        <v>0</v>
      </c>
      <c r="D96">
        <v>0</v>
      </c>
      <c r="E96">
        <v>0</v>
      </c>
      <c r="F96">
        <v>0</v>
      </c>
      <c r="G96">
        <v>0</v>
      </c>
      <c r="H96">
        <v>0</v>
      </c>
      <c r="I96">
        <v>0</v>
      </c>
      <c r="J96">
        <v>0</v>
      </c>
      <c r="K96">
        <v>0</v>
      </c>
    </row>
    <row r="97" spans="1:11" x14ac:dyDescent="0.15">
      <c r="A97">
        <v>96</v>
      </c>
      <c r="B97" s="186" t="s">
        <v>287</v>
      </c>
      <c r="C97">
        <v>0</v>
      </c>
      <c r="D97">
        <v>0</v>
      </c>
      <c r="E97">
        <v>0</v>
      </c>
      <c r="F97">
        <v>0</v>
      </c>
      <c r="G97">
        <v>0</v>
      </c>
      <c r="H97">
        <v>0</v>
      </c>
      <c r="I97">
        <v>0</v>
      </c>
      <c r="J97">
        <v>0</v>
      </c>
      <c r="K97">
        <v>0</v>
      </c>
    </row>
    <row r="98" spans="1:11" x14ac:dyDescent="0.15">
      <c r="A98">
        <v>97</v>
      </c>
      <c r="B98" s="186" t="s">
        <v>288</v>
      </c>
      <c r="C98">
        <v>0</v>
      </c>
      <c r="D98">
        <v>0</v>
      </c>
      <c r="E98">
        <v>0</v>
      </c>
      <c r="F98">
        <v>0</v>
      </c>
      <c r="G98">
        <v>0</v>
      </c>
      <c r="H98">
        <v>0</v>
      </c>
      <c r="I98">
        <v>0</v>
      </c>
      <c r="J98">
        <v>0</v>
      </c>
      <c r="K98">
        <v>0</v>
      </c>
    </row>
    <row r="99" spans="1:11" x14ac:dyDescent="0.15">
      <c r="A99">
        <v>98</v>
      </c>
      <c r="B99" s="186" t="s">
        <v>289</v>
      </c>
      <c r="C99">
        <v>0</v>
      </c>
      <c r="D99">
        <v>0</v>
      </c>
      <c r="E99">
        <v>0</v>
      </c>
      <c r="F99">
        <v>0</v>
      </c>
      <c r="G99">
        <v>0</v>
      </c>
      <c r="H99">
        <v>0</v>
      </c>
      <c r="I99">
        <v>0</v>
      </c>
      <c r="J99">
        <v>0</v>
      </c>
      <c r="K99">
        <v>0</v>
      </c>
    </row>
    <row r="100" spans="1:11" x14ac:dyDescent="0.15">
      <c r="A100">
        <v>99</v>
      </c>
      <c r="B100" s="186" t="s">
        <v>290</v>
      </c>
      <c r="C100">
        <v>0</v>
      </c>
      <c r="D100">
        <v>0</v>
      </c>
      <c r="E100">
        <v>0</v>
      </c>
      <c r="F100">
        <v>0</v>
      </c>
      <c r="G100">
        <v>0</v>
      </c>
      <c r="H100">
        <v>0</v>
      </c>
      <c r="I100">
        <v>0</v>
      </c>
      <c r="J100">
        <v>0</v>
      </c>
      <c r="K100">
        <v>0</v>
      </c>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51"/>
  </sheetPr>
  <dimension ref="A1:AP185"/>
  <sheetViews>
    <sheetView workbookViewId="0">
      <selection activeCell="D2" sqref="D2"/>
    </sheetView>
  </sheetViews>
  <sheetFormatPr baseColWidth="10" defaultRowHeight="13" x14ac:dyDescent="0.15"/>
  <cols>
    <col min="1" max="1" width="17.33203125" bestFit="1" customWidth="1"/>
    <col min="4" max="4" width="3.33203125" customWidth="1"/>
    <col min="5" max="5" width="44.33203125" bestFit="1" customWidth="1"/>
    <col min="6" max="6" width="4.83203125" bestFit="1" customWidth="1"/>
    <col min="7" max="9" width="3.83203125" bestFit="1" customWidth="1"/>
    <col min="10" max="11" width="4.83203125" style="114" bestFit="1" customWidth="1"/>
    <col min="12" max="12" width="12.33203125" bestFit="1" customWidth="1"/>
    <col min="13" max="13" width="13.5" bestFit="1" customWidth="1"/>
    <col min="14" max="14" width="13.83203125" bestFit="1" customWidth="1"/>
    <col min="15" max="15" width="13.6640625" bestFit="1" customWidth="1"/>
    <col min="16" max="16" width="13.5" bestFit="1" customWidth="1"/>
    <col min="17" max="17" width="12.83203125" bestFit="1" customWidth="1"/>
    <col min="18" max="18" width="14" bestFit="1" customWidth="1"/>
    <col min="19" max="20" width="14.1640625" bestFit="1" customWidth="1"/>
    <col min="21" max="21" width="14" bestFit="1" customWidth="1"/>
    <col min="22" max="22" width="8.6640625" bestFit="1" customWidth="1"/>
    <col min="23" max="23" width="8.83203125" bestFit="1" customWidth="1"/>
    <col min="24" max="24" width="14" bestFit="1" customWidth="1"/>
    <col min="25" max="25" width="21.33203125" style="6" bestFit="1" customWidth="1"/>
    <col min="26" max="26" width="13.6640625" bestFit="1" customWidth="1"/>
    <col min="27" max="27" width="13.83203125" bestFit="1" customWidth="1"/>
    <col min="28" max="28" width="19" bestFit="1" customWidth="1"/>
    <col min="29" max="29" width="26.33203125" style="6" bestFit="1" customWidth="1"/>
    <col min="30" max="30" width="14.1640625" bestFit="1" customWidth="1"/>
    <col min="31" max="31" width="14.33203125" bestFit="1" customWidth="1"/>
    <col min="32" max="32" width="19.5" bestFit="1" customWidth="1"/>
    <col min="33" max="33" width="26.83203125" style="6" bestFit="1" customWidth="1"/>
    <col min="34" max="34" width="24" bestFit="1" customWidth="1"/>
    <col min="35" max="35" width="30" bestFit="1" customWidth="1"/>
    <col min="36" max="36" width="19.1640625" bestFit="1" customWidth="1"/>
    <col min="37" max="37" width="25.5" bestFit="1" customWidth="1"/>
    <col min="38" max="38" width="31.5" bestFit="1" customWidth="1"/>
    <col min="39" max="39" width="20.6640625" bestFit="1" customWidth="1"/>
    <col min="40" max="40" width="25" bestFit="1" customWidth="1"/>
    <col min="41" max="41" width="31" bestFit="1" customWidth="1"/>
    <col min="42" max="42" width="20.1640625" bestFit="1" customWidth="1"/>
  </cols>
  <sheetData>
    <row r="1" spans="1:42" s="116" customFormat="1" ht="14" thickBot="1" x14ac:dyDescent="0.2">
      <c r="D1" s="117" t="s">
        <v>8</v>
      </c>
      <c r="E1" s="117" t="s">
        <v>0</v>
      </c>
      <c r="F1" s="118" t="s">
        <v>99</v>
      </c>
      <c r="G1" s="119" t="s">
        <v>84</v>
      </c>
      <c r="H1" s="119" t="s">
        <v>85</v>
      </c>
      <c r="I1" s="119" t="s">
        <v>86</v>
      </c>
      <c r="J1" s="119" t="s">
        <v>87</v>
      </c>
      <c r="K1" s="119" t="s">
        <v>88</v>
      </c>
      <c r="L1" s="120" t="s">
        <v>89</v>
      </c>
      <c r="M1" s="120" t="s">
        <v>93</v>
      </c>
      <c r="N1" s="120" t="s">
        <v>92</v>
      </c>
      <c r="O1" s="120" t="s">
        <v>90</v>
      </c>
      <c r="P1" s="120" t="s">
        <v>91</v>
      </c>
      <c r="Q1" s="121" t="s">
        <v>94</v>
      </c>
      <c r="R1" s="121" t="s">
        <v>95</v>
      </c>
      <c r="S1" s="121" t="s">
        <v>96</v>
      </c>
      <c r="T1" s="121" t="s">
        <v>97</v>
      </c>
      <c r="U1" s="121" t="s">
        <v>98</v>
      </c>
      <c r="V1" s="119" t="s">
        <v>100</v>
      </c>
      <c r="W1" s="119" t="s">
        <v>101</v>
      </c>
      <c r="X1" s="119" t="s">
        <v>102</v>
      </c>
      <c r="Y1" s="119" t="s">
        <v>134</v>
      </c>
      <c r="Z1" s="120" t="s">
        <v>103</v>
      </c>
      <c r="AA1" s="120" t="s">
        <v>104</v>
      </c>
      <c r="AB1" s="120" t="s">
        <v>105</v>
      </c>
      <c r="AC1" s="122" t="s">
        <v>135</v>
      </c>
      <c r="AD1" s="121" t="s">
        <v>106</v>
      </c>
      <c r="AE1" s="121" t="s">
        <v>107</v>
      </c>
      <c r="AF1" s="121" t="s">
        <v>108</v>
      </c>
      <c r="AG1" s="121" t="s">
        <v>136</v>
      </c>
      <c r="AH1" s="119" t="s">
        <v>109</v>
      </c>
      <c r="AI1" s="119" t="s">
        <v>111</v>
      </c>
      <c r="AJ1" s="119" t="s">
        <v>110</v>
      </c>
      <c r="AK1" s="120" t="s">
        <v>115</v>
      </c>
      <c r="AL1" s="120" t="s">
        <v>116</v>
      </c>
      <c r="AM1" s="120" t="s">
        <v>117</v>
      </c>
      <c r="AN1" s="121" t="s">
        <v>112</v>
      </c>
      <c r="AO1" s="121" t="s">
        <v>113</v>
      </c>
      <c r="AP1" s="121" t="s">
        <v>114</v>
      </c>
    </row>
    <row r="2" spans="1:42" x14ac:dyDescent="0.15">
      <c r="A2" s="123" t="s">
        <v>74</v>
      </c>
      <c r="B2" s="124">
        <v>1</v>
      </c>
      <c r="D2">
        <v>1</v>
      </c>
      <c r="E2" s="188" t="s">
        <v>192</v>
      </c>
      <c r="F2">
        <v>0.98</v>
      </c>
      <c r="G2">
        <v>0.8</v>
      </c>
      <c r="H2">
        <v>0.8</v>
      </c>
      <c r="I2">
        <v>0.8</v>
      </c>
      <c r="J2" s="114">
        <v>0.25</v>
      </c>
      <c r="K2" s="114">
        <v>0.05</v>
      </c>
    </row>
    <row r="3" spans="1:42" x14ac:dyDescent="0.15">
      <c r="A3" s="123" t="s">
        <v>75</v>
      </c>
      <c r="B3" s="125">
        <v>1</v>
      </c>
      <c r="D3">
        <v>2</v>
      </c>
      <c r="E3" s="188" t="s">
        <v>193</v>
      </c>
      <c r="F3">
        <v>0.98</v>
      </c>
      <c r="G3">
        <v>0.8</v>
      </c>
      <c r="H3">
        <v>0.8</v>
      </c>
      <c r="I3">
        <v>0.8</v>
      </c>
      <c r="J3" s="114">
        <v>0.25</v>
      </c>
      <c r="K3" s="114">
        <v>0.05</v>
      </c>
    </row>
    <row r="4" spans="1:42" x14ac:dyDescent="0.15">
      <c r="A4" s="123" t="s">
        <v>76</v>
      </c>
      <c r="B4" s="125">
        <v>1</v>
      </c>
      <c r="D4">
        <v>3</v>
      </c>
      <c r="E4" s="188" t="s">
        <v>194</v>
      </c>
      <c r="F4">
        <v>0.98</v>
      </c>
      <c r="G4">
        <v>0.8</v>
      </c>
      <c r="H4">
        <v>0.8</v>
      </c>
      <c r="I4">
        <v>0.8</v>
      </c>
      <c r="J4" s="114">
        <v>0.25</v>
      </c>
      <c r="K4" s="114">
        <v>0.05</v>
      </c>
    </row>
    <row r="5" spans="1:42" x14ac:dyDescent="0.15">
      <c r="A5" s="123" t="s">
        <v>77</v>
      </c>
      <c r="B5" s="125">
        <v>1</v>
      </c>
      <c r="D5">
        <v>4</v>
      </c>
      <c r="E5" s="188" t="s">
        <v>195</v>
      </c>
      <c r="F5">
        <v>0.98</v>
      </c>
      <c r="G5">
        <v>0.8</v>
      </c>
      <c r="H5">
        <v>0.8</v>
      </c>
      <c r="I5">
        <v>0.8</v>
      </c>
      <c r="J5" s="114">
        <v>0.25</v>
      </c>
      <c r="K5" s="114">
        <v>0.05</v>
      </c>
    </row>
    <row r="6" spans="1:42" x14ac:dyDescent="0.15">
      <c r="A6" s="123" t="s">
        <v>78</v>
      </c>
      <c r="B6" s="125">
        <v>1</v>
      </c>
      <c r="D6">
        <v>5</v>
      </c>
      <c r="E6" s="188" t="s">
        <v>196</v>
      </c>
      <c r="F6">
        <v>0.98</v>
      </c>
      <c r="G6">
        <v>0.8</v>
      </c>
      <c r="H6">
        <v>0.8</v>
      </c>
      <c r="I6">
        <v>0.8</v>
      </c>
      <c r="J6" s="114">
        <v>0.25</v>
      </c>
      <c r="K6" s="114">
        <v>0.05</v>
      </c>
    </row>
    <row r="7" spans="1:42" x14ac:dyDescent="0.15">
      <c r="A7" s="123" t="s">
        <v>79</v>
      </c>
      <c r="B7" s="125">
        <v>1</v>
      </c>
      <c r="D7">
        <v>6</v>
      </c>
      <c r="E7" s="188" t="s">
        <v>197</v>
      </c>
      <c r="F7">
        <v>0.98</v>
      </c>
      <c r="G7">
        <v>0.8</v>
      </c>
      <c r="H7">
        <v>0.8</v>
      </c>
      <c r="I7">
        <v>0.8</v>
      </c>
      <c r="J7" s="114">
        <v>0.25</v>
      </c>
      <c r="K7" s="114">
        <v>0.05</v>
      </c>
    </row>
    <row r="8" spans="1:42" x14ac:dyDescent="0.15">
      <c r="A8" s="123" t="s">
        <v>80</v>
      </c>
      <c r="B8" s="125">
        <v>1</v>
      </c>
      <c r="D8">
        <v>7</v>
      </c>
      <c r="E8" s="188" t="s">
        <v>198</v>
      </c>
      <c r="F8">
        <v>0.98</v>
      </c>
      <c r="G8">
        <v>0.8</v>
      </c>
      <c r="H8">
        <v>0.8</v>
      </c>
      <c r="I8">
        <v>0.8</v>
      </c>
      <c r="J8" s="114">
        <v>0.25</v>
      </c>
      <c r="K8" s="114">
        <v>0.05</v>
      </c>
    </row>
    <row r="9" spans="1:42" x14ac:dyDescent="0.15">
      <c r="A9" s="123" t="s">
        <v>81</v>
      </c>
      <c r="B9" s="125">
        <v>0.1</v>
      </c>
      <c r="C9" s="61" t="s">
        <v>150</v>
      </c>
      <c r="D9">
        <v>8</v>
      </c>
      <c r="E9" s="188" t="s">
        <v>199</v>
      </c>
      <c r="F9">
        <v>0.98</v>
      </c>
      <c r="G9">
        <v>0.8</v>
      </c>
      <c r="H9">
        <v>0.8</v>
      </c>
      <c r="I9">
        <v>0.8</v>
      </c>
      <c r="J9" s="114">
        <v>0.25</v>
      </c>
      <c r="K9" s="114">
        <v>0.05</v>
      </c>
    </row>
    <row r="10" spans="1:42" ht="14" thickBot="1" x14ac:dyDescent="0.2">
      <c r="A10" s="123" t="s">
        <v>149</v>
      </c>
      <c r="B10" s="126">
        <f>1/3</f>
        <v>0.33333333333333331</v>
      </c>
      <c r="C10" s="61" t="s">
        <v>150</v>
      </c>
      <c r="D10">
        <v>9</v>
      </c>
      <c r="E10" s="188" t="s">
        <v>200</v>
      </c>
      <c r="F10">
        <v>0.98</v>
      </c>
      <c r="G10">
        <v>0.8</v>
      </c>
      <c r="H10">
        <v>0.8</v>
      </c>
      <c r="I10">
        <v>0.8</v>
      </c>
      <c r="J10" s="114">
        <v>0.25</v>
      </c>
      <c r="K10" s="114">
        <v>0.05</v>
      </c>
    </row>
    <row r="11" spans="1:42" x14ac:dyDescent="0.15">
      <c r="D11">
        <v>10</v>
      </c>
      <c r="E11" s="188" t="s">
        <v>201</v>
      </c>
      <c r="F11">
        <v>0.98</v>
      </c>
      <c r="G11">
        <v>0.8</v>
      </c>
      <c r="H11">
        <v>0.8</v>
      </c>
      <c r="I11">
        <v>0.8</v>
      </c>
      <c r="J11" s="114">
        <v>0.25</v>
      </c>
      <c r="K11" s="114">
        <v>0.05</v>
      </c>
    </row>
    <row r="12" spans="1:42" x14ac:dyDescent="0.15">
      <c r="D12">
        <v>11</v>
      </c>
      <c r="E12" s="188" t="s">
        <v>202</v>
      </c>
      <c r="F12">
        <v>0.98</v>
      </c>
      <c r="G12">
        <v>0.8</v>
      </c>
      <c r="H12">
        <v>0.8</v>
      </c>
      <c r="I12">
        <v>0.8</v>
      </c>
      <c r="J12" s="114">
        <v>0.25</v>
      </c>
      <c r="K12" s="114">
        <v>0.05</v>
      </c>
    </row>
    <row r="13" spans="1:42" x14ac:dyDescent="0.15">
      <c r="D13">
        <v>12</v>
      </c>
      <c r="E13" s="188" t="s">
        <v>203</v>
      </c>
      <c r="F13">
        <v>0.98</v>
      </c>
      <c r="G13">
        <v>0.8</v>
      </c>
      <c r="H13">
        <v>0.8</v>
      </c>
      <c r="I13">
        <v>0.8</v>
      </c>
      <c r="J13" s="114">
        <v>0.25</v>
      </c>
      <c r="K13" s="114">
        <v>0.05</v>
      </c>
    </row>
    <row r="14" spans="1:42" x14ac:dyDescent="0.15">
      <c r="D14">
        <v>13</v>
      </c>
      <c r="E14" s="188" t="s">
        <v>204</v>
      </c>
      <c r="F14">
        <v>0.98</v>
      </c>
      <c r="G14">
        <v>0.8</v>
      </c>
      <c r="H14">
        <v>0.8</v>
      </c>
      <c r="I14">
        <v>0.8</v>
      </c>
      <c r="J14" s="114">
        <v>0.25</v>
      </c>
      <c r="K14" s="114">
        <v>0.05</v>
      </c>
    </row>
    <row r="15" spans="1:42" x14ac:dyDescent="0.15">
      <c r="D15">
        <v>14</v>
      </c>
      <c r="E15" s="188" t="s">
        <v>205</v>
      </c>
      <c r="F15">
        <v>0.98</v>
      </c>
      <c r="G15">
        <v>0.8</v>
      </c>
      <c r="H15">
        <v>0.8</v>
      </c>
      <c r="I15">
        <v>0.8</v>
      </c>
      <c r="J15" s="114">
        <v>0.25</v>
      </c>
      <c r="K15" s="114">
        <v>0.05</v>
      </c>
    </row>
    <row r="16" spans="1:42" x14ac:dyDescent="0.15">
      <c r="D16">
        <v>15</v>
      </c>
      <c r="E16" s="188" t="s">
        <v>206</v>
      </c>
      <c r="F16">
        <v>0.98</v>
      </c>
      <c r="G16">
        <v>0.8</v>
      </c>
      <c r="H16">
        <v>0.8</v>
      </c>
      <c r="I16">
        <v>0.8</v>
      </c>
      <c r="J16" s="114">
        <v>0.25</v>
      </c>
      <c r="K16" s="114">
        <v>0.05</v>
      </c>
    </row>
    <row r="17" spans="4:33" ht="15" customHeight="1" x14ac:dyDescent="0.15">
      <c r="D17">
        <v>16</v>
      </c>
      <c r="E17" s="188" t="s">
        <v>207</v>
      </c>
      <c r="F17">
        <v>0.98</v>
      </c>
      <c r="G17">
        <v>0.8</v>
      </c>
      <c r="H17">
        <v>0.8</v>
      </c>
      <c r="I17">
        <v>0.8</v>
      </c>
      <c r="J17" s="114">
        <v>0.25</v>
      </c>
      <c r="K17" s="114">
        <v>0.05</v>
      </c>
    </row>
    <row r="18" spans="4:33" ht="15" customHeight="1" x14ac:dyDescent="0.15">
      <c r="D18">
        <v>17</v>
      </c>
      <c r="E18" s="188" t="s">
        <v>208</v>
      </c>
      <c r="F18">
        <v>0.98</v>
      </c>
      <c r="G18">
        <v>0.8</v>
      </c>
      <c r="H18">
        <v>0.8</v>
      </c>
      <c r="I18">
        <v>0.8</v>
      </c>
      <c r="J18" s="114">
        <v>0.25</v>
      </c>
      <c r="K18" s="114">
        <v>0.05</v>
      </c>
    </row>
    <row r="19" spans="4:33" ht="15" customHeight="1" x14ac:dyDescent="0.15">
      <c r="D19">
        <v>18</v>
      </c>
      <c r="E19" s="188" t="s">
        <v>209</v>
      </c>
      <c r="F19">
        <v>0.98</v>
      </c>
      <c r="G19">
        <v>0.8</v>
      </c>
      <c r="H19">
        <v>0.8</v>
      </c>
      <c r="I19">
        <v>0.8</v>
      </c>
      <c r="J19" s="114">
        <v>0.25</v>
      </c>
      <c r="K19" s="114">
        <v>0.05</v>
      </c>
    </row>
    <row r="20" spans="4:33" ht="15" customHeight="1" x14ac:dyDescent="0.15">
      <c r="D20">
        <v>19</v>
      </c>
      <c r="E20" s="188" t="s">
        <v>210</v>
      </c>
      <c r="F20">
        <v>0.98</v>
      </c>
      <c r="G20">
        <v>0.8</v>
      </c>
      <c r="H20">
        <v>0.8</v>
      </c>
      <c r="I20">
        <v>0.8</v>
      </c>
      <c r="J20" s="114">
        <v>0.25</v>
      </c>
      <c r="K20" s="114">
        <v>0.05</v>
      </c>
    </row>
    <row r="21" spans="4:33" ht="15" customHeight="1" x14ac:dyDescent="0.15">
      <c r="D21">
        <v>20</v>
      </c>
      <c r="E21" s="188" t="s">
        <v>211</v>
      </c>
      <c r="F21">
        <v>0.98</v>
      </c>
      <c r="G21">
        <v>0.8</v>
      </c>
      <c r="H21">
        <v>0.8</v>
      </c>
      <c r="I21">
        <v>0.8</v>
      </c>
      <c r="J21" s="114">
        <v>0.25</v>
      </c>
      <c r="K21" s="114">
        <v>0.05</v>
      </c>
    </row>
    <row r="22" spans="4:33" ht="15" customHeight="1" x14ac:dyDescent="0.15">
      <c r="D22">
        <v>21</v>
      </c>
      <c r="E22" s="188" t="s">
        <v>212</v>
      </c>
      <c r="F22">
        <v>0.98</v>
      </c>
      <c r="G22">
        <v>0.8</v>
      </c>
      <c r="H22">
        <v>0.8</v>
      </c>
      <c r="I22">
        <v>0.8</v>
      </c>
      <c r="J22" s="114">
        <v>0.25</v>
      </c>
      <c r="K22" s="114">
        <v>0.05</v>
      </c>
    </row>
    <row r="23" spans="4:33" ht="15" customHeight="1" x14ac:dyDescent="0.15">
      <c r="D23">
        <v>22</v>
      </c>
      <c r="E23" s="188" t="s">
        <v>213</v>
      </c>
      <c r="F23">
        <v>0.98</v>
      </c>
      <c r="G23">
        <v>0.8</v>
      </c>
      <c r="H23">
        <v>0.8</v>
      </c>
      <c r="I23">
        <v>0.8</v>
      </c>
      <c r="J23" s="114">
        <v>0.25</v>
      </c>
      <c r="K23" s="114">
        <v>0.05</v>
      </c>
    </row>
    <row r="24" spans="4:33" ht="15" customHeight="1" x14ac:dyDescent="0.15">
      <c r="D24">
        <v>23</v>
      </c>
      <c r="E24" s="188" t="s">
        <v>214</v>
      </c>
      <c r="F24">
        <v>0.98</v>
      </c>
      <c r="G24">
        <v>0.8</v>
      </c>
      <c r="H24">
        <v>0.8</v>
      </c>
      <c r="I24">
        <v>0.8</v>
      </c>
      <c r="J24" s="114">
        <v>0.25</v>
      </c>
      <c r="K24" s="114">
        <v>0.05</v>
      </c>
    </row>
    <row r="25" spans="4:33" ht="15" customHeight="1" x14ac:dyDescent="0.15">
      <c r="D25">
        <v>24</v>
      </c>
      <c r="E25" s="188" t="s">
        <v>215</v>
      </c>
      <c r="F25">
        <v>0.98</v>
      </c>
      <c r="G25">
        <v>0.8</v>
      </c>
      <c r="H25">
        <v>0.8</v>
      </c>
      <c r="I25">
        <v>0.8</v>
      </c>
      <c r="J25" s="114">
        <v>0.25</v>
      </c>
      <c r="K25" s="114">
        <v>0.05</v>
      </c>
    </row>
    <row r="26" spans="4:33" ht="15" customHeight="1" x14ac:dyDescent="0.15">
      <c r="D26">
        <v>25</v>
      </c>
      <c r="E26" s="188" t="s">
        <v>216</v>
      </c>
      <c r="F26">
        <v>0.98</v>
      </c>
      <c r="G26">
        <v>0.8</v>
      </c>
      <c r="H26">
        <v>0.8</v>
      </c>
      <c r="I26">
        <v>0.8</v>
      </c>
      <c r="J26" s="114">
        <v>0.25</v>
      </c>
      <c r="K26" s="114">
        <v>0.05</v>
      </c>
    </row>
    <row r="27" spans="4:33" ht="15" customHeight="1" x14ac:dyDescent="0.15">
      <c r="D27">
        <v>26</v>
      </c>
      <c r="E27" s="188" t="s">
        <v>217</v>
      </c>
      <c r="F27">
        <v>0.98</v>
      </c>
      <c r="G27">
        <v>0.8</v>
      </c>
      <c r="H27">
        <v>0.8</v>
      </c>
      <c r="I27">
        <v>0.8</v>
      </c>
      <c r="J27" s="114">
        <v>0.25</v>
      </c>
      <c r="K27" s="114">
        <v>0.05</v>
      </c>
    </row>
    <row r="28" spans="4:33" ht="15" customHeight="1" x14ac:dyDescent="0.15">
      <c r="D28">
        <v>27</v>
      </c>
      <c r="E28" s="188" t="s">
        <v>218</v>
      </c>
      <c r="F28">
        <v>0.98</v>
      </c>
      <c r="G28">
        <v>0.8</v>
      </c>
      <c r="H28">
        <v>0.8</v>
      </c>
      <c r="I28">
        <v>0.8</v>
      </c>
      <c r="J28" s="114">
        <v>0.25</v>
      </c>
      <c r="K28" s="114">
        <v>0.05</v>
      </c>
    </row>
    <row r="29" spans="4:33" ht="15" customHeight="1" x14ac:dyDescent="0.15">
      <c r="D29">
        <v>28</v>
      </c>
      <c r="E29" s="188" t="s">
        <v>219</v>
      </c>
      <c r="F29">
        <v>0.98</v>
      </c>
      <c r="G29">
        <v>0.8</v>
      </c>
      <c r="H29">
        <v>0.8</v>
      </c>
      <c r="I29">
        <v>0.8</v>
      </c>
      <c r="J29" s="114">
        <v>0.25</v>
      </c>
      <c r="K29" s="114">
        <v>0.05</v>
      </c>
      <c r="Y29"/>
      <c r="AC29"/>
      <c r="AG29"/>
    </row>
    <row r="30" spans="4:33" ht="15" customHeight="1" x14ac:dyDescent="0.15">
      <c r="D30">
        <v>29</v>
      </c>
      <c r="E30" s="188" t="s">
        <v>220</v>
      </c>
      <c r="F30">
        <v>0.98</v>
      </c>
      <c r="G30">
        <v>0.8</v>
      </c>
      <c r="H30">
        <v>0.8</v>
      </c>
      <c r="I30">
        <v>0.8</v>
      </c>
      <c r="J30" s="114">
        <v>0.25</v>
      </c>
      <c r="K30" s="114">
        <v>0.05</v>
      </c>
      <c r="Y30"/>
      <c r="AC30"/>
      <c r="AG30"/>
    </row>
    <row r="31" spans="4:33" ht="15" customHeight="1" x14ac:dyDescent="0.15">
      <c r="D31">
        <v>30</v>
      </c>
      <c r="E31" s="188" t="s">
        <v>221</v>
      </c>
      <c r="F31">
        <v>0.98</v>
      </c>
      <c r="G31">
        <v>0.8</v>
      </c>
      <c r="H31">
        <v>0.8</v>
      </c>
      <c r="I31">
        <v>0.8</v>
      </c>
      <c r="J31" s="114">
        <v>0.25</v>
      </c>
      <c r="K31" s="114">
        <v>0.05</v>
      </c>
      <c r="Y31"/>
      <c r="AC31"/>
      <c r="AG31"/>
    </row>
    <row r="32" spans="4:33" ht="15" customHeight="1" x14ac:dyDescent="0.15">
      <c r="D32">
        <v>31</v>
      </c>
      <c r="E32" s="188" t="s">
        <v>222</v>
      </c>
      <c r="F32">
        <v>0.98</v>
      </c>
      <c r="G32">
        <v>0.8</v>
      </c>
      <c r="H32">
        <v>0.8</v>
      </c>
      <c r="I32">
        <v>0.8</v>
      </c>
      <c r="J32" s="114">
        <v>0.25</v>
      </c>
      <c r="K32" s="114">
        <v>0.05</v>
      </c>
      <c r="Y32"/>
      <c r="AC32"/>
      <c r="AG32"/>
    </row>
    <row r="33" spans="4:33" ht="15" customHeight="1" x14ac:dyDescent="0.15">
      <c r="D33">
        <v>32</v>
      </c>
      <c r="E33" s="188" t="s">
        <v>223</v>
      </c>
      <c r="F33">
        <v>0.98</v>
      </c>
      <c r="G33">
        <v>0.8</v>
      </c>
      <c r="H33">
        <v>0.8</v>
      </c>
      <c r="I33">
        <v>0.8</v>
      </c>
      <c r="J33" s="114">
        <v>0.25</v>
      </c>
      <c r="K33" s="114">
        <v>0.05</v>
      </c>
      <c r="Y33"/>
      <c r="AC33"/>
      <c r="AG33"/>
    </row>
    <row r="34" spans="4:33" ht="15" customHeight="1" x14ac:dyDescent="0.15">
      <c r="D34">
        <v>33</v>
      </c>
      <c r="E34" s="188" t="s">
        <v>224</v>
      </c>
      <c r="F34">
        <v>0.98</v>
      </c>
      <c r="G34">
        <v>0.8</v>
      </c>
      <c r="H34">
        <v>0.8</v>
      </c>
      <c r="I34">
        <v>0.8</v>
      </c>
      <c r="J34" s="114">
        <v>0.25</v>
      </c>
      <c r="K34" s="114">
        <v>0.05</v>
      </c>
      <c r="Y34"/>
      <c r="AC34"/>
      <c r="AG34"/>
    </row>
    <row r="35" spans="4:33" ht="15" customHeight="1" x14ac:dyDescent="0.15">
      <c r="D35">
        <v>34</v>
      </c>
      <c r="E35" s="188" t="s">
        <v>225</v>
      </c>
      <c r="F35">
        <v>0.98</v>
      </c>
      <c r="G35">
        <v>0.8</v>
      </c>
      <c r="H35">
        <v>0.8</v>
      </c>
      <c r="I35">
        <v>0.8</v>
      </c>
      <c r="J35" s="114">
        <v>0.25</v>
      </c>
      <c r="K35" s="114">
        <v>0.05</v>
      </c>
      <c r="Y35"/>
      <c r="AC35"/>
      <c r="AG35"/>
    </row>
    <row r="36" spans="4:33" ht="15" customHeight="1" x14ac:dyDescent="0.15">
      <c r="D36">
        <v>35</v>
      </c>
      <c r="E36" s="188" t="s">
        <v>226</v>
      </c>
      <c r="F36">
        <v>0.98</v>
      </c>
      <c r="G36">
        <v>0.8</v>
      </c>
      <c r="H36">
        <v>0.8</v>
      </c>
      <c r="I36">
        <v>0.8</v>
      </c>
      <c r="J36" s="114">
        <v>0.25</v>
      </c>
      <c r="K36" s="114">
        <v>0.05</v>
      </c>
      <c r="Y36"/>
      <c r="AC36"/>
      <c r="AG36"/>
    </row>
    <row r="37" spans="4:33" ht="15" customHeight="1" x14ac:dyDescent="0.15">
      <c r="D37">
        <v>36</v>
      </c>
      <c r="E37" s="188" t="s">
        <v>227</v>
      </c>
      <c r="F37">
        <v>0.98</v>
      </c>
      <c r="G37">
        <v>0.8</v>
      </c>
      <c r="H37">
        <v>0.8</v>
      </c>
      <c r="I37">
        <v>0.8</v>
      </c>
      <c r="J37" s="114">
        <v>0.25</v>
      </c>
      <c r="K37" s="114">
        <v>0.05</v>
      </c>
      <c r="Y37"/>
      <c r="AC37"/>
      <c r="AG37"/>
    </row>
    <row r="38" spans="4:33" ht="15" customHeight="1" x14ac:dyDescent="0.15">
      <c r="D38">
        <v>37</v>
      </c>
      <c r="E38" s="188" t="s">
        <v>228</v>
      </c>
      <c r="F38">
        <v>0.98</v>
      </c>
      <c r="G38">
        <v>0.8</v>
      </c>
      <c r="H38">
        <v>0.8</v>
      </c>
      <c r="I38">
        <v>0.8</v>
      </c>
      <c r="J38" s="114">
        <v>0.25</v>
      </c>
      <c r="K38" s="114">
        <v>0.05</v>
      </c>
      <c r="Y38"/>
      <c r="AC38"/>
      <c r="AG38"/>
    </row>
    <row r="39" spans="4:33" ht="15" customHeight="1" x14ac:dyDescent="0.15">
      <c r="D39">
        <v>38</v>
      </c>
      <c r="E39" s="188" t="s">
        <v>229</v>
      </c>
      <c r="F39">
        <v>0.98</v>
      </c>
      <c r="G39">
        <v>0.8</v>
      </c>
      <c r="H39">
        <v>0.8</v>
      </c>
      <c r="I39">
        <v>0.8</v>
      </c>
      <c r="J39" s="114">
        <v>0.25</v>
      </c>
      <c r="K39" s="114">
        <v>0.05</v>
      </c>
    </row>
    <row r="40" spans="4:33" ht="15" customHeight="1" x14ac:dyDescent="0.15">
      <c r="D40">
        <v>39</v>
      </c>
      <c r="E40" s="188" t="s">
        <v>230</v>
      </c>
      <c r="F40">
        <v>0.98</v>
      </c>
      <c r="G40">
        <v>0.8</v>
      </c>
      <c r="H40">
        <v>0.8</v>
      </c>
      <c r="I40">
        <v>0.8</v>
      </c>
      <c r="J40" s="114">
        <v>0.25</v>
      </c>
      <c r="K40" s="114">
        <v>0.05</v>
      </c>
      <c r="Y40"/>
      <c r="AC40"/>
      <c r="AG40"/>
    </row>
    <row r="41" spans="4:33" ht="15" customHeight="1" x14ac:dyDescent="0.15">
      <c r="D41">
        <v>40</v>
      </c>
      <c r="E41" s="188" t="s">
        <v>231</v>
      </c>
      <c r="F41">
        <v>0.98</v>
      </c>
      <c r="G41">
        <v>0.8</v>
      </c>
      <c r="H41">
        <v>0.8</v>
      </c>
      <c r="I41">
        <v>0.8</v>
      </c>
      <c r="J41" s="114">
        <v>0.25</v>
      </c>
      <c r="K41" s="114">
        <v>0.05</v>
      </c>
      <c r="Y41"/>
      <c r="AC41"/>
      <c r="AG41"/>
    </row>
    <row r="42" spans="4:33" ht="15" customHeight="1" x14ac:dyDescent="0.15">
      <c r="D42">
        <v>41</v>
      </c>
      <c r="E42" s="188" t="s">
        <v>232</v>
      </c>
      <c r="F42">
        <v>0.98</v>
      </c>
      <c r="G42">
        <v>0.8</v>
      </c>
      <c r="H42">
        <v>0.8</v>
      </c>
      <c r="I42">
        <v>0.8</v>
      </c>
      <c r="J42" s="114">
        <v>0.25</v>
      </c>
      <c r="K42" s="114">
        <v>0.05</v>
      </c>
      <c r="Y42"/>
      <c r="AC42"/>
      <c r="AG42"/>
    </row>
    <row r="43" spans="4:33" ht="15" customHeight="1" x14ac:dyDescent="0.15">
      <c r="D43">
        <v>42</v>
      </c>
      <c r="E43" s="188" t="s">
        <v>233</v>
      </c>
      <c r="F43">
        <v>0.98</v>
      </c>
      <c r="G43">
        <v>0.8</v>
      </c>
      <c r="H43">
        <v>0.8</v>
      </c>
      <c r="I43">
        <v>0.8</v>
      </c>
      <c r="J43" s="114">
        <v>0.25</v>
      </c>
      <c r="K43" s="114">
        <v>0.05</v>
      </c>
      <c r="Y43"/>
      <c r="AC43"/>
      <c r="AG43"/>
    </row>
    <row r="44" spans="4:33" ht="15" customHeight="1" x14ac:dyDescent="0.15">
      <c r="D44">
        <v>43</v>
      </c>
      <c r="E44" s="188" t="s">
        <v>234</v>
      </c>
      <c r="F44">
        <v>0.98</v>
      </c>
      <c r="G44">
        <v>0.8</v>
      </c>
      <c r="H44">
        <v>0.8</v>
      </c>
      <c r="I44">
        <v>0.8</v>
      </c>
      <c r="J44" s="114">
        <v>0.25</v>
      </c>
      <c r="K44" s="114">
        <v>0.05</v>
      </c>
      <c r="Y44"/>
      <c r="AC44"/>
      <c r="AG44"/>
    </row>
    <row r="45" spans="4:33" ht="15" customHeight="1" x14ac:dyDescent="0.15">
      <c r="D45">
        <v>44</v>
      </c>
      <c r="E45" s="188" t="s">
        <v>235</v>
      </c>
      <c r="F45">
        <v>0.98</v>
      </c>
      <c r="G45">
        <v>0.8</v>
      </c>
      <c r="H45">
        <v>0.8</v>
      </c>
      <c r="I45">
        <v>0.8</v>
      </c>
      <c r="J45" s="114">
        <v>0.25</v>
      </c>
      <c r="K45" s="114">
        <v>0.05</v>
      </c>
      <c r="Y45"/>
      <c r="AC45"/>
      <c r="AG45"/>
    </row>
    <row r="46" spans="4:33" ht="15" customHeight="1" x14ac:dyDescent="0.15">
      <c r="D46">
        <v>45</v>
      </c>
      <c r="E46" s="188" t="s">
        <v>236</v>
      </c>
      <c r="F46">
        <v>0.98</v>
      </c>
      <c r="G46">
        <v>0.8</v>
      </c>
      <c r="H46">
        <v>0.8</v>
      </c>
      <c r="I46">
        <v>0.8</v>
      </c>
      <c r="J46" s="114">
        <v>0.25</v>
      </c>
      <c r="K46" s="114">
        <v>0.05</v>
      </c>
      <c r="Y46"/>
      <c r="AC46"/>
      <c r="AG46"/>
    </row>
    <row r="47" spans="4:33" ht="15" customHeight="1" x14ac:dyDescent="0.15">
      <c r="D47">
        <v>46</v>
      </c>
      <c r="E47" s="188" t="s">
        <v>237</v>
      </c>
      <c r="F47">
        <v>0.98</v>
      </c>
      <c r="G47">
        <v>0.8</v>
      </c>
      <c r="H47">
        <v>0.8</v>
      </c>
      <c r="I47">
        <v>0.8</v>
      </c>
      <c r="J47" s="114">
        <v>0.25</v>
      </c>
      <c r="K47" s="114">
        <v>0.05</v>
      </c>
      <c r="Y47"/>
      <c r="AC47"/>
      <c r="AG47"/>
    </row>
    <row r="48" spans="4:33" ht="15" customHeight="1" x14ac:dyDescent="0.15">
      <c r="D48">
        <v>47</v>
      </c>
      <c r="E48" s="188" t="s">
        <v>238</v>
      </c>
      <c r="F48">
        <v>0.98</v>
      </c>
      <c r="G48">
        <v>0.8</v>
      </c>
      <c r="H48">
        <v>0.8</v>
      </c>
      <c r="I48">
        <v>0.8</v>
      </c>
      <c r="J48" s="114">
        <v>0.25</v>
      </c>
      <c r="K48" s="114">
        <v>0.05</v>
      </c>
      <c r="Y48"/>
      <c r="AC48"/>
      <c r="AG48"/>
    </row>
    <row r="49" spans="4:33" ht="15" customHeight="1" x14ac:dyDescent="0.15">
      <c r="D49">
        <v>48</v>
      </c>
      <c r="E49" s="188" t="s">
        <v>239</v>
      </c>
      <c r="F49">
        <v>0.98</v>
      </c>
      <c r="G49">
        <v>0.8</v>
      </c>
      <c r="H49">
        <v>0.8</v>
      </c>
      <c r="I49">
        <v>0.8</v>
      </c>
      <c r="J49" s="114">
        <v>0.25</v>
      </c>
      <c r="K49" s="114">
        <v>0.05</v>
      </c>
      <c r="Y49"/>
      <c r="AC49"/>
      <c r="AG49"/>
    </row>
    <row r="50" spans="4:33" ht="15" customHeight="1" x14ac:dyDescent="0.15">
      <c r="D50">
        <v>49</v>
      </c>
      <c r="E50" s="188" t="s">
        <v>240</v>
      </c>
      <c r="F50">
        <v>0.98</v>
      </c>
      <c r="G50">
        <v>0.8</v>
      </c>
      <c r="H50">
        <v>0.8</v>
      </c>
      <c r="I50">
        <v>0.8</v>
      </c>
      <c r="J50" s="114">
        <v>0.25</v>
      </c>
      <c r="K50" s="114">
        <v>0.05</v>
      </c>
      <c r="Y50"/>
      <c r="AC50"/>
      <c r="AG50"/>
    </row>
    <row r="51" spans="4:33" ht="15" customHeight="1" x14ac:dyDescent="0.15">
      <c r="D51">
        <v>50</v>
      </c>
      <c r="E51" s="188" t="s">
        <v>241</v>
      </c>
      <c r="F51">
        <v>0.98</v>
      </c>
      <c r="G51">
        <v>0.8</v>
      </c>
      <c r="H51">
        <v>0.8</v>
      </c>
      <c r="I51">
        <v>0.8</v>
      </c>
      <c r="J51" s="114">
        <v>0.25</v>
      </c>
      <c r="K51" s="114">
        <v>0.05</v>
      </c>
      <c r="Y51"/>
      <c r="AC51"/>
      <c r="AG51"/>
    </row>
    <row r="52" spans="4:33" ht="15" customHeight="1" x14ac:dyDescent="0.15">
      <c r="D52">
        <v>51</v>
      </c>
      <c r="E52" s="188" t="s">
        <v>242</v>
      </c>
      <c r="F52">
        <v>0.98</v>
      </c>
      <c r="G52">
        <v>0.8</v>
      </c>
      <c r="H52">
        <v>0.8</v>
      </c>
      <c r="I52">
        <v>0.8</v>
      </c>
      <c r="J52" s="114">
        <v>0.25</v>
      </c>
      <c r="K52" s="114">
        <v>0.05</v>
      </c>
      <c r="Y52"/>
      <c r="AC52"/>
      <c r="AG52"/>
    </row>
    <row r="53" spans="4:33" ht="15" customHeight="1" x14ac:dyDescent="0.15">
      <c r="D53">
        <v>52</v>
      </c>
      <c r="E53" s="188" t="s">
        <v>243</v>
      </c>
      <c r="F53">
        <v>0.98</v>
      </c>
      <c r="G53">
        <v>0.8</v>
      </c>
      <c r="H53">
        <v>0.8</v>
      </c>
      <c r="I53">
        <v>0.8</v>
      </c>
      <c r="J53" s="114">
        <v>0.25</v>
      </c>
      <c r="K53" s="114">
        <v>0.05</v>
      </c>
      <c r="Y53"/>
      <c r="AC53"/>
      <c r="AG53"/>
    </row>
    <row r="54" spans="4:33" ht="15" customHeight="1" x14ac:dyDescent="0.15">
      <c r="D54">
        <v>53</v>
      </c>
      <c r="E54" s="188" t="s">
        <v>244</v>
      </c>
      <c r="F54">
        <v>0.98</v>
      </c>
      <c r="G54">
        <v>0.8</v>
      </c>
      <c r="H54">
        <v>0.8</v>
      </c>
      <c r="I54">
        <v>0.8</v>
      </c>
      <c r="J54" s="114">
        <v>0.25</v>
      </c>
      <c r="K54" s="114">
        <v>0.05</v>
      </c>
      <c r="Y54"/>
      <c r="AC54"/>
      <c r="AG54"/>
    </row>
    <row r="55" spans="4:33" ht="15" customHeight="1" x14ac:dyDescent="0.15">
      <c r="D55">
        <v>54</v>
      </c>
      <c r="E55" s="188" t="s">
        <v>245</v>
      </c>
      <c r="F55">
        <v>0.98</v>
      </c>
      <c r="G55">
        <v>0.8</v>
      </c>
      <c r="H55">
        <v>0.8</v>
      </c>
      <c r="I55">
        <v>0.8</v>
      </c>
      <c r="J55" s="114">
        <v>0.25</v>
      </c>
      <c r="K55" s="114">
        <v>0.05</v>
      </c>
      <c r="Y55"/>
      <c r="AC55"/>
      <c r="AG55"/>
    </row>
    <row r="56" spans="4:33" ht="15" customHeight="1" x14ac:dyDescent="0.15">
      <c r="D56">
        <v>55</v>
      </c>
      <c r="E56" s="188" t="s">
        <v>246</v>
      </c>
      <c r="F56">
        <v>0.98</v>
      </c>
      <c r="G56">
        <v>0.8</v>
      </c>
      <c r="H56">
        <v>0.8</v>
      </c>
      <c r="I56">
        <v>0.8</v>
      </c>
      <c r="J56" s="114">
        <v>0.25</v>
      </c>
      <c r="K56" s="114">
        <v>0.05</v>
      </c>
      <c r="Y56"/>
      <c r="AC56"/>
      <c r="AG56"/>
    </row>
    <row r="57" spans="4:33" ht="15" customHeight="1" x14ac:dyDescent="0.15">
      <c r="D57">
        <v>56</v>
      </c>
      <c r="E57" s="188" t="s">
        <v>247</v>
      </c>
      <c r="F57">
        <v>0.98</v>
      </c>
      <c r="G57">
        <v>0.8</v>
      </c>
      <c r="H57">
        <v>0.8</v>
      </c>
      <c r="I57">
        <v>0.8</v>
      </c>
      <c r="J57" s="114">
        <v>0.25</v>
      </c>
      <c r="K57" s="114">
        <v>0.05</v>
      </c>
      <c r="Y57"/>
      <c r="AC57"/>
      <c r="AG57"/>
    </row>
    <row r="58" spans="4:33" ht="15" customHeight="1" x14ac:dyDescent="0.15">
      <c r="D58">
        <v>57</v>
      </c>
      <c r="E58" s="188" t="s">
        <v>248</v>
      </c>
      <c r="F58">
        <v>0.98</v>
      </c>
      <c r="G58">
        <v>0.8</v>
      </c>
      <c r="H58">
        <v>0.8</v>
      </c>
      <c r="I58">
        <v>0.8</v>
      </c>
      <c r="J58" s="114">
        <v>0.25</v>
      </c>
      <c r="K58" s="114">
        <v>0.05</v>
      </c>
      <c r="Y58"/>
      <c r="AC58"/>
      <c r="AG58"/>
    </row>
    <row r="59" spans="4:33" ht="15" customHeight="1" x14ac:dyDescent="0.15">
      <c r="D59">
        <v>58</v>
      </c>
      <c r="E59" s="188" t="s">
        <v>249</v>
      </c>
      <c r="F59">
        <v>0.98</v>
      </c>
      <c r="G59">
        <v>0.8</v>
      </c>
      <c r="H59">
        <v>0.8</v>
      </c>
      <c r="I59">
        <v>0.8</v>
      </c>
      <c r="J59" s="114">
        <v>0.25</v>
      </c>
      <c r="K59" s="114">
        <v>0.05</v>
      </c>
      <c r="Y59"/>
      <c r="AC59"/>
      <c r="AG59"/>
    </row>
    <row r="60" spans="4:33" ht="15" customHeight="1" x14ac:dyDescent="0.15">
      <c r="D60">
        <v>59</v>
      </c>
      <c r="E60" s="188" t="s">
        <v>250</v>
      </c>
      <c r="F60">
        <v>0.98</v>
      </c>
      <c r="G60">
        <v>0.8</v>
      </c>
      <c r="H60">
        <v>0.8</v>
      </c>
      <c r="I60">
        <v>0.8</v>
      </c>
      <c r="J60" s="114">
        <v>0.25</v>
      </c>
      <c r="K60" s="114">
        <v>0.05</v>
      </c>
      <c r="Y60"/>
      <c r="AC60"/>
      <c r="AG60"/>
    </row>
    <row r="61" spans="4:33" ht="15" customHeight="1" x14ac:dyDescent="0.15">
      <c r="D61">
        <v>60</v>
      </c>
      <c r="E61" s="188" t="s">
        <v>251</v>
      </c>
      <c r="F61">
        <v>0.98</v>
      </c>
      <c r="G61">
        <v>0.8</v>
      </c>
      <c r="H61">
        <v>0.8</v>
      </c>
      <c r="I61">
        <v>0.8</v>
      </c>
      <c r="J61" s="114">
        <v>0.25</v>
      </c>
      <c r="K61" s="114">
        <v>0.05</v>
      </c>
      <c r="Y61"/>
      <c r="AC61"/>
      <c r="AG61"/>
    </row>
    <row r="62" spans="4:33" ht="15" customHeight="1" x14ac:dyDescent="0.15">
      <c r="D62">
        <v>61</v>
      </c>
      <c r="E62" s="188" t="s">
        <v>252</v>
      </c>
      <c r="F62">
        <v>0.98</v>
      </c>
      <c r="G62">
        <v>0.8</v>
      </c>
      <c r="H62">
        <v>0.8</v>
      </c>
      <c r="I62">
        <v>0.8</v>
      </c>
      <c r="J62" s="114">
        <v>0.25</v>
      </c>
      <c r="K62" s="114">
        <v>0.05</v>
      </c>
      <c r="Y62"/>
      <c r="AC62"/>
      <c r="AG62"/>
    </row>
    <row r="63" spans="4:33" ht="15" customHeight="1" x14ac:dyDescent="0.15">
      <c r="D63">
        <v>62</v>
      </c>
      <c r="E63" s="188" t="s">
        <v>253</v>
      </c>
      <c r="F63">
        <v>0.98</v>
      </c>
      <c r="G63">
        <v>0.8</v>
      </c>
      <c r="H63">
        <v>0.8</v>
      </c>
      <c r="I63">
        <v>0.8</v>
      </c>
      <c r="J63" s="114">
        <v>0.25</v>
      </c>
      <c r="K63" s="114">
        <v>0.05</v>
      </c>
      <c r="Y63"/>
      <c r="AC63"/>
      <c r="AG63"/>
    </row>
    <row r="64" spans="4:33" ht="15" customHeight="1" x14ac:dyDescent="0.15">
      <c r="D64">
        <v>63</v>
      </c>
      <c r="E64" s="188" t="s">
        <v>254</v>
      </c>
      <c r="F64">
        <v>0.98</v>
      </c>
      <c r="G64">
        <v>0.8</v>
      </c>
      <c r="H64">
        <v>0.8</v>
      </c>
      <c r="I64">
        <v>0.8</v>
      </c>
      <c r="J64" s="114">
        <v>0.25</v>
      </c>
      <c r="K64" s="114">
        <v>0.05</v>
      </c>
      <c r="Y64"/>
      <c r="AC64"/>
      <c r="AG64"/>
    </row>
    <row r="65" spans="4:33" ht="15" customHeight="1" x14ac:dyDescent="0.15">
      <c r="D65">
        <v>64</v>
      </c>
      <c r="E65" s="188" t="s">
        <v>255</v>
      </c>
      <c r="F65">
        <v>0.98</v>
      </c>
      <c r="G65">
        <v>0.8</v>
      </c>
      <c r="H65">
        <v>0.8</v>
      </c>
      <c r="I65">
        <v>0.8</v>
      </c>
      <c r="J65" s="114">
        <v>0.25</v>
      </c>
      <c r="K65" s="114">
        <v>0.05</v>
      </c>
      <c r="Y65"/>
      <c r="AC65"/>
      <c r="AG65"/>
    </row>
    <row r="66" spans="4:33" ht="15" customHeight="1" x14ac:dyDescent="0.15">
      <c r="D66">
        <v>65</v>
      </c>
      <c r="E66" s="188" t="s">
        <v>256</v>
      </c>
      <c r="F66">
        <v>0.98</v>
      </c>
      <c r="G66">
        <v>0.8</v>
      </c>
      <c r="H66">
        <v>0.8</v>
      </c>
      <c r="I66">
        <v>0.8</v>
      </c>
      <c r="J66" s="114">
        <v>0.25</v>
      </c>
      <c r="K66" s="114">
        <v>0.05</v>
      </c>
      <c r="Y66"/>
      <c r="AC66"/>
      <c r="AG66"/>
    </row>
    <row r="67" spans="4:33" ht="15" customHeight="1" x14ac:dyDescent="0.15">
      <c r="D67">
        <v>66</v>
      </c>
      <c r="E67" s="188" t="s">
        <v>257</v>
      </c>
      <c r="F67">
        <v>0.98</v>
      </c>
      <c r="G67">
        <v>0.8</v>
      </c>
      <c r="H67">
        <v>0.8</v>
      </c>
      <c r="I67">
        <v>0.8</v>
      </c>
      <c r="J67" s="114">
        <v>0.25</v>
      </c>
      <c r="K67" s="114">
        <v>0.05</v>
      </c>
      <c r="Y67"/>
      <c r="AC67"/>
      <c r="AG67"/>
    </row>
    <row r="68" spans="4:33" ht="15" customHeight="1" x14ac:dyDescent="0.15">
      <c r="D68">
        <v>67</v>
      </c>
      <c r="E68" s="188" t="s">
        <v>258</v>
      </c>
      <c r="F68">
        <v>0.98</v>
      </c>
      <c r="G68">
        <v>0.8</v>
      </c>
      <c r="H68">
        <v>0.8</v>
      </c>
      <c r="I68">
        <v>0.8</v>
      </c>
      <c r="J68" s="114">
        <v>0.25</v>
      </c>
      <c r="K68" s="114">
        <v>0.05</v>
      </c>
      <c r="Y68"/>
      <c r="AC68"/>
      <c r="AG68"/>
    </row>
    <row r="69" spans="4:33" ht="15" customHeight="1" x14ac:dyDescent="0.15">
      <c r="D69">
        <v>68</v>
      </c>
      <c r="E69" s="188" t="s">
        <v>259</v>
      </c>
      <c r="F69">
        <v>0.98</v>
      </c>
      <c r="G69">
        <v>0.8</v>
      </c>
      <c r="H69">
        <v>0.8</v>
      </c>
      <c r="I69">
        <v>0.8</v>
      </c>
      <c r="J69" s="114">
        <v>0.25</v>
      </c>
      <c r="K69" s="114">
        <v>0.05</v>
      </c>
      <c r="Y69"/>
      <c r="AC69"/>
      <c r="AG69"/>
    </row>
    <row r="70" spans="4:33" ht="15" customHeight="1" x14ac:dyDescent="0.15">
      <c r="D70">
        <v>69</v>
      </c>
      <c r="E70" s="188" t="s">
        <v>260</v>
      </c>
      <c r="F70">
        <v>0.98</v>
      </c>
      <c r="G70">
        <v>0.8</v>
      </c>
      <c r="H70">
        <v>0.8</v>
      </c>
      <c r="I70">
        <v>0.8</v>
      </c>
      <c r="J70" s="114">
        <v>0.25</v>
      </c>
      <c r="K70" s="114">
        <v>0.05</v>
      </c>
      <c r="Y70"/>
      <c r="AC70"/>
      <c r="AG70"/>
    </row>
    <row r="71" spans="4:33" ht="15" customHeight="1" x14ac:dyDescent="0.15">
      <c r="D71">
        <v>70</v>
      </c>
      <c r="E71" s="188" t="s">
        <v>261</v>
      </c>
      <c r="F71">
        <v>0.98</v>
      </c>
      <c r="G71">
        <v>0.8</v>
      </c>
      <c r="H71">
        <v>0.8</v>
      </c>
      <c r="I71">
        <v>0.8</v>
      </c>
      <c r="J71" s="114">
        <v>0.25</v>
      </c>
      <c r="K71" s="114">
        <v>0.05</v>
      </c>
      <c r="Y71"/>
      <c r="AC71"/>
      <c r="AG71"/>
    </row>
    <row r="72" spans="4:33" ht="15" customHeight="1" x14ac:dyDescent="0.15">
      <c r="D72">
        <v>71</v>
      </c>
      <c r="E72" s="188" t="s">
        <v>262</v>
      </c>
      <c r="F72">
        <v>0.98</v>
      </c>
      <c r="G72">
        <v>0.8</v>
      </c>
      <c r="H72">
        <v>0.8</v>
      </c>
      <c r="I72">
        <v>0.8</v>
      </c>
      <c r="J72" s="114">
        <v>0.25</v>
      </c>
      <c r="K72" s="114">
        <v>0.05</v>
      </c>
      <c r="Y72"/>
      <c r="AC72"/>
      <c r="AG72"/>
    </row>
    <row r="73" spans="4:33" ht="15" customHeight="1" x14ac:dyDescent="0.15">
      <c r="D73">
        <v>72</v>
      </c>
      <c r="E73" s="188" t="s">
        <v>263</v>
      </c>
      <c r="F73">
        <v>0.98</v>
      </c>
      <c r="G73">
        <v>0.8</v>
      </c>
      <c r="H73">
        <v>0.8</v>
      </c>
      <c r="I73">
        <v>0.8</v>
      </c>
      <c r="J73" s="114">
        <v>0.25</v>
      </c>
      <c r="K73" s="114">
        <v>0.05</v>
      </c>
      <c r="Y73"/>
      <c r="AC73"/>
      <c r="AG73"/>
    </row>
    <row r="74" spans="4:33" ht="15" customHeight="1" x14ac:dyDescent="0.15">
      <c r="D74">
        <v>73</v>
      </c>
      <c r="E74" s="188" t="s">
        <v>264</v>
      </c>
      <c r="F74">
        <v>0.98</v>
      </c>
      <c r="G74">
        <v>0.8</v>
      </c>
      <c r="H74">
        <v>0.8</v>
      </c>
      <c r="I74">
        <v>0.8</v>
      </c>
      <c r="J74" s="114">
        <v>0.25</v>
      </c>
      <c r="K74" s="114">
        <v>0.05</v>
      </c>
      <c r="Y74"/>
      <c r="AC74"/>
      <c r="AG74"/>
    </row>
    <row r="75" spans="4:33" ht="15" customHeight="1" x14ac:dyDescent="0.15">
      <c r="D75">
        <v>74</v>
      </c>
      <c r="E75" s="188" t="s">
        <v>265</v>
      </c>
      <c r="F75">
        <v>0.98</v>
      </c>
      <c r="G75">
        <v>0.8</v>
      </c>
      <c r="H75">
        <v>0.8</v>
      </c>
      <c r="I75">
        <v>0.8</v>
      </c>
      <c r="J75" s="114">
        <v>0.25</v>
      </c>
      <c r="K75" s="114">
        <v>0.05</v>
      </c>
      <c r="Y75"/>
      <c r="AC75"/>
      <c r="AG75"/>
    </row>
    <row r="76" spans="4:33" ht="15" customHeight="1" x14ac:dyDescent="0.15">
      <c r="D76">
        <v>75</v>
      </c>
      <c r="E76" s="188" t="s">
        <v>266</v>
      </c>
      <c r="F76">
        <v>0.98</v>
      </c>
      <c r="G76">
        <v>0.8</v>
      </c>
      <c r="H76">
        <v>0.8</v>
      </c>
      <c r="I76">
        <v>0.8</v>
      </c>
      <c r="J76" s="114">
        <v>0.25</v>
      </c>
      <c r="K76" s="114">
        <v>0.05</v>
      </c>
    </row>
    <row r="77" spans="4:33" ht="15" customHeight="1" x14ac:dyDescent="0.15">
      <c r="D77">
        <v>76</v>
      </c>
      <c r="E77" s="188" t="s">
        <v>267</v>
      </c>
      <c r="F77">
        <v>0.98</v>
      </c>
      <c r="G77">
        <v>0.8</v>
      </c>
      <c r="H77">
        <v>0.8</v>
      </c>
      <c r="I77">
        <v>0.8</v>
      </c>
      <c r="J77" s="114">
        <v>0.25</v>
      </c>
      <c r="K77" s="114">
        <v>0.05</v>
      </c>
    </row>
    <row r="78" spans="4:33" ht="15" customHeight="1" x14ac:dyDescent="0.15">
      <c r="D78">
        <v>77</v>
      </c>
      <c r="E78" s="188" t="s">
        <v>268</v>
      </c>
      <c r="F78">
        <v>0.98</v>
      </c>
      <c r="G78">
        <v>0.8</v>
      </c>
      <c r="H78">
        <v>0.8</v>
      </c>
      <c r="I78">
        <v>0.8</v>
      </c>
      <c r="J78" s="114">
        <v>0.25</v>
      </c>
      <c r="K78" s="114">
        <v>0.05</v>
      </c>
    </row>
    <row r="79" spans="4:33" ht="15" customHeight="1" x14ac:dyDescent="0.15">
      <c r="D79">
        <v>78</v>
      </c>
      <c r="E79" s="188" t="s">
        <v>269</v>
      </c>
      <c r="F79">
        <v>0.98</v>
      </c>
      <c r="G79">
        <v>0.8</v>
      </c>
      <c r="H79">
        <v>0.8</v>
      </c>
      <c r="I79">
        <v>0.8</v>
      </c>
      <c r="J79" s="114">
        <v>0.25</v>
      </c>
      <c r="K79" s="114">
        <v>0.05</v>
      </c>
    </row>
    <row r="80" spans="4:33" ht="15" customHeight="1" x14ac:dyDescent="0.15">
      <c r="D80">
        <v>79</v>
      </c>
      <c r="E80" s="188" t="s">
        <v>270</v>
      </c>
      <c r="F80">
        <v>0.98</v>
      </c>
      <c r="G80">
        <v>0.8</v>
      </c>
      <c r="H80">
        <v>0.8</v>
      </c>
      <c r="I80">
        <v>0.8</v>
      </c>
      <c r="J80" s="114">
        <v>0.25</v>
      </c>
      <c r="K80" s="114">
        <v>0.05</v>
      </c>
    </row>
    <row r="81" spans="4:33" ht="15" customHeight="1" x14ac:dyDescent="0.15">
      <c r="D81">
        <v>80</v>
      </c>
      <c r="E81" s="188" t="s">
        <v>271</v>
      </c>
      <c r="F81">
        <v>0.98</v>
      </c>
      <c r="G81">
        <v>0.8</v>
      </c>
      <c r="H81">
        <v>0.8</v>
      </c>
      <c r="I81">
        <v>0.8</v>
      </c>
      <c r="J81" s="114">
        <v>0.25</v>
      </c>
      <c r="K81" s="114">
        <v>0.05</v>
      </c>
    </row>
    <row r="82" spans="4:33" ht="15" customHeight="1" x14ac:dyDescent="0.15">
      <c r="D82">
        <v>81</v>
      </c>
      <c r="E82" s="188" t="s">
        <v>272</v>
      </c>
      <c r="F82">
        <v>0.98</v>
      </c>
      <c r="G82">
        <v>0.8</v>
      </c>
      <c r="H82">
        <v>0.8</v>
      </c>
      <c r="I82">
        <v>0.8</v>
      </c>
      <c r="J82" s="114">
        <v>0.25</v>
      </c>
      <c r="K82" s="114">
        <v>0.05</v>
      </c>
    </row>
    <row r="83" spans="4:33" ht="15" customHeight="1" x14ac:dyDescent="0.15">
      <c r="D83">
        <v>82</v>
      </c>
      <c r="E83" s="188" t="s">
        <v>273</v>
      </c>
      <c r="F83">
        <v>0.98</v>
      </c>
      <c r="G83">
        <v>0.8</v>
      </c>
      <c r="H83">
        <v>0.8</v>
      </c>
      <c r="I83">
        <v>0.8</v>
      </c>
      <c r="J83" s="114">
        <v>0.25</v>
      </c>
      <c r="K83" s="114">
        <v>0.05</v>
      </c>
      <c r="Y83"/>
      <c r="AC83"/>
      <c r="AG83"/>
    </row>
    <row r="84" spans="4:33" ht="15" customHeight="1" x14ac:dyDescent="0.15">
      <c r="D84">
        <v>83</v>
      </c>
      <c r="E84" s="188" t="s">
        <v>274</v>
      </c>
      <c r="F84">
        <v>0.98</v>
      </c>
      <c r="G84">
        <v>0.8</v>
      </c>
      <c r="H84">
        <v>0.8</v>
      </c>
      <c r="I84">
        <v>0.8</v>
      </c>
      <c r="J84" s="114">
        <v>0.25</v>
      </c>
      <c r="K84" s="114">
        <v>0.05</v>
      </c>
      <c r="Y84"/>
      <c r="AC84"/>
      <c r="AG84"/>
    </row>
    <row r="85" spans="4:33" ht="15" customHeight="1" x14ac:dyDescent="0.15">
      <c r="D85">
        <v>84</v>
      </c>
      <c r="E85" s="188" t="s">
        <v>275</v>
      </c>
      <c r="F85">
        <v>0.98</v>
      </c>
      <c r="G85">
        <v>0.8</v>
      </c>
      <c r="H85">
        <v>0.8</v>
      </c>
      <c r="I85">
        <v>0.8</v>
      </c>
      <c r="J85" s="114">
        <v>0.25</v>
      </c>
      <c r="K85" s="114">
        <v>0.05</v>
      </c>
      <c r="Y85"/>
      <c r="AC85"/>
      <c r="AG85"/>
    </row>
    <row r="86" spans="4:33" ht="15" customHeight="1" x14ac:dyDescent="0.15">
      <c r="D86">
        <v>85</v>
      </c>
      <c r="E86" s="188" t="s">
        <v>276</v>
      </c>
      <c r="F86">
        <v>0.98</v>
      </c>
      <c r="G86">
        <v>0.8</v>
      </c>
      <c r="H86">
        <v>0.8</v>
      </c>
      <c r="I86">
        <v>0.8</v>
      </c>
      <c r="J86" s="114">
        <v>0.25</v>
      </c>
      <c r="K86" s="114">
        <v>0.05</v>
      </c>
      <c r="Y86"/>
      <c r="AC86"/>
      <c r="AG86"/>
    </row>
    <row r="87" spans="4:33" ht="15" customHeight="1" x14ac:dyDescent="0.15">
      <c r="D87">
        <v>86</v>
      </c>
      <c r="E87" s="188" t="s">
        <v>277</v>
      </c>
      <c r="F87">
        <v>0.98</v>
      </c>
      <c r="G87">
        <v>0.8</v>
      </c>
      <c r="H87">
        <v>0.8</v>
      </c>
      <c r="I87">
        <v>0</v>
      </c>
      <c r="J87" s="114">
        <v>0</v>
      </c>
      <c r="K87" s="114">
        <v>0</v>
      </c>
      <c r="Y87"/>
      <c r="AC87"/>
      <c r="AG87"/>
    </row>
    <row r="88" spans="4:33" ht="15" customHeight="1" x14ac:dyDescent="0.15">
      <c r="D88">
        <v>87</v>
      </c>
      <c r="E88" s="188" t="s">
        <v>278</v>
      </c>
      <c r="F88">
        <v>0.98</v>
      </c>
      <c r="G88">
        <v>0.8</v>
      </c>
      <c r="H88">
        <v>0.8</v>
      </c>
      <c r="I88">
        <v>0</v>
      </c>
      <c r="J88" s="114">
        <v>0</v>
      </c>
      <c r="K88" s="114">
        <v>0</v>
      </c>
      <c r="Y88"/>
      <c r="AC88"/>
      <c r="AG88"/>
    </row>
    <row r="89" spans="4:33" ht="15" customHeight="1" x14ac:dyDescent="0.15">
      <c r="D89">
        <v>88</v>
      </c>
      <c r="E89" s="188" t="s">
        <v>279</v>
      </c>
      <c r="F89">
        <v>0.98</v>
      </c>
      <c r="G89">
        <v>0.8</v>
      </c>
      <c r="H89">
        <v>0.8</v>
      </c>
      <c r="I89">
        <v>0</v>
      </c>
      <c r="J89" s="114">
        <v>0</v>
      </c>
      <c r="K89" s="114">
        <v>0</v>
      </c>
      <c r="Y89"/>
      <c r="AC89"/>
      <c r="AG89"/>
    </row>
    <row r="90" spans="4:33" ht="15" customHeight="1" x14ac:dyDescent="0.15">
      <c r="D90">
        <v>89</v>
      </c>
      <c r="E90" s="188" t="s">
        <v>280</v>
      </c>
      <c r="F90">
        <v>0.98</v>
      </c>
      <c r="G90">
        <v>0.8</v>
      </c>
      <c r="H90">
        <v>0.8</v>
      </c>
      <c r="I90">
        <v>0</v>
      </c>
      <c r="J90" s="114">
        <v>0</v>
      </c>
      <c r="K90" s="114">
        <v>0</v>
      </c>
      <c r="Y90"/>
      <c r="AC90"/>
      <c r="AG90"/>
    </row>
    <row r="91" spans="4:33" ht="15" customHeight="1" x14ac:dyDescent="0.15">
      <c r="D91">
        <v>90</v>
      </c>
      <c r="E91" s="188" t="s">
        <v>281</v>
      </c>
      <c r="F91">
        <v>0.98</v>
      </c>
      <c r="G91">
        <v>0.8</v>
      </c>
      <c r="H91">
        <v>0.8</v>
      </c>
      <c r="I91">
        <v>0</v>
      </c>
      <c r="J91" s="114">
        <v>0</v>
      </c>
      <c r="K91" s="114">
        <v>0</v>
      </c>
      <c r="Y91"/>
      <c r="AC91"/>
      <c r="AG91"/>
    </row>
    <row r="92" spans="4:33" ht="15" customHeight="1" x14ac:dyDescent="0.15">
      <c r="D92">
        <v>91</v>
      </c>
      <c r="E92" s="188" t="s">
        <v>282</v>
      </c>
      <c r="F92">
        <v>0.98</v>
      </c>
      <c r="G92">
        <v>0.8</v>
      </c>
      <c r="H92">
        <v>0.8</v>
      </c>
      <c r="I92">
        <v>0</v>
      </c>
      <c r="J92" s="114">
        <v>0</v>
      </c>
      <c r="K92" s="114">
        <v>0</v>
      </c>
      <c r="Y92"/>
      <c r="AC92"/>
      <c r="AG92"/>
    </row>
    <row r="93" spans="4:33" ht="15" customHeight="1" x14ac:dyDescent="0.15">
      <c r="D93">
        <v>92</v>
      </c>
      <c r="E93" s="188" t="s">
        <v>283</v>
      </c>
      <c r="F93">
        <v>0.98</v>
      </c>
      <c r="G93">
        <v>0.8</v>
      </c>
      <c r="H93">
        <v>0.8</v>
      </c>
      <c r="I93">
        <v>0</v>
      </c>
      <c r="J93" s="114">
        <v>0</v>
      </c>
      <c r="K93" s="114">
        <v>0</v>
      </c>
      <c r="Y93"/>
      <c r="AC93"/>
      <c r="AG93"/>
    </row>
    <row r="94" spans="4:33" ht="15" customHeight="1" x14ac:dyDescent="0.15">
      <c r="D94">
        <v>93</v>
      </c>
      <c r="E94" s="188" t="s">
        <v>284</v>
      </c>
      <c r="F94">
        <v>0.98</v>
      </c>
      <c r="G94">
        <v>0.8</v>
      </c>
      <c r="H94">
        <v>0</v>
      </c>
      <c r="I94">
        <v>0</v>
      </c>
      <c r="J94" s="114">
        <v>0</v>
      </c>
      <c r="K94" s="114">
        <v>0</v>
      </c>
      <c r="Y94"/>
      <c r="AC94"/>
      <c r="AG94"/>
    </row>
    <row r="95" spans="4:33" ht="15" customHeight="1" x14ac:dyDescent="0.15">
      <c r="D95">
        <v>94</v>
      </c>
      <c r="E95" s="188" t="s">
        <v>285</v>
      </c>
      <c r="F95">
        <v>0.98</v>
      </c>
      <c r="G95">
        <v>0.8</v>
      </c>
      <c r="H95">
        <v>0</v>
      </c>
      <c r="I95">
        <v>0</v>
      </c>
      <c r="J95" s="114">
        <v>0</v>
      </c>
      <c r="K95" s="114">
        <v>0</v>
      </c>
      <c r="Y95"/>
      <c r="AC95"/>
      <c r="AG95"/>
    </row>
    <row r="96" spans="4:33" ht="15" customHeight="1" x14ac:dyDescent="0.15">
      <c r="D96">
        <v>95</v>
      </c>
      <c r="E96" s="188" t="s">
        <v>286</v>
      </c>
      <c r="F96">
        <v>0.98</v>
      </c>
      <c r="G96">
        <v>0.8</v>
      </c>
      <c r="H96">
        <v>0</v>
      </c>
      <c r="I96">
        <v>0</v>
      </c>
      <c r="J96" s="114">
        <v>0</v>
      </c>
      <c r="K96" s="114">
        <v>0</v>
      </c>
      <c r="Y96"/>
      <c r="AC96"/>
      <c r="AG96"/>
    </row>
    <row r="97" spans="4:33" ht="15" customHeight="1" x14ac:dyDescent="0.15">
      <c r="D97">
        <v>96</v>
      </c>
      <c r="E97" s="188" t="s">
        <v>287</v>
      </c>
      <c r="F97">
        <v>0.98</v>
      </c>
      <c r="G97">
        <v>0.8</v>
      </c>
      <c r="H97">
        <v>0</v>
      </c>
      <c r="I97">
        <v>0</v>
      </c>
      <c r="J97" s="114">
        <v>0</v>
      </c>
      <c r="K97" s="114">
        <v>0</v>
      </c>
      <c r="Y97"/>
      <c r="AC97"/>
      <c r="AG97"/>
    </row>
    <row r="98" spans="4:33" ht="15" customHeight="1" x14ac:dyDescent="0.15">
      <c r="D98">
        <v>97</v>
      </c>
      <c r="E98" s="188" t="s">
        <v>288</v>
      </c>
      <c r="F98">
        <v>0.98</v>
      </c>
      <c r="G98">
        <v>0.8</v>
      </c>
      <c r="H98">
        <v>0</v>
      </c>
      <c r="I98">
        <v>0</v>
      </c>
      <c r="J98" s="114">
        <v>0</v>
      </c>
      <c r="K98" s="114">
        <v>0</v>
      </c>
      <c r="Y98"/>
      <c r="AC98"/>
      <c r="AG98"/>
    </row>
    <row r="99" spans="4:33" ht="15" customHeight="1" x14ac:dyDescent="0.15">
      <c r="D99">
        <v>98</v>
      </c>
      <c r="E99" s="188" t="s">
        <v>289</v>
      </c>
      <c r="F99">
        <v>0.98</v>
      </c>
      <c r="G99">
        <v>0.8</v>
      </c>
      <c r="H99">
        <v>0</v>
      </c>
      <c r="I99">
        <v>0</v>
      </c>
      <c r="J99" s="114">
        <v>0</v>
      </c>
      <c r="K99" s="114">
        <v>0</v>
      </c>
      <c r="Y99"/>
      <c r="AC99"/>
      <c r="AG99"/>
    </row>
    <row r="100" spans="4:33" ht="15" customHeight="1" x14ac:dyDescent="0.15">
      <c r="D100">
        <v>99</v>
      </c>
      <c r="E100" s="188" t="s">
        <v>290</v>
      </c>
      <c r="F100">
        <v>0.98</v>
      </c>
      <c r="G100">
        <v>0.8</v>
      </c>
      <c r="H100">
        <v>0</v>
      </c>
      <c r="I100">
        <v>0</v>
      </c>
      <c r="J100" s="114">
        <v>0</v>
      </c>
      <c r="K100" s="114">
        <v>0</v>
      </c>
      <c r="Y100"/>
      <c r="AC100"/>
      <c r="AG100"/>
    </row>
    <row r="101" spans="4:33" ht="15" customHeight="1" x14ac:dyDescent="0.15">
      <c r="J101"/>
      <c r="K101"/>
      <c r="Y101"/>
      <c r="AC101"/>
      <c r="AG101"/>
    </row>
    <row r="102" spans="4:33" ht="15" customHeight="1" x14ac:dyDescent="0.15">
      <c r="J102"/>
      <c r="K102"/>
      <c r="Y102"/>
      <c r="AC102"/>
      <c r="AG102"/>
    </row>
    <row r="103" spans="4:33" ht="15" customHeight="1" x14ac:dyDescent="0.15">
      <c r="J103"/>
      <c r="K103"/>
      <c r="Y103"/>
      <c r="AC103"/>
      <c r="AG103"/>
    </row>
    <row r="104" spans="4:33" ht="15" customHeight="1" x14ac:dyDescent="0.15">
      <c r="J104"/>
      <c r="K104"/>
      <c r="Y104"/>
      <c r="AC104"/>
      <c r="AG104"/>
    </row>
    <row r="105" spans="4:33" ht="15" customHeight="1" x14ac:dyDescent="0.15">
      <c r="J105"/>
      <c r="K105"/>
      <c r="Y105"/>
      <c r="AC105"/>
      <c r="AG105"/>
    </row>
    <row r="106" spans="4:33" ht="15" customHeight="1" x14ac:dyDescent="0.15">
      <c r="J106"/>
      <c r="K106"/>
      <c r="Y106"/>
      <c r="AC106"/>
      <c r="AG106"/>
    </row>
    <row r="107" spans="4:33" ht="15" customHeight="1" x14ac:dyDescent="0.15">
      <c r="J107"/>
      <c r="K107"/>
      <c r="Y107"/>
      <c r="AC107"/>
      <c r="AG107"/>
    </row>
    <row r="108" spans="4:33" ht="15" customHeight="1" x14ac:dyDescent="0.15">
      <c r="J108"/>
      <c r="K108"/>
      <c r="Y108"/>
      <c r="AC108"/>
      <c r="AG108"/>
    </row>
    <row r="109" spans="4:33" ht="15" customHeight="1" x14ac:dyDescent="0.15">
      <c r="J109"/>
      <c r="K109"/>
      <c r="Y109"/>
      <c r="AC109"/>
      <c r="AG109"/>
    </row>
    <row r="110" spans="4:33" ht="15" customHeight="1" x14ac:dyDescent="0.15">
      <c r="J110"/>
      <c r="K110"/>
      <c r="Y110"/>
      <c r="AC110"/>
      <c r="AG110"/>
    </row>
    <row r="111" spans="4:33" ht="15" customHeight="1" x14ac:dyDescent="0.15">
      <c r="J111"/>
      <c r="K111"/>
      <c r="Y111"/>
      <c r="AC111"/>
      <c r="AG111"/>
    </row>
    <row r="112" spans="4:33" ht="15" customHeight="1" x14ac:dyDescent="0.15">
      <c r="J112"/>
      <c r="K112"/>
      <c r="Y112"/>
      <c r="AC112"/>
      <c r="AG112"/>
    </row>
    <row r="113" spans="10:33" ht="15" customHeight="1" x14ac:dyDescent="0.15">
      <c r="J113"/>
      <c r="K113"/>
      <c r="Y113"/>
      <c r="AC113"/>
      <c r="AG113"/>
    </row>
    <row r="114" spans="10:33" ht="15" customHeight="1" x14ac:dyDescent="0.15">
      <c r="J114"/>
      <c r="K114"/>
      <c r="Y114"/>
      <c r="AC114"/>
      <c r="AG114"/>
    </row>
    <row r="115" spans="10:33" ht="15" customHeight="1" x14ac:dyDescent="0.15">
      <c r="J115"/>
      <c r="K115"/>
      <c r="Y115"/>
      <c r="AC115"/>
      <c r="AG115"/>
    </row>
    <row r="116" spans="10:33" ht="15" customHeight="1" x14ac:dyDescent="0.15">
      <c r="J116"/>
      <c r="K116"/>
      <c r="Y116"/>
      <c r="AC116"/>
      <c r="AG116"/>
    </row>
    <row r="117" spans="10:33" ht="15" customHeight="1" x14ac:dyDescent="0.15">
      <c r="J117"/>
      <c r="K117"/>
      <c r="Y117"/>
      <c r="AC117"/>
      <c r="AG117"/>
    </row>
    <row r="118" spans="10:33" ht="15" customHeight="1" x14ac:dyDescent="0.15">
      <c r="J118"/>
      <c r="K118"/>
      <c r="Y118"/>
      <c r="AC118"/>
      <c r="AG118"/>
    </row>
    <row r="119" spans="10:33" ht="15" customHeight="1" x14ac:dyDescent="0.15">
      <c r="J119"/>
      <c r="K119"/>
      <c r="Y119"/>
      <c r="AC119"/>
      <c r="AG119"/>
    </row>
    <row r="120" spans="10:33" ht="15" customHeight="1" x14ac:dyDescent="0.15">
      <c r="J120"/>
      <c r="K120"/>
      <c r="Y120"/>
      <c r="AC120"/>
      <c r="AG120"/>
    </row>
    <row r="121" spans="10:33" ht="15" customHeight="1" x14ac:dyDescent="0.15">
      <c r="J121"/>
      <c r="K121"/>
      <c r="Y121"/>
      <c r="AC121"/>
      <c r="AG121"/>
    </row>
    <row r="122" spans="10:33" ht="15" customHeight="1" x14ac:dyDescent="0.15">
      <c r="J122"/>
      <c r="K122"/>
      <c r="Y122"/>
      <c r="AC122"/>
      <c r="AG122"/>
    </row>
    <row r="123" spans="10:33" ht="15" customHeight="1" x14ac:dyDescent="0.15">
      <c r="J123"/>
      <c r="K123"/>
      <c r="Y123"/>
      <c r="AC123"/>
      <c r="AG123"/>
    </row>
    <row r="124" spans="10:33" ht="15" customHeight="1" x14ac:dyDescent="0.15">
      <c r="J124"/>
      <c r="K124"/>
      <c r="Y124"/>
      <c r="AC124"/>
      <c r="AG124"/>
    </row>
    <row r="125" spans="10:33" ht="15" customHeight="1" x14ac:dyDescent="0.15">
      <c r="J125"/>
      <c r="K125"/>
      <c r="Y125"/>
      <c r="AC125"/>
      <c r="AG125"/>
    </row>
    <row r="126" spans="10:33" ht="15" customHeight="1" x14ac:dyDescent="0.15">
      <c r="J126"/>
      <c r="K126"/>
      <c r="Y126"/>
      <c r="AC126"/>
      <c r="AG126"/>
    </row>
    <row r="127" spans="10:33" ht="15" customHeight="1" x14ac:dyDescent="0.15">
      <c r="J127"/>
      <c r="K127"/>
      <c r="Y127"/>
      <c r="AC127"/>
      <c r="AG127"/>
    </row>
    <row r="128" spans="10:33" ht="15" customHeight="1" x14ac:dyDescent="0.15">
      <c r="J128"/>
      <c r="K128"/>
      <c r="Y128"/>
      <c r="AC128"/>
      <c r="AG128"/>
    </row>
    <row r="129" spans="10:33" ht="15" customHeight="1" x14ac:dyDescent="0.15">
      <c r="J129"/>
      <c r="K129"/>
      <c r="Y129"/>
      <c r="AC129"/>
      <c r="AG129"/>
    </row>
    <row r="130" spans="10:33" ht="15" customHeight="1" x14ac:dyDescent="0.15">
      <c r="J130"/>
      <c r="K130"/>
      <c r="Y130"/>
      <c r="AC130"/>
      <c r="AG130"/>
    </row>
    <row r="131" spans="10:33" ht="15" customHeight="1" x14ac:dyDescent="0.15">
      <c r="J131"/>
      <c r="K131"/>
      <c r="Y131"/>
      <c r="AC131"/>
      <c r="AG131"/>
    </row>
    <row r="132" spans="10:33" ht="15" customHeight="1" x14ac:dyDescent="0.15">
      <c r="J132"/>
      <c r="K132"/>
      <c r="Y132"/>
      <c r="AC132"/>
      <c r="AG132"/>
    </row>
    <row r="133" spans="10:33" ht="15" customHeight="1" x14ac:dyDescent="0.15">
      <c r="J133"/>
      <c r="K133"/>
      <c r="Y133"/>
      <c r="AC133"/>
      <c r="AG133"/>
    </row>
    <row r="134" spans="10:33" ht="15" customHeight="1" x14ac:dyDescent="0.15">
      <c r="J134"/>
      <c r="K134"/>
      <c r="Y134"/>
      <c r="AC134"/>
      <c r="AG134"/>
    </row>
    <row r="135" spans="10:33" ht="15" customHeight="1" x14ac:dyDescent="0.15">
      <c r="J135"/>
      <c r="K135"/>
      <c r="Y135"/>
      <c r="AC135"/>
      <c r="AG135"/>
    </row>
    <row r="136" spans="10:33" ht="15" customHeight="1" x14ac:dyDescent="0.15">
      <c r="J136"/>
      <c r="K136"/>
      <c r="Y136"/>
      <c r="AC136"/>
      <c r="AG136"/>
    </row>
    <row r="137" spans="10:33" ht="15" customHeight="1" x14ac:dyDescent="0.15">
      <c r="J137"/>
      <c r="K137"/>
      <c r="Y137"/>
      <c r="AC137"/>
      <c r="AG137"/>
    </row>
    <row r="138" spans="10:33" ht="15" customHeight="1" x14ac:dyDescent="0.15">
      <c r="J138"/>
      <c r="K138"/>
      <c r="Y138"/>
      <c r="AC138"/>
      <c r="AG138"/>
    </row>
    <row r="139" spans="10:33" ht="15" customHeight="1" x14ac:dyDescent="0.15">
      <c r="J139"/>
      <c r="K139"/>
      <c r="Y139"/>
      <c r="AC139"/>
      <c r="AG139"/>
    </row>
    <row r="140" spans="10:33" ht="15" customHeight="1" x14ac:dyDescent="0.15">
      <c r="J140"/>
      <c r="K140"/>
      <c r="Y140"/>
      <c r="AC140"/>
      <c r="AG140"/>
    </row>
    <row r="141" spans="10:33" ht="15" customHeight="1" x14ac:dyDescent="0.15">
      <c r="J141"/>
      <c r="K141"/>
      <c r="Y141"/>
      <c r="AC141"/>
      <c r="AG141"/>
    </row>
    <row r="142" spans="10:33" ht="15" customHeight="1" x14ac:dyDescent="0.15">
      <c r="J142"/>
      <c r="K142"/>
      <c r="Y142"/>
      <c r="AC142"/>
      <c r="AG142"/>
    </row>
    <row r="143" spans="10:33" ht="15" customHeight="1" x14ac:dyDescent="0.15">
      <c r="J143"/>
      <c r="K143"/>
      <c r="Y143"/>
      <c r="AC143"/>
      <c r="AG143"/>
    </row>
    <row r="144" spans="10:33" ht="15" customHeight="1" x14ac:dyDescent="0.15">
      <c r="J144"/>
      <c r="K144"/>
      <c r="Y144"/>
      <c r="AC144"/>
      <c r="AG144"/>
    </row>
    <row r="145" spans="10:33" ht="15" customHeight="1" x14ac:dyDescent="0.15">
      <c r="J145"/>
      <c r="K145"/>
      <c r="Y145"/>
      <c r="AC145"/>
      <c r="AG145"/>
    </row>
    <row r="146" spans="10:33" ht="15" customHeight="1" x14ac:dyDescent="0.15">
      <c r="J146"/>
      <c r="K146"/>
      <c r="Y146"/>
      <c r="AC146"/>
      <c r="AG146"/>
    </row>
    <row r="147" spans="10:33" ht="15" customHeight="1" x14ac:dyDescent="0.15">
      <c r="J147"/>
      <c r="K147"/>
      <c r="Y147"/>
      <c r="AC147"/>
      <c r="AG147"/>
    </row>
    <row r="148" spans="10:33" ht="15" customHeight="1" x14ac:dyDescent="0.15">
      <c r="J148"/>
      <c r="K148"/>
      <c r="Y148"/>
      <c r="AC148"/>
      <c r="AG148"/>
    </row>
    <row r="149" spans="10:33" ht="15" customHeight="1" x14ac:dyDescent="0.15">
      <c r="J149"/>
      <c r="K149"/>
      <c r="Y149"/>
      <c r="AC149"/>
      <c r="AG149"/>
    </row>
    <row r="150" spans="10:33" ht="15" customHeight="1" x14ac:dyDescent="0.15">
      <c r="J150"/>
      <c r="K150"/>
      <c r="Y150"/>
      <c r="AC150"/>
      <c r="AG150"/>
    </row>
    <row r="151" spans="10:33" ht="15" customHeight="1" x14ac:dyDescent="0.15">
      <c r="J151"/>
      <c r="K151"/>
      <c r="Y151"/>
      <c r="AC151"/>
      <c r="AG151"/>
    </row>
    <row r="152" spans="10:33" ht="15" customHeight="1" x14ac:dyDescent="0.15">
      <c r="J152"/>
      <c r="K152"/>
      <c r="Y152"/>
      <c r="AC152"/>
      <c r="AG152"/>
    </row>
    <row r="153" spans="10:33" ht="15" customHeight="1" x14ac:dyDescent="0.15">
      <c r="J153"/>
      <c r="K153"/>
      <c r="Y153"/>
      <c r="AC153"/>
      <c r="AG153"/>
    </row>
    <row r="154" spans="10:33" ht="15" customHeight="1" x14ac:dyDescent="0.15">
      <c r="J154"/>
      <c r="K154"/>
      <c r="Y154"/>
      <c r="AC154"/>
      <c r="AG154"/>
    </row>
    <row r="155" spans="10:33" ht="15" customHeight="1" x14ac:dyDescent="0.15">
      <c r="J155"/>
      <c r="K155"/>
      <c r="Y155"/>
      <c r="AC155"/>
      <c r="AG155"/>
    </row>
    <row r="156" spans="10:33" ht="15" customHeight="1" x14ac:dyDescent="0.15">
      <c r="J156"/>
      <c r="K156"/>
      <c r="Y156"/>
      <c r="AC156"/>
      <c r="AG156"/>
    </row>
    <row r="157" spans="10:33" ht="15" customHeight="1" x14ac:dyDescent="0.15">
      <c r="J157"/>
      <c r="K157"/>
      <c r="Y157"/>
      <c r="AC157"/>
      <c r="AG157"/>
    </row>
    <row r="158" spans="10:33" ht="15" customHeight="1" x14ac:dyDescent="0.15">
      <c r="J158"/>
      <c r="K158"/>
      <c r="Y158"/>
      <c r="AC158"/>
      <c r="AG158"/>
    </row>
    <row r="159" spans="10:33" ht="15" customHeight="1" x14ac:dyDescent="0.15">
      <c r="J159"/>
      <c r="K159"/>
      <c r="Y159"/>
      <c r="AC159"/>
      <c r="AG159"/>
    </row>
    <row r="160" spans="10:33" ht="15" customHeight="1" x14ac:dyDescent="0.15">
      <c r="J160"/>
      <c r="K160"/>
      <c r="Y160"/>
      <c r="AC160"/>
      <c r="AG160"/>
    </row>
    <row r="161" spans="10:33" ht="15" customHeight="1" x14ac:dyDescent="0.15">
      <c r="J161"/>
      <c r="K161"/>
      <c r="Y161"/>
      <c r="AC161"/>
      <c r="AG161"/>
    </row>
    <row r="162" spans="10:33" ht="15" customHeight="1" x14ac:dyDescent="0.15">
      <c r="J162"/>
      <c r="K162"/>
      <c r="Y162"/>
      <c r="AC162"/>
      <c r="AG162"/>
    </row>
    <row r="163" spans="10:33" ht="15" customHeight="1" x14ac:dyDescent="0.15">
      <c r="J163"/>
      <c r="K163"/>
      <c r="Y163"/>
      <c r="AC163"/>
      <c r="AG163"/>
    </row>
    <row r="164" spans="10:33" ht="15" customHeight="1" x14ac:dyDescent="0.15">
      <c r="J164"/>
      <c r="K164"/>
      <c r="Y164"/>
      <c r="AC164"/>
      <c r="AG164"/>
    </row>
    <row r="165" spans="10:33" ht="15" customHeight="1" x14ac:dyDescent="0.15">
      <c r="J165"/>
      <c r="K165"/>
      <c r="Y165"/>
      <c r="AC165"/>
      <c r="AG165"/>
    </row>
    <row r="166" spans="10:33" ht="15" customHeight="1" x14ac:dyDescent="0.15">
      <c r="J166"/>
      <c r="K166"/>
      <c r="Y166"/>
      <c r="AC166"/>
      <c r="AG166"/>
    </row>
    <row r="167" spans="10:33" ht="15" customHeight="1" x14ac:dyDescent="0.15">
      <c r="J167"/>
      <c r="K167"/>
      <c r="Y167"/>
      <c r="AC167"/>
      <c r="AG167"/>
    </row>
    <row r="168" spans="10:33" ht="15" customHeight="1" x14ac:dyDescent="0.15">
      <c r="J168"/>
      <c r="K168"/>
      <c r="Y168"/>
      <c r="AC168"/>
      <c r="AG168"/>
    </row>
    <row r="169" spans="10:33" ht="15" customHeight="1" x14ac:dyDescent="0.15">
      <c r="J169"/>
      <c r="K169"/>
      <c r="Y169"/>
      <c r="AC169"/>
      <c r="AG169"/>
    </row>
    <row r="170" spans="10:33" ht="15" customHeight="1" x14ac:dyDescent="0.15">
      <c r="J170"/>
      <c r="K170"/>
      <c r="Y170"/>
      <c r="AC170"/>
      <c r="AG170"/>
    </row>
    <row r="171" spans="10:33" ht="15" customHeight="1" x14ac:dyDescent="0.15">
      <c r="J171"/>
      <c r="K171"/>
      <c r="Y171"/>
      <c r="AC171"/>
      <c r="AG171"/>
    </row>
    <row r="172" spans="10:33" ht="15" customHeight="1" x14ac:dyDescent="0.15">
      <c r="J172"/>
      <c r="K172"/>
      <c r="Y172"/>
      <c r="AC172"/>
      <c r="AG172"/>
    </row>
    <row r="173" spans="10:33" ht="15" customHeight="1" x14ac:dyDescent="0.15">
      <c r="J173"/>
      <c r="K173"/>
      <c r="Y173"/>
      <c r="AC173"/>
      <c r="AG173"/>
    </row>
    <row r="174" spans="10:33" ht="15" customHeight="1" x14ac:dyDescent="0.15">
      <c r="J174"/>
      <c r="K174"/>
      <c r="Y174"/>
      <c r="AC174"/>
      <c r="AG174"/>
    </row>
    <row r="175" spans="10:33" ht="15" customHeight="1" x14ac:dyDescent="0.15">
      <c r="J175"/>
      <c r="K175"/>
      <c r="Y175"/>
      <c r="AC175"/>
      <c r="AG175"/>
    </row>
    <row r="176" spans="10:33" ht="15" customHeight="1" x14ac:dyDescent="0.15">
      <c r="J176"/>
      <c r="K176"/>
      <c r="Y176"/>
      <c r="AC176"/>
      <c r="AG176"/>
    </row>
    <row r="177" spans="10:33" ht="15" customHeight="1" x14ac:dyDescent="0.15">
      <c r="J177"/>
      <c r="K177"/>
      <c r="Y177"/>
      <c r="AC177"/>
      <c r="AG177"/>
    </row>
    <row r="178" spans="10:33" ht="15" customHeight="1" x14ac:dyDescent="0.15">
      <c r="J178"/>
      <c r="K178"/>
      <c r="Y178"/>
      <c r="AC178"/>
      <c r="AG178"/>
    </row>
    <row r="179" spans="10:33" ht="15" customHeight="1" x14ac:dyDescent="0.15">
      <c r="J179"/>
      <c r="K179"/>
      <c r="Y179"/>
      <c r="AC179"/>
      <c r="AG179"/>
    </row>
    <row r="180" spans="10:33" ht="15" customHeight="1" x14ac:dyDescent="0.15">
      <c r="J180"/>
      <c r="K180"/>
      <c r="Y180"/>
      <c r="AC180"/>
      <c r="AG180"/>
    </row>
    <row r="181" spans="10:33" ht="15" customHeight="1" x14ac:dyDescent="0.15">
      <c r="J181"/>
      <c r="K181"/>
      <c r="Y181"/>
      <c r="AC181"/>
      <c r="AG181"/>
    </row>
    <row r="182" spans="10:33" ht="15" customHeight="1" x14ac:dyDescent="0.15">
      <c r="J182"/>
      <c r="K182"/>
      <c r="Y182"/>
      <c r="AC182"/>
      <c r="AG182"/>
    </row>
    <row r="183" spans="10:33" ht="15" customHeight="1" x14ac:dyDescent="0.15">
      <c r="J183"/>
      <c r="K183"/>
      <c r="Y183"/>
      <c r="AC183"/>
      <c r="AG183"/>
    </row>
    <row r="184" spans="10:33" ht="15" customHeight="1" x14ac:dyDescent="0.15">
      <c r="J184"/>
      <c r="K184"/>
      <c r="Y184"/>
      <c r="AC184"/>
      <c r="AG184"/>
    </row>
    <row r="185" spans="10:33" ht="15" customHeight="1" x14ac:dyDescent="0.15">
      <c r="J185"/>
      <c r="K185"/>
      <c r="Y185"/>
      <c r="AC185"/>
      <c r="AG18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indexed="51"/>
  </sheetPr>
  <dimension ref="A1:CV101"/>
  <sheetViews>
    <sheetView workbookViewId="0">
      <selection activeCell="A3" sqref="A3"/>
    </sheetView>
  </sheetViews>
  <sheetFormatPr baseColWidth="10" defaultRowHeight="13" x14ac:dyDescent="0.15"/>
  <cols>
    <col min="1" max="1" width="44.33203125" style="112" bestFit="1" customWidth="1"/>
    <col min="2" max="86" width="3.83203125" style="112" customWidth="1"/>
    <col min="87" max="100" width="2.33203125" style="112" customWidth="1"/>
    <col min="101" max="16384" width="10.83203125" style="112"/>
  </cols>
  <sheetData>
    <row r="1" spans="1:100" x14ac:dyDescent="0.15">
      <c r="A1" s="63" t="s">
        <v>118</v>
      </c>
      <c r="B1" s="190" t="s">
        <v>192</v>
      </c>
      <c r="C1" s="190" t="s">
        <v>193</v>
      </c>
      <c r="D1" s="190" t="s">
        <v>194</v>
      </c>
      <c r="E1" s="190" t="s">
        <v>195</v>
      </c>
      <c r="F1" s="190" t="s">
        <v>196</v>
      </c>
      <c r="G1" s="190" t="s">
        <v>197</v>
      </c>
      <c r="H1" s="190" t="s">
        <v>198</v>
      </c>
      <c r="I1" s="190" t="s">
        <v>199</v>
      </c>
      <c r="J1" s="190" t="s">
        <v>200</v>
      </c>
      <c r="K1" s="190" t="s">
        <v>201</v>
      </c>
      <c r="L1" s="190" t="s">
        <v>202</v>
      </c>
      <c r="M1" s="190" t="s">
        <v>203</v>
      </c>
      <c r="N1" s="190" t="s">
        <v>204</v>
      </c>
      <c r="O1" s="190" t="s">
        <v>205</v>
      </c>
      <c r="P1" s="190" t="s">
        <v>206</v>
      </c>
      <c r="Q1" s="190" t="s">
        <v>207</v>
      </c>
      <c r="R1" s="190" t="s">
        <v>208</v>
      </c>
      <c r="S1" s="190" t="s">
        <v>209</v>
      </c>
      <c r="T1" s="190" t="s">
        <v>210</v>
      </c>
      <c r="U1" s="190" t="s">
        <v>211</v>
      </c>
      <c r="V1" s="190" t="s">
        <v>212</v>
      </c>
      <c r="W1" s="190" t="s">
        <v>213</v>
      </c>
      <c r="X1" s="190" t="s">
        <v>214</v>
      </c>
      <c r="Y1" s="190" t="s">
        <v>215</v>
      </c>
      <c r="Z1" s="190" t="s">
        <v>216</v>
      </c>
      <c r="AA1" s="190" t="s">
        <v>217</v>
      </c>
      <c r="AB1" s="190" t="s">
        <v>218</v>
      </c>
      <c r="AC1" s="190" t="s">
        <v>219</v>
      </c>
      <c r="AD1" s="190" t="s">
        <v>220</v>
      </c>
      <c r="AE1" s="190" t="s">
        <v>221</v>
      </c>
      <c r="AF1" s="190" t="s">
        <v>222</v>
      </c>
      <c r="AG1" s="190" t="s">
        <v>223</v>
      </c>
      <c r="AH1" s="190" t="s">
        <v>224</v>
      </c>
      <c r="AI1" s="190" t="s">
        <v>225</v>
      </c>
      <c r="AJ1" s="190" t="s">
        <v>226</v>
      </c>
      <c r="AK1" s="190" t="s">
        <v>227</v>
      </c>
      <c r="AL1" s="190" t="s">
        <v>228</v>
      </c>
      <c r="AM1" s="190" t="s">
        <v>229</v>
      </c>
      <c r="AN1" s="190" t="s">
        <v>230</v>
      </c>
      <c r="AO1" s="190" t="s">
        <v>231</v>
      </c>
      <c r="AP1" s="190" t="s">
        <v>232</v>
      </c>
      <c r="AQ1" s="190" t="s">
        <v>233</v>
      </c>
      <c r="AR1" s="190" t="s">
        <v>234</v>
      </c>
      <c r="AS1" s="190" t="s">
        <v>235</v>
      </c>
      <c r="AT1" s="190" t="s">
        <v>236</v>
      </c>
      <c r="AU1" s="190" t="s">
        <v>237</v>
      </c>
      <c r="AV1" s="190" t="s">
        <v>238</v>
      </c>
      <c r="AW1" s="190" t="s">
        <v>239</v>
      </c>
      <c r="AX1" s="190" t="s">
        <v>240</v>
      </c>
      <c r="AY1" s="190" t="s">
        <v>241</v>
      </c>
      <c r="AZ1" s="190" t="s">
        <v>242</v>
      </c>
      <c r="BA1" s="190" t="s">
        <v>243</v>
      </c>
      <c r="BB1" s="190" t="s">
        <v>244</v>
      </c>
      <c r="BC1" s="190" t="s">
        <v>245</v>
      </c>
      <c r="BD1" s="190" t="s">
        <v>246</v>
      </c>
      <c r="BE1" s="190" t="s">
        <v>247</v>
      </c>
      <c r="BF1" s="190" t="s">
        <v>248</v>
      </c>
      <c r="BG1" s="190" t="s">
        <v>249</v>
      </c>
      <c r="BH1" s="190" t="s">
        <v>250</v>
      </c>
      <c r="BI1" s="190" t="s">
        <v>251</v>
      </c>
      <c r="BJ1" s="190" t="s">
        <v>252</v>
      </c>
      <c r="BK1" s="190" t="s">
        <v>253</v>
      </c>
      <c r="BL1" s="190" t="s">
        <v>254</v>
      </c>
      <c r="BM1" s="190" t="s">
        <v>255</v>
      </c>
      <c r="BN1" s="190" t="s">
        <v>256</v>
      </c>
      <c r="BO1" s="190" t="s">
        <v>257</v>
      </c>
      <c r="BP1" s="190" t="s">
        <v>258</v>
      </c>
      <c r="BQ1" s="190" t="s">
        <v>259</v>
      </c>
      <c r="BR1" s="190" t="s">
        <v>260</v>
      </c>
      <c r="BS1" s="190" t="s">
        <v>261</v>
      </c>
      <c r="BT1" s="190" t="s">
        <v>262</v>
      </c>
      <c r="BU1" s="190" t="s">
        <v>263</v>
      </c>
      <c r="BV1" s="190" t="s">
        <v>264</v>
      </c>
      <c r="BW1" s="190" t="s">
        <v>265</v>
      </c>
      <c r="BX1" s="190" t="s">
        <v>266</v>
      </c>
      <c r="BY1" s="190" t="s">
        <v>267</v>
      </c>
      <c r="BZ1" s="190" t="s">
        <v>268</v>
      </c>
      <c r="CA1" s="190" t="s">
        <v>269</v>
      </c>
      <c r="CB1" s="190" t="s">
        <v>270</v>
      </c>
      <c r="CC1" s="190" t="s">
        <v>271</v>
      </c>
      <c r="CD1" s="190" t="s">
        <v>272</v>
      </c>
      <c r="CE1" s="190" t="s">
        <v>273</v>
      </c>
      <c r="CF1" s="190" t="s">
        <v>274</v>
      </c>
      <c r="CG1" s="190" t="s">
        <v>275</v>
      </c>
      <c r="CH1" s="190" t="s">
        <v>276</v>
      </c>
      <c r="CI1" s="190" t="s">
        <v>277</v>
      </c>
      <c r="CJ1" s="190" t="s">
        <v>278</v>
      </c>
      <c r="CK1" s="190" t="s">
        <v>279</v>
      </c>
      <c r="CL1" s="190" t="s">
        <v>280</v>
      </c>
      <c r="CM1" s="190" t="s">
        <v>281</v>
      </c>
      <c r="CN1" s="190" t="s">
        <v>282</v>
      </c>
      <c r="CO1" s="190" t="s">
        <v>283</v>
      </c>
      <c r="CP1" s="190" t="s">
        <v>284</v>
      </c>
      <c r="CQ1" s="190" t="s">
        <v>285</v>
      </c>
      <c r="CR1" s="190" t="s">
        <v>286</v>
      </c>
      <c r="CS1" s="190" t="s">
        <v>287</v>
      </c>
      <c r="CT1" s="190" t="s">
        <v>288</v>
      </c>
      <c r="CU1" s="190" t="s">
        <v>289</v>
      </c>
      <c r="CV1" s="190" t="s">
        <v>290</v>
      </c>
    </row>
    <row r="2" spans="1:100" customFormat="1" x14ac:dyDescent="0.15">
      <c r="A2" s="189" t="s">
        <v>192</v>
      </c>
      <c r="B2" s="112">
        <v>0</v>
      </c>
      <c r="C2" s="112">
        <v>0</v>
      </c>
      <c r="D2" s="112">
        <v>0</v>
      </c>
      <c r="E2" s="112">
        <v>0</v>
      </c>
      <c r="F2" s="112">
        <v>0</v>
      </c>
      <c r="G2" s="112">
        <v>0</v>
      </c>
      <c r="H2" s="112">
        <v>0</v>
      </c>
      <c r="I2" s="112">
        <v>0</v>
      </c>
      <c r="J2" s="112">
        <v>0</v>
      </c>
      <c r="K2" s="112">
        <v>0</v>
      </c>
      <c r="L2" s="112">
        <v>0</v>
      </c>
      <c r="M2" s="112">
        <v>0</v>
      </c>
      <c r="N2" s="112">
        <v>0</v>
      </c>
      <c r="O2" s="112">
        <v>0</v>
      </c>
      <c r="P2" s="112">
        <v>0</v>
      </c>
      <c r="Q2" s="112">
        <v>0</v>
      </c>
      <c r="R2" s="112">
        <v>0</v>
      </c>
      <c r="S2" s="112">
        <v>0</v>
      </c>
      <c r="T2" s="112">
        <v>0</v>
      </c>
      <c r="U2" s="112">
        <v>0</v>
      </c>
      <c r="V2" s="112">
        <v>0</v>
      </c>
      <c r="W2" s="112">
        <v>0</v>
      </c>
      <c r="X2" s="112">
        <v>0</v>
      </c>
      <c r="Y2" s="112">
        <v>0</v>
      </c>
      <c r="Z2" s="112">
        <v>0</v>
      </c>
      <c r="AA2" s="112">
        <v>0</v>
      </c>
      <c r="AB2" s="112">
        <v>0</v>
      </c>
      <c r="AC2" s="112">
        <v>0</v>
      </c>
      <c r="AD2" s="112">
        <v>0</v>
      </c>
      <c r="AE2" s="112">
        <v>0</v>
      </c>
      <c r="AF2" s="112">
        <v>0</v>
      </c>
      <c r="AG2" s="112">
        <v>0</v>
      </c>
      <c r="AH2" s="112">
        <v>0</v>
      </c>
      <c r="AI2" s="112">
        <v>0</v>
      </c>
      <c r="AJ2" s="112">
        <v>0</v>
      </c>
      <c r="AK2" s="112">
        <v>0</v>
      </c>
      <c r="AL2" s="112">
        <v>0</v>
      </c>
      <c r="AM2" s="112">
        <v>0</v>
      </c>
      <c r="AN2" s="112">
        <v>0</v>
      </c>
      <c r="AO2" s="112">
        <v>0</v>
      </c>
      <c r="AP2" s="112">
        <v>0</v>
      </c>
      <c r="AQ2" s="112">
        <v>0</v>
      </c>
      <c r="AR2" s="112">
        <v>0</v>
      </c>
      <c r="AS2" s="112">
        <v>0</v>
      </c>
      <c r="AT2" s="112">
        <v>0</v>
      </c>
      <c r="AU2" s="112">
        <v>0</v>
      </c>
      <c r="AV2" s="112">
        <v>0</v>
      </c>
      <c r="AW2" s="112">
        <v>0</v>
      </c>
      <c r="AX2" s="112">
        <v>0</v>
      </c>
      <c r="AY2" s="112">
        <v>0</v>
      </c>
      <c r="AZ2" s="112">
        <v>0</v>
      </c>
      <c r="BA2" s="112">
        <v>0</v>
      </c>
      <c r="BB2" s="112">
        <v>0</v>
      </c>
      <c r="BC2" s="112">
        <v>0</v>
      </c>
      <c r="BD2" s="112">
        <v>0</v>
      </c>
      <c r="BE2" s="112">
        <v>0</v>
      </c>
      <c r="BF2" s="112">
        <v>0</v>
      </c>
      <c r="BG2" s="112">
        <v>0</v>
      </c>
      <c r="BH2" s="112">
        <v>0</v>
      </c>
      <c r="BI2" s="112">
        <v>0</v>
      </c>
      <c r="BJ2" s="112">
        <v>0</v>
      </c>
      <c r="BK2" s="112">
        <v>0</v>
      </c>
      <c r="BL2" s="112">
        <v>0</v>
      </c>
      <c r="BM2" s="112">
        <v>0</v>
      </c>
      <c r="BN2" s="112">
        <v>0</v>
      </c>
      <c r="BO2" s="112">
        <v>0</v>
      </c>
      <c r="BP2" s="112">
        <v>0</v>
      </c>
      <c r="BQ2" s="112">
        <v>0</v>
      </c>
      <c r="BR2" s="112">
        <v>0</v>
      </c>
      <c r="BS2" s="112">
        <v>0</v>
      </c>
      <c r="BT2" s="112">
        <v>0</v>
      </c>
      <c r="BU2" s="112">
        <v>0</v>
      </c>
      <c r="BV2" s="112">
        <v>0</v>
      </c>
      <c r="BW2" s="112">
        <v>0</v>
      </c>
      <c r="BX2" s="112">
        <v>0</v>
      </c>
      <c r="BY2" s="112">
        <v>0</v>
      </c>
      <c r="BZ2" s="112">
        <v>0</v>
      </c>
      <c r="CA2" s="112">
        <v>0</v>
      </c>
      <c r="CB2" s="112">
        <v>0</v>
      </c>
      <c r="CC2" s="112">
        <v>0</v>
      </c>
      <c r="CD2" s="112">
        <v>0</v>
      </c>
      <c r="CE2" s="112">
        <v>0</v>
      </c>
      <c r="CF2" s="112">
        <v>0</v>
      </c>
      <c r="CG2" s="112">
        <v>0</v>
      </c>
      <c r="CH2" s="112">
        <v>0</v>
      </c>
      <c r="CI2" s="112">
        <v>0</v>
      </c>
      <c r="CJ2" s="112">
        <v>0</v>
      </c>
      <c r="CK2" s="112">
        <v>0</v>
      </c>
      <c r="CL2" s="112">
        <v>0</v>
      </c>
      <c r="CM2" s="112">
        <v>0</v>
      </c>
      <c r="CN2" s="112">
        <v>0</v>
      </c>
      <c r="CO2" s="112">
        <v>0</v>
      </c>
      <c r="CP2" s="112">
        <v>0</v>
      </c>
      <c r="CQ2" s="112">
        <v>0</v>
      </c>
      <c r="CR2" s="112">
        <v>0</v>
      </c>
      <c r="CS2" s="112">
        <v>0</v>
      </c>
      <c r="CT2" s="112">
        <v>0</v>
      </c>
      <c r="CU2" s="112">
        <v>0</v>
      </c>
      <c r="CV2" s="112">
        <v>0</v>
      </c>
    </row>
    <row r="3" spans="1:100" customFormat="1" x14ac:dyDescent="0.15">
      <c r="A3" s="189" t="s">
        <v>193</v>
      </c>
      <c r="B3" s="112">
        <v>0</v>
      </c>
      <c r="C3" s="112">
        <v>0</v>
      </c>
      <c r="D3" s="112">
        <v>0</v>
      </c>
      <c r="E3" s="112">
        <v>0</v>
      </c>
      <c r="F3" s="112">
        <v>0</v>
      </c>
      <c r="G3" s="112">
        <v>0</v>
      </c>
      <c r="H3" s="112">
        <v>0</v>
      </c>
      <c r="I3" s="112">
        <v>0</v>
      </c>
      <c r="J3" s="112">
        <v>0</v>
      </c>
      <c r="K3" s="112">
        <v>0</v>
      </c>
      <c r="L3" s="112">
        <v>0</v>
      </c>
      <c r="M3" s="112">
        <v>0</v>
      </c>
      <c r="N3" s="112">
        <v>0</v>
      </c>
      <c r="O3" s="112">
        <v>0</v>
      </c>
      <c r="P3" s="112">
        <v>0</v>
      </c>
      <c r="Q3" s="112">
        <v>0</v>
      </c>
      <c r="R3" s="112">
        <v>0</v>
      </c>
      <c r="S3" s="112">
        <v>0</v>
      </c>
      <c r="T3" s="112">
        <v>0</v>
      </c>
      <c r="U3" s="112">
        <v>0</v>
      </c>
      <c r="V3" s="112">
        <v>0</v>
      </c>
      <c r="W3" s="112">
        <v>0</v>
      </c>
      <c r="X3" s="112">
        <v>0</v>
      </c>
      <c r="Y3" s="112">
        <v>0</v>
      </c>
      <c r="Z3" s="112">
        <v>0</v>
      </c>
      <c r="AA3" s="112">
        <v>0</v>
      </c>
      <c r="AB3" s="112">
        <v>0</v>
      </c>
      <c r="AC3" s="112">
        <v>0</v>
      </c>
      <c r="AD3" s="112">
        <v>0</v>
      </c>
      <c r="AE3" s="112">
        <v>0</v>
      </c>
      <c r="AF3" s="112">
        <v>0</v>
      </c>
      <c r="AG3" s="112">
        <v>0</v>
      </c>
      <c r="AH3" s="112">
        <v>0</v>
      </c>
      <c r="AI3" s="112">
        <v>0</v>
      </c>
      <c r="AJ3" s="112">
        <v>0</v>
      </c>
      <c r="AK3" s="112">
        <v>0</v>
      </c>
      <c r="AL3" s="112">
        <v>0</v>
      </c>
      <c r="AM3" s="112">
        <v>0</v>
      </c>
      <c r="AN3" s="112">
        <v>0</v>
      </c>
      <c r="AO3" s="112">
        <v>0</v>
      </c>
      <c r="AP3" s="112">
        <v>0</v>
      </c>
      <c r="AQ3" s="112">
        <v>0</v>
      </c>
      <c r="AR3" s="112">
        <v>0</v>
      </c>
      <c r="AS3" s="112">
        <v>0</v>
      </c>
      <c r="AT3" s="112">
        <v>0</v>
      </c>
      <c r="AU3" s="112">
        <v>0</v>
      </c>
      <c r="AV3" s="112">
        <v>0</v>
      </c>
      <c r="AW3" s="112">
        <v>0</v>
      </c>
      <c r="AX3" s="112">
        <v>0</v>
      </c>
      <c r="AY3" s="112">
        <v>0</v>
      </c>
      <c r="AZ3" s="112">
        <v>0</v>
      </c>
      <c r="BA3" s="112">
        <v>0</v>
      </c>
      <c r="BB3" s="112">
        <v>0</v>
      </c>
      <c r="BC3" s="112">
        <v>0</v>
      </c>
      <c r="BD3" s="112">
        <v>0</v>
      </c>
      <c r="BE3" s="112">
        <v>0</v>
      </c>
      <c r="BF3" s="112">
        <v>0</v>
      </c>
      <c r="BG3" s="112">
        <v>0</v>
      </c>
      <c r="BH3" s="112">
        <v>0</v>
      </c>
      <c r="BI3" s="112">
        <v>0</v>
      </c>
      <c r="BJ3" s="112">
        <v>0</v>
      </c>
      <c r="BK3" s="112">
        <v>0</v>
      </c>
      <c r="BL3" s="112">
        <v>0</v>
      </c>
      <c r="BM3" s="112">
        <v>0</v>
      </c>
      <c r="BN3" s="112">
        <v>0</v>
      </c>
      <c r="BO3" s="112">
        <v>0</v>
      </c>
      <c r="BP3" s="112">
        <v>0</v>
      </c>
      <c r="BQ3" s="112">
        <v>0</v>
      </c>
      <c r="BR3" s="112">
        <v>0</v>
      </c>
      <c r="BS3" s="112">
        <v>0</v>
      </c>
      <c r="BT3" s="112">
        <v>0</v>
      </c>
      <c r="BU3" s="112">
        <v>0</v>
      </c>
      <c r="BV3" s="112">
        <v>0</v>
      </c>
      <c r="BW3" s="112">
        <v>0</v>
      </c>
      <c r="BX3" s="112">
        <v>0</v>
      </c>
      <c r="BY3" s="112">
        <v>0</v>
      </c>
      <c r="BZ3" s="112">
        <v>0</v>
      </c>
      <c r="CA3" s="112">
        <v>0</v>
      </c>
      <c r="CB3" s="112">
        <v>0</v>
      </c>
      <c r="CC3" s="112">
        <v>0</v>
      </c>
      <c r="CD3" s="112">
        <v>0</v>
      </c>
      <c r="CE3" s="112">
        <v>0</v>
      </c>
      <c r="CF3" s="112">
        <v>0</v>
      </c>
      <c r="CG3" s="112">
        <v>0</v>
      </c>
      <c r="CH3" s="112">
        <v>0</v>
      </c>
      <c r="CI3" s="112">
        <v>0</v>
      </c>
      <c r="CJ3" s="112">
        <v>0</v>
      </c>
      <c r="CK3" s="112">
        <v>0</v>
      </c>
      <c r="CL3" s="112">
        <v>0</v>
      </c>
      <c r="CM3" s="112">
        <v>0</v>
      </c>
      <c r="CN3" s="112">
        <v>0</v>
      </c>
      <c r="CO3" s="112">
        <v>0</v>
      </c>
      <c r="CP3" s="112">
        <v>0</v>
      </c>
      <c r="CQ3" s="112">
        <v>0</v>
      </c>
      <c r="CR3" s="112">
        <v>0</v>
      </c>
      <c r="CS3" s="112">
        <v>0</v>
      </c>
      <c r="CT3" s="112">
        <v>0</v>
      </c>
      <c r="CU3" s="112">
        <v>0</v>
      </c>
      <c r="CV3" s="112">
        <v>0</v>
      </c>
    </row>
    <row r="4" spans="1:100" customFormat="1" x14ac:dyDescent="0.15">
      <c r="A4" s="189" t="s">
        <v>194</v>
      </c>
      <c r="B4" s="112">
        <v>0</v>
      </c>
      <c r="C4" s="112">
        <v>0</v>
      </c>
      <c r="D4" s="112">
        <v>0</v>
      </c>
      <c r="E4" s="112">
        <v>0</v>
      </c>
      <c r="F4" s="112">
        <v>0</v>
      </c>
      <c r="G4" s="112">
        <v>0</v>
      </c>
      <c r="H4" s="112">
        <v>0</v>
      </c>
      <c r="I4" s="112">
        <v>0</v>
      </c>
      <c r="J4" s="112">
        <v>0</v>
      </c>
      <c r="K4" s="112">
        <v>0</v>
      </c>
      <c r="L4" s="112">
        <v>0</v>
      </c>
      <c r="M4" s="112">
        <v>0</v>
      </c>
      <c r="N4" s="112">
        <v>0</v>
      </c>
      <c r="O4" s="112">
        <v>0</v>
      </c>
      <c r="P4" s="112">
        <v>0</v>
      </c>
      <c r="Q4" s="112">
        <v>0</v>
      </c>
      <c r="R4" s="112">
        <v>0</v>
      </c>
      <c r="S4" s="112">
        <v>0</v>
      </c>
      <c r="T4" s="112">
        <v>0</v>
      </c>
      <c r="U4" s="112">
        <v>0</v>
      </c>
      <c r="V4" s="112">
        <v>0</v>
      </c>
      <c r="W4" s="112">
        <v>0</v>
      </c>
      <c r="X4" s="112">
        <v>0</v>
      </c>
      <c r="Y4" s="112">
        <v>0</v>
      </c>
      <c r="Z4" s="112">
        <v>0</v>
      </c>
      <c r="AA4" s="112">
        <v>0</v>
      </c>
      <c r="AB4" s="112">
        <v>0</v>
      </c>
      <c r="AC4" s="112">
        <v>0</v>
      </c>
      <c r="AD4" s="112">
        <v>0</v>
      </c>
      <c r="AE4" s="112">
        <v>0</v>
      </c>
      <c r="AF4" s="112">
        <v>0</v>
      </c>
      <c r="AG4" s="112">
        <v>0</v>
      </c>
      <c r="AH4" s="112">
        <v>0</v>
      </c>
      <c r="AI4" s="112">
        <v>0</v>
      </c>
      <c r="AJ4" s="112">
        <v>0</v>
      </c>
      <c r="AK4" s="112">
        <v>0</v>
      </c>
      <c r="AL4" s="112">
        <v>0</v>
      </c>
      <c r="AM4" s="112">
        <v>0</v>
      </c>
      <c r="AN4" s="112">
        <v>0</v>
      </c>
      <c r="AO4" s="112">
        <v>0</v>
      </c>
      <c r="AP4" s="112">
        <v>0</v>
      </c>
      <c r="AQ4" s="112">
        <v>0</v>
      </c>
      <c r="AR4" s="112">
        <v>0</v>
      </c>
      <c r="AS4" s="112">
        <v>0</v>
      </c>
      <c r="AT4" s="112">
        <v>0</v>
      </c>
      <c r="AU4" s="112">
        <v>0</v>
      </c>
      <c r="AV4" s="112">
        <v>0</v>
      </c>
      <c r="AW4" s="112">
        <v>0</v>
      </c>
      <c r="AX4" s="112">
        <v>0</v>
      </c>
      <c r="AY4" s="112">
        <v>0</v>
      </c>
      <c r="AZ4" s="112">
        <v>0</v>
      </c>
      <c r="BA4" s="112">
        <v>0</v>
      </c>
      <c r="BB4" s="112">
        <v>0</v>
      </c>
      <c r="BC4" s="112">
        <v>0</v>
      </c>
      <c r="BD4" s="112">
        <v>0</v>
      </c>
      <c r="BE4" s="112">
        <v>0</v>
      </c>
      <c r="BF4" s="112">
        <v>0</v>
      </c>
      <c r="BG4" s="112">
        <v>0</v>
      </c>
      <c r="BH4" s="112">
        <v>0</v>
      </c>
      <c r="BI4" s="112">
        <v>0</v>
      </c>
      <c r="BJ4" s="112">
        <v>0</v>
      </c>
      <c r="BK4" s="112">
        <v>0</v>
      </c>
      <c r="BL4" s="112">
        <v>0</v>
      </c>
      <c r="BM4" s="112">
        <v>0</v>
      </c>
      <c r="BN4" s="112">
        <v>0</v>
      </c>
      <c r="BO4" s="112">
        <v>0</v>
      </c>
      <c r="BP4" s="112">
        <v>0</v>
      </c>
      <c r="BQ4" s="112">
        <v>0</v>
      </c>
      <c r="BR4" s="112">
        <v>0</v>
      </c>
      <c r="BS4" s="112">
        <v>0</v>
      </c>
      <c r="BT4" s="112">
        <v>0</v>
      </c>
      <c r="BU4" s="112">
        <v>0</v>
      </c>
      <c r="BV4" s="112">
        <v>0</v>
      </c>
      <c r="BW4" s="112">
        <v>0</v>
      </c>
      <c r="BX4" s="112">
        <v>0</v>
      </c>
      <c r="BY4" s="112">
        <v>0</v>
      </c>
      <c r="BZ4" s="112">
        <v>0</v>
      </c>
      <c r="CA4" s="112">
        <v>0</v>
      </c>
      <c r="CB4" s="112">
        <v>0</v>
      </c>
      <c r="CC4" s="112">
        <v>0</v>
      </c>
      <c r="CD4" s="112">
        <v>0</v>
      </c>
      <c r="CE4" s="112">
        <v>0</v>
      </c>
      <c r="CF4" s="112">
        <v>0</v>
      </c>
      <c r="CG4" s="112">
        <v>0</v>
      </c>
      <c r="CH4" s="112">
        <v>0</v>
      </c>
      <c r="CI4" s="112">
        <v>0</v>
      </c>
      <c r="CJ4" s="112">
        <v>0</v>
      </c>
      <c r="CK4" s="112">
        <v>0</v>
      </c>
      <c r="CL4" s="112">
        <v>0</v>
      </c>
      <c r="CM4" s="112">
        <v>0</v>
      </c>
      <c r="CN4" s="112">
        <v>0</v>
      </c>
      <c r="CO4" s="112">
        <v>0</v>
      </c>
      <c r="CP4" s="112">
        <v>0</v>
      </c>
      <c r="CQ4" s="112">
        <v>0</v>
      </c>
      <c r="CR4" s="112">
        <v>0</v>
      </c>
      <c r="CS4" s="112">
        <v>0</v>
      </c>
      <c r="CT4" s="112">
        <v>0</v>
      </c>
      <c r="CU4" s="112">
        <v>0</v>
      </c>
      <c r="CV4" s="112">
        <v>0</v>
      </c>
    </row>
    <row r="5" spans="1:100" customFormat="1" x14ac:dyDescent="0.15">
      <c r="A5" s="189" t="s">
        <v>195</v>
      </c>
      <c r="B5" s="112">
        <v>0</v>
      </c>
      <c r="C5" s="112">
        <v>0</v>
      </c>
      <c r="D5" s="112">
        <v>0.8</v>
      </c>
      <c r="E5" s="112">
        <v>0</v>
      </c>
      <c r="F5" s="112">
        <v>0</v>
      </c>
      <c r="G5" s="112">
        <v>0</v>
      </c>
      <c r="H5" s="112">
        <v>0.8</v>
      </c>
      <c r="I5" s="112">
        <v>0</v>
      </c>
      <c r="J5" s="112">
        <v>0</v>
      </c>
      <c r="K5" s="112">
        <v>0</v>
      </c>
      <c r="L5" s="112">
        <v>0</v>
      </c>
      <c r="M5" s="112">
        <v>0</v>
      </c>
      <c r="N5" s="112">
        <v>0</v>
      </c>
      <c r="O5" s="112">
        <v>0</v>
      </c>
      <c r="P5" s="112">
        <v>0</v>
      </c>
      <c r="Q5" s="112">
        <v>0</v>
      </c>
      <c r="R5" s="112">
        <v>0</v>
      </c>
      <c r="S5" s="112">
        <v>0</v>
      </c>
      <c r="T5" s="112">
        <v>0</v>
      </c>
      <c r="U5" s="112">
        <v>0</v>
      </c>
      <c r="V5" s="112">
        <v>0</v>
      </c>
      <c r="W5" s="112">
        <v>0</v>
      </c>
      <c r="X5" s="112">
        <v>0</v>
      </c>
      <c r="Y5" s="112">
        <v>0</v>
      </c>
      <c r="Z5" s="112">
        <v>0</v>
      </c>
      <c r="AA5" s="112">
        <v>0</v>
      </c>
      <c r="AB5" s="112">
        <v>0</v>
      </c>
      <c r="AC5" s="112">
        <v>0</v>
      </c>
      <c r="AD5" s="112">
        <v>0</v>
      </c>
      <c r="AE5" s="112">
        <v>0</v>
      </c>
      <c r="AF5" s="112">
        <v>0</v>
      </c>
      <c r="AG5" s="112">
        <v>0</v>
      </c>
      <c r="AH5" s="112">
        <v>0</v>
      </c>
      <c r="AI5" s="112">
        <v>0</v>
      </c>
      <c r="AJ5" s="112">
        <v>0</v>
      </c>
      <c r="AK5" s="112">
        <v>0</v>
      </c>
      <c r="AL5" s="112">
        <v>0</v>
      </c>
      <c r="AM5" s="112">
        <v>0</v>
      </c>
      <c r="AN5" s="112">
        <v>0</v>
      </c>
      <c r="AO5" s="112">
        <v>0</v>
      </c>
      <c r="AP5" s="112">
        <v>0</v>
      </c>
      <c r="AQ5" s="112">
        <v>0</v>
      </c>
      <c r="AR5" s="112">
        <v>0</v>
      </c>
      <c r="AS5" s="112">
        <v>0</v>
      </c>
      <c r="AT5" s="112">
        <v>0</v>
      </c>
      <c r="AU5" s="112">
        <v>0</v>
      </c>
      <c r="AV5" s="112">
        <v>0</v>
      </c>
      <c r="AW5" s="112">
        <v>0</v>
      </c>
      <c r="AX5" s="112">
        <v>0</v>
      </c>
      <c r="AY5" s="112">
        <v>0</v>
      </c>
      <c r="AZ5" s="112">
        <v>0</v>
      </c>
      <c r="BA5" s="112">
        <v>0</v>
      </c>
      <c r="BB5" s="112">
        <v>0</v>
      </c>
      <c r="BC5" s="112">
        <v>0</v>
      </c>
      <c r="BD5" s="112">
        <v>0</v>
      </c>
      <c r="BE5" s="112">
        <v>0</v>
      </c>
      <c r="BF5" s="112">
        <v>0</v>
      </c>
      <c r="BG5" s="112">
        <v>0</v>
      </c>
      <c r="BH5" s="112">
        <v>0</v>
      </c>
      <c r="BI5" s="112">
        <v>0</v>
      </c>
      <c r="BJ5" s="112">
        <v>0</v>
      </c>
      <c r="BK5" s="112">
        <v>0</v>
      </c>
      <c r="BL5" s="112">
        <v>0</v>
      </c>
      <c r="BM5" s="112">
        <v>0</v>
      </c>
      <c r="BN5" s="112">
        <v>0</v>
      </c>
      <c r="BO5" s="112">
        <v>0</v>
      </c>
      <c r="BP5" s="112">
        <v>0</v>
      </c>
      <c r="BQ5" s="112">
        <v>0</v>
      </c>
      <c r="BR5" s="112">
        <v>0</v>
      </c>
      <c r="BS5" s="112">
        <v>0</v>
      </c>
      <c r="BT5" s="112">
        <v>0</v>
      </c>
      <c r="BU5" s="112">
        <v>0</v>
      </c>
      <c r="BV5" s="112">
        <v>0</v>
      </c>
      <c r="BW5" s="112">
        <v>0</v>
      </c>
      <c r="BX5" s="112">
        <v>0</v>
      </c>
      <c r="BY5" s="112">
        <v>0</v>
      </c>
      <c r="BZ5" s="112">
        <v>0</v>
      </c>
      <c r="CA5" s="112">
        <v>0</v>
      </c>
      <c r="CB5" s="112">
        <v>0</v>
      </c>
      <c r="CC5" s="112">
        <v>0</v>
      </c>
      <c r="CD5" s="112">
        <v>0</v>
      </c>
      <c r="CE5" s="112">
        <v>0</v>
      </c>
      <c r="CF5" s="112">
        <v>0</v>
      </c>
      <c r="CG5" s="112">
        <v>0</v>
      </c>
      <c r="CH5" s="112">
        <v>0</v>
      </c>
      <c r="CI5" s="112">
        <v>0</v>
      </c>
      <c r="CJ5" s="112">
        <v>0</v>
      </c>
      <c r="CK5" s="112">
        <v>0</v>
      </c>
      <c r="CL5" s="112">
        <v>0</v>
      </c>
      <c r="CM5" s="112">
        <v>0</v>
      </c>
      <c r="CN5" s="112">
        <v>0</v>
      </c>
      <c r="CO5" s="112">
        <v>0</v>
      </c>
      <c r="CP5" s="112">
        <v>0</v>
      </c>
      <c r="CQ5" s="112">
        <v>0</v>
      </c>
      <c r="CR5" s="112">
        <v>0</v>
      </c>
      <c r="CS5" s="112">
        <v>0</v>
      </c>
      <c r="CT5" s="112">
        <v>0</v>
      </c>
      <c r="CU5" s="112">
        <v>0</v>
      </c>
      <c r="CV5" s="112">
        <v>0</v>
      </c>
    </row>
    <row r="6" spans="1:100" customFormat="1" x14ac:dyDescent="0.15">
      <c r="A6" s="189" t="s">
        <v>196</v>
      </c>
      <c r="B6" s="112">
        <v>0</v>
      </c>
      <c r="C6" s="112">
        <v>0</v>
      </c>
      <c r="D6" s="112">
        <v>0</v>
      </c>
      <c r="E6" s="112">
        <v>0</v>
      </c>
      <c r="F6" s="112">
        <v>0</v>
      </c>
      <c r="G6" s="112">
        <v>0</v>
      </c>
      <c r="H6" s="112">
        <v>0</v>
      </c>
      <c r="I6" s="112">
        <v>0</v>
      </c>
      <c r="J6" s="112">
        <v>0</v>
      </c>
      <c r="K6" s="112">
        <v>0</v>
      </c>
      <c r="L6" s="112">
        <v>0</v>
      </c>
      <c r="M6" s="112">
        <v>0</v>
      </c>
      <c r="N6" s="112">
        <v>0</v>
      </c>
      <c r="O6" s="112">
        <v>0</v>
      </c>
      <c r="P6" s="112">
        <v>0</v>
      </c>
      <c r="Q6" s="112">
        <v>0</v>
      </c>
      <c r="R6" s="112">
        <v>0</v>
      </c>
      <c r="S6" s="112">
        <v>0</v>
      </c>
      <c r="T6" s="112">
        <v>0</v>
      </c>
      <c r="U6" s="112">
        <v>0</v>
      </c>
      <c r="V6" s="112">
        <v>0</v>
      </c>
      <c r="W6" s="112">
        <v>0</v>
      </c>
      <c r="X6" s="112">
        <v>0</v>
      </c>
      <c r="Y6" s="112">
        <v>0</v>
      </c>
      <c r="Z6" s="112">
        <v>0</v>
      </c>
      <c r="AA6" s="112">
        <v>0</v>
      </c>
      <c r="AB6" s="112">
        <v>0</v>
      </c>
      <c r="AC6" s="112">
        <v>0</v>
      </c>
      <c r="AD6" s="112">
        <v>0</v>
      </c>
      <c r="AE6" s="112">
        <v>0</v>
      </c>
      <c r="AF6" s="112">
        <v>0</v>
      </c>
      <c r="AG6" s="112">
        <v>0</v>
      </c>
      <c r="AH6" s="112">
        <v>0</v>
      </c>
      <c r="AI6" s="112">
        <v>0</v>
      </c>
      <c r="AJ6" s="112">
        <v>0</v>
      </c>
      <c r="AK6" s="112">
        <v>0</v>
      </c>
      <c r="AL6" s="112">
        <v>0</v>
      </c>
      <c r="AM6" s="112">
        <v>0</v>
      </c>
      <c r="AN6" s="112">
        <v>0</v>
      </c>
      <c r="AO6" s="112">
        <v>0</v>
      </c>
      <c r="AP6" s="112">
        <v>0</v>
      </c>
      <c r="AQ6" s="112">
        <v>0</v>
      </c>
      <c r="AR6" s="112">
        <v>0</v>
      </c>
      <c r="AS6" s="112">
        <v>0</v>
      </c>
      <c r="AT6" s="112">
        <v>0</v>
      </c>
      <c r="AU6" s="112">
        <v>0</v>
      </c>
      <c r="AV6" s="112">
        <v>0</v>
      </c>
      <c r="AW6" s="112">
        <v>0</v>
      </c>
      <c r="AX6" s="112">
        <v>0</v>
      </c>
      <c r="AY6" s="112">
        <v>0</v>
      </c>
      <c r="AZ6" s="112">
        <v>0</v>
      </c>
      <c r="BA6" s="112">
        <v>0</v>
      </c>
      <c r="BB6" s="112">
        <v>0</v>
      </c>
      <c r="BC6" s="112">
        <v>0</v>
      </c>
      <c r="BD6" s="112">
        <v>0</v>
      </c>
      <c r="BE6" s="112">
        <v>0</v>
      </c>
      <c r="BF6" s="112">
        <v>0</v>
      </c>
      <c r="BG6" s="112">
        <v>0</v>
      </c>
      <c r="BH6" s="112">
        <v>0</v>
      </c>
      <c r="BI6" s="112">
        <v>0</v>
      </c>
      <c r="BJ6" s="112">
        <v>0</v>
      </c>
      <c r="BK6" s="112">
        <v>0</v>
      </c>
      <c r="BL6" s="112">
        <v>0</v>
      </c>
      <c r="BM6" s="112">
        <v>0</v>
      </c>
      <c r="BN6" s="112">
        <v>0</v>
      </c>
      <c r="BO6" s="112">
        <v>0</v>
      </c>
      <c r="BP6" s="112">
        <v>0</v>
      </c>
      <c r="BQ6" s="112">
        <v>0</v>
      </c>
      <c r="BR6" s="112">
        <v>0</v>
      </c>
      <c r="BS6" s="112">
        <v>0</v>
      </c>
      <c r="BT6" s="112">
        <v>0</v>
      </c>
      <c r="BU6" s="112">
        <v>0</v>
      </c>
      <c r="BV6" s="112">
        <v>0</v>
      </c>
      <c r="BW6" s="112">
        <v>0</v>
      </c>
      <c r="BX6" s="112">
        <v>0</v>
      </c>
      <c r="BY6" s="112">
        <v>0</v>
      </c>
      <c r="BZ6" s="112">
        <v>0</v>
      </c>
      <c r="CA6" s="112">
        <v>0</v>
      </c>
      <c r="CB6" s="112">
        <v>0</v>
      </c>
      <c r="CC6" s="112">
        <v>0</v>
      </c>
      <c r="CD6" s="112">
        <v>0</v>
      </c>
      <c r="CE6" s="112">
        <v>0</v>
      </c>
      <c r="CF6" s="112">
        <v>0</v>
      </c>
      <c r="CG6" s="112">
        <v>0</v>
      </c>
      <c r="CH6" s="112">
        <v>0</v>
      </c>
      <c r="CI6" s="112">
        <v>0</v>
      </c>
      <c r="CJ6" s="112">
        <v>0</v>
      </c>
      <c r="CK6" s="112">
        <v>0</v>
      </c>
      <c r="CL6" s="112">
        <v>0</v>
      </c>
      <c r="CM6" s="112">
        <v>0</v>
      </c>
      <c r="CN6" s="112">
        <v>0</v>
      </c>
      <c r="CO6" s="112">
        <v>0</v>
      </c>
      <c r="CP6" s="112">
        <v>0</v>
      </c>
      <c r="CQ6" s="112">
        <v>0</v>
      </c>
      <c r="CR6" s="112">
        <v>0</v>
      </c>
      <c r="CS6" s="112">
        <v>0</v>
      </c>
      <c r="CT6" s="112">
        <v>0</v>
      </c>
      <c r="CU6" s="112">
        <v>0</v>
      </c>
      <c r="CV6" s="112">
        <v>0</v>
      </c>
    </row>
    <row r="7" spans="1:100" customFormat="1" x14ac:dyDescent="0.15">
      <c r="A7" s="189" t="s">
        <v>197</v>
      </c>
      <c r="B7" s="112">
        <v>0</v>
      </c>
      <c r="C7" s="112">
        <v>0</v>
      </c>
      <c r="D7" s="112">
        <v>0</v>
      </c>
      <c r="E7" s="112">
        <v>0</v>
      </c>
      <c r="F7" s="112">
        <v>0</v>
      </c>
      <c r="G7" s="112">
        <v>0</v>
      </c>
      <c r="H7" s="112">
        <v>0</v>
      </c>
      <c r="I7" s="112">
        <v>0</v>
      </c>
      <c r="J7" s="112">
        <v>0</v>
      </c>
      <c r="K7" s="112">
        <v>0</v>
      </c>
      <c r="L7" s="112">
        <v>0.8</v>
      </c>
      <c r="M7" s="112">
        <v>0</v>
      </c>
      <c r="N7" s="112">
        <v>0</v>
      </c>
      <c r="O7" s="112">
        <v>0</v>
      </c>
      <c r="P7" s="112">
        <v>0</v>
      </c>
      <c r="Q7" s="112">
        <v>0</v>
      </c>
      <c r="R7" s="112">
        <v>0</v>
      </c>
      <c r="S7" s="112">
        <v>0</v>
      </c>
      <c r="T7" s="112">
        <v>0</v>
      </c>
      <c r="U7" s="112">
        <v>0</v>
      </c>
      <c r="V7" s="112">
        <v>0</v>
      </c>
      <c r="W7" s="112">
        <v>0</v>
      </c>
      <c r="X7" s="112">
        <v>0</v>
      </c>
      <c r="Y7" s="112">
        <v>0</v>
      </c>
      <c r="Z7" s="112">
        <v>0</v>
      </c>
      <c r="AA7" s="112">
        <v>0</v>
      </c>
      <c r="AB7" s="112">
        <v>0</v>
      </c>
      <c r="AC7" s="112">
        <v>0</v>
      </c>
      <c r="AD7" s="112">
        <v>0</v>
      </c>
      <c r="AE7" s="112">
        <v>0</v>
      </c>
      <c r="AF7" s="112">
        <v>0</v>
      </c>
      <c r="AG7" s="112">
        <v>0</v>
      </c>
      <c r="AH7" s="112">
        <v>0</v>
      </c>
      <c r="AI7" s="112">
        <v>0</v>
      </c>
      <c r="AJ7" s="112">
        <v>0</v>
      </c>
      <c r="AK7" s="112">
        <v>0</v>
      </c>
      <c r="AL7" s="112">
        <v>0</v>
      </c>
      <c r="AM7" s="112">
        <v>0</v>
      </c>
      <c r="AN7" s="112">
        <v>0</v>
      </c>
      <c r="AO7" s="112">
        <v>0</v>
      </c>
      <c r="AP7" s="112">
        <v>0</v>
      </c>
      <c r="AQ7" s="112">
        <v>0</v>
      </c>
      <c r="AR7" s="112">
        <v>0</v>
      </c>
      <c r="AS7" s="112">
        <v>0</v>
      </c>
      <c r="AT7" s="112">
        <v>0</v>
      </c>
      <c r="AU7" s="112">
        <v>0</v>
      </c>
      <c r="AV7" s="112">
        <v>0</v>
      </c>
      <c r="AW7" s="112">
        <v>0</v>
      </c>
      <c r="AX7" s="112">
        <v>0</v>
      </c>
      <c r="AY7" s="112">
        <v>0</v>
      </c>
      <c r="AZ7" s="112">
        <v>0</v>
      </c>
      <c r="BA7" s="112">
        <v>0</v>
      </c>
      <c r="BB7" s="112">
        <v>0</v>
      </c>
      <c r="BC7" s="112">
        <v>0</v>
      </c>
      <c r="BD7" s="112">
        <v>0</v>
      </c>
      <c r="BE7" s="112">
        <v>0</v>
      </c>
      <c r="BF7" s="112">
        <v>0</v>
      </c>
      <c r="BG7" s="112">
        <v>0</v>
      </c>
      <c r="BH7" s="112">
        <v>0</v>
      </c>
      <c r="BI7" s="112">
        <v>0</v>
      </c>
      <c r="BJ7" s="112">
        <v>0</v>
      </c>
      <c r="BK7" s="112">
        <v>0</v>
      </c>
      <c r="BL7" s="112">
        <v>0</v>
      </c>
      <c r="BM7" s="112">
        <v>0</v>
      </c>
      <c r="BN7" s="112">
        <v>0</v>
      </c>
      <c r="BO7" s="112">
        <v>0</v>
      </c>
      <c r="BP7" s="112">
        <v>0</v>
      </c>
      <c r="BQ7" s="112">
        <v>0</v>
      </c>
      <c r="BR7" s="112">
        <v>0</v>
      </c>
      <c r="BS7" s="112">
        <v>0</v>
      </c>
      <c r="BT7" s="112">
        <v>0</v>
      </c>
      <c r="BU7" s="112">
        <v>0</v>
      </c>
      <c r="BV7" s="112">
        <v>0</v>
      </c>
      <c r="BW7" s="112">
        <v>0</v>
      </c>
      <c r="BX7" s="112">
        <v>0</v>
      </c>
      <c r="BY7" s="112">
        <v>0</v>
      </c>
      <c r="BZ7" s="112">
        <v>0</v>
      </c>
      <c r="CA7" s="112">
        <v>0</v>
      </c>
      <c r="CB7" s="112">
        <v>0</v>
      </c>
      <c r="CC7" s="112">
        <v>0</v>
      </c>
      <c r="CD7" s="112">
        <v>0</v>
      </c>
      <c r="CE7" s="112">
        <v>0</v>
      </c>
      <c r="CF7" s="112">
        <v>0</v>
      </c>
      <c r="CG7" s="112">
        <v>0</v>
      </c>
      <c r="CH7" s="112">
        <v>0</v>
      </c>
      <c r="CI7" s="112">
        <v>0</v>
      </c>
      <c r="CJ7" s="112">
        <v>0</v>
      </c>
      <c r="CK7" s="112">
        <v>0</v>
      </c>
      <c r="CL7" s="112">
        <v>0</v>
      </c>
      <c r="CM7" s="112">
        <v>0</v>
      </c>
      <c r="CN7" s="112">
        <v>0</v>
      </c>
      <c r="CO7" s="112">
        <v>0</v>
      </c>
      <c r="CP7" s="112">
        <v>0</v>
      </c>
      <c r="CQ7" s="112">
        <v>0</v>
      </c>
      <c r="CR7" s="112">
        <v>0</v>
      </c>
      <c r="CS7" s="112">
        <v>0</v>
      </c>
      <c r="CT7" s="112">
        <v>0</v>
      </c>
      <c r="CU7" s="112">
        <v>0</v>
      </c>
      <c r="CV7" s="112">
        <v>0</v>
      </c>
    </row>
    <row r="8" spans="1:100" customFormat="1" x14ac:dyDescent="0.15">
      <c r="A8" s="189" t="s">
        <v>198</v>
      </c>
      <c r="B8" s="112">
        <v>0</v>
      </c>
      <c r="C8" s="112">
        <v>0</v>
      </c>
      <c r="D8" s="112">
        <v>0</v>
      </c>
      <c r="E8" s="112">
        <v>0</v>
      </c>
      <c r="F8" s="112">
        <v>0</v>
      </c>
      <c r="G8" s="112">
        <v>0</v>
      </c>
      <c r="H8" s="112">
        <v>0</v>
      </c>
      <c r="I8" s="112">
        <v>0</v>
      </c>
      <c r="J8" s="112">
        <v>0</v>
      </c>
      <c r="K8" s="112">
        <v>0</v>
      </c>
      <c r="L8" s="112">
        <v>0</v>
      </c>
      <c r="M8" s="112">
        <v>0</v>
      </c>
      <c r="N8" s="112">
        <v>0</v>
      </c>
      <c r="O8" s="112">
        <v>0</v>
      </c>
      <c r="P8" s="112">
        <v>0</v>
      </c>
      <c r="Q8" s="112">
        <v>0</v>
      </c>
      <c r="R8" s="112">
        <v>0</v>
      </c>
      <c r="S8" s="112">
        <v>0</v>
      </c>
      <c r="T8" s="112">
        <v>0</v>
      </c>
      <c r="U8" s="112">
        <v>0</v>
      </c>
      <c r="V8" s="112">
        <v>0</v>
      </c>
      <c r="W8" s="112">
        <v>0</v>
      </c>
      <c r="X8" s="112">
        <v>0</v>
      </c>
      <c r="Y8" s="112">
        <v>0</v>
      </c>
      <c r="Z8" s="112">
        <v>0</v>
      </c>
      <c r="AA8" s="112">
        <v>0</v>
      </c>
      <c r="AB8" s="112">
        <v>0</v>
      </c>
      <c r="AC8" s="112">
        <v>0</v>
      </c>
      <c r="AD8" s="112">
        <v>0</v>
      </c>
      <c r="AE8" s="112">
        <v>0</v>
      </c>
      <c r="AF8" s="112">
        <v>0</v>
      </c>
      <c r="AG8" s="112">
        <v>0</v>
      </c>
      <c r="AH8" s="112">
        <v>0</v>
      </c>
      <c r="AI8" s="112">
        <v>0</v>
      </c>
      <c r="AJ8" s="112">
        <v>0</v>
      </c>
      <c r="AK8" s="112">
        <v>0</v>
      </c>
      <c r="AL8" s="112">
        <v>0</v>
      </c>
      <c r="AM8" s="112">
        <v>0</v>
      </c>
      <c r="AN8" s="112">
        <v>0</v>
      </c>
      <c r="AO8" s="112">
        <v>0</v>
      </c>
      <c r="AP8" s="112">
        <v>0</v>
      </c>
      <c r="AQ8" s="112">
        <v>0</v>
      </c>
      <c r="AR8" s="112">
        <v>0</v>
      </c>
      <c r="AS8" s="112">
        <v>0</v>
      </c>
      <c r="AT8" s="112">
        <v>0</v>
      </c>
      <c r="AU8" s="112">
        <v>0</v>
      </c>
      <c r="AV8" s="112">
        <v>0</v>
      </c>
      <c r="AW8" s="112">
        <v>0</v>
      </c>
      <c r="AX8" s="112">
        <v>0</v>
      </c>
      <c r="AY8" s="112">
        <v>0</v>
      </c>
      <c r="AZ8" s="112">
        <v>0</v>
      </c>
      <c r="BA8" s="112">
        <v>0</v>
      </c>
      <c r="BB8" s="112">
        <v>0</v>
      </c>
      <c r="BC8" s="112">
        <v>0</v>
      </c>
      <c r="BD8" s="112">
        <v>0</v>
      </c>
      <c r="BE8" s="112">
        <v>0</v>
      </c>
      <c r="BF8" s="112">
        <v>0</v>
      </c>
      <c r="BG8" s="112">
        <v>0</v>
      </c>
      <c r="BH8" s="112">
        <v>0</v>
      </c>
      <c r="BI8" s="112">
        <v>0</v>
      </c>
      <c r="BJ8" s="112">
        <v>0</v>
      </c>
      <c r="BK8" s="112">
        <v>0</v>
      </c>
      <c r="BL8" s="112">
        <v>0</v>
      </c>
      <c r="BM8" s="112">
        <v>0</v>
      </c>
      <c r="BN8" s="112">
        <v>0</v>
      </c>
      <c r="BO8" s="112">
        <v>0</v>
      </c>
      <c r="BP8" s="112">
        <v>0</v>
      </c>
      <c r="BQ8" s="112">
        <v>0</v>
      </c>
      <c r="BR8" s="112">
        <v>0</v>
      </c>
      <c r="BS8" s="112">
        <v>0</v>
      </c>
      <c r="BT8" s="112">
        <v>0</v>
      </c>
      <c r="BU8" s="112">
        <v>0</v>
      </c>
      <c r="BV8" s="112">
        <v>0</v>
      </c>
      <c r="BW8" s="112">
        <v>0</v>
      </c>
      <c r="BX8" s="112">
        <v>0</v>
      </c>
      <c r="BY8" s="112">
        <v>0</v>
      </c>
      <c r="BZ8" s="112">
        <v>0</v>
      </c>
      <c r="CA8" s="112">
        <v>0</v>
      </c>
      <c r="CB8" s="112">
        <v>0</v>
      </c>
      <c r="CC8" s="112">
        <v>0</v>
      </c>
      <c r="CD8" s="112">
        <v>0</v>
      </c>
      <c r="CE8" s="112">
        <v>0</v>
      </c>
      <c r="CF8" s="112">
        <v>0</v>
      </c>
      <c r="CG8" s="112">
        <v>0</v>
      </c>
      <c r="CH8" s="112">
        <v>0</v>
      </c>
      <c r="CI8" s="112">
        <v>0</v>
      </c>
      <c r="CJ8" s="112">
        <v>0</v>
      </c>
      <c r="CK8" s="112">
        <v>0</v>
      </c>
      <c r="CL8" s="112">
        <v>0</v>
      </c>
      <c r="CM8" s="112">
        <v>0</v>
      </c>
      <c r="CN8" s="112">
        <v>0</v>
      </c>
      <c r="CO8" s="112">
        <v>0</v>
      </c>
      <c r="CP8" s="112">
        <v>0</v>
      </c>
      <c r="CQ8" s="112">
        <v>0</v>
      </c>
      <c r="CR8" s="112">
        <v>0</v>
      </c>
      <c r="CS8" s="112">
        <v>0</v>
      </c>
      <c r="CT8" s="112">
        <v>0</v>
      </c>
      <c r="CU8" s="112">
        <v>0</v>
      </c>
      <c r="CV8" s="112">
        <v>0</v>
      </c>
    </row>
    <row r="9" spans="1:100" customFormat="1" x14ac:dyDescent="0.15">
      <c r="A9" s="189" t="s">
        <v>199</v>
      </c>
      <c r="B9" s="112">
        <v>0</v>
      </c>
      <c r="C9" s="112">
        <v>0</v>
      </c>
      <c r="D9" s="112">
        <v>0</v>
      </c>
      <c r="E9" s="112">
        <v>0</v>
      </c>
      <c r="F9" s="112">
        <v>0</v>
      </c>
      <c r="G9" s="112">
        <v>0</v>
      </c>
      <c r="H9" s="112">
        <v>0</v>
      </c>
      <c r="I9" s="112">
        <v>0</v>
      </c>
      <c r="J9" s="112">
        <v>0</v>
      </c>
      <c r="K9" s="112">
        <v>0</v>
      </c>
      <c r="L9" s="112">
        <v>0</v>
      </c>
      <c r="M9" s="112">
        <v>0</v>
      </c>
      <c r="N9" s="112">
        <v>0</v>
      </c>
      <c r="O9" s="112">
        <v>0</v>
      </c>
      <c r="P9" s="112">
        <v>0</v>
      </c>
      <c r="Q9" s="112">
        <v>0</v>
      </c>
      <c r="R9" s="112">
        <v>0</v>
      </c>
      <c r="S9" s="112">
        <v>0</v>
      </c>
      <c r="T9" s="112">
        <v>0</v>
      </c>
      <c r="U9" s="112">
        <v>0</v>
      </c>
      <c r="V9" s="112">
        <v>0</v>
      </c>
      <c r="W9" s="112">
        <v>0</v>
      </c>
      <c r="X9" s="112">
        <v>0</v>
      </c>
      <c r="Y9" s="112">
        <v>0</v>
      </c>
      <c r="Z9" s="112">
        <v>0</v>
      </c>
      <c r="AA9" s="112">
        <v>0</v>
      </c>
      <c r="AB9" s="112">
        <v>0</v>
      </c>
      <c r="AC9" s="112">
        <v>0</v>
      </c>
      <c r="AD9" s="112">
        <v>0</v>
      </c>
      <c r="AE9" s="112">
        <v>0</v>
      </c>
      <c r="AF9" s="112">
        <v>0</v>
      </c>
      <c r="AG9" s="112">
        <v>0</v>
      </c>
      <c r="AH9" s="112">
        <v>0</v>
      </c>
      <c r="AI9" s="112">
        <v>0</v>
      </c>
      <c r="AJ9" s="112">
        <v>0</v>
      </c>
      <c r="AK9" s="112">
        <v>0</v>
      </c>
      <c r="AL9" s="112">
        <v>0</v>
      </c>
      <c r="AM9" s="112">
        <v>0</v>
      </c>
      <c r="AN9" s="112">
        <v>0</v>
      </c>
      <c r="AO9" s="112">
        <v>0</v>
      </c>
      <c r="AP9" s="112">
        <v>0</v>
      </c>
      <c r="AQ9" s="112">
        <v>0</v>
      </c>
      <c r="AR9" s="112">
        <v>0</v>
      </c>
      <c r="AS9" s="112">
        <v>0</v>
      </c>
      <c r="AT9" s="112">
        <v>0</v>
      </c>
      <c r="AU9" s="112">
        <v>0</v>
      </c>
      <c r="AV9" s="112">
        <v>0</v>
      </c>
      <c r="AW9" s="112">
        <v>0</v>
      </c>
      <c r="AX9" s="112">
        <v>0</v>
      </c>
      <c r="AY9" s="112">
        <v>0</v>
      </c>
      <c r="AZ9" s="112">
        <v>0</v>
      </c>
      <c r="BA9" s="112">
        <v>0</v>
      </c>
      <c r="BB9" s="112">
        <v>0</v>
      </c>
      <c r="BC9" s="112">
        <v>0</v>
      </c>
      <c r="BD9" s="112">
        <v>0</v>
      </c>
      <c r="BE9" s="112">
        <v>0</v>
      </c>
      <c r="BF9" s="112">
        <v>0</v>
      </c>
      <c r="BG9" s="112">
        <v>0</v>
      </c>
      <c r="BH9" s="112">
        <v>0</v>
      </c>
      <c r="BI9" s="112">
        <v>0</v>
      </c>
      <c r="BJ9" s="112">
        <v>0</v>
      </c>
      <c r="BK9" s="112">
        <v>0</v>
      </c>
      <c r="BL9" s="112">
        <v>0</v>
      </c>
      <c r="BM9" s="112">
        <v>0</v>
      </c>
      <c r="BN9" s="112">
        <v>0</v>
      </c>
      <c r="BO9" s="112">
        <v>0</v>
      </c>
      <c r="BP9" s="112">
        <v>0</v>
      </c>
      <c r="BQ9" s="112">
        <v>0</v>
      </c>
      <c r="BR9" s="112">
        <v>0</v>
      </c>
      <c r="BS9" s="112">
        <v>0</v>
      </c>
      <c r="BT9" s="112">
        <v>0</v>
      </c>
      <c r="BU9" s="112">
        <v>0</v>
      </c>
      <c r="BV9" s="112">
        <v>0</v>
      </c>
      <c r="BW9" s="112">
        <v>0</v>
      </c>
      <c r="BX9" s="112">
        <v>0</v>
      </c>
      <c r="BY9" s="112">
        <v>0</v>
      </c>
      <c r="BZ9" s="112">
        <v>0</v>
      </c>
      <c r="CA9" s="112">
        <v>0</v>
      </c>
      <c r="CB9" s="112">
        <v>0</v>
      </c>
      <c r="CC9" s="112">
        <v>0</v>
      </c>
      <c r="CD9" s="112">
        <v>0</v>
      </c>
      <c r="CE9" s="112">
        <v>0</v>
      </c>
      <c r="CF9" s="112">
        <v>0</v>
      </c>
      <c r="CG9" s="112">
        <v>0</v>
      </c>
      <c r="CH9" s="112">
        <v>0</v>
      </c>
      <c r="CI9" s="112">
        <v>0</v>
      </c>
      <c r="CJ9" s="112">
        <v>0</v>
      </c>
      <c r="CK9" s="112">
        <v>0</v>
      </c>
      <c r="CL9" s="112">
        <v>0</v>
      </c>
      <c r="CM9" s="112">
        <v>0</v>
      </c>
      <c r="CN9" s="112">
        <v>0</v>
      </c>
      <c r="CO9" s="112">
        <v>0</v>
      </c>
      <c r="CP9" s="112">
        <v>0</v>
      </c>
      <c r="CQ9" s="112">
        <v>0</v>
      </c>
      <c r="CR9" s="112">
        <v>0</v>
      </c>
      <c r="CS9" s="112">
        <v>0</v>
      </c>
      <c r="CT9" s="112">
        <v>0</v>
      </c>
      <c r="CU9" s="112">
        <v>0</v>
      </c>
      <c r="CV9" s="112">
        <v>0</v>
      </c>
    </row>
    <row r="10" spans="1:100" customFormat="1" x14ac:dyDescent="0.15">
      <c r="A10" s="189" t="s">
        <v>200</v>
      </c>
      <c r="B10" s="112">
        <v>0</v>
      </c>
      <c r="C10" s="112">
        <v>0</v>
      </c>
      <c r="D10" s="112">
        <v>0</v>
      </c>
      <c r="E10" s="112">
        <v>0</v>
      </c>
      <c r="F10" s="112">
        <v>0</v>
      </c>
      <c r="G10" s="112">
        <v>0</v>
      </c>
      <c r="H10" s="112">
        <v>0</v>
      </c>
      <c r="I10" s="112">
        <v>0</v>
      </c>
      <c r="J10" s="112">
        <v>0</v>
      </c>
      <c r="K10" s="112">
        <v>0</v>
      </c>
      <c r="L10" s="112">
        <v>0</v>
      </c>
      <c r="M10" s="112">
        <v>0</v>
      </c>
      <c r="N10" s="112">
        <v>0</v>
      </c>
      <c r="O10" s="112">
        <v>0</v>
      </c>
      <c r="P10" s="112">
        <v>0</v>
      </c>
      <c r="Q10" s="112">
        <v>0</v>
      </c>
      <c r="R10" s="112">
        <v>0</v>
      </c>
      <c r="S10" s="112">
        <v>0</v>
      </c>
      <c r="T10" s="112">
        <v>0</v>
      </c>
      <c r="U10" s="112">
        <v>0</v>
      </c>
      <c r="V10" s="112">
        <v>0</v>
      </c>
      <c r="W10" s="112">
        <v>0</v>
      </c>
      <c r="X10" s="112">
        <v>0</v>
      </c>
      <c r="Y10" s="112">
        <v>0</v>
      </c>
      <c r="Z10" s="112">
        <v>0</v>
      </c>
      <c r="AA10" s="112">
        <v>0</v>
      </c>
      <c r="AB10" s="112">
        <v>0</v>
      </c>
      <c r="AC10" s="112">
        <v>0</v>
      </c>
      <c r="AD10" s="112">
        <v>0</v>
      </c>
      <c r="AE10" s="112">
        <v>0</v>
      </c>
      <c r="AF10" s="112">
        <v>0</v>
      </c>
      <c r="AG10" s="112">
        <v>0</v>
      </c>
      <c r="AH10" s="112">
        <v>0</v>
      </c>
      <c r="AI10" s="112">
        <v>0</v>
      </c>
      <c r="AJ10" s="112">
        <v>0</v>
      </c>
      <c r="AK10" s="112">
        <v>0</v>
      </c>
      <c r="AL10" s="112">
        <v>0</v>
      </c>
      <c r="AM10" s="112">
        <v>0</v>
      </c>
      <c r="AN10" s="112">
        <v>0</v>
      </c>
      <c r="AO10" s="112">
        <v>0</v>
      </c>
      <c r="AP10" s="112">
        <v>0</v>
      </c>
      <c r="AQ10" s="112">
        <v>0</v>
      </c>
      <c r="AR10" s="112">
        <v>0</v>
      </c>
      <c r="AS10" s="112">
        <v>0</v>
      </c>
      <c r="AT10" s="112">
        <v>0</v>
      </c>
      <c r="AU10" s="112">
        <v>0</v>
      </c>
      <c r="AV10" s="112">
        <v>0</v>
      </c>
      <c r="AW10" s="112">
        <v>0</v>
      </c>
      <c r="AX10" s="112">
        <v>0</v>
      </c>
      <c r="AY10" s="112">
        <v>0</v>
      </c>
      <c r="AZ10" s="112">
        <v>0</v>
      </c>
      <c r="BA10" s="112">
        <v>0</v>
      </c>
      <c r="BB10" s="112">
        <v>0</v>
      </c>
      <c r="BC10" s="112">
        <v>0</v>
      </c>
      <c r="BD10" s="112">
        <v>0</v>
      </c>
      <c r="BE10" s="112">
        <v>0</v>
      </c>
      <c r="BF10" s="112">
        <v>0</v>
      </c>
      <c r="BG10" s="112">
        <v>0</v>
      </c>
      <c r="BH10" s="112">
        <v>0</v>
      </c>
      <c r="BI10" s="112">
        <v>0</v>
      </c>
      <c r="BJ10" s="112">
        <v>0</v>
      </c>
      <c r="BK10" s="112">
        <v>0</v>
      </c>
      <c r="BL10" s="112">
        <v>0</v>
      </c>
      <c r="BM10" s="112">
        <v>0</v>
      </c>
      <c r="BN10" s="112">
        <v>0</v>
      </c>
      <c r="BO10" s="112">
        <v>0</v>
      </c>
      <c r="BP10" s="112">
        <v>0</v>
      </c>
      <c r="BQ10" s="112">
        <v>0</v>
      </c>
      <c r="BR10" s="112">
        <v>0</v>
      </c>
      <c r="BS10" s="112">
        <v>0</v>
      </c>
      <c r="BT10" s="112">
        <v>0</v>
      </c>
      <c r="BU10" s="112">
        <v>0</v>
      </c>
      <c r="BV10" s="112">
        <v>0</v>
      </c>
      <c r="BW10" s="112">
        <v>0</v>
      </c>
      <c r="BX10" s="112">
        <v>0</v>
      </c>
      <c r="BY10" s="112">
        <v>0</v>
      </c>
      <c r="BZ10" s="112">
        <v>0</v>
      </c>
      <c r="CA10" s="112">
        <v>0</v>
      </c>
      <c r="CB10" s="112">
        <v>0</v>
      </c>
      <c r="CC10" s="112">
        <v>0</v>
      </c>
      <c r="CD10" s="112">
        <v>0</v>
      </c>
      <c r="CE10" s="112">
        <v>0</v>
      </c>
      <c r="CF10" s="112">
        <v>0</v>
      </c>
      <c r="CG10" s="112">
        <v>0</v>
      </c>
      <c r="CH10" s="112">
        <v>0</v>
      </c>
      <c r="CI10" s="112">
        <v>0</v>
      </c>
      <c r="CJ10" s="112">
        <v>0</v>
      </c>
      <c r="CK10" s="112">
        <v>0</v>
      </c>
      <c r="CL10" s="112">
        <v>0</v>
      </c>
      <c r="CM10" s="112">
        <v>0</v>
      </c>
      <c r="CN10" s="112">
        <v>0</v>
      </c>
      <c r="CO10" s="112">
        <v>0</v>
      </c>
      <c r="CP10" s="112">
        <v>0</v>
      </c>
      <c r="CQ10" s="112">
        <v>0</v>
      </c>
      <c r="CR10" s="112">
        <v>0</v>
      </c>
      <c r="CS10" s="112">
        <v>0</v>
      </c>
      <c r="CT10" s="112">
        <v>0</v>
      </c>
      <c r="CU10" s="112">
        <v>0</v>
      </c>
      <c r="CV10" s="112">
        <v>0</v>
      </c>
    </row>
    <row r="11" spans="1:100" customFormat="1" x14ac:dyDescent="0.15">
      <c r="A11" s="189" t="s">
        <v>201</v>
      </c>
      <c r="B11" s="112">
        <v>0</v>
      </c>
      <c r="C11" s="112">
        <v>0</v>
      </c>
      <c r="D11" s="112">
        <v>0</v>
      </c>
      <c r="E11" s="112">
        <v>0</v>
      </c>
      <c r="F11" s="112">
        <v>0</v>
      </c>
      <c r="G11" s="112">
        <v>0</v>
      </c>
      <c r="H11" s="112">
        <v>0</v>
      </c>
      <c r="I11" s="112">
        <v>0</v>
      </c>
      <c r="J11" s="112">
        <v>0</v>
      </c>
      <c r="K11" s="112">
        <v>0</v>
      </c>
      <c r="L11" s="112">
        <v>0</v>
      </c>
      <c r="M11" s="112">
        <v>0</v>
      </c>
      <c r="N11" s="112">
        <v>0</v>
      </c>
      <c r="O11" s="112">
        <v>0</v>
      </c>
      <c r="P11" s="112">
        <v>0</v>
      </c>
      <c r="Q11" s="112">
        <v>0</v>
      </c>
      <c r="R11" s="112">
        <v>0</v>
      </c>
      <c r="S11" s="112">
        <v>0</v>
      </c>
      <c r="T11" s="112">
        <v>0</v>
      </c>
      <c r="U11" s="112">
        <v>0</v>
      </c>
      <c r="V11" s="112">
        <v>0</v>
      </c>
      <c r="W11" s="112">
        <v>0</v>
      </c>
      <c r="X11" s="112">
        <v>0</v>
      </c>
      <c r="Y11" s="112">
        <v>0</v>
      </c>
      <c r="Z11" s="112">
        <v>0</v>
      </c>
      <c r="AA11" s="112">
        <v>0</v>
      </c>
      <c r="AB11" s="112">
        <v>0</v>
      </c>
      <c r="AC11" s="112">
        <v>0</v>
      </c>
      <c r="AD11" s="112">
        <v>0</v>
      </c>
      <c r="AE11" s="112">
        <v>0</v>
      </c>
      <c r="AF11" s="112">
        <v>0</v>
      </c>
      <c r="AG11" s="112">
        <v>0</v>
      </c>
      <c r="AH11" s="112">
        <v>0</v>
      </c>
      <c r="AI11" s="112">
        <v>0</v>
      </c>
      <c r="AJ11" s="112">
        <v>0</v>
      </c>
      <c r="AK11" s="112">
        <v>0</v>
      </c>
      <c r="AL11" s="112">
        <v>0</v>
      </c>
      <c r="AM11" s="112">
        <v>0</v>
      </c>
      <c r="AN11" s="112">
        <v>0</v>
      </c>
      <c r="AO11" s="112">
        <v>0</v>
      </c>
      <c r="AP11" s="112">
        <v>0</v>
      </c>
      <c r="AQ11" s="112">
        <v>0</v>
      </c>
      <c r="AR11" s="112">
        <v>0</v>
      </c>
      <c r="AS11" s="112">
        <v>0</v>
      </c>
      <c r="AT11" s="112">
        <v>0</v>
      </c>
      <c r="AU11" s="112">
        <v>0</v>
      </c>
      <c r="AV11" s="112">
        <v>0</v>
      </c>
      <c r="AW11" s="112">
        <v>0</v>
      </c>
      <c r="AX11" s="112">
        <v>0</v>
      </c>
      <c r="AY11" s="112">
        <v>0</v>
      </c>
      <c r="AZ11" s="112">
        <v>0</v>
      </c>
      <c r="BA11" s="112">
        <v>0</v>
      </c>
      <c r="BB11" s="112">
        <v>0</v>
      </c>
      <c r="BC11" s="112">
        <v>0</v>
      </c>
      <c r="BD11" s="112">
        <v>0</v>
      </c>
      <c r="BE11" s="112">
        <v>0</v>
      </c>
      <c r="BF11" s="112">
        <v>0</v>
      </c>
      <c r="BG11" s="112">
        <v>0</v>
      </c>
      <c r="BH11" s="112">
        <v>0</v>
      </c>
      <c r="BI11" s="112">
        <v>0</v>
      </c>
      <c r="BJ11" s="112">
        <v>0</v>
      </c>
      <c r="BK11" s="112">
        <v>0</v>
      </c>
      <c r="BL11" s="112">
        <v>0</v>
      </c>
      <c r="BM11" s="112">
        <v>0</v>
      </c>
      <c r="BN11" s="112">
        <v>0</v>
      </c>
      <c r="BO11" s="112">
        <v>0</v>
      </c>
      <c r="BP11" s="112">
        <v>0</v>
      </c>
      <c r="BQ11" s="112">
        <v>0</v>
      </c>
      <c r="BR11" s="112">
        <v>0</v>
      </c>
      <c r="BS11" s="112">
        <v>0</v>
      </c>
      <c r="BT11" s="112">
        <v>0</v>
      </c>
      <c r="BU11" s="112">
        <v>0</v>
      </c>
      <c r="BV11" s="112">
        <v>0</v>
      </c>
      <c r="BW11" s="112">
        <v>0</v>
      </c>
      <c r="BX11" s="112">
        <v>0</v>
      </c>
      <c r="BY11" s="112">
        <v>0</v>
      </c>
      <c r="BZ11" s="112">
        <v>0</v>
      </c>
      <c r="CA11" s="112">
        <v>0</v>
      </c>
      <c r="CB11" s="112">
        <v>0</v>
      </c>
      <c r="CC11" s="112">
        <v>0</v>
      </c>
      <c r="CD11" s="112">
        <v>0</v>
      </c>
      <c r="CE11" s="112">
        <v>0</v>
      </c>
      <c r="CF11" s="112">
        <v>0</v>
      </c>
      <c r="CG11" s="112">
        <v>0</v>
      </c>
      <c r="CH11" s="112">
        <v>0</v>
      </c>
      <c r="CI11" s="112">
        <v>0</v>
      </c>
      <c r="CJ11" s="112">
        <v>0</v>
      </c>
      <c r="CK11" s="112">
        <v>0</v>
      </c>
      <c r="CL11" s="112">
        <v>0</v>
      </c>
      <c r="CM11" s="112">
        <v>0</v>
      </c>
      <c r="CN11" s="112">
        <v>0</v>
      </c>
      <c r="CO11" s="112">
        <v>0</v>
      </c>
      <c r="CP11" s="112">
        <v>0</v>
      </c>
      <c r="CQ11" s="112">
        <v>0</v>
      </c>
      <c r="CR11" s="112">
        <v>0</v>
      </c>
      <c r="CS11" s="112">
        <v>0</v>
      </c>
      <c r="CT11" s="112">
        <v>0</v>
      </c>
      <c r="CU11" s="112">
        <v>0</v>
      </c>
      <c r="CV11" s="112">
        <v>0</v>
      </c>
    </row>
    <row r="12" spans="1:100" customFormat="1" x14ac:dyDescent="0.15">
      <c r="A12" s="189" t="s">
        <v>202</v>
      </c>
      <c r="B12" s="112">
        <v>0.8</v>
      </c>
      <c r="C12" s="112">
        <v>0</v>
      </c>
      <c r="D12" s="112">
        <v>0</v>
      </c>
      <c r="E12" s="112">
        <v>0</v>
      </c>
      <c r="F12" s="112">
        <v>0</v>
      </c>
      <c r="G12" s="112">
        <v>0</v>
      </c>
      <c r="H12" s="112">
        <v>0</v>
      </c>
      <c r="I12" s="112">
        <v>0</v>
      </c>
      <c r="J12" s="112">
        <v>0</v>
      </c>
      <c r="K12" s="112">
        <v>0</v>
      </c>
      <c r="L12" s="112">
        <v>0.8</v>
      </c>
      <c r="M12" s="112">
        <v>0</v>
      </c>
      <c r="N12" s="112">
        <v>0</v>
      </c>
      <c r="O12" s="112">
        <v>0</v>
      </c>
      <c r="P12" s="112">
        <v>0</v>
      </c>
      <c r="Q12" s="112">
        <v>0.8</v>
      </c>
      <c r="R12" s="112">
        <v>0</v>
      </c>
      <c r="S12" s="112">
        <v>0</v>
      </c>
      <c r="T12" s="112">
        <v>0</v>
      </c>
      <c r="U12" s="112">
        <v>0</v>
      </c>
      <c r="V12" s="112">
        <v>0</v>
      </c>
      <c r="W12" s="112">
        <v>0</v>
      </c>
      <c r="X12" s="112">
        <v>0</v>
      </c>
      <c r="Y12" s="112">
        <v>0</v>
      </c>
      <c r="Z12" s="112">
        <v>0</v>
      </c>
      <c r="AA12" s="112">
        <v>0</v>
      </c>
      <c r="AB12" s="112">
        <v>0</v>
      </c>
      <c r="AC12" s="112">
        <v>0</v>
      </c>
      <c r="AD12" s="112">
        <v>0.8</v>
      </c>
      <c r="AE12" s="112">
        <v>0.8</v>
      </c>
      <c r="AF12" s="112">
        <v>0</v>
      </c>
      <c r="AG12" s="112">
        <v>0</v>
      </c>
      <c r="AH12" s="112">
        <v>0</v>
      </c>
      <c r="AI12" s="112">
        <v>0</v>
      </c>
      <c r="AJ12" s="112">
        <v>0</v>
      </c>
      <c r="AK12" s="112">
        <v>0</v>
      </c>
      <c r="AL12" s="112">
        <v>0</v>
      </c>
      <c r="AM12" s="112">
        <v>0</v>
      </c>
      <c r="AN12" s="112">
        <v>0</v>
      </c>
      <c r="AO12" s="112">
        <v>0</v>
      </c>
      <c r="AP12" s="112">
        <v>0</v>
      </c>
      <c r="AQ12" s="112">
        <v>0</v>
      </c>
      <c r="AR12" s="112">
        <v>0</v>
      </c>
      <c r="AS12" s="112">
        <v>0</v>
      </c>
      <c r="AT12" s="112">
        <v>0</v>
      </c>
      <c r="AU12" s="112">
        <v>0</v>
      </c>
      <c r="AV12" s="112">
        <v>0</v>
      </c>
      <c r="AW12" s="112">
        <v>0</v>
      </c>
      <c r="AX12" s="112">
        <v>0</v>
      </c>
      <c r="AY12" s="112">
        <v>0</v>
      </c>
      <c r="AZ12" s="112">
        <v>0</v>
      </c>
      <c r="BA12" s="112">
        <v>0</v>
      </c>
      <c r="BB12" s="112">
        <v>0</v>
      </c>
      <c r="BC12" s="112">
        <v>0</v>
      </c>
      <c r="BD12" s="112">
        <v>0</v>
      </c>
      <c r="BE12" s="112">
        <v>0</v>
      </c>
      <c r="BF12" s="112">
        <v>0</v>
      </c>
      <c r="BG12" s="112">
        <v>0</v>
      </c>
      <c r="BH12" s="112">
        <v>0</v>
      </c>
      <c r="BI12" s="112">
        <v>0</v>
      </c>
      <c r="BJ12" s="112">
        <v>0</v>
      </c>
      <c r="BK12" s="112">
        <v>0</v>
      </c>
      <c r="BL12" s="112">
        <v>0</v>
      </c>
      <c r="BM12" s="112">
        <v>0</v>
      </c>
      <c r="BN12" s="112">
        <v>0</v>
      </c>
      <c r="BO12" s="112">
        <v>0</v>
      </c>
      <c r="BP12" s="112">
        <v>0</v>
      </c>
      <c r="BQ12" s="112">
        <v>0</v>
      </c>
      <c r="BR12" s="112">
        <v>0</v>
      </c>
      <c r="BS12" s="112">
        <v>0</v>
      </c>
      <c r="BT12" s="112">
        <v>0</v>
      </c>
      <c r="BU12" s="112">
        <v>0</v>
      </c>
      <c r="BV12" s="112">
        <v>0</v>
      </c>
      <c r="BW12" s="112">
        <v>0</v>
      </c>
      <c r="BX12" s="112">
        <v>0</v>
      </c>
      <c r="BY12" s="112">
        <v>0</v>
      </c>
      <c r="BZ12" s="112">
        <v>0</v>
      </c>
      <c r="CA12" s="112">
        <v>0</v>
      </c>
      <c r="CB12" s="112">
        <v>0</v>
      </c>
      <c r="CC12" s="112">
        <v>0</v>
      </c>
      <c r="CD12" s="112">
        <v>0</v>
      </c>
      <c r="CE12" s="112">
        <v>0</v>
      </c>
      <c r="CF12" s="112">
        <v>0</v>
      </c>
      <c r="CG12" s="112">
        <v>0</v>
      </c>
      <c r="CH12" s="112">
        <v>0</v>
      </c>
      <c r="CI12" s="112">
        <v>0</v>
      </c>
      <c r="CJ12" s="112">
        <v>0</v>
      </c>
      <c r="CK12" s="112">
        <v>0</v>
      </c>
      <c r="CL12" s="112">
        <v>0</v>
      </c>
      <c r="CM12" s="112">
        <v>0</v>
      </c>
      <c r="CN12" s="112">
        <v>0</v>
      </c>
      <c r="CO12" s="112">
        <v>0</v>
      </c>
      <c r="CP12" s="112">
        <v>0</v>
      </c>
      <c r="CQ12" s="112">
        <v>0</v>
      </c>
      <c r="CR12" s="112">
        <v>0</v>
      </c>
      <c r="CS12" s="112">
        <v>0</v>
      </c>
      <c r="CT12" s="112">
        <v>0</v>
      </c>
      <c r="CU12" s="112">
        <v>0</v>
      </c>
      <c r="CV12" s="112">
        <v>0</v>
      </c>
    </row>
    <row r="13" spans="1:100" customFormat="1" x14ac:dyDescent="0.15">
      <c r="A13" s="189" t="s">
        <v>203</v>
      </c>
      <c r="B13" s="112">
        <v>0.8</v>
      </c>
      <c r="C13" s="112">
        <v>0</v>
      </c>
      <c r="D13" s="112">
        <v>0</v>
      </c>
      <c r="E13" s="112">
        <v>0</v>
      </c>
      <c r="F13" s="112">
        <v>0.8</v>
      </c>
      <c r="G13" s="112">
        <v>0.8</v>
      </c>
      <c r="H13" s="112">
        <v>0.8</v>
      </c>
      <c r="I13" s="112">
        <v>0</v>
      </c>
      <c r="J13" s="112">
        <v>0</v>
      </c>
      <c r="K13" s="112">
        <v>0</v>
      </c>
      <c r="L13" s="112">
        <v>0.8</v>
      </c>
      <c r="M13" s="112">
        <v>0</v>
      </c>
      <c r="N13" s="112">
        <v>0</v>
      </c>
      <c r="O13" s="112">
        <v>0</v>
      </c>
      <c r="P13" s="112">
        <v>0</v>
      </c>
      <c r="Q13" s="112">
        <v>0.8</v>
      </c>
      <c r="R13" s="112">
        <v>0.8</v>
      </c>
      <c r="S13" s="112">
        <v>0</v>
      </c>
      <c r="T13" s="112">
        <v>0.8</v>
      </c>
      <c r="U13" s="112">
        <v>0.8</v>
      </c>
      <c r="V13" s="112">
        <v>0</v>
      </c>
      <c r="W13" s="112">
        <v>0</v>
      </c>
      <c r="X13" s="112">
        <v>0</v>
      </c>
      <c r="Y13" s="112">
        <v>0</v>
      </c>
      <c r="Z13" s="112">
        <v>0</v>
      </c>
      <c r="AA13" s="112">
        <v>0</v>
      </c>
      <c r="AB13" s="112">
        <v>0</v>
      </c>
      <c r="AC13" s="112">
        <v>0</v>
      </c>
      <c r="AD13" s="112">
        <v>0.8</v>
      </c>
      <c r="AE13" s="112">
        <v>0.8</v>
      </c>
      <c r="AF13" s="112">
        <v>0</v>
      </c>
      <c r="AG13" s="112">
        <v>0</v>
      </c>
      <c r="AH13" s="112">
        <v>0</v>
      </c>
      <c r="AI13" s="112">
        <v>0</v>
      </c>
      <c r="AJ13" s="112">
        <v>0</v>
      </c>
      <c r="AK13" s="112">
        <v>0</v>
      </c>
      <c r="AL13" s="112">
        <v>0</v>
      </c>
      <c r="AM13" s="112">
        <v>0</v>
      </c>
      <c r="AN13" s="112">
        <v>0</v>
      </c>
      <c r="AO13" s="112">
        <v>0</v>
      </c>
      <c r="AP13" s="112">
        <v>0</v>
      </c>
      <c r="AQ13" s="112">
        <v>0</v>
      </c>
      <c r="AR13" s="112">
        <v>0</v>
      </c>
      <c r="AS13" s="112">
        <v>0</v>
      </c>
      <c r="AT13" s="112">
        <v>0</v>
      </c>
      <c r="AU13" s="112">
        <v>0</v>
      </c>
      <c r="AV13" s="112">
        <v>0</v>
      </c>
      <c r="AW13" s="112">
        <v>0</v>
      </c>
      <c r="AX13" s="112">
        <v>0</v>
      </c>
      <c r="AY13" s="112">
        <v>0</v>
      </c>
      <c r="AZ13" s="112">
        <v>0</v>
      </c>
      <c r="BA13" s="112">
        <v>0</v>
      </c>
      <c r="BB13" s="112">
        <v>0</v>
      </c>
      <c r="BC13" s="112">
        <v>0</v>
      </c>
      <c r="BD13" s="112">
        <v>0</v>
      </c>
      <c r="BE13" s="112">
        <v>0</v>
      </c>
      <c r="BF13" s="112">
        <v>0</v>
      </c>
      <c r="BG13" s="112">
        <v>0</v>
      </c>
      <c r="BH13" s="112">
        <v>0</v>
      </c>
      <c r="BI13" s="112">
        <v>0</v>
      </c>
      <c r="BJ13" s="112">
        <v>0</v>
      </c>
      <c r="BK13" s="112">
        <v>0</v>
      </c>
      <c r="BL13" s="112">
        <v>0</v>
      </c>
      <c r="BM13" s="112">
        <v>0</v>
      </c>
      <c r="BN13" s="112">
        <v>0</v>
      </c>
      <c r="BO13" s="112">
        <v>0</v>
      </c>
      <c r="BP13" s="112">
        <v>0</v>
      </c>
      <c r="BQ13" s="112">
        <v>0</v>
      </c>
      <c r="BR13" s="112">
        <v>0</v>
      </c>
      <c r="BS13" s="112">
        <v>0</v>
      </c>
      <c r="BT13" s="112">
        <v>0</v>
      </c>
      <c r="BU13" s="112">
        <v>0</v>
      </c>
      <c r="BV13" s="112">
        <v>0</v>
      </c>
      <c r="BW13" s="112">
        <v>0</v>
      </c>
      <c r="BX13" s="112">
        <v>0</v>
      </c>
      <c r="BY13" s="112">
        <v>0</v>
      </c>
      <c r="BZ13" s="112">
        <v>0</v>
      </c>
      <c r="CA13" s="112">
        <v>0</v>
      </c>
      <c r="CB13" s="112">
        <v>0</v>
      </c>
      <c r="CC13" s="112">
        <v>0</v>
      </c>
      <c r="CD13" s="112">
        <v>0</v>
      </c>
      <c r="CE13" s="112">
        <v>0</v>
      </c>
      <c r="CF13" s="112">
        <v>0</v>
      </c>
      <c r="CG13" s="112">
        <v>0</v>
      </c>
      <c r="CH13" s="112">
        <v>0</v>
      </c>
      <c r="CI13" s="112">
        <v>0</v>
      </c>
      <c r="CJ13" s="112">
        <v>0</v>
      </c>
      <c r="CK13" s="112">
        <v>0</v>
      </c>
      <c r="CL13" s="112">
        <v>0</v>
      </c>
      <c r="CM13" s="112">
        <v>0</v>
      </c>
      <c r="CN13" s="112">
        <v>0</v>
      </c>
      <c r="CO13" s="112">
        <v>0</v>
      </c>
      <c r="CP13" s="112">
        <v>0</v>
      </c>
      <c r="CQ13" s="112">
        <v>0</v>
      </c>
      <c r="CR13" s="112">
        <v>0</v>
      </c>
      <c r="CS13" s="112">
        <v>0</v>
      </c>
      <c r="CT13" s="112">
        <v>0</v>
      </c>
      <c r="CU13" s="112">
        <v>0</v>
      </c>
      <c r="CV13" s="112">
        <v>0</v>
      </c>
    </row>
    <row r="14" spans="1:100" customFormat="1" x14ac:dyDescent="0.15">
      <c r="A14" s="189" t="s">
        <v>204</v>
      </c>
      <c r="B14" s="112">
        <v>0</v>
      </c>
      <c r="C14" s="112">
        <v>0</v>
      </c>
      <c r="D14" s="112">
        <v>0</v>
      </c>
      <c r="E14" s="112">
        <v>0</v>
      </c>
      <c r="F14" s="112">
        <v>0</v>
      </c>
      <c r="G14" s="112">
        <v>0</v>
      </c>
      <c r="H14" s="112">
        <v>0</v>
      </c>
      <c r="I14" s="112">
        <v>0</v>
      </c>
      <c r="J14" s="112">
        <v>0</v>
      </c>
      <c r="K14" s="112">
        <v>0</v>
      </c>
      <c r="L14" s="112">
        <v>0</v>
      </c>
      <c r="M14" s="112">
        <v>0</v>
      </c>
      <c r="N14" s="112">
        <v>0</v>
      </c>
      <c r="O14" s="112">
        <v>0</v>
      </c>
      <c r="P14" s="112">
        <v>0</v>
      </c>
      <c r="Q14" s="112">
        <v>0</v>
      </c>
      <c r="R14" s="112">
        <v>0</v>
      </c>
      <c r="S14" s="112">
        <v>0</v>
      </c>
      <c r="T14" s="112">
        <v>0</v>
      </c>
      <c r="U14" s="112">
        <v>0</v>
      </c>
      <c r="V14" s="112">
        <v>0</v>
      </c>
      <c r="W14" s="112">
        <v>0</v>
      </c>
      <c r="X14" s="112">
        <v>0</v>
      </c>
      <c r="Y14" s="112">
        <v>0</v>
      </c>
      <c r="Z14" s="112">
        <v>0</v>
      </c>
      <c r="AA14" s="112">
        <v>0</v>
      </c>
      <c r="AB14" s="112">
        <v>0</v>
      </c>
      <c r="AC14" s="112">
        <v>0</v>
      </c>
      <c r="AD14" s="112">
        <v>0</v>
      </c>
      <c r="AE14" s="112">
        <v>0</v>
      </c>
      <c r="AF14" s="112">
        <v>0</v>
      </c>
      <c r="AG14" s="112">
        <v>0</v>
      </c>
      <c r="AH14" s="112">
        <v>0</v>
      </c>
      <c r="AI14" s="112">
        <v>0</v>
      </c>
      <c r="AJ14" s="112">
        <v>0</v>
      </c>
      <c r="AK14" s="112">
        <v>0</v>
      </c>
      <c r="AL14" s="112">
        <v>0</v>
      </c>
      <c r="AM14" s="112">
        <v>0</v>
      </c>
      <c r="AN14" s="112">
        <v>0</v>
      </c>
      <c r="AO14" s="112">
        <v>0</v>
      </c>
      <c r="AP14" s="112">
        <v>0</v>
      </c>
      <c r="AQ14" s="112">
        <v>0</v>
      </c>
      <c r="AR14" s="112">
        <v>0</v>
      </c>
      <c r="AS14" s="112">
        <v>0</v>
      </c>
      <c r="AT14" s="112">
        <v>0</v>
      </c>
      <c r="AU14" s="112">
        <v>0</v>
      </c>
      <c r="AV14" s="112">
        <v>0</v>
      </c>
      <c r="AW14" s="112">
        <v>0</v>
      </c>
      <c r="AX14" s="112">
        <v>0</v>
      </c>
      <c r="AY14" s="112">
        <v>0</v>
      </c>
      <c r="AZ14" s="112">
        <v>0</v>
      </c>
      <c r="BA14" s="112">
        <v>0</v>
      </c>
      <c r="BB14" s="112">
        <v>0</v>
      </c>
      <c r="BC14" s="112">
        <v>0</v>
      </c>
      <c r="BD14" s="112">
        <v>0</v>
      </c>
      <c r="BE14" s="112">
        <v>0</v>
      </c>
      <c r="BF14" s="112">
        <v>0</v>
      </c>
      <c r="BG14" s="112">
        <v>0</v>
      </c>
      <c r="BH14" s="112">
        <v>0</v>
      </c>
      <c r="BI14" s="112">
        <v>0</v>
      </c>
      <c r="BJ14" s="112">
        <v>0</v>
      </c>
      <c r="BK14" s="112">
        <v>0</v>
      </c>
      <c r="BL14" s="112">
        <v>0</v>
      </c>
      <c r="BM14" s="112">
        <v>0</v>
      </c>
      <c r="BN14" s="112">
        <v>0</v>
      </c>
      <c r="BO14" s="112">
        <v>0</v>
      </c>
      <c r="BP14" s="112">
        <v>0</v>
      </c>
      <c r="BQ14" s="112">
        <v>0</v>
      </c>
      <c r="BR14" s="112">
        <v>0</v>
      </c>
      <c r="BS14" s="112">
        <v>0</v>
      </c>
      <c r="BT14" s="112">
        <v>0</v>
      </c>
      <c r="BU14" s="112">
        <v>0</v>
      </c>
      <c r="BV14" s="112">
        <v>0</v>
      </c>
      <c r="BW14" s="112">
        <v>0</v>
      </c>
      <c r="BX14" s="112">
        <v>0</v>
      </c>
      <c r="BY14" s="112">
        <v>0</v>
      </c>
      <c r="BZ14" s="112">
        <v>0</v>
      </c>
      <c r="CA14" s="112">
        <v>0</v>
      </c>
      <c r="CB14" s="112">
        <v>0</v>
      </c>
      <c r="CC14" s="112">
        <v>0</v>
      </c>
      <c r="CD14" s="112">
        <v>0</v>
      </c>
      <c r="CE14" s="112">
        <v>0</v>
      </c>
      <c r="CF14" s="112">
        <v>0</v>
      </c>
      <c r="CG14" s="112">
        <v>0</v>
      </c>
      <c r="CH14" s="112">
        <v>0</v>
      </c>
      <c r="CI14" s="112">
        <v>0</v>
      </c>
      <c r="CJ14" s="112">
        <v>0</v>
      </c>
      <c r="CK14" s="112">
        <v>0</v>
      </c>
      <c r="CL14" s="112">
        <v>0</v>
      </c>
      <c r="CM14" s="112">
        <v>0</v>
      </c>
      <c r="CN14" s="112">
        <v>0</v>
      </c>
      <c r="CO14" s="112">
        <v>0</v>
      </c>
      <c r="CP14" s="112">
        <v>0</v>
      </c>
      <c r="CQ14" s="112">
        <v>0</v>
      </c>
      <c r="CR14" s="112">
        <v>0</v>
      </c>
      <c r="CS14" s="112">
        <v>0</v>
      </c>
      <c r="CT14" s="112">
        <v>0</v>
      </c>
      <c r="CU14" s="112">
        <v>0</v>
      </c>
      <c r="CV14" s="112">
        <v>0</v>
      </c>
    </row>
    <row r="15" spans="1:100" customFormat="1" x14ac:dyDescent="0.15">
      <c r="A15" s="189" t="s">
        <v>205</v>
      </c>
      <c r="B15" s="112">
        <v>0.8</v>
      </c>
      <c r="C15" s="112">
        <v>0</v>
      </c>
      <c r="D15" s="112">
        <v>0</v>
      </c>
      <c r="E15" s="112">
        <v>0</v>
      </c>
      <c r="F15" s="112">
        <v>0</v>
      </c>
      <c r="G15" s="112">
        <v>0</v>
      </c>
      <c r="H15" s="112">
        <v>0</v>
      </c>
      <c r="I15" s="112">
        <v>0</v>
      </c>
      <c r="J15" s="112">
        <v>0</v>
      </c>
      <c r="K15" s="112">
        <v>0</v>
      </c>
      <c r="L15" s="112">
        <v>0.8</v>
      </c>
      <c r="M15" s="112">
        <v>0</v>
      </c>
      <c r="N15" s="112">
        <v>0</v>
      </c>
      <c r="O15" s="112">
        <v>0</v>
      </c>
      <c r="P15" s="112">
        <v>0.8</v>
      </c>
      <c r="Q15" s="112">
        <v>0.8</v>
      </c>
      <c r="R15" s="112">
        <v>0.8</v>
      </c>
      <c r="S15" s="112">
        <v>0</v>
      </c>
      <c r="T15" s="112">
        <v>0.8</v>
      </c>
      <c r="U15" s="112">
        <v>0</v>
      </c>
      <c r="V15" s="112">
        <v>0</v>
      </c>
      <c r="W15" s="112">
        <v>0</v>
      </c>
      <c r="X15" s="112">
        <v>0.8</v>
      </c>
      <c r="Y15" s="112">
        <v>0</v>
      </c>
      <c r="Z15" s="112">
        <v>0</v>
      </c>
      <c r="AA15" s="112">
        <v>0</v>
      </c>
      <c r="AB15" s="112">
        <v>0</v>
      </c>
      <c r="AC15" s="112">
        <v>0</v>
      </c>
      <c r="AD15" s="112">
        <v>0.8</v>
      </c>
      <c r="AE15" s="112">
        <v>0.8</v>
      </c>
      <c r="AF15" s="112">
        <v>0</v>
      </c>
      <c r="AG15" s="112">
        <v>0</v>
      </c>
      <c r="AH15" s="112">
        <v>0</v>
      </c>
      <c r="AI15" s="112">
        <v>0</v>
      </c>
      <c r="AJ15" s="112">
        <v>0</v>
      </c>
      <c r="AK15" s="112">
        <v>0</v>
      </c>
      <c r="AL15" s="112">
        <v>0</v>
      </c>
      <c r="AM15" s="112">
        <v>0</v>
      </c>
      <c r="AN15" s="112">
        <v>0</v>
      </c>
      <c r="AO15" s="112">
        <v>0</v>
      </c>
      <c r="AP15" s="112">
        <v>0</v>
      </c>
      <c r="AQ15" s="112">
        <v>0</v>
      </c>
      <c r="AR15" s="112">
        <v>0</v>
      </c>
      <c r="AS15" s="112">
        <v>0</v>
      </c>
      <c r="AT15" s="112">
        <v>0</v>
      </c>
      <c r="AU15" s="112">
        <v>0</v>
      </c>
      <c r="AV15" s="112">
        <v>0</v>
      </c>
      <c r="AW15" s="112">
        <v>0</v>
      </c>
      <c r="AX15" s="112">
        <v>0</v>
      </c>
      <c r="AY15" s="112">
        <v>0</v>
      </c>
      <c r="AZ15" s="112">
        <v>0</v>
      </c>
      <c r="BA15" s="112">
        <v>0</v>
      </c>
      <c r="BB15" s="112">
        <v>0</v>
      </c>
      <c r="BC15" s="112">
        <v>0</v>
      </c>
      <c r="BD15" s="112">
        <v>0</v>
      </c>
      <c r="BE15" s="112">
        <v>0</v>
      </c>
      <c r="BF15" s="112">
        <v>0</v>
      </c>
      <c r="BG15" s="112">
        <v>0</v>
      </c>
      <c r="BH15" s="112">
        <v>0</v>
      </c>
      <c r="BI15" s="112">
        <v>0</v>
      </c>
      <c r="BJ15" s="112">
        <v>0</v>
      </c>
      <c r="BK15" s="112">
        <v>0</v>
      </c>
      <c r="BL15" s="112">
        <v>0</v>
      </c>
      <c r="BM15" s="112">
        <v>0</v>
      </c>
      <c r="BN15" s="112">
        <v>0</v>
      </c>
      <c r="BO15" s="112">
        <v>0</v>
      </c>
      <c r="BP15" s="112">
        <v>0</v>
      </c>
      <c r="BQ15" s="112">
        <v>0</v>
      </c>
      <c r="BR15" s="112">
        <v>0</v>
      </c>
      <c r="BS15" s="112">
        <v>0</v>
      </c>
      <c r="BT15" s="112">
        <v>0</v>
      </c>
      <c r="BU15" s="112">
        <v>0</v>
      </c>
      <c r="BV15" s="112">
        <v>0</v>
      </c>
      <c r="BW15" s="112">
        <v>0</v>
      </c>
      <c r="BX15" s="112">
        <v>0</v>
      </c>
      <c r="BY15" s="112">
        <v>0</v>
      </c>
      <c r="BZ15" s="112">
        <v>0</v>
      </c>
      <c r="CA15" s="112">
        <v>0</v>
      </c>
      <c r="CB15" s="112">
        <v>0</v>
      </c>
      <c r="CC15" s="112">
        <v>0</v>
      </c>
      <c r="CD15" s="112">
        <v>0</v>
      </c>
      <c r="CE15" s="112">
        <v>0</v>
      </c>
      <c r="CF15" s="112">
        <v>0</v>
      </c>
      <c r="CG15" s="112">
        <v>0</v>
      </c>
      <c r="CH15" s="112">
        <v>0</v>
      </c>
      <c r="CI15" s="112">
        <v>0</v>
      </c>
      <c r="CJ15" s="112">
        <v>0</v>
      </c>
      <c r="CK15" s="112">
        <v>0</v>
      </c>
      <c r="CL15" s="112">
        <v>0</v>
      </c>
      <c r="CM15" s="112">
        <v>0</v>
      </c>
      <c r="CN15" s="112">
        <v>0</v>
      </c>
      <c r="CO15" s="112">
        <v>0</v>
      </c>
      <c r="CP15" s="112">
        <v>0</v>
      </c>
      <c r="CQ15" s="112">
        <v>0</v>
      </c>
      <c r="CR15" s="112">
        <v>0</v>
      </c>
      <c r="CS15" s="112">
        <v>0</v>
      </c>
      <c r="CT15" s="112">
        <v>0</v>
      </c>
      <c r="CU15" s="112">
        <v>0</v>
      </c>
      <c r="CV15" s="112">
        <v>0</v>
      </c>
    </row>
    <row r="16" spans="1:100" customFormat="1" x14ac:dyDescent="0.15">
      <c r="A16" s="189" t="s">
        <v>206</v>
      </c>
      <c r="B16" s="112">
        <v>0.8</v>
      </c>
      <c r="C16" s="112">
        <v>0</v>
      </c>
      <c r="D16" s="112">
        <v>0</v>
      </c>
      <c r="E16" s="112">
        <v>0</v>
      </c>
      <c r="F16" s="112">
        <v>0.8</v>
      </c>
      <c r="G16" s="112">
        <v>0</v>
      </c>
      <c r="H16" s="112">
        <v>0</v>
      </c>
      <c r="I16" s="112">
        <v>0</v>
      </c>
      <c r="J16" s="112">
        <v>0</v>
      </c>
      <c r="K16" s="112">
        <v>0</v>
      </c>
      <c r="L16" s="112">
        <v>0</v>
      </c>
      <c r="M16" s="112">
        <v>0</v>
      </c>
      <c r="N16" s="112">
        <v>0</v>
      </c>
      <c r="O16" s="112">
        <v>0.8</v>
      </c>
      <c r="P16" s="112">
        <v>0</v>
      </c>
      <c r="Q16" s="112">
        <v>0.8</v>
      </c>
      <c r="R16" s="112">
        <v>0.8</v>
      </c>
      <c r="S16" s="112">
        <v>0.8</v>
      </c>
      <c r="T16" s="112">
        <v>0.8</v>
      </c>
      <c r="U16" s="112">
        <v>0.8</v>
      </c>
      <c r="V16" s="112">
        <v>0.8</v>
      </c>
      <c r="W16" s="112">
        <v>0.8</v>
      </c>
      <c r="X16" s="112">
        <v>0.8</v>
      </c>
      <c r="Y16" s="112">
        <v>0</v>
      </c>
      <c r="Z16" s="112">
        <v>0</v>
      </c>
      <c r="AA16" s="112">
        <v>0</v>
      </c>
      <c r="AB16" s="112">
        <v>0</v>
      </c>
      <c r="AC16" s="112">
        <v>0</v>
      </c>
      <c r="AD16" s="112">
        <v>0.8</v>
      </c>
      <c r="AE16" s="112">
        <v>0.8</v>
      </c>
      <c r="AF16" s="112">
        <v>0.8</v>
      </c>
      <c r="AG16" s="112">
        <v>0.8</v>
      </c>
      <c r="AH16" s="112">
        <v>0</v>
      </c>
      <c r="AI16" s="112">
        <v>0</v>
      </c>
      <c r="AJ16" s="112">
        <v>0</v>
      </c>
      <c r="AK16" s="112">
        <v>0</v>
      </c>
      <c r="AL16" s="112">
        <v>0</v>
      </c>
      <c r="AM16" s="112">
        <v>0</v>
      </c>
      <c r="AN16" s="112">
        <v>0</v>
      </c>
      <c r="AO16" s="112">
        <v>0</v>
      </c>
      <c r="AP16" s="112">
        <v>0</v>
      </c>
      <c r="AQ16" s="112">
        <v>0</v>
      </c>
      <c r="AR16" s="112">
        <v>0</v>
      </c>
      <c r="AS16" s="112">
        <v>0</v>
      </c>
      <c r="AT16" s="112">
        <v>0</v>
      </c>
      <c r="AU16" s="112">
        <v>0</v>
      </c>
      <c r="AV16" s="112">
        <v>0</v>
      </c>
      <c r="AW16" s="112">
        <v>0</v>
      </c>
      <c r="AX16" s="112">
        <v>0</v>
      </c>
      <c r="AY16" s="112">
        <v>0</v>
      </c>
      <c r="AZ16" s="112">
        <v>0</v>
      </c>
      <c r="BA16" s="112">
        <v>0</v>
      </c>
      <c r="BB16" s="112">
        <v>0</v>
      </c>
      <c r="BC16" s="112">
        <v>0</v>
      </c>
      <c r="BD16" s="112">
        <v>0</v>
      </c>
      <c r="BE16" s="112">
        <v>0</v>
      </c>
      <c r="BF16" s="112">
        <v>0</v>
      </c>
      <c r="BG16" s="112">
        <v>0</v>
      </c>
      <c r="BH16" s="112">
        <v>0</v>
      </c>
      <c r="BI16" s="112">
        <v>0</v>
      </c>
      <c r="BJ16" s="112">
        <v>0</v>
      </c>
      <c r="BK16" s="112">
        <v>0</v>
      </c>
      <c r="BL16" s="112">
        <v>0</v>
      </c>
      <c r="BM16" s="112">
        <v>0</v>
      </c>
      <c r="BN16" s="112">
        <v>0</v>
      </c>
      <c r="BO16" s="112">
        <v>0</v>
      </c>
      <c r="BP16" s="112">
        <v>0</v>
      </c>
      <c r="BQ16" s="112">
        <v>0</v>
      </c>
      <c r="BR16" s="112">
        <v>0</v>
      </c>
      <c r="BS16" s="112">
        <v>0</v>
      </c>
      <c r="BT16" s="112">
        <v>0</v>
      </c>
      <c r="BU16" s="112">
        <v>0</v>
      </c>
      <c r="BV16" s="112">
        <v>0</v>
      </c>
      <c r="BW16" s="112">
        <v>0</v>
      </c>
      <c r="BX16" s="112">
        <v>0</v>
      </c>
      <c r="BY16" s="112">
        <v>0</v>
      </c>
      <c r="BZ16" s="112">
        <v>0</v>
      </c>
      <c r="CA16" s="112">
        <v>0</v>
      </c>
      <c r="CB16" s="112">
        <v>0</v>
      </c>
      <c r="CC16" s="112">
        <v>0</v>
      </c>
      <c r="CD16" s="112">
        <v>0</v>
      </c>
      <c r="CE16" s="112">
        <v>0</v>
      </c>
      <c r="CF16" s="112">
        <v>0</v>
      </c>
      <c r="CG16" s="112">
        <v>0</v>
      </c>
      <c r="CH16" s="112">
        <v>0</v>
      </c>
      <c r="CI16" s="112">
        <v>0</v>
      </c>
      <c r="CJ16" s="112">
        <v>0</v>
      </c>
      <c r="CK16" s="112">
        <v>0</v>
      </c>
      <c r="CL16" s="112">
        <v>0</v>
      </c>
      <c r="CM16" s="112">
        <v>0</v>
      </c>
      <c r="CN16" s="112">
        <v>0</v>
      </c>
      <c r="CO16" s="112">
        <v>0</v>
      </c>
      <c r="CP16" s="112">
        <v>0</v>
      </c>
      <c r="CQ16" s="112">
        <v>0</v>
      </c>
      <c r="CR16" s="112">
        <v>0</v>
      </c>
      <c r="CS16" s="112">
        <v>0</v>
      </c>
      <c r="CT16" s="112">
        <v>0</v>
      </c>
      <c r="CU16" s="112">
        <v>0</v>
      </c>
      <c r="CV16" s="112">
        <v>0</v>
      </c>
    </row>
    <row r="17" spans="1:100" customFormat="1" x14ac:dyDescent="0.15">
      <c r="A17" s="189" t="s">
        <v>207</v>
      </c>
      <c r="B17" s="112">
        <v>0</v>
      </c>
      <c r="C17" s="112">
        <v>0</v>
      </c>
      <c r="D17" s="112">
        <v>0</v>
      </c>
      <c r="E17" s="112">
        <v>0</v>
      </c>
      <c r="F17" s="112">
        <v>0</v>
      </c>
      <c r="G17" s="112">
        <v>0</v>
      </c>
      <c r="H17" s="112">
        <v>0</v>
      </c>
      <c r="I17" s="112">
        <v>0</v>
      </c>
      <c r="J17" s="112">
        <v>0</v>
      </c>
      <c r="K17" s="112">
        <v>0</v>
      </c>
      <c r="L17" s="112">
        <v>0</v>
      </c>
      <c r="M17" s="112">
        <v>0</v>
      </c>
      <c r="N17" s="112">
        <v>0</v>
      </c>
      <c r="O17" s="112">
        <v>0</v>
      </c>
      <c r="P17" s="112">
        <v>0</v>
      </c>
      <c r="Q17" s="112">
        <v>0</v>
      </c>
      <c r="R17" s="112">
        <v>0</v>
      </c>
      <c r="S17" s="112">
        <v>0</v>
      </c>
      <c r="T17" s="112">
        <v>0</v>
      </c>
      <c r="U17" s="112">
        <v>0</v>
      </c>
      <c r="V17" s="112">
        <v>0</v>
      </c>
      <c r="W17" s="112">
        <v>0</v>
      </c>
      <c r="X17" s="112">
        <v>0</v>
      </c>
      <c r="Y17" s="112">
        <v>0</v>
      </c>
      <c r="Z17" s="112">
        <v>0</v>
      </c>
      <c r="AA17" s="112">
        <v>0</v>
      </c>
      <c r="AB17" s="112">
        <v>0</v>
      </c>
      <c r="AC17" s="112">
        <v>0</v>
      </c>
      <c r="AD17" s="112">
        <v>0</v>
      </c>
      <c r="AE17" s="112">
        <v>0</v>
      </c>
      <c r="AF17" s="112">
        <v>0</v>
      </c>
      <c r="AG17" s="112">
        <v>0</v>
      </c>
      <c r="AH17" s="112">
        <v>0</v>
      </c>
      <c r="AI17" s="112">
        <v>0</v>
      </c>
      <c r="AJ17" s="112">
        <v>0</v>
      </c>
      <c r="AK17" s="112">
        <v>0</v>
      </c>
      <c r="AL17" s="112">
        <v>0</v>
      </c>
      <c r="AM17" s="112">
        <v>0</v>
      </c>
      <c r="AN17" s="112">
        <v>0</v>
      </c>
      <c r="AO17" s="112">
        <v>0</v>
      </c>
      <c r="AP17" s="112">
        <v>0</v>
      </c>
      <c r="AQ17" s="112">
        <v>0</v>
      </c>
      <c r="AR17" s="112">
        <v>0</v>
      </c>
      <c r="AS17" s="112">
        <v>0</v>
      </c>
      <c r="AT17" s="112">
        <v>0</v>
      </c>
      <c r="AU17" s="112">
        <v>0</v>
      </c>
      <c r="AV17" s="112">
        <v>0</v>
      </c>
      <c r="AW17" s="112">
        <v>0</v>
      </c>
      <c r="AX17" s="112">
        <v>0</v>
      </c>
      <c r="AY17" s="112">
        <v>0</v>
      </c>
      <c r="AZ17" s="112">
        <v>0</v>
      </c>
      <c r="BA17" s="112">
        <v>0</v>
      </c>
      <c r="BB17" s="112">
        <v>0</v>
      </c>
      <c r="BC17" s="112">
        <v>0</v>
      </c>
      <c r="BD17" s="112">
        <v>0</v>
      </c>
      <c r="BE17" s="112">
        <v>0</v>
      </c>
      <c r="BF17" s="112">
        <v>0</v>
      </c>
      <c r="BG17" s="112">
        <v>0</v>
      </c>
      <c r="BH17" s="112">
        <v>0</v>
      </c>
      <c r="BI17" s="112">
        <v>0</v>
      </c>
      <c r="BJ17" s="112">
        <v>0</v>
      </c>
      <c r="BK17" s="112">
        <v>0</v>
      </c>
      <c r="BL17" s="112">
        <v>0</v>
      </c>
      <c r="BM17" s="112">
        <v>0</v>
      </c>
      <c r="BN17" s="112">
        <v>0</v>
      </c>
      <c r="BO17" s="112">
        <v>0</v>
      </c>
      <c r="BP17" s="112">
        <v>0</v>
      </c>
      <c r="BQ17" s="112">
        <v>0</v>
      </c>
      <c r="BR17" s="112">
        <v>0</v>
      </c>
      <c r="BS17" s="112">
        <v>0</v>
      </c>
      <c r="BT17" s="112">
        <v>0</v>
      </c>
      <c r="BU17" s="112">
        <v>0</v>
      </c>
      <c r="BV17" s="112">
        <v>0</v>
      </c>
      <c r="BW17" s="112">
        <v>0</v>
      </c>
      <c r="BX17" s="112">
        <v>0</v>
      </c>
      <c r="BY17" s="112">
        <v>0</v>
      </c>
      <c r="BZ17" s="112">
        <v>0</v>
      </c>
      <c r="CA17" s="112">
        <v>0</v>
      </c>
      <c r="CB17" s="112">
        <v>0</v>
      </c>
      <c r="CC17" s="112">
        <v>0</v>
      </c>
      <c r="CD17" s="112">
        <v>0</v>
      </c>
      <c r="CE17" s="112">
        <v>0</v>
      </c>
      <c r="CF17" s="112">
        <v>0</v>
      </c>
      <c r="CG17" s="112">
        <v>0</v>
      </c>
      <c r="CH17" s="112">
        <v>0</v>
      </c>
      <c r="CI17" s="112">
        <v>0</v>
      </c>
      <c r="CJ17" s="112">
        <v>0</v>
      </c>
      <c r="CK17" s="112">
        <v>0</v>
      </c>
      <c r="CL17" s="112">
        <v>0</v>
      </c>
      <c r="CM17" s="112">
        <v>0</v>
      </c>
      <c r="CN17" s="112">
        <v>0</v>
      </c>
      <c r="CO17" s="112">
        <v>0</v>
      </c>
      <c r="CP17" s="112">
        <v>0</v>
      </c>
      <c r="CQ17" s="112">
        <v>0</v>
      </c>
      <c r="CR17" s="112">
        <v>0</v>
      </c>
      <c r="CS17" s="112">
        <v>0</v>
      </c>
      <c r="CT17" s="112">
        <v>0</v>
      </c>
      <c r="CU17" s="112">
        <v>0</v>
      </c>
      <c r="CV17" s="112">
        <v>0</v>
      </c>
    </row>
    <row r="18" spans="1:100" customFormat="1" x14ac:dyDescent="0.15">
      <c r="A18" s="189" t="s">
        <v>208</v>
      </c>
      <c r="B18" s="112">
        <v>0.8</v>
      </c>
      <c r="C18" s="112">
        <v>0</v>
      </c>
      <c r="D18" s="112">
        <v>0</v>
      </c>
      <c r="E18" s="112">
        <v>0</v>
      </c>
      <c r="F18" s="112">
        <v>0</v>
      </c>
      <c r="G18" s="112">
        <v>0</v>
      </c>
      <c r="H18" s="112">
        <v>0</v>
      </c>
      <c r="I18" s="112">
        <v>0</v>
      </c>
      <c r="J18" s="112">
        <v>0</v>
      </c>
      <c r="K18" s="112">
        <v>0</v>
      </c>
      <c r="L18" s="112">
        <v>0</v>
      </c>
      <c r="M18" s="112">
        <v>0</v>
      </c>
      <c r="N18" s="112">
        <v>0</v>
      </c>
      <c r="O18" s="112">
        <v>0</v>
      </c>
      <c r="P18" s="112">
        <v>0</v>
      </c>
      <c r="Q18" s="112">
        <v>0.8</v>
      </c>
      <c r="R18" s="112">
        <v>0.8</v>
      </c>
      <c r="S18" s="112">
        <v>0</v>
      </c>
      <c r="T18" s="112">
        <v>0</v>
      </c>
      <c r="U18" s="112">
        <v>0</v>
      </c>
      <c r="V18" s="112">
        <v>0</v>
      </c>
      <c r="W18" s="112">
        <v>0</v>
      </c>
      <c r="X18" s="112">
        <v>0</v>
      </c>
      <c r="Y18" s="112">
        <v>0</v>
      </c>
      <c r="Z18" s="112">
        <v>0</v>
      </c>
      <c r="AA18" s="112">
        <v>0</v>
      </c>
      <c r="AB18" s="112">
        <v>0</v>
      </c>
      <c r="AC18" s="112">
        <v>0</v>
      </c>
      <c r="AD18" s="112">
        <v>0.8</v>
      </c>
      <c r="AE18" s="112">
        <v>0.8</v>
      </c>
      <c r="AF18" s="112">
        <v>0.8</v>
      </c>
      <c r="AG18" s="112">
        <v>0</v>
      </c>
      <c r="AH18" s="112">
        <v>0</v>
      </c>
      <c r="AI18" s="112">
        <v>0</v>
      </c>
      <c r="AJ18" s="112">
        <v>0</v>
      </c>
      <c r="AK18" s="112">
        <v>0</v>
      </c>
      <c r="AL18" s="112">
        <v>0</v>
      </c>
      <c r="AM18" s="112">
        <v>0</v>
      </c>
      <c r="AN18" s="112">
        <v>0</v>
      </c>
      <c r="AO18" s="112">
        <v>0</v>
      </c>
      <c r="AP18" s="112">
        <v>0</v>
      </c>
      <c r="AQ18" s="112">
        <v>0</v>
      </c>
      <c r="AR18" s="112">
        <v>0</v>
      </c>
      <c r="AS18" s="112">
        <v>0</v>
      </c>
      <c r="AT18" s="112">
        <v>0</v>
      </c>
      <c r="AU18" s="112">
        <v>0</v>
      </c>
      <c r="AV18" s="112">
        <v>0</v>
      </c>
      <c r="AW18" s="112">
        <v>0</v>
      </c>
      <c r="AX18" s="112">
        <v>0</v>
      </c>
      <c r="AY18" s="112">
        <v>0</v>
      </c>
      <c r="AZ18" s="112">
        <v>0</v>
      </c>
      <c r="BA18" s="112">
        <v>0</v>
      </c>
      <c r="BB18" s="112">
        <v>0</v>
      </c>
      <c r="BC18" s="112">
        <v>0</v>
      </c>
      <c r="BD18" s="112">
        <v>0</v>
      </c>
      <c r="BE18" s="112">
        <v>0</v>
      </c>
      <c r="BF18" s="112">
        <v>0</v>
      </c>
      <c r="BG18" s="112">
        <v>0</v>
      </c>
      <c r="BH18" s="112">
        <v>0</v>
      </c>
      <c r="BI18" s="112">
        <v>0</v>
      </c>
      <c r="BJ18" s="112">
        <v>0</v>
      </c>
      <c r="BK18" s="112">
        <v>0</v>
      </c>
      <c r="BL18" s="112">
        <v>0</v>
      </c>
      <c r="BM18" s="112">
        <v>0</v>
      </c>
      <c r="BN18" s="112">
        <v>0</v>
      </c>
      <c r="BO18" s="112">
        <v>0</v>
      </c>
      <c r="BP18" s="112">
        <v>0</v>
      </c>
      <c r="BQ18" s="112">
        <v>0</v>
      </c>
      <c r="BR18" s="112">
        <v>0</v>
      </c>
      <c r="BS18" s="112">
        <v>0</v>
      </c>
      <c r="BT18" s="112">
        <v>0</v>
      </c>
      <c r="BU18" s="112">
        <v>0</v>
      </c>
      <c r="BV18" s="112">
        <v>0</v>
      </c>
      <c r="BW18" s="112">
        <v>0</v>
      </c>
      <c r="BX18" s="112">
        <v>0</v>
      </c>
      <c r="BY18" s="112">
        <v>0</v>
      </c>
      <c r="BZ18" s="112">
        <v>0</v>
      </c>
      <c r="CA18" s="112">
        <v>0</v>
      </c>
      <c r="CB18" s="112">
        <v>0</v>
      </c>
      <c r="CC18" s="112">
        <v>0</v>
      </c>
      <c r="CD18" s="112">
        <v>0</v>
      </c>
      <c r="CE18" s="112">
        <v>0</v>
      </c>
      <c r="CF18" s="112">
        <v>0</v>
      </c>
      <c r="CG18" s="112">
        <v>0</v>
      </c>
      <c r="CH18" s="112">
        <v>0</v>
      </c>
      <c r="CI18" s="112">
        <v>0</v>
      </c>
      <c r="CJ18" s="112">
        <v>0</v>
      </c>
      <c r="CK18" s="112">
        <v>0</v>
      </c>
      <c r="CL18" s="112">
        <v>0</v>
      </c>
      <c r="CM18" s="112">
        <v>0</v>
      </c>
      <c r="CN18" s="112">
        <v>0</v>
      </c>
      <c r="CO18" s="112">
        <v>0</v>
      </c>
      <c r="CP18" s="112">
        <v>0</v>
      </c>
      <c r="CQ18" s="112">
        <v>0</v>
      </c>
      <c r="CR18" s="112">
        <v>0</v>
      </c>
      <c r="CS18" s="112">
        <v>0</v>
      </c>
      <c r="CT18" s="112">
        <v>0</v>
      </c>
      <c r="CU18" s="112">
        <v>0</v>
      </c>
      <c r="CV18" s="112">
        <v>0</v>
      </c>
    </row>
    <row r="19" spans="1:100" customFormat="1" x14ac:dyDescent="0.15">
      <c r="A19" s="189" t="s">
        <v>209</v>
      </c>
      <c r="B19" s="112">
        <v>0.8</v>
      </c>
      <c r="C19" s="112">
        <v>0</v>
      </c>
      <c r="D19" s="112">
        <v>0</v>
      </c>
      <c r="E19" s="112">
        <v>0</v>
      </c>
      <c r="F19" s="112">
        <v>0</v>
      </c>
      <c r="G19" s="112">
        <v>0</v>
      </c>
      <c r="H19" s="112">
        <v>0</v>
      </c>
      <c r="I19" s="112">
        <v>0</v>
      </c>
      <c r="J19" s="112">
        <v>0</v>
      </c>
      <c r="K19" s="112">
        <v>0</v>
      </c>
      <c r="L19" s="112">
        <v>0</v>
      </c>
      <c r="M19" s="112">
        <v>0</v>
      </c>
      <c r="N19" s="112">
        <v>0</v>
      </c>
      <c r="O19" s="112">
        <v>0.8</v>
      </c>
      <c r="P19" s="112">
        <v>0.8</v>
      </c>
      <c r="Q19" s="112">
        <v>0.8</v>
      </c>
      <c r="R19" s="112">
        <v>0.8</v>
      </c>
      <c r="S19" s="112">
        <v>0</v>
      </c>
      <c r="T19" s="112">
        <v>0.8</v>
      </c>
      <c r="U19" s="112">
        <v>0</v>
      </c>
      <c r="V19" s="112">
        <v>0</v>
      </c>
      <c r="W19" s="112">
        <v>0</v>
      </c>
      <c r="X19" s="112">
        <v>0.8</v>
      </c>
      <c r="Y19" s="112">
        <v>0</v>
      </c>
      <c r="Z19" s="112">
        <v>0</v>
      </c>
      <c r="AA19" s="112">
        <v>0</v>
      </c>
      <c r="AB19" s="112">
        <v>0</v>
      </c>
      <c r="AC19" s="112">
        <v>0</v>
      </c>
      <c r="AD19" s="112">
        <v>0.8</v>
      </c>
      <c r="AE19" s="112">
        <v>0.8</v>
      </c>
      <c r="AF19" s="112">
        <v>0</v>
      </c>
      <c r="AG19" s="112">
        <v>0</v>
      </c>
      <c r="AH19" s="112">
        <v>0</v>
      </c>
      <c r="AI19" s="112">
        <v>0</v>
      </c>
      <c r="AJ19" s="112">
        <v>0</v>
      </c>
      <c r="AK19" s="112">
        <v>0</v>
      </c>
      <c r="AL19" s="112">
        <v>0</v>
      </c>
      <c r="AM19" s="112">
        <v>0</v>
      </c>
      <c r="AN19" s="112">
        <v>0</v>
      </c>
      <c r="AO19" s="112">
        <v>0</v>
      </c>
      <c r="AP19" s="112">
        <v>0</v>
      </c>
      <c r="AQ19" s="112">
        <v>0</v>
      </c>
      <c r="AR19" s="112">
        <v>0</v>
      </c>
      <c r="AS19" s="112">
        <v>0</v>
      </c>
      <c r="AT19" s="112">
        <v>0</v>
      </c>
      <c r="AU19" s="112">
        <v>0</v>
      </c>
      <c r="AV19" s="112">
        <v>0</v>
      </c>
      <c r="AW19" s="112">
        <v>0</v>
      </c>
      <c r="AX19" s="112">
        <v>0</v>
      </c>
      <c r="AY19" s="112">
        <v>0</v>
      </c>
      <c r="AZ19" s="112">
        <v>0</v>
      </c>
      <c r="BA19" s="112">
        <v>0</v>
      </c>
      <c r="BB19" s="112">
        <v>0</v>
      </c>
      <c r="BC19" s="112">
        <v>0</v>
      </c>
      <c r="BD19" s="112">
        <v>0</v>
      </c>
      <c r="BE19" s="112">
        <v>0</v>
      </c>
      <c r="BF19" s="112">
        <v>0</v>
      </c>
      <c r="BG19" s="112">
        <v>0</v>
      </c>
      <c r="BH19" s="112">
        <v>0</v>
      </c>
      <c r="BI19" s="112">
        <v>0</v>
      </c>
      <c r="BJ19" s="112">
        <v>0</v>
      </c>
      <c r="BK19" s="112">
        <v>0</v>
      </c>
      <c r="BL19" s="112">
        <v>0</v>
      </c>
      <c r="BM19" s="112">
        <v>0</v>
      </c>
      <c r="BN19" s="112">
        <v>0</v>
      </c>
      <c r="BO19" s="112">
        <v>0</v>
      </c>
      <c r="BP19" s="112">
        <v>0</v>
      </c>
      <c r="BQ19" s="112">
        <v>0</v>
      </c>
      <c r="BR19" s="112">
        <v>0</v>
      </c>
      <c r="BS19" s="112">
        <v>0</v>
      </c>
      <c r="BT19" s="112">
        <v>0</v>
      </c>
      <c r="BU19" s="112">
        <v>0</v>
      </c>
      <c r="BV19" s="112">
        <v>0</v>
      </c>
      <c r="BW19" s="112">
        <v>0</v>
      </c>
      <c r="BX19" s="112">
        <v>0</v>
      </c>
      <c r="BY19" s="112">
        <v>0</v>
      </c>
      <c r="BZ19" s="112">
        <v>0</v>
      </c>
      <c r="CA19" s="112">
        <v>0</v>
      </c>
      <c r="CB19" s="112">
        <v>0</v>
      </c>
      <c r="CC19" s="112">
        <v>0</v>
      </c>
      <c r="CD19" s="112">
        <v>0</v>
      </c>
      <c r="CE19" s="112">
        <v>0</v>
      </c>
      <c r="CF19" s="112">
        <v>0</v>
      </c>
      <c r="CG19" s="112">
        <v>0</v>
      </c>
      <c r="CH19" s="112">
        <v>0</v>
      </c>
      <c r="CI19" s="112">
        <v>0</v>
      </c>
      <c r="CJ19" s="112">
        <v>0</v>
      </c>
      <c r="CK19" s="112">
        <v>0</v>
      </c>
      <c r="CL19" s="112">
        <v>0</v>
      </c>
      <c r="CM19" s="112">
        <v>0</v>
      </c>
      <c r="CN19" s="112">
        <v>0</v>
      </c>
      <c r="CO19" s="112">
        <v>0</v>
      </c>
      <c r="CP19" s="112">
        <v>0</v>
      </c>
      <c r="CQ19" s="112">
        <v>0</v>
      </c>
      <c r="CR19" s="112">
        <v>0</v>
      </c>
      <c r="CS19" s="112">
        <v>0</v>
      </c>
      <c r="CT19" s="112">
        <v>0</v>
      </c>
      <c r="CU19" s="112">
        <v>0</v>
      </c>
      <c r="CV19" s="112">
        <v>0</v>
      </c>
    </row>
    <row r="20" spans="1:100" customFormat="1" x14ac:dyDescent="0.15">
      <c r="A20" s="189" t="s">
        <v>210</v>
      </c>
      <c r="B20" s="112">
        <v>0.8</v>
      </c>
      <c r="C20" s="112">
        <v>0</v>
      </c>
      <c r="D20" s="112">
        <v>0</v>
      </c>
      <c r="E20" s="112">
        <v>0</v>
      </c>
      <c r="F20" s="112">
        <v>0</v>
      </c>
      <c r="G20" s="112">
        <v>0</v>
      </c>
      <c r="H20" s="112">
        <v>0</v>
      </c>
      <c r="I20" s="112">
        <v>0</v>
      </c>
      <c r="J20" s="112">
        <v>0</v>
      </c>
      <c r="K20" s="112">
        <v>0</v>
      </c>
      <c r="L20" s="112">
        <v>0</v>
      </c>
      <c r="M20" s="112">
        <v>0</v>
      </c>
      <c r="N20" s="112">
        <v>0</v>
      </c>
      <c r="O20" s="112">
        <v>0</v>
      </c>
      <c r="P20" s="112">
        <v>0</v>
      </c>
      <c r="Q20" s="112">
        <v>0</v>
      </c>
      <c r="R20" s="112">
        <v>0</v>
      </c>
      <c r="S20" s="112">
        <v>0</v>
      </c>
      <c r="T20" s="112">
        <v>0</v>
      </c>
      <c r="U20" s="112">
        <v>0</v>
      </c>
      <c r="V20" s="112">
        <v>0</v>
      </c>
      <c r="W20" s="112">
        <v>0</v>
      </c>
      <c r="X20" s="112">
        <v>0</v>
      </c>
      <c r="Y20" s="112">
        <v>0</v>
      </c>
      <c r="Z20" s="112">
        <v>0</v>
      </c>
      <c r="AA20" s="112">
        <v>0</v>
      </c>
      <c r="AB20" s="112">
        <v>0</v>
      </c>
      <c r="AC20" s="112">
        <v>0</v>
      </c>
      <c r="AD20" s="112">
        <v>0</v>
      </c>
      <c r="AE20" s="112">
        <v>0</v>
      </c>
      <c r="AF20" s="112">
        <v>0</v>
      </c>
      <c r="AG20" s="112">
        <v>0</v>
      </c>
      <c r="AH20" s="112">
        <v>0</v>
      </c>
      <c r="AI20" s="112">
        <v>0</v>
      </c>
      <c r="AJ20" s="112">
        <v>0</v>
      </c>
      <c r="AK20" s="112">
        <v>0</v>
      </c>
      <c r="AL20" s="112">
        <v>0</v>
      </c>
      <c r="AM20" s="112">
        <v>0</v>
      </c>
      <c r="AN20" s="112">
        <v>0</v>
      </c>
      <c r="AO20" s="112">
        <v>0</v>
      </c>
      <c r="AP20" s="112">
        <v>0</v>
      </c>
      <c r="AQ20" s="112">
        <v>0</v>
      </c>
      <c r="AR20" s="112">
        <v>0</v>
      </c>
      <c r="AS20" s="112">
        <v>0</v>
      </c>
      <c r="AT20" s="112">
        <v>0</v>
      </c>
      <c r="AU20" s="112">
        <v>0</v>
      </c>
      <c r="AV20" s="112">
        <v>0</v>
      </c>
      <c r="AW20" s="112">
        <v>0</v>
      </c>
      <c r="AX20" s="112">
        <v>0</v>
      </c>
      <c r="AY20" s="112">
        <v>0</v>
      </c>
      <c r="AZ20" s="112">
        <v>0</v>
      </c>
      <c r="BA20" s="112">
        <v>0</v>
      </c>
      <c r="BB20" s="112">
        <v>0</v>
      </c>
      <c r="BC20" s="112">
        <v>0</v>
      </c>
      <c r="BD20" s="112">
        <v>0</v>
      </c>
      <c r="BE20" s="112">
        <v>0</v>
      </c>
      <c r="BF20" s="112">
        <v>0</v>
      </c>
      <c r="BG20" s="112">
        <v>0</v>
      </c>
      <c r="BH20" s="112">
        <v>0</v>
      </c>
      <c r="BI20" s="112">
        <v>0</v>
      </c>
      <c r="BJ20" s="112">
        <v>0</v>
      </c>
      <c r="BK20" s="112">
        <v>0</v>
      </c>
      <c r="BL20" s="112">
        <v>0</v>
      </c>
      <c r="BM20" s="112">
        <v>0</v>
      </c>
      <c r="BN20" s="112">
        <v>0</v>
      </c>
      <c r="BO20" s="112">
        <v>0</v>
      </c>
      <c r="BP20" s="112">
        <v>0</v>
      </c>
      <c r="BQ20" s="112">
        <v>0</v>
      </c>
      <c r="BR20" s="112">
        <v>0</v>
      </c>
      <c r="BS20" s="112">
        <v>0</v>
      </c>
      <c r="BT20" s="112">
        <v>0</v>
      </c>
      <c r="BU20" s="112">
        <v>0</v>
      </c>
      <c r="BV20" s="112">
        <v>0</v>
      </c>
      <c r="BW20" s="112">
        <v>0</v>
      </c>
      <c r="BX20" s="112">
        <v>0</v>
      </c>
      <c r="BY20" s="112">
        <v>0</v>
      </c>
      <c r="BZ20" s="112">
        <v>0</v>
      </c>
      <c r="CA20" s="112">
        <v>0</v>
      </c>
      <c r="CB20" s="112">
        <v>0</v>
      </c>
      <c r="CC20" s="112">
        <v>0</v>
      </c>
      <c r="CD20" s="112">
        <v>0</v>
      </c>
      <c r="CE20" s="112">
        <v>0</v>
      </c>
      <c r="CF20" s="112">
        <v>0</v>
      </c>
      <c r="CG20" s="112">
        <v>0</v>
      </c>
      <c r="CH20" s="112">
        <v>0</v>
      </c>
      <c r="CI20" s="112">
        <v>0</v>
      </c>
      <c r="CJ20" s="112">
        <v>0</v>
      </c>
      <c r="CK20" s="112">
        <v>0</v>
      </c>
      <c r="CL20" s="112">
        <v>0</v>
      </c>
      <c r="CM20" s="112">
        <v>0</v>
      </c>
      <c r="CN20" s="112">
        <v>0</v>
      </c>
      <c r="CO20" s="112">
        <v>0</v>
      </c>
      <c r="CP20" s="112">
        <v>0</v>
      </c>
      <c r="CQ20" s="112">
        <v>0</v>
      </c>
      <c r="CR20" s="112">
        <v>0</v>
      </c>
      <c r="CS20" s="112">
        <v>0</v>
      </c>
      <c r="CT20" s="112">
        <v>0</v>
      </c>
      <c r="CU20" s="112">
        <v>0</v>
      </c>
      <c r="CV20" s="112">
        <v>0</v>
      </c>
    </row>
    <row r="21" spans="1:100" customFormat="1" x14ac:dyDescent="0.15">
      <c r="A21" s="189" t="s">
        <v>211</v>
      </c>
      <c r="B21" s="112">
        <v>0.8</v>
      </c>
      <c r="C21" s="112">
        <v>0</v>
      </c>
      <c r="D21" s="112">
        <v>0</v>
      </c>
      <c r="E21" s="112">
        <v>0</v>
      </c>
      <c r="F21" s="112">
        <v>0.8</v>
      </c>
      <c r="G21" s="112">
        <v>0.8</v>
      </c>
      <c r="H21" s="112">
        <v>0.8</v>
      </c>
      <c r="I21" s="112">
        <v>0.8</v>
      </c>
      <c r="J21" s="112">
        <v>0.8</v>
      </c>
      <c r="K21" s="112">
        <v>0</v>
      </c>
      <c r="L21" s="112">
        <v>0.8</v>
      </c>
      <c r="M21" s="112">
        <v>0.8</v>
      </c>
      <c r="N21" s="112">
        <v>0.8</v>
      </c>
      <c r="O21" s="112">
        <v>0.8</v>
      </c>
      <c r="P21" s="112">
        <v>0.8</v>
      </c>
      <c r="Q21" s="112">
        <v>0.8</v>
      </c>
      <c r="R21" s="112">
        <v>0.8</v>
      </c>
      <c r="S21" s="112">
        <v>0.8</v>
      </c>
      <c r="T21" s="112">
        <v>0.8</v>
      </c>
      <c r="U21" s="112">
        <v>0</v>
      </c>
      <c r="V21" s="112">
        <v>0.8</v>
      </c>
      <c r="W21" s="112">
        <v>0.8</v>
      </c>
      <c r="X21" s="112">
        <v>0.8</v>
      </c>
      <c r="Y21" s="112">
        <v>0</v>
      </c>
      <c r="Z21" s="112">
        <v>0</v>
      </c>
      <c r="AA21" s="112">
        <v>0</v>
      </c>
      <c r="AB21" s="112">
        <v>0</v>
      </c>
      <c r="AC21" s="112">
        <v>0</v>
      </c>
      <c r="AD21" s="112">
        <v>0.8</v>
      </c>
      <c r="AE21" s="112">
        <v>0.8</v>
      </c>
      <c r="AF21" s="112">
        <v>0.8</v>
      </c>
      <c r="AG21" s="112">
        <v>0.8</v>
      </c>
      <c r="AH21" s="112">
        <v>0</v>
      </c>
      <c r="AI21" s="112">
        <v>0</v>
      </c>
      <c r="AJ21" s="112">
        <v>0</v>
      </c>
      <c r="AK21" s="112">
        <v>0.8</v>
      </c>
      <c r="AL21" s="112">
        <v>0</v>
      </c>
      <c r="AM21" s="112">
        <v>0</v>
      </c>
      <c r="AN21" s="112">
        <v>0</v>
      </c>
      <c r="AO21" s="112">
        <v>0</v>
      </c>
      <c r="AP21" s="112">
        <v>0.8</v>
      </c>
      <c r="AQ21" s="112">
        <v>0</v>
      </c>
      <c r="AR21" s="112">
        <v>0</v>
      </c>
      <c r="AS21" s="112">
        <v>0</v>
      </c>
      <c r="AT21" s="112">
        <v>0</v>
      </c>
      <c r="AU21" s="112">
        <v>0</v>
      </c>
      <c r="AV21" s="112">
        <v>0</v>
      </c>
      <c r="AW21" s="112">
        <v>0</v>
      </c>
      <c r="AX21" s="112">
        <v>0</v>
      </c>
      <c r="AY21" s="112">
        <v>0</v>
      </c>
      <c r="AZ21" s="112">
        <v>0</v>
      </c>
      <c r="BA21" s="112">
        <v>0</v>
      </c>
      <c r="BB21" s="112">
        <v>0</v>
      </c>
      <c r="BC21" s="112">
        <v>0</v>
      </c>
      <c r="BD21" s="112">
        <v>0</v>
      </c>
      <c r="BE21" s="112">
        <v>0</v>
      </c>
      <c r="BF21" s="112">
        <v>0</v>
      </c>
      <c r="BG21" s="112">
        <v>0</v>
      </c>
      <c r="BH21" s="112">
        <v>0</v>
      </c>
      <c r="BI21" s="112">
        <v>0</v>
      </c>
      <c r="BJ21" s="112">
        <v>0</v>
      </c>
      <c r="BK21" s="112">
        <v>0</v>
      </c>
      <c r="BL21" s="112">
        <v>0</v>
      </c>
      <c r="BM21" s="112">
        <v>0</v>
      </c>
      <c r="BN21" s="112">
        <v>0</v>
      </c>
      <c r="BO21" s="112">
        <v>0</v>
      </c>
      <c r="BP21" s="112">
        <v>0</v>
      </c>
      <c r="BQ21" s="112">
        <v>0</v>
      </c>
      <c r="BR21" s="112">
        <v>0</v>
      </c>
      <c r="BS21" s="112">
        <v>0</v>
      </c>
      <c r="BT21" s="112">
        <v>0</v>
      </c>
      <c r="BU21" s="112">
        <v>0</v>
      </c>
      <c r="BV21" s="112">
        <v>0</v>
      </c>
      <c r="BW21" s="112">
        <v>0</v>
      </c>
      <c r="BX21" s="112">
        <v>0</v>
      </c>
      <c r="BY21" s="112">
        <v>0</v>
      </c>
      <c r="BZ21" s="112">
        <v>0</v>
      </c>
      <c r="CA21" s="112">
        <v>0</v>
      </c>
      <c r="CB21" s="112">
        <v>0</v>
      </c>
      <c r="CC21" s="112">
        <v>0</v>
      </c>
      <c r="CD21" s="112">
        <v>0</v>
      </c>
      <c r="CE21" s="112">
        <v>0</v>
      </c>
      <c r="CF21" s="112">
        <v>0</v>
      </c>
      <c r="CG21" s="112">
        <v>0</v>
      </c>
      <c r="CH21" s="112">
        <v>0</v>
      </c>
      <c r="CI21" s="112">
        <v>0</v>
      </c>
      <c r="CJ21" s="112">
        <v>0</v>
      </c>
      <c r="CK21" s="112">
        <v>0</v>
      </c>
      <c r="CL21" s="112">
        <v>0</v>
      </c>
      <c r="CM21" s="112">
        <v>0</v>
      </c>
      <c r="CN21" s="112">
        <v>0</v>
      </c>
      <c r="CO21" s="112">
        <v>0</v>
      </c>
      <c r="CP21" s="112">
        <v>0</v>
      </c>
      <c r="CQ21" s="112">
        <v>0</v>
      </c>
      <c r="CR21" s="112">
        <v>0</v>
      </c>
      <c r="CS21" s="112">
        <v>0</v>
      </c>
      <c r="CT21" s="112">
        <v>0</v>
      </c>
      <c r="CU21" s="112">
        <v>0</v>
      </c>
      <c r="CV21" s="112">
        <v>0</v>
      </c>
    </row>
    <row r="22" spans="1:100" customFormat="1" x14ac:dyDescent="0.15">
      <c r="A22" s="189" t="s">
        <v>212</v>
      </c>
      <c r="B22" s="112">
        <v>0</v>
      </c>
      <c r="C22" s="112">
        <v>0</v>
      </c>
      <c r="D22" s="112">
        <v>0</v>
      </c>
      <c r="E22" s="112">
        <v>0</v>
      </c>
      <c r="F22" s="112">
        <v>0</v>
      </c>
      <c r="G22" s="112">
        <v>0</v>
      </c>
      <c r="H22" s="112">
        <v>0</v>
      </c>
      <c r="I22" s="112">
        <v>0</v>
      </c>
      <c r="J22" s="112">
        <v>0</v>
      </c>
      <c r="K22" s="112">
        <v>0</v>
      </c>
      <c r="L22" s="112">
        <v>0</v>
      </c>
      <c r="M22" s="112">
        <v>0</v>
      </c>
      <c r="N22" s="112">
        <v>0</v>
      </c>
      <c r="O22" s="112">
        <v>0</v>
      </c>
      <c r="P22" s="112">
        <v>0</v>
      </c>
      <c r="Q22" s="112">
        <v>0</v>
      </c>
      <c r="R22" s="112">
        <v>0</v>
      </c>
      <c r="S22" s="112">
        <v>0</v>
      </c>
      <c r="T22" s="112">
        <v>0.8</v>
      </c>
      <c r="U22" s="112">
        <v>0</v>
      </c>
      <c r="V22" s="112">
        <v>0</v>
      </c>
      <c r="W22" s="112">
        <v>0</v>
      </c>
      <c r="X22" s="112">
        <v>0</v>
      </c>
      <c r="Y22" s="112">
        <v>0</v>
      </c>
      <c r="Z22" s="112">
        <v>0</v>
      </c>
      <c r="AA22" s="112">
        <v>0</v>
      </c>
      <c r="AB22" s="112">
        <v>0</v>
      </c>
      <c r="AC22" s="112">
        <v>0</v>
      </c>
      <c r="AD22" s="112">
        <v>0</v>
      </c>
      <c r="AE22" s="112">
        <v>0</v>
      </c>
      <c r="AF22" s="112">
        <v>0</v>
      </c>
      <c r="AG22" s="112">
        <v>0</v>
      </c>
      <c r="AH22" s="112">
        <v>0</v>
      </c>
      <c r="AI22" s="112">
        <v>0</v>
      </c>
      <c r="AJ22" s="112">
        <v>0</v>
      </c>
      <c r="AK22" s="112">
        <v>0</v>
      </c>
      <c r="AL22" s="112">
        <v>0</v>
      </c>
      <c r="AM22" s="112">
        <v>0</v>
      </c>
      <c r="AN22" s="112">
        <v>0</v>
      </c>
      <c r="AO22" s="112">
        <v>0</v>
      </c>
      <c r="AP22" s="112">
        <v>0</v>
      </c>
      <c r="AQ22" s="112">
        <v>0</v>
      </c>
      <c r="AR22" s="112">
        <v>0</v>
      </c>
      <c r="AS22" s="112">
        <v>0</v>
      </c>
      <c r="AT22" s="112">
        <v>0</v>
      </c>
      <c r="AU22" s="112">
        <v>0</v>
      </c>
      <c r="AV22" s="112">
        <v>0</v>
      </c>
      <c r="AW22" s="112">
        <v>0</v>
      </c>
      <c r="AX22" s="112">
        <v>0</v>
      </c>
      <c r="AY22" s="112">
        <v>0</v>
      </c>
      <c r="AZ22" s="112">
        <v>0</v>
      </c>
      <c r="BA22" s="112">
        <v>0</v>
      </c>
      <c r="BB22" s="112">
        <v>0</v>
      </c>
      <c r="BC22" s="112">
        <v>0</v>
      </c>
      <c r="BD22" s="112">
        <v>0</v>
      </c>
      <c r="BE22" s="112">
        <v>0</v>
      </c>
      <c r="BF22" s="112">
        <v>0</v>
      </c>
      <c r="BG22" s="112">
        <v>0</v>
      </c>
      <c r="BH22" s="112">
        <v>0</v>
      </c>
      <c r="BI22" s="112">
        <v>0</v>
      </c>
      <c r="BJ22" s="112">
        <v>0</v>
      </c>
      <c r="BK22" s="112">
        <v>0</v>
      </c>
      <c r="BL22" s="112">
        <v>0</v>
      </c>
      <c r="BM22" s="112">
        <v>0</v>
      </c>
      <c r="BN22" s="112">
        <v>0</v>
      </c>
      <c r="BO22" s="112">
        <v>0</v>
      </c>
      <c r="BP22" s="112">
        <v>0</v>
      </c>
      <c r="BQ22" s="112">
        <v>0</v>
      </c>
      <c r="BR22" s="112">
        <v>0</v>
      </c>
      <c r="BS22" s="112">
        <v>0</v>
      </c>
      <c r="BT22" s="112">
        <v>0</v>
      </c>
      <c r="BU22" s="112">
        <v>0</v>
      </c>
      <c r="BV22" s="112">
        <v>0</v>
      </c>
      <c r="BW22" s="112">
        <v>0</v>
      </c>
      <c r="BX22" s="112">
        <v>0</v>
      </c>
      <c r="BY22" s="112">
        <v>0</v>
      </c>
      <c r="BZ22" s="112">
        <v>0</v>
      </c>
      <c r="CA22" s="112">
        <v>0</v>
      </c>
      <c r="CB22" s="112">
        <v>0</v>
      </c>
      <c r="CC22" s="112">
        <v>0</v>
      </c>
      <c r="CD22" s="112">
        <v>0</v>
      </c>
      <c r="CE22" s="112">
        <v>0</v>
      </c>
      <c r="CF22" s="112">
        <v>0</v>
      </c>
      <c r="CG22" s="112">
        <v>0</v>
      </c>
      <c r="CH22" s="112">
        <v>0</v>
      </c>
      <c r="CI22" s="112">
        <v>0</v>
      </c>
      <c r="CJ22" s="112">
        <v>0</v>
      </c>
      <c r="CK22" s="112">
        <v>0</v>
      </c>
      <c r="CL22" s="112">
        <v>0</v>
      </c>
      <c r="CM22" s="112">
        <v>0</v>
      </c>
      <c r="CN22" s="112">
        <v>0</v>
      </c>
      <c r="CO22" s="112">
        <v>0</v>
      </c>
      <c r="CP22" s="112">
        <v>0</v>
      </c>
      <c r="CQ22" s="112">
        <v>0</v>
      </c>
      <c r="CR22" s="112">
        <v>0</v>
      </c>
      <c r="CS22" s="112">
        <v>0</v>
      </c>
      <c r="CT22" s="112">
        <v>0</v>
      </c>
      <c r="CU22" s="112">
        <v>0</v>
      </c>
      <c r="CV22" s="112">
        <v>0</v>
      </c>
    </row>
    <row r="23" spans="1:100" customFormat="1" x14ac:dyDescent="0.15">
      <c r="A23" s="189" t="s">
        <v>213</v>
      </c>
      <c r="B23" s="112">
        <v>0.8</v>
      </c>
      <c r="C23" s="112">
        <v>0</v>
      </c>
      <c r="D23" s="112">
        <v>0</v>
      </c>
      <c r="E23" s="112">
        <v>0</v>
      </c>
      <c r="F23" s="112">
        <v>0</v>
      </c>
      <c r="G23" s="112">
        <v>0</v>
      </c>
      <c r="H23" s="112">
        <v>0</v>
      </c>
      <c r="I23" s="112">
        <v>0</v>
      </c>
      <c r="J23" s="112">
        <v>0</v>
      </c>
      <c r="K23" s="112">
        <v>0</v>
      </c>
      <c r="L23" s="112">
        <v>0</v>
      </c>
      <c r="M23" s="112">
        <v>0</v>
      </c>
      <c r="N23" s="112">
        <v>0</v>
      </c>
      <c r="O23" s="112">
        <v>0</v>
      </c>
      <c r="P23" s="112">
        <v>0.8</v>
      </c>
      <c r="Q23" s="112">
        <v>0.8</v>
      </c>
      <c r="R23" s="112">
        <v>0</v>
      </c>
      <c r="S23" s="112">
        <v>0</v>
      </c>
      <c r="T23" s="112">
        <v>0</v>
      </c>
      <c r="U23" s="112">
        <v>0</v>
      </c>
      <c r="V23" s="112">
        <v>0</v>
      </c>
      <c r="W23" s="112">
        <v>0</v>
      </c>
      <c r="X23" s="112">
        <v>0</v>
      </c>
      <c r="Y23" s="112">
        <v>0</v>
      </c>
      <c r="Z23" s="112">
        <v>0</v>
      </c>
      <c r="AA23" s="112">
        <v>0</v>
      </c>
      <c r="AB23" s="112">
        <v>0</v>
      </c>
      <c r="AC23" s="112">
        <v>0</v>
      </c>
      <c r="AD23" s="112">
        <v>0.8</v>
      </c>
      <c r="AE23" s="112">
        <v>0.8</v>
      </c>
      <c r="AF23" s="112">
        <v>0</v>
      </c>
      <c r="AG23" s="112">
        <v>0</v>
      </c>
      <c r="AH23" s="112">
        <v>0</v>
      </c>
      <c r="AI23" s="112">
        <v>0</v>
      </c>
      <c r="AJ23" s="112">
        <v>0</v>
      </c>
      <c r="AK23" s="112">
        <v>0</v>
      </c>
      <c r="AL23" s="112">
        <v>0</v>
      </c>
      <c r="AM23" s="112">
        <v>0</v>
      </c>
      <c r="AN23" s="112">
        <v>0</v>
      </c>
      <c r="AO23" s="112">
        <v>0</v>
      </c>
      <c r="AP23" s="112">
        <v>0.8</v>
      </c>
      <c r="AQ23" s="112">
        <v>0</v>
      </c>
      <c r="AR23" s="112">
        <v>0</v>
      </c>
      <c r="AS23" s="112">
        <v>0</v>
      </c>
      <c r="AT23" s="112">
        <v>0</v>
      </c>
      <c r="AU23" s="112">
        <v>0</v>
      </c>
      <c r="AV23" s="112">
        <v>0</v>
      </c>
      <c r="AW23" s="112">
        <v>0</v>
      </c>
      <c r="AX23" s="112">
        <v>0</v>
      </c>
      <c r="AY23" s="112">
        <v>0</v>
      </c>
      <c r="AZ23" s="112">
        <v>0</v>
      </c>
      <c r="BA23" s="112">
        <v>0</v>
      </c>
      <c r="BB23" s="112">
        <v>0</v>
      </c>
      <c r="BC23" s="112">
        <v>0</v>
      </c>
      <c r="BD23" s="112">
        <v>0</v>
      </c>
      <c r="BE23" s="112">
        <v>0</v>
      </c>
      <c r="BF23" s="112">
        <v>0</v>
      </c>
      <c r="BG23" s="112">
        <v>0</v>
      </c>
      <c r="BH23" s="112">
        <v>0</v>
      </c>
      <c r="BI23" s="112">
        <v>0</v>
      </c>
      <c r="BJ23" s="112">
        <v>0</v>
      </c>
      <c r="BK23" s="112">
        <v>0</v>
      </c>
      <c r="BL23" s="112">
        <v>0</v>
      </c>
      <c r="BM23" s="112">
        <v>0</v>
      </c>
      <c r="BN23" s="112">
        <v>0</v>
      </c>
      <c r="BO23" s="112">
        <v>0</v>
      </c>
      <c r="BP23" s="112">
        <v>0</v>
      </c>
      <c r="BQ23" s="112">
        <v>0</v>
      </c>
      <c r="BR23" s="112">
        <v>0</v>
      </c>
      <c r="BS23" s="112">
        <v>0</v>
      </c>
      <c r="BT23" s="112">
        <v>0</v>
      </c>
      <c r="BU23" s="112">
        <v>0</v>
      </c>
      <c r="BV23" s="112">
        <v>0</v>
      </c>
      <c r="BW23" s="112">
        <v>0</v>
      </c>
      <c r="BX23" s="112">
        <v>0</v>
      </c>
      <c r="BY23" s="112">
        <v>0</v>
      </c>
      <c r="BZ23" s="112">
        <v>0</v>
      </c>
      <c r="CA23" s="112">
        <v>0</v>
      </c>
      <c r="CB23" s="112">
        <v>0</v>
      </c>
      <c r="CC23" s="112">
        <v>0</v>
      </c>
      <c r="CD23" s="112">
        <v>0</v>
      </c>
      <c r="CE23" s="112">
        <v>0</v>
      </c>
      <c r="CF23" s="112">
        <v>0</v>
      </c>
      <c r="CG23" s="112">
        <v>0</v>
      </c>
      <c r="CH23" s="112">
        <v>0</v>
      </c>
      <c r="CI23" s="112">
        <v>0</v>
      </c>
      <c r="CJ23" s="112">
        <v>0</v>
      </c>
      <c r="CK23" s="112">
        <v>0</v>
      </c>
      <c r="CL23" s="112">
        <v>0</v>
      </c>
      <c r="CM23" s="112">
        <v>0</v>
      </c>
      <c r="CN23" s="112">
        <v>0</v>
      </c>
      <c r="CO23" s="112">
        <v>0</v>
      </c>
      <c r="CP23" s="112">
        <v>0</v>
      </c>
      <c r="CQ23" s="112">
        <v>0</v>
      </c>
      <c r="CR23" s="112">
        <v>0</v>
      </c>
      <c r="CS23" s="112">
        <v>0</v>
      </c>
      <c r="CT23" s="112">
        <v>0</v>
      </c>
      <c r="CU23" s="112">
        <v>0</v>
      </c>
      <c r="CV23" s="112">
        <v>0</v>
      </c>
    </row>
    <row r="24" spans="1:100" customFormat="1" x14ac:dyDescent="0.15">
      <c r="A24" s="189" t="s">
        <v>214</v>
      </c>
      <c r="B24" s="112">
        <v>0.8</v>
      </c>
      <c r="C24" s="112">
        <v>0</v>
      </c>
      <c r="D24" s="112">
        <v>0</v>
      </c>
      <c r="E24" s="112">
        <v>0</v>
      </c>
      <c r="F24" s="112">
        <v>0.8</v>
      </c>
      <c r="G24" s="112">
        <v>0.8</v>
      </c>
      <c r="H24" s="112">
        <v>0.8</v>
      </c>
      <c r="I24" s="112">
        <v>0.8</v>
      </c>
      <c r="J24" s="112">
        <v>0</v>
      </c>
      <c r="K24" s="112">
        <v>0</v>
      </c>
      <c r="L24" s="112">
        <v>0.8</v>
      </c>
      <c r="M24" s="112">
        <v>0</v>
      </c>
      <c r="N24" s="112">
        <v>0</v>
      </c>
      <c r="O24" s="112">
        <v>0.8</v>
      </c>
      <c r="P24" s="112">
        <v>0.8</v>
      </c>
      <c r="Q24" s="112">
        <v>0.8</v>
      </c>
      <c r="R24" s="112">
        <v>0.8</v>
      </c>
      <c r="S24" s="112">
        <v>0.8</v>
      </c>
      <c r="T24" s="112">
        <v>0.8</v>
      </c>
      <c r="U24" s="112">
        <v>0.8</v>
      </c>
      <c r="V24" s="112">
        <v>0.8</v>
      </c>
      <c r="W24" s="112">
        <v>0.8</v>
      </c>
      <c r="X24" s="112">
        <v>0</v>
      </c>
      <c r="Y24" s="112">
        <v>0</v>
      </c>
      <c r="Z24" s="112">
        <v>0</v>
      </c>
      <c r="AA24" s="112">
        <v>0</v>
      </c>
      <c r="AB24" s="112">
        <v>0</v>
      </c>
      <c r="AC24" s="112">
        <v>0</v>
      </c>
      <c r="AD24" s="112">
        <v>0.8</v>
      </c>
      <c r="AE24" s="112">
        <v>0.8</v>
      </c>
      <c r="AF24" s="112">
        <v>0.8</v>
      </c>
      <c r="AG24" s="112">
        <v>0</v>
      </c>
      <c r="AH24" s="112">
        <v>0</v>
      </c>
      <c r="AI24" s="112">
        <v>0</v>
      </c>
      <c r="AJ24" s="112">
        <v>0.8</v>
      </c>
      <c r="AK24" s="112">
        <v>0</v>
      </c>
      <c r="AL24" s="112">
        <v>0</v>
      </c>
      <c r="AM24" s="112">
        <v>0</v>
      </c>
      <c r="AN24" s="112">
        <v>0</v>
      </c>
      <c r="AO24" s="112">
        <v>0</v>
      </c>
      <c r="AP24" s="112">
        <v>0.8</v>
      </c>
      <c r="AQ24" s="112">
        <v>0</v>
      </c>
      <c r="AR24" s="112">
        <v>0.8</v>
      </c>
      <c r="AS24" s="112">
        <v>0</v>
      </c>
      <c r="AT24" s="112">
        <v>0</v>
      </c>
      <c r="AU24" s="112">
        <v>0</v>
      </c>
      <c r="AV24" s="112">
        <v>0</v>
      </c>
      <c r="AW24" s="112">
        <v>0</v>
      </c>
      <c r="AX24" s="112">
        <v>0</v>
      </c>
      <c r="AY24" s="112">
        <v>0</v>
      </c>
      <c r="AZ24" s="112">
        <v>0</v>
      </c>
      <c r="BA24" s="112">
        <v>0</v>
      </c>
      <c r="BB24" s="112">
        <v>0</v>
      </c>
      <c r="BC24" s="112">
        <v>0</v>
      </c>
      <c r="BD24" s="112">
        <v>0</v>
      </c>
      <c r="BE24" s="112">
        <v>0</v>
      </c>
      <c r="BF24" s="112">
        <v>0</v>
      </c>
      <c r="BG24" s="112">
        <v>0</v>
      </c>
      <c r="BH24" s="112">
        <v>0</v>
      </c>
      <c r="BI24" s="112">
        <v>0</v>
      </c>
      <c r="BJ24" s="112">
        <v>0</v>
      </c>
      <c r="BK24" s="112">
        <v>0</v>
      </c>
      <c r="BL24" s="112">
        <v>0</v>
      </c>
      <c r="BM24" s="112">
        <v>0</v>
      </c>
      <c r="BN24" s="112">
        <v>0</v>
      </c>
      <c r="BO24" s="112">
        <v>0</v>
      </c>
      <c r="BP24" s="112">
        <v>0</v>
      </c>
      <c r="BQ24" s="112">
        <v>0</v>
      </c>
      <c r="BR24" s="112">
        <v>0</v>
      </c>
      <c r="BS24" s="112">
        <v>0</v>
      </c>
      <c r="BT24" s="112">
        <v>0</v>
      </c>
      <c r="BU24" s="112">
        <v>0</v>
      </c>
      <c r="BV24" s="112">
        <v>0</v>
      </c>
      <c r="BW24" s="112">
        <v>0</v>
      </c>
      <c r="BX24" s="112">
        <v>0</v>
      </c>
      <c r="BY24" s="112">
        <v>0</v>
      </c>
      <c r="BZ24" s="112">
        <v>0</v>
      </c>
      <c r="CA24" s="112">
        <v>0</v>
      </c>
      <c r="CB24" s="112">
        <v>0</v>
      </c>
      <c r="CC24" s="112">
        <v>0</v>
      </c>
      <c r="CD24" s="112">
        <v>0</v>
      </c>
      <c r="CE24" s="112">
        <v>0</v>
      </c>
      <c r="CF24" s="112">
        <v>0</v>
      </c>
      <c r="CG24" s="112">
        <v>0</v>
      </c>
      <c r="CH24" s="112">
        <v>0</v>
      </c>
      <c r="CI24" s="112">
        <v>0</v>
      </c>
      <c r="CJ24" s="112">
        <v>0</v>
      </c>
      <c r="CK24" s="112">
        <v>0</v>
      </c>
      <c r="CL24" s="112">
        <v>0</v>
      </c>
      <c r="CM24" s="112">
        <v>0</v>
      </c>
      <c r="CN24" s="112">
        <v>0</v>
      </c>
      <c r="CO24" s="112">
        <v>0</v>
      </c>
      <c r="CP24" s="112">
        <v>0</v>
      </c>
      <c r="CQ24" s="112">
        <v>0</v>
      </c>
      <c r="CR24" s="112">
        <v>0</v>
      </c>
      <c r="CS24" s="112">
        <v>0</v>
      </c>
      <c r="CT24" s="112">
        <v>0</v>
      </c>
      <c r="CU24" s="112">
        <v>0</v>
      </c>
      <c r="CV24" s="112">
        <v>0</v>
      </c>
    </row>
    <row r="25" spans="1:100" customFormat="1" x14ac:dyDescent="0.15">
      <c r="A25" s="189" t="s">
        <v>215</v>
      </c>
      <c r="B25" s="112">
        <v>0</v>
      </c>
      <c r="C25" s="112">
        <v>0</v>
      </c>
      <c r="D25" s="112">
        <v>0</v>
      </c>
      <c r="E25" s="112">
        <v>0</v>
      </c>
      <c r="F25" s="112">
        <v>0</v>
      </c>
      <c r="G25" s="112">
        <v>0</v>
      </c>
      <c r="H25" s="112">
        <v>0</v>
      </c>
      <c r="I25" s="112">
        <v>0</v>
      </c>
      <c r="J25" s="112">
        <v>0</v>
      </c>
      <c r="K25" s="112">
        <v>0</v>
      </c>
      <c r="L25" s="112">
        <v>0</v>
      </c>
      <c r="M25" s="112">
        <v>0</v>
      </c>
      <c r="N25" s="112">
        <v>0</v>
      </c>
      <c r="O25" s="112">
        <v>0</v>
      </c>
      <c r="P25" s="112">
        <v>0.8</v>
      </c>
      <c r="Q25" s="112">
        <v>0.8</v>
      </c>
      <c r="R25" s="112">
        <v>0.8</v>
      </c>
      <c r="S25" s="112">
        <v>0</v>
      </c>
      <c r="T25" s="112">
        <v>0.8</v>
      </c>
      <c r="U25" s="112">
        <v>0.8</v>
      </c>
      <c r="V25" s="112">
        <v>0.8</v>
      </c>
      <c r="W25" s="112">
        <v>0.8</v>
      </c>
      <c r="X25" s="112">
        <v>0</v>
      </c>
      <c r="Y25" s="112">
        <v>0</v>
      </c>
      <c r="Z25" s="112">
        <v>0</v>
      </c>
      <c r="AA25" s="112">
        <v>0</v>
      </c>
      <c r="AB25" s="112">
        <v>0</v>
      </c>
      <c r="AC25" s="112">
        <v>0</v>
      </c>
      <c r="AD25" s="112">
        <v>0.8</v>
      </c>
      <c r="AE25" s="112">
        <v>0.8</v>
      </c>
      <c r="AF25" s="112">
        <v>0.8</v>
      </c>
      <c r="AG25" s="112">
        <v>0</v>
      </c>
      <c r="AH25" s="112">
        <v>0</v>
      </c>
      <c r="AI25" s="112">
        <v>0</v>
      </c>
      <c r="AJ25" s="112">
        <v>0.8</v>
      </c>
      <c r="AK25" s="112">
        <v>0</v>
      </c>
      <c r="AL25" s="112">
        <v>0</v>
      </c>
      <c r="AM25" s="112">
        <v>0</v>
      </c>
      <c r="AN25" s="112">
        <v>0</v>
      </c>
      <c r="AO25" s="112">
        <v>0</v>
      </c>
      <c r="AP25" s="112">
        <v>0.8</v>
      </c>
      <c r="AQ25" s="112">
        <v>0</v>
      </c>
      <c r="AR25" s="112">
        <v>0.8</v>
      </c>
      <c r="AS25" s="112">
        <v>0</v>
      </c>
      <c r="AT25" s="112">
        <v>0</v>
      </c>
      <c r="AU25" s="112">
        <v>0</v>
      </c>
      <c r="AV25" s="112">
        <v>0</v>
      </c>
      <c r="AW25" s="112">
        <v>0</v>
      </c>
      <c r="AX25" s="112">
        <v>0</v>
      </c>
      <c r="AY25" s="112">
        <v>0</v>
      </c>
      <c r="AZ25" s="112">
        <v>0</v>
      </c>
      <c r="BA25" s="112">
        <v>0</v>
      </c>
      <c r="BB25" s="112">
        <v>0</v>
      </c>
      <c r="BC25" s="112">
        <v>0</v>
      </c>
      <c r="BD25" s="112">
        <v>0</v>
      </c>
      <c r="BE25" s="112">
        <v>0</v>
      </c>
      <c r="BF25" s="112">
        <v>0</v>
      </c>
      <c r="BG25" s="112">
        <v>0</v>
      </c>
      <c r="BH25" s="112">
        <v>0</v>
      </c>
      <c r="BI25" s="112">
        <v>0</v>
      </c>
      <c r="BJ25" s="112">
        <v>0</v>
      </c>
      <c r="BK25" s="112">
        <v>0</v>
      </c>
      <c r="BL25" s="112">
        <v>0</v>
      </c>
      <c r="BM25" s="112">
        <v>0</v>
      </c>
      <c r="BN25" s="112">
        <v>0</v>
      </c>
      <c r="BO25" s="112">
        <v>0</v>
      </c>
      <c r="BP25" s="112">
        <v>0</v>
      </c>
      <c r="BQ25" s="112">
        <v>0</v>
      </c>
      <c r="BR25" s="112">
        <v>0</v>
      </c>
      <c r="BS25" s="112">
        <v>0</v>
      </c>
      <c r="BT25" s="112">
        <v>0</v>
      </c>
      <c r="BU25" s="112">
        <v>0</v>
      </c>
      <c r="BV25" s="112">
        <v>0</v>
      </c>
      <c r="BW25" s="112">
        <v>0</v>
      </c>
      <c r="BX25" s="112">
        <v>0</v>
      </c>
      <c r="BY25" s="112">
        <v>0</v>
      </c>
      <c r="BZ25" s="112">
        <v>0</v>
      </c>
      <c r="CA25" s="112">
        <v>0</v>
      </c>
      <c r="CB25" s="112">
        <v>0</v>
      </c>
      <c r="CC25" s="112">
        <v>0</v>
      </c>
      <c r="CD25" s="112">
        <v>0</v>
      </c>
      <c r="CE25" s="112">
        <v>0</v>
      </c>
      <c r="CF25" s="112">
        <v>0</v>
      </c>
      <c r="CG25" s="112">
        <v>0</v>
      </c>
      <c r="CH25" s="112">
        <v>0</v>
      </c>
      <c r="CI25" s="112">
        <v>0</v>
      </c>
      <c r="CJ25" s="112">
        <v>0</v>
      </c>
      <c r="CK25" s="112">
        <v>0</v>
      </c>
      <c r="CL25" s="112">
        <v>0</v>
      </c>
      <c r="CM25" s="112">
        <v>0</v>
      </c>
      <c r="CN25" s="112">
        <v>0</v>
      </c>
      <c r="CO25" s="112">
        <v>0</v>
      </c>
      <c r="CP25" s="112">
        <v>0</v>
      </c>
      <c r="CQ25" s="112">
        <v>0</v>
      </c>
      <c r="CR25" s="112">
        <v>0</v>
      </c>
      <c r="CS25" s="112">
        <v>0</v>
      </c>
      <c r="CT25" s="112">
        <v>0</v>
      </c>
      <c r="CU25" s="112">
        <v>0</v>
      </c>
      <c r="CV25" s="112">
        <v>0</v>
      </c>
    </row>
    <row r="26" spans="1:100" customFormat="1" x14ac:dyDescent="0.15">
      <c r="A26" s="189" t="s">
        <v>216</v>
      </c>
      <c r="B26" s="112">
        <v>0.8</v>
      </c>
      <c r="C26" s="112">
        <v>0</v>
      </c>
      <c r="D26" s="112">
        <v>0</v>
      </c>
      <c r="E26" s="112">
        <v>0.8</v>
      </c>
      <c r="F26" s="112">
        <v>0</v>
      </c>
      <c r="G26" s="112">
        <v>0</v>
      </c>
      <c r="H26" s="112">
        <v>0</v>
      </c>
      <c r="I26" s="112">
        <v>0</v>
      </c>
      <c r="J26" s="112">
        <v>0</v>
      </c>
      <c r="K26" s="112">
        <v>0</v>
      </c>
      <c r="L26" s="112">
        <v>0</v>
      </c>
      <c r="M26" s="112">
        <v>0</v>
      </c>
      <c r="N26" s="112">
        <v>0</v>
      </c>
      <c r="O26" s="112">
        <v>0</v>
      </c>
      <c r="P26" s="112">
        <v>0</v>
      </c>
      <c r="Q26" s="112">
        <v>0</v>
      </c>
      <c r="R26" s="112">
        <v>0</v>
      </c>
      <c r="S26" s="112">
        <v>0</v>
      </c>
      <c r="T26" s="112">
        <v>0</v>
      </c>
      <c r="U26" s="112">
        <v>0</v>
      </c>
      <c r="V26" s="112">
        <v>0</v>
      </c>
      <c r="W26" s="112">
        <v>0</v>
      </c>
      <c r="X26" s="112">
        <v>0</v>
      </c>
      <c r="Y26" s="112">
        <v>0</v>
      </c>
      <c r="Z26" s="112">
        <v>0</v>
      </c>
      <c r="AA26" s="112">
        <v>0</v>
      </c>
      <c r="AB26" s="112">
        <v>0</v>
      </c>
      <c r="AC26" s="112">
        <v>0</v>
      </c>
      <c r="AD26" s="112">
        <v>0</v>
      </c>
      <c r="AE26" s="112">
        <v>0</v>
      </c>
      <c r="AF26" s="112">
        <v>0</v>
      </c>
      <c r="AG26" s="112">
        <v>0</v>
      </c>
      <c r="AH26" s="112">
        <v>0</v>
      </c>
      <c r="AI26" s="112">
        <v>0</v>
      </c>
      <c r="AJ26" s="112">
        <v>0</v>
      </c>
      <c r="AK26" s="112">
        <v>0</v>
      </c>
      <c r="AL26" s="112">
        <v>0</v>
      </c>
      <c r="AM26" s="112">
        <v>0</v>
      </c>
      <c r="AN26" s="112">
        <v>0</v>
      </c>
      <c r="AO26" s="112">
        <v>0</v>
      </c>
      <c r="AP26" s="112">
        <v>0</v>
      </c>
      <c r="AQ26" s="112">
        <v>0</v>
      </c>
      <c r="AR26" s="112">
        <v>0</v>
      </c>
      <c r="AS26" s="112">
        <v>0</v>
      </c>
      <c r="AT26" s="112">
        <v>0</v>
      </c>
      <c r="AU26" s="112">
        <v>0</v>
      </c>
      <c r="AV26" s="112">
        <v>0</v>
      </c>
      <c r="AW26" s="112">
        <v>0</v>
      </c>
      <c r="AX26" s="112">
        <v>0</v>
      </c>
      <c r="AY26" s="112">
        <v>0</v>
      </c>
      <c r="AZ26" s="112">
        <v>0</v>
      </c>
      <c r="BA26" s="112">
        <v>0</v>
      </c>
      <c r="BB26" s="112">
        <v>0</v>
      </c>
      <c r="BC26" s="112">
        <v>0</v>
      </c>
      <c r="BD26" s="112">
        <v>0</v>
      </c>
      <c r="BE26" s="112">
        <v>0</v>
      </c>
      <c r="BF26" s="112">
        <v>0</v>
      </c>
      <c r="BG26" s="112">
        <v>0</v>
      </c>
      <c r="BH26" s="112">
        <v>0</v>
      </c>
      <c r="BI26" s="112">
        <v>0</v>
      </c>
      <c r="BJ26" s="112">
        <v>0</v>
      </c>
      <c r="BK26" s="112">
        <v>0</v>
      </c>
      <c r="BL26" s="112">
        <v>0</v>
      </c>
      <c r="BM26" s="112">
        <v>0</v>
      </c>
      <c r="BN26" s="112">
        <v>0</v>
      </c>
      <c r="BO26" s="112">
        <v>0</v>
      </c>
      <c r="BP26" s="112">
        <v>0</v>
      </c>
      <c r="BQ26" s="112">
        <v>0</v>
      </c>
      <c r="BR26" s="112">
        <v>0</v>
      </c>
      <c r="BS26" s="112">
        <v>0</v>
      </c>
      <c r="BT26" s="112">
        <v>0</v>
      </c>
      <c r="BU26" s="112">
        <v>0</v>
      </c>
      <c r="BV26" s="112">
        <v>0</v>
      </c>
      <c r="BW26" s="112">
        <v>0</v>
      </c>
      <c r="BX26" s="112">
        <v>0</v>
      </c>
      <c r="BY26" s="112">
        <v>0</v>
      </c>
      <c r="BZ26" s="112">
        <v>0</v>
      </c>
      <c r="CA26" s="112">
        <v>0</v>
      </c>
      <c r="CB26" s="112">
        <v>0</v>
      </c>
      <c r="CC26" s="112">
        <v>0</v>
      </c>
      <c r="CD26" s="112">
        <v>0</v>
      </c>
      <c r="CE26" s="112">
        <v>0</v>
      </c>
      <c r="CF26" s="112">
        <v>0</v>
      </c>
      <c r="CG26" s="112">
        <v>0</v>
      </c>
      <c r="CH26" s="112">
        <v>0</v>
      </c>
      <c r="CI26" s="112">
        <v>0</v>
      </c>
      <c r="CJ26" s="112">
        <v>0</v>
      </c>
      <c r="CK26" s="112">
        <v>0</v>
      </c>
      <c r="CL26" s="112">
        <v>0</v>
      </c>
      <c r="CM26" s="112">
        <v>0</v>
      </c>
      <c r="CN26" s="112">
        <v>0</v>
      </c>
      <c r="CO26" s="112">
        <v>0</v>
      </c>
      <c r="CP26" s="112">
        <v>0</v>
      </c>
      <c r="CQ26" s="112">
        <v>0</v>
      </c>
      <c r="CR26" s="112">
        <v>0</v>
      </c>
      <c r="CS26" s="112">
        <v>0</v>
      </c>
      <c r="CT26" s="112">
        <v>0</v>
      </c>
      <c r="CU26" s="112">
        <v>0</v>
      </c>
      <c r="CV26" s="112">
        <v>0</v>
      </c>
    </row>
    <row r="27" spans="1:100" customFormat="1" x14ac:dyDescent="0.15">
      <c r="A27" s="189" t="s">
        <v>217</v>
      </c>
      <c r="B27" s="112">
        <v>0.8</v>
      </c>
      <c r="C27" s="112">
        <v>0</v>
      </c>
      <c r="D27" s="112">
        <v>0</v>
      </c>
      <c r="E27" s="112">
        <v>0.8</v>
      </c>
      <c r="F27" s="112">
        <v>0.8</v>
      </c>
      <c r="G27" s="112">
        <v>0.8</v>
      </c>
      <c r="H27" s="112">
        <v>0.8</v>
      </c>
      <c r="I27" s="112">
        <v>0.8</v>
      </c>
      <c r="J27" s="112">
        <v>0.8</v>
      </c>
      <c r="K27" s="112">
        <v>0.8</v>
      </c>
      <c r="L27" s="112">
        <v>0.8</v>
      </c>
      <c r="M27" s="112">
        <v>0.8</v>
      </c>
      <c r="N27" s="112">
        <v>0</v>
      </c>
      <c r="O27" s="112">
        <v>0.8</v>
      </c>
      <c r="P27" s="112">
        <v>0.8</v>
      </c>
      <c r="Q27" s="112">
        <v>0.8</v>
      </c>
      <c r="R27" s="112">
        <v>0.8</v>
      </c>
      <c r="S27" s="112">
        <v>0.8</v>
      </c>
      <c r="T27" s="112">
        <v>0.8</v>
      </c>
      <c r="U27" s="112">
        <v>0.8</v>
      </c>
      <c r="V27" s="112">
        <v>0.8</v>
      </c>
      <c r="W27" s="112">
        <v>0.8</v>
      </c>
      <c r="X27" s="112">
        <v>0.8</v>
      </c>
      <c r="Y27" s="112">
        <v>0</v>
      </c>
      <c r="Z27" s="112">
        <v>0.8</v>
      </c>
      <c r="AA27" s="112">
        <v>0</v>
      </c>
      <c r="AB27" s="112">
        <v>0</v>
      </c>
      <c r="AC27" s="112">
        <v>0</v>
      </c>
      <c r="AD27" s="112">
        <v>0.8</v>
      </c>
      <c r="AE27" s="112">
        <v>0.8</v>
      </c>
      <c r="AF27" s="112">
        <v>0.8</v>
      </c>
      <c r="AG27" s="112">
        <v>0.8</v>
      </c>
      <c r="AH27" s="112">
        <v>0</v>
      </c>
      <c r="AI27" s="112">
        <v>0</v>
      </c>
      <c r="AJ27" s="112">
        <v>0</v>
      </c>
      <c r="AK27" s="112">
        <v>0.8</v>
      </c>
      <c r="AL27" s="112">
        <v>0</v>
      </c>
      <c r="AM27" s="112">
        <v>0</v>
      </c>
      <c r="AN27" s="112">
        <v>0</v>
      </c>
      <c r="AO27" s="112">
        <v>0</v>
      </c>
      <c r="AP27" s="112">
        <v>0</v>
      </c>
      <c r="AQ27" s="112">
        <v>0.8</v>
      </c>
      <c r="AR27" s="112">
        <v>0</v>
      </c>
      <c r="AS27" s="112">
        <v>0</v>
      </c>
      <c r="AT27" s="112">
        <v>0</v>
      </c>
      <c r="AU27" s="112">
        <v>0</v>
      </c>
      <c r="AV27" s="112">
        <v>0</v>
      </c>
      <c r="AW27" s="112">
        <v>0</v>
      </c>
      <c r="AX27" s="112">
        <v>0</v>
      </c>
      <c r="AY27" s="112">
        <v>0</v>
      </c>
      <c r="AZ27" s="112">
        <v>0</v>
      </c>
      <c r="BA27" s="112">
        <v>0</v>
      </c>
      <c r="BB27" s="112">
        <v>0</v>
      </c>
      <c r="BC27" s="112">
        <v>0</v>
      </c>
      <c r="BD27" s="112">
        <v>0</v>
      </c>
      <c r="BE27" s="112">
        <v>0</v>
      </c>
      <c r="BF27" s="112">
        <v>0</v>
      </c>
      <c r="BG27" s="112">
        <v>0</v>
      </c>
      <c r="BH27" s="112">
        <v>0</v>
      </c>
      <c r="BI27" s="112">
        <v>0</v>
      </c>
      <c r="BJ27" s="112">
        <v>0</v>
      </c>
      <c r="BK27" s="112">
        <v>0</v>
      </c>
      <c r="BL27" s="112">
        <v>0</v>
      </c>
      <c r="BM27" s="112">
        <v>0</v>
      </c>
      <c r="BN27" s="112">
        <v>0</v>
      </c>
      <c r="BO27" s="112">
        <v>0</v>
      </c>
      <c r="BP27" s="112">
        <v>0</v>
      </c>
      <c r="BQ27" s="112">
        <v>0</v>
      </c>
      <c r="BR27" s="112">
        <v>0</v>
      </c>
      <c r="BS27" s="112">
        <v>0</v>
      </c>
      <c r="BT27" s="112">
        <v>0</v>
      </c>
      <c r="BU27" s="112">
        <v>0</v>
      </c>
      <c r="BV27" s="112">
        <v>0</v>
      </c>
      <c r="BW27" s="112">
        <v>0</v>
      </c>
      <c r="BX27" s="112">
        <v>0</v>
      </c>
      <c r="BY27" s="112">
        <v>0</v>
      </c>
      <c r="BZ27" s="112">
        <v>0</v>
      </c>
      <c r="CA27" s="112">
        <v>0</v>
      </c>
      <c r="CB27" s="112">
        <v>0</v>
      </c>
      <c r="CC27" s="112">
        <v>0</v>
      </c>
      <c r="CD27" s="112">
        <v>0</v>
      </c>
      <c r="CE27" s="112">
        <v>0</v>
      </c>
      <c r="CF27" s="112">
        <v>0</v>
      </c>
      <c r="CG27" s="112">
        <v>0</v>
      </c>
      <c r="CH27" s="112">
        <v>0</v>
      </c>
      <c r="CI27" s="112">
        <v>0</v>
      </c>
      <c r="CJ27" s="112">
        <v>0</v>
      </c>
      <c r="CK27" s="112">
        <v>0</v>
      </c>
      <c r="CL27" s="112">
        <v>0</v>
      </c>
      <c r="CM27" s="112">
        <v>0</v>
      </c>
      <c r="CN27" s="112">
        <v>0</v>
      </c>
      <c r="CO27" s="112">
        <v>0</v>
      </c>
      <c r="CP27" s="112">
        <v>0</v>
      </c>
      <c r="CQ27" s="112">
        <v>0</v>
      </c>
      <c r="CR27" s="112">
        <v>0</v>
      </c>
      <c r="CS27" s="112">
        <v>0</v>
      </c>
      <c r="CT27" s="112">
        <v>0</v>
      </c>
      <c r="CU27" s="112">
        <v>0</v>
      </c>
      <c r="CV27" s="112">
        <v>0</v>
      </c>
    </row>
    <row r="28" spans="1:100" customFormat="1" x14ac:dyDescent="0.15">
      <c r="A28" s="189" t="s">
        <v>218</v>
      </c>
      <c r="B28" s="112">
        <v>0</v>
      </c>
      <c r="C28" s="112">
        <v>0</v>
      </c>
      <c r="D28" s="112">
        <v>0</v>
      </c>
      <c r="E28" s="112">
        <v>0</v>
      </c>
      <c r="F28" s="112">
        <v>0</v>
      </c>
      <c r="G28" s="112">
        <v>0</v>
      </c>
      <c r="H28" s="112">
        <v>0</v>
      </c>
      <c r="I28" s="112">
        <v>0</v>
      </c>
      <c r="J28" s="112">
        <v>0</v>
      </c>
      <c r="K28" s="112">
        <v>0</v>
      </c>
      <c r="L28" s="112">
        <v>0</v>
      </c>
      <c r="M28" s="112">
        <v>0</v>
      </c>
      <c r="N28" s="112">
        <v>0</v>
      </c>
      <c r="O28" s="112">
        <v>0</v>
      </c>
      <c r="P28" s="112">
        <v>0.8</v>
      </c>
      <c r="Q28" s="112">
        <v>0</v>
      </c>
      <c r="R28" s="112">
        <v>0.8</v>
      </c>
      <c r="S28" s="112">
        <v>0</v>
      </c>
      <c r="T28" s="112">
        <v>0</v>
      </c>
      <c r="U28" s="112">
        <v>0</v>
      </c>
      <c r="V28" s="112">
        <v>0</v>
      </c>
      <c r="W28" s="112">
        <v>0</v>
      </c>
      <c r="X28" s="112">
        <v>0</v>
      </c>
      <c r="Y28" s="112">
        <v>0</v>
      </c>
      <c r="Z28" s="112">
        <v>0</v>
      </c>
      <c r="AA28" s="112">
        <v>0</v>
      </c>
      <c r="AB28" s="112">
        <v>0</v>
      </c>
      <c r="AC28" s="112">
        <v>0</v>
      </c>
      <c r="AD28" s="112">
        <v>0</v>
      </c>
      <c r="AE28" s="112">
        <v>0.8</v>
      </c>
      <c r="AF28" s="112">
        <v>0</v>
      </c>
      <c r="AG28" s="112">
        <v>0</v>
      </c>
      <c r="AH28" s="112">
        <v>0</v>
      </c>
      <c r="AI28" s="112">
        <v>0</v>
      </c>
      <c r="AJ28" s="112">
        <v>0</v>
      </c>
      <c r="AK28" s="112">
        <v>0</v>
      </c>
      <c r="AL28" s="112">
        <v>0</v>
      </c>
      <c r="AM28" s="112">
        <v>0</v>
      </c>
      <c r="AN28" s="112">
        <v>0</v>
      </c>
      <c r="AO28" s="112">
        <v>0</v>
      </c>
      <c r="AP28" s="112">
        <v>0.8</v>
      </c>
      <c r="AQ28" s="112">
        <v>0</v>
      </c>
      <c r="AR28" s="112">
        <v>0</v>
      </c>
      <c r="AS28" s="112">
        <v>0</v>
      </c>
      <c r="AT28" s="112">
        <v>0</v>
      </c>
      <c r="AU28" s="112">
        <v>0</v>
      </c>
      <c r="AV28" s="112">
        <v>0</v>
      </c>
      <c r="AW28" s="112">
        <v>0</v>
      </c>
      <c r="AX28" s="112">
        <v>0</v>
      </c>
      <c r="AY28" s="112">
        <v>0</v>
      </c>
      <c r="AZ28" s="112">
        <v>0</v>
      </c>
      <c r="BA28" s="112">
        <v>0</v>
      </c>
      <c r="BB28" s="112">
        <v>0</v>
      </c>
      <c r="BC28" s="112">
        <v>0</v>
      </c>
      <c r="BD28" s="112">
        <v>0</v>
      </c>
      <c r="BE28" s="112">
        <v>0</v>
      </c>
      <c r="BF28" s="112">
        <v>0</v>
      </c>
      <c r="BG28" s="112">
        <v>0</v>
      </c>
      <c r="BH28" s="112">
        <v>0</v>
      </c>
      <c r="BI28" s="112">
        <v>0</v>
      </c>
      <c r="BJ28" s="112">
        <v>0</v>
      </c>
      <c r="BK28" s="112">
        <v>0</v>
      </c>
      <c r="BL28" s="112">
        <v>0</v>
      </c>
      <c r="BM28" s="112">
        <v>0</v>
      </c>
      <c r="BN28" s="112">
        <v>0</v>
      </c>
      <c r="BO28" s="112">
        <v>0</v>
      </c>
      <c r="BP28" s="112">
        <v>0</v>
      </c>
      <c r="BQ28" s="112">
        <v>0</v>
      </c>
      <c r="BR28" s="112">
        <v>0</v>
      </c>
      <c r="BS28" s="112">
        <v>0</v>
      </c>
      <c r="BT28" s="112">
        <v>0</v>
      </c>
      <c r="BU28" s="112">
        <v>0</v>
      </c>
      <c r="BV28" s="112">
        <v>0</v>
      </c>
      <c r="BW28" s="112">
        <v>0</v>
      </c>
      <c r="BX28" s="112">
        <v>0</v>
      </c>
      <c r="BY28" s="112">
        <v>0</v>
      </c>
      <c r="BZ28" s="112">
        <v>0</v>
      </c>
      <c r="CA28" s="112">
        <v>0</v>
      </c>
      <c r="CB28" s="112">
        <v>0</v>
      </c>
      <c r="CC28" s="112">
        <v>0</v>
      </c>
      <c r="CD28" s="112">
        <v>0</v>
      </c>
      <c r="CE28" s="112">
        <v>0</v>
      </c>
      <c r="CF28" s="112">
        <v>0</v>
      </c>
      <c r="CG28" s="112">
        <v>0</v>
      </c>
      <c r="CH28" s="112">
        <v>0</v>
      </c>
      <c r="CI28" s="112">
        <v>0</v>
      </c>
      <c r="CJ28" s="112">
        <v>0</v>
      </c>
      <c r="CK28" s="112">
        <v>0</v>
      </c>
      <c r="CL28" s="112">
        <v>0</v>
      </c>
      <c r="CM28" s="112">
        <v>0</v>
      </c>
      <c r="CN28" s="112">
        <v>0</v>
      </c>
      <c r="CO28" s="112">
        <v>0</v>
      </c>
      <c r="CP28" s="112">
        <v>0</v>
      </c>
      <c r="CQ28" s="112">
        <v>0</v>
      </c>
      <c r="CR28" s="112">
        <v>0</v>
      </c>
      <c r="CS28" s="112">
        <v>0</v>
      </c>
      <c r="CT28" s="112">
        <v>0</v>
      </c>
      <c r="CU28" s="112">
        <v>0</v>
      </c>
      <c r="CV28" s="112">
        <v>0</v>
      </c>
    </row>
    <row r="29" spans="1:100" customFormat="1" x14ac:dyDescent="0.15">
      <c r="A29" s="189" t="s">
        <v>219</v>
      </c>
      <c r="B29" s="112">
        <v>0</v>
      </c>
      <c r="C29" s="112">
        <v>0</v>
      </c>
      <c r="D29" s="112">
        <v>0</v>
      </c>
      <c r="E29" s="112">
        <v>0</v>
      </c>
      <c r="F29" s="112">
        <v>0</v>
      </c>
      <c r="G29" s="112">
        <v>0</v>
      </c>
      <c r="H29" s="112">
        <v>0</v>
      </c>
      <c r="I29" s="112">
        <v>0</v>
      </c>
      <c r="J29" s="112">
        <v>0</v>
      </c>
      <c r="K29" s="112">
        <v>0</v>
      </c>
      <c r="L29" s="112">
        <v>0</v>
      </c>
      <c r="M29" s="112">
        <v>0</v>
      </c>
      <c r="N29" s="112">
        <v>0</v>
      </c>
      <c r="O29" s="112">
        <v>0</v>
      </c>
      <c r="P29" s="112">
        <v>0</v>
      </c>
      <c r="Q29" s="112">
        <v>0</v>
      </c>
      <c r="R29" s="112">
        <v>0</v>
      </c>
      <c r="S29" s="112">
        <v>0</v>
      </c>
      <c r="T29" s="112">
        <v>0</v>
      </c>
      <c r="U29" s="112">
        <v>0</v>
      </c>
      <c r="V29" s="112">
        <v>0</v>
      </c>
      <c r="W29" s="112">
        <v>0.8</v>
      </c>
      <c r="X29" s="112">
        <v>0</v>
      </c>
      <c r="Y29" s="112">
        <v>0</v>
      </c>
      <c r="Z29" s="112">
        <v>0</v>
      </c>
      <c r="AA29" s="112">
        <v>0</v>
      </c>
      <c r="AB29" s="112">
        <v>0</v>
      </c>
      <c r="AC29" s="112">
        <v>0</v>
      </c>
      <c r="AD29" s="112">
        <v>0</v>
      </c>
      <c r="AE29" s="112">
        <v>0</v>
      </c>
      <c r="AF29" s="112">
        <v>0</v>
      </c>
      <c r="AG29" s="112">
        <v>0</v>
      </c>
      <c r="AH29" s="112">
        <v>0</v>
      </c>
      <c r="AI29" s="112">
        <v>0</v>
      </c>
      <c r="AJ29" s="112">
        <v>0</v>
      </c>
      <c r="AK29" s="112">
        <v>0</v>
      </c>
      <c r="AL29" s="112">
        <v>0</v>
      </c>
      <c r="AM29" s="112">
        <v>0</v>
      </c>
      <c r="AN29" s="112">
        <v>0</v>
      </c>
      <c r="AO29" s="112">
        <v>0</v>
      </c>
      <c r="AP29" s="112">
        <v>0</v>
      </c>
      <c r="AQ29" s="112">
        <v>0</v>
      </c>
      <c r="AR29" s="112">
        <v>0</v>
      </c>
      <c r="AS29" s="112">
        <v>0</v>
      </c>
      <c r="AT29" s="112">
        <v>0</v>
      </c>
      <c r="AU29" s="112">
        <v>0</v>
      </c>
      <c r="AV29" s="112">
        <v>0</v>
      </c>
      <c r="AW29" s="112">
        <v>0</v>
      </c>
      <c r="AX29" s="112">
        <v>0</v>
      </c>
      <c r="AY29" s="112">
        <v>0</v>
      </c>
      <c r="AZ29" s="112">
        <v>0</v>
      </c>
      <c r="BA29" s="112">
        <v>0</v>
      </c>
      <c r="BB29" s="112">
        <v>0</v>
      </c>
      <c r="BC29" s="112">
        <v>0</v>
      </c>
      <c r="BD29" s="112">
        <v>0</v>
      </c>
      <c r="BE29" s="112">
        <v>0</v>
      </c>
      <c r="BF29" s="112">
        <v>0</v>
      </c>
      <c r="BG29" s="112">
        <v>0</v>
      </c>
      <c r="BH29" s="112">
        <v>0</v>
      </c>
      <c r="BI29" s="112">
        <v>0</v>
      </c>
      <c r="BJ29" s="112">
        <v>0</v>
      </c>
      <c r="BK29" s="112">
        <v>0</v>
      </c>
      <c r="BL29" s="112">
        <v>0</v>
      </c>
      <c r="BM29" s="112">
        <v>0</v>
      </c>
      <c r="BN29" s="112">
        <v>0</v>
      </c>
      <c r="BO29" s="112">
        <v>0</v>
      </c>
      <c r="BP29" s="112">
        <v>0</v>
      </c>
      <c r="BQ29" s="112">
        <v>0</v>
      </c>
      <c r="BR29" s="112">
        <v>0</v>
      </c>
      <c r="BS29" s="112">
        <v>0</v>
      </c>
      <c r="BT29" s="112">
        <v>0</v>
      </c>
      <c r="BU29" s="112">
        <v>0</v>
      </c>
      <c r="BV29" s="112">
        <v>0</v>
      </c>
      <c r="BW29" s="112">
        <v>0</v>
      </c>
      <c r="BX29" s="112">
        <v>0</v>
      </c>
      <c r="BY29" s="112">
        <v>0</v>
      </c>
      <c r="BZ29" s="112">
        <v>0</v>
      </c>
      <c r="CA29" s="112">
        <v>0</v>
      </c>
      <c r="CB29" s="112">
        <v>0</v>
      </c>
      <c r="CC29" s="112">
        <v>0</v>
      </c>
      <c r="CD29" s="112">
        <v>0</v>
      </c>
      <c r="CE29" s="112">
        <v>0</v>
      </c>
      <c r="CF29" s="112">
        <v>0</v>
      </c>
      <c r="CG29" s="112">
        <v>0</v>
      </c>
      <c r="CH29" s="112">
        <v>0</v>
      </c>
      <c r="CI29" s="112">
        <v>0</v>
      </c>
      <c r="CJ29" s="112">
        <v>0</v>
      </c>
      <c r="CK29" s="112">
        <v>0</v>
      </c>
      <c r="CL29" s="112">
        <v>0</v>
      </c>
      <c r="CM29" s="112">
        <v>0</v>
      </c>
      <c r="CN29" s="112">
        <v>0</v>
      </c>
      <c r="CO29" s="112">
        <v>0</v>
      </c>
      <c r="CP29" s="112">
        <v>0</v>
      </c>
      <c r="CQ29" s="112">
        <v>0</v>
      </c>
      <c r="CR29" s="112">
        <v>0</v>
      </c>
      <c r="CS29" s="112">
        <v>0</v>
      </c>
      <c r="CT29" s="112">
        <v>0</v>
      </c>
      <c r="CU29" s="112">
        <v>0</v>
      </c>
      <c r="CV29" s="112">
        <v>0</v>
      </c>
    </row>
    <row r="30" spans="1:100" customFormat="1" x14ac:dyDescent="0.15">
      <c r="A30" s="189" t="s">
        <v>220</v>
      </c>
      <c r="B30" s="112">
        <v>0</v>
      </c>
      <c r="C30" s="112">
        <v>0</v>
      </c>
      <c r="D30" s="112">
        <v>0</v>
      </c>
      <c r="E30" s="112">
        <v>0</v>
      </c>
      <c r="F30" s="112">
        <v>0</v>
      </c>
      <c r="G30" s="112">
        <v>0</v>
      </c>
      <c r="H30" s="112">
        <v>0</v>
      </c>
      <c r="I30" s="112">
        <v>0</v>
      </c>
      <c r="J30" s="112">
        <v>0</v>
      </c>
      <c r="K30" s="112">
        <v>0</v>
      </c>
      <c r="L30" s="112">
        <v>0</v>
      </c>
      <c r="M30" s="112">
        <v>0</v>
      </c>
      <c r="N30" s="112">
        <v>0</v>
      </c>
      <c r="O30" s="112">
        <v>0</v>
      </c>
      <c r="P30" s="112">
        <v>0.8</v>
      </c>
      <c r="Q30" s="112">
        <v>0</v>
      </c>
      <c r="R30" s="112">
        <v>0</v>
      </c>
      <c r="S30" s="112">
        <v>0</v>
      </c>
      <c r="T30" s="112">
        <v>0</v>
      </c>
      <c r="U30" s="112">
        <v>0</v>
      </c>
      <c r="V30" s="112">
        <v>0</v>
      </c>
      <c r="W30" s="112">
        <v>0</v>
      </c>
      <c r="X30" s="112">
        <v>0</v>
      </c>
      <c r="Y30" s="112">
        <v>0</v>
      </c>
      <c r="Z30" s="112">
        <v>0</v>
      </c>
      <c r="AA30" s="112">
        <v>0</v>
      </c>
      <c r="AB30" s="112">
        <v>0</v>
      </c>
      <c r="AC30" s="112">
        <v>0</v>
      </c>
      <c r="AD30" s="112">
        <v>0</v>
      </c>
      <c r="AE30" s="112">
        <v>0.8</v>
      </c>
      <c r="AF30" s="112">
        <v>0</v>
      </c>
      <c r="AG30" s="112">
        <v>0</v>
      </c>
      <c r="AH30" s="112">
        <v>0</v>
      </c>
      <c r="AI30" s="112">
        <v>0</v>
      </c>
      <c r="AJ30" s="112">
        <v>0</v>
      </c>
      <c r="AK30" s="112">
        <v>0</v>
      </c>
      <c r="AL30" s="112">
        <v>0</v>
      </c>
      <c r="AM30" s="112">
        <v>0</v>
      </c>
      <c r="AN30" s="112">
        <v>0</v>
      </c>
      <c r="AO30" s="112">
        <v>0</v>
      </c>
      <c r="AP30" s="112">
        <v>0</v>
      </c>
      <c r="AQ30" s="112">
        <v>0</v>
      </c>
      <c r="AR30" s="112">
        <v>0</v>
      </c>
      <c r="AS30" s="112">
        <v>0</v>
      </c>
      <c r="AT30" s="112">
        <v>0</v>
      </c>
      <c r="AU30" s="112">
        <v>0</v>
      </c>
      <c r="AV30" s="112">
        <v>0</v>
      </c>
      <c r="AW30" s="112">
        <v>0</v>
      </c>
      <c r="AX30" s="112">
        <v>0</v>
      </c>
      <c r="AY30" s="112">
        <v>0</v>
      </c>
      <c r="AZ30" s="112">
        <v>0</v>
      </c>
      <c r="BA30" s="112">
        <v>0</v>
      </c>
      <c r="BB30" s="112">
        <v>0</v>
      </c>
      <c r="BC30" s="112">
        <v>0</v>
      </c>
      <c r="BD30" s="112">
        <v>0</v>
      </c>
      <c r="BE30" s="112">
        <v>0</v>
      </c>
      <c r="BF30" s="112">
        <v>0</v>
      </c>
      <c r="BG30" s="112">
        <v>0</v>
      </c>
      <c r="BH30" s="112">
        <v>0</v>
      </c>
      <c r="BI30" s="112">
        <v>0</v>
      </c>
      <c r="BJ30" s="112">
        <v>0</v>
      </c>
      <c r="BK30" s="112">
        <v>0</v>
      </c>
      <c r="BL30" s="112">
        <v>0</v>
      </c>
      <c r="BM30" s="112">
        <v>0</v>
      </c>
      <c r="BN30" s="112">
        <v>0</v>
      </c>
      <c r="BO30" s="112">
        <v>0</v>
      </c>
      <c r="BP30" s="112">
        <v>0</v>
      </c>
      <c r="BQ30" s="112">
        <v>0</v>
      </c>
      <c r="BR30" s="112">
        <v>0</v>
      </c>
      <c r="BS30" s="112">
        <v>0</v>
      </c>
      <c r="BT30" s="112">
        <v>0</v>
      </c>
      <c r="BU30" s="112">
        <v>0</v>
      </c>
      <c r="BV30" s="112">
        <v>0</v>
      </c>
      <c r="BW30" s="112">
        <v>0</v>
      </c>
      <c r="BX30" s="112">
        <v>0</v>
      </c>
      <c r="BY30" s="112">
        <v>0</v>
      </c>
      <c r="BZ30" s="112">
        <v>0</v>
      </c>
      <c r="CA30" s="112">
        <v>0</v>
      </c>
      <c r="CB30" s="112">
        <v>0</v>
      </c>
      <c r="CC30" s="112">
        <v>0</v>
      </c>
      <c r="CD30" s="112">
        <v>0</v>
      </c>
      <c r="CE30" s="112">
        <v>0</v>
      </c>
      <c r="CF30" s="112">
        <v>0</v>
      </c>
      <c r="CG30" s="112">
        <v>0</v>
      </c>
      <c r="CH30" s="112">
        <v>0</v>
      </c>
      <c r="CI30" s="112">
        <v>0</v>
      </c>
      <c r="CJ30" s="112">
        <v>0</v>
      </c>
      <c r="CK30" s="112">
        <v>0</v>
      </c>
      <c r="CL30" s="112">
        <v>0</v>
      </c>
      <c r="CM30" s="112">
        <v>0</v>
      </c>
      <c r="CN30" s="112">
        <v>0</v>
      </c>
      <c r="CO30" s="112">
        <v>0</v>
      </c>
      <c r="CP30" s="112">
        <v>0</v>
      </c>
      <c r="CQ30" s="112">
        <v>0</v>
      </c>
      <c r="CR30" s="112">
        <v>0</v>
      </c>
      <c r="CS30" s="112">
        <v>0</v>
      </c>
      <c r="CT30" s="112">
        <v>0</v>
      </c>
      <c r="CU30" s="112">
        <v>0</v>
      </c>
      <c r="CV30" s="112">
        <v>0</v>
      </c>
    </row>
    <row r="31" spans="1:100" customFormat="1" x14ac:dyDescent="0.15">
      <c r="A31" s="189" t="s">
        <v>221</v>
      </c>
      <c r="B31" s="112">
        <v>0</v>
      </c>
      <c r="C31" s="112">
        <v>0</v>
      </c>
      <c r="D31" s="112">
        <v>0.8</v>
      </c>
      <c r="E31" s="112">
        <v>0</v>
      </c>
      <c r="F31" s="112">
        <v>0</v>
      </c>
      <c r="G31" s="112">
        <v>0</v>
      </c>
      <c r="H31" s="112">
        <v>0</v>
      </c>
      <c r="I31" s="112">
        <v>0</v>
      </c>
      <c r="J31" s="112">
        <v>0</v>
      </c>
      <c r="K31" s="112">
        <v>0</v>
      </c>
      <c r="L31" s="112">
        <v>0.8</v>
      </c>
      <c r="M31" s="112">
        <v>0</v>
      </c>
      <c r="N31" s="112">
        <v>0</v>
      </c>
      <c r="O31" s="112">
        <v>0</v>
      </c>
      <c r="P31" s="112">
        <v>0.8</v>
      </c>
      <c r="Q31" s="112">
        <v>0.8</v>
      </c>
      <c r="R31" s="112">
        <v>0</v>
      </c>
      <c r="S31" s="112">
        <v>0</v>
      </c>
      <c r="T31" s="112">
        <v>0</v>
      </c>
      <c r="U31" s="112">
        <v>0</v>
      </c>
      <c r="V31" s="112">
        <v>0</v>
      </c>
      <c r="W31" s="112">
        <v>0</v>
      </c>
      <c r="X31" s="112">
        <v>0</v>
      </c>
      <c r="Y31" s="112">
        <v>0</v>
      </c>
      <c r="Z31" s="112">
        <v>0</v>
      </c>
      <c r="AA31" s="112">
        <v>0</v>
      </c>
      <c r="AB31" s="112">
        <v>0</v>
      </c>
      <c r="AC31" s="112">
        <v>0</v>
      </c>
      <c r="AD31" s="112">
        <v>0.8</v>
      </c>
      <c r="AE31" s="112">
        <v>0</v>
      </c>
      <c r="AF31" s="112">
        <v>0</v>
      </c>
      <c r="AG31" s="112">
        <v>0</v>
      </c>
      <c r="AH31" s="112">
        <v>0</v>
      </c>
      <c r="AI31" s="112">
        <v>0</v>
      </c>
      <c r="AJ31" s="112">
        <v>0</v>
      </c>
      <c r="AK31" s="112">
        <v>0</v>
      </c>
      <c r="AL31" s="112">
        <v>0</v>
      </c>
      <c r="AM31" s="112">
        <v>0</v>
      </c>
      <c r="AN31" s="112">
        <v>0</v>
      </c>
      <c r="AO31" s="112">
        <v>0</v>
      </c>
      <c r="AP31" s="112">
        <v>0</v>
      </c>
      <c r="AQ31" s="112">
        <v>0</v>
      </c>
      <c r="AR31" s="112">
        <v>0</v>
      </c>
      <c r="AS31" s="112">
        <v>0</v>
      </c>
      <c r="AT31" s="112">
        <v>0</v>
      </c>
      <c r="AU31" s="112">
        <v>0</v>
      </c>
      <c r="AV31" s="112">
        <v>0</v>
      </c>
      <c r="AW31" s="112">
        <v>0</v>
      </c>
      <c r="AX31" s="112">
        <v>0</v>
      </c>
      <c r="AY31" s="112">
        <v>0</v>
      </c>
      <c r="AZ31" s="112">
        <v>0</v>
      </c>
      <c r="BA31" s="112">
        <v>0</v>
      </c>
      <c r="BB31" s="112">
        <v>0</v>
      </c>
      <c r="BC31" s="112">
        <v>0</v>
      </c>
      <c r="BD31" s="112">
        <v>0</v>
      </c>
      <c r="BE31" s="112">
        <v>0</v>
      </c>
      <c r="BF31" s="112">
        <v>0</v>
      </c>
      <c r="BG31" s="112">
        <v>0</v>
      </c>
      <c r="BH31" s="112">
        <v>0</v>
      </c>
      <c r="BI31" s="112">
        <v>0</v>
      </c>
      <c r="BJ31" s="112">
        <v>0</v>
      </c>
      <c r="BK31" s="112">
        <v>0</v>
      </c>
      <c r="BL31" s="112">
        <v>0</v>
      </c>
      <c r="BM31" s="112">
        <v>0</v>
      </c>
      <c r="BN31" s="112">
        <v>0</v>
      </c>
      <c r="BO31" s="112">
        <v>0</v>
      </c>
      <c r="BP31" s="112">
        <v>0</v>
      </c>
      <c r="BQ31" s="112">
        <v>0</v>
      </c>
      <c r="BR31" s="112">
        <v>0</v>
      </c>
      <c r="BS31" s="112">
        <v>0</v>
      </c>
      <c r="BT31" s="112">
        <v>0</v>
      </c>
      <c r="BU31" s="112">
        <v>0</v>
      </c>
      <c r="BV31" s="112">
        <v>0</v>
      </c>
      <c r="BW31" s="112">
        <v>0</v>
      </c>
      <c r="BX31" s="112">
        <v>0</v>
      </c>
      <c r="BY31" s="112">
        <v>0</v>
      </c>
      <c r="BZ31" s="112">
        <v>0</v>
      </c>
      <c r="CA31" s="112">
        <v>0</v>
      </c>
      <c r="CB31" s="112">
        <v>0</v>
      </c>
      <c r="CC31" s="112">
        <v>0</v>
      </c>
      <c r="CD31" s="112">
        <v>0</v>
      </c>
      <c r="CE31" s="112">
        <v>0</v>
      </c>
      <c r="CF31" s="112">
        <v>0</v>
      </c>
      <c r="CG31" s="112">
        <v>0</v>
      </c>
      <c r="CH31" s="112">
        <v>0</v>
      </c>
      <c r="CI31" s="112">
        <v>0</v>
      </c>
      <c r="CJ31" s="112">
        <v>0</v>
      </c>
      <c r="CK31" s="112">
        <v>0</v>
      </c>
      <c r="CL31" s="112">
        <v>0</v>
      </c>
      <c r="CM31" s="112">
        <v>0</v>
      </c>
      <c r="CN31" s="112">
        <v>0</v>
      </c>
      <c r="CO31" s="112">
        <v>0</v>
      </c>
      <c r="CP31" s="112">
        <v>0</v>
      </c>
      <c r="CQ31" s="112">
        <v>0</v>
      </c>
      <c r="CR31" s="112">
        <v>0</v>
      </c>
      <c r="CS31" s="112">
        <v>0</v>
      </c>
      <c r="CT31" s="112">
        <v>0</v>
      </c>
      <c r="CU31" s="112">
        <v>0</v>
      </c>
      <c r="CV31" s="112">
        <v>0</v>
      </c>
    </row>
    <row r="32" spans="1:100" customFormat="1" x14ac:dyDescent="0.15">
      <c r="A32" s="189" t="s">
        <v>222</v>
      </c>
      <c r="B32" s="112">
        <v>0</v>
      </c>
      <c r="C32" s="112">
        <v>0</v>
      </c>
      <c r="D32" s="112">
        <v>0.8</v>
      </c>
      <c r="E32" s="112">
        <v>0</v>
      </c>
      <c r="F32" s="112">
        <v>0</v>
      </c>
      <c r="G32" s="112">
        <v>0</v>
      </c>
      <c r="H32" s="112">
        <v>0</v>
      </c>
      <c r="I32" s="112">
        <v>0</v>
      </c>
      <c r="J32" s="112">
        <v>0</v>
      </c>
      <c r="K32" s="112">
        <v>0</v>
      </c>
      <c r="L32" s="112">
        <v>0.8</v>
      </c>
      <c r="M32" s="112">
        <v>0</v>
      </c>
      <c r="N32" s="112">
        <v>0</v>
      </c>
      <c r="O32" s="112">
        <v>0</v>
      </c>
      <c r="P32" s="112">
        <v>0.8</v>
      </c>
      <c r="Q32" s="112">
        <v>0.8</v>
      </c>
      <c r="R32" s="112">
        <v>0.8</v>
      </c>
      <c r="S32" s="112">
        <v>0</v>
      </c>
      <c r="T32" s="112">
        <v>0.8</v>
      </c>
      <c r="U32" s="112">
        <v>0.8</v>
      </c>
      <c r="V32" s="112">
        <v>0</v>
      </c>
      <c r="W32" s="112">
        <v>0</v>
      </c>
      <c r="X32" s="112">
        <v>0.8</v>
      </c>
      <c r="Y32" s="112">
        <v>0</v>
      </c>
      <c r="Z32" s="112">
        <v>0.8</v>
      </c>
      <c r="AA32" s="112">
        <v>0</v>
      </c>
      <c r="AB32" s="112">
        <v>0</v>
      </c>
      <c r="AC32" s="112">
        <v>0</v>
      </c>
      <c r="AD32" s="112">
        <v>0.8</v>
      </c>
      <c r="AE32" s="112">
        <v>0.8</v>
      </c>
      <c r="AF32" s="112">
        <v>0</v>
      </c>
      <c r="AG32" s="112">
        <v>0</v>
      </c>
      <c r="AH32" s="112">
        <v>0</v>
      </c>
      <c r="AI32" s="112">
        <v>0</v>
      </c>
      <c r="AJ32" s="112">
        <v>0</v>
      </c>
      <c r="AK32" s="112">
        <v>0</v>
      </c>
      <c r="AL32" s="112">
        <v>0</v>
      </c>
      <c r="AM32" s="112">
        <v>0</v>
      </c>
      <c r="AN32" s="112">
        <v>0</v>
      </c>
      <c r="AO32" s="112">
        <v>0</v>
      </c>
      <c r="AP32" s="112">
        <v>0</v>
      </c>
      <c r="AQ32" s="112">
        <v>0</v>
      </c>
      <c r="AR32" s="112">
        <v>0</v>
      </c>
      <c r="AS32" s="112">
        <v>0</v>
      </c>
      <c r="AT32" s="112">
        <v>0</v>
      </c>
      <c r="AU32" s="112">
        <v>0</v>
      </c>
      <c r="AV32" s="112">
        <v>0</v>
      </c>
      <c r="AW32" s="112">
        <v>0</v>
      </c>
      <c r="AX32" s="112">
        <v>0</v>
      </c>
      <c r="AY32" s="112">
        <v>0</v>
      </c>
      <c r="AZ32" s="112">
        <v>0</v>
      </c>
      <c r="BA32" s="112">
        <v>0</v>
      </c>
      <c r="BB32" s="112">
        <v>0</v>
      </c>
      <c r="BC32" s="112">
        <v>0</v>
      </c>
      <c r="BD32" s="112">
        <v>0</v>
      </c>
      <c r="BE32" s="112">
        <v>0</v>
      </c>
      <c r="BF32" s="112">
        <v>0</v>
      </c>
      <c r="BG32" s="112">
        <v>0</v>
      </c>
      <c r="BH32" s="112">
        <v>0</v>
      </c>
      <c r="BI32" s="112">
        <v>0</v>
      </c>
      <c r="BJ32" s="112">
        <v>0</v>
      </c>
      <c r="BK32" s="112">
        <v>0</v>
      </c>
      <c r="BL32" s="112">
        <v>0</v>
      </c>
      <c r="BM32" s="112">
        <v>0</v>
      </c>
      <c r="BN32" s="112">
        <v>0</v>
      </c>
      <c r="BO32" s="112">
        <v>0</v>
      </c>
      <c r="BP32" s="112">
        <v>0</v>
      </c>
      <c r="BQ32" s="112">
        <v>0</v>
      </c>
      <c r="BR32" s="112">
        <v>0</v>
      </c>
      <c r="BS32" s="112">
        <v>0</v>
      </c>
      <c r="BT32" s="112">
        <v>0</v>
      </c>
      <c r="BU32" s="112">
        <v>0</v>
      </c>
      <c r="BV32" s="112">
        <v>0</v>
      </c>
      <c r="BW32" s="112">
        <v>0</v>
      </c>
      <c r="BX32" s="112">
        <v>0</v>
      </c>
      <c r="BY32" s="112">
        <v>0</v>
      </c>
      <c r="BZ32" s="112">
        <v>0</v>
      </c>
      <c r="CA32" s="112">
        <v>0</v>
      </c>
      <c r="CB32" s="112">
        <v>0</v>
      </c>
      <c r="CC32" s="112">
        <v>0</v>
      </c>
      <c r="CD32" s="112">
        <v>0</v>
      </c>
      <c r="CE32" s="112">
        <v>0</v>
      </c>
      <c r="CF32" s="112">
        <v>0</v>
      </c>
      <c r="CG32" s="112">
        <v>0</v>
      </c>
      <c r="CH32" s="112">
        <v>0</v>
      </c>
      <c r="CI32" s="112">
        <v>0</v>
      </c>
      <c r="CJ32" s="112">
        <v>0</v>
      </c>
      <c r="CK32" s="112">
        <v>0</v>
      </c>
      <c r="CL32" s="112">
        <v>0</v>
      </c>
      <c r="CM32" s="112">
        <v>0</v>
      </c>
      <c r="CN32" s="112">
        <v>0</v>
      </c>
      <c r="CO32" s="112">
        <v>0</v>
      </c>
      <c r="CP32" s="112">
        <v>0</v>
      </c>
      <c r="CQ32" s="112">
        <v>0</v>
      </c>
      <c r="CR32" s="112">
        <v>0</v>
      </c>
      <c r="CS32" s="112">
        <v>0</v>
      </c>
      <c r="CT32" s="112">
        <v>0</v>
      </c>
      <c r="CU32" s="112">
        <v>0</v>
      </c>
      <c r="CV32" s="112">
        <v>0</v>
      </c>
    </row>
    <row r="33" spans="1:100" x14ac:dyDescent="0.15">
      <c r="A33" s="189" t="s">
        <v>223</v>
      </c>
      <c r="B33" s="112">
        <v>0</v>
      </c>
      <c r="C33" s="112">
        <v>0</v>
      </c>
      <c r="D33" s="112">
        <v>0.8</v>
      </c>
      <c r="E33" s="112">
        <v>0</v>
      </c>
      <c r="F33" s="112">
        <v>0</v>
      </c>
      <c r="G33" s="112">
        <v>0</v>
      </c>
      <c r="H33" s="112">
        <v>0</v>
      </c>
      <c r="I33" s="112">
        <v>0</v>
      </c>
      <c r="J33" s="112">
        <v>0</v>
      </c>
      <c r="K33" s="112">
        <v>0</v>
      </c>
      <c r="L33" s="112">
        <v>0</v>
      </c>
      <c r="M33" s="112">
        <v>0</v>
      </c>
      <c r="N33" s="112">
        <v>0</v>
      </c>
      <c r="O33" s="112">
        <v>0</v>
      </c>
      <c r="P33" s="112">
        <v>0</v>
      </c>
      <c r="Q33" s="112">
        <v>0.8</v>
      </c>
      <c r="R33" s="112">
        <v>0</v>
      </c>
      <c r="S33" s="112">
        <v>0</v>
      </c>
      <c r="T33" s="112">
        <v>0.8</v>
      </c>
      <c r="U33" s="112">
        <v>0</v>
      </c>
      <c r="V33" s="112">
        <v>0</v>
      </c>
      <c r="W33" s="112">
        <v>0</v>
      </c>
      <c r="X33" s="112">
        <v>0</v>
      </c>
      <c r="Y33" s="112">
        <v>0</v>
      </c>
      <c r="Z33" s="112">
        <v>0</v>
      </c>
      <c r="AA33" s="112">
        <v>0</v>
      </c>
      <c r="AB33" s="112">
        <v>0</v>
      </c>
      <c r="AC33" s="112">
        <v>0</v>
      </c>
      <c r="AD33" s="112">
        <v>0</v>
      </c>
      <c r="AE33" s="112">
        <v>0.8</v>
      </c>
      <c r="AF33" s="112">
        <v>0</v>
      </c>
      <c r="AG33" s="112">
        <v>0</v>
      </c>
      <c r="AH33" s="112">
        <v>0</v>
      </c>
      <c r="AI33" s="112">
        <v>0</v>
      </c>
      <c r="AJ33" s="112">
        <v>0</v>
      </c>
      <c r="AK33" s="112">
        <v>0</v>
      </c>
      <c r="AL33" s="112">
        <v>0</v>
      </c>
      <c r="AM33" s="112">
        <v>0</v>
      </c>
      <c r="AN33" s="112">
        <v>0</v>
      </c>
      <c r="AO33" s="112">
        <v>0</v>
      </c>
      <c r="AP33" s="112">
        <v>0</v>
      </c>
      <c r="AQ33" s="112">
        <v>0</v>
      </c>
      <c r="AR33" s="112">
        <v>0</v>
      </c>
      <c r="AS33" s="112">
        <v>0</v>
      </c>
      <c r="AT33" s="112">
        <v>0</v>
      </c>
      <c r="AU33" s="112">
        <v>0</v>
      </c>
      <c r="AV33" s="112">
        <v>0</v>
      </c>
      <c r="AW33" s="112">
        <v>0</v>
      </c>
      <c r="AX33" s="112">
        <v>0</v>
      </c>
      <c r="AY33" s="112">
        <v>0</v>
      </c>
      <c r="AZ33" s="112">
        <v>0</v>
      </c>
      <c r="BA33" s="112">
        <v>0</v>
      </c>
      <c r="BB33" s="112">
        <v>0</v>
      </c>
      <c r="BC33" s="112">
        <v>0</v>
      </c>
      <c r="BD33" s="112">
        <v>0</v>
      </c>
      <c r="BE33" s="112">
        <v>0</v>
      </c>
      <c r="BF33" s="112">
        <v>0</v>
      </c>
      <c r="BG33" s="112">
        <v>0</v>
      </c>
      <c r="BH33" s="112">
        <v>0</v>
      </c>
      <c r="BI33" s="112">
        <v>0</v>
      </c>
      <c r="BJ33" s="112">
        <v>0</v>
      </c>
      <c r="BK33" s="112">
        <v>0</v>
      </c>
      <c r="BL33" s="112">
        <v>0</v>
      </c>
      <c r="BM33" s="112">
        <v>0</v>
      </c>
      <c r="BN33" s="112">
        <v>0</v>
      </c>
      <c r="BO33" s="112">
        <v>0</v>
      </c>
      <c r="BP33" s="112">
        <v>0</v>
      </c>
      <c r="BQ33" s="112">
        <v>0</v>
      </c>
      <c r="BR33" s="112">
        <v>0</v>
      </c>
      <c r="BS33" s="112">
        <v>0</v>
      </c>
      <c r="BT33" s="112">
        <v>0</v>
      </c>
      <c r="BU33" s="112">
        <v>0</v>
      </c>
      <c r="BV33" s="112">
        <v>0</v>
      </c>
      <c r="BW33" s="112">
        <v>0</v>
      </c>
      <c r="BX33" s="112">
        <v>0</v>
      </c>
      <c r="BY33" s="112">
        <v>0</v>
      </c>
      <c r="BZ33" s="112">
        <v>0</v>
      </c>
      <c r="CA33" s="112">
        <v>0</v>
      </c>
      <c r="CB33" s="112">
        <v>0</v>
      </c>
      <c r="CC33" s="112">
        <v>0</v>
      </c>
      <c r="CD33" s="112">
        <v>0</v>
      </c>
      <c r="CE33" s="112">
        <v>0</v>
      </c>
      <c r="CF33" s="112">
        <v>0</v>
      </c>
      <c r="CG33" s="112">
        <v>0</v>
      </c>
      <c r="CH33" s="112">
        <v>0</v>
      </c>
      <c r="CI33" s="112">
        <v>0</v>
      </c>
      <c r="CJ33" s="112">
        <v>0</v>
      </c>
      <c r="CK33" s="112">
        <v>0</v>
      </c>
      <c r="CL33" s="112">
        <v>0</v>
      </c>
      <c r="CM33" s="112">
        <v>0</v>
      </c>
      <c r="CN33" s="112">
        <v>0</v>
      </c>
      <c r="CO33" s="112">
        <v>0</v>
      </c>
      <c r="CP33" s="112">
        <v>0</v>
      </c>
      <c r="CQ33" s="112">
        <v>0</v>
      </c>
      <c r="CR33" s="112">
        <v>0</v>
      </c>
      <c r="CS33" s="112">
        <v>0</v>
      </c>
      <c r="CT33" s="112">
        <v>0</v>
      </c>
      <c r="CU33" s="112">
        <v>0</v>
      </c>
      <c r="CV33" s="112">
        <v>0</v>
      </c>
    </row>
    <row r="34" spans="1:100" x14ac:dyDescent="0.15">
      <c r="A34" s="189" t="s">
        <v>224</v>
      </c>
      <c r="B34" s="112">
        <v>0</v>
      </c>
      <c r="C34" s="112">
        <v>0</v>
      </c>
      <c r="D34" s="112">
        <v>0.8</v>
      </c>
      <c r="E34" s="112">
        <v>0</v>
      </c>
      <c r="F34" s="112">
        <v>0</v>
      </c>
      <c r="G34" s="112">
        <v>0</v>
      </c>
      <c r="H34" s="112">
        <v>0</v>
      </c>
      <c r="I34" s="112">
        <v>0</v>
      </c>
      <c r="J34" s="112">
        <v>0</v>
      </c>
      <c r="K34" s="112">
        <v>0</v>
      </c>
      <c r="L34" s="112">
        <v>0</v>
      </c>
      <c r="M34" s="112">
        <v>0</v>
      </c>
      <c r="N34" s="112">
        <v>0</v>
      </c>
      <c r="O34" s="112">
        <v>0</v>
      </c>
      <c r="P34" s="112">
        <v>0</v>
      </c>
      <c r="Q34" s="112">
        <v>0</v>
      </c>
      <c r="R34" s="112">
        <v>0</v>
      </c>
      <c r="S34" s="112">
        <v>0</v>
      </c>
      <c r="T34" s="112">
        <v>0</v>
      </c>
      <c r="U34" s="112">
        <v>0</v>
      </c>
      <c r="V34" s="112">
        <v>0</v>
      </c>
      <c r="W34" s="112">
        <v>0</v>
      </c>
      <c r="X34" s="112">
        <v>0</v>
      </c>
      <c r="Y34" s="112">
        <v>0</v>
      </c>
      <c r="Z34" s="112">
        <v>0</v>
      </c>
      <c r="AA34" s="112">
        <v>0</v>
      </c>
      <c r="AB34" s="112">
        <v>0</v>
      </c>
      <c r="AC34" s="112">
        <v>0</v>
      </c>
      <c r="AD34" s="112">
        <v>0</v>
      </c>
      <c r="AE34" s="112">
        <v>0</v>
      </c>
      <c r="AF34" s="112">
        <v>0</v>
      </c>
      <c r="AG34" s="112">
        <v>0</v>
      </c>
      <c r="AH34" s="112">
        <v>0</v>
      </c>
      <c r="AI34" s="112">
        <v>0</v>
      </c>
      <c r="AJ34" s="112">
        <v>0</v>
      </c>
      <c r="AK34" s="112">
        <v>0</v>
      </c>
      <c r="AL34" s="112">
        <v>0</v>
      </c>
      <c r="AM34" s="112">
        <v>0</v>
      </c>
      <c r="AN34" s="112">
        <v>0</v>
      </c>
      <c r="AO34" s="112">
        <v>0</v>
      </c>
      <c r="AP34" s="112">
        <v>0</v>
      </c>
      <c r="AQ34" s="112">
        <v>0</v>
      </c>
      <c r="AR34" s="112">
        <v>0</v>
      </c>
      <c r="AS34" s="112">
        <v>0</v>
      </c>
      <c r="AT34" s="112">
        <v>0</v>
      </c>
      <c r="AU34" s="112">
        <v>0</v>
      </c>
      <c r="AV34" s="112">
        <v>0</v>
      </c>
      <c r="AW34" s="112">
        <v>0</v>
      </c>
      <c r="AX34" s="112">
        <v>0</v>
      </c>
      <c r="AY34" s="112">
        <v>0</v>
      </c>
      <c r="AZ34" s="112">
        <v>0</v>
      </c>
      <c r="BA34" s="112">
        <v>0</v>
      </c>
      <c r="BB34" s="112">
        <v>0</v>
      </c>
      <c r="BC34" s="112">
        <v>0</v>
      </c>
      <c r="BD34" s="112">
        <v>0</v>
      </c>
      <c r="BE34" s="112">
        <v>0</v>
      </c>
      <c r="BF34" s="112">
        <v>0</v>
      </c>
      <c r="BG34" s="112">
        <v>0</v>
      </c>
      <c r="BH34" s="112">
        <v>0</v>
      </c>
      <c r="BI34" s="112">
        <v>0</v>
      </c>
      <c r="BJ34" s="112">
        <v>0</v>
      </c>
      <c r="BK34" s="112">
        <v>0</v>
      </c>
      <c r="BL34" s="112">
        <v>0</v>
      </c>
      <c r="BM34" s="112">
        <v>0</v>
      </c>
      <c r="BN34" s="112">
        <v>0</v>
      </c>
      <c r="BO34" s="112">
        <v>0</v>
      </c>
      <c r="BP34" s="112">
        <v>0</v>
      </c>
      <c r="BQ34" s="112">
        <v>0</v>
      </c>
      <c r="BR34" s="112">
        <v>0</v>
      </c>
      <c r="BS34" s="112">
        <v>0</v>
      </c>
      <c r="BT34" s="112">
        <v>0</v>
      </c>
      <c r="BU34" s="112">
        <v>0</v>
      </c>
      <c r="BV34" s="112">
        <v>0</v>
      </c>
      <c r="BW34" s="112">
        <v>0</v>
      </c>
      <c r="BX34" s="112">
        <v>0</v>
      </c>
      <c r="BY34" s="112">
        <v>0</v>
      </c>
      <c r="BZ34" s="112">
        <v>0</v>
      </c>
      <c r="CA34" s="112">
        <v>0</v>
      </c>
      <c r="CB34" s="112">
        <v>0</v>
      </c>
      <c r="CC34" s="112">
        <v>0</v>
      </c>
      <c r="CD34" s="112">
        <v>0</v>
      </c>
      <c r="CE34" s="112">
        <v>0</v>
      </c>
      <c r="CF34" s="112">
        <v>0</v>
      </c>
      <c r="CG34" s="112">
        <v>0</v>
      </c>
      <c r="CH34" s="112">
        <v>0</v>
      </c>
      <c r="CI34" s="112">
        <v>0</v>
      </c>
      <c r="CJ34" s="112">
        <v>0</v>
      </c>
      <c r="CK34" s="112">
        <v>0</v>
      </c>
      <c r="CL34" s="112">
        <v>0</v>
      </c>
      <c r="CM34" s="112">
        <v>0</v>
      </c>
      <c r="CN34" s="112">
        <v>0</v>
      </c>
      <c r="CO34" s="112">
        <v>0</v>
      </c>
      <c r="CP34" s="112">
        <v>0</v>
      </c>
      <c r="CQ34" s="112">
        <v>0</v>
      </c>
      <c r="CR34" s="112">
        <v>0</v>
      </c>
      <c r="CS34" s="112">
        <v>0</v>
      </c>
      <c r="CT34" s="112">
        <v>0</v>
      </c>
      <c r="CU34" s="112">
        <v>0</v>
      </c>
      <c r="CV34" s="112">
        <v>0</v>
      </c>
    </row>
    <row r="35" spans="1:100" x14ac:dyDescent="0.15">
      <c r="A35" s="189" t="s">
        <v>225</v>
      </c>
      <c r="B35" s="112">
        <v>0</v>
      </c>
      <c r="C35" s="112">
        <v>0</v>
      </c>
      <c r="D35" s="112">
        <v>0.8</v>
      </c>
      <c r="E35" s="112">
        <v>0</v>
      </c>
      <c r="F35" s="112">
        <v>0</v>
      </c>
      <c r="G35" s="112">
        <v>0</v>
      </c>
      <c r="H35" s="112">
        <v>0</v>
      </c>
      <c r="I35" s="112">
        <v>0</v>
      </c>
      <c r="J35" s="112">
        <v>0</v>
      </c>
      <c r="K35" s="112">
        <v>0</v>
      </c>
      <c r="L35" s="112">
        <v>0</v>
      </c>
      <c r="M35" s="112">
        <v>0</v>
      </c>
      <c r="N35" s="112">
        <v>0</v>
      </c>
      <c r="O35" s="112">
        <v>0</v>
      </c>
      <c r="P35" s="112">
        <v>0.8</v>
      </c>
      <c r="Q35" s="112">
        <v>0.8</v>
      </c>
      <c r="R35" s="112">
        <v>0.8</v>
      </c>
      <c r="S35" s="112">
        <v>0</v>
      </c>
      <c r="T35" s="112">
        <v>0.8</v>
      </c>
      <c r="U35" s="112">
        <v>0</v>
      </c>
      <c r="V35" s="112">
        <v>0</v>
      </c>
      <c r="W35" s="112">
        <v>0</v>
      </c>
      <c r="X35" s="112">
        <v>0</v>
      </c>
      <c r="Y35" s="112">
        <v>0</v>
      </c>
      <c r="Z35" s="112">
        <v>0</v>
      </c>
      <c r="AA35" s="112">
        <v>0</v>
      </c>
      <c r="AB35" s="112">
        <v>0</v>
      </c>
      <c r="AC35" s="112">
        <v>0</v>
      </c>
      <c r="AD35" s="112">
        <v>0.8</v>
      </c>
      <c r="AE35" s="112">
        <v>0.8</v>
      </c>
      <c r="AF35" s="112">
        <v>0</v>
      </c>
      <c r="AG35" s="112">
        <v>0</v>
      </c>
      <c r="AH35" s="112">
        <v>0</v>
      </c>
      <c r="AI35" s="112">
        <v>0</v>
      </c>
      <c r="AJ35" s="112">
        <v>0</v>
      </c>
      <c r="AK35" s="112">
        <v>0</v>
      </c>
      <c r="AL35" s="112">
        <v>0</v>
      </c>
      <c r="AM35" s="112">
        <v>0</v>
      </c>
      <c r="AN35" s="112">
        <v>0</v>
      </c>
      <c r="AO35" s="112">
        <v>0</v>
      </c>
      <c r="AP35" s="112">
        <v>0</v>
      </c>
      <c r="AQ35" s="112">
        <v>0</v>
      </c>
      <c r="AR35" s="112">
        <v>0.8</v>
      </c>
      <c r="AS35" s="112">
        <v>0</v>
      </c>
      <c r="AT35" s="112">
        <v>0</v>
      </c>
      <c r="AU35" s="112">
        <v>0</v>
      </c>
      <c r="AV35" s="112">
        <v>0</v>
      </c>
      <c r="AW35" s="112">
        <v>0</v>
      </c>
      <c r="AX35" s="112">
        <v>0</v>
      </c>
      <c r="AY35" s="112">
        <v>0</v>
      </c>
      <c r="AZ35" s="112">
        <v>0</v>
      </c>
      <c r="BA35" s="112">
        <v>0</v>
      </c>
      <c r="BB35" s="112">
        <v>0</v>
      </c>
      <c r="BC35" s="112">
        <v>0</v>
      </c>
      <c r="BD35" s="112">
        <v>0</v>
      </c>
      <c r="BE35" s="112">
        <v>0</v>
      </c>
      <c r="BF35" s="112">
        <v>0</v>
      </c>
      <c r="BG35" s="112">
        <v>0</v>
      </c>
      <c r="BH35" s="112">
        <v>0</v>
      </c>
      <c r="BI35" s="112">
        <v>0</v>
      </c>
      <c r="BJ35" s="112">
        <v>0</v>
      </c>
      <c r="BK35" s="112">
        <v>0</v>
      </c>
      <c r="BL35" s="112">
        <v>0</v>
      </c>
      <c r="BM35" s="112">
        <v>0</v>
      </c>
      <c r="BN35" s="112">
        <v>0</v>
      </c>
      <c r="BO35" s="112">
        <v>0</v>
      </c>
      <c r="BP35" s="112">
        <v>0</v>
      </c>
      <c r="BQ35" s="112">
        <v>0</v>
      </c>
      <c r="BR35" s="112">
        <v>0</v>
      </c>
      <c r="BS35" s="112">
        <v>0</v>
      </c>
      <c r="BT35" s="112">
        <v>0</v>
      </c>
      <c r="BU35" s="112">
        <v>0</v>
      </c>
      <c r="BV35" s="112">
        <v>0</v>
      </c>
      <c r="BW35" s="112">
        <v>0</v>
      </c>
      <c r="BX35" s="112">
        <v>0</v>
      </c>
      <c r="BY35" s="112">
        <v>0</v>
      </c>
      <c r="BZ35" s="112">
        <v>0</v>
      </c>
      <c r="CA35" s="112">
        <v>0</v>
      </c>
      <c r="CB35" s="112">
        <v>0</v>
      </c>
      <c r="CC35" s="112">
        <v>0</v>
      </c>
      <c r="CD35" s="112">
        <v>0</v>
      </c>
      <c r="CE35" s="112">
        <v>0</v>
      </c>
      <c r="CF35" s="112">
        <v>0</v>
      </c>
      <c r="CG35" s="112">
        <v>0</v>
      </c>
      <c r="CH35" s="112">
        <v>0</v>
      </c>
      <c r="CI35" s="112">
        <v>0</v>
      </c>
      <c r="CJ35" s="112">
        <v>0</v>
      </c>
      <c r="CK35" s="112">
        <v>0</v>
      </c>
      <c r="CL35" s="112">
        <v>0</v>
      </c>
      <c r="CM35" s="112">
        <v>0</v>
      </c>
      <c r="CN35" s="112">
        <v>0</v>
      </c>
      <c r="CO35" s="112">
        <v>0</v>
      </c>
      <c r="CP35" s="112">
        <v>0</v>
      </c>
      <c r="CQ35" s="112">
        <v>0</v>
      </c>
      <c r="CR35" s="112">
        <v>0</v>
      </c>
      <c r="CS35" s="112">
        <v>0</v>
      </c>
      <c r="CT35" s="112">
        <v>0</v>
      </c>
      <c r="CU35" s="112">
        <v>0</v>
      </c>
      <c r="CV35" s="112">
        <v>0</v>
      </c>
    </row>
    <row r="36" spans="1:100" x14ac:dyDescent="0.15">
      <c r="A36" s="189" t="s">
        <v>226</v>
      </c>
      <c r="B36" s="112">
        <v>0</v>
      </c>
      <c r="C36" s="112">
        <v>0</v>
      </c>
      <c r="D36" s="112">
        <v>0.8</v>
      </c>
      <c r="E36" s="112">
        <v>0</v>
      </c>
      <c r="F36" s="112">
        <v>0</v>
      </c>
      <c r="G36" s="112">
        <v>0</v>
      </c>
      <c r="H36" s="112">
        <v>0</v>
      </c>
      <c r="I36" s="112">
        <v>0</v>
      </c>
      <c r="J36" s="112">
        <v>0</v>
      </c>
      <c r="K36" s="112">
        <v>0</v>
      </c>
      <c r="L36" s="112">
        <v>0.8</v>
      </c>
      <c r="M36" s="112">
        <v>0</v>
      </c>
      <c r="N36" s="112">
        <v>0</v>
      </c>
      <c r="O36" s="112">
        <v>0</v>
      </c>
      <c r="P36" s="112">
        <v>0.8</v>
      </c>
      <c r="Q36" s="112">
        <v>0.8</v>
      </c>
      <c r="R36" s="112">
        <v>0.8</v>
      </c>
      <c r="S36" s="112">
        <v>0.8</v>
      </c>
      <c r="T36" s="112">
        <v>0.8</v>
      </c>
      <c r="U36" s="112">
        <v>0.8</v>
      </c>
      <c r="V36" s="112">
        <v>0.8</v>
      </c>
      <c r="W36" s="112">
        <v>0.8</v>
      </c>
      <c r="X36" s="112">
        <v>0.8</v>
      </c>
      <c r="Y36" s="112">
        <v>0</v>
      </c>
      <c r="Z36" s="112">
        <v>0.8</v>
      </c>
      <c r="AA36" s="112">
        <v>0</v>
      </c>
      <c r="AB36" s="112">
        <v>0</v>
      </c>
      <c r="AC36" s="112">
        <v>0</v>
      </c>
      <c r="AD36" s="112">
        <v>0.8</v>
      </c>
      <c r="AE36" s="112">
        <v>0.8</v>
      </c>
      <c r="AF36" s="112">
        <v>0.8</v>
      </c>
      <c r="AG36" s="112">
        <v>0.8</v>
      </c>
      <c r="AH36" s="112">
        <v>0.8</v>
      </c>
      <c r="AI36" s="112">
        <v>0</v>
      </c>
      <c r="AJ36" s="112">
        <v>0.8</v>
      </c>
      <c r="AK36" s="112">
        <v>0</v>
      </c>
      <c r="AL36" s="112">
        <v>0</v>
      </c>
      <c r="AM36" s="112">
        <v>0</v>
      </c>
      <c r="AN36" s="112">
        <v>0</v>
      </c>
      <c r="AO36" s="112">
        <v>0</v>
      </c>
      <c r="AP36" s="112">
        <v>0</v>
      </c>
      <c r="AQ36" s="112">
        <v>0</v>
      </c>
      <c r="AR36" s="112">
        <v>0.8</v>
      </c>
      <c r="AS36" s="112">
        <v>0</v>
      </c>
      <c r="AT36" s="112">
        <v>0</v>
      </c>
      <c r="AU36" s="112">
        <v>0</v>
      </c>
      <c r="AV36" s="112">
        <v>0</v>
      </c>
      <c r="AW36" s="112">
        <v>0</v>
      </c>
      <c r="AX36" s="112">
        <v>0</v>
      </c>
      <c r="AY36" s="112">
        <v>0</v>
      </c>
      <c r="AZ36" s="112">
        <v>0</v>
      </c>
      <c r="BA36" s="112">
        <v>0</v>
      </c>
      <c r="BB36" s="112">
        <v>0</v>
      </c>
      <c r="BC36" s="112">
        <v>0</v>
      </c>
      <c r="BD36" s="112">
        <v>0</v>
      </c>
      <c r="BE36" s="112">
        <v>0</v>
      </c>
      <c r="BF36" s="112">
        <v>0</v>
      </c>
      <c r="BG36" s="112">
        <v>0</v>
      </c>
      <c r="BH36" s="112">
        <v>0</v>
      </c>
      <c r="BI36" s="112">
        <v>0</v>
      </c>
      <c r="BJ36" s="112">
        <v>0</v>
      </c>
      <c r="BK36" s="112">
        <v>0</v>
      </c>
      <c r="BL36" s="112">
        <v>0</v>
      </c>
      <c r="BM36" s="112">
        <v>0</v>
      </c>
      <c r="BN36" s="112">
        <v>0</v>
      </c>
      <c r="BO36" s="112">
        <v>0</v>
      </c>
      <c r="BP36" s="112">
        <v>0</v>
      </c>
      <c r="BQ36" s="112">
        <v>0</v>
      </c>
      <c r="BR36" s="112">
        <v>0</v>
      </c>
      <c r="BS36" s="112">
        <v>0</v>
      </c>
      <c r="BT36" s="112">
        <v>0</v>
      </c>
      <c r="BU36" s="112">
        <v>0</v>
      </c>
      <c r="BV36" s="112">
        <v>0</v>
      </c>
      <c r="BW36" s="112">
        <v>0</v>
      </c>
      <c r="BX36" s="112">
        <v>0</v>
      </c>
      <c r="BY36" s="112">
        <v>0</v>
      </c>
      <c r="BZ36" s="112">
        <v>0</v>
      </c>
      <c r="CA36" s="112">
        <v>0</v>
      </c>
      <c r="CB36" s="112">
        <v>0</v>
      </c>
      <c r="CC36" s="112">
        <v>0</v>
      </c>
      <c r="CD36" s="112">
        <v>0</v>
      </c>
      <c r="CE36" s="112">
        <v>0</v>
      </c>
      <c r="CF36" s="112">
        <v>0</v>
      </c>
      <c r="CG36" s="112">
        <v>0</v>
      </c>
      <c r="CH36" s="112">
        <v>0</v>
      </c>
      <c r="CI36" s="112">
        <v>0</v>
      </c>
      <c r="CJ36" s="112">
        <v>0</v>
      </c>
      <c r="CK36" s="112">
        <v>0</v>
      </c>
      <c r="CL36" s="112">
        <v>0</v>
      </c>
      <c r="CM36" s="112">
        <v>0</v>
      </c>
      <c r="CN36" s="112">
        <v>0</v>
      </c>
      <c r="CO36" s="112">
        <v>0</v>
      </c>
      <c r="CP36" s="112">
        <v>0</v>
      </c>
      <c r="CQ36" s="112">
        <v>0</v>
      </c>
      <c r="CR36" s="112">
        <v>0</v>
      </c>
      <c r="CS36" s="112">
        <v>0</v>
      </c>
      <c r="CT36" s="112">
        <v>0</v>
      </c>
      <c r="CU36" s="112">
        <v>0</v>
      </c>
      <c r="CV36" s="112">
        <v>0</v>
      </c>
    </row>
    <row r="37" spans="1:100" x14ac:dyDescent="0.15">
      <c r="A37" s="189" t="s">
        <v>227</v>
      </c>
      <c r="B37" s="112">
        <v>0.8</v>
      </c>
      <c r="C37" s="112">
        <v>0</v>
      </c>
      <c r="D37" s="112">
        <v>0</v>
      </c>
      <c r="E37" s="112">
        <v>0</v>
      </c>
      <c r="F37" s="112">
        <v>0</v>
      </c>
      <c r="G37" s="112">
        <v>0</v>
      </c>
      <c r="H37" s="112">
        <v>0</v>
      </c>
      <c r="I37" s="112">
        <v>0</v>
      </c>
      <c r="J37" s="112">
        <v>0</v>
      </c>
      <c r="K37" s="112">
        <v>0.8</v>
      </c>
      <c r="L37" s="112">
        <v>0.8</v>
      </c>
      <c r="M37" s="112">
        <v>0.8</v>
      </c>
      <c r="N37" s="112">
        <v>0</v>
      </c>
      <c r="O37" s="112">
        <v>0.8</v>
      </c>
      <c r="P37" s="112">
        <v>0.8</v>
      </c>
      <c r="Q37" s="112">
        <v>0.8</v>
      </c>
      <c r="R37" s="112">
        <v>0.8</v>
      </c>
      <c r="S37" s="112">
        <v>0.8</v>
      </c>
      <c r="T37" s="112">
        <v>0</v>
      </c>
      <c r="U37" s="112">
        <v>0.8</v>
      </c>
      <c r="V37" s="112">
        <v>0</v>
      </c>
      <c r="W37" s="112">
        <v>0</v>
      </c>
      <c r="X37" s="112">
        <v>0</v>
      </c>
      <c r="Y37" s="112">
        <v>0</v>
      </c>
      <c r="Z37" s="112">
        <v>0.8</v>
      </c>
      <c r="AA37" s="112">
        <v>0</v>
      </c>
      <c r="AB37" s="112">
        <v>0</v>
      </c>
      <c r="AC37" s="112">
        <v>0</v>
      </c>
      <c r="AD37" s="112">
        <v>0.8</v>
      </c>
      <c r="AE37" s="112">
        <v>0.8</v>
      </c>
      <c r="AF37" s="112">
        <v>0.8</v>
      </c>
      <c r="AG37" s="112">
        <v>0</v>
      </c>
      <c r="AH37" s="112">
        <v>0</v>
      </c>
      <c r="AI37" s="112">
        <v>0</v>
      </c>
      <c r="AJ37" s="112">
        <v>0.8</v>
      </c>
      <c r="AK37" s="112">
        <v>0</v>
      </c>
      <c r="AL37" s="112">
        <v>0</v>
      </c>
      <c r="AM37" s="112">
        <v>0</v>
      </c>
      <c r="AN37" s="112">
        <v>0</v>
      </c>
      <c r="AO37" s="112">
        <v>0</v>
      </c>
      <c r="AP37" s="112">
        <v>0</v>
      </c>
      <c r="AQ37" s="112">
        <v>0</v>
      </c>
      <c r="AR37" s="112">
        <v>0</v>
      </c>
      <c r="AS37" s="112">
        <v>0</v>
      </c>
      <c r="AT37" s="112">
        <v>0</v>
      </c>
      <c r="AU37" s="112">
        <v>0</v>
      </c>
      <c r="AV37" s="112">
        <v>0</v>
      </c>
      <c r="AW37" s="112">
        <v>0</v>
      </c>
      <c r="AX37" s="112">
        <v>0</v>
      </c>
      <c r="AY37" s="112">
        <v>0</v>
      </c>
      <c r="AZ37" s="112">
        <v>0</v>
      </c>
      <c r="BA37" s="112">
        <v>0</v>
      </c>
      <c r="BB37" s="112">
        <v>0</v>
      </c>
      <c r="BC37" s="112">
        <v>0</v>
      </c>
      <c r="BD37" s="112">
        <v>0</v>
      </c>
      <c r="BE37" s="112">
        <v>0</v>
      </c>
      <c r="BF37" s="112">
        <v>0</v>
      </c>
      <c r="BG37" s="112">
        <v>0</v>
      </c>
      <c r="BH37" s="112">
        <v>0</v>
      </c>
      <c r="BI37" s="112">
        <v>0</v>
      </c>
      <c r="BJ37" s="112">
        <v>0</v>
      </c>
      <c r="BK37" s="112">
        <v>0</v>
      </c>
      <c r="BL37" s="112">
        <v>0</v>
      </c>
      <c r="BM37" s="112">
        <v>0</v>
      </c>
      <c r="BN37" s="112">
        <v>0</v>
      </c>
      <c r="BO37" s="112">
        <v>0</v>
      </c>
      <c r="BP37" s="112">
        <v>0</v>
      </c>
      <c r="BQ37" s="112">
        <v>0</v>
      </c>
      <c r="BR37" s="112">
        <v>0</v>
      </c>
      <c r="BS37" s="112">
        <v>0</v>
      </c>
      <c r="BT37" s="112">
        <v>0</v>
      </c>
      <c r="BU37" s="112">
        <v>0</v>
      </c>
      <c r="BV37" s="112">
        <v>0</v>
      </c>
      <c r="BW37" s="112">
        <v>0</v>
      </c>
      <c r="BX37" s="112">
        <v>0</v>
      </c>
      <c r="BY37" s="112">
        <v>0</v>
      </c>
      <c r="BZ37" s="112">
        <v>0</v>
      </c>
      <c r="CA37" s="112">
        <v>0</v>
      </c>
      <c r="CB37" s="112">
        <v>0</v>
      </c>
      <c r="CC37" s="112">
        <v>0</v>
      </c>
      <c r="CD37" s="112">
        <v>0</v>
      </c>
      <c r="CE37" s="112">
        <v>0</v>
      </c>
      <c r="CF37" s="112">
        <v>0</v>
      </c>
      <c r="CG37" s="112">
        <v>0</v>
      </c>
      <c r="CH37" s="112">
        <v>0</v>
      </c>
      <c r="CI37" s="112">
        <v>0</v>
      </c>
      <c r="CJ37" s="112">
        <v>0</v>
      </c>
      <c r="CK37" s="112">
        <v>0</v>
      </c>
      <c r="CL37" s="112">
        <v>0</v>
      </c>
      <c r="CM37" s="112">
        <v>0</v>
      </c>
      <c r="CN37" s="112">
        <v>0</v>
      </c>
      <c r="CO37" s="112">
        <v>0</v>
      </c>
      <c r="CP37" s="112">
        <v>0</v>
      </c>
      <c r="CQ37" s="112">
        <v>0</v>
      </c>
      <c r="CR37" s="112">
        <v>0</v>
      </c>
      <c r="CS37" s="112">
        <v>0</v>
      </c>
      <c r="CT37" s="112">
        <v>0</v>
      </c>
      <c r="CU37" s="112">
        <v>0</v>
      </c>
      <c r="CV37" s="112">
        <v>0</v>
      </c>
    </row>
    <row r="38" spans="1:100" x14ac:dyDescent="0.15">
      <c r="A38" s="189" t="s">
        <v>228</v>
      </c>
      <c r="B38" s="112">
        <v>0</v>
      </c>
      <c r="C38" s="112">
        <v>0</v>
      </c>
      <c r="D38" s="112">
        <v>0.8</v>
      </c>
      <c r="E38" s="112">
        <v>0</v>
      </c>
      <c r="F38" s="112">
        <v>0</v>
      </c>
      <c r="G38" s="112">
        <v>0</v>
      </c>
      <c r="H38" s="112">
        <v>0</v>
      </c>
      <c r="I38" s="112">
        <v>0</v>
      </c>
      <c r="J38" s="112">
        <v>0</v>
      </c>
      <c r="K38" s="112">
        <v>0</v>
      </c>
      <c r="L38" s="112">
        <v>0.8</v>
      </c>
      <c r="M38" s="112">
        <v>0</v>
      </c>
      <c r="N38" s="112">
        <v>0</v>
      </c>
      <c r="O38" s="112">
        <v>0</v>
      </c>
      <c r="P38" s="112">
        <v>0.8</v>
      </c>
      <c r="Q38" s="112">
        <v>0.8</v>
      </c>
      <c r="R38" s="112">
        <v>0.8</v>
      </c>
      <c r="S38" s="112">
        <v>0</v>
      </c>
      <c r="T38" s="112">
        <v>0.8</v>
      </c>
      <c r="U38" s="112">
        <v>0.8</v>
      </c>
      <c r="V38" s="112">
        <v>0.8</v>
      </c>
      <c r="W38" s="112">
        <v>0</v>
      </c>
      <c r="X38" s="112">
        <v>0</v>
      </c>
      <c r="Y38" s="112">
        <v>0</v>
      </c>
      <c r="Z38" s="112">
        <v>0</v>
      </c>
      <c r="AA38" s="112">
        <v>0</v>
      </c>
      <c r="AB38" s="112">
        <v>0</v>
      </c>
      <c r="AC38" s="112">
        <v>0</v>
      </c>
      <c r="AD38" s="112">
        <v>0.8</v>
      </c>
      <c r="AE38" s="112">
        <v>0.8</v>
      </c>
      <c r="AF38" s="112">
        <v>0.8</v>
      </c>
      <c r="AG38" s="112">
        <v>0.8</v>
      </c>
      <c r="AH38" s="112">
        <v>0</v>
      </c>
      <c r="AI38" s="112">
        <v>0</v>
      </c>
      <c r="AJ38" s="112">
        <v>0</v>
      </c>
      <c r="AK38" s="112">
        <v>0</v>
      </c>
      <c r="AL38" s="112">
        <v>0</v>
      </c>
      <c r="AM38" s="112">
        <v>0</v>
      </c>
      <c r="AN38" s="112">
        <v>0</v>
      </c>
      <c r="AO38" s="112">
        <v>0</v>
      </c>
      <c r="AP38" s="112">
        <v>0</v>
      </c>
      <c r="AQ38" s="112">
        <v>0</v>
      </c>
      <c r="AR38" s="112">
        <v>0</v>
      </c>
      <c r="AS38" s="112">
        <v>0</v>
      </c>
      <c r="AT38" s="112">
        <v>0</v>
      </c>
      <c r="AU38" s="112">
        <v>0</v>
      </c>
      <c r="AV38" s="112">
        <v>0</v>
      </c>
      <c r="AW38" s="112">
        <v>0</v>
      </c>
      <c r="AX38" s="112">
        <v>0</v>
      </c>
      <c r="AY38" s="112">
        <v>0</v>
      </c>
      <c r="AZ38" s="112">
        <v>0</v>
      </c>
      <c r="BA38" s="112">
        <v>0</v>
      </c>
      <c r="BB38" s="112">
        <v>0</v>
      </c>
      <c r="BC38" s="112">
        <v>0</v>
      </c>
      <c r="BD38" s="112">
        <v>0</v>
      </c>
      <c r="BE38" s="112">
        <v>0</v>
      </c>
      <c r="BF38" s="112">
        <v>0</v>
      </c>
      <c r="BG38" s="112">
        <v>0</v>
      </c>
      <c r="BH38" s="112">
        <v>0</v>
      </c>
      <c r="BI38" s="112">
        <v>0</v>
      </c>
      <c r="BJ38" s="112">
        <v>0</v>
      </c>
      <c r="BK38" s="112">
        <v>0</v>
      </c>
      <c r="BL38" s="112">
        <v>0</v>
      </c>
      <c r="BM38" s="112">
        <v>0</v>
      </c>
      <c r="BN38" s="112">
        <v>0</v>
      </c>
      <c r="BO38" s="112">
        <v>0</v>
      </c>
      <c r="BP38" s="112">
        <v>0</v>
      </c>
      <c r="BQ38" s="112">
        <v>0</v>
      </c>
      <c r="BR38" s="112">
        <v>0</v>
      </c>
      <c r="BS38" s="112">
        <v>0</v>
      </c>
      <c r="BT38" s="112">
        <v>0</v>
      </c>
      <c r="BU38" s="112">
        <v>0</v>
      </c>
      <c r="BV38" s="112">
        <v>0</v>
      </c>
      <c r="BW38" s="112">
        <v>0</v>
      </c>
      <c r="BX38" s="112">
        <v>0</v>
      </c>
      <c r="BY38" s="112">
        <v>0</v>
      </c>
      <c r="BZ38" s="112">
        <v>0</v>
      </c>
      <c r="CA38" s="112">
        <v>0</v>
      </c>
      <c r="CB38" s="112">
        <v>0</v>
      </c>
      <c r="CC38" s="112">
        <v>0</v>
      </c>
      <c r="CD38" s="112">
        <v>0</v>
      </c>
      <c r="CE38" s="112">
        <v>0</v>
      </c>
      <c r="CF38" s="112">
        <v>0</v>
      </c>
      <c r="CG38" s="112">
        <v>0</v>
      </c>
      <c r="CH38" s="112">
        <v>0</v>
      </c>
      <c r="CI38" s="112">
        <v>0</v>
      </c>
      <c r="CJ38" s="112">
        <v>0</v>
      </c>
      <c r="CK38" s="112">
        <v>0</v>
      </c>
      <c r="CL38" s="112">
        <v>0</v>
      </c>
      <c r="CM38" s="112">
        <v>0</v>
      </c>
      <c r="CN38" s="112">
        <v>0</v>
      </c>
      <c r="CO38" s="112">
        <v>0</v>
      </c>
      <c r="CP38" s="112">
        <v>0</v>
      </c>
      <c r="CQ38" s="112">
        <v>0</v>
      </c>
      <c r="CR38" s="112">
        <v>0</v>
      </c>
      <c r="CS38" s="112">
        <v>0</v>
      </c>
      <c r="CT38" s="112">
        <v>0</v>
      </c>
      <c r="CU38" s="112">
        <v>0</v>
      </c>
      <c r="CV38" s="112">
        <v>0</v>
      </c>
    </row>
    <row r="39" spans="1:100" x14ac:dyDescent="0.15">
      <c r="A39" s="189" t="s">
        <v>229</v>
      </c>
      <c r="B39" s="112">
        <v>0</v>
      </c>
      <c r="C39" s="112">
        <v>0</v>
      </c>
      <c r="D39" s="112">
        <v>0.8</v>
      </c>
      <c r="E39" s="112">
        <v>0</v>
      </c>
      <c r="F39" s="112">
        <v>0</v>
      </c>
      <c r="G39" s="112">
        <v>0</v>
      </c>
      <c r="H39" s="112">
        <v>0</v>
      </c>
      <c r="I39" s="112">
        <v>0</v>
      </c>
      <c r="J39" s="112">
        <v>0</v>
      </c>
      <c r="K39" s="112">
        <v>0</v>
      </c>
      <c r="L39" s="112">
        <v>0.8</v>
      </c>
      <c r="M39" s="112">
        <v>0</v>
      </c>
      <c r="N39" s="112">
        <v>0</v>
      </c>
      <c r="O39" s="112">
        <v>0</v>
      </c>
      <c r="P39" s="112">
        <v>0</v>
      </c>
      <c r="Q39" s="112">
        <v>0.8</v>
      </c>
      <c r="R39" s="112">
        <v>0</v>
      </c>
      <c r="S39" s="112">
        <v>0</v>
      </c>
      <c r="T39" s="112">
        <v>0.8</v>
      </c>
      <c r="U39" s="112">
        <v>0</v>
      </c>
      <c r="V39" s="112">
        <v>0</v>
      </c>
      <c r="W39" s="112">
        <v>0</v>
      </c>
      <c r="X39" s="112">
        <v>0</v>
      </c>
      <c r="Y39" s="112">
        <v>0</v>
      </c>
      <c r="Z39" s="112">
        <v>0</v>
      </c>
      <c r="AA39" s="112">
        <v>0</v>
      </c>
      <c r="AB39" s="112">
        <v>0</v>
      </c>
      <c r="AC39" s="112">
        <v>0</v>
      </c>
      <c r="AD39" s="112">
        <v>0</v>
      </c>
      <c r="AE39" s="112">
        <v>0.8</v>
      </c>
      <c r="AF39" s="112">
        <v>0</v>
      </c>
      <c r="AG39" s="112">
        <v>0</v>
      </c>
      <c r="AH39" s="112">
        <v>0</v>
      </c>
      <c r="AI39" s="112">
        <v>0</v>
      </c>
      <c r="AJ39" s="112">
        <v>0</v>
      </c>
      <c r="AK39" s="112">
        <v>0</v>
      </c>
      <c r="AL39" s="112">
        <v>0</v>
      </c>
      <c r="AM39" s="112">
        <v>0</v>
      </c>
      <c r="AN39" s="112">
        <v>0</v>
      </c>
      <c r="AO39" s="112">
        <v>0</v>
      </c>
      <c r="AP39" s="112">
        <v>0</v>
      </c>
      <c r="AQ39" s="112">
        <v>0</v>
      </c>
      <c r="AR39" s="112">
        <v>0</v>
      </c>
      <c r="AS39" s="112">
        <v>0</v>
      </c>
      <c r="AT39" s="112">
        <v>0</v>
      </c>
      <c r="AU39" s="112">
        <v>0</v>
      </c>
      <c r="AV39" s="112">
        <v>0</v>
      </c>
      <c r="AW39" s="112">
        <v>0</v>
      </c>
      <c r="AX39" s="112">
        <v>0</v>
      </c>
      <c r="AY39" s="112">
        <v>0</v>
      </c>
      <c r="AZ39" s="112">
        <v>0</v>
      </c>
      <c r="BA39" s="112">
        <v>0</v>
      </c>
      <c r="BB39" s="112">
        <v>0</v>
      </c>
      <c r="BC39" s="112">
        <v>0</v>
      </c>
      <c r="BD39" s="112">
        <v>0</v>
      </c>
      <c r="BE39" s="112">
        <v>0</v>
      </c>
      <c r="BF39" s="112">
        <v>0</v>
      </c>
      <c r="BG39" s="112">
        <v>0</v>
      </c>
      <c r="BH39" s="112">
        <v>0</v>
      </c>
      <c r="BI39" s="112">
        <v>0</v>
      </c>
      <c r="BJ39" s="112">
        <v>0</v>
      </c>
      <c r="BK39" s="112">
        <v>0</v>
      </c>
      <c r="BL39" s="112">
        <v>0</v>
      </c>
      <c r="BM39" s="112">
        <v>0</v>
      </c>
      <c r="BN39" s="112">
        <v>0</v>
      </c>
      <c r="BO39" s="112">
        <v>0</v>
      </c>
      <c r="BP39" s="112">
        <v>0</v>
      </c>
      <c r="BQ39" s="112">
        <v>0</v>
      </c>
      <c r="BR39" s="112">
        <v>0</v>
      </c>
      <c r="BS39" s="112">
        <v>0</v>
      </c>
      <c r="BT39" s="112">
        <v>0</v>
      </c>
      <c r="BU39" s="112">
        <v>0</v>
      </c>
      <c r="BV39" s="112">
        <v>0</v>
      </c>
      <c r="BW39" s="112">
        <v>0</v>
      </c>
      <c r="BX39" s="112">
        <v>0</v>
      </c>
      <c r="BY39" s="112">
        <v>0</v>
      </c>
      <c r="BZ39" s="112">
        <v>0</v>
      </c>
      <c r="CA39" s="112">
        <v>0</v>
      </c>
      <c r="CB39" s="112">
        <v>0</v>
      </c>
      <c r="CC39" s="112">
        <v>0</v>
      </c>
      <c r="CD39" s="112">
        <v>0</v>
      </c>
      <c r="CE39" s="112">
        <v>0</v>
      </c>
      <c r="CF39" s="112">
        <v>0</v>
      </c>
      <c r="CG39" s="112">
        <v>0</v>
      </c>
      <c r="CH39" s="112">
        <v>0</v>
      </c>
      <c r="CI39" s="112">
        <v>0</v>
      </c>
      <c r="CJ39" s="112">
        <v>0</v>
      </c>
      <c r="CK39" s="112">
        <v>0</v>
      </c>
      <c r="CL39" s="112">
        <v>0</v>
      </c>
      <c r="CM39" s="112">
        <v>0</v>
      </c>
      <c r="CN39" s="112">
        <v>0</v>
      </c>
      <c r="CO39" s="112">
        <v>0</v>
      </c>
      <c r="CP39" s="112">
        <v>0</v>
      </c>
      <c r="CQ39" s="112">
        <v>0</v>
      </c>
      <c r="CR39" s="112">
        <v>0</v>
      </c>
      <c r="CS39" s="112">
        <v>0</v>
      </c>
      <c r="CT39" s="112">
        <v>0</v>
      </c>
      <c r="CU39" s="112">
        <v>0</v>
      </c>
      <c r="CV39" s="112">
        <v>0</v>
      </c>
    </row>
    <row r="40" spans="1:100" x14ac:dyDescent="0.15">
      <c r="A40" s="189" t="s">
        <v>230</v>
      </c>
      <c r="B40" s="112">
        <v>0</v>
      </c>
      <c r="C40" s="112">
        <v>0</v>
      </c>
      <c r="D40" s="112">
        <v>0.8</v>
      </c>
      <c r="E40" s="112">
        <v>0</v>
      </c>
      <c r="F40" s="112">
        <v>0</v>
      </c>
      <c r="G40" s="112">
        <v>0</v>
      </c>
      <c r="H40" s="112">
        <v>0</v>
      </c>
      <c r="I40" s="112">
        <v>0</v>
      </c>
      <c r="J40" s="112">
        <v>0</v>
      </c>
      <c r="K40" s="112">
        <v>0</v>
      </c>
      <c r="L40" s="112">
        <v>0</v>
      </c>
      <c r="M40" s="112">
        <v>0</v>
      </c>
      <c r="N40" s="112">
        <v>0</v>
      </c>
      <c r="O40" s="112">
        <v>0</v>
      </c>
      <c r="P40" s="112">
        <v>0</v>
      </c>
      <c r="Q40" s="112">
        <v>0</v>
      </c>
      <c r="R40" s="112">
        <v>0</v>
      </c>
      <c r="S40" s="112">
        <v>0</v>
      </c>
      <c r="T40" s="112">
        <v>0</v>
      </c>
      <c r="U40" s="112">
        <v>0</v>
      </c>
      <c r="V40" s="112">
        <v>0</v>
      </c>
      <c r="W40" s="112">
        <v>0</v>
      </c>
      <c r="X40" s="112">
        <v>0</v>
      </c>
      <c r="Y40" s="112">
        <v>0</v>
      </c>
      <c r="Z40" s="112">
        <v>0</v>
      </c>
      <c r="AA40" s="112">
        <v>0</v>
      </c>
      <c r="AB40" s="112">
        <v>0</v>
      </c>
      <c r="AC40" s="112">
        <v>0</v>
      </c>
      <c r="AD40" s="112">
        <v>0</v>
      </c>
      <c r="AE40" s="112">
        <v>0</v>
      </c>
      <c r="AF40" s="112">
        <v>0</v>
      </c>
      <c r="AG40" s="112">
        <v>0</v>
      </c>
      <c r="AH40" s="112">
        <v>0</v>
      </c>
      <c r="AI40" s="112">
        <v>0</v>
      </c>
      <c r="AJ40" s="112">
        <v>0</v>
      </c>
      <c r="AK40" s="112">
        <v>0</v>
      </c>
      <c r="AL40" s="112">
        <v>0</v>
      </c>
      <c r="AM40" s="112">
        <v>0</v>
      </c>
      <c r="AN40" s="112">
        <v>0</v>
      </c>
      <c r="AO40" s="112">
        <v>0</v>
      </c>
      <c r="AP40" s="112">
        <v>0</v>
      </c>
      <c r="AQ40" s="112">
        <v>0</v>
      </c>
      <c r="AR40" s="112">
        <v>0</v>
      </c>
      <c r="AS40" s="112">
        <v>0</v>
      </c>
      <c r="AT40" s="112">
        <v>0</v>
      </c>
      <c r="AU40" s="112">
        <v>0</v>
      </c>
      <c r="AV40" s="112">
        <v>0</v>
      </c>
      <c r="AW40" s="112">
        <v>0</v>
      </c>
      <c r="AX40" s="112">
        <v>0</v>
      </c>
      <c r="AY40" s="112">
        <v>0</v>
      </c>
      <c r="AZ40" s="112">
        <v>0</v>
      </c>
      <c r="BA40" s="112">
        <v>0</v>
      </c>
      <c r="BB40" s="112">
        <v>0</v>
      </c>
      <c r="BC40" s="112">
        <v>0</v>
      </c>
      <c r="BD40" s="112">
        <v>0</v>
      </c>
      <c r="BE40" s="112">
        <v>0</v>
      </c>
      <c r="BF40" s="112">
        <v>0</v>
      </c>
      <c r="BG40" s="112">
        <v>0</v>
      </c>
      <c r="BH40" s="112">
        <v>0</v>
      </c>
      <c r="BI40" s="112">
        <v>0</v>
      </c>
      <c r="BJ40" s="112">
        <v>0</v>
      </c>
      <c r="BK40" s="112">
        <v>0</v>
      </c>
      <c r="BL40" s="112">
        <v>0</v>
      </c>
      <c r="BM40" s="112">
        <v>0</v>
      </c>
      <c r="BN40" s="112">
        <v>0</v>
      </c>
      <c r="BO40" s="112">
        <v>0</v>
      </c>
      <c r="BP40" s="112">
        <v>0</v>
      </c>
      <c r="BQ40" s="112">
        <v>0</v>
      </c>
      <c r="BR40" s="112">
        <v>0</v>
      </c>
      <c r="BS40" s="112">
        <v>0</v>
      </c>
      <c r="BT40" s="112">
        <v>0</v>
      </c>
      <c r="BU40" s="112">
        <v>0</v>
      </c>
      <c r="BV40" s="112">
        <v>0</v>
      </c>
      <c r="BW40" s="112">
        <v>0</v>
      </c>
      <c r="BX40" s="112">
        <v>0</v>
      </c>
      <c r="BY40" s="112">
        <v>0</v>
      </c>
      <c r="BZ40" s="112">
        <v>0</v>
      </c>
      <c r="CA40" s="112">
        <v>0</v>
      </c>
      <c r="CB40" s="112">
        <v>0</v>
      </c>
      <c r="CC40" s="112">
        <v>0</v>
      </c>
      <c r="CD40" s="112">
        <v>0</v>
      </c>
      <c r="CE40" s="112">
        <v>0</v>
      </c>
      <c r="CF40" s="112">
        <v>0</v>
      </c>
      <c r="CG40" s="112">
        <v>0</v>
      </c>
      <c r="CH40" s="112">
        <v>0</v>
      </c>
      <c r="CI40" s="112">
        <v>0</v>
      </c>
      <c r="CJ40" s="112">
        <v>0</v>
      </c>
      <c r="CK40" s="112">
        <v>0</v>
      </c>
      <c r="CL40" s="112">
        <v>0</v>
      </c>
      <c r="CM40" s="112">
        <v>0</v>
      </c>
      <c r="CN40" s="112">
        <v>0</v>
      </c>
      <c r="CO40" s="112">
        <v>0</v>
      </c>
      <c r="CP40" s="112">
        <v>0</v>
      </c>
      <c r="CQ40" s="112">
        <v>0</v>
      </c>
      <c r="CR40" s="112">
        <v>0</v>
      </c>
      <c r="CS40" s="112">
        <v>0</v>
      </c>
      <c r="CT40" s="112">
        <v>0</v>
      </c>
      <c r="CU40" s="112">
        <v>0</v>
      </c>
      <c r="CV40" s="112">
        <v>0</v>
      </c>
    </row>
    <row r="41" spans="1:100" x14ac:dyDescent="0.15">
      <c r="A41" s="189" t="s">
        <v>231</v>
      </c>
      <c r="B41" s="112">
        <v>0</v>
      </c>
      <c r="C41" s="112">
        <v>0</v>
      </c>
      <c r="D41" s="112">
        <v>0.8</v>
      </c>
      <c r="E41" s="112">
        <v>0</v>
      </c>
      <c r="F41" s="112">
        <v>0</v>
      </c>
      <c r="G41" s="112">
        <v>0</v>
      </c>
      <c r="H41" s="112">
        <v>0</v>
      </c>
      <c r="I41" s="112">
        <v>0</v>
      </c>
      <c r="J41" s="112">
        <v>0</v>
      </c>
      <c r="K41" s="112">
        <v>0</v>
      </c>
      <c r="L41" s="112">
        <v>0.8</v>
      </c>
      <c r="M41" s="112">
        <v>0</v>
      </c>
      <c r="N41" s="112">
        <v>0</v>
      </c>
      <c r="O41" s="112">
        <v>0</v>
      </c>
      <c r="P41" s="112">
        <v>0.8</v>
      </c>
      <c r="Q41" s="112">
        <v>0.8</v>
      </c>
      <c r="R41" s="112">
        <v>0</v>
      </c>
      <c r="S41" s="112">
        <v>0</v>
      </c>
      <c r="T41" s="112">
        <v>0.8</v>
      </c>
      <c r="U41" s="112">
        <v>0</v>
      </c>
      <c r="V41" s="112">
        <v>0</v>
      </c>
      <c r="W41" s="112">
        <v>0</v>
      </c>
      <c r="X41" s="112">
        <v>0</v>
      </c>
      <c r="Y41" s="112">
        <v>0</v>
      </c>
      <c r="Z41" s="112">
        <v>0</v>
      </c>
      <c r="AA41" s="112">
        <v>0</v>
      </c>
      <c r="AB41" s="112">
        <v>0</v>
      </c>
      <c r="AC41" s="112">
        <v>0</v>
      </c>
      <c r="AD41" s="112">
        <v>0.8</v>
      </c>
      <c r="AE41" s="112">
        <v>0.8</v>
      </c>
      <c r="AF41" s="112">
        <v>0.8</v>
      </c>
      <c r="AG41" s="112">
        <v>0</v>
      </c>
      <c r="AH41" s="112">
        <v>0</v>
      </c>
      <c r="AI41" s="112">
        <v>0</v>
      </c>
      <c r="AJ41" s="112">
        <v>0</v>
      </c>
      <c r="AK41" s="112">
        <v>0</v>
      </c>
      <c r="AL41" s="112">
        <v>0</v>
      </c>
      <c r="AM41" s="112">
        <v>0</v>
      </c>
      <c r="AN41" s="112">
        <v>0</v>
      </c>
      <c r="AO41" s="112">
        <v>0</v>
      </c>
      <c r="AP41" s="112">
        <v>0</v>
      </c>
      <c r="AQ41" s="112">
        <v>0</v>
      </c>
      <c r="AR41" s="112">
        <v>0</v>
      </c>
      <c r="AS41" s="112">
        <v>0</v>
      </c>
      <c r="AT41" s="112">
        <v>0</v>
      </c>
      <c r="AU41" s="112">
        <v>0</v>
      </c>
      <c r="AV41" s="112">
        <v>0</v>
      </c>
      <c r="AW41" s="112">
        <v>0</v>
      </c>
      <c r="AX41" s="112">
        <v>0</v>
      </c>
      <c r="AY41" s="112">
        <v>0</v>
      </c>
      <c r="AZ41" s="112">
        <v>0</v>
      </c>
      <c r="BA41" s="112">
        <v>0</v>
      </c>
      <c r="BB41" s="112">
        <v>0</v>
      </c>
      <c r="BC41" s="112">
        <v>0</v>
      </c>
      <c r="BD41" s="112">
        <v>0</v>
      </c>
      <c r="BE41" s="112">
        <v>0</v>
      </c>
      <c r="BF41" s="112">
        <v>0</v>
      </c>
      <c r="BG41" s="112">
        <v>0</v>
      </c>
      <c r="BH41" s="112">
        <v>0</v>
      </c>
      <c r="BI41" s="112">
        <v>0</v>
      </c>
      <c r="BJ41" s="112">
        <v>0</v>
      </c>
      <c r="BK41" s="112">
        <v>0</v>
      </c>
      <c r="BL41" s="112">
        <v>0</v>
      </c>
      <c r="BM41" s="112">
        <v>0</v>
      </c>
      <c r="BN41" s="112">
        <v>0</v>
      </c>
      <c r="BO41" s="112">
        <v>0</v>
      </c>
      <c r="BP41" s="112">
        <v>0</v>
      </c>
      <c r="BQ41" s="112">
        <v>0</v>
      </c>
      <c r="BR41" s="112">
        <v>0</v>
      </c>
      <c r="BS41" s="112">
        <v>0</v>
      </c>
      <c r="BT41" s="112">
        <v>0</v>
      </c>
      <c r="BU41" s="112">
        <v>0</v>
      </c>
      <c r="BV41" s="112">
        <v>0</v>
      </c>
      <c r="BW41" s="112">
        <v>0</v>
      </c>
      <c r="BX41" s="112">
        <v>0</v>
      </c>
      <c r="BY41" s="112">
        <v>0</v>
      </c>
      <c r="BZ41" s="112">
        <v>0</v>
      </c>
      <c r="CA41" s="112">
        <v>0</v>
      </c>
      <c r="CB41" s="112">
        <v>0</v>
      </c>
      <c r="CC41" s="112">
        <v>0</v>
      </c>
      <c r="CD41" s="112">
        <v>0</v>
      </c>
      <c r="CE41" s="112">
        <v>0</v>
      </c>
      <c r="CF41" s="112">
        <v>0</v>
      </c>
      <c r="CG41" s="112">
        <v>0</v>
      </c>
      <c r="CH41" s="112">
        <v>0</v>
      </c>
      <c r="CI41" s="112">
        <v>0</v>
      </c>
      <c r="CJ41" s="112">
        <v>0</v>
      </c>
      <c r="CK41" s="112">
        <v>0</v>
      </c>
      <c r="CL41" s="112">
        <v>0</v>
      </c>
      <c r="CM41" s="112">
        <v>0</v>
      </c>
      <c r="CN41" s="112">
        <v>0</v>
      </c>
      <c r="CO41" s="112">
        <v>0</v>
      </c>
      <c r="CP41" s="112">
        <v>0</v>
      </c>
      <c r="CQ41" s="112">
        <v>0</v>
      </c>
      <c r="CR41" s="112">
        <v>0</v>
      </c>
      <c r="CS41" s="112">
        <v>0</v>
      </c>
      <c r="CT41" s="112">
        <v>0</v>
      </c>
      <c r="CU41" s="112">
        <v>0</v>
      </c>
      <c r="CV41" s="112">
        <v>0</v>
      </c>
    </row>
    <row r="42" spans="1:100" x14ac:dyDescent="0.15">
      <c r="A42" s="189" t="s">
        <v>232</v>
      </c>
      <c r="B42" s="112">
        <v>0.8</v>
      </c>
      <c r="C42" s="112">
        <v>0</v>
      </c>
      <c r="D42" s="112">
        <v>0</v>
      </c>
      <c r="E42" s="112">
        <v>0</v>
      </c>
      <c r="F42" s="112">
        <v>0</v>
      </c>
      <c r="G42" s="112">
        <v>0</v>
      </c>
      <c r="H42" s="112">
        <v>0</v>
      </c>
      <c r="I42" s="112">
        <v>0</v>
      </c>
      <c r="J42" s="112">
        <v>0</v>
      </c>
      <c r="K42" s="112">
        <v>0</v>
      </c>
      <c r="L42" s="112">
        <v>0</v>
      </c>
      <c r="M42" s="112">
        <v>0.8</v>
      </c>
      <c r="N42" s="112">
        <v>0</v>
      </c>
      <c r="O42" s="112">
        <v>0.8</v>
      </c>
      <c r="P42" s="112">
        <v>0.8</v>
      </c>
      <c r="Q42" s="112">
        <v>0.8</v>
      </c>
      <c r="R42" s="112">
        <v>0.8</v>
      </c>
      <c r="S42" s="112">
        <v>0.8</v>
      </c>
      <c r="T42" s="112">
        <v>0.8</v>
      </c>
      <c r="U42" s="112">
        <v>0.8</v>
      </c>
      <c r="V42" s="112">
        <v>0.8</v>
      </c>
      <c r="W42" s="112">
        <v>0.8</v>
      </c>
      <c r="X42" s="112">
        <v>0.8</v>
      </c>
      <c r="Y42" s="112">
        <v>0</v>
      </c>
      <c r="Z42" s="112">
        <v>0</v>
      </c>
      <c r="AA42" s="112">
        <v>0</v>
      </c>
      <c r="AB42" s="112">
        <v>0</v>
      </c>
      <c r="AC42" s="112">
        <v>0</v>
      </c>
      <c r="AD42" s="112">
        <v>0</v>
      </c>
      <c r="AE42" s="112">
        <v>0</v>
      </c>
      <c r="AF42" s="112">
        <v>0.8</v>
      </c>
      <c r="AG42" s="112">
        <v>0.8</v>
      </c>
      <c r="AH42" s="112">
        <v>0</v>
      </c>
      <c r="AI42" s="112">
        <v>0</v>
      </c>
      <c r="AJ42" s="112">
        <v>0.8</v>
      </c>
      <c r="AK42" s="112">
        <v>0</v>
      </c>
      <c r="AL42" s="112">
        <v>0</v>
      </c>
      <c r="AM42" s="112">
        <v>0</v>
      </c>
      <c r="AN42" s="112">
        <v>0</v>
      </c>
      <c r="AO42" s="112">
        <v>0</v>
      </c>
      <c r="AP42" s="112">
        <v>0</v>
      </c>
      <c r="AQ42" s="112">
        <v>0</v>
      </c>
      <c r="AR42" s="112">
        <v>0</v>
      </c>
      <c r="AS42" s="112">
        <v>0</v>
      </c>
      <c r="AT42" s="112">
        <v>0</v>
      </c>
      <c r="AU42" s="112">
        <v>0</v>
      </c>
      <c r="AV42" s="112">
        <v>0</v>
      </c>
      <c r="AW42" s="112">
        <v>0</v>
      </c>
      <c r="AX42" s="112">
        <v>0</v>
      </c>
      <c r="AY42" s="112">
        <v>0</v>
      </c>
      <c r="AZ42" s="112">
        <v>0</v>
      </c>
      <c r="BA42" s="112">
        <v>0</v>
      </c>
      <c r="BB42" s="112">
        <v>0</v>
      </c>
      <c r="BC42" s="112">
        <v>0</v>
      </c>
      <c r="BD42" s="112">
        <v>0</v>
      </c>
      <c r="BE42" s="112">
        <v>0</v>
      </c>
      <c r="BF42" s="112">
        <v>0</v>
      </c>
      <c r="BG42" s="112">
        <v>0</v>
      </c>
      <c r="BH42" s="112">
        <v>0</v>
      </c>
      <c r="BI42" s="112">
        <v>0</v>
      </c>
      <c r="BJ42" s="112">
        <v>0</v>
      </c>
      <c r="BK42" s="112">
        <v>0</v>
      </c>
      <c r="BL42" s="112">
        <v>0</v>
      </c>
      <c r="BM42" s="112">
        <v>0</v>
      </c>
      <c r="BN42" s="112">
        <v>0</v>
      </c>
      <c r="BO42" s="112">
        <v>0</v>
      </c>
      <c r="BP42" s="112">
        <v>0</v>
      </c>
      <c r="BQ42" s="112">
        <v>0</v>
      </c>
      <c r="BR42" s="112">
        <v>0</v>
      </c>
      <c r="BS42" s="112">
        <v>0</v>
      </c>
      <c r="BT42" s="112">
        <v>0</v>
      </c>
      <c r="BU42" s="112">
        <v>0</v>
      </c>
      <c r="BV42" s="112">
        <v>0</v>
      </c>
      <c r="BW42" s="112">
        <v>0</v>
      </c>
      <c r="BX42" s="112">
        <v>0</v>
      </c>
      <c r="BY42" s="112">
        <v>0</v>
      </c>
      <c r="BZ42" s="112">
        <v>0</v>
      </c>
      <c r="CA42" s="112">
        <v>0</v>
      </c>
      <c r="CB42" s="112">
        <v>0</v>
      </c>
      <c r="CC42" s="112">
        <v>0</v>
      </c>
      <c r="CD42" s="112">
        <v>0</v>
      </c>
      <c r="CE42" s="112">
        <v>0</v>
      </c>
      <c r="CF42" s="112">
        <v>0</v>
      </c>
      <c r="CG42" s="112">
        <v>0</v>
      </c>
      <c r="CH42" s="112">
        <v>0</v>
      </c>
      <c r="CI42" s="112">
        <v>0</v>
      </c>
      <c r="CJ42" s="112">
        <v>0</v>
      </c>
      <c r="CK42" s="112">
        <v>0</v>
      </c>
      <c r="CL42" s="112">
        <v>0</v>
      </c>
      <c r="CM42" s="112">
        <v>0</v>
      </c>
      <c r="CN42" s="112">
        <v>0</v>
      </c>
      <c r="CO42" s="112">
        <v>0</v>
      </c>
      <c r="CP42" s="112">
        <v>0</v>
      </c>
      <c r="CQ42" s="112">
        <v>0</v>
      </c>
      <c r="CR42" s="112">
        <v>0</v>
      </c>
      <c r="CS42" s="112">
        <v>0</v>
      </c>
      <c r="CT42" s="112">
        <v>0</v>
      </c>
      <c r="CU42" s="112">
        <v>0</v>
      </c>
      <c r="CV42" s="112">
        <v>0</v>
      </c>
    </row>
    <row r="43" spans="1:100" x14ac:dyDescent="0.15">
      <c r="A43" s="189" t="s">
        <v>233</v>
      </c>
      <c r="B43" s="112">
        <v>0.8</v>
      </c>
      <c r="C43" s="112">
        <v>0</v>
      </c>
      <c r="D43" s="112">
        <v>0</v>
      </c>
      <c r="E43" s="112">
        <v>0</v>
      </c>
      <c r="F43" s="112">
        <v>0</v>
      </c>
      <c r="G43" s="112">
        <v>0</v>
      </c>
      <c r="H43" s="112">
        <v>0</v>
      </c>
      <c r="I43" s="112">
        <v>0</v>
      </c>
      <c r="J43" s="112">
        <v>0</v>
      </c>
      <c r="K43" s="112">
        <v>0.8</v>
      </c>
      <c r="L43" s="112">
        <v>0.8</v>
      </c>
      <c r="M43" s="112">
        <v>0</v>
      </c>
      <c r="N43" s="112">
        <v>0</v>
      </c>
      <c r="O43" s="112">
        <v>0.8</v>
      </c>
      <c r="P43" s="112">
        <v>0.8</v>
      </c>
      <c r="Q43" s="112">
        <v>0.8</v>
      </c>
      <c r="R43" s="112">
        <v>0.8</v>
      </c>
      <c r="S43" s="112">
        <v>0.8</v>
      </c>
      <c r="T43" s="112">
        <v>0.8</v>
      </c>
      <c r="U43" s="112">
        <v>0.8</v>
      </c>
      <c r="V43" s="112">
        <v>0.8</v>
      </c>
      <c r="W43" s="112">
        <v>0.8</v>
      </c>
      <c r="X43" s="112">
        <v>0.8</v>
      </c>
      <c r="Y43" s="112">
        <v>0</v>
      </c>
      <c r="Z43" s="112">
        <v>0.8</v>
      </c>
      <c r="AA43" s="112">
        <v>0</v>
      </c>
      <c r="AB43" s="112">
        <v>0</v>
      </c>
      <c r="AC43" s="112">
        <v>0</v>
      </c>
      <c r="AD43" s="112">
        <v>0.8</v>
      </c>
      <c r="AE43" s="112">
        <v>0.8</v>
      </c>
      <c r="AF43" s="112">
        <v>0.8</v>
      </c>
      <c r="AG43" s="112">
        <v>0.8</v>
      </c>
      <c r="AH43" s="112">
        <v>0</v>
      </c>
      <c r="AI43" s="112">
        <v>0</v>
      </c>
      <c r="AJ43" s="112">
        <v>0</v>
      </c>
      <c r="AK43" s="112">
        <v>0</v>
      </c>
      <c r="AL43" s="112">
        <v>0</v>
      </c>
      <c r="AM43" s="112">
        <v>0</v>
      </c>
      <c r="AN43" s="112">
        <v>0.8</v>
      </c>
      <c r="AO43" s="112">
        <v>0</v>
      </c>
      <c r="AP43" s="112">
        <v>0</v>
      </c>
      <c r="AQ43" s="112">
        <v>0.8</v>
      </c>
      <c r="AR43" s="112">
        <v>0.8</v>
      </c>
      <c r="AS43" s="112">
        <v>0</v>
      </c>
      <c r="AT43" s="112">
        <v>0</v>
      </c>
      <c r="AU43" s="112">
        <v>0</v>
      </c>
      <c r="AV43" s="112">
        <v>0</v>
      </c>
      <c r="AW43" s="112">
        <v>0</v>
      </c>
      <c r="AX43" s="112">
        <v>0</v>
      </c>
      <c r="AY43" s="112">
        <v>0</v>
      </c>
      <c r="AZ43" s="112">
        <v>0</v>
      </c>
      <c r="BA43" s="112">
        <v>0</v>
      </c>
      <c r="BB43" s="112">
        <v>0</v>
      </c>
      <c r="BC43" s="112">
        <v>0</v>
      </c>
      <c r="BD43" s="112">
        <v>0</v>
      </c>
      <c r="BE43" s="112">
        <v>0</v>
      </c>
      <c r="BF43" s="112">
        <v>0</v>
      </c>
      <c r="BG43" s="112">
        <v>0</v>
      </c>
      <c r="BH43" s="112">
        <v>0</v>
      </c>
      <c r="BI43" s="112">
        <v>0</v>
      </c>
      <c r="BJ43" s="112">
        <v>0</v>
      </c>
      <c r="BK43" s="112">
        <v>0</v>
      </c>
      <c r="BL43" s="112">
        <v>0</v>
      </c>
      <c r="BM43" s="112">
        <v>0</v>
      </c>
      <c r="BN43" s="112">
        <v>0</v>
      </c>
      <c r="BO43" s="112">
        <v>0</v>
      </c>
      <c r="BP43" s="112">
        <v>0</v>
      </c>
      <c r="BQ43" s="112">
        <v>0</v>
      </c>
      <c r="BR43" s="112">
        <v>0</v>
      </c>
      <c r="BS43" s="112">
        <v>0</v>
      </c>
      <c r="BT43" s="112">
        <v>0</v>
      </c>
      <c r="BU43" s="112">
        <v>0</v>
      </c>
      <c r="BV43" s="112">
        <v>0</v>
      </c>
      <c r="BW43" s="112">
        <v>0</v>
      </c>
      <c r="BX43" s="112">
        <v>0</v>
      </c>
      <c r="BY43" s="112">
        <v>0</v>
      </c>
      <c r="BZ43" s="112">
        <v>0</v>
      </c>
      <c r="CA43" s="112">
        <v>0</v>
      </c>
      <c r="CB43" s="112">
        <v>0</v>
      </c>
      <c r="CC43" s="112">
        <v>0</v>
      </c>
      <c r="CD43" s="112">
        <v>0</v>
      </c>
      <c r="CE43" s="112">
        <v>0</v>
      </c>
      <c r="CF43" s="112">
        <v>0</v>
      </c>
      <c r="CG43" s="112">
        <v>0</v>
      </c>
      <c r="CH43" s="112">
        <v>0</v>
      </c>
      <c r="CI43" s="112">
        <v>0</v>
      </c>
      <c r="CJ43" s="112">
        <v>0</v>
      </c>
      <c r="CK43" s="112">
        <v>0</v>
      </c>
      <c r="CL43" s="112">
        <v>0</v>
      </c>
      <c r="CM43" s="112">
        <v>0</v>
      </c>
      <c r="CN43" s="112">
        <v>0</v>
      </c>
      <c r="CO43" s="112">
        <v>0</v>
      </c>
      <c r="CP43" s="112">
        <v>0</v>
      </c>
      <c r="CQ43" s="112">
        <v>0</v>
      </c>
      <c r="CR43" s="112">
        <v>0</v>
      </c>
      <c r="CS43" s="112">
        <v>0</v>
      </c>
      <c r="CT43" s="112">
        <v>0</v>
      </c>
      <c r="CU43" s="112">
        <v>0</v>
      </c>
      <c r="CV43" s="112">
        <v>0</v>
      </c>
    </row>
    <row r="44" spans="1:100" x14ac:dyDescent="0.15">
      <c r="A44" s="189" t="s">
        <v>234</v>
      </c>
      <c r="B44" s="112">
        <v>0</v>
      </c>
      <c r="C44" s="112">
        <v>0</v>
      </c>
      <c r="D44" s="112">
        <v>0</v>
      </c>
      <c r="E44" s="112">
        <v>0</v>
      </c>
      <c r="F44" s="112">
        <v>0</v>
      </c>
      <c r="G44" s="112">
        <v>0</v>
      </c>
      <c r="H44" s="112">
        <v>0</v>
      </c>
      <c r="I44" s="112">
        <v>0</v>
      </c>
      <c r="J44" s="112">
        <v>0</v>
      </c>
      <c r="K44" s="112">
        <v>0</v>
      </c>
      <c r="L44" s="112">
        <v>0.8</v>
      </c>
      <c r="M44" s="112">
        <v>0.8</v>
      </c>
      <c r="N44" s="112">
        <v>0</v>
      </c>
      <c r="O44" s="112">
        <v>0.8</v>
      </c>
      <c r="P44" s="112">
        <v>0.8</v>
      </c>
      <c r="Q44" s="112">
        <v>0.8</v>
      </c>
      <c r="R44" s="112">
        <v>0.8</v>
      </c>
      <c r="S44" s="112">
        <v>0.8</v>
      </c>
      <c r="T44" s="112">
        <v>0.8</v>
      </c>
      <c r="U44" s="112">
        <v>0.8</v>
      </c>
      <c r="V44" s="112">
        <v>0.8</v>
      </c>
      <c r="W44" s="112">
        <v>0.8</v>
      </c>
      <c r="X44" s="112">
        <v>0.8</v>
      </c>
      <c r="Y44" s="112">
        <v>0</v>
      </c>
      <c r="Z44" s="112">
        <v>0.8</v>
      </c>
      <c r="AA44" s="112">
        <v>0</v>
      </c>
      <c r="AB44" s="112">
        <v>0</v>
      </c>
      <c r="AC44" s="112">
        <v>0</v>
      </c>
      <c r="AD44" s="112">
        <v>0.8</v>
      </c>
      <c r="AE44" s="112">
        <v>0.8</v>
      </c>
      <c r="AF44" s="112">
        <v>0.8</v>
      </c>
      <c r="AG44" s="112">
        <v>0.8</v>
      </c>
      <c r="AH44" s="112">
        <v>0</v>
      </c>
      <c r="AI44" s="112">
        <v>0.8</v>
      </c>
      <c r="AJ44" s="112">
        <v>0.8</v>
      </c>
      <c r="AK44" s="112">
        <v>0</v>
      </c>
      <c r="AL44" s="112">
        <v>0</v>
      </c>
      <c r="AM44" s="112">
        <v>0</v>
      </c>
      <c r="AN44" s="112">
        <v>0.8</v>
      </c>
      <c r="AO44" s="112">
        <v>0</v>
      </c>
      <c r="AP44" s="112">
        <v>0</v>
      </c>
      <c r="AQ44" s="112">
        <v>0.8</v>
      </c>
      <c r="AR44" s="112">
        <v>0</v>
      </c>
      <c r="AS44" s="112">
        <v>0</v>
      </c>
      <c r="AT44" s="112">
        <v>0</v>
      </c>
      <c r="AU44" s="112">
        <v>0.8</v>
      </c>
      <c r="AV44" s="112">
        <v>0</v>
      </c>
      <c r="AW44" s="112">
        <v>0</v>
      </c>
      <c r="AX44" s="112">
        <v>0</v>
      </c>
      <c r="AY44" s="112">
        <v>0</v>
      </c>
      <c r="AZ44" s="112">
        <v>0</v>
      </c>
      <c r="BA44" s="112">
        <v>0</v>
      </c>
      <c r="BB44" s="112">
        <v>0</v>
      </c>
      <c r="BC44" s="112">
        <v>0</v>
      </c>
      <c r="BD44" s="112">
        <v>0</v>
      </c>
      <c r="BE44" s="112">
        <v>0</v>
      </c>
      <c r="BF44" s="112">
        <v>0</v>
      </c>
      <c r="BG44" s="112">
        <v>0</v>
      </c>
      <c r="BH44" s="112">
        <v>0</v>
      </c>
      <c r="BI44" s="112">
        <v>0</v>
      </c>
      <c r="BJ44" s="112">
        <v>0</v>
      </c>
      <c r="BK44" s="112">
        <v>0</v>
      </c>
      <c r="BL44" s="112">
        <v>0</v>
      </c>
      <c r="BM44" s="112">
        <v>0</v>
      </c>
      <c r="BN44" s="112">
        <v>0</v>
      </c>
      <c r="BO44" s="112">
        <v>0</v>
      </c>
      <c r="BP44" s="112">
        <v>0</v>
      </c>
      <c r="BQ44" s="112">
        <v>0</v>
      </c>
      <c r="BR44" s="112">
        <v>0</v>
      </c>
      <c r="BS44" s="112">
        <v>0</v>
      </c>
      <c r="BT44" s="112">
        <v>0</v>
      </c>
      <c r="BU44" s="112">
        <v>0</v>
      </c>
      <c r="BV44" s="112">
        <v>0</v>
      </c>
      <c r="BW44" s="112">
        <v>0</v>
      </c>
      <c r="BX44" s="112">
        <v>0</v>
      </c>
      <c r="BY44" s="112">
        <v>0</v>
      </c>
      <c r="BZ44" s="112">
        <v>0</v>
      </c>
      <c r="CA44" s="112">
        <v>0</v>
      </c>
      <c r="CB44" s="112">
        <v>0</v>
      </c>
      <c r="CC44" s="112">
        <v>0</v>
      </c>
      <c r="CD44" s="112">
        <v>0</v>
      </c>
      <c r="CE44" s="112">
        <v>0</v>
      </c>
      <c r="CF44" s="112">
        <v>0</v>
      </c>
      <c r="CG44" s="112">
        <v>0</v>
      </c>
      <c r="CH44" s="112">
        <v>0</v>
      </c>
      <c r="CI44" s="112">
        <v>0</v>
      </c>
      <c r="CJ44" s="112">
        <v>0</v>
      </c>
      <c r="CK44" s="112">
        <v>0</v>
      </c>
      <c r="CL44" s="112">
        <v>0</v>
      </c>
      <c r="CM44" s="112">
        <v>0</v>
      </c>
      <c r="CN44" s="112">
        <v>0</v>
      </c>
      <c r="CO44" s="112">
        <v>0</v>
      </c>
      <c r="CP44" s="112">
        <v>0</v>
      </c>
      <c r="CQ44" s="112">
        <v>0</v>
      </c>
      <c r="CR44" s="112">
        <v>0</v>
      </c>
      <c r="CS44" s="112">
        <v>0</v>
      </c>
      <c r="CT44" s="112">
        <v>0</v>
      </c>
      <c r="CU44" s="112">
        <v>0</v>
      </c>
      <c r="CV44" s="112">
        <v>0</v>
      </c>
    </row>
    <row r="45" spans="1:100" x14ac:dyDescent="0.15">
      <c r="A45" s="189" t="s">
        <v>235</v>
      </c>
      <c r="B45" s="112">
        <v>0</v>
      </c>
      <c r="C45" s="112">
        <v>0</v>
      </c>
      <c r="D45" s="112">
        <v>0</v>
      </c>
      <c r="E45" s="112">
        <v>0</v>
      </c>
      <c r="F45" s="112">
        <v>0</v>
      </c>
      <c r="G45" s="112">
        <v>0</v>
      </c>
      <c r="H45" s="112">
        <v>0</v>
      </c>
      <c r="I45" s="112">
        <v>0</v>
      </c>
      <c r="J45" s="112">
        <v>0</v>
      </c>
      <c r="K45" s="112">
        <v>0</v>
      </c>
      <c r="L45" s="112">
        <v>0</v>
      </c>
      <c r="M45" s="112">
        <v>0</v>
      </c>
      <c r="N45" s="112">
        <v>0</v>
      </c>
      <c r="O45" s="112">
        <v>0</v>
      </c>
      <c r="P45" s="112">
        <v>0</v>
      </c>
      <c r="Q45" s="112">
        <v>0</v>
      </c>
      <c r="R45" s="112">
        <v>0</v>
      </c>
      <c r="S45" s="112">
        <v>0</v>
      </c>
      <c r="T45" s="112">
        <v>0</v>
      </c>
      <c r="U45" s="112">
        <v>0</v>
      </c>
      <c r="V45" s="112">
        <v>0</v>
      </c>
      <c r="W45" s="112">
        <v>0</v>
      </c>
      <c r="X45" s="112">
        <v>0</v>
      </c>
      <c r="Y45" s="112">
        <v>0</v>
      </c>
      <c r="Z45" s="112">
        <v>0</v>
      </c>
      <c r="AA45" s="112">
        <v>0</v>
      </c>
      <c r="AB45" s="112">
        <v>0</v>
      </c>
      <c r="AC45" s="112">
        <v>0</v>
      </c>
      <c r="AD45" s="112">
        <v>0.8</v>
      </c>
      <c r="AE45" s="112">
        <v>0.8</v>
      </c>
      <c r="AF45" s="112">
        <v>0.8</v>
      </c>
      <c r="AG45" s="112">
        <v>0</v>
      </c>
      <c r="AH45" s="112">
        <v>0</v>
      </c>
      <c r="AI45" s="112">
        <v>0</v>
      </c>
      <c r="AJ45" s="112">
        <v>0.8</v>
      </c>
      <c r="AK45" s="112">
        <v>0.8</v>
      </c>
      <c r="AL45" s="112">
        <v>0</v>
      </c>
      <c r="AM45" s="112">
        <v>0</v>
      </c>
      <c r="AN45" s="112">
        <v>0.8</v>
      </c>
      <c r="AO45" s="112">
        <v>0</v>
      </c>
      <c r="AP45" s="112">
        <v>0.8</v>
      </c>
      <c r="AQ45" s="112">
        <v>0</v>
      </c>
      <c r="AR45" s="112">
        <v>0.8</v>
      </c>
      <c r="AS45" s="112">
        <v>0</v>
      </c>
      <c r="AT45" s="112">
        <v>0</v>
      </c>
      <c r="AU45" s="112">
        <v>0</v>
      </c>
      <c r="AV45" s="112">
        <v>0</v>
      </c>
      <c r="AW45" s="112">
        <v>0</v>
      </c>
      <c r="AX45" s="112">
        <v>0</v>
      </c>
      <c r="AY45" s="112">
        <v>0</v>
      </c>
      <c r="AZ45" s="112">
        <v>0</v>
      </c>
      <c r="BA45" s="112">
        <v>0</v>
      </c>
      <c r="BB45" s="112">
        <v>0</v>
      </c>
      <c r="BC45" s="112">
        <v>0</v>
      </c>
      <c r="BD45" s="112">
        <v>0</v>
      </c>
      <c r="BE45" s="112">
        <v>0</v>
      </c>
      <c r="BF45" s="112">
        <v>0</v>
      </c>
      <c r="BG45" s="112">
        <v>0</v>
      </c>
      <c r="BH45" s="112">
        <v>0</v>
      </c>
      <c r="BI45" s="112">
        <v>0</v>
      </c>
      <c r="BJ45" s="112">
        <v>0</v>
      </c>
      <c r="BK45" s="112">
        <v>0</v>
      </c>
      <c r="BL45" s="112">
        <v>0</v>
      </c>
      <c r="BM45" s="112">
        <v>0</v>
      </c>
      <c r="BN45" s="112">
        <v>0</v>
      </c>
      <c r="BO45" s="112">
        <v>0</v>
      </c>
      <c r="BP45" s="112">
        <v>0</v>
      </c>
      <c r="BQ45" s="112">
        <v>0</v>
      </c>
      <c r="BR45" s="112">
        <v>0</v>
      </c>
      <c r="BS45" s="112">
        <v>0</v>
      </c>
      <c r="BT45" s="112">
        <v>0</v>
      </c>
      <c r="BU45" s="112">
        <v>0</v>
      </c>
      <c r="BV45" s="112">
        <v>0</v>
      </c>
      <c r="BW45" s="112">
        <v>0</v>
      </c>
      <c r="BX45" s="112">
        <v>0</v>
      </c>
      <c r="BY45" s="112">
        <v>0</v>
      </c>
      <c r="BZ45" s="112">
        <v>0</v>
      </c>
      <c r="CA45" s="112">
        <v>0</v>
      </c>
      <c r="CB45" s="112">
        <v>0</v>
      </c>
      <c r="CC45" s="112">
        <v>0</v>
      </c>
      <c r="CD45" s="112">
        <v>0</v>
      </c>
      <c r="CE45" s="112">
        <v>0</v>
      </c>
      <c r="CF45" s="112">
        <v>0</v>
      </c>
      <c r="CG45" s="112">
        <v>0</v>
      </c>
      <c r="CH45" s="112">
        <v>0</v>
      </c>
      <c r="CI45" s="112">
        <v>0</v>
      </c>
      <c r="CJ45" s="112">
        <v>0</v>
      </c>
      <c r="CK45" s="112">
        <v>0</v>
      </c>
      <c r="CL45" s="112">
        <v>0</v>
      </c>
      <c r="CM45" s="112">
        <v>0</v>
      </c>
      <c r="CN45" s="112">
        <v>0</v>
      </c>
      <c r="CO45" s="112">
        <v>0</v>
      </c>
      <c r="CP45" s="112">
        <v>0</v>
      </c>
      <c r="CQ45" s="112">
        <v>0</v>
      </c>
      <c r="CR45" s="112">
        <v>0</v>
      </c>
      <c r="CS45" s="112">
        <v>0</v>
      </c>
      <c r="CT45" s="112">
        <v>0</v>
      </c>
      <c r="CU45" s="112">
        <v>0</v>
      </c>
      <c r="CV45" s="112">
        <v>0</v>
      </c>
    </row>
    <row r="46" spans="1:100" x14ac:dyDescent="0.15">
      <c r="A46" s="189" t="s">
        <v>236</v>
      </c>
      <c r="B46" s="112">
        <v>0</v>
      </c>
      <c r="C46" s="112">
        <v>0</v>
      </c>
      <c r="D46" s="112">
        <v>0</v>
      </c>
      <c r="E46" s="112">
        <v>0</v>
      </c>
      <c r="F46" s="112">
        <v>0</v>
      </c>
      <c r="G46" s="112">
        <v>0</v>
      </c>
      <c r="H46" s="112">
        <v>0</v>
      </c>
      <c r="I46" s="112">
        <v>0</v>
      </c>
      <c r="J46" s="112">
        <v>0</v>
      </c>
      <c r="K46" s="112">
        <v>0</v>
      </c>
      <c r="L46" s="112">
        <v>0</v>
      </c>
      <c r="M46" s="112">
        <v>0</v>
      </c>
      <c r="N46" s="112">
        <v>0</v>
      </c>
      <c r="O46" s="112">
        <v>0</v>
      </c>
      <c r="P46" s="112">
        <v>0</v>
      </c>
      <c r="Q46" s="112">
        <v>0</v>
      </c>
      <c r="R46" s="112">
        <v>0</v>
      </c>
      <c r="S46" s="112">
        <v>0</v>
      </c>
      <c r="T46" s="112">
        <v>0</v>
      </c>
      <c r="U46" s="112">
        <v>0</v>
      </c>
      <c r="V46" s="112">
        <v>0</v>
      </c>
      <c r="W46" s="112">
        <v>0</v>
      </c>
      <c r="X46" s="112">
        <v>0</v>
      </c>
      <c r="Y46" s="112">
        <v>0</v>
      </c>
      <c r="Z46" s="112">
        <v>0</v>
      </c>
      <c r="AA46" s="112">
        <v>0</v>
      </c>
      <c r="AB46" s="112">
        <v>0</v>
      </c>
      <c r="AC46" s="112">
        <v>0</v>
      </c>
      <c r="AD46" s="112">
        <v>0.8</v>
      </c>
      <c r="AE46" s="112">
        <v>0.8</v>
      </c>
      <c r="AF46" s="112">
        <v>0.8</v>
      </c>
      <c r="AG46" s="112">
        <v>0</v>
      </c>
      <c r="AH46" s="112">
        <v>0</v>
      </c>
      <c r="AI46" s="112">
        <v>0</v>
      </c>
      <c r="AJ46" s="112">
        <v>0.8</v>
      </c>
      <c r="AK46" s="112">
        <v>0.8</v>
      </c>
      <c r="AL46" s="112">
        <v>0</v>
      </c>
      <c r="AM46" s="112">
        <v>0</v>
      </c>
      <c r="AN46" s="112">
        <v>0.8</v>
      </c>
      <c r="AO46" s="112">
        <v>0</v>
      </c>
      <c r="AP46" s="112">
        <v>0.8</v>
      </c>
      <c r="AQ46" s="112">
        <v>0</v>
      </c>
      <c r="AR46" s="112">
        <v>0.8</v>
      </c>
      <c r="AS46" s="112">
        <v>0</v>
      </c>
      <c r="AT46" s="112">
        <v>0</v>
      </c>
      <c r="AU46" s="112">
        <v>0</v>
      </c>
      <c r="AV46" s="112">
        <v>0</v>
      </c>
      <c r="AW46" s="112">
        <v>0</v>
      </c>
      <c r="AX46" s="112">
        <v>0</v>
      </c>
      <c r="AY46" s="112">
        <v>0</v>
      </c>
      <c r="AZ46" s="112">
        <v>0</v>
      </c>
      <c r="BA46" s="112">
        <v>0</v>
      </c>
      <c r="BB46" s="112">
        <v>0</v>
      </c>
      <c r="BC46" s="112">
        <v>0</v>
      </c>
      <c r="BD46" s="112">
        <v>0</v>
      </c>
      <c r="BE46" s="112">
        <v>0</v>
      </c>
      <c r="BF46" s="112">
        <v>0</v>
      </c>
      <c r="BG46" s="112">
        <v>0</v>
      </c>
      <c r="BH46" s="112">
        <v>0</v>
      </c>
      <c r="BI46" s="112">
        <v>0</v>
      </c>
      <c r="BJ46" s="112">
        <v>0</v>
      </c>
      <c r="BK46" s="112">
        <v>0</v>
      </c>
      <c r="BL46" s="112">
        <v>0</v>
      </c>
      <c r="BM46" s="112">
        <v>0</v>
      </c>
      <c r="BN46" s="112">
        <v>0</v>
      </c>
      <c r="BO46" s="112">
        <v>0</v>
      </c>
      <c r="BP46" s="112">
        <v>0</v>
      </c>
      <c r="BQ46" s="112">
        <v>0</v>
      </c>
      <c r="BR46" s="112">
        <v>0</v>
      </c>
      <c r="BS46" s="112">
        <v>0</v>
      </c>
      <c r="BT46" s="112">
        <v>0</v>
      </c>
      <c r="BU46" s="112">
        <v>0</v>
      </c>
      <c r="BV46" s="112">
        <v>0</v>
      </c>
      <c r="BW46" s="112">
        <v>0</v>
      </c>
      <c r="BX46" s="112">
        <v>0</v>
      </c>
      <c r="BY46" s="112">
        <v>0</v>
      </c>
      <c r="BZ46" s="112">
        <v>0</v>
      </c>
      <c r="CA46" s="112">
        <v>0</v>
      </c>
      <c r="CB46" s="112">
        <v>0</v>
      </c>
      <c r="CC46" s="112">
        <v>0</v>
      </c>
      <c r="CD46" s="112">
        <v>0</v>
      </c>
      <c r="CE46" s="112">
        <v>0</v>
      </c>
      <c r="CF46" s="112">
        <v>0</v>
      </c>
      <c r="CG46" s="112">
        <v>0</v>
      </c>
      <c r="CH46" s="112">
        <v>0</v>
      </c>
      <c r="CI46" s="112">
        <v>0</v>
      </c>
      <c r="CJ46" s="112">
        <v>0</v>
      </c>
      <c r="CK46" s="112">
        <v>0</v>
      </c>
      <c r="CL46" s="112">
        <v>0</v>
      </c>
      <c r="CM46" s="112">
        <v>0</v>
      </c>
      <c r="CN46" s="112">
        <v>0</v>
      </c>
      <c r="CO46" s="112">
        <v>0</v>
      </c>
      <c r="CP46" s="112">
        <v>0</v>
      </c>
      <c r="CQ46" s="112">
        <v>0</v>
      </c>
      <c r="CR46" s="112">
        <v>0</v>
      </c>
      <c r="CS46" s="112">
        <v>0</v>
      </c>
      <c r="CT46" s="112">
        <v>0</v>
      </c>
      <c r="CU46" s="112">
        <v>0</v>
      </c>
      <c r="CV46" s="112">
        <v>0</v>
      </c>
    </row>
    <row r="47" spans="1:100" x14ac:dyDescent="0.15">
      <c r="A47" s="189" t="s">
        <v>237</v>
      </c>
      <c r="B47" s="112">
        <v>0.8</v>
      </c>
      <c r="C47" s="112">
        <v>0</v>
      </c>
      <c r="D47" s="112">
        <v>0</v>
      </c>
      <c r="E47" s="112">
        <v>0</v>
      </c>
      <c r="F47" s="112">
        <v>0</v>
      </c>
      <c r="G47" s="112">
        <v>0</v>
      </c>
      <c r="H47" s="112">
        <v>0</v>
      </c>
      <c r="I47" s="112">
        <v>0</v>
      </c>
      <c r="J47" s="112">
        <v>0</v>
      </c>
      <c r="K47" s="112">
        <v>0</v>
      </c>
      <c r="L47" s="112">
        <v>0.8</v>
      </c>
      <c r="M47" s="112">
        <v>0</v>
      </c>
      <c r="N47" s="112">
        <v>0.8</v>
      </c>
      <c r="O47" s="112">
        <v>0</v>
      </c>
      <c r="P47" s="112">
        <v>0.8</v>
      </c>
      <c r="Q47" s="112">
        <v>0.8</v>
      </c>
      <c r="R47" s="112">
        <v>0.8</v>
      </c>
      <c r="S47" s="112">
        <v>0</v>
      </c>
      <c r="T47" s="112">
        <v>0.8</v>
      </c>
      <c r="U47" s="112">
        <v>0.8</v>
      </c>
      <c r="V47" s="112">
        <v>0.8</v>
      </c>
      <c r="W47" s="112">
        <v>0</v>
      </c>
      <c r="X47" s="112">
        <v>0</v>
      </c>
      <c r="Y47" s="112">
        <v>0</v>
      </c>
      <c r="Z47" s="112">
        <v>0</v>
      </c>
      <c r="AA47" s="112">
        <v>0</v>
      </c>
      <c r="AB47" s="112">
        <v>0</v>
      </c>
      <c r="AC47" s="112">
        <v>0</v>
      </c>
      <c r="AD47" s="112">
        <v>0</v>
      </c>
      <c r="AE47" s="112">
        <v>0.8</v>
      </c>
      <c r="AF47" s="112">
        <v>0</v>
      </c>
      <c r="AG47" s="112">
        <v>0</v>
      </c>
      <c r="AH47" s="112">
        <v>0</v>
      </c>
      <c r="AI47" s="112">
        <v>0</v>
      </c>
      <c r="AJ47" s="112">
        <v>0</v>
      </c>
      <c r="AK47" s="112">
        <v>0</v>
      </c>
      <c r="AL47" s="112">
        <v>0</v>
      </c>
      <c r="AM47" s="112">
        <v>0</v>
      </c>
      <c r="AN47" s="112">
        <v>0</v>
      </c>
      <c r="AO47" s="112">
        <v>0</v>
      </c>
      <c r="AP47" s="112">
        <v>0.8</v>
      </c>
      <c r="AQ47" s="112">
        <v>0</v>
      </c>
      <c r="AR47" s="112">
        <v>0</v>
      </c>
      <c r="AS47" s="112">
        <v>0</v>
      </c>
      <c r="AT47" s="112">
        <v>0</v>
      </c>
      <c r="AU47" s="112">
        <v>0</v>
      </c>
      <c r="AV47" s="112">
        <v>0</v>
      </c>
      <c r="AW47" s="112">
        <v>0</v>
      </c>
      <c r="AX47" s="112">
        <v>0</v>
      </c>
      <c r="AY47" s="112">
        <v>0</v>
      </c>
      <c r="AZ47" s="112">
        <v>0</v>
      </c>
      <c r="BA47" s="112">
        <v>0</v>
      </c>
      <c r="BB47" s="112">
        <v>0</v>
      </c>
      <c r="BC47" s="112">
        <v>0.8</v>
      </c>
      <c r="BD47" s="112">
        <v>0.8</v>
      </c>
      <c r="BE47" s="112">
        <v>0</v>
      </c>
      <c r="BF47" s="112">
        <v>0</v>
      </c>
      <c r="BG47" s="112">
        <v>0</v>
      </c>
      <c r="BH47" s="112">
        <v>0</v>
      </c>
      <c r="BI47" s="112">
        <v>0</v>
      </c>
      <c r="BJ47" s="112">
        <v>0</v>
      </c>
      <c r="BK47" s="112">
        <v>0</v>
      </c>
      <c r="BL47" s="112">
        <v>0</v>
      </c>
      <c r="BM47" s="112">
        <v>0</v>
      </c>
      <c r="BN47" s="112">
        <v>0</v>
      </c>
      <c r="BO47" s="112">
        <v>0</v>
      </c>
      <c r="BP47" s="112">
        <v>0</v>
      </c>
      <c r="BQ47" s="112">
        <v>0</v>
      </c>
      <c r="BR47" s="112">
        <v>0</v>
      </c>
      <c r="BS47" s="112">
        <v>0</v>
      </c>
      <c r="BT47" s="112">
        <v>0</v>
      </c>
      <c r="BU47" s="112">
        <v>0</v>
      </c>
      <c r="BV47" s="112">
        <v>0</v>
      </c>
      <c r="BW47" s="112">
        <v>0</v>
      </c>
      <c r="BX47" s="112">
        <v>0</v>
      </c>
      <c r="BY47" s="112">
        <v>0</v>
      </c>
      <c r="BZ47" s="112">
        <v>0</v>
      </c>
      <c r="CA47" s="112">
        <v>0</v>
      </c>
      <c r="CB47" s="112">
        <v>0</v>
      </c>
      <c r="CC47" s="112">
        <v>0</v>
      </c>
      <c r="CD47" s="112">
        <v>0</v>
      </c>
      <c r="CE47" s="112">
        <v>0</v>
      </c>
      <c r="CF47" s="112">
        <v>0</v>
      </c>
      <c r="CG47" s="112">
        <v>0</v>
      </c>
      <c r="CH47" s="112">
        <v>0</v>
      </c>
      <c r="CI47" s="112">
        <v>0</v>
      </c>
      <c r="CJ47" s="112">
        <v>0</v>
      </c>
      <c r="CK47" s="112">
        <v>0</v>
      </c>
      <c r="CL47" s="112">
        <v>0</v>
      </c>
      <c r="CM47" s="112">
        <v>0</v>
      </c>
      <c r="CN47" s="112">
        <v>0</v>
      </c>
      <c r="CO47" s="112">
        <v>0</v>
      </c>
      <c r="CP47" s="112">
        <v>0</v>
      </c>
      <c r="CQ47" s="112">
        <v>0</v>
      </c>
      <c r="CR47" s="112">
        <v>0</v>
      </c>
      <c r="CS47" s="112">
        <v>0</v>
      </c>
      <c r="CT47" s="112">
        <v>0</v>
      </c>
      <c r="CU47" s="112">
        <v>0</v>
      </c>
      <c r="CV47" s="112">
        <v>0</v>
      </c>
    </row>
    <row r="48" spans="1:100" x14ac:dyDescent="0.15">
      <c r="A48" s="189" t="s">
        <v>238</v>
      </c>
      <c r="B48" s="112">
        <v>0</v>
      </c>
      <c r="C48" s="112">
        <v>0</v>
      </c>
      <c r="D48" s="112">
        <v>0</v>
      </c>
      <c r="E48" s="112">
        <v>0</v>
      </c>
      <c r="F48" s="112">
        <v>0</v>
      </c>
      <c r="G48" s="112">
        <v>0</v>
      </c>
      <c r="H48" s="112">
        <v>0</v>
      </c>
      <c r="I48" s="112">
        <v>0</v>
      </c>
      <c r="J48" s="112">
        <v>0</v>
      </c>
      <c r="K48" s="112">
        <v>0</v>
      </c>
      <c r="L48" s="112">
        <v>0</v>
      </c>
      <c r="M48" s="112">
        <v>0</v>
      </c>
      <c r="N48" s="112">
        <v>0</v>
      </c>
      <c r="O48" s="112">
        <v>0</v>
      </c>
      <c r="P48" s="112">
        <v>0</v>
      </c>
      <c r="Q48" s="112">
        <v>0</v>
      </c>
      <c r="R48" s="112">
        <v>0</v>
      </c>
      <c r="S48" s="112">
        <v>0</v>
      </c>
      <c r="T48" s="112">
        <v>0</v>
      </c>
      <c r="U48" s="112">
        <v>0</v>
      </c>
      <c r="V48" s="112">
        <v>0</v>
      </c>
      <c r="W48" s="112">
        <v>0</v>
      </c>
      <c r="X48" s="112">
        <v>0</v>
      </c>
      <c r="Y48" s="112">
        <v>0</v>
      </c>
      <c r="Z48" s="112">
        <v>0</v>
      </c>
      <c r="AA48" s="112">
        <v>0</v>
      </c>
      <c r="AB48" s="112">
        <v>0</v>
      </c>
      <c r="AC48" s="112">
        <v>0</v>
      </c>
      <c r="AD48" s="112">
        <v>0</v>
      </c>
      <c r="AE48" s="112">
        <v>0</v>
      </c>
      <c r="AF48" s="112">
        <v>0</v>
      </c>
      <c r="AG48" s="112">
        <v>0</v>
      </c>
      <c r="AH48" s="112">
        <v>0</v>
      </c>
      <c r="AI48" s="112">
        <v>0</v>
      </c>
      <c r="AJ48" s="112">
        <v>0</v>
      </c>
      <c r="AK48" s="112">
        <v>0</v>
      </c>
      <c r="AL48" s="112">
        <v>0</v>
      </c>
      <c r="AM48" s="112">
        <v>0</v>
      </c>
      <c r="AN48" s="112">
        <v>0</v>
      </c>
      <c r="AO48" s="112">
        <v>0</v>
      </c>
      <c r="AP48" s="112">
        <v>0</v>
      </c>
      <c r="AQ48" s="112">
        <v>0</v>
      </c>
      <c r="AR48" s="112">
        <v>0.8</v>
      </c>
      <c r="AS48" s="112">
        <v>0</v>
      </c>
      <c r="AT48" s="112">
        <v>0</v>
      </c>
      <c r="AU48" s="112">
        <v>0</v>
      </c>
      <c r="AV48" s="112">
        <v>0</v>
      </c>
      <c r="AW48" s="112">
        <v>0</v>
      </c>
      <c r="AX48" s="112">
        <v>0</v>
      </c>
      <c r="AY48" s="112">
        <v>0</v>
      </c>
      <c r="AZ48" s="112">
        <v>0</v>
      </c>
      <c r="BA48" s="112">
        <v>0</v>
      </c>
      <c r="BB48" s="112">
        <v>0</v>
      </c>
      <c r="BC48" s="112">
        <v>0</v>
      </c>
      <c r="BD48" s="112">
        <v>0</v>
      </c>
      <c r="BE48" s="112">
        <v>0</v>
      </c>
      <c r="BF48" s="112">
        <v>0</v>
      </c>
      <c r="BG48" s="112">
        <v>0</v>
      </c>
      <c r="BH48" s="112">
        <v>0</v>
      </c>
      <c r="BI48" s="112">
        <v>0</v>
      </c>
      <c r="BJ48" s="112">
        <v>0</v>
      </c>
      <c r="BK48" s="112">
        <v>0</v>
      </c>
      <c r="BL48" s="112">
        <v>0</v>
      </c>
      <c r="BM48" s="112">
        <v>0</v>
      </c>
      <c r="BN48" s="112">
        <v>0</v>
      </c>
      <c r="BO48" s="112">
        <v>0</v>
      </c>
      <c r="BP48" s="112">
        <v>0</v>
      </c>
      <c r="BQ48" s="112">
        <v>0</v>
      </c>
      <c r="BR48" s="112">
        <v>0</v>
      </c>
      <c r="BS48" s="112">
        <v>0</v>
      </c>
      <c r="BT48" s="112">
        <v>0</v>
      </c>
      <c r="BU48" s="112">
        <v>0</v>
      </c>
      <c r="BV48" s="112">
        <v>0</v>
      </c>
      <c r="BW48" s="112">
        <v>0</v>
      </c>
      <c r="BX48" s="112">
        <v>0</v>
      </c>
      <c r="BY48" s="112">
        <v>0</v>
      </c>
      <c r="BZ48" s="112">
        <v>0</v>
      </c>
      <c r="CA48" s="112">
        <v>0</v>
      </c>
      <c r="CB48" s="112">
        <v>0</v>
      </c>
      <c r="CC48" s="112">
        <v>0</v>
      </c>
      <c r="CD48" s="112">
        <v>0</v>
      </c>
      <c r="CE48" s="112">
        <v>0</v>
      </c>
      <c r="CF48" s="112">
        <v>0</v>
      </c>
      <c r="CG48" s="112">
        <v>0</v>
      </c>
      <c r="CH48" s="112">
        <v>0</v>
      </c>
      <c r="CI48" s="112">
        <v>0</v>
      </c>
      <c r="CJ48" s="112">
        <v>0</v>
      </c>
      <c r="CK48" s="112">
        <v>0</v>
      </c>
      <c r="CL48" s="112">
        <v>0</v>
      </c>
      <c r="CM48" s="112">
        <v>0</v>
      </c>
      <c r="CN48" s="112">
        <v>0</v>
      </c>
      <c r="CO48" s="112">
        <v>0</v>
      </c>
      <c r="CP48" s="112">
        <v>0</v>
      </c>
      <c r="CQ48" s="112">
        <v>0</v>
      </c>
      <c r="CR48" s="112">
        <v>0</v>
      </c>
      <c r="CS48" s="112">
        <v>0</v>
      </c>
      <c r="CT48" s="112">
        <v>0</v>
      </c>
      <c r="CU48" s="112">
        <v>0</v>
      </c>
      <c r="CV48" s="112">
        <v>0</v>
      </c>
    </row>
    <row r="49" spans="1:100" x14ac:dyDescent="0.15">
      <c r="A49" s="189" t="s">
        <v>239</v>
      </c>
      <c r="B49" s="112">
        <v>0</v>
      </c>
      <c r="C49" s="112">
        <v>0</v>
      </c>
      <c r="D49" s="112">
        <v>0</v>
      </c>
      <c r="E49" s="112">
        <v>0</v>
      </c>
      <c r="F49" s="112">
        <v>0</v>
      </c>
      <c r="G49" s="112">
        <v>0</v>
      </c>
      <c r="H49" s="112">
        <v>0</v>
      </c>
      <c r="I49" s="112">
        <v>0</v>
      </c>
      <c r="J49" s="112">
        <v>0</v>
      </c>
      <c r="K49" s="112">
        <v>0</v>
      </c>
      <c r="L49" s="112">
        <v>0</v>
      </c>
      <c r="M49" s="112">
        <v>0</v>
      </c>
      <c r="N49" s="112">
        <v>0</v>
      </c>
      <c r="O49" s="112">
        <v>0</v>
      </c>
      <c r="P49" s="112">
        <v>0</v>
      </c>
      <c r="Q49" s="112">
        <v>0</v>
      </c>
      <c r="R49" s="112">
        <v>0</v>
      </c>
      <c r="S49" s="112">
        <v>0</v>
      </c>
      <c r="T49" s="112">
        <v>0</v>
      </c>
      <c r="U49" s="112">
        <v>0</v>
      </c>
      <c r="V49" s="112">
        <v>0</v>
      </c>
      <c r="W49" s="112">
        <v>0</v>
      </c>
      <c r="X49" s="112">
        <v>0</v>
      </c>
      <c r="Y49" s="112">
        <v>0</v>
      </c>
      <c r="Z49" s="112">
        <v>0</v>
      </c>
      <c r="AA49" s="112">
        <v>0</v>
      </c>
      <c r="AB49" s="112">
        <v>0</v>
      </c>
      <c r="AC49" s="112">
        <v>0</v>
      </c>
      <c r="AD49" s="112">
        <v>0.8</v>
      </c>
      <c r="AE49" s="112">
        <v>0.8</v>
      </c>
      <c r="AF49" s="112">
        <v>0.8</v>
      </c>
      <c r="AG49" s="112">
        <v>0.8</v>
      </c>
      <c r="AH49" s="112">
        <v>0.8</v>
      </c>
      <c r="AI49" s="112">
        <v>0</v>
      </c>
      <c r="AJ49" s="112">
        <v>0</v>
      </c>
      <c r="AK49" s="112">
        <v>0</v>
      </c>
      <c r="AL49" s="112">
        <v>0</v>
      </c>
      <c r="AM49" s="112">
        <v>0</v>
      </c>
      <c r="AN49" s="112">
        <v>0</v>
      </c>
      <c r="AO49" s="112">
        <v>0</v>
      </c>
      <c r="AP49" s="112">
        <v>0.8</v>
      </c>
      <c r="AQ49" s="112">
        <v>0</v>
      </c>
      <c r="AR49" s="112">
        <v>0.8</v>
      </c>
      <c r="AS49" s="112">
        <v>0</v>
      </c>
      <c r="AT49" s="112">
        <v>0</v>
      </c>
      <c r="AU49" s="112">
        <v>0</v>
      </c>
      <c r="AV49" s="112">
        <v>0</v>
      </c>
      <c r="AW49" s="112">
        <v>0</v>
      </c>
      <c r="AX49" s="112">
        <v>0</v>
      </c>
      <c r="AY49" s="112">
        <v>0</v>
      </c>
      <c r="AZ49" s="112">
        <v>0</v>
      </c>
      <c r="BA49" s="112">
        <v>0</v>
      </c>
      <c r="BB49" s="112">
        <v>0</v>
      </c>
      <c r="BC49" s="112">
        <v>0</v>
      </c>
      <c r="BD49" s="112">
        <v>0</v>
      </c>
      <c r="BE49" s="112">
        <v>0</v>
      </c>
      <c r="BF49" s="112">
        <v>0</v>
      </c>
      <c r="BG49" s="112">
        <v>0</v>
      </c>
      <c r="BH49" s="112">
        <v>0</v>
      </c>
      <c r="BI49" s="112">
        <v>0</v>
      </c>
      <c r="BJ49" s="112">
        <v>0</v>
      </c>
      <c r="BK49" s="112">
        <v>0</v>
      </c>
      <c r="BL49" s="112">
        <v>0</v>
      </c>
      <c r="BM49" s="112">
        <v>0</v>
      </c>
      <c r="BN49" s="112">
        <v>0</v>
      </c>
      <c r="BO49" s="112">
        <v>0</v>
      </c>
      <c r="BP49" s="112">
        <v>0</v>
      </c>
      <c r="BQ49" s="112">
        <v>0</v>
      </c>
      <c r="BR49" s="112">
        <v>0</v>
      </c>
      <c r="BS49" s="112">
        <v>0</v>
      </c>
      <c r="BT49" s="112">
        <v>0</v>
      </c>
      <c r="BU49" s="112">
        <v>0</v>
      </c>
      <c r="BV49" s="112">
        <v>0</v>
      </c>
      <c r="BW49" s="112">
        <v>0</v>
      </c>
      <c r="BX49" s="112">
        <v>0</v>
      </c>
      <c r="BY49" s="112">
        <v>0</v>
      </c>
      <c r="BZ49" s="112">
        <v>0</v>
      </c>
      <c r="CA49" s="112">
        <v>0</v>
      </c>
      <c r="CB49" s="112">
        <v>0</v>
      </c>
      <c r="CC49" s="112">
        <v>0</v>
      </c>
      <c r="CD49" s="112">
        <v>0</v>
      </c>
      <c r="CE49" s="112">
        <v>0</v>
      </c>
      <c r="CF49" s="112">
        <v>0</v>
      </c>
      <c r="CG49" s="112">
        <v>0</v>
      </c>
      <c r="CH49" s="112">
        <v>0</v>
      </c>
      <c r="CI49" s="112">
        <v>0</v>
      </c>
      <c r="CJ49" s="112">
        <v>0</v>
      </c>
      <c r="CK49" s="112">
        <v>0</v>
      </c>
      <c r="CL49" s="112">
        <v>0</v>
      </c>
      <c r="CM49" s="112">
        <v>0</v>
      </c>
      <c r="CN49" s="112">
        <v>0</v>
      </c>
      <c r="CO49" s="112">
        <v>0</v>
      </c>
      <c r="CP49" s="112">
        <v>0</v>
      </c>
      <c r="CQ49" s="112">
        <v>0</v>
      </c>
      <c r="CR49" s="112">
        <v>0</v>
      </c>
      <c r="CS49" s="112">
        <v>0</v>
      </c>
      <c r="CT49" s="112">
        <v>0</v>
      </c>
      <c r="CU49" s="112">
        <v>0</v>
      </c>
      <c r="CV49" s="112">
        <v>0</v>
      </c>
    </row>
    <row r="50" spans="1:100" x14ac:dyDescent="0.15">
      <c r="A50" s="189" t="s">
        <v>240</v>
      </c>
      <c r="B50" s="112">
        <v>0.8</v>
      </c>
      <c r="C50" s="112">
        <v>0</v>
      </c>
      <c r="D50" s="112">
        <v>0</v>
      </c>
      <c r="E50" s="112">
        <v>0</v>
      </c>
      <c r="F50" s="112">
        <v>0</v>
      </c>
      <c r="G50" s="112">
        <v>0</v>
      </c>
      <c r="H50" s="112">
        <v>0</v>
      </c>
      <c r="I50" s="112">
        <v>0</v>
      </c>
      <c r="J50" s="112">
        <v>0</v>
      </c>
      <c r="K50" s="112">
        <v>0</v>
      </c>
      <c r="L50" s="112">
        <v>0.8</v>
      </c>
      <c r="M50" s="112">
        <v>0</v>
      </c>
      <c r="N50" s="112">
        <v>0</v>
      </c>
      <c r="O50" s="112">
        <v>0.8</v>
      </c>
      <c r="P50" s="112">
        <v>0</v>
      </c>
      <c r="Q50" s="112">
        <v>0.8</v>
      </c>
      <c r="R50" s="112">
        <v>0.8</v>
      </c>
      <c r="S50" s="112">
        <v>0</v>
      </c>
      <c r="T50" s="112">
        <v>0.8</v>
      </c>
      <c r="U50" s="112">
        <v>0.8</v>
      </c>
      <c r="V50" s="112">
        <v>0.8</v>
      </c>
      <c r="W50" s="112">
        <v>0</v>
      </c>
      <c r="X50" s="112">
        <v>0</v>
      </c>
      <c r="Y50" s="112">
        <v>0</v>
      </c>
      <c r="Z50" s="112">
        <v>0</v>
      </c>
      <c r="AA50" s="112">
        <v>0</v>
      </c>
      <c r="AB50" s="112">
        <v>0</v>
      </c>
      <c r="AC50" s="112">
        <v>0</v>
      </c>
      <c r="AD50" s="112">
        <v>0</v>
      </c>
      <c r="AE50" s="112">
        <v>0</v>
      </c>
      <c r="AF50" s="112">
        <v>0</v>
      </c>
      <c r="AG50" s="112">
        <v>0</v>
      </c>
      <c r="AH50" s="112">
        <v>0</v>
      </c>
      <c r="AI50" s="112">
        <v>0</v>
      </c>
      <c r="AJ50" s="112">
        <v>0</v>
      </c>
      <c r="AK50" s="112">
        <v>0</v>
      </c>
      <c r="AL50" s="112">
        <v>0</v>
      </c>
      <c r="AM50" s="112">
        <v>0</v>
      </c>
      <c r="AN50" s="112">
        <v>0</v>
      </c>
      <c r="AO50" s="112">
        <v>0</v>
      </c>
      <c r="AP50" s="112">
        <v>0</v>
      </c>
      <c r="AQ50" s="112">
        <v>0</v>
      </c>
      <c r="AR50" s="112">
        <v>0.8</v>
      </c>
      <c r="AS50" s="112">
        <v>0</v>
      </c>
      <c r="AT50" s="112">
        <v>0</v>
      </c>
      <c r="AU50" s="112">
        <v>0</v>
      </c>
      <c r="AV50" s="112">
        <v>0</v>
      </c>
      <c r="AW50" s="112">
        <v>0</v>
      </c>
      <c r="AX50" s="112">
        <v>0</v>
      </c>
      <c r="AY50" s="112">
        <v>0</v>
      </c>
      <c r="AZ50" s="112">
        <v>0</v>
      </c>
      <c r="BA50" s="112">
        <v>0</v>
      </c>
      <c r="BB50" s="112">
        <v>0</v>
      </c>
      <c r="BC50" s="112">
        <v>0</v>
      </c>
      <c r="BD50" s="112">
        <v>0</v>
      </c>
      <c r="BE50" s="112">
        <v>0</v>
      </c>
      <c r="BF50" s="112">
        <v>0</v>
      </c>
      <c r="BG50" s="112">
        <v>0</v>
      </c>
      <c r="BH50" s="112">
        <v>0</v>
      </c>
      <c r="BI50" s="112">
        <v>0</v>
      </c>
      <c r="BJ50" s="112">
        <v>0</v>
      </c>
      <c r="BK50" s="112">
        <v>0</v>
      </c>
      <c r="BL50" s="112">
        <v>0</v>
      </c>
      <c r="BM50" s="112">
        <v>0</v>
      </c>
      <c r="BN50" s="112">
        <v>0</v>
      </c>
      <c r="BO50" s="112">
        <v>0</v>
      </c>
      <c r="BP50" s="112">
        <v>0</v>
      </c>
      <c r="BQ50" s="112">
        <v>0</v>
      </c>
      <c r="BR50" s="112">
        <v>0</v>
      </c>
      <c r="BS50" s="112">
        <v>0</v>
      </c>
      <c r="BT50" s="112">
        <v>0</v>
      </c>
      <c r="BU50" s="112">
        <v>0</v>
      </c>
      <c r="BV50" s="112">
        <v>0</v>
      </c>
      <c r="BW50" s="112">
        <v>0</v>
      </c>
      <c r="BX50" s="112">
        <v>0</v>
      </c>
      <c r="BY50" s="112">
        <v>0</v>
      </c>
      <c r="BZ50" s="112">
        <v>0</v>
      </c>
      <c r="CA50" s="112">
        <v>0</v>
      </c>
      <c r="CB50" s="112">
        <v>0</v>
      </c>
      <c r="CC50" s="112">
        <v>0</v>
      </c>
      <c r="CD50" s="112">
        <v>0</v>
      </c>
      <c r="CE50" s="112">
        <v>0</v>
      </c>
      <c r="CF50" s="112">
        <v>0</v>
      </c>
      <c r="CG50" s="112">
        <v>0</v>
      </c>
      <c r="CH50" s="112">
        <v>0</v>
      </c>
      <c r="CI50" s="112">
        <v>0</v>
      </c>
      <c r="CJ50" s="112">
        <v>0</v>
      </c>
      <c r="CK50" s="112">
        <v>0</v>
      </c>
      <c r="CL50" s="112">
        <v>0</v>
      </c>
      <c r="CM50" s="112">
        <v>0</v>
      </c>
      <c r="CN50" s="112">
        <v>0</v>
      </c>
      <c r="CO50" s="112">
        <v>0</v>
      </c>
      <c r="CP50" s="112">
        <v>0</v>
      </c>
      <c r="CQ50" s="112">
        <v>0</v>
      </c>
      <c r="CR50" s="112">
        <v>0</v>
      </c>
      <c r="CS50" s="112">
        <v>0</v>
      </c>
      <c r="CT50" s="112">
        <v>0</v>
      </c>
      <c r="CU50" s="112">
        <v>0</v>
      </c>
      <c r="CV50" s="112">
        <v>0</v>
      </c>
    </row>
    <row r="51" spans="1:100" x14ac:dyDescent="0.15">
      <c r="A51" s="189" t="s">
        <v>241</v>
      </c>
      <c r="B51" s="112">
        <v>0</v>
      </c>
      <c r="C51" s="112">
        <v>0</v>
      </c>
      <c r="D51" s="112">
        <v>0</v>
      </c>
      <c r="E51" s="112">
        <v>0</v>
      </c>
      <c r="F51" s="112">
        <v>0</v>
      </c>
      <c r="G51" s="112">
        <v>0</v>
      </c>
      <c r="H51" s="112">
        <v>0</v>
      </c>
      <c r="I51" s="112">
        <v>0</v>
      </c>
      <c r="J51" s="112">
        <v>0</v>
      </c>
      <c r="K51" s="112">
        <v>0</v>
      </c>
      <c r="L51" s="112">
        <v>0.8</v>
      </c>
      <c r="M51" s="112">
        <v>0</v>
      </c>
      <c r="N51" s="112">
        <v>0</v>
      </c>
      <c r="O51" s="112">
        <v>0.8</v>
      </c>
      <c r="P51" s="112">
        <v>0.8</v>
      </c>
      <c r="Q51" s="112">
        <v>0.8</v>
      </c>
      <c r="R51" s="112">
        <v>0.8</v>
      </c>
      <c r="S51" s="112">
        <v>0</v>
      </c>
      <c r="T51" s="112">
        <v>0.8</v>
      </c>
      <c r="U51" s="112">
        <v>0.8</v>
      </c>
      <c r="V51" s="112">
        <v>0.8</v>
      </c>
      <c r="W51" s="112">
        <v>0</v>
      </c>
      <c r="X51" s="112">
        <v>0.8</v>
      </c>
      <c r="Y51" s="112">
        <v>0</v>
      </c>
      <c r="Z51" s="112">
        <v>0</v>
      </c>
      <c r="AA51" s="112">
        <v>0</v>
      </c>
      <c r="AB51" s="112">
        <v>0</v>
      </c>
      <c r="AC51" s="112">
        <v>0</v>
      </c>
      <c r="AD51" s="112">
        <v>0.8</v>
      </c>
      <c r="AE51" s="112">
        <v>0.8</v>
      </c>
      <c r="AF51" s="112">
        <v>0.8</v>
      </c>
      <c r="AG51" s="112">
        <v>0.8</v>
      </c>
      <c r="AH51" s="112">
        <v>0</v>
      </c>
      <c r="AI51" s="112">
        <v>0.8</v>
      </c>
      <c r="AJ51" s="112">
        <v>0.8</v>
      </c>
      <c r="AK51" s="112">
        <v>0</v>
      </c>
      <c r="AL51" s="112">
        <v>0</v>
      </c>
      <c r="AM51" s="112">
        <v>0</v>
      </c>
      <c r="AN51" s="112">
        <v>0</v>
      </c>
      <c r="AO51" s="112">
        <v>0</v>
      </c>
      <c r="AP51" s="112">
        <v>0.8</v>
      </c>
      <c r="AQ51" s="112">
        <v>0</v>
      </c>
      <c r="AR51" s="112">
        <v>0.8</v>
      </c>
      <c r="AS51" s="112">
        <v>0</v>
      </c>
      <c r="AT51" s="112">
        <v>0</v>
      </c>
      <c r="AU51" s="112">
        <v>0</v>
      </c>
      <c r="AV51" s="112">
        <v>0</v>
      </c>
      <c r="AW51" s="112">
        <v>0</v>
      </c>
      <c r="AX51" s="112">
        <v>0</v>
      </c>
      <c r="AY51" s="112">
        <v>0</v>
      </c>
      <c r="AZ51" s="112">
        <v>0</v>
      </c>
      <c r="BA51" s="112">
        <v>0</v>
      </c>
      <c r="BB51" s="112">
        <v>0</v>
      </c>
      <c r="BC51" s="112">
        <v>0.8</v>
      </c>
      <c r="BD51" s="112">
        <v>0.8</v>
      </c>
      <c r="BE51" s="112">
        <v>0</v>
      </c>
      <c r="BF51" s="112">
        <v>0.8</v>
      </c>
      <c r="BG51" s="112">
        <v>0</v>
      </c>
      <c r="BH51" s="112">
        <v>0</v>
      </c>
      <c r="BI51" s="112">
        <v>0</v>
      </c>
      <c r="BJ51" s="112">
        <v>0</v>
      </c>
      <c r="BK51" s="112">
        <v>0</v>
      </c>
      <c r="BL51" s="112">
        <v>0</v>
      </c>
      <c r="BM51" s="112">
        <v>0</v>
      </c>
      <c r="BN51" s="112">
        <v>0</v>
      </c>
      <c r="BO51" s="112">
        <v>0</v>
      </c>
      <c r="BP51" s="112">
        <v>0</v>
      </c>
      <c r="BQ51" s="112">
        <v>0</v>
      </c>
      <c r="BR51" s="112">
        <v>0</v>
      </c>
      <c r="BS51" s="112">
        <v>0</v>
      </c>
      <c r="BT51" s="112">
        <v>0</v>
      </c>
      <c r="BU51" s="112">
        <v>0</v>
      </c>
      <c r="BV51" s="112">
        <v>0</v>
      </c>
      <c r="BW51" s="112">
        <v>0</v>
      </c>
      <c r="BX51" s="112">
        <v>0</v>
      </c>
      <c r="BY51" s="112">
        <v>0</v>
      </c>
      <c r="BZ51" s="112">
        <v>0</v>
      </c>
      <c r="CA51" s="112">
        <v>0</v>
      </c>
      <c r="CB51" s="112">
        <v>0</v>
      </c>
      <c r="CC51" s="112">
        <v>0</v>
      </c>
      <c r="CD51" s="112">
        <v>0</v>
      </c>
      <c r="CE51" s="112">
        <v>0</v>
      </c>
      <c r="CF51" s="112">
        <v>0</v>
      </c>
      <c r="CG51" s="112">
        <v>0</v>
      </c>
      <c r="CH51" s="112">
        <v>0</v>
      </c>
      <c r="CI51" s="112">
        <v>0</v>
      </c>
      <c r="CJ51" s="112">
        <v>0</v>
      </c>
      <c r="CK51" s="112">
        <v>0</v>
      </c>
      <c r="CL51" s="112">
        <v>0</v>
      </c>
      <c r="CM51" s="112">
        <v>0</v>
      </c>
      <c r="CN51" s="112">
        <v>0</v>
      </c>
      <c r="CO51" s="112">
        <v>0</v>
      </c>
      <c r="CP51" s="112">
        <v>0</v>
      </c>
      <c r="CQ51" s="112">
        <v>0</v>
      </c>
      <c r="CR51" s="112">
        <v>0</v>
      </c>
      <c r="CS51" s="112">
        <v>0</v>
      </c>
      <c r="CT51" s="112">
        <v>0</v>
      </c>
      <c r="CU51" s="112">
        <v>0</v>
      </c>
      <c r="CV51" s="112">
        <v>0</v>
      </c>
    </row>
    <row r="52" spans="1:100" x14ac:dyDescent="0.15">
      <c r="A52" s="189" t="s">
        <v>242</v>
      </c>
      <c r="B52" s="112">
        <v>0</v>
      </c>
      <c r="C52" s="112">
        <v>0</v>
      </c>
      <c r="D52" s="112">
        <v>0.8</v>
      </c>
      <c r="E52" s="112">
        <v>0</v>
      </c>
      <c r="F52" s="112">
        <v>0</v>
      </c>
      <c r="G52" s="112">
        <v>0</v>
      </c>
      <c r="H52" s="112">
        <v>0</v>
      </c>
      <c r="I52" s="112">
        <v>0</v>
      </c>
      <c r="J52" s="112">
        <v>0</v>
      </c>
      <c r="K52" s="112">
        <v>0</v>
      </c>
      <c r="L52" s="112">
        <v>0</v>
      </c>
      <c r="M52" s="112">
        <v>0</v>
      </c>
      <c r="N52" s="112">
        <v>0</v>
      </c>
      <c r="O52" s="112">
        <v>0.8</v>
      </c>
      <c r="P52" s="112">
        <v>0.8</v>
      </c>
      <c r="Q52" s="112">
        <v>0.8</v>
      </c>
      <c r="R52" s="112">
        <v>0.8</v>
      </c>
      <c r="S52" s="112">
        <v>0.8</v>
      </c>
      <c r="T52" s="112">
        <v>0.8</v>
      </c>
      <c r="U52" s="112">
        <v>0.8</v>
      </c>
      <c r="V52" s="112">
        <v>0.8</v>
      </c>
      <c r="W52" s="112">
        <v>0.8</v>
      </c>
      <c r="X52" s="112">
        <v>0.8</v>
      </c>
      <c r="Y52" s="112">
        <v>0</v>
      </c>
      <c r="Z52" s="112">
        <v>0.8</v>
      </c>
      <c r="AA52" s="112">
        <v>0</v>
      </c>
      <c r="AB52" s="112">
        <v>0</v>
      </c>
      <c r="AC52" s="112">
        <v>0</v>
      </c>
      <c r="AD52" s="112">
        <v>0.8</v>
      </c>
      <c r="AE52" s="112">
        <v>0.8</v>
      </c>
      <c r="AF52" s="112">
        <v>0.8</v>
      </c>
      <c r="AG52" s="112">
        <v>0.8</v>
      </c>
      <c r="AH52" s="112">
        <v>0</v>
      </c>
      <c r="AI52" s="112">
        <v>0.8</v>
      </c>
      <c r="AJ52" s="112">
        <v>0</v>
      </c>
      <c r="AK52" s="112">
        <v>0</v>
      </c>
      <c r="AL52" s="112">
        <v>0</v>
      </c>
      <c r="AM52" s="112">
        <v>0</v>
      </c>
      <c r="AN52" s="112">
        <v>0.8</v>
      </c>
      <c r="AO52" s="112">
        <v>0</v>
      </c>
      <c r="AP52" s="112">
        <v>0.8</v>
      </c>
      <c r="AQ52" s="112">
        <v>0</v>
      </c>
      <c r="AR52" s="112">
        <v>0.8</v>
      </c>
      <c r="AS52" s="112">
        <v>0</v>
      </c>
      <c r="AT52" s="112">
        <v>0</v>
      </c>
      <c r="AU52" s="112">
        <v>0</v>
      </c>
      <c r="AV52" s="112">
        <v>0</v>
      </c>
      <c r="AW52" s="112">
        <v>0</v>
      </c>
      <c r="AX52" s="112">
        <v>0</v>
      </c>
      <c r="AY52" s="112">
        <v>0</v>
      </c>
      <c r="AZ52" s="112">
        <v>0</v>
      </c>
      <c r="BA52" s="112">
        <v>0</v>
      </c>
      <c r="BB52" s="112">
        <v>0</v>
      </c>
      <c r="BC52" s="112">
        <v>0.8</v>
      </c>
      <c r="BD52" s="112">
        <v>0.8</v>
      </c>
      <c r="BE52" s="112">
        <v>0</v>
      </c>
      <c r="BF52" s="112">
        <v>0.8</v>
      </c>
      <c r="BG52" s="112">
        <v>0</v>
      </c>
      <c r="BH52" s="112">
        <v>0</v>
      </c>
      <c r="BI52" s="112">
        <v>0</v>
      </c>
      <c r="BJ52" s="112">
        <v>0</v>
      </c>
      <c r="BK52" s="112">
        <v>0</v>
      </c>
      <c r="BL52" s="112">
        <v>0</v>
      </c>
      <c r="BM52" s="112">
        <v>0</v>
      </c>
      <c r="BN52" s="112">
        <v>0</v>
      </c>
      <c r="BO52" s="112">
        <v>0</v>
      </c>
      <c r="BP52" s="112">
        <v>0</v>
      </c>
      <c r="BQ52" s="112">
        <v>0</v>
      </c>
      <c r="BR52" s="112">
        <v>0</v>
      </c>
      <c r="BS52" s="112">
        <v>0</v>
      </c>
      <c r="BT52" s="112">
        <v>0</v>
      </c>
      <c r="BU52" s="112">
        <v>0</v>
      </c>
      <c r="BV52" s="112">
        <v>0</v>
      </c>
      <c r="BW52" s="112">
        <v>0</v>
      </c>
      <c r="BX52" s="112">
        <v>0</v>
      </c>
      <c r="BY52" s="112">
        <v>0</v>
      </c>
      <c r="BZ52" s="112">
        <v>0</v>
      </c>
      <c r="CA52" s="112">
        <v>0</v>
      </c>
      <c r="CB52" s="112">
        <v>0</v>
      </c>
      <c r="CC52" s="112">
        <v>0</v>
      </c>
      <c r="CD52" s="112">
        <v>0</v>
      </c>
      <c r="CE52" s="112">
        <v>0</v>
      </c>
      <c r="CF52" s="112">
        <v>0</v>
      </c>
      <c r="CG52" s="112">
        <v>0</v>
      </c>
      <c r="CH52" s="112">
        <v>0</v>
      </c>
      <c r="CI52" s="112">
        <v>0</v>
      </c>
      <c r="CJ52" s="112">
        <v>0</v>
      </c>
      <c r="CK52" s="112">
        <v>0</v>
      </c>
      <c r="CL52" s="112">
        <v>0</v>
      </c>
      <c r="CM52" s="112">
        <v>0</v>
      </c>
      <c r="CN52" s="112">
        <v>0</v>
      </c>
      <c r="CO52" s="112">
        <v>0</v>
      </c>
      <c r="CP52" s="112">
        <v>0</v>
      </c>
      <c r="CQ52" s="112">
        <v>0</v>
      </c>
      <c r="CR52" s="112">
        <v>0</v>
      </c>
      <c r="CS52" s="112">
        <v>0</v>
      </c>
      <c r="CT52" s="112">
        <v>0</v>
      </c>
      <c r="CU52" s="112">
        <v>0</v>
      </c>
      <c r="CV52" s="112">
        <v>0</v>
      </c>
    </row>
    <row r="53" spans="1:100" x14ac:dyDescent="0.15">
      <c r="A53" s="189" t="s">
        <v>243</v>
      </c>
      <c r="B53" s="112">
        <v>0</v>
      </c>
      <c r="C53" s="112">
        <v>0</v>
      </c>
      <c r="D53" s="112">
        <v>0.8</v>
      </c>
      <c r="E53" s="112">
        <v>0</v>
      </c>
      <c r="F53" s="112">
        <v>0</v>
      </c>
      <c r="G53" s="112">
        <v>0</v>
      </c>
      <c r="H53" s="112">
        <v>0</v>
      </c>
      <c r="I53" s="112">
        <v>0</v>
      </c>
      <c r="J53" s="112">
        <v>0</v>
      </c>
      <c r="K53" s="112">
        <v>0</v>
      </c>
      <c r="L53" s="112">
        <v>0.8</v>
      </c>
      <c r="M53" s="112">
        <v>0</v>
      </c>
      <c r="N53" s="112">
        <v>0</v>
      </c>
      <c r="O53" s="112">
        <v>0.8</v>
      </c>
      <c r="P53" s="112">
        <v>0.8</v>
      </c>
      <c r="Q53" s="112">
        <v>0.8</v>
      </c>
      <c r="R53" s="112">
        <v>0.8</v>
      </c>
      <c r="S53" s="112">
        <v>0.8</v>
      </c>
      <c r="T53" s="112">
        <v>0.8</v>
      </c>
      <c r="U53" s="112">
        <v>0.8</v>
      </c>
      <c r="V53" s="112">
        <v>0.8</v>
      </c>
      <c r="W53" s="112">
        <v>0.8</v>
      </c>
      <c r="X53" s="112">
        <v>0.8</v>
      </c>
      <c r="Y53" s="112">
        <v>0</v>
      </c>
      <c r="Z53" s="112">
        <v>0.8</v>
      </c>
      <c r="AA53" s="112">
        <v>0.8</v>
      </c>
      <c r="AB53" s="112">
        <v>0</v>
      </c>
      <c r="AC53" s="112">
        <v>0.8</v>
      </c>
      <c r="AD53" s="112">
        <v>0.8</v>
      </c>
      <c r="AE53" s="112">
        <v>0.8</v>
      </c>
      <c r="AF53" s="112">
        <v>0.8</v>
      </c>
      <c r="AG53" s="112">
        <v>0.8</v>
      </c>
      <c r="AH53" s="112">
        <v>0</v>
      </c>
      <c r="AI53" s="112">
        <v>0.8</v>
      </c>
      <c r="AJ53" s="112">
        <v>0.8</v>
      </c>
      <c r="AK53" s="112">
        <v>0</v>
      </c>
      <c r="AL53" s="112">
        <v>0</v>
      </c>
      <c r="AM53" s="112">
        <v>0</v>
      </c>
      <c r="AN53" s="112">
        <v>0.8</v>
      </c>
      <c r="AO53" s="112">
        <v>0</v>
      </c>
      <c r="AP53" s="112">
        <v>0.8</v>
      </c>
      <c r="AQ53" s="112">
        <v>0</v>
      </c>
      <c r="AR53" s="112">
        <v>0.8</v>
      </c>
      <c r="AS53" s="112">
        <v>0.8</v>
      </c>
      <c r="AT53" s="112">
        <v>0.8</v>
      </c>
      <c r="AU53" s="112">
        <v>0</v>
      </c>
      <c r="AV53" s="112">
        <v>0</v>
      </c>
      <c r="AW53" s="112">
        <v>0</v>
      </c>
      <c r="AX53" s="112">
        <v>0.8</v>
      </c>
      <c r="AY53" s="112">
        <v>0.8</v>
      </c>
      <c r="AZ53" s="112">
        <v>0</v>
      </c>
      <c r="BA53" s="112">
        <v>0.8</v>
      </c>
      <c r="BB53" s="112">
        <v>0</v>
      </c>
      <c r="BC53" s="112">
        <v>0.8</v>
      </c>
      <c r="BD53" s="112">
        <v>0.8</v>
      </c>
      <c r="BE53" s="112">
        <v>0</v>
      </c>
      <c r="BF53" s="112">
        <v>0.8</v>
      </c>
      <c r="BG53" s="112">
        <v>0</v>
      </c>
      <c r="BH53" s="112">
        <v>0</v>
      </c>
      <c r="BI53" s="112">
        <v>0</v>
      </c>
      <c r="BJ53" s="112">
        <v>0</v>
      </c>
      <c r="BK53" s="112">
        <v>0</v>
      </c>
      <c r="BL53" s="112">
        <v>0</v>
      </c>
      <c r="BM53" s="112">
        <v>0</v>
      </c>
      <c r="BN53" s="112">
        <v>0</v>
      </c>
      <c r="BO53" s="112">
        <v>0</v>
      </c>
      <c r="BP53" s="112">
        <v>0</v>
      </c>
      <c r="BQ53" s="112">
        <v>0</v>
      </c>
      <c r="BR53" s="112">
        <v>0</v>
      </c>
      <c r="BS53" s="112">
        <v>0</v>
      </c>
      <c r="BT53" s="112">
        <v>0</v>
      </c>
      <c r="BU53" s="112">
        <v>0</v>
      </c>
      <c r="BV53" s="112">
        <v>0</v>
      </c>
      <c r="BW53" s="112">
        <v>0</v>
      </c>
      <c r="BX53" s="112">
        <v>0</v>
      </c>
      <c r="BY53" s="112">
        <v>0</v>
      </c>
      <c r="BZ53" s="112">
        <v>0</v>
      </c>
      <c r="CA53" s="112">
        <v>0</v>
      </c>
      <c r="CB53" s="112">
        <v>0</v>
      </c>
      <c r="CC53" s="112">
        <v>0</v>
      </c>
      <c r="CD53" s="112">
        <v>0</v>
      </c>
      <c r="CE53" s="112">
        <v>0</v>
      </c>
      <c r="CF53" s="112">
        <v>0</v>
      </c>
      <c r="CG53" s="112">
        <v>0</v>
      </c>
      <c r="CH53" s="112">
        <v>0</v>
      </c>
      <c r="CI53" s="112">
        <v>0</v>
      </c>
      <c r="CJ53" s="112">
        <v>0</v>
      </c>
      <c r="CK53" s="112">
        <v>0</v>
      </c>
      <c r="CL53" s="112">
        <v>0</v>
      </c>
      <c r="CM53" s="112">
        <v>0</v>
      </c>
      <c r="CN53" s="112">
        <v>0</v>
      </c>
      <c r="CO53" s="112">
        <v>0</v>
      </c>
      <c r="CP53" s="112">
        <v>0</v>
      </c>
      <c r="CQ53" s="112">
        <v>0</v>
      </c>
      <c r="CR53" s="112">
        <v>0</v>
      </c>
      <c r="CS53" s="112">
        <v>0</v>
      </c>
      <c r="CT53" s="112">
        <v>0</v>
      </c>
      <c r="CU53" s="112">
        <v>0</v>
      </c>
      <c r="CV53" s="112">
        <v>0</v>
      </c>
    </row>
    <row r="54" spans="1:100" x14ac:dyDescent="0.15">
      <c r="A54" s="189" t="s">
        <v>244</v>
      </c>
      <c r="B54" s="112">
        <v>0</v>
      </c>
      <c r="C54" s="112">
        <v>0</v>
      </c>
      <c r="D54" s="112">
        <v>0.8</v>
      </c>
      <c r="E54" s="112">
        <v>0</v>
      </c>
      <c r="F54" s="112">
        <v>0</v>
      </c>
      <c r="G54" s="112">
        <v>0</v>
      </c>
      <c r="H54" s="112">
        <v>0</v>
      </c>
      <c r="I54" s="112">
        <v>0</v>
      </c>
      <c r="J54" s="112">
        <v>0</v>
      </c>
      <c r="K54" s="112">
        <v>0</v>
      </c>
      <c r="L54" s="112">
        <v>0.8</v>
      </c>
      <c r="M54" s="112">
        <v>0</v>
      </c>
      <c r="N54" s="112">
        <v>0</v>
      </c>
      <c r="O54" s="112">
        <v>0.8</v>
      </c>
      <c r="P54" s="112">
        <v>0</v>
      </c>
      <c r="Q54" s="112">
        <v>0.8</v>
      </c>
      <c r="R54" s="112">
        <v>0.8</v>
      </c>
      <c r="S54" s="112">
        <v>0.8</v>
      </c>
      <c r="T54" s="112">
        <v>0</v>
      </c>
      <c r="U54" s="112">
        <v>0.8</v>
      </c>
      <c r="V54" s="112">
        <v>0.8</v>
      </c>
      <c r="W54" s="112">
        <v>0.8</v>
      </c>
      <c r="X54" s="112">
        <v>0</v>
      </c>
      <c r="Y54" s="112">
        <v>0</v>
      </c>
      <c r="Z54" s="112">
        <v>0.8</v>
      </c>
      <c r="AA54" s="112">
        <v>0</v>
      </c>
      <c r="AB54" s="112">
        <v>0</v>
      </c>
      <c r="AC54" s="112">
        <v>0</v>
      </c>
      <c r="AD54" s="112">
        <v>0</v>
      </c>
      <c r="AE54" s="112">
        <v>0</v>
      </c>
      <c r="AF54" s="112">
        <v>0</v>
      </c>
      <c r="AG54" s="112">
        <v>0</v>
      </c>
      <c r="AH54" s="112">
        <v>0</v>
      </c>
      <c r="AI54" s="112">
        <v>0</v>
      </c>
      <c r="AJ54" s="112">
        <v>0</v>
      </c>
      <c r="AK54" s="112">
        <v>0</v>
      </c>
      <c r="AL54" s="112">
        <v>0</v>
      </c>
      <c r="AM54" s="112">
        <v>0</v>
      </c>
      <c r="AN54" s="112">
        <v>0</v>
      </c>
      <c r="AO54" s="112">
        <v>0</v>
      </c>
      <c r="AP54" s="112">
        <v>0.8</v>
      </c>
      <c r="AQ54" s="112">
        <v>0</v>
      </c>
      <c r="AR54" s="112">
        <v>0</v>
      </c>
      <c r="AS54" s="112">
        <v>0</v>
      </c>
      <c r="AT54" s="112">
        <v>0</v>
      </c>
      <c r="AU54" s="112">
        <v>0</v>
      </c>
      <c r="AV54" s="112">
        <v>0</v>
      </c>
      <c r="AW54" s="112">
        <v>0</v>
      </c>
      <c r="AX54" s="112">
        <v>0</v>
      </c>
      <c r="AY54" s="112">
        <v>0</v>
      </c>
      <c r="AZ54" s="112">
        <v>0</v>
      </c>
      <c r="BA54" s="112">
        <v>0</v>
      </c>
      <c r="BB54" s="112">
        <v>0</v>
      </c>
      <c r="BC54" s="112">
        <v>0</v>
      </c>
      <c r="BD54" s="112">
        <v>0</v>
      </c>
      <c r="BE54" s="112">
        <v>0</v>
      </c>
      <c r="BF54" s="112">
        <v>0</v>
      </c>
      <c r="BG54" s="112">
        <v>0</v>
      </c>
      <c r="BH54" s="112">
        <v>0</v>
      </c>
      <c r="BI54" s="112">
        <v>0</v>
      </c>
      <c r="BJ54" s="112">
        <v>0</v>
      </c>
      <c r="BK54" s="112">
        <v>0</v>
      </c>
      <c r="BL54" s="112">
        <v>0</v>
      </c>
      <c r="BM54" s="112">
        <v>0</v>
      </c>
      <c r="BN54" s="112">
        <v>0</v>
      </c>
      <c r="BO54" s="112">
        <v>0</v>
      </c>
      <c r="BP54" s="112">
        <v>0</v>
      </c>
      <c r="BQ54" s="112">
        <v>0</v>
      </c>
      <c r="BR54" s="112">
        <v>0</v>
      </c>
      <c r="BS54" s="112">
        <v>0</v>
      </c>
      <c r="BT54" s="112">
        <v>0</v>
      </c>
      <c r="BU54" s="112">
        <v>0</v>
      </c>
      <c r="BV54" s="112">
        <v>0</v>
      </c>
      <c r="BW54" s="112">
        <v>0</v>
      </c>
      <c r="BX54" s="112">
        <v>0</v>
      </c>
      <c r="BY54" s="112">
        <v>0</v>
      </c>
      <c r="BZ54" s="112">
        <v>0</v>
      </c>
      <c r="CA54" s="112">
        <v>0</v>
      </c>
      <c r="CB54" s="112">
        <v>0</v>
      </c>
      <c r="CC54" s="112">
        <v>0</v>
      </c>
      <c r="CD54" s="112">
        <v>0</v>
      </c>
      <c r="CE54" s="112">
        <v>0</v>
      </c>
      <c r="CF54" s="112">
        <v>0</v>
      </c>
      <c r="CG54" s="112">
        <v>0</v>
      </c>
      <c r="CH54" s="112">
        <v>0</v>
      </c>
      <c r="CI54" s="112">
        <v>0</v>
      </c>
      <c r="CJ54" s="112">
        <v>0</v>
      </c>
      <c r="CK54" s="112">
        <v>0</v>
      </c>
      <c r="CL54" s="112">
        <v>0</v>
      </c>
      <c r="CM54" s="112">
        <v>0</v>
      </c>
      <c r="CN54" s="112">
        <v>0</v>
      </c>
      <c r="CO54" s="112">
        <v>0</v>
      </c>
      <c r="CP54" s="112">
        <v>0</v>
      </c>
      <c r="CQ54" s="112">
        <v>0</v>
      </c>
      <c r="CR54" s="112">
        <v>0</v>
      </c>
      <c r="CS54" s="112">
        <v>0</v>
      </c>
      <c r="CT54" s="112">
        <v>0</v>
      </c>
      <c r="CU54" s="112">
        <v>0</v>
      </c>
      <c r="CV54" s="112">
        <v>0</v>
      </c>
    </row>
    <row r="55" spans="1:100" x14ac:dyDescent="0.15">
      <c r="A55" s="189" t="s">
        <v>245</v>
      </c>
      <c r="B55" s="112">
        <v>0.8</v>
      </c>
      <c r="C55" s="112">
        <v>0</v>
      </c>
      <c r="D55" s="112">
        <v>0.8</v>
      </c>
      <c r="E55" s="112">
        <v>0.8</v>
      </c>
      <c r="F55" s="112">
        <v>0</v>
      </c>
      <c r="G55" s="112">
        <v>0</v>
      </c>
      <c r="H55" s="112">
        <v>0</v>
      </c>
      <c r="I55" s="112">
        <v>0</v>
      </c>
      <c r="J55" s="112">
        <v>0</v>
      </c>
      <c r="K55" s="112">
        <v>0</v>
      </c>
      <c r="L55" s="112">
        <v>0</v>
      </c>
      <c r="M55" s="112">
        <v>0</v>
      </c>
      <c r="N55" s="112">
        <v>0</v>
      </c>
      <c r="O55" s="112">
        <v>0</v>
      </c>
      <c r="P55" s="112">
        <v>0</v>
      </c>
      <c r="Q55" s="112">
        <v>0</v>
      </c>
      <c r="R55" s="112">
        <v>0</v>
      </c>
      <c r="S55" s="112">
        <v>0</v>
      </c>
      <c r="T55" s="112">
        <v>0</v>
      </c>
      <c r="U55" s="112">
        <v>0</v>
      </c>
      <c r="V55" s="112">
        <v>0</v>
      </c>
      <c r="W55" s="112">
        <v>0</v>
      </c>
      <c r="X55" s="112">
        <v>0</v>
      </c>
      <c r="Y55" s="112">
        <v>0</v>
      </c>
      <c r="Z55" s="112">
        <v>0</v>
      </c>
      <c r="AA55" s="112">
        <v>0</v>
      </c>
      <c r="AB55" s="112">
        <v>0</v>
      </c>
      <c r="AC55" s="112">
        <v>0</v>
      </c>
      <c r="AD55" s="112">
        <v>0</v>
      </c>
      <c r="AE55" s="112">
        <v>0</v>
      </c>
      <c r="AF55" s="112">
        <v>0</v>
      </c>
      <c r="AG55" s="112">
        <v>0</v>
      </c>
      <c r="AH55" s="112">
        <v>0</v>
      </c>
      <c r="AI55" s="112">
        <v>0</v>
      </c>
      <c r="AJ55" s="112">
        <v>0</v>
      </c>
      <c r="AK55" s="112">
        <v>0</v>
      </c>
      <c r="AL55" s="112">
        <v>0</v>
      </c>
      <c r="AM55" s="112">
        <v>0</v>
      </c>
      <c r="AN55" s="112">
        <v>0</v>
      </c>
      <c r="AO55" s="112">
        <v>0</v>
      </c>
      <c r="AP55" s="112">
        <v>0.8</v>
      </c>
      <c r="AQ55" s="112">
        <v>0</v>
      </c>
      <c r="AR55" s="112">
        <v>0.8</v>
      </c>
      <c r="AS55" s="112">
        <v>0</v>
      </c>
      <c r="AT55" s="112">
        <v>0</v>
      </c>
      <c r="AU55" s="112">
        <v>0</v>
      </c>
      <c r="AV55" s="112">
        <v>0</v>
      </c>
      <c r="AW55" s="112">
        <v>0</v>
      </c>
      <c r="AX55" s="112">
        <v>0</v>
      </c>
      <c r="AY55" s="112">
        <v>0</v>
      </c>
      <c r="AZ55" s="112">
        <v>0</v>
      </c>
      <c r="BA55" s="112">
        <v>0</v>
      </c>
      <c r="BB55" s="112">
        <v>0</v>
      </c>
      <c r="BC55" s="112">
        <v>0.8</v>
      </c>
      <c r="BD55" s="112">
        <v>0.8</v>
      </c>
      <c r="BE55" s="112">
        <v>0</v>
      </c>
      <c r="BF55" s="112">
        <v>0.8</v>
      </c>
      <c r="BG55" s="112">
        <v>0</v>
      </c>
      <c r="BH55" s="112">
        <v>0</v>
      </c>
      <c r="BI55" s="112">
        <v>0</v>
      </c>
      <c r="BJ55" s="112">
        <v>0</v>
      </c>
      <c r="BK55" s="112">
        <v>0</v>
      </c>
      <c r="BL55" s="112">
        <v>0</v>
      </c>
      <c r="BM55" s="112">
        <v>0</v>
      </c>
      <c r="BN55" s="112">
        <v>0</v>
      </c>
      <c r="BO55" s="112">
        <v>0</v>
      </c>
      <c r="BP55" s="112">
        <v>0</v>
      </c>
      <c r="BQ55" s="112">
        <v>0</v>
      </c>
      <c r="BR55" s="112">
        <v>0</v>
      </c>
      <c r="BS55" s="112">
        <v>0</v>
      </c>
      <c r="BT55" s="112">
        <v>0</v>
      </c>
      <c r="BU55" s="112">
        <v>0</v>
      </c>
      <c r="BV55" s="112">
        <v>0</v>
      </c>
      <c r="BW55" s="112">
        <v>0</v>
      </c>
      <c r="BX55" s="112">
        <v>0</v>
      </c>
      <c r="BY55" s="112">
        <v>0</v>
      </c>
      <c r="BZ55" s="112">
        <v>0</v>
      </c>
      <c r="CA55" s="112">
        <v>0</v>
      </c>
      <c r="CB55" s="112">
        <v>0</v>
      </c>
      <c r="CC55" s="112">
        <v>0</v>
      </c>
      <c r="CD55" s="112">
        <v>0</v>
      </c>
      <c r="CE55" s="112">
        <v>0</v>
      </c>
      <c r="CF55" s="112">
        <v>0</v>
      </c>
      <c r="CG55" s="112">
        <v>0</v>
      </c>
      <c r="CH55" s="112">
        <v>0</v>
      </c>
      <c r="CI55" s="112">
        <v>0</v>
      </c>
      <c r="CJ55" s="112">
        <v>0</v>
      </c>
      <c r="CK55" s="112">
        <v>0</v>
      </c>
      <c r="CL55" s="112">
        <v>0</v>
      </c>
      <c r="CM55" s="112">
        <v>0</v>
      </c>
      <c r="CN55" s="112">
        <v>0</v>
      </c>
      <c r="CO55" s="112">
        <v>0</v>
      </c>
      <c r="CP55" s="112">
        <v>0</v>
      </c>
      <c r="CQ55" s="112">
        <v>0</v>
      </c>
      <c r="CR55" s="112">
        <v>0</v>
      </c>
      <c r="CS55" s="112">
        <v>0</v>
      </c>
      <c r="CT55" s="112">
        <v>0</v>
      </c>
      <c r="CU55" s="112">
        <v>0</v>
      </c>
      <c r="CV55" s="112">
        <v>0</v>
      </c>
    </row>
    <row r="56" spans="1:100" x14ac:dyDescent="0.15">
      <c r="A56" s="189" t="s">
        <v>246</v>
      </c>
      <c r="B56" s="112">
        <v>0.8</v>
      </c>
      <c r="C56" s="112">
        <v>0</v>
      </c>
      <c r="D56" s="112">
        <v>0.8</v>
      </c>
      <c r="E56" s="112">
        <v>0.8</v>
      </c>
      <c r="F56" s="112">
        <v>0</v>
      </c>
      <c r="G56" s="112">
        <v>0</v>
      </c>
      <c r="H56" s="112">
        <v>0</v>
      </c>
      <c r="I56" s="112">
        <v>0</v>
      </c>
      <c r="J56" s="112">
        <v>0</v>
      </c>
      <c r="K56" s="112">
        <v>0</v>
      </c>
      <c r="L56" s="112">
        <v>0</v>
      </c>
      <c r="M56" s="112">
        <v>0</v>
      </c>
      <c r="N56" s="112">
        <v>0</v>
      </c>
      <c r="O56" s="112">
        <v>0</v>
      </c>
      <c r="P56" s="112">
        <v>0</v>
      </c>
      <c r="Q56" s="112">
        <v>0</v>
      </c>
      <c r="R56" s="112">
        <v>0</v>
      </c>
      <c r="S56" s="112">
        <v>0</v>
      </c>
      <c r="T56" s="112">
        <v>0</v>
      </c>
      <c r="U56" s="112">
        <v>0</v>
      </c>
      <c r="V56" s="112">
        <v>0</v>
      </c>
      <c r="W56" s="112">
        <v>0</v>
      </c>
      <c r="X56" s="112">
        <v>0</v>
      </c>
      <c r="Y56" s="112">
        <v>0</v>
      </c>
      <c r="Z56" s="112">
        <v>0</v>
      </c>
      <c r="AA56" s="112">
        <v>0</v>
      </c>
      <c r="AB56" s="112">
        <v>0</v>
      </c>
      <c r="AC56" s="112">
        <v>0</v>
      </c>
      <c r="AD56" s="112">
        <v>0</v>
      </c>
      <c r="AE56" s="112">
        <v>0</v>
      </c>
      <c r="AF56" s="112">
        <v>0</v>
      </c>
      <c r="AG56" s="112">
        <v>0</v>
      </c>
      <c r="AH56" s="112">
        <v>0</v>
      </c>
      <c r="AI56" s="112">
        <v>0</v>
      </c>
      <c r="AJ56" s="112">
        <v>0</v>
      </c>
      <c r="AK56" s="112">
        <v>0</v>
      </c>
      <c r="AL56" s="112">
        <v>0</v>
      </c>
      <c r="AM56" s="112">
        <v>0</v>
      </c>
      <c r="AN56" s="112">
        <v>0</v>
      </c>
      <c r="AO56" s="112">
        <v>0</v>
      </c>
      <c r="AP56" s="112">
        <v>0.8</v>
      </c>
      <c r="AQ56" s="112">
        <v>0</v>
      </c>
      <c r="AR56" s="112">
        <v>0.8</v>
      </c>
      <c r="AS56" s="112">
        <v>0</v>
      </c>
      <c r="AT56" s="112">
        <v>0</v>
      </c>
      <c r="AU56" s="112">
        <v>0</v>
      </c>
      <c r="AV56" s="112">
        <v>0</v>
      </c>
      <c r="AW56" s="112">
        <v>0</v>
      </c>
      <c r="AX56" s="112">
        <v>0</v>
      </c>
      <c r="AY56" s="112">
        <v>0</v>
      </c>
      <c r="AZ56" s="112">
        <v>0</v>
      </c>
      <c r="BA56" s="112">
        <v>0</v>
      </c>
      <c r="BB56" s="112">
        <v>0</v>
      </c>
      <c r="BC56" s="112">
        <v>0.8</v>
      </c>
      <c r="BD56" s="112">
        <v>0.8</v>
      </c>
      <c r="BE56" s="112">
        <v>0</v>
      </c>
      <c r="BF56" s="112">
        <v>0.8</v>
      </c>
      <c r="BG56" s="112">
        <v>0</v>
      </c>
      <c r="BH56" s="112">
        <v>0</v>
      </c>
      <c r="BI56" s="112">
        <v>0</v>
      </c>
      <c r="BJ56" s="112">
        <v>0</v>
      </c>
      <c r="BK56" s="112">
        <v>0</v>
      </c>
      <c r="BL56" s="112">
        <v>0</v>
      </c>
      <c r="BM56" s="112">
        <v>0</v>
      </c>
      <c r="BN56" s="112">
        <v>0</v>
      </c>
      <c r="BO56" s="112">
        <v>0</v>
      </c>
      <c r="BP56" s="112">
        <v>0</v>
      </c>
      <c r="BQ56" s="112">
        <v>0</v>
      </c>
      <c r="BR56" s="112">
        <v>0</v>
      </c>
      <c r="BS56" s="112">
        <v>0</v>
      </c>
      <c r="BT56" s="112">
        <v>0</v>
      </c>
      <c r="BU56" s="112">
        <v>0</v>
      </c>
      <c r="BV56" s="112">
        <v>0</v>
      </c>
      <c r="BW56" s="112">
        <v>0</v>
      </c>
      <c r="BX56" s="112">
        <v>0</v>
      </c>
      <c r="BY56" s="112">
        <v>0</v>
      </c>
      <c r="BZ56" s="112">
        <v>0</v>
      </c>
      <c r="CA56" s="112">
        <v>0</v>
      </c>
      <c r="CB56" s="112">
        <v>0</v>
      </c>
      <c r="CC56" s="112">
        <v>0</v>
      </c>
      <c r="CD56" s="112">
        <v>0</v>
      </c>
      <c r="CE56" s="112">
        <v>0</v>
      </c>
      <c r="CF56" s="112">
        <v>0</v>
      </c>
      <c r="CG56" s="112">
        <v>0</v>
      </c>
      <c r="CH56" s="112">
        <v>0</v>
      </c>
      <c r="CI56" s="112">
        <v>0</v>
      </c>
      <c r="CJ56" s="112">
        <v>0</v>
      </c>
      <c r="CK56" s="112">
        <v>0</v>
      </c>
      <c r="CL56" s="112">
        <v>0</v>
      </c>
      <c r="CM56" s="112">
        <v>0</v>
      </c>
      <c r="CN56" s="112">
        <v>0</v>
      </c>
      <c r="CO56" s="112">
        <v>0</v>
      </c>
      <c r="CP56" s="112">
        <v>0</v>
      </c>
      <c r="CQ56" s="112">
        <v>0</v>
      </c>
      <c r="CR56" s="112">
        <v>0</v>
      </c>
      <c r="CS56" s="112">
        <v>0</v>
      </c>
      <c r="CT56" s="112">
        <v>0</v>
      </c>
      <c r="CU56" s="112">
        <v>0</v>
      </c>
      <c r="CV56" s="112">
        <v>0</v>
      </c>
    </row>
    <row r="57" spans="1:100" x14ac:dyDescent="0.15">
      <c r="A57" s="189" t="s">
        <v>247</v>
      </c>
      <c r="B57" s="112">
        <v>0.8</v>
      </c>
      <c r="C57" s="112">
        <v>0</v>
      </c>
      <c r="D57" s="112">
        <v>0</v>
      </c>
      <c r="E57" s="112">
        <v>0.8</v>
      </c>
      <c r="F57" s="112">
        <v>0</v>
      </c>
      <c r="G57" s="112">
        <v>0</v>
      </c>
      <c r="H57" s="112">
        <v>0</v>
      </c>
      <c r="I57" s="112">
        <v>0</v>
      </c>
      <c r="J57" s="112">
        <v>0</v>
      </c>
      <c r="K57" s="112">
        <v>0</v>
      </c>
      <c r="L57" s="112">
        <v>0.8</v>
      </c>
      <c r="M57" s="112">
        <v>0</v>
      </c>
      <c r="N57" s="112">
        <v>0</v>
      </c>
      <c r="O57" s="112">
        <v>0</v>
      </c>
      <c r="P57" s="112">
        <v>0</v>
      </c>
      <c r="Q57" s="112">
        <v>0.8</v>
      </c>
      <c r="R57" s="112">
        <v>0</v>
      </c>
      <c r="S57" s="112">
        <v>0.8</v>
      </c>
      <c r="T57" s="112">
        <v>0.8</v>
      </c>
      <c r="U57" s="112">
        <v>0</v>
      </c>
      <c r="V57" s="112">
        <v>0</v>
      </c>
      <c r="W57" s="112">
        <v>0</v>
      </c>
      <c r="X57" s="112">
        <v>0</v>
      </c>
      <c r="Y57" s="112">
        <v>0</v>
      </c>
      <c r="Z57" s="112">
        <v>0</v>
      </c>
      <c r="AA57" s="112">
        <v>0</v>
      </c>
      <c r="AB57" s="112">
        <v>0</v>
      </c>
      <c r="AC57" s="112">
        <v>0</v>
      </c>
      <c r="AD57" s="112">
        <v>0.8</v>
      </c>
      <c r="AE57" s="112">
        <v>0.8</v>
      </c>
      <c r="AF57" s="112">
        <v>0</v>
      </c>
      <c r="AG57" s="112">
        <v>0</v>
      </c>
      <c r="AH57" s="112">
        <v>0</v>
      </c>
      <c r="AI57" s="112">
        <v>0</v>
      </c>
      <c r="AJ57" s="112">
        <v>0</v>
      </c>
      <c r="AK57" s="112">
        <v>0</v>
      </c>
      <c r="AL57" s="112">
        <v>0</v>
      </c>
      <c r="AM57" s="112">
        <v>0</v>
      </c>
      <c r="AN57" s="112">
        <v>0</v>
      </c>
      <c r="AO57" s="112">
        <v>0</v>
      </c>
      <c r="AP57" s="112">
        <v>0.8</v>
      </c>
      <c r="AQ57" s="112">
        <v>0</v>
      </c>
      <c r="AR57" s="112">
        <v>0.8</v>
      </c>
      <c r="AS57" s="112">
        <v>0</v>
      </c>
      <c r="AT57" s="112">
        <v>0</v>
      </c>
      <c r="AU57" s="112">
        <v>0</v>
      </c>
      <c r="AV57" s="112">
        <v>0</v>
      </c>
      <c r="AW57" s="112">
        <v>0</v>
      </c>
      <c r="AX57" s="112">
        <v>0</v>
      </c>
      <c r="AY57" s="112">
        <v>0</v>
      </c>
      <c r="AZ57" s="112">
        <v>0</v>
      </c>
      <c r="BA57" s="112">
        <v>0</v>
      </c>
      <c r="BB57" s="112">
        <v>0</v>
      </c>
      <c r="BC57" s="112">
        <v>0.8</v>
      </c>
      <c r="BD57" s="112">
        <v>0.8</v>
      </c>
      <c r="BE57" s="112">
        <v>0</v>
      </c>
      <c r="BF57" s="112">
        <v>0.8</v>
      </c>
      <c r="BG57" s="112">
        <v>0</v>
      </c>
      <c r="BH57" s="112">
        <v>0</v>
      </c>
      <c r="BI57" s="112">
        <v>0</v>
      </c>
      <c r="BJ57" s="112">
        <v>0</v>
      </c>
      <c r="BK57" s="112">
        <v>0</v>
      </c>
      <c r="BL57" s="112">
        <v>0</v>
      </c>
      <c r="BM57" s="112">
        <v>0</v>
      </c>
      <c r="BN57" s="112">
        <v>0</v>
      </c>
      <c r="BO57" s="112">
        <v>0</v>
      </c>
      <c r="BP57" s="112">
        <v>0</v>
      </c>
      <c r="BQ57" s="112">
        <v>0</v>
      </c>
      <c r="BR57" s="112">
        <v>0</v>
      </c>
      <c r="BS57" s="112">
        <v>0</v>
      </c>
      <c r="BT57" s="112">
        <v>0</v>
      </c>
      <c r="BU57" s="112">
        <v>0</v>
      </c>
      <c r="BV57" s="112">
        <v>0</v>
      </c>
      <c r="BW57" s="112">
        <v>0</v>
      </c>
      <c r="BX57" s="112">
        <v>0</v>
      </c>
      <c r="BY57" s="112">
        <v>0</v>
      </c>
      <c r="BZ57" s="112">
        <v>0</v>
      </c>
      <c r="CA57" s="112">
        <v>0</v>
      </c>
      <c r="CB57" s="112">
        <v>0</v>
      </c>
      <c r="CC57" s="112">
        <v>0</v>
      </c>
      <c r="CD57" s="112">
        <v>0</v>
      </c>
      <c r="CE57" s="112">
        <v>0</v>
      </c>
      <c r="CF57" s="112">
        <v>0</v>
      </c>
      <c r="CG57" s="112">
        <v>0</v>
      </c>
      <c r="CH57" s="112">
        <v>0</v>
      </c>
      <c r="CI57" s="112">
        <v>0</v>
      </c>
      <c r="CJ57" s="112">
        <v>0</v>
      </c>
      <c r="CK57" s="112">
        <v>0</v>
      </c>
      <c r="CL57" s="112">
        <v>0</v>
      </c>
      <c r="CM57" s="112">
        <v>0</v>
      </c>
      <c r="CN57" s="112">
        <v>0</v>
      </c>
      <c r="CO57" s="112">
        <v>0</v>
      </c>
      <c r="CP57" s="112">
        <v>0</v>
      </c>
      <c r="CQ57" s="112">
        <v>0</v>
      </c>
      <c r="CR57" s="112">
        <v>0</v>
      </c>
      <c r="CS57" s="112">
        <v>0</v>
      </c>
      <c r="CT57" s="112">
        <v>0</v>
      </c>
      <c r="CU57" s="112">
        <v>0</v>
      </c>
      <c r="CV57" s="112">
        <v>0</v>
      </c>
    </row>
    <row r="58" spans="1:100" x14ac:dyDescent="0.15">
      <c r="A58" s="189" t="s">
        <v>248</v>
      </c>
      <c r="B58" s="112">
        <v>0.8</v>
      </c>
      <c r="C58" s="112">
        <v>0</v>
      </c>
      <c r="D58" s="112">
        <v>0.8</v>
      </c>
      <c r="E58" s="112">
        <v>0.8</v>
      </c>
      <c r="F58" s="112">
        <v>0</v>
      </c>
      <c r="G58" s="112">
        <v>0</v>
      </c>
      <c r="H58" s="112">
        <v>0</v>
      </c>
      <c r="I58" s="112">
        <v>0</v>
      </c>
      <c r="J58" s="112">
        <v>0</v>
      </c>
      <c r="K58" s="112">
        <v>0</v>
      </c>
      <c r="L58" s="112">
        <v>0.8</v>
      </c>
      <c r="M58" s="112">
        <v>0.8</v>
      </c>
      <c r="N58" s="112">
        <v>0</v>
      </c>
      <c r="O58" s="112">
        <v>0.8</v>
      </c>
      <c r="P58" s="112">
        <v>0.8</v>
      </c>
      <c r="Q58" s="112">
        <v>0.8</v>
      </c>
      <c r="R58" s="112">
        <v>0.8</v>
      </c>
      <c r="S58" s="112">
        <v>0.8</v>
      </c>
      <c r="T58" s="112">
        <v>0.8</v>
      </c>
      <c r="U58" s="112">
        <v>0.8</v>
      </c>
      <c r="V58" s="112">
        <v>0.8</v>
      </c>
      <c r="W58" s="112">
        <v>0.8</v>
      </c>
      <c r="X58" s="112">
        <v>0.8</v>
      </c>
      <c r="Y58" s="112">
        <v>0.8</v>
      </c>
      <c r="Z58" s="112">
        <v>0.8</v>
      </c>
      <c r="AA58" s="112">
        <v>0</v>
      </c>
      <c r="AB58" s="112">
        <v>0</v>
      </c>
      <c r="AC58" s="112">
        <v>0.8</v>
      </c>
      <c r="AD58" s="112">
        <v>0.8</v>
      </c>
      <c r="AE58" s="112">
        <v>0.8</v>
      </c>
      <c r="AF58" s="112">
        <v>0.8</v>
      </c>
      <c r="AG58" s="112">
        <v>0.8</v>
      </c>
      <c r="AH58" s="112">
        <v>0.8</v>
      </c>
      <c r="AI58" s="112">
        <v>0.8</v>
      </c>
      <c r="AJ58" s="112">
        <v>0.8</v>
      </c>
      <c r="AK58" s="112">
        <v>0.8</v>
      </c>
      <c r="AL58" s="112">
        <v>0</v>
      </c>
      <c r="AM58" s="112">
        <v>0</v>
      </c>
      <c r="AN58" s="112">
        <v>0.8</v>
      </c>
      <c r="AO58" s="112">
        <v>0</v>
      </c>
      <c r="AP58" s="112">
        <v>0.8</v>
      </c>
      <c r="AQ58" s="112">
        <v>0</v>
      </c>
      <c r="AR58" s="112">
        <v>0.8</v>
      </c>
      <c r="AS58" s="112">
        <v>0</v>
      </c>
      <c r="AT58" s="112">
        <v>0</v>
      </c>
      <c r="AU58" s="112">
        <v>0</v>
      </c>
      <c r="AV58" s="112">
        <v>0</v>
      </c>
      <c r="AW58" s="112">
        <v>0</v>
      </c>
      <c r="AX58" s="112">
        <v>0</v>
      </c>
      <c r="AY58" s="112">
        <v>0</v>
      </c>
      <c r="AZ58" s="112">
        <v>0</v>
      </c>
      <c r="BA58" s="112">
        <v>0</v>
      </c>
      <c r="BB58" s="112">
        <v>0</v>
      </c>
      <c r="BC58" s="112">
        <v>0.8</v>
      </c>
      <c r="BD58" s="112">
        <v>0.8</v>
      </c>
      <c r="BE58" s="112">
        <v>0</v>
      </c>
      <c r="BF58" s="112">
        <v>0.8</v>
      </c>
      <c r="BG58" s="112">
        <v>0</v>
      </c>
      <c r="BH58" s="112">
        <v>0</v>
      </c>
      <c r="BI58" s="112">
        <v>0</v>
      </c>
      <c r="BJ58" s="112">
        <v>0</v>
      </c>
      <c r="BK58" s="112">
        <v>0</v>
      </c>
      <c r="BL58" s="112">
        <v>0</v>
      </c>
      <c r="BM58" s="112">
        <v>0</v>
      </c>
      <c r="BN58" s="112">
        <v>0</v>
      </c>
      <c r="BO58" s="112">
        <v>0</v>
      </c>
      <c r="BP58" s="112">
        <v>0</v>
      </c>
      <c r="BQ58" s="112">
        <v>0</v>
      </c>
      <c r="BR58" s="112">
        <v>0</v>
      </c>
      <c r="BS58" s="112">
        <v>0</v>
      </c>
      <c r="BT58" s="112">
        <v>0</v>
      </c>
      <c r="BU58" s="112">
        <v>0</v>
      </c>
      <c r="BV58" s="112">
        <v>0</v>
      </c>
      <c r="BW58" s="112">
        <v>0</v>
      </c>
      <c r="BX58" s="112">
        <v>0</v>
      </c>
      <c r="BY58" s="112">
        <v>0</v>
      </c>
      <c r="BZ58" s="112">
        <v>0</v>
      </c>
      <c r="CA58" s="112">
        <v>0</v>
      </c>
      <c r="CB58" s="112">
        <v>0</v>
      </c>
      <c r="CC58" s="112">
        <v>0</v>
      </c>
      <c r="CD58" s="112">
        <v>0</v>
      </c>
      <c r="CE58" s="112">
        <v>0</v>
      </c>
      <c r="CF58" s="112">
        <v>0</v>
      </c>
      <c r="CG58" s="112">
        <v>0</v>
      </c>
      <c r="CH58" s="112">
        <v>0</v>
      </c>
      <c r="CI58" s="112">
        <v>0</v>
      </c>
      <c r="CJ58" s="112">
        <v>0</v>
      </c>
      <c r="CK58" s="112">
        <v>0</v>
      </c>
      <c r="CL58" s="112">
        <v>0</v>
      </c>
      <c r="CM58" s="112">
        <v>0</v>
      </c>
      <c r="CN58" s="112">
        <v>0</v>
      </c>
      <c r="CO58" s="112">
        <v>0</v>
      </c>
      <c r="CP58" s="112">
        <v>0</v>
      </c>
      <c r="CQ58" s="112">
        <v>0</v>
      </c>
      <c r="CR58" s="112">
        <v>0</v>
      </c>
      <c r="CS58" s="112">
        <v>0</v>
      </c>
      <c r="CT58" s="112">
        <v>0</v>
      </c>
      <c r="CU58" s="112">
        <v>0</v>
      </c>
      <c r="CV58" s="112">
        <v>0</v>
      </c>
    </row>
    <row r="59" spans="1:100" x14ac:dyDescent="0.15">
      <c r="A59" s="189" t="s">
        <v>249</v>
      </c>
      <c r="B59" s="112">
        <v>0.8</v>
      </c>
      <c r="C59" s="112">
        <v>0</v>
      </c>
      <c r="D59" s="112">
        <v>0.8</v>
      </c>
      <c r="E59" s="112">
        <v>0</v>
      </c>
      <c r="F59" s="112">
        <v>0</v>
      </c>
      <c r="G59" s="112">
        <v>0</v>
      </c>
      <c r="H59" s="112">
        <v>0</v>
      </c>
      <c r="I59" s="112">
        <v>0</v>
      </c>
      <c r="J59" s="112">
        <v>0</v>
      </c>
      <c r="K59" s="112">
        <v>0</v>
      </c>
      <c r="L59" s="112">
        <v>0</v>
      </c>
      <c r="M59" s="112">
        <v>0</v>
      </c>
      <c r="N59" s="112">
        <v>0</v>
      </c>
      <c r="O59" s="112">
        <v>0</v>
      </c>
      <c r="P59" s="112">
        <v>0</v>
      </c>
      <c r="Q59" s="112">
        <v>0</v>
      </c>
      <c r="R59" s="112">
        <v>0</v>
      </c>
      <c r="S59" s="112">
        <v>0</v>
      </c>
      <c r="T59" s="112">
        <v>0</v>
      </c>
      <c r="U59" s="112">
        <v>0</v>
      </c>
      <c r="V59" s="112">
        <v>0</v>
      </c>
      <c r="W59" s="112">
        <v>0</v>
      </c>
      <c r="X59" s="112">
        <v>0</v>
      </c>
      <c r="Y59" s="112">
        <v>0</v>
      </c>
      <c r="Z59" s="112">
        <v>0</v>
      </c>
      <c r="AA59" s="112">
        <v>0</v>
      </c>
      <c r="AB59" s="112">
        <v>0</v>
      </c>
      <c r="AC59" s="112">
        <v>0</v>
      </c>
      <c r="AD59" s="112">
        <v>0</v>
      </c>
      <c r="AE59" s="112">
        <v>0</v>
      </c>
      <c r="AF59" s="112">
        <v>0</v>
      </c>
      <c r="AG59" s="112">
        <v>0</v>
      </c>
      <c r="AH59" s="112">
        <v>0</v>
      </c>
      <c r="AI59" s="112">
        <v>0</v>
      </c>
      <c r="AJ59" s="112">
        <v>0</v>
      </c>
      <c r="AK59" s="112">
        <v>0</v>
      </c>
      <c r="AL59" s="112">
        <v>0</v>
      </c>
      <c r="AM59" s="112">
        <v>0</v>
      </c>
      <c r="AN59" s="112">
        <v>0</v>
      </c>
      <c r="AO59" s="112">
        <v>0</v>
      </c>
      <c r="AP59" s="112">
        <v>0.8</v>
      </c>
      <c r="AQ59" s="112">
        <v>0</v>
      </c>
      <c r="AR59" s="112">
        <v>0</v>
      </c>
      <c r="AS59" s="112">
        <v>0</v>
      </c>
      <c r="AT59" s="112">
        <v>0</v>
      </c>
      <c r="AU59" s="112">
        <v>0</v>
      </c>
      <c r="AV59" s="112">
        <v>0</v>
      </c>
      <c r="AW59" s="112">
        <v>0</v>
      </c>
      <c r="AX59" s="112">
        <v>0</v>
      </c>
      <c r="AY59" s="112">
        <v>0</v>
      </c>
      <c r="AZ59" s="112">
        <v>0</v>
      </c>
      <c r="BA59" s="112">
        <v>0</v>
      </c>
      <c r="BB59" s="112">
        <v>0</v>
      </c>
      <c r="BC59" s="112">
        <v>0.8</v>
      </c>
      <c r="BD59" s="112">
        <v>0.8</v>
      </c>
      <c r="BE59" s="112">
        <v>0</v>
      </c>
      <c r="BF59" s="112">
        <v>0.8</v>
      </c>
      <c r="BG59" s="112">
        <v>0</v>
      </c>
      <c r="BH59" s="112">
        <v>0</v>
      </c>
      <c r="BI59" s="112">
        <v>0</v>
      </c>
      <c r="BJ59" s="112">
        <v>0</v>
      </c>
      <c r="BK59" s="112">
        <v>0</v>
      </c>
      <c r="BL59" s="112">
        <v>0</v>
      </c>
      <c r="BM59" s="112">
        <v>0</v>
      </c>
      <c r="BN59" s="112">
        <v>0</v>
      </c>
      <c r="BO59" s="112">
        <v>0</v>
      </c>
      <c r="BP59" s="112">
        <v>0</v>
      </c>
      <c r="BQ59" s="112">
        <v>0</v>
      </c>
      <c r="BR59" s="112">
        <v>0</v>
      </c>
      <c r="BS59" s="112">
        <v>0</v>
      </c>
      <c r="BT59" s="112">
        <v>0</v>
      </c>
      <c r="BU59" s="112">
        <v>0</v>
      </c>
      <c r="BV59" s="112">
        <v>0</v>
      </c>
      <c r="BW59" s="112">
        <v>0</v>
      </c>
      <c r="BX59" s="112">
        <v>0</v>
      </c>
      <c r="BY59" s="112">
        <v>0</v>
      </c>
      <c r="BZ59" s="112">
        <v>0</v>
      </c>
      <c r="CA59" s="112">
        <v>0</v>
      </c>
      <c r="CB59" s="112">
        <v>0</v>
      </c>
      <c r="CC59" s="112">
        <v>0</v>
      </c>
      <c r="CD59" s="112">
        <v>0</v>
      </c>
      <c r="CE59" s="112">
        <v>0</v>
      </c>
      <c r="CF59" s="112">
        <v>0</v>
      </c>
      <c r="CG59" s="112">
        <v>0</v>
      </c>
      <c r="CH59" s="112">
        <v>0</v>
      </c>
      <c r="CI59" s="112">
        <v>0</v>
      </c>
      <c r="CJ59" s="112">
        <v>0</v>
      </c>
      <c r="CK59" s="112">
        <v>0</v>
      </c>
      <c r="CL59" s="112">
        <v>0</v>
      </c>
      <c r="CM59" s="112">
        <v>0</v>
      </c>
      <c r="CN59" s="112">
        <v>0</v>
      </c>
      <c r="CO59" s="112">
        <v>0</v>
      </c>
      <c r="CP59" s="112">
        <v>0</v>
      </c>
      <c r="CQ59" s="112">
        <v>0</v>
      </c>
      <c r="CR59" s="112">
        <v>0</v>
      </c>
      <c r="CS59" s="112">
        <v>0</v>
      </c>
      <c r="CT59" s="112">
        <v>0</v>
      </c>
      <c r="CU59" s="112">
        <v>0</v>
      </c>
      <c r="CV59" s="112">
        <v>0</v>
      </c>
    </row>
    <row r="60" spans="1:100" x14ac:dyDescent="0.15">
      <c r="A60" s="189" t="s">
        <v>250</v>
      </c>
      <c r="B60" s="112">
        <v>0</v>
      </c>
      <c r="C60" s="112">
        <v>0</v>
      </c>
      <c r="D60" s="112">
        <v>0</v>
      </c>
      <c r="E60" s="112">
        <v>0</v>
      </c>
      <c r="F60" s="112">
        <v>0</v>
      </c>
      <c r="G60" s="112">
        <v>0</v>
      </c>
      <c r="H60" s="112">
        <v>0</v>
      </c>
      <c r="I60" s="112">
        <v>0</v>
      </c>
      <c r="J60" s="112">
        <v>0</v>
      </c>
      <c r="K60" s="112">
        <v>0</v>
      </c>
      <c r="L60" s="112">
        <v>0</v>
      </c>
      <c r="M60" s="112">
        <v>0</v>
      </c>
      <c r="N60" s="112">
        <v>0</v>
      </c>
      <c r="O60" s="112">
        <v>0.8</v>
      </c>
      <c r="P60" s="112">
        <v>0</v>
      </c>
      <c r="Q60" s="112">
        <v>0</v>
      </c>
      <c r="R60" s="112">
        <v>0.8</v>
      </c>
      <c r="S60" s="112">
        <v>0</v>
      </c>
      <c r="T60" s="112">
        <v>0</v>
      </c>
      <c r="U60" s="112">
        <v>0.8</v>
      </c>
      <c r="V60" s="112">
        <v>0.8</v>
      </c>
      <c r="W60" s="112">
        <v>0.8</v>
      </c>
      <c r="X60" s="112">
        <v>0.8</v>
      </c>
      <c r="Y60" s="112">
        <v>0</v>
      </c>
      <c r="Z60" s="112">
        <v>0</v>
      </c>
      <c r="AA60" s="112">
        <v>0</v>
      </c>
      <c r="AB60" s="112">
        <v>0</v>
      </c>
      <c r="AC60" s="112">
        <v>0</v>
      </c>
      <c r="AD60" s="112">
        <v>0.8</v>
      </c>
      <c r="AE60" s="112">
        <v>0</v>
      </c>
      <c r="AF60" s="112">
        <v>0.8</v>
      </c>
      <c r="AG60" s="112">
        <v>0</v>
      </c>
      <c r="AH60" s="112">
        <v>0</v>
      </c>
      <c r="AI60" s="112">
        <v>0.8</v>
      </c>
      <c r="AJ60" s="112">
        <v>0</v>
      </c>
      <c r="AK60" s="112">
        <v>0</v>
      </c>
      <c r="AL60" s="112">
        <v>0</v>
      </c>
      <c r="AM60" s="112">
        <v>0</v>
      </c>
      <c r="AN60" s="112">
        <v>0</v>
      </c>
      <c r="AO60" s="112">
        <v>0</v>
      </c>
      <c r="AP60" s="112">
        <v>0</v>
      </c>
      <c r="AQ60" s="112">
        <v>0</v>
      </c>
      <c r="AR60" s="112">
        <v>0.8</v>
      </c>
      <c r="AS60" s="112">
        <v>0</v>
      </c>
      <c r="AT60" s="112">
        <v>0</v>
      </c>
      <c r="AU60" s="112">
        <v>0</v>
      </c>
      <c r="AV60" s="112">
        <v>0</v>
      </c>
      <c r="AW60" s="112">
        <v>0</v>
      </c>
      <c r="AX60" s="112">
        <v>0</v>
      </c>
      <c r="AY60" s="112">
        <v>0</v>
      </c>
      <c r="AZ60" s="112">
        <v>0</v>
      </c>
      <c r="BA60" s="112">
        <v>0</v>
      </c>
      <c r="BB60" s="112">
        <v>0</v>
      </c>
      <c r="BC60" s="112">
        <v>0</v>
      </c>
      <c r="BD60" s="112">
        <v>0</v>
      </c>
      <c r="BE60" s="112">
        <v>0</v>
      </c>
      <c r="BF60" s="112">
        <v>0</v>
      </c>
      <c r="BG60" s="112">
        <v>0</v>
      </c>
      <c r="BH60" s="112">
        <v>0</v>
      </c>
      <c r="BI60" s="112">
        <v>0</v>
      </c>
      <c r="BJ60" s="112">
        <v>0</v>
      </c>
      <c r="BK60" s="112">
        <v>0</v>
      </c>
      <c r="BL60" s="112">
        <v>0.8</v>
      </c>
      <c r="BM60" s="112">
        <v>0</v>
      </c>
      <c r="BN60" s="112">
        <v>0</v>
      </c>
      <c r="BO60" s="112">
        <v>0</v>
      </c>
      <c r="BP60" s="112">
        <v>0</v>
      </c>
      <c r="BQ60" s="112">
        <v>0</v>
      </c>
      <c r="BR60" s="112">
        <v>0</v>
      </c>
      <c r="BS60" s="112">
        <v>0</v>
      </c>
      <c r="BT60" s="112">
        <v>0</v>
      </c>
      <c r="BU60" s="112">
        <v>0</v>
      </c>
      <c r="BV60" s="112">
        <v>0</v>
      </c>
      <c r="BW60" s="112">
        <v>0</v>
      </c>
      <c r="BX60" s="112">
        <v>0</v>
      </c>
      <c r="BY60" s="112">
        <v>0</v>
      </c>
      <c r="BZ60" s="112">
        <v>0</v>
      </c>
      <c r="CA60" s="112">
        <v>0</v>
      </c>
      <c r="CB60" s="112">
        <v>0</v>
      </c>
      <c r="CC60" s="112">
        <v>0</v>
      </c>
      <c r="CD60" s="112">
        <v>0</v>
      </c>
      <c r="CE60" s="112">
        <v>0</v>
      </c>
      <c r="CF60" s="112">
        <v>0</v>
      </c>
      <c r="CG60" s="112">
        <v>0</v>
      </c>
      <c r="CH60" s="112">
        <v>0</v>
      </c>
      <c r="CI60" s="112">
        <v>0</v>
      </c>
      <c r="CJ60" s="112">
        <v>0</v>
      </c>
      <c r="CK60" s="112">
        <v>0</v>
      </c>
      <c r="CL60" s="112">
        <v>0</v>
      </c>
      <c r="CM60" s="112">
        <v>0</v>
      </c>
      <c r="CN60" s="112">
        <v>0</v>
      </c>
      <c r="CO60" s="112">
        <v>0</v>
      </c>
      <c r="CP60" s="112">
        <v>0</v>
      </c>
      <c r="CQ60" s="112">
        <v>0</v>
      </c>
      <c r="CR60" s="112">
        <v>0</v>
      </c>
      <c r="CS60" s="112">
        <v>0</v>
      </c>
      <c r="CT60" s="112">
        <v>0</v>
      </c>
      <c r="CU60" s="112">
        <v>0</v>
      </c>
      <c r="CV60" s="112">
        <v>0</v>
      </c>
    </row>
    <row r="61" spans="1:100" x14ac:dyDescent="0.15">
      <c r="A61" s="189" t="s">
        <v>251</v>
      </c>
      <c r="B61" s="112">
        <v>0</v>
      </c>
      <c r="C61" s="112">
        <v>0</v>
      </c>
      <c r="D61" s="112">
        <v>0</v>
      </c>
      <c r="E61" s="112">
        <v>0</v>
      </c>
      <c r="F61" s="112">
        <v>0</v>
      </c>
      <c r="G61" s="112">
        <v>0</v>
      </c>
      <c r="H61" s="112">
        <v>0</v>
      </c>
      <c r="I61" s="112">
        <v>0</v>
      </c>
      <c r="J61" s="112">
        <v>0</v>
      </c>
      <c r="K61" s="112">
        <v>0</v>
      </c>
      <c r="L61" s="112">
        <v>0</v>
      </c>
      <c r="M61" s="112">
        <v>0</v>
      </c>
      <c r="N61" s="112">
        <v>0</v>
      </c>
      <c r="O61" s="112">
        <v>0</v>
      </c>
      <c r="P61" s="112">
        <v>0</v>
      </c>
      <c r="Q61" s="112">
        <v>0</v>
      </c>
      <c r="R61" s="112">
        <v>0</v>
      </c>
      <c r="S61" s="112">
        <v>0</v>
      </c>
      <c r="T61" s="112">
        <v>0</v>
      </c>
      <c r="U61" s="112">
        <v>0</v>
      </c>
      <c r="V61" s="112">
        <v>0</v>
      </c>
      <c r="W61" s="112">
        <v>0</v>
      </c>
      <c r="X61" s="112">
        <v>0</v>
      </c>
      <c r="Y61" s="112">
        <v>0</v>
      </c>
      <c r="Z61" s="112">
        <v>0</v>
      </c>
      <c r="AA61" s="112">
        <v>0</v>
      </c>
      <c r="AB61" s="112">
        <v>0</v>
      </c>
      <c r="AC61" s="112">
        <v>0</v>
      </c>
      <c r="AD61" s="112">
        <v>0</v>
      </c>
      <c r="AE61" s="112">
        <v>0</v>
      </c>
      <c r="AF61" s="112">
        <v>0</v>
      </c>
      <c r="AG61" s="112">
        <v>0</v>
      </c>
      <c r="AH61" s="112">
        <v>0</v>
      </c>
      <c r="AI61" s="112">
        <v>0</v>
      </c>
      <c r="AJ61" s="112">
        <v>0</v>
      </c>
      <c r="AK61" s="112">
        <v>0</v>
      </c>
      <c r="AL61" s="112">
        <v>0</v>
      </c>
      <c r="AM61" s="112">
        <v>0</v>
      </c>
      <c r="AN61" s="112">
        <v>0</v>
      </c>
      <c r="AO61" s="112">
        <v>0</v>
      </c>
      <c r="AP61" s="112">
        <v>0.8</v>
      </c>
      <c r="AQ61" s="112">
        <v>0</v>
      </c>
      <c r="AR61" s="112">
        <v>0.8</v>
      </c>
      <c r="AS61" s="112">
        <v>0</v>
      </c>
      <c r="AT61" s="112">
        <v>0</v>
      </c>
      <c r="AU61" s="112">
        <v>0</v>
      </c>
      <c r="AV61" s="112">
        <v>0</v>
      </c>
      <c r="AW61" s="112">
        <v>0</v>
      </c>
      <c r="AX61" s="112">
        <v>0</v>
      </c>
      <c r="AY61" s="112">
        <v>0</v>
      </c>
      <c r="AZ61" s="112">
        <v>0</v>
      </c>
      <c r="BA61" s="112">
        <v>0</v>
      </c>
      <c r="BB61" s="112">
        <v>0</v>
      </c>
      <c r="BC61" s="112">
        <v>0.8</v>
      </c>
      <c r="BD61" s="112">
        <v>0.8</v>
      </c>
      <c r="BE61" s="112">
        <v>0</v>
      </c>
      <c r="BF61" s="112">
        <v>0.8</v>
      </c>
      <c r="BG61" s="112">
        <v>0.8</v>
      </c>
      <c r="BH61" s="112">
        <v>0</v>
      </c>
      <c r="BI61" s="112">
        <v>0</v>
      </c>
      <c r="BJ61" s="112">
        <v>0</v>
      </c>
      <c r="BK61" s="112">
        <v>0</v>
      </c>
      <c r="BL61" s="112">
        <v>0</v>
      </c>
      <c r="BM61" s="112">
        <v>0</v>
      </c>
      <c r="BN61" s="112">
        <v>0</v>
      </c>
      <c r="BO61" s="112">
        <v>0</v>
      </c>
      <c r="BP61" s="112">
        <v>0</v>
      </c>
      <c r="BQ61" s="112">
        <v>0</v>
      </c>
      <c r="BR61" s="112">
        <v>0</v>
      </c>
      <c r="BS61" s="112">
        <v>0</v>
      </c>
      <c r="BT61" s="112">
        <v>0</v>
      </c>
      <c r="BU61" s="112">
        <v>0</v>
      </c>
      <c r="BV61" s="112">
        <v>0</v>
      </c>
      <c r="BW61" s="112">
        <v>0</v>
      </c>
      <c r="BX61" s="112">
        <v>0</v>
      </c>
      <c r="BY61" s="112">
        <v>0</v>
      </c>
      <c r="BZ61" s="112">
        <v>0</v>
      </c>
      <c r="CA61" s="112">
        <v>0</v>
      </c>
      <c r="CB61" s="112">
        <v>0</v>
      </c>
      <c r="CC61" s="112">
        <v>0</v>
      </c>
      <c r="CD61" s="112">
        <v>0</v>
      </c>
      <c r="CE61" s="112">
        <v>0</v>
      </c>
      <c r="CF61" s="112">
        <v>0</v>
      </c>
      <c r="CG61" s="112">
        <v>0</v>
      </c>
      <c r="CH61" s="112">
        <v>0</v>
      </c>
      <c r="CI61" s="112">
        <v>0</v>
      </c>
      <c r="CJ61" s="112">
        <v>0</v>
      </c>
      <c r="CK61" s="112">
        <v>0</v>
      </c>
      <c r="CL61" s="112">
        <v>0</v>
      </c>
      <c r="CM61" s="112">
        <v>0</v>
      </c>
      <c r="CN61" s="112">
        <v>0</v>
      </c>
      <c r="CO61" s="112">
        <v>0</v>
      </c>
      <c r="CP61" s="112">
        <v>0</v>
      </c>
      <c r="CQ61" s="112">
        <v>0</v>
      </c>
      <c r="CR61" s="112">
        <v>0</v>
      </c>
      <c r="CS61" s="112">
        <v>0</v>
      </c>
      <c r="CT61" s="112">
        <v>0</v>
      </c>
      <c r="CU61" s="112">
        <v>0</v>
      </c>
      <c r="CV61" s="112">
        <v>0</v>
      </c>
    </row>
    <row r="62" spans="1:100" x14ac:dyDescent="0.15">
      <c r="A62" s="189" t="s">
        <v>252</v>
      </c>
      <c r="B62" s="112">
        <v>0</v>
      </c>
      <c r="C62" s="112">
        <v>0</v>
      </c>
      <c r="D62" s="112">
        <v>0</v>
      </c>
      <c r="E62" s="112">
        <v>0</v>
      </c>
      <c r="F62" s="112">
        <v>0</v>
      </c>
      <c r="G62" s="112">
        <v>0</v>
      </c>
      <c r="H62" s="112">
        <v>0</v>
      </c>
      <c r="I62" s="112">
        <v>0</v>
      </c>
      <c r="J62" s="112">
        <v>0</v>
      </c>
      <c r="K62" s="112">
        <v>0</v>
      </c>
      <c r="L62" s="112">
        <v>0</v>
      </c>
      <c r="M62" s="112">
        <v>0</v>
      </c>
      <c r="N62" s="112">
        <v>0</v>
      </c>
      <c r="O62" s="112">
        <v>0.8</v>
      </c>
      <c r="P62" s="112">
        <v>0.8</v>
      </c>
      <c r="Q62" s="112">
        <v>0.8</v>
      </c>
      <c r="R62" s="112">
        <v>0.8</v>
      </c>
      <c r="S62" s="112">
        <v>0</v>
      </c>
      <c r="T62" s="112">
        <v>0</v>
      </c>
      <c r="U62" s="112">
        <v>0.8</v>
      </c>
      <c r="V62" s="112">
        <v>0.8</v>
      </c>
      <c r="W62" s="112">
        <v>0.8</v>
      </c>
      <c r="X62" s="112">
        <v>0.8</v>
      </c>
      <c r="Y62" s="112">
        <v>0</v>
      </c>
      <c r="Z62" s="112">
        <v>0.8</v>
      </c>
      <c r="AA62" s="112">
        <v>0</v>
      </c>
      <c r="AB62" s="112">
        <v>0</v>
      </c>
      <c r="AC62" s="112">
        <v>0</v>
      </c>
      <c r="AD62" s="112">
        <v>0.8</v>
      </c>
      <c r="AE62" s="112">
        <v>0</v>
      </c>
      <c r="AF62" s="112">
        <v>0</v>
      </c>
      <c r="AG62" s="112">
        <v>0.8</v>
      </c>
      <c r="AH62" s="112">
        <v>0</v>
      </c>
      <c r="AI62" s="112">
        <v>0</v>
      </c>
      <c r="AJ62" s="112">
        <v>0.8</v>
      </c>
      <c r="AK62" s="112">
        <v>0</v>
      </c>
      <c r="AL62" s="112">
        <v>0</v>
      </c>
      <c r="AM62" s="112">
        <v>0</v>
      </c>
      <c r="AN62" s="112">
        <v>0</v>
      </c>
      <c r="AO62" s="112">
        <v>0</v>
      </c>
      <c r="AP62" s="112">
        <v>0</v>
      </c>
      <c r="AQ62" s="112">
        <v>0</v>
      </c>
      <c r="AR62" s="112">
        <v>0.8</v>
      </c>
      <c r="AS62" s="112">
        <v>0</v>
      </c>
      <c r="AT62" s="112">
        <v>0</v>
      </c>
      <c r="AU62" s="112">
        <v>0</v>
      </c>
      <c r="AV62" s="112">
        <v>0</v>
      </c>
      <c r="AW62" s="112">
        <v>0</v>
      </c>
      <c r="AX62" s="112">
        <v>0</v>
      </c>
      <c r="AY62" s="112">
        <v>0</v>
      </c>
      <c r="AZ62" s="112">
        <v>0</v>
      </c>
      <c r="BA62" s="112">
        <v>0</v>
      </c>
      <c r="BB62" s="112">
        <v>0</v>
      </c>
      <c r="BC62" s="112">
        <v>0.8</v>
      </c>
      <c r="BD62" s="112">
        <v>0.8</v>
      </c>
      <c r="BE62" s="112">
        <v>0</v>
      </c>
      <c r="BF62" s="112">
        <v>0.8</v>
      </c>
      <c r="BG62" s="112">
        <v>0.8</v>
      </c>
      <c r="BH62" s="112">
        <v>0</v>
      </c>
      <c r="BI62" s="112">
        <v>0</v>
      </c>
      <c r="BJ62" s="112">
        <v>0</v>
      </c>
      <c r="BK62" s="112">
        <v>0</v>
      </c>
      <c r="BL62" s="112">
        <v>0</v>
      </c>
      <c r="BM62" s="112">
        <v>0</v>
      </c>
      <c r="BN62" s="112">
        <v>0</v>
      </c>
      <c r="BO62" s="112">
        <v>0</v>
      </c>
      <c r="BP62" s="112">
        <v>0</v>
      </c>
      <c r="BQ62" s="112">
        <v>0</v>
      </c>
      <c r="BR62" s="112">
        <v>0</v>
      </c>
      <c r="BS62" s="112">
        <v>0</v>
      </c>
      <c r="BT62" s="112">
        <v>0</v>
      </c>
      <c r="BU62" s="112">
        <v>0</v>
      </c>
      <c r="BV62" s="112">
        <v>0</v>
      </c>
      <c r="BW62" s="112">
        <v>0</v>
      </c>
      <c r="BX62" s="112">
        <v>0</v>
      </c>
      <c r="BY62" s="112">
        <v>0</v>
      </c>
      <c r="BZ62" s="112">
        <v>0</v>
      </c>
      <c r="CA62" s="112">
        <v>0</v>
      </c>
      <c r="CB62" s="112">
        <v>0</v>
      </c>
      <c r="CC62" s="112">
        <v>0</v>
      </c>
      <c r="CD62" s="112">
        <v>0</v>
      </c>
      <c r="CE62" s="112">
        <v>0</v>
      </c>
      <c r="CF62" s="112">
        <v>0</v>
      </c>
      <c r="CG62" s="112">
        <v>0</v>
      </c>
      <c r="CH62" s="112">
        <v>0</v>
      </c>
      <c r="CI62" s="112">
        <v>0</v>
      </c>
      <c r="CJ62" s="112">
        <v>0</v>
      </c>
      <c r="CK62" s="112">
        <v>0</v>
      </c>
      <c r="CL62" s="112">
        <v>0</v>
      </c>
      <c r="CM62" s="112">
        <v>0</v>
      </c>
      <c r="CN62" s="112">
        <v>0</v>
      </c>
      <c r="CO62" s="112">
        <v>0</v>
      </c>
      <c r="CP62" s="112">
        <v>0</v>
      </c>
      <c r="CQ62" s="112">
        <v>0</v>
      </c>
      <c r="CR62" s="112">
        <v>0</v>
      </c>
      <c r="CS62" s="112">
        <v>0</v>
      </c>
      <c r="CT62" s="112">
        <v>0</v>
      </c>
      <c r="CU62" s="112">
        <v>0</v>
      </c>
      <c r="CV62" s="112">
        <v>0</v>
      </c>
    </row>
    <row r="63" spans="1:100" x14ac:dyDescent="0.15">
      <c r="A63" s="189" t="s">
        <v>253</v>
      </c>
      <c r="B63" s="112">
        <v>0</v>
      </c>
      <c r="C63" s="112">
        <v>0</v>
      </c>
      <c r="D63" s="112">
        <v>0</v>
      </c>
      <c r="E63" s="112">
        <v>0</v>
      </c>
      <c r="F63" s="112">
        <v>0</v>
      </c>
      <c r="G63" s="112">
        <v>0</v>
      </c>
      <c r="H63" s="112">
        <v>0</v>
      </c>
      <c r="I63" s="112">
        <v>0</v>
      </c>
      <c r="J63" s="112">
        <v>0</v>
      </c>
      <c r="K63" s="112">
        <v>0</v>
      </c>
      <c r="L63" s="112">
        <v>0</v>
      </c>
      <c r="M63" s="112">
        <v>0</v>
      </c>
      <c r="N63" s="112">
        <v>0</v>
      </c>
      <c r="O63" s="112">
        <v>0.8</v>
      </c>
      <c r="P63" s="112">
        <v>0</v>
      </c>
      <c r="Q63" s="112">
        <v>0.8</v>
      </c>
      <c r="R63" s="112">
        <v>0.8</v>
      </c>
      <c r="S63" s="112">
        <v>0</v>
      </c>
      <c r="T63" s="112">
        <v>0.8</v>
      </c>
      <c r="U63" s="112">
        <v>0.8</v>
      </c>
      <c r="V63" s="112">
        <v>0.8</v>
      </c>
      <c r="W63" s="112">
        <v>0.8</v>
      </c>
      <c r="X63" s="112">
        <v>0.8</v>
      </c>
      <c r="Y63" s="112">
        <v>0</v>
      </c>
      <c r="Z63" s="112">
        <v>0.8</v>
      </c>
      <c r="AA63" s="112">
        <v>0</v>
      </c>
      <c r="AB63" s="112">
        <v>0</v>
      </c>
      <c r="AC63" s="112">
        <v>0</v>
      </c>
      <c r="AD63" s="112">
        <v>0</v>
      </c>
      <c r="AE63" s="112">
        <v>0</v>
      </c>
      <c r="AF63" s="112">
        <v>0.8</v>
      </c>
      <c r="AG63" s="112">
        <v>0.8</v>
      </c>
      <c r="AH63" s="112">
        <v>0</v>
      </c>
      <c r="AI63" s="112">
        <v>0</v>
      </c>
      <c r="AJ63" s="112">
        <v>0.8</v>
      </c>
      <c r="AK63" s="112">
        <v>0</v>
      </c>
      <c r="AL63" s="112">
        <v>0</v>
      </c>
      <c r="AM63" s="112">
        <v>0</v>
      </c>
      <c r="AN63" s="112">
        <v>0</v>
      </c>
      <c r="AO63" s="112">
        <v>0</v>
      </c>
      <c r="AP63" s="112">
        <v>0</v>
      </c>
      <c r="AQ63" s="112">
        <v>0</v>
      </c>
      <c r="AR63" s="112">
        <v>0.8</v>
      </c>
      <c r="AS63" s="112">
        <v>0</v>
      </c>
      <c r="AT63" s="112">
        <v>0</v>
      </c>
      <c r="AU63" s="112">
        <v>0.8</v>
      </c>
      <c r="AV63" s="112">
        <v>0.8</v>
      </c>
      <c r="AW63" s="112">
        <v>0.8</v>
      </c>
      <c r="AX63" s="112">
        <v>0.8</v>
      </c>
      <c r="AY63" s="112">
        <v>0.8</v>
      </c>
      <c r="AZ63" s="112">
        <v>0.8</v>
      </c>
      <c r="BA63" s="112">
        <v>0.8</v>
      </c>
      <c r="BB63" s="112">
        <v>0</v>
      </c>
      <c r="BC63" s="112">
        <v>0.8</v>
      </c>
      <c r="BD63" s="112">
        <v>0.8</v>
      </c>
      <c r="BE63" s="112">
        <v>0.8</v>
      </c>
      <c r="BF63" s="112">
        <v>0.8</v>
      </c>
      <c r="BG63" s="112">
        <v>0</v>
      </c>
      <c r="BH63" s="112">
        <v>0</v>
      </c>
      <c r="BI63" s="112">
        <v>0</v>
      </c>
      <c r="BJ63" s="112">
        <v>0</v>
      </c>
      <c r="BK63" s="112">
        <v>0</v>
      </c>
      <c r="BL63" s="112">
        <v>0.8</v>
      </c>
      <c r="BM63" s="112">
        <v>0</v>
      </c>
      <c r="BN63" s="112">
        <v>0</v>
      </c>
      <c r="BO63" s="112">
        <v>0</v>
      </c>
      <c r="BP63" s="112">
        <v>0</v>
      </c>
      <c r="BQ63" s="112">
        <v>0</v>
      </c>
      <c r="BR63" s="112">
        <v>0</v>
      </c>
      <c r="BS63" s="112">
        <v>0</v>
      </c>
      <c r="BT63" s="112">
        <v>0</v>
      </c>
      <c r="BU63" s="112">
        <v>0</v>
      </c>
      <c r="BV63" s="112">
        <v>0</v>
      </c>
      <c r="BW63" s="112">
        <v>0</v>
      </c>
      <c r="BX63" s="112">
        <v>0</v>
      </c>
      <c r="BY63" s="112">
        <v>0</v>
      </c>
      <c r="BZ63" s="112">
        <v>0</v>
      </c>
      <c r="CA63" s="112">
        <v>0</v>
      </c>
      <c r="CB63" s="112">
        <v>0</v>
      </c>
      <c r="CC63" s="112">
        <v>0</v>
      </c>
      <c r="CD63" s="112">
        <v>0</v>
      </c>
      <c r="CE63" s="112">
        <v>0</v>
      </c>
      <c r="CF63" s="112">
        <v>0</v>
      </c>
      <c r="CG63" s="112">
        <v>0</v>
      </c>
      <c r="CH63" s="112">
        <v>0</v>
      </c>
      <c r="CI63" s="112">
        <v>0</v>
      </c>
      <c r="CJ63" s="112">
        <v>0</v>
      </c>
      <c r="CK63" s="112">
        <v>0</v>
      </c>
      <c r="CL63" s="112">
        <v>0</v>
      </c>
      <c r="CM63" s="112">
        <v>0</v>
      </c>
      <c r="CN63" s="112">
        <v>0</v>
      </c>
      <c r="CO63" s="112">
        <v>0</v>
      </c>
      <c r="CP63" s="112">
        <v>0</v>
      </c>
      <c r="CQ63" s="112">
        <v>0</v>
      </c>
      <c r="CR63" s="112">
        <v>0</v>
      </c>
      <c r="CS63" s="112">
        <v>0</v>
      </c>
      <c r="CT63" s="112">
        <v>0</v>
      </c>
      <c r="CU63" s="112">
        <v>0</v>
      </c>
      <c r="CV63" s="112">
        <v>0</v>
      </c>
    </row>
    <row r="64" spans="1:100" x14ac:dyDescent="0.15">
      <c r="A64" s="189" t="s">
        <v>254</v>
      </c>
      <c r="B64" s="112">
        <v>0</v>
      </c>
      <c r="C64" s="112">
        <v>0</v>
      </c>
      <c r="D64" s="112">
        <v>0</v>
      </c>
      <c r="E64" s="112">
        <v>0</v>
      </c>
      <c r="F64" s="112">
        <v>0</v>
      </c>
      <c r="G64" s="112">
        <v>0</v>
      </c>
      <c r="H64" s="112">
        <v>0</v>
      </c>
      <c r="I64" s="112">
        <v>0</v>
      </c>
      <c r="J64" s="112">
        <v>0</v>
      </c>
      <c r="K64" s="112">
        <v>0</v>
      </c>
      <c r="L64" s="112">
        <v>0</v>
      </c>
      <c r="M64" s="112">
        <v>0</v>
      </c>
      <c r="N64" s="112">
        <v>0</v>
      </c>
      <c r="O64" s="112">
        <v>0</v>
      </c>
      <c r="P64" s="112">
        <v>0</v>
      </c>
      <c r="Q64" s="112">
        <v>0</v>
      </c>
      <c r="R64" s="112">
        <v>0</v>
      </c>
      <c r="S64" s="112">
        <v>0</v>
      </c>
      <c r="T64" s="112">
        <v>0</v>
      </c>
      <c r="U64" s="112">
        <v>0.8</v>
      </c>
      <c r="V64" s="112">
        <v>0</v>
      </c>
      <c r="W64" s="112">
        <v>0</v>
      </c>
      <c r="X64" s="112">
        <v>0</v>
      </c>
      <c r="Y64" s="112">
        <v>0</v>
      </c>
      <c r="Z64" s="112">
        <v>0</v>
      </c>
      <c r="AA64" s="112">
        <v>0</v>
      </c>
      <c r="AB64" s="112">
        <v>0</v>
      </c>
      <c r="AC64" s="112">
        <v>0</v>
      </c>
      <c r="AD64" s="112">
        <v>0</v>
      </c>
      <c r="AE64" s="112">
        <v>0</v>
      </c>
      <c r="AF64" s="112">
        <v>0.8</v>
      </c>
      <c r="AG64" s="112">
        <v>0</v>
      </c>
      <c r="AH64" s="112">
        <v>0</v>
      </c>
      <c r="AI64" s="112">
        <v>0</v>
      </c>
      <c r="AJ64" s="112">
        <v>0</v>
      </c>
      <c r="AK64" s="112">
        <v>0</v>
      </c>
      <c r="AL64" s="112">
        <v>0</v>
      </c>
      <c r="AM64" s="112">
        <v>0</v>
      </c>
      <c r="AN64" s="112">
        <v>0</v>
      </c>
      <c r="AO64" s="112">
        <v>0</v>
      </c>
      <c r="AP64" s="112">
        <v>0</v>
      </c>
      <c r="AQ64" s="112">
        <v>0</v>
      </c>
      <c r="AR64" s="112">
        <v>0.8</v>
      </c>
      <c r="AS64" s="112">
        <v>0</v>
      </c>
      <c r="AT64" s="112">
        <v>0</v>
      </c>
      <c r="AU64" s="112">
        <v>0</v>
      </c>
      <c r="AV64" s="112">
        <v>0</v>
      </c>
      <c r="AW64" s="112">
        <v>0</v>
      </c>
      <c r="AX64" s="112">
        <v>0</v>
      </c>
      <c r="AY64" s="112">
        <v>0</v>
      </c>
      <c r="AZ64" s="112">
        <v>0</v>
      </c>
      <c r="BA64" s="112">
        <v>0</v>
      </c>
      <c r="BB64" s="112">
        <v>0</v>
      </c>
      <c r="BC64" s="112">
        <v>0</v>
      </c>
      <c r="BD64" s="112">
        <v>0</v>
      </c>
      <c r="BE64" s="112">
        <v>0</v>
      </c>
      <c r="BF64" s="112">
        <v>0</v>
      </c>
      <c r="BG64" s="112">
        <v>0</v>
      </c>
      <c r="BH64" s="112">
        <v>0</v>
      </c>
      <c r="BI64" s="112">
        <v>0</v>
      </c>
      <c r="BJ64" s="112">
        <v>0</v>
      </c>
      <c r="BK64" s="112">
        <v>0</v>
      </c>
      <c r="BL64" s="112">
        <v>0</v>
      </c>
      <c r="BM64" s="112">
        <v>0</v>
      </c>
      <c r="BN64" s="112">
        <v>0</v>
      </c>
      <c r="BO64" s="112">
        <v>0</v>
      </c>
      <c r="BP64" s="112">
        <v>0</v>
      </c>
      <c r="BQ64" s="112">
        <v>0</v>
      </c>
      <c r="BR64" s="112">
        <v>0</v>
      </c>
      <c r="BS64" s="112">
        <v>0</v>
      </c>
      <c r="BT64" s="112">
        <v>0</v>
      </c>
      <c r="BU64" s="112">
        <v>0</v>
      </c>
      <c r="BV64" s="112">
        <v>0</v>
      </c>
      <c r="BW64" s="112">
        <v>0</v>
      </c>
      <c r="BX64" s="112">
        <v>0</v>
      </c>
      <c r="BY64" s="112">
        <v>0</v>
      </c>
      <c r="BZ64" s="112">
        <v>0</v>
      </c>
      <c r="CA64" s="112">
        <v>0</v>
      </c>
      <c r="CB64" s="112">
        <v>0</v>
      </c>
      <c r="CC64" s="112">
        <v>0</v>
      </c>
      <c r="CD64" s="112">
        <v>0</v>
      </c>
      <c r="CE64" s="112">
        <v>0</v>
      </c>
      <c r="CF64" s="112">
        <v>0</v>
      </c>
      <c r="CG64" s="112">
        <v>0</v>
      </c>
      <c r="CH64" s="112">
        <v>0</v>
      </c>
      <c r="CI64" s="112">
        <v>0</v>
      </c>
      <c r="CJ64" s="112">
        <v>0</v>
      </c>
      <c r="CK64" s="112">
        <v>0</v>
      </c>
      <c r="CL64" s="112">
        <v>0</v>
      </c>
      <c r="CM64" s="112">
        <v>0</v>
      </c>
      <c r="CN64" s="112">
        <v>0</v>
      </c>
      <c r="CO64" s="112">
        <v>0</v>
      </c>
      <c r="CP64" s="112">
        <v>0</v>
      </c>
      <c r="CQ64" s="112">
        <v>0</v>
      </c>
      <c r="CR64" s="112">
        <v>0</v>
      </c>
      <c r="CS64" s="112">
        <v>0</v>
      </c>
      <c r="CT64" s="112">
        <v>0</v>
      </c>
      <c r="CU64" s="112">
        <v>0</v>
      </c>
      <c r="CV64" s="112">
        <v>0</v>
      </c>
    </row>
    <row r="65" spans="1:100" x14ac:dyDescent="0.15">
      <c r="A65" s="189" t="s">
        <v>255</v>
      </c>
      <c r="B65" s="112">
        <v>0</v>
      </c>
      <c r="C65" s="112">
        <v>0</v>
      </c>
      <c r="D65" s="112">
        <v>0</v>
      </c>
      <c r="E65" s="112">
        <v>0.8</v>
      </c>
      <c r="F65" s="112">
        <v>0</v>
      </c>
      <c r="G65" s="112">
        <v>0</v>
      </c>
      <c r="H65" s="112">
        <v>0</v>
      </c>
      <c r="I65" s="112">
        <v>0</v>
      </c>
      <c r="J65" s="112">
        <v>0</v>
      </c>
      <c r="K65" s="112">
        <v>0</v>
      </c>
      <c r="L65" s="112">
        <v>0</v>
      </c>
      <c r="M65" s="112">
        <v>0</v>
      </c>
      <c r="N65" s="112">
        <v>0</v>
      </c>
      <c r="O65" s="112">
        <v>0.8</v>
      </c>
      <c r="P65" s="112">
        <v>0.8</v>
      </c>
      <c r="Q65" s="112">
        <v>0.8</v>
      </c>
      <c r="R65" s="112">
        <v>0.8</v>
      </c>
      <c r="S65" s="112">
        <v>0.8</v>
      </c>
      <c r="T65" s="112">
        <v>0.8</v>
      </c>
      <c r="U65" s="112">
        <v>0.8</v>
      </c>
      <c r="V65" s="112">
        <v>0.8</v>
      </c>
      <c r="W65" s="112">
        <v>0.8</v>
      </c>
      <c r="X65" s="112">
        <v>0.8</v>
      </c>
      <c r="Y65" s="112">
        <v>0</v>
      </c>
      <c r="Z65" s="112">
        <v>0.8</v>
      </c>
      <c r="AA65" s="112">
        <v>0</v>
      </c>
      <c r="AB65" s="112">
        <v>0</v>
      </c>
      <c r="AC65" s="112">
        <v>0</v>
      </c>
      <c r="AD65" s="112">
        <v>0.8</v>
      </c>
      <c r="AE65" s="112">
        <v>0.8</v>
      </c>
      <c r="AF65" s="112">
        <v>0.8</v>
      </c>
      <c r="AG65" s="112">
        <v>0</v>
      </c>
      <c r="AH65" s="112">
        <v>0</v>
      </c>
      <c r="AI65" s="112">
        <v>0</v>
      </c>
      <c r="AJ65" s="112">
        <v>0</v>
      </c>
      <c r="AK65" s="112">
        <v>0.8</v>
      </c>
      <c r="AL65" s="112">
        <v>0</v>
      </c>
      <c r="AM65" s="112">
        <v>0</v>
      </c>
      <c r="AN65" s="112">
        <v>0</v>
      </c>
      <c r="AO65" s="112">
        <v>0</v>
      </c>
      <c r="AP65" s="112">
        <v>0.8</v>
      </c>
      <c r="AQ65" s="112">
        <v>0</v>
      </c>
      <c r="AR65" s="112">
        <v>0</v>
      </c>
      <c r="AS65" s="112">
        <v>0.8</v>
      </c>
      <c r="AT65" s="112">
        <v>0</v>
      </c>
      <c r="AU65" s="112">
        <v>0</v>
      </c>
      <c r="AV65" s="112">
        <v>0</v>
      </c>
      <c r="AW65" s="112">
        <v>0.8</v>
      </c>
      <c r="AX65" s="112">
        <v>0</v>
      </c>
      <c r="AY65" s="112">
        <v>0</v>
      </c>
      <c r="AZ65" s="112">
        <v>0</v>
      </c>
      <c r="BA65" s="112">
        <v>0</v>
      </c>
      <c r="BB65" s="112">
        <v>0</v>
      </c>
      <c r="BC65" s="112">
        <v>0.8</v>
      </c>
      <c r="BD65" s="112">
        <v>0.8</v>
      </c>
      <c r="BE65" s="112">
        <v>0</v>
      </c>
      <c r="BF65" s="112">
        <v>0.8</v>
      </c>
      <c r="BG65" s="112">
        <v>0.8</v>
      </c>
      <c r="BH65" s="112">
        <v>0</v>
      </c>
      <c r="BI65" s="112">
        <v>0</v>
      </c>
      <c r="BJ65" s="112">
        <v>0.8</v>
      </c>
      <c r="BK65" s="112">
        <v>0</v>
      </c>
      <c r="BL65" s="112">
        <v>0.8</v>
      </c>
      <c r="BM65" s="112">
        <v>0</v>
      </c>
      <c r="BN65" s="112">
        <v>0</v>
      </c>
      <c r="BO65" s="112">
        <v>0</v>
      </c>
      <c r="BP65" s="112">
        <v>0</v>
      </c>
      <c r="BQ65" s="112">
        <v>0</v>
      </c>
      <c r="BR65" s="112">
        <v>0</v>
      </c>
      <c r="BS65" s="112">
        <v>0</v>
      </c>
      <c r="BT65" s="112">
        <v>0</v>
      </c>
      <c r="BU65" s="112">
        <v>0</v>
      </c>
      <c r="BV65" s="112">
        <v>0</v>
      </c>
      <c r="BW65" s="112">
        <v>0</v>
      </c>
      <c r="BX65" s="112">
        <v>0</v>
      </c>
      <c r="BY65" s="112">
        <v>0</v>
      </c>
      <c r="BZ65" s="112">
        <v>0</v>
      </c>
      <c r="CA65" s="112">
        <v>0</v>
      </c>
      <c r="CB65" s="112">
        <v>0</v>
      </c>
      <c r="CC65" s="112">
        <v>0</v>
      </c>
      <c r="CD65" s="112">
        <v>0</v>
      </c>
      <c r="CE65" s="112">
        <v>0</v>
      </c>
      <c r="CF65" s="112">
        <v>0</v>
      </c>
      <c r="CG65" s="112">
        <v>0</v>
      </c>
      <c r="CH65" s="112">
        <v>0</v>
      </c>
      <c r="CI65" s="112">
        <v>0</v>
      </c>
      <c r="CJ65" s="112">
        <v>0</v>
      </c>
      <c r="CK65" s="112">
        <v>0</v>
      </c>
      <c r="CL65" s="112">
        <v>0</v>
      </c>
      <c r="CM65" s="112">
        <v>0</v>
      </c>
      <c r="CN65" s="112">
        <v>0</v>
      </c>
      <c r="CO65" s="112">
        <v>0</v>
      </c>
      <c r="CP65" s="112">
        <v>0</v>
      </c>
      <c r="CQ65" s="112">
        <v>0</v>
      </c>
      <c r="CR65" s="112">
        <v>0</v>
      </c>
      <c r="CS65" s="112">
        <v>0</v>
      </c>
      <c r="CT65" s="112">
        <v>0</v>
      </c>
      <c r="CU65" s="112">
        <v>0</v>
      </c>
      <c r="CV65" s="112">
        <v>0</v>
      </c>
    </row>
    <row r="66" spans="1:100" x14ac:dyDescent="0.15">
      <c r="A66" s="189" t="s">
        <v>256</v>
      </c>
      <c r="B66" s="112">
        <v>0.8</v>
      </c>
      <c r="C66" s="112">
        <v>0</v>
      </c>
      <c r="D66" s="112">
        <v>0</v>
      </c>
      <c r="E66" s="112">
        <v>0.8</v>
      </c>
      <c r="F66" s="112">
        <v>0</v>
      </c>
      <c r="G66" s="112">
        <v>0</v>
      </c>
      <c r="H66" s="112">
        <v>0</v>
      </c>
      <c r="I66" s="112">
        <v>0</v>
      </c>
      <c r="J66" s="112">
        <v>0</v>
      </c>
      <c r="K66" s="112">
        <v>0</v>
      </c>
      <c r="L66" s="112">
        <v>0</v>
      </c>
      <c r="M66" s="112">
        <v>0</v>
      </c>
      <c r="N66" s="112">
        <v>0</v>
      </c>
      <c r="O66" s="112">
        <v>0</v>
      </c>
      <c r="P66" s="112">
        <v>0</v>
      </c>
      <c r="Q66" s="112">
        <v>0</v>
      </c>
      <c r="R66" s="112">
        <v>0</v>
      </c>
      <c r="S66" s="112">
        <v>0</v>
      </c>
      <c r="T66" s="112">
        <v>0</v>
      </c>
      <c r="U66" s="112">
        <v>0</v>
      </c>
      <c r="V66" s="112">
        <v>0</v>
      </c>
      <c r="W66" s="112">
        <v>0</v>
      </c>
      <c r="X66" s="112">
        <v>0.8</v>
      </c>
      <c r="Y66" s="112">
        <v>0</v>
      </c>
      <c r="Z66" s="112">
        <v>0</v>
      </c>
      <c r="AA66" s="112">
        <v>0</v>
      </c>
      <c r="AB66" s="112">
        <v>0</v>
      </c>
      <c r="AC66" s="112">
        <v>0.8</v>
      </c>
      <c r="AD66" s="112">
        <v>0</v>
      </c>
      <c r="AE66" s="112">
        <v>0</v>
      </c>
      <c r="AF66" s="112">
        <v>0</v>
      </c>
      <c r="AG66" s="112">
        <v>0</v>
      </c>
      <c r="AH66" s="112">
        <v>0</v>
      </c>
      <c r="AI66" s="112">
        <v>0</v>
      </c>
      <c r="AJ66" s="112">
        <v>0</v>
      </c>
      <c r="AK66" s="112">
        <v>0</v>
      </c>
      <c r="AL66" s="112">
        <v>0</v>
      </c>
      <c r="AM66" s="112">
        <v>0</v>
      </c>
      <c r="AN66" s="112">
        <v>0</v>
      </c>
      <c r="AO66" s="112">
        <v>0</v>
      </c>
      <c r="AP66" s="112">
        <v>0.8</v>
      </c>
      <c r="AQ66" s="112">
        <v>0</v>
      </c>
      <c r="AR66" s="112">
        <v>0.8</v>
      </c>
      <c r="AS66" s="112">
        <v>0</v>
      </c>
      <c r="AT66" s="112">
        <v>0.8</v>
      </c>
      <c r="AU66" s="112">
        <v>0.8</v>
      </c>
      <c r="AV66" s="112">
        <v>0</v>
      </c>
      <c r="AW66" s="112">
        <v>0.8</v>
      </c>
      <c r="AX66" s="112">
        <v>0.8</v>
      </c>
      <c r="AY66" s="112">
        <v>0.8</v>
      </c>
      <c r="AZ66" s="112">
        <v>0.8</v>
      </c>
      <c r="BA66" s="112">
        <v>0.8</v>
      </c>
      <c r="BB66" s="112">
        <v>0</v>
      </c>
      <c r="BC66" s="112">
        <v>0.8</v>
      </c>
      <c r="BD66" s="112">
        <v>0.8</v>
      </c>
      <c r="BE66" s="112">
        <v>0.8</v>
      </c>
      <c r="BF66" s="112">
        <v>0.8</v>
      </c>
      <c r="BG66" s="112">
        <v>0.8</v>
      </c>
      <c r="BH66" s="112">
        <v>0</v>
      </c>
      <c r="BI66" s="112">
        <v>0</v>
      </c>
      <c r="BJ66" s="112">
        <v>0</v>
      </c>
      <c r="BK66" s="112">
        <v>0</v>
      </c>
      <c r="BL66" s="112">
        <v>0</v>
      </c>
      <c r="BM66" s="112">
        <v>0</v>
      </c>
      <c r="BN66" s="112">
        <v>0</v>
      </c>
      <c r="BO66" s="112">
        <v>0</v>
      </c>
      <c r="BP66" s="112">
        <v>0</v>
      </c>
      <c r="BQ66" s="112">
        <v>0</v>
      </c>
      <c r="BR66" s="112">
        <v>0</v>
      </c>
      <c r="BS66" s="112">
        <v>0</v>
      </c>
      <c r="BT66" s="112">
        <v>0</v>
      </c>
      <c r="BU66" s="112">
        <v>0</v>
      </c>
      <c r="BV66" s="112">
        <v>0</v>
      </c>
      <c r="BW66" s="112">
        <v>0</v>
      </c>
      <c r="BX66" s="112">
        <v>0</v>
      </c>
      <c r="BY66" s="112">
        <v>0</v>
      </c>
      <c r="BZ66" s="112">
        <v>0</v>
      </c>
      <c r="CA66" s="112">
        <v>0</v>
      </c>
      <c r="CB66" s="112">
        <v>0</v>
      </c>
      <c r="CC66" s="112">
        <v>0</v>
      </c>
      <c r="CD66" s="112">
        <v>0</v>
      </c>
      <c r="CE66" s="112">
        <v>0</v>
      </c>
      <c r="CF66" s="112">
        <v>0</v>
      </c>
      <c r="CG66" s="112">
        <v>0</v>
      </c>
      <c r="CH66" s="112">
        <v>0</v>
      </c>
      <c r="CI66" s="112">
        <v>0</v>
      </c>
      <c r="CJ66" s="112">
        <v>0</v>
      </c>
      <c r="CK66" s="112">
        <v>0</v>
      </c>
      <c r="CL66" s="112">
        <v>0</v>
      </c>
      <c r="CM66" s="112">
        <v>0</v>
      </c>
      <c r="CN66" s="112">
        <v>0</v>
      </c>
      <c r="CO66" s="112">
        <v>0</v>
      </c>
      <c r="CP66" s="112">
        <v>0</v>
      </c>
      <c r="CQ66" s="112">
        <v>0</v>
      </c>
      <c r="CR66" s="112">
        <v>0</v>
      </c>
      <c r="CS66" s="112">
        <v>0</v>
      </c>
      <c r="CT66" s="112">
        <v>0</v>
      </c>
      <c r="CU66" s="112">
        <v>0</v>
      </c>
      <c r="CV66" s="112">
        <v>0</v>
      </c>
    </row>
    <row r="67" spans="1:100" x14ac:dyDescent="0.15">
      <c r="A67" s="189" t="s">
        <v>257</v>
      </c>
      <c r="B67" s="112">
        <v>0.8</v>
      </c>
      <c r="C67" s="112">
        <v>0</v>
      </c>
      <c r="D67" s="112">
        <v>0</v>
      </c>
      <c r="E67" s="112">
        <v>0</v>
      </c>
      <c r="F67" s="112">
        <v>0</v>
      </c>
      <c r="G67" s="112">
        <v>0</v>
      </c>
      <c r="H67" s="112">
        <v>0</v>
      </c>
      <c r="I67" s="112">
        <v>0</v>
      </c>
      <c r="J67" s="112">
        <v>0</v>
      </c>
      <c r="K67" s="112">
        <v>0</v>
      </c>
      <c r="L67" s="112">
        <v>0</v>
      </c>
      <c r="M67" s="112">
        <v>0</v>
      </c>
      <c r="N67" s="112">
        <v>0.8</v>
      </c>
      <c r="O67" s="112">
        <v>0.8</v>
      </c>
      <c r="P67" s="112">
        <v>0.8</v>
      </c>
      <c r="Q67" s="112">
        <v>0.8</v>
      </c>
      <c r="R67" s="112">
        <v>0.8</v>
      </c>
      <c r="S67" s="112">
        <v>0.8</v>
      </c>
      <c r="T67" s="112">
        <v>0.8</v>
      </c>
      <c r="U67" s="112">
        <v>0.8</v>
      </c>
      <c r="V67" s="112">
        <v>0.8</v>
      </c>
      <c r="W67" s="112">
        <v>0.8</v>
      </c>
      <c r="X67" s="112">
        <v>0.8</v>
      </c>
      <c r="Y67" s="112">
        <v>0</v>
      </c>
      <c r="Z67" s="112">
        <v>0.8</v>
      </c>
      <c r="AA67" s="112">
        <v>0</v>
      </c>
      <c r="AB67" s="112">
        <v>0</v>
      </c>
      <c r="AC67" s="112">
        <v>0</v>
      </c>
      <c r="AD67" s="112">
        <v>0.8</v>
      </c>
      <c r="AE67" s="112">
        <v>0.8</v>
      </c>
      <c r="AF67" s="112">
        <v>0.8</v>
      </c>
      <c r="AG67" s="112">
        <v>0.8</v>
      </c>
      <c r="AH67" s="112">
        <v>0.8</v>
      </c>
      <c r="AI67" s="112">
        <v>0.8</v>
      </c>
      <c r="AJ67" s="112">
        <v>0.8</v>
      </c>
      <c r="AK67" s="112">
        <v>0.8</v>
      </c>
      <c r="AL67" s="112">
        <v>0</v>
      </c>
      <c r="AM67" s="112">
        <v>0</v>
      </c>
      <c r="AN67" s="112">
        <v>0</v>
      </c>
      <c r="AO67" s="112">
        <v>0</v>
      </c>
      <c r="AP67" s="112">
        <v>0.8</v>
      </c>
      <c r="AQ67" s="112">
        <v>0</v>
      </c>
      <c r="AR67" s="112">
        <v>0.8</v>
      </c>
      <c r="AS67" s="112">
        <v>0</v>
      </c>
      <c r="AT67" s="112">
        <v>0</v>
      </c>
      <c r="AU67" s="112">
        <v>0</v>
      </c>
      <c r="AV67" s="112">
        <v>0.8</v>
      </c>
      <c r="AW67" s="112">
        <v>0</v>
      </c>
      <c r="AX67" s="112">
        <v>0</v>
      </c>
      <c r="AY67" s="112">
        <v>0</v>
      </c>
      <c r="AZ67" s="112">
        <v>0</v>
      </c>
      <c r="BA67" s="112">
        <v>0</v>
      </c>
      <c r="BB67" s="112">
        <v>0.8</v>
      </c>
      <c r="BC67" s="112">
        <v>0.8</v>
      </c>
      <c r="BD67" s="112">
        <v>0.8</v>
      </c>
      <c r="BE67" s="112">
        <v>0</v>
      </c>
      <c r="BF67" s="112">
        <v>0.8</v>
      </c>
      <c r="BG67" s="112">
        <v>0.8</v>
      </c>
      <c r="BH67" s="112">
        <v>0</v>
      </c>
      <c r="BI67" s="112">
        <v>0</v>
      </c>
      <c r="BJ67" s="112">
        <v>0</v>
      </c>
      <c r="BK67" s="112">
        <v>0</v>
      </c>
      <c r="BL67" s="112">
        <v>0</v>
      </c>
      <c r="BM67" s="112">
        <v>0</v>
      </c>
      <c r="BN67" s="112">
        <v>0</v>
      </c>
      <c r="BO67" s="112">
        <v>0</v>
      </c>
      <c r="BP67" s="112">
        <v>0</v>
      </c>
      <c r="BQ67" s="112">
        <v>0</v>
      </c>
      <c r="BR67" s="112">
        <v>0</v>
      </c>
      <c r="BS67" s="112">
        <v>0</v>
      </c>
      <c r="BT67" s="112">
        <v>0</v>
      </c>
      <c r="BU67" s="112">
        <v>0</v>
      </c>
      <c r="BV67" s="112">
        <v>0</v>
      </c>
      <c r="BW67" s="112">
        <v>0</v>
      </c>
      <c r="BX67" s="112">
        <v>0</v>
      </c>
      <c r="BY67" s="112">
        <v>0</v>
      </c>
      <c r="BZ67" s="112">
        <v>0</v>
      </c>
      <c r="CA67" s="112">
        <v>0</v>
      </c>
      <c r="CB67" s="112">
        <v>0</v>
      </c>
      <c r="CC67" s="112">
        <v>0</v>
      </c>
      <c r="CD67" s="112">
        <v>0</v>
      </c>
      <c r="CE67" s="112">
        <v>0</v>
      </c>
      <c r="CF67" s="112">
        <v>0</v>
      </c>
      <c r="CG67" s="112">
        <v>0</v>
      </c>
      <c r="CH67" s="112">
        <v>0</v>
      </c>
      <c r="CI67" s="112">
        <v>0</v>
      </c>
      <c r="CJ67" s="112">
        <v>0</v>
      </c>
      <c r="CK67" s="112">
        <v>0</v>
      </c>
      <c r="CL67" s="112">
        <v>0</v>
      </c>
      <c r="CM67" s="112">
        <v>0</v>
      </c>
      <c r="CN67" s="112">
        <v>0</v>
      </c>
      <c r="CO67" s="112">
        <v>0</v>
      </c>
      <c r="CP67" s="112">
        <v>0</v>
      </c>
      <c r="CQ67" s="112">
        <v>0</v>
      </c>
      <c r="CR67" s="112">
        <v>0</v>
      </c>
      <c r="CS67" s="112">
        <v>0</v>
      </c>
      <c r="CT67" s="112">
        <v>0</v>
      </c>
      <c r="CU67" s="112">
        <v>0</v>
      </c>
      <c r="CV67" s="112">
        <v>0</v>
      </c>
    </row>
    <row r="68" spans="1:100" x14ac:dyDescent="0.15">
      <c r="A68" s="189" t="s">
        <v>258</v>
      </c>
      <c r="B68" s="112">
        <v>0</v>
      </c>
      <c r="C68" s="112">
        <v>0</v>
      </c>
      <c r="D68" s="112">
        <v>0</v>
      </c>
      <c r="E68" s="112">
        <v>0</v>
      </c>
      <c r="F68" s="112">
        <v>0</v>
      </c>
      <c r="G68" s="112">
        <v>0</v>
      </c>
      <c r="H68" s="112">
        <v>0</v>
      </c>
      <c r="I68" s="112">
        <v>0</v>
      </c>
      <c r="J68" s="112">
        <v>0</v>
      </c>
      <c r="K68" s="112">
        <v>0</v>
      </c>
      <c r="L68" s="112">
        <v>0</v>
      </c>
      <c r="M68" s="112">
        <v>0</v>
      </c>
      <c r="N68" s="112">
        <v>0</v>
      </c>
      <c r="O68" s="112">
        <v>0.8</v>
      </c>
      <c r="P68" s="112">
        <v>0</v>
      </c>
      <c r="Q68" s="112">
        <v>0.8</v>
      </c>
      <c r="R68" s="112">
        <v>0.8</v>
      </c>
      <c r="S68" s="112">
        <v>0.8</v>
      </c>
      <c r="T68" s="112">
        <v>0.8</v>
      </c>
      <c r="U68" s="112">
        <v>0.8</v>
      </c>
      <c r="V68" s="112">
        <v>0.8</v>
      </c>
      <c r="W68" s="112">
        <v>0.8</v>
      </c>
      <c r="X68" s="112">
        <v>0.8</v>
      </c>
      <c r="Y68" s="112">
        <v>0.8</v>
      </c>
      <c r="Z68" s="112">
        <v>0.8</v>
      </c>
      <c r="AA68" s="112">
        <v>0</v>
      </c>
      <c r="AB68" s="112">
        <v>0</v>
      </c>
      <c r="AC68" s="112">
        <v>0.8</v>
      </c>
      <c r="AD68" s="112">
        <v>0</v>
      </c>
      <c r="AE68" s="112">
        <v>0</v>
      </c>
      <c r="AF68" s="112">
        <v>0</v>
      </c>
      <c r="AG68" s="112">
        <v>0</v>
      </c>
      <c r="AH68" s="112">
        <v>0</v>
      </c>
      <c r="AI68" s="112">
        <v>0</v>
      </c>
      <c r="AJ68" s="112">
        <v>0</v>
      </c>
      <c r="AK68" s="112">
        <v>0</v>
      </c>
      <c r="AL68" s="112">
        <v>0</v>
      </c>
      <c r="AM68" s="112">
        <v>0</v>
      </c>
      <c r="AN68" s="112">
        <v>0</v>
      </c>
      <c r="AO68" s="112">
        <v>0</v>
      </c>
      <c r="AP68" s="112">
        <v>0.8</v>
      </c>
      <c r="AQ68" s="112">
        <v>0.8</v>
      </c>
      <c r="AR68" s="112">
        <v>0.8</v>
      </c>
      <c r="AS68" s="112">
        <v>0</v>
      </c>
      <c r="AT68" s="112">
        <v>0.8</v>
      </c>
      <c r="AU68" s="112">
        <v>0.8</v>
      </c>
      <c r="AV68" s="112">
        <v>0</v>
      </c>
      <c r="AW68" s="112">
        <v>0.8</v>
      </c>
      <c r="AX68" s="112">
        <v>0.8</v>
      </c>
      <c r="AY68" s="112">
        <v>0.8</v>
      </c>
      <c r="AZ68" s="112">
        <v>0.8</v>
      </c>
      <c r="BA68" s="112">
        <v>0.8</v>
      </c>
      <c r="BB68" s="112">
        <v>0</v>
      </c>
      <c r="BC68" s="112">
        <v>0.8</v>
      </c>
      <c r="BD68" s="112">
        <v>0.8</v>
      </c>
      <c r="BE68" s="112">
        <v>0.8</v>
      </c>
      <c r="BF68" s="112">
        <v>0.8</v>
      </c>
      <c r="BG68" s="112">
        <v>0</v>
      </c>
      <c r="BH68" s="112">
        <v>0</v>
      </c>
      <c r="BI68" s="112">
        <v>0</v>
      </c>
      <c r="BJ68" s="112">
        <v>0</v>
      </c>
      <c r="BK68" s="112">
        <v>0</v>
      </c>
      <c r="BL68" s="112">
        <v>0.8</v>
      </c>
      <c r="BM68" s="112">
        <v>0.8</v>
      </c>
      <c r="BN68" s="112">
        <v>0</v>
      </c>
      <c r="BO68" s="112">
        <v>0</v>
      </c>
      <c r="BP68" s="112">
        <v>0.8</v>
      </c>
      <c r="BQ68" s="112">
        <v>0</v>
      </c>
      <c r="BR68" s="112">
        <v>0.8</v>
      </c>
      <c r="BS68" s="112">
        <v>0</v>
      </c>
      <c r="BT68" s="112">
        <v>0</v>
      </c>
      <c r="BU68" s="112">
        <v>0</v>
      </c>
      <c r="BV68" s="112">
        <v>0</v>
      </c>
      <c r="BW68" s="112">
        <v>0</v>
      </c>
      <c r="BX68" s="112">
        <v>0</v>
      </c>
      <c r="BY68" s="112">
        <v>0</v>
      </c>
      <c r="BZ68" s="112">
        <v>0</v>
      </c>
      <c r="CA68" s="112">
        <v>0</v>
      </c>
      <c r="CB68" s="112">
        <v>0</v>
      </c>
      <c r="CC68" s="112">
        <v>0</v>
      </c>
      <c r="CD68" s="112">
        <v>0</v>
      </c>
      <c r="CE68" s="112">
        <v>0</v>
      </c>
      <c r="CF68" s="112">
        <v>0</v>
      </c>
      <c r="CG68" s="112">
        <v>0</v>
      </c>
      <c r="CH68" s="112">
        <v>0</v>
      </c>
      <c r="CI68" s="112">
        <v>0</v>
      </c>
      <c r="CJ68" s="112">
        <v>0</v>
      </c>
      <c r="CK68" s="112">
        <v>0</v>
      </c>
      <c r="CL68" s="112">
        <v>0</v>
      </c>
      <c r="CM68" s="112">
        <v>0</v>
      </c>
      <c r="CN68" s="112">
        <v>0</v>
      </c>
      <c r="CO68" s="112">
        <v>0</v>
      </c>
      <c r="CP68" s="112">
        <v>0</v>
      </c>
      <c r="CQ68" s="112">
        <v>0</v>
      </c>
      <c r="CR68" s="112">
        <v>0</v>
      </c>
      <c r="CS68" s="112">
        <v>0</v>
      </c>
      <c r="CT68" s="112">
        <v>0</v>
      </c>
      <c r="CU68" s="112">
        <v>0</v>
      </c>
      <c r="CV68" s="112">
        <v>0</v>
      </c>
    </row>
    <row r="69" spans="1:100" x14ac:dyDescent="0.15">
      <c r="A69" s="189" t="s">
        <v>259</v>
      </c>
      <c r="B69" s="112">
        <v>0</v>
      </c>
      <c r="C69" s="112">
        <v>0</v>
      </c>
      <c r="D69" s="112">
        <v>0</v>
      </c>
      <c r="E69" s="112">
        <v>0</v>
      </c>
      <c r="F69" s="112">
        <v>0</v>
      </c>
      <c r="G69" s="112">
        <v>0</v>
      </c>
      <c r="H69" s="112">
        <v>0</v>
      </c>
      <c r="I69" s="112">
        <v>0</v>
      </c>
      <c r="J69" s="112">
        <v>0</v>
      </c>
      <c r="K69" s="112">
        <v>0</v>
      </c>
      <c r="L69" s="112">
        <v>0.8</v>
      </c>
      <c r="M69" s="112">
        <v>0.8</v>
      </c>
      <c r="N69" s="112">
        <v>0</v>
      </c>
      <c r="O69" s="112">
        <v>0.8</v>
      </c>
      <c r="P69" s="112">
        <v>0.8</v>
      </c>
      <c r="Q69" s="112">
        <v>0.8</v>
      </c>
      <c r="R69" s="112">
        <v>0.8</v>
      </c>
      <c r="S69" s="112">
        <v>0.8</v>
      </c>
      <c r="T69" s="112">
        <v>0.8</v>
      </c>
      <c r="U69" s="112">
        <v>0.8</v>
      </c>
      <c r="V69" s="112">
        <v>0.8</v>
      </c>
      <c r="W69" s="112">
        <v>0.8</v>
      </c>
      <c r="X69" s="112">
        <v>0.8</v>
      </c>
      <c r="Y69" s="112">
        <v>0</v>
      </c>
      <c r="Z69" s="112">
        <v>0.8</v>
      </c>
      <c r="AA69" s="112">
        <v>0</v>
      </c>
      <c r="AB69" s="112">
        <v>0</v>
      </c>
      <c r="AC69" s="112">
        <v>0</v>
      </c>
      <c r="AD69" s="112">
        <v>0.8</v>
      </c>
      <c r="AE69" s="112">
        <v>0.8</v>
      </c>
      <c r="AF69" s="112">
        <v>0.8</v>
      </c>
      <c r="AG69" s="112">
        <v>0.8</v>
      </c>
      <c r="AH69" s="112">
        <v>0.8</v>
      </c>
      <c r="AI69" s="112">
        <v>0.8</v>
      </c>
      <c r="AJ69" s="112">
        <v>0.8</v>
      </c>
      <c r="AK69" s="112">
        <v>0.8</v>
      </c>
      <c r="AL69" s="112">
        <v>0</v>
      </c>
      <c r="AM69" s="112">
        <v>0</v>
      </c>
      <c r="AN69" s="112">
        <v>0.8</v>
      </c>
      <c r="AO69" s="112">
        <v>0</v>
      </c>
      <c r="AP69" s="112">
        <v>0.8</v>
      </c>
      <c r="AQ69" s="112">
        <v>0</v>
      </c>
      <c r="AR69" s="112">
        <v>0.8</v>
      </c>
      <c r="AS69" s="112">
        <v>0.8</v>
      </c>
      <c r="AT69" s="112">
        <v>0</v>
      </c>
      <c r="AU69" s="112">
        <v>0</v>
      </c>
      <c r="AV69" s="112">
        <v>0.8</v>
      </c>
      <c r="AW69" s="112">
        <v>0.8</v>
      </c>
      <c r="AX69" s="112">
        <v>0</v>
      </c>
      <c r="AY69" s="112">
        <v>0</v>
      </c>
      <c r="AZ69" s="112">
        <v>0</v>
      </c>
      <c r="BA69" s="112">
        <v>0</v>
      </c>
      <c r="BB69" s="112">
        <v>0.8</v>
      </c>
      <c r="BC69" s="112">
        <v>0.8</v>
      </c>
      <c r="BD69" s="112">
        <v>0.8</v>
      </c>
      <c r="BE69" s="112">
        <v>0</v>
      </c>
      <c r="BF69" s="112">
        <v>0.8</v>
      </c>
      <c r="BG69" s="112">
        <v>0</v>
      </c>
      <c r="BH69" s="112">
        <v>0</v>
      </c>
      <c r="BI69" s="112">
        <v>0</v>
      </c>
      <c r="BJ69" s="112">
        <v>0</v>
      </c>
      <c r="BK69" s="112">
        <v>0</v>
      </c>
      <c r="BL69" s="112">
        <v>0.8</v>
      </c>
      <c r="BM69" s="112">
        <v>0.8</v>
      </c>
      <c r="BN69" s="112">
        <v>0</v>
      </c>
      <c r="BO69" s="112">
        <v>0</v>
      </c>
      <c r="BP69" s="112">
        <v>0</v>
      </c>
      <c r="BQ69" s="112">
        <v>0.8</v>
      </c>
      <c r="BR69" s="112">
        <v>0</v>
      </c>
      <c r="BS69" s="112">
        <v>0.8</v>
      </c>
      <c r="BT69" s="112">
        <v>0</v>
      </c>
      <c r="BU69" s="112">
        <v>0</v>
      </c>
      <c r="BV69" s="112">
        <v>0</v>
      </c>
      <c r="BW69" s="112">
        <v>0</v>
      </c>
      <c r="BX69" s="112">
        <v>0</v>
      </c>
      <c r="BY69" s="112">
        <v>0</v>
      </c>
      <c r="BZ69" s="112">
        <v>0</v>
      </c>
      <c r="CA69" s="112">
        <v>0</v>
      </c>
      <c r="CB69" s="112">
        <v>0</v>
      </c>
      <c r="CC69" s="112">
        <v>0</v>
      </c>
      <c r="CD69" s="112">
        <v>0</v>
      </c>
      <c r="CE69" s="112">
        <v>0</v>
      </c>
      <c r="CF69" s="112">
        <v>0</v>
      </c>
      <c r="CG69" s="112">
        <v>0</v>
      </c>
      <c r="CH69" s="112">
        <v>0</v>
      </c>
      <c r="CI69" s="112">
        <v>0</v>
      </c>
      <c r="CJ69" s="112">
        <v>0</v>
      </c>
      <c r="CK69" s="112">
        <v>0</v>
      </c>
      <c r="CL69" s="112">
        <v>0</v>
      </c>
      <c r="CM69" s="112">
        <v>0</v>
      </c>
      <c r="CN69" s="112">
        <v>0</v>
      </c>
      <c r="CO69" s="112">
        <v>0</v>
      </c>
      <c r="CP69" s="112">
        <v>0</v>
      </c>
      <c r="CQ69" s="112">
        <v>0</v>
      </c>
      <c r="CR69" s="112">
        <v>0</v>
      </c>
      <c r="CS69" s="112">
        <v>0</v>
      </c>
      <c r="CT69" s="112">
        <v>0</v>
      </c>
      <c r="CU69" s="112">
        <v>0</v>
      </c>
      <c r="CV69" s="112">
        <v>0</v>
      </c>
    </row>
    <row r="70" spans="1:100" x14ac:dyDescent="0.15">
      <c r="A70" s="189" t="s">
        <v>260</v>
      </c>
      <c r="B70" s="112">
        <v>0</v>
      </c>
      <c r="C70" s="112">
        <v>0</v>
      </c>
      <c r="D70" s="112">
        <v>0</v>
      </c>
      <c r="E70" s="112">
        <v>0</v>
      </c>
      <c r="F70" s="112">
        <v>0</v>
      </c>
      <c r="G70" s="112">
        <v>0</v>
      </c>
      <c r="H70" s="112">
        <v>0</v>
      </c>
      <c r="I70" s="112">
        <v>0</v>
      </c>
      <c r="J70" s="112">
        <v>0</v>
      </c>
      <c r="K70" s="112">
        <v>0</v>
      </c>
      <c r="L70" s="112">
        <v>0</v>
      </c>
      <c r="M70" s="112">
        <v>0.8</v>
      </c>
      <c r="N70" s="112">
        <v>0</v>
      </c>
      <c r="O70" s="112">
        <v>0.8</v>
      </c>
      <c r="P70" s="112">
        <v>0.8</v>
      </c>
      <c r="Q70" s="112">
        <v>0.8</v>
      </c>
      <c r="R70" s="112">
        <v>0.8</v>
      </c>
      <c r="S70" s="112">
        <v>0.8</v>
      </c>
      <c r="T70" s="112">
        <v>0.8</v>
      </c>
      <c r="U70" s="112">
        <v>0.8</v>
      </c>
      <c r="V70" s="112">
        <v>0.8</v>
      </c>
      <c r="W70" s="112">
        <v>0.8</v>
      </c>
      <c r="X70" s="112">
        <v>0.8</v>
      </c>
      <c r="Y70" s="112">
        <v>0.8</v>
      </c>
      <c r="Z70" s="112">
        <v>0.8</v>
      </c>
      <c r="AA70" s="112">
        <v>0</v>
      </c>
      <c r="AB70" s="112">
        <v>0</v>
      </c>
      <c r="AC70" s="112">
        <v>0.8</v>
      </c>
      <c r="AD70" s="112">
        <v>0.8</v>
      </c>
      <c r="AE70" s="112">
        <v>0.8</v>
      </c>
      <c r="AF70" s="112">
        <v>0.8</v>
      </c>
      <c r="AG70" s="112">
        <v>0.8</v>
      </c>
      <c r="AH70" s="112">
        <v>0.8</v>
      </c>
      <c r="AI70" s="112">
        <v>0.8</v>
      </c>
      <c r="AJ70" s="112">
        <v>0.8</v>
      </c>
      <c r="AK70" s="112">
        <v>0.8</v>
      </c>
      <c r="AL70" s="112">
        <v>0</v>
      </c>
      <c r="AM70" s="112">
        <v>0</v>
      </c>
      <c r="AN70" s="112">
        <v>0</v>
      </c>
      <c r="AO70" s="112">
        <v>0</v>
      </c>
      <c r="AP70" s="112">
        <v>0.8</v>
      </c>
      <c r="AQ70" s="112">
        <v>0.8</v>
      </c>
      <c r="AR70" s="112">
        <v>0.8</v>
      </c>
      <c r="AS70" s="112">
        <v>0</v>
      </c>
      <c r="AT70" s="112">
        <v>0.8</v>
      </c>
      <c r="AU70" s="112">
        <v>0.8</v>
      </c>
      <c r="AV70" s="112">
        <v>0</v>
      </c>
      <c r="AW70" s="112">
        <v>0.8</v>
      </c>
      <c r="AX70" s="112">
        <v>0.8</v>
      </c>
      <c r="AY70" s="112">
        <v>0.8</v>
      </c>
      <c r="AZ70" s="112">
        <v>0.8</v>
      </c>
      <c r="BA70" s="112">
        <v>0.8</v>
      </c>
      <c r="BB70" s="112">
        <v>0</v>
      </c>
      <c r="BC70" s="112">
        <v>0.8</v>
      </c>
      <c r="BD70" s="112">
        <v>0.8</v>
      </c>
      <c r="BE70" s="112">
        <v>0.8</v>
      </c>
      <c r="BF70" s="112">
        <v>0.8</v>
      </c>
      <c r="BG70" s="112">
        <v>0.8</v>
      </c>
      <c r="BH70" s="112">
        <v>0</v>
      </c>
      <c r="BI70" s="112">
        <v>0.8</v>
      </c>
      <c r="BJ70" s="112">
        <v>0</v>
      </c>
      <c r="BK70" s="112">
        <v>0</v>
      </c>
      <c r="BL70" s="112">
        <v>0.8</v>
      </c>
      <c r="BM70" s="112">
        <v>0.8</v>
      </c>
      <c r="BN70" s="112">
        <v>0</v>
      </c>
      <c r="BO70" s="112">
        <v>0</v>
      </c>
      <c r="BP70" s="112">
        <v>0.8</v>
      </c>
      <c r="BQ70" s="112">
        <v>0</v>
      </c>
      <c r="BR70" s="112">
        <v>0.8</v>
      </c>
      <c r="BS70" s="112">
        <v>0</v>
      </c>
      <c r="BT70" s="112">
        <v>0</v>
      </c>
      <c r="BU70" s="112">
        <v>0</v>
      </c>
      <c r="BV70" s="112">
        <v>0</v>
      </c>
      <c r="BW70" s="112">
        <v>0</v>
      </c>
      <c r="BX70" s="112">
        <v>0</v>
      </c>
      <c r="BY70" s="112">
        <v>0</v>
      </c>
      <c r="BZ70" s="112">
        <v>0</v>
      </c>
      <c r="CA70" s="112">
        <v>0</v>
      </c>
      <c r="CB70" s="112">
        <v>0</v>
      </c>
      <c r="CC70" s="112">
        <v>0</v>
      </c>
      <c r="CD70" s="112">
        <v>0</v>
      </c>
      <c r="CE70" s="112">
        <v>0</v>
      </c>
      <c r="CF70" s="112">
        <v>0</v>
      </c>
      <c r="CG70" s="112">
        <v>0</v>
      </c>
      <c r="CH70" s="112">
        <v>0</v>
      </c>
      <c r="CI70" s="112">
        <v>0</v>
      </c>
      <c r="CJ70" s="112">
        <v>0</v>
      </c>
      <c r="CK70" s="112">
        <v>0</v>
      </c>
      <c r="CL70" s="112">
        <v>0</v>
      </c>
      <c r="CM70" s="112">
        <v>0</v>
      </c>
      <c r="CN70" s="112">
        <v>0</v>
      </c>
      <c r="CO70" s="112">
        <v>0</v>
      </c>
      <c r="CP70" s="112">
        <v>0</v>
      </c>
      <c r="CQ70" s="112">
        <v>0</v>
      </c>
      <c r="CR70" s="112">
        <v>0</v>
      </c>
      <c r="CS70" s="112">
        <v>0</v>
      </c>
      <c r="CT70" s="112">
        <v>0</v>
      </c>
      <c r="CU70" s="112">
        <v>0</v>
      </c>
      <c r="CV70" s="112">
        <v>0</v>
      </c>
    </row>
    <row r="71" spans="1:100" x14ac:dyDescent="0.15">
      <c r="A71" s="189" t="s">
        <v>261</v>
      </c>
      <c r="B71" s="112">
        <v>0</v>
      </c>
      <c r="C71" s="112">
        <v>0</v>
      </c>
      <c r="D71" s="112">
        <v>0</v>
      </c>
      <c r="E71" s="112">
        <v>0</v>
      </c>
      <c r="F71" s="112">
        <v>0</v>
      </c>
      <c r="G71" s="112">
        <v>0</v>
      </c>
      <c r="H71" s="112">
        <v>0</v>
      </c>
      <c r="I71" s="112">
        <v>0</v>
      </c>
      <c r="J71" s="112">
        <v>0</v>
      </c>
      <c r="K71" s="112">
        <v>0</v>
      </c>
      <c r="L71" s="112">
        <v>0</v>
      </c>
      <c r="M71" s="112">
        <v>0</v>
      </c>
      <c r="N71" s="112">
        <v>0</v>
      </c>
      <c r="O71" s="112">
        <v>0.8</v>
      </c>
      <c r="P71" s="112">
        <v>0</v>
      </c>
      <c r="Q71" s="112">
        <v>0.8</v>
      </c>
      <c r="R71" s="112">
        <v>0.8</v>
      </c>
      <c r="S71" s="112">
        <v>0</v>
      </c>
      <c r="T71" s="112">
        <v>0</v>
      </c>
      <c r="U71" s="112">
        <v>0.8</v>
      </c>
      <c r="V71" s="112">
        <v>0.8</v>
      </c>
      <c r="W71" s="112">
        <v>0</v>
      </c>
      <c r="X71" s="112">
        <v>0.8</v>
      </c>
      <c r="Y71" s="112">
        <v>0</v>
      </c>
      <c r="Z71" s="112">
        <v>0</v>
      </c>
      <c r="AA71" s="112">
        <v>0</v>
      </c>
      <c r="AB71" s="112">
        <v>0</v>
      </c>
      <c r="AC71" s="112">
        <v>0</v>
      </c>
      <c r="AD71" s="112">
        <v>0</v>
      </c>
      <c r="AE71" s="112">
        <v>0</v>
      </c>
      <c r="AF71" s="112">
        <v>0</v>
      </c>
      <c r="AG71" s="112">
        <v>0</v>
      </c>
      <c r="AH71" s="112">
        <v>0</v>
      </c>
      <c r="AI71" s="112">
        <v>0</v>
      </c>
      <c r="AJ71" s="112">
        <v>0</v>
      </c>
      <c r="AK71" s="112">
        <v>0</v>
      </c>
      <c r="AL71" s="112">
        <v>0</v>
      </c>
      <c r="AM71" s="112">
        <v>0</v>
      </c>
      <c r="AN71" s="112">
        <v>0</v>
      </c>
      <c r="AO71" s="112">
        <v>0</v>
      </c>
      <c r="AP71" s="112">
        <v>0.8</v>
      </c>
      <c r="AQ71" s="112">
        <v>0</v>
      </c>
      <c r="AR71" s="112">
        <v>0.8</v>
      </c>
      <c r="AS71" s="112">
        <v>0.8</v>
      </c>
      <c r="AT71" s="112">
        <v>0</v>
      </c>
      <c r="AU71" s="112">
        <v>0</v>
      </c>
      <c r="AV71" s="112">
        <v>0.8</v>
      </c>
      <c r="AW71" s="112">
        <v>0</v>
      </c>
      <c r="AX71" s="112">
        <v>0</v>
      </c>
      <c r="AY71" s="112">
        <v>0</v>
      </c>
      <c r="AZ71" s="112">
        <v>0</v>
      </c>
      <c r="BA71" s="112">
        <v>0</v>
      </c>
      <c r="BB71" s="112">
        <v>0.8</v>
      </c>
      <c r="BC71" s="112">
        <v>0.8</v>
      </c>
      <c r="BD71" s="112">
        <v>0.8</v>
      </c>
      <c r="BE71" s="112">
        <v>0</v>
      </c>
      <c r="BF71" s="112">
        <v>0.8</v>
      </c>
      <c r="BG71" s="112">
        <v>0.8</v>
      </c>
      <c r="BH71" s="112">
        <v>0</v>
      </c>
      <c r="BI71" s="112">
        <v>0</v>
      </c>
      <c r="BJ71" s="112">
        <v>0</v>
      </c>
      <c r="BK71" s="112">
        <v>0</v>
      </c>
      <c r="BL71" s="112">
        <v>0.8</v>
      </c>
      <c r="BM71" s="112">
        <v>0.8</v>
      </c>
      <c r="BN71" s="112">
        <v>0</v>
      </c>
      <c r="BO71" s="112">
        <v>0</v>
      </c>
      <c r="BP71" s="112">
        <v>0</v>
      </c>
      <c r="BQ71" s="112">
        <v>0.8</v>
      </c>
      <c r="BR71" s="112">
        <v>0</v>
      </c>
      <c r="BS71" s="112">
        <v>0.8</v>
      </c>
      <c r="BT71" s="112">
        <v>0</v>
      </c>
      <c r="BU71" s="112">
        <v>0</v>
      </c>
      <c r="BV71" s="112">
        <v>0</v>
      </c>
      <c r="BW71" s="112">
        <v>0</v>
      </c>
      <c r="BX71" s="112">
        <v>0</v>
      </c>
      <c r="BY71" s="112">
        <v>0</v>
      </c>
      <c r="BZ71" s="112">
        <v>0</v>
      </c>
      <c r="CA71" s="112">
        <v>0</v>
      </c>
      <c r="CB71" s="112">
        <v>0</v>
      </c>
      <c r="CC71" s="112">
        <v>0</v>
      </c>
      <c r="CD71" s="112">
        <v>0</v>
      </c>
      <c r="CE71" s="112">
        <v>0</v>
      </c>
      <c r="CF71" s="112">
        <v>0</v>
      </c>
      <c r="CG71" s="112">
        <v>0</v>
      </c>
      <c r="CH71" s="112">
        <v>0</v>
      </c>
      <c r="CI71" s="112">
        <v>0</v>
      </c>
      <c r="CJ71" s="112">
        <v>0</v>
      </c>
      <c r="CK71" s="112">
        <v>0</v>
      </c>
      <c r="CL71" s="112">
        <v>0</v>
      </c>
      <c r="CM71" s="112">
        <v>0</v>
      </c>
      <c r="CN71" s="112">
        <v>0</v>
      </c>
      <c r="CO71" s="112">
        <v>0</v>
      </c>
      <c r="CP71" s="112">
        <v>0</v>
      </c>
      <c r="CQ71" s="112">
        <v>0</v>
      </c>
      <c r="CR71" s="112">
        <v>0</v>
      </c>
      <c r="CS71" s="112">
        <v>0</v>
      </c>
      <c r="CT71" s="112">
        <v>0</v>
      </c>
      <c r="CU71" s="112">
        <v>0</v>
      </c>
      <c r="CV71" s="112">
        <v>0</v>
      </c>
    </row>
    <row r="72" spans="1:100" x14ac:dyDescent="0.15">
      <c r="A72" s="189" t="s">
        <v>262</v>
      </c>
      <c r="B72" s="112">
        <v>0</v>
      </c>
      <c r="C72" s="112">
        <v>0</v>
      </c>
      <c r="D72" s="112">
        <v>0</v>
      </c>
      <c r="E72" s="112">
        <v>0</v>
      </c>
      <c r="F72" s="112">
        <v>0</v>
      </c>
      <c r="G72" s="112">
        <v>0</v>
      </c>
      <c r="H72" s="112">
        <v>0</v>
      </c>
      <c r="I72" s="112">
        <v>0</v>
      </c>
      <c r="J72" s="112">
        <v>0</v>
      </c>
      <c r="K72" s="112">
        <v>0</v>
      </c>
      <c r="L72" s="112">
        <v>0</v>
      </c>
      <c r="M72" s="112">
        <v>0</v>
      </c>
      <c r="N72" s="112">
        <v>0</v>
      </c>
      <c r="O72" s="112">
        <v>0.8</v>
      </c>
      <c r="P72" s="112">
        <v>0.8</v>
      </c>
      <c r="Q72" s="112">
        <v>0.8</v>
      </c>
      <c r="R72" s="112">
        <v>0.8</v>
      </c>
      <c r="S72" s="112">
        <v>0.8</v>
      </c>
      <c r="T72" s="112">
        <v>0.8</v>
      </c>
      <c r="U72" s="112">
        <v>0.8</v>
      </c>
      <c r="V72" s="112">
        <v>0.8</v>
      </c>
      <c r="W72" s="112">
        <v>0.8</v>
      </c>
      <c r="X72" s="112">
        <v>0.8</v>
      </c>
      <c r="Y72" s="112">
        <v>0.8</v>
      </c>
      <c r="Z72" s="112">
        <v>0.8</v>
      </c>
      <c r="AA72" s="112">
        <v>0</v>
      </c>
      <c r="AB72" s="112">
        <v>0</v>
      </c>
      <c r="AC72" s="112">
        <v>0.8</v>
      </c>
      <c r="AD72" s="112">
        <v>0.8</v>
      </c>
      <c r="AE72" s="112">
        <v>0.8</v>
      </c>
      <c r="AF72" s="112">
        <v>0.8</v>
      </c>
      <c r="AG72" s="112">
        <v>0.8</v>
      </c>
      <c r="AH72" s="112">
        <v>0.8</v>
      </c>
      <c r="AI72" s="112">
        <v>0.8</v>
      </c>
      <c r="AJ72" s="112">
        <v>0.8</v>
      </c>
      <c r="AK72" s="112">
        <v>0.8</v>
      </c>
      <c r="AL72" s="112">
        <v>0</v>
      </c>
      <c r="AM72" s="112">
        <v>0</v>
      </c>
      <c r="AN72" s="112">
        <v>0.8</v>
      </c>
      <c r="AO72" s="112">
        <v>0</v>
      </c>
      <c r="AP72" s="112">
        <v>0.8</v>
      </c>
      <c r="AQ72" s="112">
        <v>0</v>
      </c>
      <c r="AR72" s="112">
        <v>0.8</v>
      </c>
      <c r="AS72" s="112">
        <v>0</v>
      </c>
      <c r="AT72" s="112">
        <v>0.8</v>
      </c>
      <c r="AU72" s="112">
        <v>0.8</v>
      </c>
      <c r="AV72" s="112">
        <v>0</v>
      </c>
      <c r="AW72" s="112">
        <v>0.8</v>
      </c>
      <c r="AX72" s="112">
        <v>0.8</v>
      </c>
      <c r="AY72" s="112">
        <v>0.8</v>
      </c>
      <c r="AZ72" s="112">
        <v>0.8</v>
      </c>
      <c r="BA72" s="112">
        <v>0.8</v>
      </c>
      <c r="BB72" s="112">
        <v>0</v>
      </c>
      <c r="BC72" s="112">
        <v>0</v>
      </c>
      <c r="BD72" s="112">
        <v>0</v>
      </c>
      <c r="BE72" s="112">
        <v>0.8</v>
      </c>
      <c r="BF72" s="112">
        <v>0</v>
      </c>
      <c r="BG72" s="112">
        <v>0.8</v>
      </c>
      <c r="BH72" s="112">
        <v>0</v>
      </c>
      <c r="BI72" s="112">
        <v>0</v>
      </c>
      <c r="BJ72" s="112">
        <v>0</v>
      </c>
      <c r="BK72" s="112">
        <v>0</v>
      </c>
      <c r="BL72" s="112">
        <v>0.8</v>
      </c>
      <c r="BM72" s="112">
        <v>0</v>
      </c>
      <c r="BN72" s="112">
        <v>0</v>
      </c>
      <c r="BO72" s="112">
        <v>0</v>
      </c>
      <c r="BP72" s="112">
        <v>0</v>
      </c>
      <c r="BQ72" s="112">
        <v>0</v>
      </c>
      <c r="BR72" s="112">
        <v>0</v>
      </c>
      <c r="BS72" s="112">
        <v>0</v>
      </c>
      <c r="BT72" s="112">
        <v>0</v>
      </c>
      <c r="BU72" s="112">
        <v>0</v>
      </c>
      <c r="BV72" s="112">
        <v>0</v>
      </c>
      <c r="BW72" s="112">
        <v>0</v>
      </c>
      <c r="BX72" s="112">
        <v>0</v>
      </c>
      <c r="BY72" s="112">
        <v>0</v>
      </c>
      <c r="BZ72" s="112">
        <v>0</v>
      </c>
      <c r="CA72" s="112">
        <v>0</v>
      </c>
      <c r="CB72" s="112">
        <v>0</v>
      </c>
      <c r="CC72" s="112">
        <v>0</v>
      </c>
      <c r="CD72" s="112">
        <v>0</v>
      </c>
      <c r="CE72" s="112">
        <v>0</v>
      </c>
      <c r="CF72" s="112">
        <v>0</v>
      </c>
      <c r="CG72" s="112">
        <v>0</v>
      </c>
      <c r="CH72" s="112">
        <v>0</v>
      </c>
      <c r="CI72" s="112">
        <v>0</v>
      </c>
      <c r="CJ72" s="112">
        <v>0</v>
      </c>
      <c r="CK72" s="112">
        <v>0</v>
      </c>
      <c r="CL72" s="112">
        <v>0</v>
      </c>
      <c r="CM72" s="112">
        <v>0</v>
      </c>
      <c r="CN72" s="112">
        <v>0</v>
      </c>
      <c r="CO72" s="112">
        <v>0</v>
      </c>
      <c r="CP72" s="112">
        <v>0</v>
      </c>
      <c r="CQ72" s="112">
        <v>0</v>
      </c>
      <c r="CR72" s="112">
        <v>0</v>
      </c>
      <c r="CS72" s="112">
        <v>0</v>
      </c>
      <c r="CT72" s="112">
        <v>0</v>
      </c>
      <c r="CU72" s="112">
        <v>0</v>
      </c>
      <c r="CV72" s="112">
        <v>0</v>
      </c>
    </row>
    <row r="73" spans="1:100" x14ac:dyDescent="0.15">
      <c r="A73" s="189" t="s">
        <v>263</v>
      </c>
      <c r="B73" s="112">
        <v>0</v>
      </c>
      <c r="C73" s="112">
        <v>0</v>
      </c>
      <c r="D73" s="112">
        <v>0</v>
      </c>
      <c r="E73" s="112">
        <v>0</v>
      </c>
      <c r="F73" s="112">
        <v>0</v>
      </c>
      <c r="G73" s="112">
        <v>0</v>
      </c>
      <c r="H73" s="112">
        <v>0</v>
      </c>
      <c r="I73" s="112">
        <v>0</v>
      </c>
      <c r="J73" s="112">
        <v>0</v>
      </c>
      <c r="K73" s="112">
        <v>0</v>
      </c>
      <c r="L73" s="112">
        <v>0</v>
      </c>
      <c r="M73" s="112">
        <v>0</v>
      </c>
      <c r="N73" s="112">
        <v>0</v>
      </c>
      <c r="O73" s="112">
        <v>0</v>
      </c>
      <c r="P73" s="112">
        <v>0</v>
      </c>
      <c r="Q73" s="112">
        <v>0</v>
      </c>
      <c r="R73" s="112">
        <v>0</v>
      </c>
      <c r="S73" s="112">
        <v>0</v>
      </c>
      <c r="T73" s="112">
        <v>0</v>
      </c>
      <c r="U73" s="112">
        <v>0</v>
      </c>
      <c r="V73" s="112">
        <v>0</v>
      </c>
      <c r="W73" s="112">
        <v>0</v>
      </c>
      <c r="X73" s="112">
        <v>0.8</v>
      </c>
      <c r="Y73" s="112">
        <v>0</v>
      </c>
      <c r="Z73" s="112">
        <v>0</v>
      </c>
      <c r="AA73" s="112">
        <v>0</v>
      </c>
      <c r="AB73" s="112">
        <v>0</v>
      </c>
      <c r="AC73" s="112">
        <v>0</v>
      </c>
      <c r="AD73" s="112">
        <v>0</v>
      </c>
      <c r="AE73" s="112">
        <v>0</v>
      </c>
      <c r="AF73" s="112">
        <v>0</v>
      </c>
      <c r="AG73" s="112">
        <v>0</v>
      </c>
      <c r="AH73" s="112">
        <v>0</v>
      </c>
      <c r="AI73" s="112">
        <v>0</v>
      </c>
      <c r="AJ73" s="112">
        <v>0</v>
      </c>
      <c r="AK73" s="112">
        <v>0</v>
      </c>
      <c r="AL73" s="112">
        <v>0</v>
      </c>
      <c r="AM73" s="112">
        <v>0</v>
      </c>
      <c r="AN73" s="112">
        <v>0</v>
      </c>
      <c r="AO73" s="112">
        <v>0</v>
      </c>
      <c r="AP73" s="112">
        <v>0.8</v>
      </c>
      <c r="AQ73" s="112">
        <v>0</v>
      </c>
      <c r="AR73" s="112">
        <v>0.8</v>
      </c>
      <c r="AS73" s="112">
        <v>0.8</v>
      </c>
      <c r="AT73" s="112">
        <v>0</v>
      </c>
      <c r="AU73" s="112">
        <v>0</v>
      </c>
      <c r="AV73" s="112">
        <v>0.8</v>
      </c>
      <c r="AW73" s="112">
        <v>0</v>
      </c>
      <c r="AX73" s="112">
        <v>0</v>
      </c>
      <c r="AY73" s="112">
        <v>0</v>
      </c>
      <c r="AZ73" s="112">
        <v>0</v>
      </c>
      <c r="BA73" s="112">
        <v>0</v>
      </c>
      <c r="BB73" s="112">
        <v>0.8</v>
      </c>
      <c r="BC73" s="112">
        <v>0</v>
      </c>
      <c r="BD73" s="112">
        <v>0</v>
      </c>
      <c r="BE73" s="112">
        <v>0</v>
      </c>
      <c r="BF73" s="112">
        <v>0</v>
      </c>
      <c r="BG73" s="112">
        <v>0.8</v>
      </c>
      <c r="BH73" s="112">
        <v>0</v>
      </c>
      <c r="BI73" s="112">
        <v>0</v>
      </c>
      <c r="BJ73" s="112">
        <v>0</v>
      </c>
      <c r="BK73" s="112">
        <v>0</v>
      </c>
      <c r="BL73" s="112">
        <v>0.8</v>
      </c>
      <c r="BM73" s="112">
        <v>0</v>
      </c>
      <c r="BN73" s="112">
        <v>0</v>
      </c>
      <c r="BO73" s="112">
        <v>0</v>
      </c>
      <c r="BP73" s="112">
        <v>0</v>
      </c>
      <c r="BQ73" s="112">
        <v>0</v>
      </c>
      <c r="BR73" s="112">
        <v>0</v>
      </c>
      <c r="BS73" s="112">
        <v>0</v>
      </c>
      <c r="BT73" s="112">
        <v>0</v>
      </c>
      <c r="BU73" s="112">
        <v>0</v>
      </c>
      <c r="BV73" s="112">
        <v>0</v>
      </c>
      <c r="BW73" s="112">
        <v>0</v>
      </c>
      <c r="BX73" s="112">
        <v>0</v>
      </c>
      <c r="BY73" s="112">
        <v>0</v>
      </c>
      <c r="BZ73" s="112">
        <v>0</v>
      </c>
      <c r="CA73" s="112">
        <v>0</v>
      </c>
      <c r="CB73" s="112">
        <v>0</v>
      </c>
      <c r="CC73" s="112">
        <v>0</v>
      </c>
      <c r="CD73" s="112">
        <v>0</v>
      </c>
      <c r="CE73" s="112">
        <v>0</v>
      </c>
      <c r="CF73" s="112">
        <v>0</v>
      </c>
      <c r="CG73" s="112">
        <v>0</v>
      </c>
      <c r="CH73" s="112">
        <v>0</v>
      </c>
      <c r="CI73" s="112">
        <v>0</v>
      </c>
      <c r="CJ73" s="112">
        <v>0</v>
      </c>
      <c r="CK73" s="112">
        <v>0</v>
      </c>
      <c r="CL73" s="112">
        <v>0</v>
      </c>
      <c r="CM73" s="112">
        <v>0</v>
      </c>
      <c r="CN73" s="112">
        <v>0</v>
      </c>
      <c r="CO73" s="112">
        <v>0</v>
      </c>
      <c r="CP73" s="112">
        <v>0</v>
      </c>
      <c r="CQ73" s="112">
        <v>0</v>
      </c>
      <c r="CR73" s="112">
        <v>0</v>
      </c>
      <c r="CS73" s="112">
        <v>0</v>
      </c>
      <c r="CT73" s="112">
        <v>0</v>
      </c>
      <c r="CU73" s="112">
        <v>0</v>
      </c>
      <c r="CV73" s="112">
        <v>0</v>
      </c>
    </row>
    <row r="74" spans="1:100" x14ac:dyDescent="0.15">
      <c r="A74" s="189" t="s">
        <v>264</v>
      </c>
      <c r="B74" s="112">
        <v>0</v>
      </c>
      <c r="C74" s="112">
        <v>0</v>
      </c>
      <c r="D74" s="112">
        <v>0</v>
      </c>
      <c r="E74" s="112">
        <v>0</v>
      </c>
      <c r="F74" s="112">
        <v>0</v>
      </c>
      <c r="G74" s="112">
        <v>0</v>
      </c>
      <c r="H74" s="112">
        <v>0</v>
      </c>
      <c r="I74" s="112">
        <v>0</v>
      </c>
      <c r="J74" s="112">
        <v>0</v>
      </c>
      <c r="K74" s="112">
        <v>0</v>
      </c>
      <c r="L74" s="112">
        <v>0</v>
      </c>
      <c r="M74" s="112">
        <v>0</v>
      </c>
      <c r="N74" s="112">
        <v>0</v>
      </c>
      <c r="O74" s="112">
        <v>0</v>
      </c>
      <c r="P74" s="112">
        <v>0</v>
      </c>
      <c r="Q74" s="112">
        <v>0</v>
      </c>
      <c r="R74" s="112">
        <v>0</v>
      </c>
      <c r="S74" s="112">
        <v>0</v>
      </c>
      <c r="T74" s="112">
        <v>0</v>
      </c>
      <c r="U74" s="112">
        <v>0</v>
      </c>
      <c r="V74" s="112">
        <v>0</v>
      </c>
      <c r="W74" s="112">
        <v>0</v>
      </c>
      <c r="X74" s="112">
        <v>0.8</v>
      </c>
      <c r="Y74" s="112">
        <v>0</v>
      </c>
      <c r="Z74" s="112">
        <v>0</v>
      </c>
      <c r="AA74" s="112">
        <v>0</v>
      </c>
      <c r="AB74" s="112">
        <v>0</v>
      </c>
      <c r="AC74" s="112">
        <v>0.8</v>
      </c>
      <c r="AD74" s="112">
        <v>0</v>
      </c>
      <c r="AE74" s="112">
        <v>0</v>
      </c>
      <c r="AF74" s="112">
        <v>0</v>
      </c>
      <c r="AG74" s="112">
        <v>0</v>
      </c>
      <c r="AH74" s="112">
        <v>0</v>
      </c>
      <c r="AI74" s="112">
        <v>0</v>
      </c>
      <c r="AJ74" s="112">
        <v>0</v>
      </c>
      <c r="AK74" s="112">
        <v>0</v>
      </c>
      <c r="AL74" s="112">
        <v>0</v>
      </c>
      <c r="AM74" s="112">
        <v>0</v>
      </c>
      <c r="AN74" s="112">
        <v>0</v>
      </c>
      <c r="AO74" s="112">
        <v>0</v>
      </c>
      <c r="AP74" s="112">
        <v>0.8</v>
      </c>
      <c r="AQ74" s="112">
        <v>0</v>
      </c>
      <c r="AR74" s="112">
        <v>0</v>
      </c>
      <c r="AS74" s="112">
        <v>0</v>
      </c>
      <c r="AT74" s="112">
        <v>0</v>
      </c>
      <c r="AU74" s="112">
        <v>0</v>
      </c>
      <c r="AV74" s="112">
        <v>0</v>
      </c>
      <c r="AW74" s="112">
        <v>0.8</v>
      </c>
      <c r="AX74" s="112">
        <v>0.8</v>
      </c>
      <c r="AY74" s="112">
        <v>0.8</v>
      </c>
      <c r="AZ74" s="112">
        <v>0.8</v>
      </c>
      <c r="BA74" s="112">
        <v>0.8</v>
      </c>
      <c r="BB74" s="112">
        <v>0</v>
      </c>
      <c r="BC74" s="112">
        <v>0.8</v>
      </c>
      <c r="BD74" s="112">
        <v>0.8</v>
      </c>
      <c r="BE74" s="112">
        <v>0</v>
      </c>
      <c r="BF74" s="112">
        <v>0.8</v>
      </c>
      <c r="BG74" s="112">
        <v>0</v>
      </c>
      <c r="BH74" s="112">
        <v>0.8</v>
      </c>
      <c r="BI74" s="112">
        <v>0.8</v>
      </c>
      <c r="BJ74" s="112">
        <v>0</v>
      </c>
      <c r="BK74" s="112">
        <v>0</v>
      </c>
      <c r="BL74" s="112">
        <v>0</v>
      </c>
      <c r="BM74" s="112">
        <v>0.8</v>
      </c>
      <c r="BN74" s="112">
        <v>0.8</v>
      </c>
      <c r="BO74" s="112">
        <v>0</v>
      </c>
      <c r="BP74" s="112">
        <v>0.8</v>
      </c>
      <c r="BQ74" s="112">
        <v>0</v>
      </c>
      <c r="BR74" s="112">
        <v>0.8</v>
      </c>
      <c r="BS74" s="112">
        <v>0</v>
      </c>
      <c r="BT74" s="112">
        <v>0.8</v>
      </c>
      <c r="BU74" s="112">
        <v>0</v>
      </c>
      <c r="BV74" s="112">
        <v>0.8</v>
      </c>
      <c r="BW74" s="112">
        <v>0</v>
      </c>
      <c r="BX74" s="112">
        <v>0</v>
      </c>
      <c r="BY74" s="112">
        <v>0</v>
      </c>
      <c r="BZ74" s="112">
        <v>0</v>
      </c>
      <c r="CA74" s="112">
        <v>0</v>
      </c>
      <c r="CB74" s="112">
        <v>0</v>
      </c>
      <c r="CC74" s="112">
        <v>0</v>
      </c>
      <c r="CD74" s="112">
        <v>0</v>
      </c>
      <c r="CE74" s="112">
        <v>0</v>
      </c>
      <c r="CF74" s="112">
        <v>0</v>
      </c>
      <c r="CG74" s="112">
        <v>0</v>
      </c>
      <c r="CH74" s="112">
        <v>0</v>
      </c>
      <c r="CI74" s="112">
        <v>0</v>
      </c>
      <c r="CJ74" s="112">
        <v>0</v>
      </c>
      <c r="CK74" s="112">
        <v>0</v>
      </c>
      <c r="CL74" s="112">
        <v>0</v>
      </c>
      <c r="CM74" s="112">
        <v>0</v>
      </c>
      <c r="CN74" s="112">
        <v>0</v>
      </c>
      <c r="CO74" s="112">
        <v>0</v>
      </c>
      <c r="CP74" s="112">
        <v>0</v>
      </c>
      <c r="CQ74" s="112">
        <v>0</v>
      </c>
      <c r="CR74" s="112">
        <v>0</v>
      </c>
      <c r="CS74" s="112">
        <v>0</v>
      </c>
      <c r="CT74" s="112">
        <v>0</v>
      </c>
      <c r="CU74" s="112">
        <v>0</v>
      </c>
      <c r="CV74" s="112">
        <v>0</v>
      </c>
    </row>
    <row r="75" spans="1:100" x14ac:dyDescent="0.15">
      <c r="A75" s="189" t="s">
        <v>265</v>
      </c>
      <c r="B75" s="112">
        <v>0</v>
      </c>
      <c r="C75" s="112">
        <v>0</v>
      </c>
      <c r="D75" s="112">
        <v>0</v>
      </c>
      <c r="E75" s="112">
        <v>0</v>
      </c>
      <c r="F75" s="112">
        <v>0</v>
      </c>
      <c r="G75" s="112">
        <v>0</v>
      </c>
      <c r="H75" s="112">
        <v>0</v>
      </c>
      <c r="I75" s="112">
        <v>0</v>
      </c>
      <c r="J75" s="112">
        <v>0</v>
      </c>
      <c r="K75" s="112">
        <v>0</v>
      </c>
      <c r="L75" s="112">
        <v>0</v>
      </c>
      <c r="M75" s="112">
        <v>0</v>
      </c>
      <c r="N75" s="112">
        <v>0</v>
      </c>
      <c r="O75" s="112">
        <v>0</v>
      </c>
      <c r="P75" s="112">
        <v>0</v>
      </c>
      <c r="Q75" s="112">
        <v>0</v>
      </c>
      <c r="R75" s="112">
        <v>0</v>
      </c>
      <c r="S75" s="112">
        <v>0</v>
      </c>
      <c r="T75" s="112">
        <v>0</v>
      </c>
      <c r="U75" s="112">
        <v>0</v>
      </c>
      <c r="V75" s="112">
        <v>0</v>
      </c>
      <c r="W75" s="112">
        <v>0</v>
      </c>
      <c r="X75" s="112">
        <v>0.8</v>
      </c>
      <c r="Y75" s="112">
        <v>0</v>
      </c>
      <c r="Z75" s="112">
        <v>0</v>
      </c>
      <c r="AA75" s="112">
        <v>0</v>
      </c>
      <c r="AB75" s="112">
        <v>0</v>
      </c>
      <c r="AC75" s="112">
        <v>0</v>
      </c>
      <c r="AD75" s="112">
        <v>0</v>
      </c>
      <c r="AE75" s="112">
        <v>0</v>
      </c>
      <c r="AF75" s="112">
        <v>0</v>
      </c>
      <c r="AG75" s="112">
        <v>0</v>
      </c>
      <c r="AH75" s="112">
        <v>0</v>
      </c>
      <c r="AI75" s="112">
        <v>0</v>
      </c>
      <c r="AJ75" s="112">
        <v>0</v>
      </c>
      <c r="AK75" s="112">
        <v>0</v>
      </c>
      <c r="AL75" s="112">
        <v>0</v>
      </c>
      <c r="AM75" s="112">
        <v>0</v>
      </c>
      <c r="AN75" s="112">
        <v>0</v>
      </c>
      <c r="AO75" s="112">
        <v>0</v>
      </c>
      <c r="AP75" s="112">
        <v>0.8</v>
      </c>
      <c r="AQ75" s="112">
        <v>0</v>
      </c>
      <c r="AR75" s="112">
        <v>0</v>
      </c>
      <c r="AS75" s="112">
        <v>0.8</v>
      </c>
      <c r="AT75" s="112">
        <v>0</v>
      </c>
      <c r="AU75" s="112">
        <v>0</v>
      </c>
      <c r="AV75" s="112">
        <v>0</v>
      </c>
      <c r="AW75" s="112">
        <v>0</v>
      </c>
      <c r="AX75" s="112">
        <v>0</v>
      </c>
      <c r="AY75" s="112">
        <v>0</v>
      </c>
      <c r="AZ75" s="112">
        <v>0</v>
      </c>
      <c r="BA75" s="112">
        <v>0</v>
      </c>
      <c r="BB75" s="112">
        <v>0.8</v>
      </c>
      <c r="BC75" s="112">
        <v>0.8</v>
      </c>
      <c r="BD75" s="112">
        <v>0.8</v>
      </c>
      <c r="BE75" s="112">
        <v>0</v>
      </c>
      <c r="BF75" s="112">
        <v>0.8</v>
      </c>
      <c r="BG75" s="112">
        <v>0</v>
      </c>
      <c r="BH75" s="112">
        <v>0.8</v>
      </c>
      <c r="BI75" s="112">
        <v>0</v>
      </c>
      <c r="BJ75" s="112">
        <v>0</v>
      </c>
      <c r="BK75" s="112">
        <v>0</v>
      </c>
      <c r="BL75" s="112">
        <v>0</v>
      </c>
      <c r="BM75" s="112">
        <v>0.8</v>
      </c>
      <c r="BN75" s="112">
        <v>0</v>
      </c>
      <c r="BO75" s="112">
        <v>0.8</v>
      </c>
      <c r="BP75" s="112">
        <v>0</v>
      </c>
      <c r="BQ75" s="112">
        <v>0.8</v>
      </c>
      <c r="BR75" s="112">
        <v>0</v>
      </c>
      <c r="BS75" s="112">
        <v>0.8</v>
      </c>
      <c r="BT75" s="112">
        <v>0</v>
      </c>
      <c r="BU75" s="112">
        <v>0.8</v>
      </c>
      <c r="BV75" s="112">
        <v>0</v>
      </c>
      <c r="BW75" s="112">
        <v>0.8</v>
      </c>
      <c r="BX75" s="112">
        <v>0</v>
      </c>
      <c r="BY75" s="112">
        <v>0</v>
      </c>
      <c r="BZ75" s="112">
        <v>0</v>
      </c>
      <c r="CA75" s="112">
        <v>0</v>
      </c>
      <c r="CB75" s="112">
        <v>0</v>
      </c>
      <c r="CC75" s="112">
        <v>0</v>
      </c>
      <c r="CD75" s="112">
        <v>0</v>
      </c>
      <c r="CE75" s="112">
        <v>0</v>
      </c>
      <c r="CF75" s="112">
        <v>0</v>
      </c>
      <c r="CG75" s="112">
        <v>0</v>
      </c>
      <c r="CH75" s="112">
        <v>0</v>
      </c>
      <c r="CI75" s="112">
        <v>0</v>
      </c>
      <c r="CJ75" s="112">
        <v>0</v>
      </c>
      <c r="CK75" s="112">
        <v>0</v>
      </c>
      <c r="CL75" s="112">
        <v>0</v>
      </c>
      <c r="CM75" s="112">
        <v>0</v>
      </c>
      <c r="CN75" s="112">
        <v>0</v>
      </c>
      <c r="CO75" s="112">
        <v>0</v>
      </c>
      <c r="CP75" s="112">
        <v>0</v>
      </c>
      <c r="CQ75" s="112">
        <v>0</v>
      </c>
      <c r="CR75" s="112">
        <v>0</v>
      </c>
      <c r="CS75" s="112">
        <v>0</v>
      </c>
      <c r="CT75" s="112">
        <v>0</v>
      </c>
      <c r="CU75" s="112">
        <v>0</v>
      </c>
      <c r="CV75" s="112">
        <v>0</v>
      </c>
    </row>
    <row r="76" spans="1:100" x14ac:dyDescent="0.15">
      <c r="A76" s="189" t="s">
        <v>266</v>
      </c>
      <c r="B76" s="112">
        <v>0</v>
      </c>
      <c r="C76" s="112">
        <v>0</v>
      </c>
      <c r="D76" s="112">
        <v>0</v>
      </c>
      <c r="E76" s="112">
        <v>0</v>
      </c>
      <c r="F76" s="112">
        <v>0</v>
      </c>
      <c r="G76" s="112">
        <v>0</v>
      </c>
      <c r="H76" s="112">
        <v>0</v>
      </c>
      <c r="I76" s="112">
        <v>0</v>
      </c>
      <c r="J76" s="112">
        <v>0</v>
      </c>
      <c r="K76" s="112">
        <v>0</v>
      </c>
      <c r="L76" s="112">
        <v>0</v>
      </c>
      <c r="M76" s="112">
        <v>0</v>
      </c>
      <c r="N76" s="112">
        <v>0</v>
      </c>
      <c r="O76" s="112">
        <v>0</v>
      </c>
      <c r="P76" s="112">
        <v>0</v>
      </c>
      <c r="Q76" s="112">
        <v>0</v>
      </c>
      <c r="R76" s="112">
        <v>0</v>
      </c>
      <c r="S76" s="112">
        <v>0</v>
      </c>
      <c r="T76" s="112">
        <v>0</v>
      </c>
      <c r="U76" s="112">
        <v>0.8</v>
      </c>
      <c r="V76" s="112">
        <v>0</v>
      </c>
      <c r="W76" s="112">
        <v>0</v>
      </c>
      <c r="X76" s="112">
        <v>0.8</v>
      </c>
      <c r="Y76" s="112">
        <v>0</v>
      </c>
      <c r="Z76" s="112">
        <v>0.8</v>
      </c>
      <c r="AA76" s="112">
        <v>0</v>
      </c>
      <c r="AB76" s="112">
        <v>0</v>
      </c>
      <c r="AC76" s="112">
        <v>0.8</v>
      </c>
      <c r="AD76" s="112">
        <v>0</v>
      </c>
      <c r="AE76" s="112">
        <v>0</v>
      </c>
      <c r="AF76" s="112">
        <v>0</v>
      </c>
      <c r="AG76" s="112">
        <v>0</v>
      </c>
      <c r="AH76" s="112">
        <v>0</v>
      </c>
      <c r="AI76" s="112">
        <v>0</v>
      </c>
      <c r="AJ76" s="112">
        <v>0.8</v>
      </c>
      <c r="AK76" s="112">
        <v>0</v>
      </c>
      <c r="AL76" s="112">
        <v>0</v>
      </c>
      <c r="AM76" s="112">
        <v>0</v>
      </c>
      <c r="AN76" s="112">
        <v>0</v>
      </c>
      <c r="AO76" s="112">
        <v>0</v>
      </c>
      <c r="AP76" s="112">
        <v>0</v>
      </c>
      <c r="AQ76" s="112">
        <v>0</v>
      </c>
      <c r="AR76" s="112">
        <v>0</v>
      </c>
      <c r="AS76" s="112">
        <v>0</v>
      </c>
      <c r="AT76" s="112">
        <v>0.8</v>
      </c>
      <c r="AU76" s="112">
        <v>0.8</v>
      </c>
      <c r="AV76" s="112">
        <v>0</v>
      </c>
      <c r="AW76" s="112">
        <v>0.8</v>
      </c>
      <c r="AX76" s="112">
        <v>0.8</v>
      </c>
      <c r="AY76" s="112">
        <v>0.8</v>
      </c>
      <c r="AZ76" s="112">
        <v>0.8</v>
      </c>
      <c r="BA76" s="112">
        <v>0.8</v>
      </c>
      <c r="BB76" s="112">
        <v>0</v>
      </c>
      <c r="BC76" s="112">
        <v>0</v>
      </c>
      <c r="BD76" s="112">
        <v>0</v>
      </c>
      <c r="BE76" s="112">
        <v>0</v>
      </c>
      <c r="BF76" s="112">
        <v>0</v>
      </c>
      <c r="BG76" s="112">
        <v>0</v>
      </c>
      <c r="BH76" s="112">
        <v>0.8</v>
      </c>
      <c r="BI76" s="112">
        <v>0.8</v>
      </c>
      <c r="BJ76" s="112">
        <v>0</v>
      </c>
      <c r="BK76" s="112">
        <v>0</v>
      </c>
      <c r="BL76" s="112">
        <v>0</v>
      </c>
      <c r="BM76" s="112">
        <v>0</v>
      </c>
      <c r="BN76" s="112">
        <v>0</v>
      </c>
      <c r="BO76" s="112">
        <v>0</v>
      </c>
      <c r="BP76" s="112">
        <v>0</v>
      </c>
      <c r="BQ76" s="112">
        <v>0</v>
      </c>
      <c r="BR76" s="112">
        <v>0</v>
      </c>
      <c r="BS76" s="112">
        <v>0</v>
      </c>
      <c r="BT76" s="112">
        <v>0.8</v>
      </c>
      <c r="BU76" s="112">
        <v>0</v>
      </c>
      <c r="BV76" s="112">
        <v>0</v>
      </c>
      <c r="BW76" s="112">
        <v>0</v>
      </c>
      <c r="BX76" s="112">
        <v>0</v>
      </c>
      <c r="BY76" s="112">
        <v>0</v>
      </c>
      <c r="BZ76" s="112">
        <v>0</v>
      </c>
      <c r="CA76" s="112">
        <v>0</v>
      </c>
      <c r="CB76" s="112">
        <v>0</v>
      </c>
      <c r="CC76" s="112">
        <v>0</v>
      </c>
      <c r="CD76" s="112">
        <v>0</v>
      </c>
      <c r="CE76" s="112">
        <v>0</v>
      </c>
      <c r="CF76" s="112">
        <v>0</v>
      </c>
      <c r="CG76" s="112">
        <v>0</v>
      </c>
      <c r="CH76" s="112">
        <v>0</v>
      </c>
      <c r="CI76" s="112">
        <v>0</v>
      </c>
      <c r="CJ76" s="112">
        <v>0</v>
      </c>
      <c r="CK76" s="112">
        <v>0</v>
      </c>
      <c r="CL76" s="112">
        <v>0</v>
      </c>
      <c r="CM76" s="112">
        <v>0</v>
      </c>
      <c r="CN76" s="112">
        <v>0</v>
      </c>
      <c r="CO76" s="112">
        <v>0</v>
      </c>
      <c r="CP76" s="112">
        <v>0</v>
      </c>
      <c r="CQ76" s="112">
        <v>0</v>
      </c>
      <c r="CR76" s="112">
        <v>0</v>
      </c>
      <c r="CS76" s="112">
        <v>0</v>
      </c>
      <c r="CT76" s="112">
        <v>0</v>
      </c>
      <c r="CU76" s="112">
        <v>0</v>
      </c>
      <c r="CV76" s="112">
        <v>0</v>
      </c>
    </row>
    <row r="77" spans="1:100" x14ac:dyDescent="0.15">
      <c r="A77" s="189" t="s">
        <v>267</v>
      </c>
      <c r="B77" s="112">
        <v>0</v>
      </c>
      <c r="C77" s="112">
        <v>0</v>
      </c>
      <c r="D77" s="112">
        <v>0</v>
      </c>
      <c r="E77" s="112">
        <v>0</v>
      </c>
      <c r="F77" s="112">
        <v>0</v>
      </c>
      <c r="G77" s="112">
        <v>0</v>
      </c>
      <c r="H77" s="112">
        <v>0</v>
      </c>
      <c r="I77" s="112">
        <v>0</v>
      </c>
      <c r="J77" s="112">
        <v>0</v>
      </c>
      <c r="K77" s="112">
        <v>0</v>
      </c>
      <c r="L77" s="112">
        <v>0</v>
      </c>
      <c r="M77" s="112">
        <v>0</v>
      </c>
      <c r="N77" s="112">
        <v>0</v>
      </c>
      <c r="O77" s="112">
        <v>0</v>
      </c>
      <c r="P77" s="112">
        <v>0</v>
      </c>
      <c r="Q77" s="112">
        <v>0</v>
      </c>
      <c r="R77" s="112">
        <v>0</v>
      </c>
      <c r="S77" s="112">
        <v>0</v>
      </c>
      <c r="T77" s="112">
        <v>0</v>
      </c>
      <c r="U77" s="112">
        <v>0</v>
      </c>
      <c r="V77" s="112">
        <v>0</v>
      </c>
      <c r="W77" s="112">
        <v>0</v>
      </c>
      <c r="X77" s="112">
        <v>0.8</v>
      </c>
      <c r="Y77" s="112">
        <v>0</v>
      </c>
      <c r="Z77" s="112">
        <v>0</v>
      </c>
      <c r="AA77" s="112">
        <v>0</v>
      </c>
      <c r="AB77" s="112">
        <v>0</v>
      </c>
      <c r="AC77" s="112">
        <v>0</v>
      </c>
      <c r="AD77" s="112">
        <v>0</v>
      </c>
      <c r="AE77" s="112">
        <v>0</v>
      </c>
      <c r="AF77" s="112">
        <v>0</v>
      </c>
      <c r="AG77" s="112">
        <v>0</v>
      </c>
      <c r="AH77" s="112">
        <v>0</v>
      </c>
      <c r="AI77" s="112">
        <v>0</v>
      </c>
      <c r="AJ77" s="112">
        <v>0</v>
      </c>
      <c r="AK77" s="112">
        <v>0</v>
      </c>
      <c r="AL77" s="112">
        <v>0</v>
      </c>
      <c r="AM77" s="112">
        <v>0</v>
      </c>
      <c r="AN77" s="112">
        <v>0</v>
      </c>
      <c r="AO77" s="112">
        <v>0</v>
      </c>
      <c r="AP77" s="112">
        <v>0</v>
      </c>
      <c r="AQ77" s="112">
        <v>0</v>
      </c>
      <c r="AR77" s="112">
        <v>0</v>
      </c>
      <c r="AS77" s="112">
        <v>0.8</v>
      </c>
      <c r="AT77" s="112">
        <v>0</v>
      </c>
      <c r="AU77" s="112">
        <v>0</v>
      </c>
      <c r="AV77" s="112">
        <v>0.8</v>
      </c>
      <c r="AW77" s="112">
        <v>0</v>
      </c>
      <c r="AX77" s="112">
        <v>0</v>
      </c>
      <c r="AY77" s="112">
        <v>0</v>
      </c>
      <c r="AZ77" s="112">
        <v>0</v>
      </c>
      <c r="BA77" s="112">
        <v>0</v>
      </c>
      <c r="BB77" s="112">
        <v>0.8</v>
      </c>
      <c r="BC77" s="112">
        <v>0</v>
      </c>
      <c r="BD77" s="112">
        <v>0</v>
      </c>
      <c r="BE77" s="112">
        <v>0</v>
      </c>
      <c r="BF77" s="112">
        <v>0</v>
      </c>
      <c r="BG77" s="112">
        <v>0</v>
      </c>
      <c r="BH77" s="112">
        <v>0.8</v>
      </c>
      <c r="BI77" s="112">
        <v>0</v>
      </c>
      <c r="BJ77" s="112">
        <v>0</v>
      </c>
      <c r="BK77" s="112">
        <v>0</v>
      </c>
      <c r="BL77" s="112">
        <v>0</v>
      </c>
      <c r="BM77" s="112">
        <v>0</v>
      </c>
      <c r="BN77" s="112">
        <v>0</v>
      </c>
      <c r="BO77" s="112">
        <v>0</v>
      </c>
      <c r="BP77" s="112">
        <v>0</v>
      </c>
      <c r="BQ77" s="112">
        <v>0</v>
      </c>
      <c r="BR77" s="112">
        <v>0</v>
      </c>
      <c r="BS77" s="112">
        <v>0</v>
      </c>
      <c r="BT77" s="112">
        <v>0</v>
      </c>
      <c r="BU77" s="112">
        <v>0.8</v>
      </c>
      <c r="BV77" s="112">
        <v>0</v>
      </c>
      <c r="BW77" s="112">
        <v>0</v>
      </c>
      <c r="BX77" s="112">
        <v>0</v>
      </c>
      <c r="BY77" s="112">
        <v>0</v>
      </c>
      <c r="BZ77" s="112">
        <v>0</v>
      </c>
      <c r="CA77" s="112">
        <v>0</v>
      </c>
      <c r="CB77" s="112">
        <v>0</v>
      </c>
      <c r="CC77" s="112">
        <v>0</v>
      </c>
      <c r="CD77" s="112">
        <v>0</v>
      </c>
      <c r="CE77" s="112">
        <v>0</v>
      </c>
      <c r="CF77" s="112">
        <v>0</v>
      </c>
      <c r="CG77" s="112">
        <v>0</v>
      </c>
      <c r="CH77" s="112">
        <v>0</v>
      </c>
      <c r="CI77" s="112">
        <v>0</v>
      </c>
      <c r="CJ77" s="112">
        <v>0</v>
      </c>
      <c r="CK77" s="112">
        <v>0</v>
      </c>
      <c r="CL77" s="112">
        <v>0</v>
      </c>
      <c r="CM77" s="112">
        <v>0</v>
      </c>
      <c r="CN77" s="112">
        <v>0</v>
      </c>
      <c r="CO77" s="112">
        <v>0</v>
      </c>
      <c r="CP77" s="112">
        <v>0</v>
      </c>
      <c r="CQ77" s="112">
        <v>0</v>
      </c>
      <c r="CR77" s="112">
        <v>0</v>
      </c>
      <c r="CS77" s="112">
        <v>0</v>
      </c>
      <c r="CT77" s="112">
        <v>0</v>
      </c>
      <c r="CU77" s="112">
        <v>0</v>
      </c>
      <c r="CV77" s="112">
        <v>0</v>
      </c>
    </row>
    <row r="78" spans="1:100" x14ac:dyDescent="0.15">
      <c r="A78" s="189" t="s">
        <v>268</v>
      </c>
      <c r="B78" s="112">
        <v>0</v>
      </c>
      <c r="C78" s="112">
        <v>0</v>
      </c>
      <c r="D78" s="112">
        <v>0</v>
      </c>
      <c r="E78" s="112">
        <v>0.8</v>
      </c>
      <c r="F78" s="112">
        <v>0</v>
      </c>
      <c r="G78" s="112">
        <v>0</v>
      </c>
      <c r="H78" s="112">
        <v>0</v>
      </c>
      <c r="I78" s="112">
        <v>0</v>
      </c>
      <c r="J78" s="112">
        <v>0</v>
      </c>
      <c r="K78" s="112">
        <v>0</v>
      </c>
      <c r="L78" s="112">
        <v>0</v>
      </c>
      <c r="M78" s="112">
        <v>0</v>
      </c>
      <c r="N78" s="112">
        <v>0</v>
      </c>
      <c r="O78" s="112">
        <v>0</v>
      </c>
      <c r="P78" s="112">
        <v>0</v>
      </c>
      <c r="Q78" s="112">
        <v>0</v>
      </c>
      <c r="R78" s="112">
        <v>0</v>
      </c>
      <c r="S78" s="112">
        <v>0</v>
      </c>
      <c r="T78" s="112">
        <v>0</v>
      </c>
      <c r="U78" s="112">
        <v>0</v>
      </c>
      <c r="V78" s="112">
        <v>0</v>
      </c>
      <c r="W78" s="112">
        <v>0</v>
      </c>
      <c r="X78" s="112">
        <v>0</v>
      </c>
      <c r="Y78" s="112">
        <v>0</v>
      </c>
      <c r="Z78" s="112">
        <v>0</v>
      </c>
      <c r="AA78" s="112">
        <v>0</v>
      </c>
      <c r="AB78" s="112">
        <v>0</v>
      </c>
      <c r="AC78" s="112">
        <v>0</v>
      </c>
      <c r="AD78" s="112">
        <v>0</v>
      </c>
      <c r="AE78" s="112">
        <v>0</v>
      </c>
      <c r="AF78" s="112">
        <v>0</v>
      </c>
      <c r="AG78" s="112">
        <v>0</v>
      </c>
      <c r="AH78" s="112">
        <v>0</v>
      </c>
      <c r="AI78" s="112">
        <v>0</v>
      </c>
      <c r="AJ78" s="112">
        <v>0</v>
      </c>
      <c r="AK78" s="112">
        <v>0</v>
      </c>
      <c r="AL78" s="112">
        <v>0</v>
      </c>
      <c r="AM78" s="112">
        <v>0</v>
      </c>
      <c r="AN78" s="112">
        <v>0</v>
      </c>
      <c r="AO78" s="112">
        <v>0</v>
      </c>
      <c r="AP78" s="112">
        <v>0</v>
      </c>
      <c r="AQ78" s="112">
        <v>0.8</v>
      </c>
      <c r="AR78" s="112">
        <v>0</v>
      </c>
      <c r="AS78" s="112">
        <v>0</v>
      </c>
      <c r="AT78" s="112">
        <v>0</v>
      </c>
      <c r="AU78" s="112">
        <v>0</v>
      </c>
      <c r="AV78" s="112">
        <v>0</v>
      </c>
      <c r="AW78" s="112">
        <v>0</v>
      </c>
      <c r="AX78" s="112">
        <v>0</v>
      </c>
      <c r="AY78" s="112">
        <v>0</v>
      </c>
      <c r="AZ78" s="112">
        <v>0</v>
      </c>
      <c r="BA78" s="112">
        <v>0</v>
      </c>
      <c r="BB78" s="112">
        <v>0</v>
      </c>
      <c r="BC78" s="112">
        <v>0</v>
      </c>
      <c r="BD78" s="112">
        <v>0</v>
      </c>
      <c r="BE78" s="112">
        <v>0</v>
      </c>
      <c r="BF78" s="112">
        <v>0</v>
      </c>
      <c r="BG78" s="112">
        <v>0</v>
      </c>
      <c r="BH78" s="112">
        <v>0</v>
      </c>
      <c r="BI78" s="112">
        <v>0</v>
      </c>
      <c r="BJ78" s="112">
        <v>0</v>
      </c>
      <c r="BK78" s="112">
        <v>0</v>
      </c>
      <c r="BL78" s="112">
        <v>0</v>
      </c>
      <c r="BM78" s="112">
        <v>0.8</v>
      </c>
      <c r="BN78" s="112">
        <v>0</v>
      </c>
      <c r="BO78" s="112">
        <v>0</v>
      </c>
      <c r="BP78" s="112">
        <v>0</v>
      </c>
      <c r="BQ78" s="112">
        <v>0</v>
      </c>
      <c r="BR78" s="112">
        <v>0</v>
      </c>
      <c r="BS78" s="112">
        <v>0</v>
      </c>
      <c r="BT78" s="112">
        <v>0</v>
      </c>
      <c r="BU78" s="112">
        <v>0</v>
      </c>
      <c r="BV78" s="112">
        <v>0</v>
      </c>
      <c r="BW78" s="112">
        <v>0</v>
      </c>
      <c r="BX78" s="112">
        <v>0</v>
      </c>
      <c r="BY78" s="112">
        <v>0</v>
      </c>
      <c r="BZ78" s="112">
        <v>0</v>
      </c>
      <c r="CA78" s="112">
        <v>0</v>
      </c>
      <c r="CB78" s="112">
        <v>0</v>
      </c>
      <c r="CC78" s="112">
        <v>0</v>
      </c>
      <c r="CD78" s="112">
        <v>0</v>
      </c>
      <c r="CE78" s="112">
        <v>0</v>
      </c>
      <c r="CF78" s="112">
        <v>0</v>
      </c>
      <c r="CG78" s="112">
        <v>0</v>
      </c>
      <c r="CH78" s="112">
        <v>0</v>
      </c>
      <c r="CI78" s="112">
        <v>0</v>
      </c>
      <c r="CJ78" s="112">
        <v>0</v>
      </c>
      <c r="CK78" s="112">
        <v>0</v>
      </c>
      <c r="CL78" s="112">
        <v>0</v>
      </c>
      <c r="CM78" s="112">
        <v>0</v>
      </c>
      <c r="CN78" s="112">
        <v>0</v>
      </c>
      <c r="CO78" s="112">
        <v>0</v>
      </c>
      <c r="CP78" s="112">
        <v>0</v>
      </c>
      <c r="CQ78" s="112">
        <v>0</v>
      </c>
      <c r="CR78" s="112">
        <v>0</v>
      </c>
      <c r="CS78" s="112">
        <v>0</v>
      </c>
      <c r="CT78" s="112">
        <v>0</v>
      </c>
      <c r="CU78" s="112">
        <v>0</v>
      </c>
      <c r="CV78" s="112">
        <v>0</v>
      </c>
    </row>
    <row r="79" spans="1:100" x14ac:dyDescent="0.15">
      <c r="A79" s="189" t="s">
        <v>269</v>
      </c>
      <c r="B79" s="112">
        <v>0</v>
      </c>
      <c r="C79" s="112">
        <v>0</v>
      </c>
      <c r="D79" s="112">
        <v>0</v>
      </c>
      <c r="E79" s="112">
        <v>0.8</v>
      </c>
      <c r="F79" s="112">
        <v>0</v>
      </c>
      <c r="G79" s="112">
        <v>0</v>
      </c>
      <c r="H79" s="112">
        <v>0</v>
      </c>
      <c r="I79" s="112">
        <v>0</v>
      </c>
      <c r="J79" s="112">
        <v>0</v>
      </c>
      <c r="K79" s="112">
        <v>0</v>
      </c>
      <c r="L79" s="112">
        <v>0</v>
      </c>
      <c r="M79" s="112">
        <v>0</v>
      </c>
      <c r="N79" s="112">
        <v>0</v>
      </c>
      <c r="O79" s="112">
        <v>0</v>
      </c>
      <c r="P79" s="112">
        <v>0</v>
      </c>
      <c r="Q79" s="112">
        <v>0</v>
      </c>
      <c r="R79" s="112">
        <v>0</v>
      </c>
      <c r="S79" s="112">
        <v>0</v>
      </c>
      <c r="T79" s="112">
        <v>0</v>
      </c>
      <c r="U79" s="112">
        <v>0.8</v>
      </c>
      <c r="V79" s="112">
        <v>0</v>
      </c>
      <c r="W79" s="112">
        <v>0</v>
      </c>
      <c r="X79" s="112">
        <v>0</v>
      </c>
      <c r="Y79" s="112">
        <v>0</v>
      </c>
      <c r="Z79" s="112">
        <v>0</v>
      </c>
      <c r="AA79" s="112">
        <v>0</v>
      </c>
      <c r="AB79" s="112">
        <v>0</v>
      </c>
      <c r="AC79" s="112">
        <v>0</v>
      </c>
      <c r="AD79" s="112">
        <v>0</v>
      </c>
      <c r="AE79" s="112">
        <v>0</v>
      </c>
      <c r="AF79" s="112">
        <v>0</v>
      </c>
      <c r="AG79" s="112">
        <v>0</v>
      </c>
      <c r="AH79" s="112">
        <v>0</v>
      </c>
      <c r="AI79" s="112">
        <v>0</v>
      </c>
      <c r="AJ79" s="112">
        <v>0</v>
      </c>
      <c r="AK79" s="112">
        <v>0</v>
      </c>
      <c r="AL79" s="112">
        <v>0</v>
      </c>
      <c r="AM79" s="112">
        <v>0</v>
      </c>
      <c r="AN79" s="112">
        <v>0</v>
      </c>
      <c r="AO79" s="112">
        <v>0</v>
      </c>
      <c r="AP79" s="112">
        <v>0</v>
      </c>
      <c r="AQ79" s="112">
        <v>0.8</v>
      </c>
      <c r="AR79" s="112">
        <v>0</v>
      </c>
      <c r="AS79" s="112">
        <v>0</v>
      </c>
      <c r="AT79" s="112">
        <v>0</v>
      </c>
      <c r="AU79" s="112">
        <v>0</v>
      </c>
      <c r="AV79" s="112">
        <v>0</v>
      </c>
      <c r="AW79" s="112">
        <v>0</v>
      </c>
      <c r="AX79" s="112">
        <v>0</v>
      </c>
      <c r="AY79" s="112">
        <v>0</v>
      </c>
      <c r="AZ79" s="112">
        <v>0</v>
      </c>
      <c r="BA79" s="112">
        <v>0</v>
      </c>
      <c r="BB79" s="112">
        <v>0</v>
      </c>
      <c r="BC79" s="112">
        <v>0</v>
      </c>
      <c r="BD79" s="112">
        <v>0</v>
      </c>
      <c r="BE79" s="112">
        <v>0</v>
      </c>
      <c r="BF79" s="112">
        <v>0</v>
      </c>
      <c r="BG79" s="112">
        <v>0</v>
      </c>
      <c r="BH79" s="112">
        <v>0</v>
      </c>
      <c r="BI79" s="112">
        <v>0</v>
      </c>
      <c r="BJ79" s="112">
        <v>0</v>
      </c>
      <c r="BK79" s="112">
        <v>0</v>
      </c>
      <c r="BL79" s="112">
        <v>0</v>
      </c>
      <c r="BM79" s="112">
        <v>0.8</v>
      </c>
      <c r="BN79" s="112">
        <v>0</v>
      </c>
      <c r="BO79" s="112">
        <v>0</v>
      </c>
      <c r="BP79" s="112">
        <v>0</v>
      </c>
      <c r="BQ79" s="112">
        <v>0</v>
      </c>
      <c r="BR79" s="112">
        <v>0</v>
      </c>
      <c r="BS79" s="112">
        <v>0</v>
      </c>
      <c r="BT79" s="112">
        <v>0</v>
      </c>
      <c r="BU79" s="112">
        <v>0</v>
      </c>
      <c r="BV79" s="112">
        <v>0</v>
      </c>
      <c r="BW79" s="112">
        <v>0</v>
      </c>
      <c r="BX79" s="112">
        <v>0</v>
      </c>
      <c r="BY79" s="112">
        <v>0</v>
      </c>
      <c r="BZ79" s="112">
        <v>0.8</v>
      </c>
      <c r="CA79" s="112">
        <v>0</v>
      </c>
      <c r="CB79" s="112">
        <v>0</v>
      </c>
      <c r="CC79" s="112">
        <v>0</v>
      </c>
      <c r="CD79" s="112">
        <v>0</v>
      </c>
      <c r="CE79" s="112">
        <v>0</v>
      </c>
      <c r="CF79" s="112">
        <v>0</v>
      </c>
      <c r="CG79" s="112">
        <v>0</v>
      </c>
      <c r="CH79" s="112">
        <v>0</v>
      </c>
      <c r="CI79" s="112">
        <v>0</v>
      </c>
      <c r="CJ79" s="112">
        <v>0</v>
      </c>
      <c r="CK79" s="112">
        <v>0</v>
      </c>
      <c r="CL79" s="112">
        <v>0</v>
      </c>
      <c r="CM79" s="112">
        <v>0</v>
      </c>
      <c r="CN79" s="112">
        <v>0</v>
      </c>
      <c r="CO79" s="112">
        <v>0</v>
      </c>
      <c r="CP79" s="112">
        <v>0</v>
      </c>
      <c r="CQ79" s="112">
        <v>0</v>
      </c>
      <c r="CR79" s="112">
        <v>0</v>
      </c>
      <c r="CS79" s="112">
        <v>0</v>
      </c>
      <c r="CT79" s="112">
        <v>0</v>
      </c>
      <c r="CU79" s="112">
        <v>0</v>
      </c>
      <c r="CV79" s="112">
        <v>0</v>
      </c>
    </row>
    <row r="80" spans="1:100" x14ac:dyDescent="0.15">
      <c r="A80" s="189" t="s">
        <v>270</v>
      </c>
      <c r="B80" s="112">
        <v>0.8</v>
      </c>
      <c r="C80" s="112">
        <v>0</v>
      </c>
      <c r="D80" s="112">
        <v>0</v>
      </c>
      <c r="E80" s="112">
        <v>0</v>
      </c>
      <c r="F80" s="112">
        <v>0</v>
      </c>
      <c r="G80" s="112">
        <v>0</v>
      </c>
      <c r="H80" s="112">
        <v>0</v>
      </c>
      <c r="I80" s="112">
        <v>0</v>
      </c>
      <c r="J80" s="112">
        <v>0</v>
      </c>
      <c r="K80" s="112">
        <v>0</v>
      </c>
      <c r="L80" s="112">
        <v>0.8</v>
      </c>
      <c r="M80" s="112">
        <v>0.8</v>
      </c>
      <c r="N80" s="112">
        <v>0</v>
      </c>
      <c r="O80" s="112">
        <v>0.8</v>
      </c>
      <c r="P80" s="112">
        <v>0.8</v>
      </c>
      <c r="Q80" s="112">
        <v>0.8</v>
      </c>
      <c r="R80" s="112">
        <v>0.8</v>
      </c>
      <c r="S80" s="112">
        <v>0.8</v>
      </c>
      <c r="T80" s="112">
        <v>0.8</v>
      </c>
      <c r="U80" s="112">
        <v>0.8</v>
      </c>
      <c r="V80" s="112">
        <v>0.8</v>
      </c>
      <c r="W80" s="112">
        <v>0.8</v>
      </c>
      <c r="X80" s="112">
        <v>0.8</v>
      </c>
      <c r="Y80" s="112">
        <v>0</v>
      </c>
      <c r="Z80" s="112">
        <v>0.8</v>
      </c>
      <c r="AA80" s="112">
        <v>0.8</v>
      </c>
      <c r="AB80" s="112">
        <v>0</v>
      </c>
      <c r="AC80" s="112">
        <v>0</v>
      </c>
      <c r="AD80" s="112">
        <v>0.8</v>
      </c>
      <c r="AE80" s="112">
        <v>0.8</v>
      </c>
      <c r="AF80" s="112">
        <v>0.8</v>
      </c>
      <c r="AG80" s="112">
        <v>0.8</v>
      </c>
      <c r="AH80" s="112">
        <v>0.8</v>
      </c>
      <c r="AI80" s="112">
        <v>0.8</v>
      </c>
      <c r="AJ80" s="112">
        <v>0.8</v>
      </c>
      <c r="AK80" s="112">
        <v>0.8</v>
      </c>
      <c r="AL80" s="112">
        <v>0</v>
      </c>
      <c r="AM80" s="112">
        <v>0</v>
      </c>
      <c r="AN80" s="112">
        <v>0.8</v>
      </c>
      <c r="AO80" s="112">
        <v>0</v>
      </c>
      <c r="AP80" s="112">
        <v>0</v>
      </c>
      <c r="AQ80" s="112">
        <v>0.8</v>
      </c>
      <c r="AR80" s="112">
        <v>0</v>
      </c>
      <c r="AS80" s="112">
        <v>0</v>
      </c>
      <c r="AT80" s="112">
        <v>0</v>
      </c>
      <c r="AU80" s="112">
        <v>0</v>
      </c>
      <c r="AV80" s="112">
        <v>0</v>
      </c>
      <c r="AW80" s="112">
        <v>0</v>
      </c>
      <c r="AX80" s="112">
        <v>0</v>
      </c>
      <c r="AY80" s="112">
        <v>0</v>
      </c>
      <c r="AZ80" s="112">
        <v>0</v>
      </c>
      <c r="BA80" s="112">
        <v>0</v>
      </c>
      <c r="BB80" s="112">
        <v>0</v>
      </c>
      <c r="BC80" s="112">
        <v>0</v>
      </c>
      <c r="BD80" s="112">
        <v>0</v>
      </c>
      <c r="BE80" s="112">
        <v>0</v>
      </c>
      <c r="BF80" s="112">
        <v>0</v>
      </c>
      <c r="BG80" s="112">
        <v>0</v>
      </c>
      <c r="BH80" s="112">
        <v>0</v>
      </c>
      <c r="BI80" s="112">
        <v>0</v>
      </c>
      <c r="BJ80" s="112">
        <v>0</v>
      </c>
      <c r="BK80" s="112">
        <v>0.8</v>
      </c>
      <c r="BL80" s="112">
        <v>0</v>
      </c>
      <c r="BM80" s="112">
        <v>0.8</v>
      </c>
      <c r="BN80" s="112">
        <v>0</v>
      </c>
      <c r="BO80" s="112">
        <v>0</v>
      </c>
      <c r="BP80" s="112">
        <v>0</v>
      </c>
      <c r="BQ80" s="112">
        <v>0</v>
      </c>
      <c r="BR80" s="112">
        <v>0</v>
      </c>
      <c r="BS80" s="112">
        <v>0</v>
      </c>
      <c r="BT80" s="112">
        <v>0</v>
      </c>
      <c r="BU80" s="112">
        <v>0</v>
      </c>
      <c r="BV80" s="112">
        <v>0</v>
      </c>
      <c r="BW80" s="112">
        <v>0</v>
      </c>
      <c r="BX80" s="112">
        <v>0.8</v>
      </c>
      <c r="BY80" s="112">
        <v>0</v>
      </c>
      <c r="BZ80" s="112">
        <v>0.8</v>
      </c>
      <c r="CA80" s="112">
        <v>0.8</v>
      </c>
      <c r="CB80" s="112">
        <v>0.8</v>
      </c>
      <c r="CC80" s="112">
        <v>0</v>
      </c>
      <c r="CD80" s="112">
        <v>0.8</v>
      </c>
      <c r="CE80" s="112">
        <v>0</v>
      </c>
      <c r="CF80" s="112">
        <v>0</v>
      </c>
      <c r="CG80" s="112">
        <v>0</v>
      </c>
      <c r="CH80" s="112">
        <v>0</v>
      </c>
      <c r="CI80" s="112">
        <v>0</v>
      </c>
      <c r="CJ80" s="112">
        <v>0</v>
      </c>
      <c r="CK80" s="112">
        <v>0</v>
      </c>
      <c r="CL80" s="112">
        <v>0</v>
      </c>
      <c r="CM80" s="112">
        <v>0</v>
      </c>
      <c r="CN80" s="112">
        <v>0</v>
      </c>
      <c r="CO80" s="112">
        <v>0</v>
      </c>
      <c r="CP80" s="112">
        <v>0</v>
      </c>
      <c r="CQ80" s="112">
        <v>0</v>
      </c>
      <c r="CR80" s="112">
        <v>0</v>
      </c>
      <c r="CS80" s="112">
        <v>0</v>
      </c>
      <c r="CT80" s="112">
        <v>0</v>
      </c>
      <c r="CU80" s="112">
        <v>0</v>
      </c>
      <c r="CV80" s="112">
        <v>0</v>
      </c>
    </row>
    <row r="81" spans="1:100" x14ac:dyDescent="0.15">
      <c r="A81" s="189" t="s">
        <v>271</v>
      </c>
      <c r="B81" s="112">
        <v>0</v>
      </c>
      <c r="C81" s="112">
        <v>0</v>
      </c>
      <c r="D81" s="112">
        <v>0</v>
      </c>
      <c r="E81" s="112">
        <v>0</v>
      </c>
      <c r="F81" s="112">
        <v>0</v>
      </c>
      <c r="G81" s="112">
        <v>0</v>
      </c>
      <c r="H81" s="112">
        <v>0</v>
      </c>
      <c r="I81" s="112">
        <v>0</v>
      </c>
      <c r="J81" s="112">
        <v>0</v>
      </c>
      <c r="K81" s="112">
        <v>0</v>
      </c>
      <c r="L81" s="112">
        <v>0</v>
      </c>
      <c r="M81" s="112">
        <v>0</v>
      </c>
      <c r="N81" s="112">
        <v>0</v>
      </c>
      <c r="O81" s="112">
        <v>0</v>
      </c>
      <c r="P81" s="112">
        <v>0</v>
      </c>
      <c r="Q81" s="112">
        <v>0</v>
      </c>
      <c r="R81" s="112">
        <v>0</v>
      </c>
      <c r="S81" s="112">
        <v>0</v>
      </c>
      <c r="T81" s="112">
        <v>0.8</v>
      </c>
      <c r="U81" s="112">
        <v>0.8</v>
      </c>
      <c r="V81" s="112">
        <v>0</v>
      </c>
      <c r="W81" s="112">
        <v>0</v>
      </c>
      <c r="X81" s="112">
        <v>0</v>
      </c>
      <c r="Y81" s="112">
        <v>0</v>
      </c>
      <c r="Z81" s="112">
        <v>0.8</v>
      </c>
      <c r="AA81" s="112">
        <v>0.8</v>
      </c>
      <c r="AB81" s="112">
        <v>0</v>
      </c>
      <c r="AC81" s="112">
        <v>0</v>
      </c>
      <c r="AD81" s="112">
        <v>0</v>
      </c>
      <c r="AE81" s="112">
        <v>0</v>
      </c>
      <c r="AF81" s="112">
        <v>0</v>
      </c>
      <c r="AG81" s="112">
        <v>0</v>
      </c>
      <c r="AH81" s="112">
        <v>0</v>
      </c>
      <c r="AI81" s="112">
        <v>0</v>
      </c>
      <c r="AJ81" s="112">
        <v>0</v>
      </c>
      <c r="AK81" s="112">
        <v>0.8</v>
      </c>
      <c r="AL81" s="112">
        <v>0</v>
      </c>
      <c r="AM81" s="112">
        <v>0</v>
      </c>
      <c r="AN81" s="112">
        <v>0</v>
      </c>
      <c r="AO81" s="112">
        <v>0</v>
      </c>
      <c r="AP81" s="112">
        <v>0</v>
      </c>
      <c r="AQ81" s="112">
        <v>0</v>
      </c>
      <c r="AR81" s="112">
        <v>0</v>
      </c>
      <c r="AS81" s="112">
        <v>0.8</v>
      </c>
      <c r="AT81" s="112">
        <v>0</v>
      </c>
      <c r="AU81" s="112">
        <v>0</v>
      </c>
      <c r="AV81" s="112">
        <v>0</v>
      </c>
      <c r="AW81" s="112">
        <v>0</v>
      </c>
      <c r="AX81" s="112">
        <v>0</v>
      </c>
      <c r="AY81" s="112">
        <v>0</v>
      </c>
      <c r="AZ81" s="112">
        <v>0</v>
      </c>
      <c r="BA81" s="112">
        <v>0</v>
      </c>
      <c r="BB81" s="112">
        <v>0.8</v>
      </c>
      <c r="BC81" s="112">
        <v>0</v>
      </c>
      <c r="BD81" s="112">
        <v>0</v>
      </c>
      <c r="BE81" s="112">
        <v>0</v>
      </c>
      <c r="BF81" s="112">
        <v>0</v>
      </c>
      <c r="BG81" s="112">
        <v>0</v>
      </c>
      <c r="BH81" s="112">
        <v>0</v>
      </c>
      <c r="BI81" s="112">
        <v>0</v>
      </c>
      <c r="BJ81" s="112">
        <v>0</v>
      </c>
      <c r="BK81" s="112">
        <v>0.8</v>
      </c>
      <c r="BL81" s="112">
        <v>0</v>
      </c>
      <c r="BM81" s="112">
        <v>0.8</v>
      </c>
      <c r="BN81" s="112">
        <v>0</v>
      </c>
      <c r="BO81" s="112">
        <v>0</v>
      </c>
      <c r="BP81" s="112">
        <v>0</v>
      </c>
      <c r="BQ81" s="112">
        <v>0</v>
      </c>
      <c r="BR81" s="112">
        <v>0</v>
      </c>
      <c r="BS81" s="112">
        <v>0</v>
      </c>
      <c r="BT81" s="112">
        <v>0</v>
      </c>
      <c r="BU81" s="112">
        <v>0</v>
      </c>
      <c r="BV81" s="112">
        <v>0</v>
      </c>
      <c r="BW81" s="112">
        <v>0</v>
      </c>
      <c r="BX81" s="112">
        <v>0</v>
      </c>
      <c r="BY81" s="112">
        <v>0.8</v>
      </c>
      <c r="BZ81" s="112">
        <v>0</v>
      </c>
      <c r="CA81" s="112">
        <v>0.8</v>
      </c>
      <c r="CB81" s="112">
        <v>0</v>
      </c>
      <c r="CC81" s="112">
        <v>0.8</v>
      </c>
      <c r="CD81" s="112">
        <v>0</v>
      </c>
      <c r="CE81" s="112">
        <v>0.8</v>
      </c>
      <c r="CF81" s="112">
        <v>0</v>
      </c>
      <c r="CG81" s="112">
        <v>0</v>
      </c>
      <c r="CH81" s="112">
        <v>0</v>
      </c>
      <c r="CI81" s="112">
        <v>0</v>
      </c>
      <c r="CJ81" s="112">
        <v>0</v>
      </c>
      <c r="CK81" s="112">
        <v>0</v>
      </c>
      <c r="CL81" s="112">
        <v>0</v>
      </c>
      <c r="CM81" s="112">
        <v>0</v>
      </c>
      <c r="CN81" s="112">
        <v>0</v>
      </c>
      <c r="CO81" s="112">
        <v>0</v>
      </c>
      <c r="CP81" s="112">
        <v>0</v>
      </c>
      <c r="CQ81" s="112">
        <v>0</v>
      </c>
      <c r="CR81" s="112">
        <v>0</v>
      </c>
      <c r="CS81" s="112">
        <v>0</v>
      </c>
      <c r="CT81" s="112">
        <v>0</v>
      </c>
      <c r="CU81" s="112">
        <v>0</v>
      </c>
      <c r="CV81" s="112">
        <v>0</v>
      </c>
    </row>
    <row r="82" spans="1:100" x14ac:dyDescent="0.15">
      <c r="A82" s="189" t="s">
        <v>272</v>
      </c>
      <c r="B82" s="112">
        <v>0</v>
      </c>
      <c r="C82" s="112">
        <v>0</v>
      </c>
      <c r="D82" s="112">
        <v>0</v>
      </c>
      <c r="E82" s="112">
        <v>0</v>
      </c>
      <c r="F82" s="112">
        <v>0</v>
      </c>
      <c r="G82" s="112">
        <v>0</v>
      </c>
      <c r="H82" s="112">
        <v>0</v>
      </c>
      <c r="I82" s="112">
        <v>0</v>
      </c>
      <c r="J82" s="112">
        <v>0</v>
      </c>
      <c r="K82" s="112">
        <v>0</v>
      </c>
      <c r="L82" s="112">
        <v>0</v>
      </c>
      <c r="M82" s="112">
        <v>0</v>
      </c>
      <c r="N82" s="112">
        <v>0</v>
      </c>
      <c r="O82" s="112">
        <v>0</v>
      </c>
      <c r="P82" s="112">
        <v>0</v>
      </c>
      <c r="Q82" s="112">
        <v>0</v>
      </c>
      <c r="R82" s="112">
        <v>0</v>
      </c>
      <c r="S82" s="112">
        <v>0</v>
      </c>
      <c r="T82" s="112">
        <v>0</v>
      </c>
      <c r="U82" s="112">
        <v>0</v>
      </c>
      <c r="V82" s="112">
        <v>0</v>
      </c>
      <c r="W82" s="112">
        <v>0</v>
      </c>
      <c r="X82" s="112">
        <v>0</v>
      </c>
      <c r="Y82" s="112">
        <v>0</v>
      </c>
      <c r="Z82" s="112">
        <v>0</v>
      </c>
      <c r="AA82" s="112">
        <v>0</v>
      </c>
      <c r="AB82" s="112">
        <v>0</v>
      </c>
      <c r="AC82" s="112">
        <v>0</v>
      </c>
      <c r="AD82" s="112">
        <v>0</v>
      </c>
      <c r="AE82" s="112">
        <v>0</v>
      </c>
      <c r="AF82" s="112">
        <v>0</v>
      </c>
      <c r="AG82" s="112">
        <v>0</v>
      </c>
      <c r="AH82" s="112">
        <v>0</v>
      </c>
      <c r="AI82" s="112">
        <v>0</v>
      </c>
      <c r="AJ82" s="112">
        <v>0</v>
      </c>
      <c r="AK82" s="112">
        <v>0</v>
      </c>
      <c r="AL82" s="112">
        <v>0</v>
      </c>
      <c r="AM82" s="112">
        <v>0</v>
      </c>
      <c r="AN82" s="112">
        <v>0</v>
      </c>
      <c r="AO82" s="112">
        <v>0</v>
      </c>
      <c r="AP82" s="112">
        <v>0</v>
      </c>
      <c r="AQ82" s="112">
        <v>0.8</v>
      </c>
      <c r="AR82" s="112">
        <v>0</v>
      </c>
      <c r="AS82" s="112">
        <v>0</v>
      </c>
      <c r="AT82" s="112">
        <v>0</v>
      </c>
      <c r="AU82" s="112">
        <v>0</v>
      </c>
      <c r="AV82" s="112">
        <v>0</v>
      </c>
      <c r="AW82" s="112">
        <v>0</v>
      </c>
      <c r="AX82" s="112">
        <v>0</v>
      </c>
      <c r="AY82" s="112">
        <v>0</v>
      </c>
      <c r="AZ82" s="112">
        <v>0</v>
      </c>
      <c r="BA82" s="112">
        <v>0</v>
      </c>
      <c r="BB82" s="112">
        <v>0</v>
      </c>
      <c r="BC82" s="112">
        <v>0</v>
      </c>
      <c r="BD82" s="112">
        <v>0</v>
      </c>
      <c r="BE82" s="112">
        <v>0</v>
      </c>
      <c r="BF82" s="112">
        <v>0</v>
      </c>
      <c r="BG82" s="112">
        <v>0</v>
      </c>
      <c r="BH82" s="112">
        <v>0</v>
      </c>
      <c r="BI82" s="112">
        <v>0</v>
      </c>
      <c r="BJ82" s="112">
        <v>0</v>
      </c>
      <c r="BK82" s="112">
        <v>0</v>
      </c>
      <c r="BL82" s="112">
        <v>0</v>
      </c>
      <c r="BM82" s="112">
        <v>0.8</v>
      </c>
      <c r="BN82" s="112">
        <v>0</v>
      </c>
      <c r="BO82" s="112">
        <v>0</v>
      </c>
      <c r="BP82" s="112">
        <v>0</v>
      </c>
      <c r="BQ82" s="112">
        <v>0</v>
      </c>
      <c r="BR82" s="112">
        <v>0</v>
      </c>
      <c r="BS82" s="112">
        <v>0</v>
      </c>
      <c r="BT82" s="112">
        <v>0</v>
      </c>
      <c r="BU82" s="112">
        <v>0</v>
      </c>
      <c r="BV82" s="112">
        <v>0</v>
      </c>
      <c r="BW82" s="112">
        <v>0</v>
      </c>
      <c r="BX82" s="112">
        <v>0</v>
      </c>
      <c r="BY82" s="112">
        <v>0</v>
      </c>
      <c r="BZ82" s="112">
        <v>0.8</v>
      </c>
      <c r="CA82" s="112">
        <v>0.8</v>
      </c>
      <c r="CB82" s="112">
        <v>0</v>
      </c>
      <c r="CC82" s="112">
        <v>0</v>
      </c>
      <c r="CD82" s="112">
        <v>0</v>
      </c>
      <c r="CE82" s="112">
        <v>0</v>
      </c>
      <c r="CF82" s="112">
        <v>0</v>
      </c>
      <c r="CG82" s="112">
        <v>0</v>
      </c>
      <c r="CH82" s="112">
        <v>0</v>
      </c>
      <c r="CI82" s="112">
        <v>0</v>
      </c>
      <c r="CJ82" s="112">
        <v>0</v>
      </c>
      <c r="CK82" s="112">
        <v>0</v>
      </c>
      <c r="CL82" s="112">
        <v>0</v>
      </c>
      <c r="CM82" s="112">
        <v>0</v>
      </c>
      <c r="CN82" s="112">
        <v>0</v>
      </c>
      <c r="CO82" s="112">
        <v>0</v>
      </c>
      <c r="CP82" s="112">
        <v>0</v>
      </c>
      <c r="CQ82" s="112">
        <v>0</v>
      </c>
      <c r="CR82" s="112">
        <v>0</v>
      </c>
      <c r="CS82" s="112">
        <v>0</v>
      </c>
      <c r="CT82" s="112">
        <v>0</v>
      </c>
      <c r="CU82" s="112">
        <v>0</v>
      </c>
      <c r="CV82" s="112">
        <v>0</v>
      </c>
    </row>
    <row r="83" spans="1:100" x14ac:dyDescent="0.15">
      <c r="A83" s="189" t="s">
        <v>273</v>
      </c>
      <c r="B83" s="112">
        <v>0</v>
      </c>
      <c r="C83" s="112">
        <v>0</v>
      </c>
      <c r="D83" s="112">
        <v>0</v>
      </c>
      <c r="E83" s="112">
        <v>0</v>
      </c>
      <c r="F83" s="112">
        <v>0</v>
      </c>
      <c r="G83" s="112">
        <v>0</v>
      </c>
      <c r="H83" s="112">
        <v>0</v>
      </c>
      <c r="I83" s="112">
        <v>0</v>
      </c>
      <c r="J83" s="112">
        <v>0</v>
      </c>
      <c r="K83" s="112">
        <v>0</v>
      </c>
      <c r="L83" s="112">
        <v>0</v>
      </c>
      <c r="M83" s="112">
        <v>0</v>
      </c>
      <c r="N83" s="112">
        <v>0</v>
      </c>
      <c r="O83" s="112">
        <v>0</v>
      </c>
      <c r="P83" s="112">
        <v>0</v>
      </c>
      <c r="Q83" s="112">
        <v>0</v>
      </c>
      <c r="R83" s="112">
        <v>0</v>
      </c>
      <c r="S83" s="112">
        <v>0</v>
      </c>
      <c r="T83" s="112">
        <v>0</v>
      </c>
      <c r="U83" s="112">
        <v>0</v>
      </c>
      <c r="V83" s="112">
        <v>0</v>
      </c>
      <c r="W83" s="112">
        <v>0</v>
      </c>
      <c r="X83" s="112">
        <v>0</v>
      </c>
      <c r="Y83" s="112">
        <v>0</v>
      </c>
      <c r="Z83" s="112">
        <v>0</v>
      </c>
      <c r="AA83" s="112">
        <v>0</v>
      </c>
      <c r="AB83" s="112">
        <v>0</v>
      </c>
      <c r="AC83" s="112">
        <v>0</v>
      </c>
      <c r="AD83" s="112">
        <v>0</v>
      </c>
      <c r="AE83" s="112">
        <v>0</v>
      </c>
      <c r="AF83" s="112">
        <v>0</v>
      </c>
      <c r="AG83" s="112">
        <v>0</v>
      </c>
      <c r="AH83" s="112">
        <v>0</v>
      </c>
      <c r="AI83" s="112">
        <v>0</v>
      </c>
      <c r="AJ83" s="112">
        <v>0</v>
      </c>
      <c r="AK83" s="112">
        <v>0</v>
      </c>
      <c r="AL83" s="112">
        <v>0</v>
      </c>
      <c r="AM83" s="112">
        <v>0</v>
      </c>
      <c r="AN83" s="112">
        <v>0</v>
      </c>
      <c r="AO83" s="112">
        <v>0</v>
      </c>
      <c r="AP83" s="112">
        <v>0</v>
      </c>
      <c r="AQ83" s="112">
        <v>0</v>
      </c>
      <c r="AR83" s="112">
        <v>0</v>
      </c>
      <c r="AS83" s="112">
        <v>0</v>
      </c>
      <c r="AT83" s="112">
        <v>0</v>
      </c>
      <c r="AU83" s="112">
        <v>0</v>
      </c>
      <c r="AV83" s="112">
        <v>0</v>
      </c>
      <c r="AW83" s="112">
        <v>0</v>
      </c>
      <c r="AX83" s="112">
        <v>0</v>
      </c>
      <c r="AY83" s="112">
        <v>0</v>
      </c>
      <c r="AZ83" s="112">
        <v>0</v>
      </c>
      <c r="BA83" s="112">
        <v>0</v>
      </c>
      <c r="BB83" s="112">
        <v>0.8</v>
      </c>
      <c r="BC83" s="112">
        <v>0</v>
      </c>
      <c r="BD83" s="112">
        <v>0</v>
      </c>
      <c r="BE83" s="112">
        <v>0</v>
      </c>
      <c r="BF83" s="112">
        <v>0</v>
      </c>
      <c r="BG83" s="112">
        <v>0</v>
      </c>
      <c r="BH83" s="112">
        <v>0</v>
      </c>
      <c r="BI83" s="112">
        <v>0</v>
      </c>
      <c r="BJ83" s="112">
        <v>0</v>
      </c>
      <c r="BK83" s="112">
        <v>0</v>
      </c>
      <c r="BL83" s="112">
        <v>0</v>
      </c>
      <c r="BM83" s="112">
        <v>0</v>
      </c>
      <c r="BN83" s="112">
        <v>0</v>
      </c>
      <c r="BO83" s="112">
        <v>0</v>
      </c>
      <c r="BP83" s="112">
        <v>0</v>
      </c>
      <c r="BQ83" s="112">
        <v>0</v>
      </c>
      <c r="BR83" s="112">
        <v>0</v>
      </c>
      <c r="BS83" s="112">
        <v>0</v>
      </c>
      <c r="BT83" s="112">
        <v>0</v>
      </c>
      <c r="BU83" s="112">
        <v>0</v>
      </c>
      <c r="BV83" s="112">
        <v>0</v>
      </c>
      <c r="BW83" s="112">
        <v>0</v>
      </c>
      <c r="BX83" s="112">
        <v>0</v>
      </c>
      <c r="BY83" s="112">
        <v>0</v>
      </c>
      <c r="BZ83" s="112">
        <v>0</v>
      </c>
      <c r="CA83" s="112">
        <v>0</v>
      </c>
      <c r="CB83" s="112">
        <v>0</v>
      </c>
      <c r="CC83" s="112">
        <v>0</v>
      </c>
      <c r="CD83" s="112">
        <v>0</v>
      </c>
      <c r="CE83" s="112">
        <v>0</v>
      </c>
      <c r="CF83" s="112">
        <v>0</v>
      </c>
      <c r="CG83" s="112">
        <v>0</v>
      </c>
      <c r="CH83" s="112">
        <v>0</v>
      </c>
      <c r="CI83" s="112">
        <v>0</v>
      </c>
      <c r="CJ83" s="112">
        <v>0</v>
      </c>
      <c r="CK83" s="112">
        <v>0</v>
      </c>
      <c r="CL83" s="112">
        <v>0</v>
      </c>
      <c r="CM83" s="112">
        <v>0</v>
      </c>
      <c r="CN83" s="112">
        <v>0</v>
      </c>
      <c r="CO83" s="112">
        <v>0</v>
      </c>
      <c r="CP83" s="112">
        <v>0</v>
      </c>
      <c r="CQ83" s="112">
        <v>0</v>
      </c>
      <c r="CR83" s="112">
        <v>0</v>
      </c>
      <c r="CS83" s="112">
        <v>0</v>
      </c>
      <c r="CT83" s="112">
        <v>0</v>
      </c>
      <c r="CU83" s="112">
        <v>0</v>
      </c>
      <c r="CV83" s="112">
        <v>0</v>
      </c>
    </row>
    <row r="84" spans="1:100" x14ac:dyDescent="0.15">
      <c r="A84" s="189" t="s">
        <v>274</v>
      </c>
      <c r="B84" s="112">
        <v>0</v>
      </c>
      <c r="C84" s="112">
        <v>0</v>
      </c>
      <c r="D84" s="112">
        <v>0</v>
      </c>
      <c r="E84" s="112">
        <v>0</v>
      </c>
      <c r="F84" s="112">
        <v>0</v>
      </c>
      <c r="G84" s="112">
        <v>0</v>
      </c>
      <c r="H84" s="112">
        <v>0</v>
      </c>
      <c r="I84" s="112">
        <v>0</v>
      </c>
      <c r="J84" s="112">
        <v>0</v>
      </c>
      <c r="K84" s="112">
        <v>0</v>
      </c>
      <c r="L84" s="112">
        <v>0.8</v>
      </c>
      <c r="M84" s="112">
        <v>0</v>
      </c>
      <c r="N84" s="112">
        <v>0</v>
      </c>
      <c r="O84" s="112">
        <v>0.8</v>
      </c>
      <c r="P84" s="112">
        <v>0</v>
      </c>
      <c r="Q84" s="112">
        <v>0.8</v>
      </c>
      <c r="R84" s="112">
        <v>0</v>
      </c>
      <c r="S84" s="112">
        <v>0.8</v>
      </c>
      <c r="T84" s="112">
        <v>0</v>
      </c>
      <c r="U84" s="112">
        <v>0.8</v>
      </c>
      <c r="V84" s="112">
        <v>0</v>
      </c>
      <c r="W84" s="112">
        <v>0</v>
      </c>
      <c r="X84" s="112">
        <v>0</v>
      </c>
      <c r="Y84" s="112">
        <v>0</v>
      </c>
      <c r="Z84" s="112">
        <v>0</v>
      </c>
      <c r="AA84" s="112">
        <v>0</v>
      </c>
      <c r="AB84" s="112">
        <v>0</v>
      </c>
      <c r="AC84" s="112">
        <v>0</v>
      </c>
      <c r="AD84" s="112">
        <v>0</v>
      </c>
      <c r="AE84" s="112">
        <v>0.8</v>
      </c>
      <c r="AF84" s="112">
        <v>0.8</v>
      </c>
      <c r="AG84" s="112">
        <v>0.8</v>
      </c>
      <c r="AH84" s="112">
        <v>0</v>
      </c>
      <c r="AI84" s="112">
        <v>0.8</v>
      </c>
      <c r="AJ84" s="112">
        <v>0</v>
      </c>
      <c r="AK84" s="112">
        <v>0.8</v>
      </c>
      <c r="AL84" s="112">
        <v>0</v>
      </c>
      <c r="AM84" s="112">
        <v>0</v>
      </c>
      <c r="AN84" s="112">
        <v>0.8</v>
      </c>
      <c r="AO84" s="112">
        <v>0</v>
      </c>
      <c r="AP84" s="112">
        <v>0</v>
      </c>
      <c r="AQ84" s="112">
        <v>0</v>
      </c>
      <c r="AR84" s="112">
        <v>0</v>
      </c>
      <c r="AS84" s="112">
        <v>0.8</v>
      </c>
      <c r="AT84" s="112">
        <v>0</v>
      </c>
      <c r="AU84" s="112">
        <v>0</v>
      </c>
      <c r="AV84" s="112">
        <v>0</v>
      </c>
      <c r="AW84" s="112">
        <v>0</v>
      </c>
      <c r="AX84" s="112">
        <v>0</v>
      </c>
      <c r="AY84" s="112">
        <v>0</v>
      </c>
      <c r="AZ84" s="112">
        <v>0</v>
      </c>
      <c r="BA84" s="112">
        <v>0</v>
      </c>
      <c r="BB84" s="112">
        <v>0.8</v>
      </c>
      <c r="BC84" s="112">
        <v>0</v>
      </c>
      <c r="BD84" s="112">
        <v>0</v>
      </c>
      <c r="BE84" s="112">
        <v>0</v>
      </c>
      <c r="BF84" s="112">
        <v>0</v>
      </c>
      <c r="BG84" s="112">
        <v>0</v>
      </c>
      <c r="BH84" s="112">
        <v>0</v>
      </c>
      <c r="BI84" s="112">
        <v>0</v>
      </c>
      <c r="BJ84" s="112">
        <v>0</v>
      </c>
      <c r="BK84" s="112">
        <v>0</v>
      </c>
      <c r="BL84" s="112">
        <v>0</v>
      </c>
      <c r="BM84" s="112">
        <v>0</v>
      </c>
      <c r="BN84" s="112">
        <v>0</v>
      </c>
      <c r="BO84" s="112">
        <v>0</v>
      </c>
      <c r="BP84" s="112">
        <v>0</v>
      </c>
      <c r="BQ84" s="112">
        <v>0</v>
      </c>
      <c r="BR84" s="112">
        <v>0</v>
      </c>
      <c r="BS84" s="112">
        <v>0</v>
      </c>
      <c r="BT84" s="112">
        <v>0</v>
      </c>
      <c r="BU84" s="112">
        <v>0</v>
      </c>
      <c r="BV84" s="112">
        <v>0</v>
      </c>
      <c r="BW84" s="112">
        <v>0</v>
      </c>
      <c r="BX84" s="112">
        <v>0</v>
      </c>
      <c r="BY84" s="112">
        <v>0</v>
      </c>
      <c r="BZ84" s="112">
        <v>0</v>
      </c>
      <c r="CA84" s="112">
        <v>0</v>
      </c>
      <c r="CB84" s="112">
        <v>0</v>
      </c>
      <c r="CC84" s="112">
        <v>0</v>
      </c>
      <c r="CD84" s="112">
        <v>0</v>
      </c>
      <c r="CE84" s="112">
        <v>0</v>
      </c>
      <c r="CF84" s="112">
        <v>0</v>
      </c>
      <c r="CG84" s="112">
        <v>0</v>
      </c>
      <c r="CH84" s="112">
        <v>0</v>
      </c>
      <c r="CI84" s="112">
        <v>0</v>
      </c>
      <c r="CJ84" s="112">
        <v>0</v>
      </c>
      <c r="CK84" s="112">
        <v>0</v>
      </c>
      <c r="CL84" s="112">
        <v>0</v>
      </c>
      <c r="CM84" s="112">
        <v>0</v>
      </c>
      <c r="CN84" s="112">
        <v>0</v>
      </c>
      <c r="CO84" s="112">
        <v>0</v>
      </c>
      <c r="CP84" s="112">
        <v>0</v>
      </c>
      <c r="CQ84" s="112">
        <v>0</v>
      </c>
      <c r="CR84" s="112">
        <v>0</v>
      </c>
      <c r="CS84" s="112">
        <v>0</v>
      </c>
      <c r="CT84" s="112">
        <v>0</v>
      </c>
      <c r="CU84" s="112">
        <v>0</v>
      </c>
      <c r="CV84" s="112">
        <v>0</v>
      </c>
    </row>
    <row r="85" spans="1:100" x14ac:dyDescent="0.15">
      <c r="A85" s="189" t="s">
        <v>275</v>
      </c>
      <c r="B85" s="112">
        <v>0</v>
      </c>
      <c r="C85" s="112">
        <v>0</v>
      </c>
      <c r="D85" s="112">
        <v>0</v>
      </c>
      <c r="E85" s="112">
        <v>0</v>
      </c>
      <c r="F85" s="112">
        <v>0</v>
      </c>
      <c r="G85" s="112">
        <v>0</v>
      </c>
      <c r="H85" s="112">
        <v>0</v>
      </c>
      <c r="I85" s="112">
        <v>0</v>
      </c>
      <c r="J85" s="112">
        <v>0</v>
      </c>
      <c r="K85" s="112">
        <v>0</v>
      </c>
      <c r="L85" s="112">
        <v>0</v>
      </c>
      <c r="M85" s="112">
        <v>0</v>
      </c>
      <c r="N85" s="112">
        <v>0</v>
      </c>
      <c r="O85" s="112">
        <v>0</v>
      </c>
      <c r="P85" s="112">
        <v>0</v>
      </c>
      <c r="Q85" s="112">
        <v>0</v>
      </c>
      <c r="R85" s="112">
        <v>0</v>
      </c>
      <c r="S85" s="112">
        <v>0</v>
      </c>
      <c r="T85" s="112">
        <v>0</v>
      </c>
      <c r="U85" s="112">
        <v>0</v>
      </c>
      <c r="V85" s="112">
        <v>0</v>
      </c>
      <c r="W85" s="112">
        <v>0</v>
      </c>
      <c r="X85" s="112">
        <v>0</v>
      </c>
      <c r="Y85" s="112">
        <v>0</v>
      </c>
      <c r="Z85" s="112">
        <v>0</v>
      </c>
      <c r="AA85" s="112">
        <v>0</v>
      </c>
      <c r="AB85" s="112">
        <v>0</v>
      </c>
      <c r="AC85" s="112">
        <v>0</v>
      </c>
      <c r="AD85" s="112">
        <v>0</v>
      </c>
      <c r="AE85" s="112">
        <v>0</v>
      </c>
      <c r="AF85" s="112">
        <v>0</v>
      </c>
      <c r="AG85" s="112">
        <v>0</v>
      </c>
      <c r="AH85" s="112">
        <v>0</v>
      </c>
      <c r="AI85" s="112">
        <v>0</v>
      </c>
      <c r="AJ85" s="112">
        <v>0</v>
      </c>
      <c r="AK85" s="112">
        <v>0</v>
      </c>
      <c r="AL85" s="112">
        <v>0</v>
      </c>
      <c r="AM85" s="112">
        <v>0</v>
      </c>
      <c r="AN85" s="112">
        <v>0</v>
      </c>
      <c r="AO85" s="112">
        <v>0</v>
      </c>
      <c r="AP85" s="112">
        <v>0</v>
      </c>
      <c r="AQ85" s="112">
        <v>0</v>
      </c>
      <c r="AR85" s="112">
        <v>0.8</v>
      </c>
      <c r="AS85" s="112">
        <v>0</v>
      </c>
      <c r="AT85" s="112">
        <v>0</v>
      </c>
      <c r="AU85" s="112">
        <v>0</v>
      </c>
      <c r="AV85" s="112">
        <v>0</v>
      </c>
      <c r="AW85" s="112">
        <v>0</v>
      </c>
      <c r="AX85" s="112">
        <v>0</v>
      </c>
      <c r="AY85" s="112">
        <v>0</v>
      </c>
      <c r="AZ85" s="112">
        <v>0.8</v>
      </c>
      <c r="BA85" s="112">
        <v>0.8</v>
      </c>
      <c r="BB85" s="112">
        <v>0</v>
      </c>
      <c r="BC85" s="112">
        <v>0.8</v>
      </c>
      <c r="BD85" s="112">
        <v>0.8</v>
      </c>
      <c r="BE85" s="112">
        <v>0</v>
      </c>
      <c r="BF85" s="112">
        <v>0.8</v>
      </c>
      <c r="BG85" s="112">
        <v>0</v>
      </c>
      <c r="BH85" s="112">
        <v>0.8</v>
      </c>
      <c r="BI85" s="112">
        <v>0.8</v>
      </c>
      <c r="BJ85" s="112">
        <v>0</v>
      </c>
      <c r="BK85" s="112">
        <v>0.8</v>
      </c>
      <c r="BL85" s="112">
        <v>0</v>
      </c>
      <c r="BM85" s="112">
        <v>0.8</v>
      </c>
      <c r="BN85" s="112">
        <v>0.8</v>
      </c>
      <c r="BO85" s="112">
        <v>0</v>
      </c>
      <c r="BP85" s="112">
        <v>0.8</v>
      </c>
      <c r="BQ85" s="112">
        <v>0</v>
      </c>
      <c r="BR85" s="112">
        <v>0.8</v>
      </c>
      <c r="BS85" s="112">
        <v>0</v>
      </c>
      <c r="BT85" s="112">
        <v>0.8</v>
      </c>
      <c r="BU85" s="112">
        <v>0</v>
      </c>
      <c r="BV85" s="112">
        <v>0.8</v>
      </c>
      <c r="BW85" s="112">
        <v>0</v>
      </c>
      <c r="BX85" s="112">
        <v>0.8</v>
      </c>
      <c r="BY85" s="112">
        <v>0</v>
      </c>
      <c r="BZ85" s="112">
        <v>0.8</v>
      </c>
      <c r="CA85" s="112">
        <v>0.8</v>
      </c>
      <c r="CB85" s="112">
        <v>0.8</v>
      </c>
      <c r="CC85" s="112">
        <v>0</v>
      </c>
      <c r="CD85" s="112">
        <v>0.8</v>
      </c>
      <c r="CE85" s="112">
        <v>0</v>
      </c>
      <c r="CF85" s="112">
        <v>0</v>
      </c>
      <c r="CG85" s="112">
        <v>0</v>
      </c>
      <c r="CH85" s="112">
        <v>0</v>
      </c>
      <c r="CI85" s="112">
        <v>0</v>
      </c>
      <c r="CJ85" s="112">
        <v>0</v>
      </c>
      <c r="CK85" s="112">
        <v>0</v>
      </c>
      <c r="CL85" s="112">
        <v>0</v>
      </c>
      <c r="CM85" s="112">
        <v>0</v>
      </c>
      <c r="CN85" s="112">
        <v>0</v>
      </c>
      <c r="CO85" s="112">
        <v>0</v>
      </c>
      <c r="CP85" s="112">
        <v>0</v>
      </c>
      <c r="CQ85" s="112">
        <v>0</v>
      </c>
      <c r="CR85" s="112">
        <v>0</v>
      </c>
      <c r="CS85" s="112">
        <v>0</v>
      </c>
      <c r="CT85" s="112">
        <v>0</v>
      </c>
      <c r="CU85" s="112">
        <v>0</v>
      </c>
      <c r="CV85" s="112">
        <v>0</v>
      </c>
    </row>
    <row r="86" spans="1:100" x14ac:dyDescent="0.15">
      <c r="A86" s="189" t="s">
        <v>276</v>
      </c>
      <c r="B86" s="112">
        <v>0</v>
      </c>
      <c r="C86" s="112">
        <v>0</v>
      </c>
      <c r="D86" s="112">
        <v>0</v>
      </c>
      <c r="E86" s="112">
        <v>0</v>
      </c>
      <c r="F86" s="112">
        <v>0</v>
      </c>
      <c r="G86" s="112">
        <v>0</v>
      </c>
      <c r="H86" s="112">
        <v>0</v>
      </c>
      <c r="I86" s="112">
        <v>0</v>
      </c>
      <c r="J86" s="112">
        <v>0</v>
      </c>
      <c r="K86" s="112">
        <v>0</v>
      </c>
      <c r="L86" s="112">
        <v>0</v>
      </c>
      <c r="M86" s="112">
        <v>0</v>
      </c>
      <c r="N86" s="112">
        <v>0</v>
      </c>
      <c r="O86" s="112">
        <v>0</v>
      </c>
      <c r="P86" s="112">
        <v>0</v>
      </c>
      <c r="Q86" s="112">
        <v>0</v>
      </c>
      <c r="R86" s="112">
        <v>0</v>
      </c>
      <c r="S86" s="112">
        <v>0</v>
      </c>
      <c r="T86" s="112">
        <v>0</v>
      </c>
      <c r="U86" s="112">
        <v>0</v>
      </c>
      <c r="V86" s="112">
        <v>0</v>
      </c>
      <c r="W86" s="112">
        <v>0</v>
      </c>
      <c r="X86" s="112">
        <v>0</v>
      </c>
      <c r="Y86" s="112">
        <v>0</v>
      </c>
      <c r="Z86" s="112">
        <v>0.8</v>
      </c>
      <c r="AA86" s="112">
        <v>0</v>
      </c>
      <c r="AB86" s="112">
        <v>0</v>
      </c>
      <c r="AC86" s="112">
        <v>0</v>
      </c>
      <c r="AD86" s="112">
        <v>0</v>
      </c>
      <c r="AE86" s="112">
        <v>0</v>
      </c>
      <c r="AF86" s="112">
        <v>0</v>
      </c>
      <c r="AG86" s="112">
        <v>0</v>
      </c>
      <c r="AH86" s="112">
        <v>0</v>
      </c>
      <c r="AI86" s="112">
        <v>0</v>
      </c>
      <c r="AJ86" s="112">
        <v>0</v>
      </c>
      <c r="AK86" s="112">
        <v>0</v>
      </c>
      <c r="AL86" s="112">
        <v>0</v>
      </c>
      <c r="AM86" s="112">
        <v>0</v>
      </c>
      <c r="AN86" s="112">
        <v>0</v>
      </c>
      <c r="AO86" s="112">
        <v>0.8</v>
      </c>
      <c r="AP86" s="112">
        <v>0</v>
      </c>
      <c r="AQ86" s="112">
        <v>0</v>
      </c>
      <c r="AR86" s="112">
        <v>0.8</v>
      </c>
      <c r="AS86" s="112">
        <v>0</v>
      </c>
      <c r="AT86" s="112">
        <v>0</v>
      </c>
      <c r="AU86" s="112">
        <v>0</v>
      </c>
      <c r="AV86" s="112">
        <v>0</v>
      </c>
      <c r="AW86" s="112">
        <v>0</v>
      </c>
      <c r="AX86" s="112">
        <v>0</v>
      </c>
      <c r="AY86" s="112">
        <v>0</v>
      </c>
      <c r="AZ86" s="112">
        <v>0</v>
      </c>
      <c r="BA86" s="112">
        <v>0</v>
      </c>
      <c r="BB86" s="112">
        <v>0.8</v>
      </c>
      <c r="BC86" s="112">
        <v>0.8</v>
      </c>
      <c r="BD86" s="112">
        <v>0.8</v>
      </c>
      <c r="BE86" s="112">
        <v>0</v>
      </c>
      <c r="BF86" s="112">
        <v>0.8</v>
      </c>
      <c r="BG86" s="112">
        <v>0</v>
      </c>
      <c r="BH86" s="112">
        <v>0.8</v>
      </c>
      <c r="BI86" s="112">
        <v>0</v>
      </c>
      <c r="BJ86" s="112">
        <v>0</v>
      </c>
      <c r="BK86" s="112">
        <v>0.8</v>
      </c>
      <c r="BL86" s="112">
        <v>0</v>
      </c>
      <c r="BM86" s="112">
        <v>0.8</v>
      </c>
      <c r="BN86" s="112">
        <v>0</v>
      </c>
      <c r="BO86" s="112">
        <v>0.8</v>
      </c>
      <c r="BP86" s="112">
        <v>0</v>
      </c>
      <c r="BQ86" s="112">
        <v>0.8</v>
      </c>
      <c r="BR86" s="112">
        <v>0</v>
      </c>
      <c r="BS86" s="112">
        <v>0.8</v>
      </c>
      <c r="BT86" s="112">
        <v>0</v>
      </c>
      <c r="BU86" s="112">
        <v>0.8</v>
      </c>
      <c r="BV86" s="112">
        <v>0</v>
      </c>
      <c r="BW86" s="112">
        <v>0.8</v>
      </c>
      <c r="BX86" s="112">
        <v>0</v>
      </c>
      <c r="BY86" s="112">
        <v>0.8</v>
      </c>
      <c r="BZ86" s="112">
        <v>0</v>
      </c>
      <c r="CA86" s="112">
        <v>0.8</v>
      </c>
      <c r="CB86" s="112">
        <v>0</v>
      </c>
      <c r="CC86" s="112">
        <v>0.8</v>
      </c>
      <c r="CD86" s="112">
        <v>0</v>
      </c>
      <c r="CE86" s="112">
        <v>0.8</v>
      </c>
      <c r="CF86" s="112">
        <v>0</v>
      </c>
      <c r="CG86" s="112">
        <v>0</v>
      </c>
      <c r="CH86" s="112">
        <v>0</v>
      </c>
      <c r="CI86" s="112">
        <v>0</v>
      </c>
      <c r="CJ86" s="112">
        <v>0</v>
      </c>
      <c r="CK86" s="112">
        <v>0</v>
      </c>
      <c r="CL86" s="112">
        <v>0</v>
      </c>
      <c r="CM86" s="112">
        <v>0</v>
      </c>
      <c r="CN86" s="112">
        <v>0</v>
      </c>
      <c r="CO86" s="112">
        <v>0</v>
      </c>
      <c r="CP86" s="112">
        <v>0</v>
      </c>
      <c r="CQ86" s="112">
        <v>0</v>
      </c>
      <c r="CR86" s="112">
        <v>0</v>
      </c>
      <c r="CS86" s="112">
        <v>0</v>
      </c>
      <c r="CT86" s="112">
        <v>0</v>
      </c>
      <c r="CU86" s="112">
        <v>0</v>
      </c>
      <c r="CV86" s="112">
        <v>0</v>
      </c>
    </row>
    <row r="87" spans="1:100" x14ac:dyDescent="0.15">
      <c r="A87" s="189" t="s">
        <v>277</v>
      </c>
      <c r="B87" s="112">
        <v>0</v>
      </c>
      <c r="C87" s="112">
        <v>0</v>
      </c>
      <c r="D87" s="112">
        <v>0</v>
      </c>
      <c r="E87" s="112">
        <v>0</v>
      </c>
      <c r="F87" s="112">
        <v>0</v>
      </c>
      <c r="G87" s="112">
        <v>0</v>
      </c>
      <c r="H87" s="112">
        <v>0</v>
      </c>
      <c r="I87" s="112">
        <v>0</v>
      </c>
      <c r="J87" s="112">
        <v>0</v>
      </c>
      <c r="K87" s="112">
        <v>0</v>
      </c>
      <c r="L87" s="112">
        <v>0</v>
      </c>
      <c r="M87" s="112">
        <v>0</v>
      </c>
      <c r="N87" s="112">
        <v>0</v>
      </c>
      <c r="O87" s="112">
        <v>0</v>
      </c>
      <c r="P87" s="112">
        <v>0</v>
      </c>
      <c r="Q87" s="112">
        <v>0</v>
      </c>
      <c r="R87" s="112">
        <v>0</v>
      </c>
      <c r="S87" s="112">
        <v>0</v>
      </c>
      <c r="T87" s="112">
        <v>0</v>
      </c>
      <c r="U87" s="112">
        <v>0</v>
      </c>
      <c r="V87" s="112">
        <v>0</v>
      </c>
      <c r="W87" s="112">
        <v>0</v>
      </c>
      <c r="X87" s="112">
        <v>0</v>
      </c>
      <c r="Y87" s="112">
        <v>0</v>
      </c>
      <c r="Z87" s="112">
        <v>0</v>
      </c>
      <c r="AA87" s="112">
        <v>0.8</v>
      </c>
      <c r="AB87" s="112">
        <v>0</v>
      </c>
      <c r="AC87" s="112">
        <v>0</v>
      </c>
      <c r="AD87" s="112">
        <v>0</v>
      </c>
      <c r="AE87" s="112">
        <v>0</v>
      </c>
      <c r="AF87" s="112">
        <v>0</v>
      </c>
      <c r="AG87" s="112">
        <v>0</v>
      </c>
      <c r="AH87" s="112">
        <v>0</v>
      </c>
      <c r="AI87" s="112">
        <v>0</v>
      </c>
      <c r="AJ87" s="112">
        <v>0</v>
      </c>
      <c r="AK87" s="112">
        <v>0</v>
      </c>
      <c r="AL87" s="112">
        <v>0</v>
      </c>
      <c r="AM87" s="112">
        <v>0</v>
      </c>
      <c r="AN87" s="112">
        <v>0</v>
      </c>
      <c r="AO87" s="112">
        <v>0</v>
      </c>
      <c r="AP87" s="112">
        <v>0</v>
      </c>
      <c r="AQ87" s="112">
        <v>0</v>
      </c>
      <c r="AR87" s="112">
        <v>0</v>
      </c>
      <c r="AS87" s="112">
        <v>0</v>
      </c>
      <c r="AT87" s="112">
        <v>0</v>
      </c>
      <c r="AU87" s="112">
        <v>0</v>
      </c>
      <c r="AV87" s="112">
        <v>0</v>
      </c>
      <c r="AW87" s="112">
        <v>0</v>
      </c>
      <c r="AX87" s="112">
        <v>0</v>
      </c>
      <c r="AY87" s="112">
        <v>0</v>
      </c>
      <c r="AZ87" s="112">
        <v>0.8</v>
      </c>
      <c r="BA87" s="112">
        <v>0.8</v>
      </c>
      <c r="BB87" s="112">
        <v>0</v>
      </c>
      <c r="BC87" s="112">
        <v>0</v>
      </c>
      <c r="BD87" s="112">
        <v>0</v>
      </c>
      <c r="BE87" s="112">
        <v>0</v>
      </c>
      <c r="BF87" s="112">
        <v>0</v>
      </c>
      <c r="BG87" s="112">
        <v>0</v>
      </c>
      <c r="BH87" s="112">
        <v>0</v>
      </c>
      <c r="BI87" s="112">
        <v>0</v>
      </c>
      <c r="BJ87" s="112">
        <v>0</v>
      </c>
      <c r="BK87" s="112">
        <v>0.8</v>
      </c>
      <c r="BL87" s="112">
        <v>0</v>
      </c>
      <c r="BM87" s="112">
        <v>0.8</v>
      </c>
      <c r="BN87" s="112">
        <v>0.8</v>
      </c>
      <c r="BO87" s="112">
        <v>0</v>
      </c>
      <c r="BP87" s="112">
        <v>0.8</v>
      </c>
      <c r="BQ87" s="112">
        <v>0</v>
      </c>
      <c r="BR87" s="112">
        <v>0.8</v>
      </c>
      <c r="BS87" s="112">
        <v>0</v>
      </c>
      <c r="BT87" s="112">
        <v>0</v>
      </c>
      <c r="BU87" s="112">
        <v>0</v>
      </c>
      <c r="BV87" s="112">
        <v>0</v>
      </c>
      <c r="BW87" s="112">
        <v>0</v>
      </c>
      <c r="BX87" s="112">
        <v>0</v>
      </c>
      <c r="BY87" s="112">
        <v>0</v>
      </c>
      <c r="BZ87" s="112">
        <v>0.8</v>
      </c>
      <c r="CA87" s="112">
        <v>0.8</v>
      </c>
      <c r="CB87" s="112">
        <v>0.8</v>
      </c>
      <c r="CC87" s="112">
        <v>0</v>
      </c>
      <c r="CD87" s="112">
        <v>0.8</v>
      </c>
      <c r="CE87" s="112">
        <v>0</v>
      </c>
      <c r="CF87" s="112">
        <v>0</v>
      </c>
      <c r="CG87" s="112">
        <v>0.8</v>
      </c>
      <c r="CH87" s="112">
        <v>0</v>
      </c>
      <c r="CI87" s="112">
        <v>0</v>
      </c>
      <c r="CJ87" s="112">
        <v>0</v>
      </c>
      <c r="CK87" s="112">
        <v>0</v>
      </c>
      <c r="CL87" s="112">
        <v>0</v>
      </c>
      <c r="CM87" s="112">
        <v>0</v>
      </c>
      <c r="CN87" s="112">
        <v>0</v>
      </c>
      <c r="CO87" s="112">
        <v>0</v>
      </c>
      <c r="CP87" s="112">
        <v>0</v>
      </c>
      <c r="CQ87" s="112">
        <v>0</v>
      </c>
      <c r="CR87" s="112">
        <v>0</v>
      </c>
      <c r="CS87" s="112">
        <v>0</v>
      </c>
      <c r="CT87" s="112">
        <v>0</v>
      </c>
      <c r="CU87" s="112">
        <v>0</v>
      </c>
      <c r="CV87" s="112">
        <v>0</v>
      </c>
    </row>
    <row r="88" spans="1:100" x14ac:dyDescent="0.15">
      <c r="A88" s="189" t="s">
        <v>278</v>
      </c>
      <c r="B88" s="112">
        <v>0</v>
      </c>
      <c r="C88" s="112">
        <v>0</v>
      </c>
      <c r="D88" s="112">
        <v>0</v>
      </c>
      <c r="E88" s="112">
        <v>0</v>
      </c>
      <c r="F88" s="112">
        <v>0</v>
      </c>
      <c r="G88" s="112">
        <v>0</v>
      </c>
      <c r="H88" s="112">
        <v>0</v>
      </c>
      <c r="I88" s="112">
        <v>0</v>
      </c>
      <c r="J88" s="112">
        <v>0</v>
      </c>
      <c r="K88" s="112">
        <v>0</v>
      </c>
      <c r="L88" s="112">
        <v>0</v>
      </c>
      <c r="M88" s="112">
        <v>0</v>
      </c>
      <c r="N88" s="112">
        <v>0</v>
      </c>
      <c r="O88" s="112">
        <v>0</v>
      </c>
      <c r="P88" s="112">
        <v>0</v>
      </c>
      <c r="Q88" s="112">
        <v>0</v>
      </c>
      <c r="R88" s="112">
        <v>0</v>
      </c>
      <c r="S88" s="112">
        <v>0</v>
      </c>
      <c r="T88" s="112">
        <v>0</v>
      </c>
      <c r="U88" s="112">
        <v>0</v>
      </c>
      <c r="V88" s="112">
        <v>0</v>
      </c>
      <c r="W88" s="112">
        <v>0</v>
      </c>
      <c r="X88" s="112">
        <v>0</v>
      </c>
      <c r="Y88" s="112">
        <v>0</v>
      </c>
      <c r="Z88" s="112">
        <v>0</v>
      </c>
      <c r="AA88" s="112">
        <v>0.8</v>
      </c>
      <c r="AB88" s="112">
        <v>0</v>
      </c>
      <c r="AC88" s="112">
        <v>0</v>
      </c>
      <c r="AD88" s="112">
        <v>0</v>
      </c>
      <c r="AE88" s="112">
        <v>0</v>
      </c>
      <c r="AF88" s="112">
        <v>0</v>
      </c>
      <c r="AG88" s="112">
        <v>0</v>
      </c>
      <c r="AH88" s="112">
        <v>0</v>
      </c>
      <c r="AI88" s="112">
        <v>0</v>
      </c>
      <c r="AJ88" s="112">
        <v>0</v>
      </c>
      <c r="AK88" s="112">
        <v>0</v>
      </c>
      <c r="AL88" s="112">
        <v>0</v>
      </c>
      <c r="AM88" s="112">
        <v>0</v>
      </c>
      <c r="AN88" s="112">
        <v>0</v>
      </c>
      <c r="AO88" s="112">
        <v>0.8</v>
      </c>
      <c r="AP88" s="112">
        <v>0</v>
      </c>
      <c r="AQ88" s="112">
        <v>0</v>
      </c>
      <c r="AR88" s="112">
        <v>0</v>
      </c>
      <c r="AS88" s="112">
        <v>0</v>
      </c>
      <c r="AT88" s="112">
        <v>0</v>
      </c>
      <c r="AU88" s="112">
        <v>0</v>
      </c>
      <c r="AV88" s="112">
        <v>0</v>
      </c>
      <c r="AW88" s="112">
        <v>0</v>
      </c>
      <c r="AX88" s="112">
        <v>0</v>
      </c>
      <c r="AY88" s="112">
        <v>0</v>
      </c>
      <c r="AZ88" s="112">
        <v>0.8</v>
      </c>
      <c r="BA88" s="112">
        <v>0.8</v>
      </c>
      <c r="BB88" s="112">
        <v>0.8</v>
      </c>
      <c r="BC88" s="112">
        <v>0</v>
      </c>
      <c r="BD88" s="112">
        <v>0</v>
      </c>
      <c r="BE88" s="112">
        <v>0</v>
      </c>
      <c r="BF88" s="112">
        <v>0</v>
      </c>
      <c r="BG88" s="112">
        <v>0</v>
      </c>
      <c r="BH88" s="112">
        <v>0</v>
      </c>
      <c r="BI88" s="112">
        <v>0</v>
      </c>
      <c r="BJ88" s="112">
        <v>0</v>
      </c>
      <c r="BK88" s="112">
        <v>0.8</v>
      </c>
      <c r="BL88" s="112">
        <v>0</v>
      </c>
      <c r="BM88" s="112">
        <v>0.8</v>
      </c>
      <c r="BN88" s="112">
        <v>0</v>
      </c>
      <c r="BO88" s="112">
        <v>0.8</v>
      </c>
      <c r="BP88" s="112">
        <v>0</v>
      </c>
      <c r="BQ88" s="112">
        <v>0.8</v>
      </c>
      <c r="BR88" s="112">
        <v>0</v>
      </c>
      <c r="BS88" s="112">
        <v>0.8</v>
      </c>
      <c r="BT88" s="112">
        <v>0</v>
      </c>
      <c r="BU88" s="112">
        <v>0</v>
      </c>
      <c r="BV88" s="112">
        <v>0</v>
      </c>
      <c r="BW88" s="112">
        <v>0</v>
      </c>
      <c r="BX88" s="112">
        <v>0</v>
      </c>
      <c r="BY88" s="112">
        <v>0</v>
      </c>
      <c r="BZ88" s="112">
        <v>0</v>
      </c>
      <c r="CA88" s="112">
        <v>0.8</v>
      </c>
      <c r="CB88" s="112">
        <v>0</v>
      </c>
      <c r="CC88" s="112">
        <v>0.8</v>
      </c>
      <c r="CD88" s="112">
        <v>0</v>
      </c>
      <c r="CE88" s="112">
        <v>0.8</v>
      </c>
      <c r="CF88" s="112">
        <v>0.8</v>
      </c>
      <c r="CG88" s="112">
        <v>0</v>
      </c>
      <c r="CH88" s="112">
        <v>0.8</v>
      </c>
      <c r="CI88" s="112">
        <v>0</v>
      </c>
      <c r="CJ88" s="112">
        <v>0</v>
      </c>
      <c r="CK88" s="112">
        <v>0</v>
      </c>
      <c r="CL88" s="112">
        <v>0</v>
      </c>
      <c r="CM88" s="112">
        <v>0</v>
      </c>
      <c r="CN88" s="112">
        <v>0</v>
      </c>
      <c r="CO88" s="112">
        <v>0</v>
      </c>
      <c r="CP88" s="112">
        <v>0</v>
      </c>
      <c r="CQ88" s="112">
        <v>0</v>
      </c>
      <c r="CR88" s="112">
        <v>0</v>
      </c>
      <c r="CS88" s="112">
        <v>0</v>
      </c>
      <c r="CT88" s="112">
        <v>0</v>
      </c>
      <c r="CU88" s="112">
        <v>0</v>
      </c>
      <c r="CV88" s="112">
        <v>0</v>
      </c>
    </row>
    <row r="89" spans="1:100" x14ac:dyDescent="0.15">
      <c r="A89" s="189" t="s">
        <v>279</v>
      </c>
      <c r="B89" s="112">
        <v>0</v>
      </c>
      <c r="C89" s="112">
        <v>0</v>
      </c>
      <c r="D89" s="112">
        <v>0</v>
      </c>
      <c r="E89" s="112">
        <v>0.8</v>
      </c>
      <c r="F89" s="112">
        <v>0</v>
      </c>
      <c r="G89" s="112">
        <v>0</v>
      </c>
      <c r="H89" s="112">
        <v>0</v>
      </c>
      <c r="I89" s="112">
        <v>0</v>
      </c>
      <c r="J89" s="112">
        <v>0</v>
      </c>
      <c r="K89" s="112">
        <v>0</v>
      </c>
      <c r="L89" s="112">
        <v>0</v>
      </c>
      <c r="M89" s="112">
        <v>0</v>
      </c>
      <c r="N89" s="112">
        <v>0</v>
      </c>
      <c r="O89" s="112">
        <v>0</v>
      </c>
      <c r="P89" s="112">
        <v>0</v>
      </c>
      <c r="Q89" s="112">
        <v>0</v>
      </c>
      <c r="R89" s="112">
        <v>0</v>
      </c>
      <c r="S89" s="112">
        <v>0</v>
      </c>
      <c r="T89" s="112">
        <v>0</v>
      </c>
      <c r="U89" s="112">
        <v>0</v>
      </c>
      <c r="V89" s="112">
        <v>0</v>
      </c>
      <c r="W89" s="112">
        <v>0</v>
      </c>
      <c r="X89" s="112">
        <v>0</v>
      </c>
      <c r="Y89" s="112">
        <v>0</v>
      </c>
      <c r="Z89" s="112">
        <v>0</v>
      </c>
      <c r="AA89" s="112">
        <v>0</v>
      </c>
      <c r="AB89" s="112">
        <v>0.8</v>
      </c>
      <c r="AC89" s="112">
        <v>0</v>
      </c>
      <c r="AD89" s="112">
        <v>0</v>
      </c>
      <c r="AE89" s="112">
        <v>0</v>
      </c>
      <c r="AF89" s="112">
        <v>0</v>
      </c>
      <c r="AG89" s="112">
        <v>0</v>
      </c>
      <c r="AH89" s="112">
        <v>0</v>
      </c>
      <c r="AI89" s="112">
        <v>0</v>
      </c>
      <c r="AJ89" s="112">
        <v>0</v>
      </c>
      <c r="AK89" s="112">
        <v>0</v>
      </c>
      <c r="AL89" s="112">
        <v>0.8</v>
      </c>
      <c r="AM89" s="112">
        <v>0</v>
      </c>
      <c r="AN89" s="112">
        <v>0</v>
      </c>
      <c r="AO89" s="112">
        <v>0</v>
      </c>
      <c r="AP89" s="112">
        <v>0</v>
      </c>
      <c r="AQ89" s="112">
        <v>0</v>
      </c>
      <c r="AR89" s="112">
        <v>0.8</v>
      </c>
      <c r="AS89" s="112">
        <v>0.8</v>
      </c>
      <c r="AT89" s="112">
        <v>0</v>
      </c>
      <c r="AU89" s="112">
        <v>0</v>
      </c>
      <c r="AV89" s="112">
        <v>0</v>
      </c>
      <c r="AW89" s="112">
        <v>0</v>
      </c>
      <c r="AX89" s="112">
        <v>0</v>
      </c>
      <c r="AY89" s="112">
        <v>0</v>
      </c>
      <c r="AZ89" s="112">
        <v>0.8</v>
      </c>
      <c r="BA89" s="112">
        <v>0.8</v>
      </c>
      <c r="BB89" s="112">
        <v>0.8</v>
      </c>
      <c r="BC89" s="112">
        <v>0.8</v>
      </c>
      <c r="BD89" s="112">
        <v>0.8</v>
      </c>
      <c r="BE89" s="112">
        <v>0</v>
      </c>
      <c r="BF89" s="112">
        <v>0.8</v>
      </c>
      <c r="BG89" s="112">
        <v>0</v>
      </c>
      <c r="BH89" s="112">
        <v>0.8</v>
      </c>
      <c r="BI89" s="112">
        <v>0</v>
      </c>
      <c r="BJ89" s="112">
        <v>0.8</v>
      </c>
      <c r="BK89" s="112">
        <v>0</v>
      </c>
      <c r="BL89" s="112">
        <v>0.8</v>
      </c>
      <c r="BM89" s="112">
        <v>0.8</v>
      </c>
      <c r="BN89" s="112">
        <v>0.8</v>
      </c>
      <c r="BO89" s="112">
        <v>0.8</v>
      </c>
      <c r="BP89" s="112">
        <v>0.8</v>
      </c>
      <c r="BQ89" s="112">
        <v>0.8</v>
      </c>
      <c r="BR89" s="112">
        <v>0.8</v>
      </c>
      <c r="BS89" s="112">
        <v>0.8</v>
      </c>
      <c r="BT89" s="112">
        <v>0.8</v>
      </c>
      <c r="BU89" s="112">
        <v>0.8</v>
      </c>
      <c r="BV89" s="112">
        <v>0.8</v>
      </c>
      <c r="BW89" s="112">
        <v>0.8</v>
      </c>
      <c r="BX89" s="112">
        <v>0</v>
      </c>
      <c r="BY89" s="112">
        <v>0</v>
      </c>
      <c r="BZ89" s="112">
        <v>0</v>
      </c>
      <c r="CA89" s="112">
        <v>0</v>
      </c>
      <c r="CB89" s="112">
        <v>0.8</v>
      </c>
      <c r="CC89" s="112">
        <v>0</v>
      </c>
      <c r="CD89" s="112">
        <v>0.8</v>
      </c>
      <c r="CE89" s="112">
        <v>0.8</v>
      </c>
      <c r="CF89" s="112">
        <v>0.8</v>
      </c>
      <c r="CG89" s="112">
        <v>0.8</v>
      </c>
      <c r="CH89" s="112">
        <v>0.8</v>
      </c>
      <c r="CI89" s="112">
        <v>0</v>
      </c>
      <c r="CJ89" s="112">
        <v>0</v>
      </c>
      <c r="CK89" s="112">
        <v>0</v>
      </c>
      <c r="CL89" s="112">
        <v>0</v>
      </c>
      <c r="CM89" s="112">
        <v>0</v>
      </c>
      <c r="CN89" s="112">
        <v>0</v>
      </c>
      <c r="CO89" s="112">
        <v>0</v>
      </c>
      <c r="CP89" s="112">
        <v>0</v>
      </c>
      <c r="CQ89" s="112">
        <v>0</v>
      </c>
      <c r="CR89" s="112">
        <v>0</v>
      </c>
      <c r="CS89" s="112">
        <v>0</v>
      </c>
      <c r="CT89" s="112">
        <v>0</v>
      </c>
      <c r="CU89" s="112">
        <v>0</v>
      </c>
      <c r="CV89" s="112">
        <v>0</v>
      </c>
    </row>
    <row r="90" spans="1:100" x14ac:dyDescent="0.15">
      <c r="A90" s="189" t="s">
        <v>280</v>
      </c>
      <c r="B90" s="112">
        <v>0</v>
      </c>
      <c r="C90" s="112">
        <v>0.8</v>
      </c>
      <c r="D90" s="112">
        <v>0</v>
      </c>
      <c r="E90" s="112">
        <v>0</v>
      </c>
      <c r="F90" s="112">
        <v>0</v>
      </c>
      <c r="G90" s="112">
        <v>0</v>
      </c>
      <c r="H90" s="112">
        <v>0</v>
      </c>
      <c r="I90" s="112">
        <v>0</v>
      </c>
      <c r="J90" s="112">
        <v>0</v>
      </c>
      <c r="K90" s="112">
        <v>0</v>
      </c>
      <c r="L90" s="112">
        <v>0.8</v>
      </c>
      <c r="M90" s="112">
        <v>0</v>
      </c>
      <c r="N90" s="112">
        <v>0</v>
      </c>
      <c r="O90" s="112">
        <v>0.8</v>
      </c>
      <c r="P90" s="112">
        <v>0</v>
      </c>
      <c r="Q90" s="112">
        <v>0</v>
      </c>
      <c r="R90" s="112">
        <v>0.8</v>
      </c>
      <c r="S90" s="112">
        <v>0</v>
      </c>
      <c r="T90" s="112">
        <v>0.8</v>
      </c>
      <c r="U90" s="112">
        <v>0</v>
      </c>
      <c r="V90" s="112">
        <v>0</v>
      </c>
      <c r="W90" s="112">
        <v>0</v>
      </c>
      <c r="X90" s="112">
        <v>0</v>
      </c>
      <c r="Y90" s="112">
        <v>0</v>
      </c>
      <c r="Z90" s="112">
        <v>0</v>
      </c>
      <c r="AA90" s="112">
        <v>0</v>
      </c>
      <c r="AB90" s="112">
        <v>0</v>
      </c>
      <c r="AC90" s="112">
        <v>0</v>
      </c>
      <c r="AD90" s="112">
        <v>0.8</v>
      </c>
      <c r="AE90" s="112">
        <v>0.8</v>
      </c>
      <c r="AF90" s="112">
        <v>0.8</v>
      </c>
      <c r="AG90" s="112">
        <v>0.8</v>
      </c>
      <c r="AH90" s="112">
        <v>0.8</v>
      </c>
      <c r="AI90" s="112">
        <v>0</v>
      </c>
      <c r="AJ90" s="112">
        <v>0</v>
      </c>
      <c r="AK90" s="112">
        <v>0</v>
      </c>
      <c r="AL90" s="112">
        <v>0</v>
      </c>
      <c r="AM90" s="112">
        <v>0</v>
      </c>
      <c r="AN90" s="112">
        <v>0</v>
      </c>
      <c r="AO90" s="112">
        <v>0</v>
      </c>
      <c r="AP90" s="112">
        <v>0</v>
      </c>
      <c r="AQ90" s="112">
        <v>0</v>
      </c>
      <c r="AR90" s="112">
        <v>0</v>
      </c>
      <c r="AS90" s="112">
        <v>0</v>
      </c>
      <c r="AT90" s="112">
        <v>0</v>
      </c>
      <c r="AU90" s="112">
        <v>0</v>
      </c>
      <c r="AV90" s="112">
        <v>0.8</v>
      </c>
      <c r="AW90" s="112">
        <v>0</v>
      </c>
      <c r="AX90" s="112">
        <v>0</v>
      </c>
      <c r="AY90" s="112">
        <v>0</v>
      </c>
      <c r="AZ90" s="112">
        <v>0</v>
      </c>
      <c r="BA90" s="112">
        <v>0</v>
      </c>
      <c r="BB90" s="112">
        <v>0</v>
      </c>
      <c r="BC90" s="112">
        <v>0</v>
      </c>
      <c r="BD90" s="112">
        <v>0</v>
      </c>
      <c r="BE90" s="112">
        <v>0</v>
      </c>
      <c r="BF90" s="112">
        <v>0</v>
      </c>
      <c r="BG90" s="112">
        <v>0</v>
      </c>
      <c r="BH90" s="112">
        <v>0</v>
      </c>
      <c r="BI90" s="112">
        <v>0</v>
      </c>
      <c r="BJ90" s="112">
        <v>0</v>
      </c>
      <c r="BK90" s="112">
        <v>0</v>
      </c>
      <c r="BL90" s="112">
        <v>0</v>
      </c>
      <c r="BM90" s="112">
        <v>0</v>
      </c>
      <c r="BN90" s="112">
        <v>0</v>
      </c>
      <c r="BO90" s="112">
        <v>0</v>
      </c>
      <c r="BP90" s="112">
        <v>0.8</v>
      </c>
      <c r="BQ90" s="112">
        <v>0.8</v>
      </c>
      <c r="BR90" s="112">
        <v>0</v>
      </c>
      <c r="BS90" s="112">
        <v>0</v>
      </c>
      <c r="BT90" s="112">
        <v>0</v>
      </c>
      <c r="BU90" s="112">
        <v>0</v>
      </c>
      <c r="BV90" s="112">
        <v>0</v>
      </c>
      <c r="BW90" s="112">
        <v>0</v>
      </c>
      <c r="BX90" s="112">
        <v>0</v>
      </c>
      <c r="BY90" s="112">
        <v>0</v>
      </c>
      <c r="BZ90" s="112">
        <v>0</v>
      </c>
      <c r="CA90" s="112">
        <v>0</v>
      </c>
      <c r="CB90" s="112">
        <v>0</v>
      </c>
      <c r="CC90" s="112">
        <v>0.8</v>
      </c>
      <c r="CD90" s="112">
        <v>0</v>
      </c>
      <c r="CE90" s="112">
        <v>0</v>
      </c>
      <c r="CF90" s="112">
        <v>0.8</v>
      </c>
      <c r="CG90" s="112">
        <v>0</v>
      </c>
      <c r="CH90" s="112">
        <v>0</v>
      </c>
      <c r="CI90" s="112">
        <v>0</v>
      </c>
      <c r="CJ90" s="112">
        <v>0</v>
      </c>
      <c r="CK90" s="112">
        <v>0</v>
      </c>
      <c r="CL90" s="112">
        <v>0</v>
      </c>
      <c r="CM90" s="112">
        <v>0</v>
      </c>
      <c r="CN90" s="112">
        <v>0</v>
      </c>
      <c r="CO90" s="112">
        <v>0</v>
      </c>
      <c r="CP90" s="112">
        <v>0</v>
      </c>
      <c r="CQ90" s="112">
        <v>0</v>
      </c>
      <c r="CR90" s="112">
        <v>0</v>
      </c>
      <c r="CS90" s="112">
        <v>0</v>
      </c>
      <c r="CT90" s="112">
        <v>0</v>
      </c>
      <c r="CU90" s="112">
        <v>0</v>
      </c>
      <c r="CV90" s="112">
        <v>0</v>
      </c>
    </row>
    <row r="91" spans="1:100" x14ac:dyDescent="0.15">
      <c r="A91" s="189" t="s">
        <v>281</v>
      </c>
      <c r="B91" s="112">
        <v>0</v>
      </c>
      <c r="C91" s="112">
        <v>0</v>
      </c>
      <c r="D91" s="112">
        <v>0</v>
      </c>
      <c r="E91" s="112">
        <v>0.8</v>
      </c>
      <c r="F91" s="112">
        <v>0</v>
      </c>
      <c r="G91" s="112">
        <v>0</v>
      </c>
      <c r="H91" s="112">
        <v>0</v>
      </c>
      <c r="I91" s="112">
        <v>0</v>
      </c>
      <c r="J91" s="112">
        <v>0</v>
      </c>
      <c r="K91" s="112">
        <v>0</v>
      </c>
      <c r="L91" s="112">
        <v>0</v>
      </c>
      <c r="M91" s="112">
        <v>0</v>
      </c>
      <c r="N91" s="112">
        <v>0</v>
      </c>
      <c r="O91" s="112">
        <v>0</v>
      </c>
      <c r="P91" s="112">
        <v>0</v>
      </c>
      <c r="Q91" s="112">
        <v>0</v>
      </c>
      <c r="R91" s="112">
        <v>0</v>
      </c>
      <c r="S91" s="112">
        <v>0</v>
      </c>
      <c r="T91" s="112">
        <v>0.8</v>
      </c>
      <c r="U91" s="112">
        <v>0.8</v>
      </c>
      <c r="V91" s="112">
        <v>0</v>
      </c>
      <c r="W91" s="112">
        <v>0</v>
      </c>
      <c r="X91" s="112">
        <v>0</v>
      </c>
      <c r="Y91" s="112">
        <v>0</v>
      </c>
      <c r="Z91" s="112">
        <v>0</v>
      </c>
      <c r="AA91" s="112">
        <v>0</v>
      </c>
      <c r="AB91" s="112">
        <v>0</v>
      </c>
      <c r="AC91" s="112">
        <v>0</v>
      </c>
      <c r="AD91" s="112">
        <v>0</v>
      </c>
      <c r="AE91" s="112">
        <v>0.8</v>
      </c>
      <c r="AF91" s="112">
        <v>0.8</v>
      </c>
      <c r="AG91" s="112">
        <v>0.8</v>
      </c>
      <c r="AH91" s="112">
        <v>0</v>
      </c>
      <c r="AI91" s="112">
        <v>0</v>
      </c>
      <c r="AJ91" s="112">
        <v>0.8</v>
      </c>
      <c r="AK91" s="112">
        <v>0.8</v>
      </c>
      <c r="AL91" s="112">
        <v>0</v>
      </c>
      <c r="AM91" s="112">
        <v>0</v>
      </c>
      <c r="AN91" s="112">
        <v>0</v>
      </c>
      <c r="AO91" s="112">
        <v>0</v>
      </c>
      <c r="AP91" s="112">
        <v>0</v>
      </c>
      <c r="AQ91" s="112">
        <v>0</v>
      </c>
      <c r="AR91" s="112">
        <v>0.8</v>
      </c>
      <c r="AS91" s="112">
        <v>0.8</v>
      </c>
      <c r="AT91" s="112">
        <v>0</v>
      </c>
      <c r="AU91" s="112">
        <v>0</v>
      </c>
      <c r="AV91" s="112">
        <v>0.8</v>
      </c>
      <c r="AW91" s="112">
        <v>0</v>
      </c>
      <c r="AX91" s="112">
        <v>0</v>
      </c>
      <c r="AY91" s="112">
        <v>0</v>
      </c>
      <c r="AZ91" s="112">
        <v>0</v>
      </c>
      <c r="BA91" s="112">
        <v>0</v>
      </c>
      <c r="BB91" s="112">
        <v>0.8</v>
      </c>
      <c r="BC91" s="112">
        <v>0</v>
      </c>
      <c r="BD91" s="112">
        <v>0</v>
      </c>
      <c r="BE91" s="112">
        <v>0</v>
      </c>
      <c r="BF91" s="112">
        <v>0</v>
      </c>
      <c r="BG91" s="112">
        <v>0</v>
      </c>
      <c r="BH91" s="112">
        <v>0</v>
      </c>
      <c r="BI91" s="112">
        <v>0</v>
      </c>
      <c r="BJ91" s="112">
        <v>0</v>
      </c>
      <c r="BK91" s="112">
        <v>0</v>
      </c>
      <c r="BL91" s="112">
        <v>0.8</v>
      </c>
      <c r="BM91" s="112">
        <v>0</v>
      </c>
      <c r="BN91" s="112">
        <v>0</v>
      </c>
      <c r="BO91" s="112">
        <v>0</v>
      </c>
      <c r="BP91" s="112">
        <v>0</v>
      </c>
      <c r="BQ91" s="112">
        <v>0.8</v>
      </c>
      <c r="BR91" s="112">
        <v>0</v>
      </c>
      <c r="BS91" s="112">
        <v>0</v>
      </c>
      <c r="BT91" s="112">
        <v>0</v>
      </c>
      <c r="BU91" s="112">
        <v>0.8</v>
      </c>
      <c r="BV91" s="112">
        <v>0</v>
      </c>
      <c r="BW91" s="112">
        <v>0</v>
      </c>
      <c r="BX91" s="112">
        <v>0</v>
      </c>
      <c r="BY91" s="112">
        <v>0</v>
      </c>
      <c r="BZ91" s="112">
        <v>0</v>
      </c>
      <c r="CA91" s="112">
        <v>0</v>
      </c>
      <c r="CB91" s="112">
        <v>0</v>
      </c>
      <c r="CC91" s="112">
        <v>0</v>
      </c>
      <c r="CD91" s="112">
        <v>0</v>
      </c>
      <c r="CE91" s="112">
        <v>0</v>
      </c>
      <c r="CF91" s="112">
        <v>0.8</v>
      </c>
      <c r="CG91" s="112">
        <v>0</v>
      </c>
      <c r="CH91" s="112">
        <v>0.8</v>
      </c>
      <c r="CI91" s="112">
        <v>0</v>
      </c>
      <c r="CJ91" s="112">
        <v>0</v>
      </c>
      <c r="CK91" s="112">
        <v>0</v>
      </c>
      <c r="CL91" s="112">
        <v>0</v>
      </c>
      <c r="CM91" s="112">
        <v>0</v>
      </c>
      <c r="CN91" s="112">
        <v>0</v>
      </c>
      <c r="CO91" s="112">
        <v>0</v>
      </c>
      <c r="CP91" s="112">
        <v>0</v>
      </c>
      <c r="CQ91" s="112">
        <v>0</v>
      </c>
      <c r="CR91" s="112">
        <v>0</v>
      </c>
      <c r="CS91" s="112">
        <v>0</v>
      </c>
      <c r="CT91" s="112">
        <v>0</v>
      </c>
      <c r="CU91" s="112">
        <v>0</v>
      </c>
      <c r="CV91" s="112">
        <v>0</v>
      </c>
    </row>
    <row r="92" spans="1:100" x14ac:dyDescent="0.15">
      <c r="A92" s="189" t="s">
        <v>282</v>
      </c>
      <c r="B92" s="112">
        <v>0</v>
      </c>
      <c r="C92" s="112">
        <v>0</v>
      </c>
      <c r="D92" s="112">
        <v>0</v>
      </c>
      <c r="E92" s="112">
        <v>0.8</v>
      </c>
      <c r="F92" s="112">
        <v>0</v>
      </c>
      <c r="G92" s="112">
        <v>0</v>
      </c>
      <c r="H92" s="112">
        <v>0</v>
      </c>
      <c r="I92" s="112">
        <v>0</v>
      </c>
      <c r="J92" s="112">
        <v>0</v>
      </c>
      <c r="K92" s="112">
        <v>0</v>
      </c>
      <c r="L92" s="112">
        <v>0.8</v>
      </c>
      <c r="M92" s="112">
        <v>0</v>
      </c>
      <c r="N92" s="112">
        <v>0</v>
      </c>
      <c r="O92" s="112">
        <v>0</v>
      </c>
      <c r="P92" s="112">
        <v>0</v>
      </c>
      <c r="Q92" s="112">
        <v>0</v>
      </c>
      <c r="R92" s="112">
        <v>0</v>
      </c>
      <c r="S92" s="112">
        <v>0</v>
      </c>
      <c r="T92" s="112">
        <v>0</v>
      </c>
      <c r="U92" s="112">
        <v>0</v>
      </c>
      <c r="V92" s="112">
        <v>0</v>
      </c>
      <c r="W92" s="112">
        <v>0</v>
      </c>
      <c r="X92" s="112">
        <v>0</v>
      </c>
      <c r="Y92" s="112">
        <v>0</v>
      </c>
      <c r="Z92" s="112">
        <v>0</v>
      </c>
      <c r="AA92" s="112">
        <v>0</v>
      </c>
      <c r="AB92" s="112">
        <v>0.8</v>
      </c>
      <c r="AC92" s="112">
        <v>0</v>
      </c>
      <c r="AD92" s="112">
        <v>0</v>
      </c>
      <c r="AE92" s="112">
        <v>0</v>
      </c>
      <c r="AF92" s="112">
        <v>0</v>
      </c>
      <c r="AG92" s="112">
        <v>0</v>
      </c>
      <c r="AH92" s="112">
        <v>0</v>
      </c>
      <c r="AI92" s="112">
        <v>0</v>
      </c>
      <c r="AJ92" s="112">
        <v>0</v>
      </c>
      <c r="AK92" s="112">
        <v>0</v>
      </c>
      <c r="AL92" s="112">
        <v>0</v>
      </c>
      <c r="AM92" s="112">
        <v>0</v>
      </c>
      <c r="AN92" s="112">
        <v>0</v>
      </c>
      <c r="AO92" s="112">
        <v>0</v>
      </c>
      <c r="AP92" s="112">
        <v>0</v>
      </c>
      <c r="AQ92" s="112">
        <v>0</v>
      </c>
      <c r="AR92" s="112">
        <v>0.8</v>
      </c>
      <c r="AS92" s="112">
        <v>0</v>
      </c>
      <c r="AT92" s="112">
        <v>0</v>
      </c>
      <c r="AU92" s="112">
        <v>0</v>
      </c>
      <c r="AV92" s="112">
        <v>0</v>
      </c>
      <c r="AW92" s="112">
        <v>0</v>
      </c>
      <c r="AX92" s="112">
        <v>0</v>
      </c>
      <c r="AY92" s="112">
        <v>0</v>
      </c>
      <c r="AZ92" s="112">
        <v>0</v>
      </c>
      <c r="BA92" s="112">
        <v>0</v>
      </c>
      <c r="BB92" s="112">
        <v>0</v>
      </c>
      <c r="BC92" s="112">
        <v>0</v>
      </c>
      <c r="BD92" s="112">
        <v>0</v>
      </c>
      <c r="BE92" s="112">
        <v>0</v>
      </c>
      <c r="BF92" s="112">
        <v>0</v>
      </c>
      <c r="BG92" s="112">
        <v>0</v>
      </c>
      <c r="BH92" s="112">
        <v>0</v>
      </c>
      <c r="BI92" s="112">
        <v>0</v>
      </c>
      <c r="BJ92" s="112">
        <v>0.8</v>
      </c>
      <c r="BK92" s="112">
        <v>0</v>
      </c>
      <c r="BL92" s="112">
        <v>0.8</v>
      </c>
      <c r="BM92" s="112">
        <v>0</v>
      </c>
      <c r="BN92" s="112">
        <v>0</v>
      </c>
      <c r="BO92" s="112">
        <v>0</v>
      </c>
      <c r="BP92" s="112">
        <v>0.8</v>
      </c>
      <c r="BQ92" s="112">
        <v>0</v>
      </c>
      <c r="BR92" s="112">
        <v>0</v>
      </c>
      <c r="BS92" s="112">
        <v>0</v>
      </c>
      <c r="BT92" s="112">
        <v>0.8</v>
      </c>
      <c r="BU92" s="112">
        <v>0</v>
      </c>
      <c r="BV92" s="112">
        <v>0</v>
      </c>
      <c r="BW92" s="112">
        <v>0</v>
      </c>
      <c r="BX92" s="112">
        <v>0</v>
      </c>
      <c r="BY92" s="112">
        <v>0</v>
      </c>
      <c r="BZ92" s="112">
        <v>0</v>
      </c>
      <c r="CA92" s="112">
        <v>0</v>
      </c>
      <c r="CB92" s="112">
        <v>0</v>
      </c>
      <c r="CC92" s="112">
        <v>0</v>
      </c>
      <c r="CD92" s="112">
        <v>0</v>
      </c>
      <c r="CE92" s="112">
        <v>0</v>
      </c>
      <c r="CF92" s="112">
        <v>0</v>
      </c>
      <c r="CG92" s="112">
        <v>0.8</v>
      </c>
      <c r="CH92" s="112">
        <v>0</v>
      </c>
      <c r="CI92" s="112">
        <v>0</v>
      </c>
      <c r="CJ92" s="112">
        <v>0</v>
      </c>
      <c r="CK92" s="112">
        <v>0</v>
      </c>
      <c r="CL92" s="112">
        <v>0</v>
      </c>
      <c r="CM92" s="112">
        <v>0</v>
      </c>
      <c r="CN92" s="112">
        <v>0</v>
      </c>
      <c r="CO92" s="112">
        <v>0</v>
      </c>
      <c r="CP92" s="112">
        <v>0</v>
      </c>
      <c r="CQ92" s="112">
        <v>0</v>
      </c>
      <c r="CR92" s="112">
        <v>0</v>
      </c>
      <c r="CS92" s="112">
        <v>0</v>
      </c>
      <c r="CT92" s="112">
        <v>0</v>
      </c>
      <c r="CU92" s="112">
        <v>0</v>
      </c>
      <c r="CV92" s="112">
        <v>0</v>
      </c>
    </row>
    <row r="93" spans="1:100" x14ac:dyDescent="0.15">
      <c r="A93" s="189" t="s">
        <v>283</v>
      </c>
      <c r="B93" s="112">
        <v>0</v>
      </c>
      <c r="C93" s="112">
        <v>0</v>
      </c>
      <c r="D93" s="112">
        <v>0</v>
      </c>
      <c r="E93" s="112">
        <v>0</v>
      </c>
      <c r="F93" s="112">
        <v>0</v>
      </c>
      <c r="G93" s="112">
        <v>0</v>
      </c>
      <c r="H93" s="112">
        <v>0</v>
      </c>
      <c r="I93" s="112">
        <v>0</v>
      </c>
      <c r="J93" s="112">
        <v>0</v>
      </c>
      <c r="K93" s="112">
        <v>0</v>
      </c>
      <c r="L93" s="112">
        <v>0</v>
      </c>
      <c r="M93" s="112">
        <v>0</v>
      </c>
      <c r="N93" s="112">
        <v>0</v>
      </c>
      <c r="O93" s="112">
        <v>0.8</v>
      </c>
      <c r="P93" s="112">
        <v>0.8</v>
      </c>
      <c r="Q93" s="112">
        <v>0</v>
      </c>
      <c r="R93" s="112">
        <v>0</v>
      </c>
      <c r="S93" s="112">
        <v>0</v>
      </c>
      <c r="T93" s="112">
        <v>0</v>
      </c>
      <c r="U93" s="112">
        <v>0.8</v>
      </c>
      <c r="V93" s="112">
        <v>0</v>
      </c>
      <c r="W93" s="112">
        <v>0.8</v>
      </c>
      <c r="X93" s="112">
        <v>0.8</v>
      </c>
      <c r="Y93" s="112">
        <v>0</v>
      </c>
      <c r="Z93" s="112">
        <v>0</v>
      </c>
      <c r="AA93" s="112">
        <v>0</v>
      </c>
      <c r="AB93" s="112">
        <v>0</v>
      </c>
      <c r="AC93" s="112">
        <v>0</v>
      </c>
      <c r="AD93" s="112">
        <v>0.8</v>
      </c>
      <c r="AE93" s="112">
        <v>0.8</v>
      </c>
      <c r="AF93" s="112">
        <v>0.8</v>
      </c>
      <c r="AG93" s="112">
        <v>0.8</v>
      </c>
      <c r="AH93" s="112">
        <v>0.8</v>
      </c>
      <c r="AI93" s="112">
        <v>0.8</v>
      </c>
      <c r="AJ93" s="112">
        <v>0.8</v>
      </c>
      <c r="AK93" s="112">
        <v>0.8</v>
      </c>
      <c r="AL93" s="112">
        <v>0</v>
      </c>
      <c r="AM93" s="112">
        <v>0</v>
      </c>
      <c r="AN93" s="112">
        <v>0.8</v>
      </c>
      <c r="AO93" s="112">
        <v>0</v>
      </c>
      <c r="AP93" s="112">
        <v>0</v>
      </c>
      <c r="AQ93" s="112">
        <v>0</v>
      </c>
      <c r="AR93" s="112">
        <v>0</v>
      </c>
      <c r="AS93" s="112">
        <v>0</v>
      </c>
      <c r="AT93" s="112">
        <v>0</v>
      </c>
      <c r="AU93" s="112">
        <v>0</v>
      </c>
      <c r="AV93" s="112">
        <v>0</v>
      </c>
      <c r="AW93" s="112">
        <v>0</v>
      </c>
      <c r="AX93" s="112">
        <v>0</v>
      </c>
      <c r="AY93" s="112">
        <v>0</v>
      </c>
      <c r="AZ93" s="112">
        <v>0</v>
      </c>
      <c r="BA93" s="112">
        <v>0</v>
      </c>
      <c r="BB93" s="112">
        <v>0</v>
      </c>
      <c r="BC93" s="112">
        <v>0</v>
      </c>
      <c r="BD93" s="112">
        <v>0</v>
      </c>
      <c r="BE93" s="112">
        <v>0</v>
      </c>
      <c r="BF93" s="112">
        <v>0</v>
      </c>
      <c r="BG93" s="112">
        <v>0</v>
      </c>
      <c r="BH93" s="112">
        <v>0</v>
      </c>
      <c r="BI93" s="112">
        <v>0</v>
      </c>
      <c r="BJ93" s="112">
        <v>0</v>
      </c>
      <c r="BK93" s="112">
        <v>0</v>
      </c>
      <c r="BL93" s="112">
        <v>0</v>
      </c>
      <c r="BM93" s="112">
        <v>0</v>
      </c>
      <c r="BN93" s="112">
        <v>0</v>
      </c>
      <c r="BO93" s="112">
        <v>0</v>
      </c>
      <c r="BP93" s="112">
        <v>0</v>
      </c>
      <c r="BQ93" s="112">
        <v>0</v>
      </c>
      <c r="BR93" s="112">
        <v>0</v>
      </c>
      <c r="BS93" s="112">
        <v>0</v>
      </c>
      <c r="BT93" s="112">
        <v>0</v>
      </c>
      <c r="BU93" s="112">
        <v>0</v>
      </c>
      <c r="BV93" s="112">
        <v>0</v>
      </c>
      <c r="BW93" s="112">
        <v>0</v>
      </c>
      <c r="BX93" s="112">
        <v>0</v>
      </c>
      <c r="BY93" s="112">
        <v>0</v>
      </c>
      <c r="BZ93" s="112">
        <v>0</v>
      </c>
      <c r="CA93" s="112">
        <v>0</v>
      </c>
      <c r="CB93" s="112">
        <v>0</v>
      </c>
      <c r="CC93" s="112">
        <v>0</v>
      </c>
      <c r="CD93" s="112">
        <v>0</v>
      </c>
      <c r="CE93" s="112">
        <v>0</v>
      </c>
      <c r="CF93" s="112">
        <v>0</v>
      </c>
      <c r="CG93" s="112">
        <v>0</v>
      </c>
      <c r="CH93" s="112">
        <v>0</v>
      </c>
      <c r="CI93" s="112">
        <v>0</v>
      </c>
      <c r="CJ93" s="112">
        <v>0</v>
      </c>
      <c r="CK93" s="112">
        <v>0</v>
      </c>
      <c r="CL93" s="112">
        <v>0</v>
      </c>
      <c r="CM93" s="112">
        <v>0</v>
      </c>
      <c r="CN93" s="112">
        <v>0</v>
      </c>
      <c r="CO93" s="112">
        <v>0</v>
      </c>
      <c r="CP93" s="112">
        <v>0</v>
      </c>
      <c r="CQ93" s="112">
        <v>0</v>
      </c>
      <c r="CR93" s="112">
        <v>0</v>
      </c>
      <c r="CS93" s="112">
        <v>0</v>
      </c>
      <c r="CT93" s="112">
        <v>0</v>
      </c>
      <c r="CU93" s="112">
        <v>0</v>
      </c>
      <c r="CV93" s="112">
        <v>0</v>
      </c>
    </row>
    <row r="94" spans="1:100" x14ac:dyDescent="0.15">
      <c r="A94" s="189" t="s">
        <v>284</v>
      </c>
      <c r="B94" s="112">
        <v>0.8</v>
      </c>
      <c r="C94" s="112">
        <v>0</v>
      </c>
      <c r="D94" s="112">
        <v>0</v>
      </c>
      <c r="E94" s="112">
        <v>0</v>
      </c>
      <c r="F94" s="112">
        <v>0</v>
      </c>
      <c r="G94" s="112">
        <v>0</v>
      </c>
      <c r="H94" s="112">
        <v>0</v>
      </c>
      <c r="I94" s="112">
        <v>0</v>
      </c>
      <c r="J94" s="112">
        <v>0</v>
      </c>
      <c r="K94" s="112">
        <v>0</v>
      </c>
      <c r="L94" s="112">
        <v>0</v>
      </c>
      <c r="M94" s="112">
        <v>0</v>
      </c>
      <c r="N94" s="112">
        <v>0</v>
      </c>
      <c r="O94" s="112">
        <v>0</v>
      </c>
      <c r="P94" s="112">
        <v>0</v>
      </c>
      <c r="Q94" s="112">
        <v>0</v>
      </c>
      <c r="R94" s="112">
        <v>0</v>
      </c>
      <c r="S94" s="112">
        <v>0</v>
      </c>
      <c r="T94" s="112">
        <v>0</v>
      </c>
      <c r="U94" s="112">
        <v>0</v>
      </c>
      <c r="V94" s="112">
        <v>0</v>
      </c>
      <c r="W94" s="112">
        <v>0</v>
      </c>
      <c r="X94" s="112">
        <v>0</v>
      </c>
      <c r="Y94" s="112">
        <v>0</v>
      </c>
      <c r="Z94" s="112">
        <v>0</v>
      </c>
      <c r="AA94" s="112">
        <v>0</v>
      </c>
      <c r="AB94" s="112">
        <v>0</v>
      </c>
      <c r="AC94" s="112">
        <v>0</v>
      </c>
      <c r="AD94" s="112">
        <v>0</v>
      </c>
      <c r="AE94" s="112">
        <v>0</v>
      </c>
      <c r="AF94" s="112">
        <v>0</v>
      </c>
      <c r="AG94" s="112">
        <v>0</v>
      </c>
      <c r="AH94" s="112">
        <v>0</v>
      </c>
      <c r="AI94" s="112">
        <v>0</v>
      </c>
      <c r="AJ94" s="112">
        <v>0</v>
      </c>
      <c r="AK94" s="112">
        <v>0</v>
      </c>
      <c r="AL94" s="112">
        <v>0</v>
      </c>
      <c r="AM94" s="112">
        <v>0</v>
      </c>
      <c r="AN94" s="112">
        <v>0</v>
      </c>
      <c r="AO94" s="112">
        <v>0</v>
      </c>
      <c r="AP94" s="112">
        <v>0.8</v>
      </c>
      <c r="AQ94" s="112">
        <v>0</v>
      </c>
      <c r="AR94" s="112">
        <v>0</v>
      </c>
      <c r="AS94" s="112">
        <v>0</v>
      </c>
      <c r="AT94" s="112">
        <v>0.8</v>
      </c>
      <c r="AU94" s="112">
        <v>0.8</v>
      </c>
      <c r="AV94" s="112">
        <v>0</v>
      </c>
      <c r="AW94" s="112">
        <v>0</v>
      </c>
      <c r="AX94" s="112">
        <v>0</v>
      </c>
      <c r="AY94" s="112">
        <v>0.8</v>
      </c>
      <c r="AZ94" s="112">
        <v>0.8</v>
      </c>
      <c r="BA94" s="112">
        <v>0.8</v>
      </c>
      <c r="BB94" s="112">
        <v>0</v>
      </c>
      <c r="BC94" s="112">
        <v>0.8</v>
      </c>
      <c r="BD94" s="112">
        <v>0.8</v>
      </c>
      <c r="BE94" s="112">
        <v>0.8</v>
      </c>
      <c r="BF94" s="112">
        <v>0.8</v>
      </c>
      <c r="BG94" s="112">
        <v>0.8</v>
      </c>
      <c r="BH94" s="112">
        <v>0</v>
      </c>
      <c r="BI94" s="112">
        <v>0</v>
      </c>
      <c r="BJ94" s="112">
        <v>0.8</v>
      </c>
      <c r="BK94" s="112">
        <v>0</v>
      </c>
      <c r="BL94" s="112">
        <v>0.8</v>
      </c>
      <c r="BM94" s="112">
        <v>0.8</v>
      </c>
      <c r="BN94" s="112">
        <v>0</v>
      </c>
      <c r="BO94" s="112">
        <v>0</v>
      </c>
      <c r="BP94" s="112">
        <v>0.8</v>
      </c>
      <c r="BQ94" s="112">
        <v>0</v>
      </c>
      <c r="BR94" s="112">
        <v>0</v>
      </c>
      <c r="BS94" s="112">
        <v>0</v>
      </c>
      <c r="BT94" s="112">
        <v>0</v>
      </c>
      <c r="BU94" s="112">
        <v>0</v>
      </c>
      <c r="BV94" s="112">
        <v>0</v>
      </c>
      <c r="BW94" s="112">
        <v>0</v>
      </c>
      <c r="BX94" s="112">
        <v>0</v>
      </c>
      <c r="BY94" s="112">
        <v>0</v>
      </c>
      <c r="BZ94" s="112">
        <v>0</v>
      </c>
      <c r="CA94" s="112">
        <v>0</v>
      </c>
      <c r="CB94" s="112">
        <v>0</v>
      </c>
      <c r="CC94" s="112">
        <v>0</v>
      </c>
      <c r="CD94" s="112">
        <v>0</v>
      </c>
      <c r="CE94" s="112">
        <v>0</v>
      </c>
      <c r="CF94" s="112">
        <v>0</v>
      </c>
      <c r="CG94" s="112">
        <v>0.8</v>
      </c>
      <c r="CH94" s="112">
        <v>0</v>
      </c>
      <c r="CI94" s="112">
        <v>0</v>
      </c>
      <c r="CJ94" s="112">
        <v>0</v>
      </c>
      <c r="CK94" s="112">
        <v>0</v>
      </c>
      <c r="CL94" s="112">
        <v>0</v>
      </c>
      <c r="CM94" s="112">
        <v>0</v>
      </c>
      <c r="CN94" s="112">
        <v>0</v>
      </c>
      <c r="CO94" s="112">
        <v>0</v>
      </c>
      <c r="CP94" s="112">
        <v>0</v>
      </c>
      <c r="CQ94" s="112">
        <v>0</v>
      </c>
      <c r="CR94" s="112">
        <v>0</v>
      </c>
      <c r="CS94" s="112">
        <v>0</v>
      </c>
      <c r="CT94" s="112">
        <v>0</v>
      </c>
      <c r="CU94" s="112">
        <v>0</v>
      </c>
      <c r="CV94" s="112">
        <v>0</v>
      </c>
    </row>
    <row r="95" spans="1:100" x14ac:dyDescent="0.15">
      <c r="A95" s="189" t="s">
        <v>285</v>
      </c>
      <c r="B95" s="112">
        <v>0</v>
      </c>
      <c r="C95" s="112">
        <v>0</v>
      </c>
      <c r="D95" s="112">
        <v>0</v>
      </c>
      <c r="E95" s="112">
        <v>0</v>
      </c>
      <c r="F95" s="112">
        <v>0</v>
      </c>
      <c r="G95" s="112">
        <v>0</v>
      </c>
      <c r="H95" s="112">
        <v>0</v>
      </c>
      <c r="I95" s="112">
        <v>0</v>
      </c>
      <c r="J95" s="112">
        <v>0</v>
      </c>
      <c r="K95" s="112">
        <v>0</v>
      </c>
      <c r="L95" s="112">
        <v>0</v>
      </c>
      <c r="M95" s="112">
        <v>0</v>
      </c>
      <c r="N95" s="112">
        <v>0</v>
      </c>
      <c r="O95" s="112">
        <v>0</v>
      </c>
      <c r="P95" s="112">
        <v>0</v>
      </c>
      <c r="Q95" s="112">
        <v>0</v>
      </c>
      <c r="R95" s="112">
        <v>0</v>
      </c>
      <c r="S95" s="112">
        <v>0</v>
      </c>
      <c r="T95" s="112">
        <v>0</v>
      </c>
      <c r="U95" s="112">
        <v>0</v>
      </c>
      <c r="V95" s="112">
        <v>0</v>
      </c>
      <c r="W95" s="112">
        <v>0</v>
      </c>
      <c r="X95" s="112">
        <v>0</v>
      </c>
      <c r="Y95" s="112">
        <v>0</v>
      </c>
      <c r="Z95" s="112">
        <v>0</v>
      </c>
      <c r="AA95" s="112">
        <v>0</v>
      </c>
      <c r="AB95" s="112">
        <v>0.8</v>
      </c>
      <c r="AC95" s="112">
        <v>0</v>
      </c>
      <c r="AD95" s="112">
        <v>0</v>
      </c>
      <c r="AE95" s="112">
        <v>0</v>
      </c>
      <c r="AF95" s="112">
        <v>0</v>
      </c>
      <c r="AG95" s="112">
        <v>0</v>
      </c>
      <c r="AH95" s="112">
        <v>0</v>
      </c>
      <c r="AI95" s="112">
        <v>0</v>
      </c>
      <c r="AJ95" s="112">
        <v>0</v>
      </c>
      <c r="AK95" s="112">
        <v>0</v>
      </c>
      <c r="AL95" s="112">
        <v>0</v>
      </c>
      <c r="AM95" s="112">
        <v>0.8</v>
      </c>
      <c r="AN95" s="112">
        <v>0</v>
      </c>
      <c r="AO95" s="112">
        <v>0</v>
      </c>
      <c r="AP95" s="112">
        <v>0</v>
      </c>
      <c r="AQ95" s="112">
        <v>0</v>
      </c>
      <c r="AR95" s="112">
        <v>0</v>
      </c>
      <c r="AS95" s="112">
        <v>0</v>
      </c>
      <c r="AT95" s="112">
        <v>0</v>
      </c>
      <c r="AU95" s="112">
        <v>0</v>
      </c>
      <c r="AV95" s="112">
        <v>0</v>
      </c>
      <c r="AW95" s="112">
        <v>0</v>
      </c>
      <c r="AX95" s="112">
        <v>0</v>
      </c>
      <c r="AY95" s="112">
        <v>0</v>
      </c>
      <c r="AZ95" s="112">
        <v>0.8</v>
      </c>
      <c r="BA95" s="112">
        <v>0.8</v>
      </c>
      <c r="BB95" s="112">
        <v>0</v>
      </c>
      <c r="BC95" s="112">
        <v>0.8</v>
      </c>
      <c r="BD95" s="112">
        <v>0.8</v>
      </c>
      <c r="BE95" s="112">
        <v>0</v>
      </c>
      <c r="BF95" s="112">
        <v>0.8</v>
      </c>
      <c r="BG95" s="112">
        <v>0</v>
      </c>
      <c r="BH95" s="112">
        <v>0</v>
      </c>
      <c r="BI95" s="112">
        <v>0</v>
      </c>
      <c r="BJ95" s="112">
        <v>0.8</v>
      </c>
      <c r="BK95" s="112">
        <v>0</v>
      </c>
      <c r="BL95" s="112">
        <v>0.8</v>
      </c>
      <c r="BM95" s="112">
        <v>0</v>
      </c>
      <c r="BN95" s="112">
        <v>0</v>
      </c>
      <c r="BO95" s="112">
        <v>0</v>
      </c>
      <c r="BP95" s="112">
        <v>0.8</v>
      </c>
      <c r="BQ95" s="112">
        <v>0</v>
      </c>
      <c r="BR95" s="112">
        <v>0.8</v>
      </c>
      <c r="BS95" s="112">
        <v>0</v>
      </c>
      <c r="BT95" s="112">
        <v>0</v>
      </c>
      <c r="BU95" s="112">
        <v>0</v>
      </c>
      <c r="BV95" s="112">
        <v>0</v>
      </c>
      <c r="BW95" s="112">
        <v>0</v>
      </c>
      <c r="BX95" s="112">
        <v>0</v>
      </c>
      <c r="BY95" s="112">
        <v>0</v>
      </c>
      <c r="BZ95" s="112">
        <v>0</v>
      </c>
      <c r="CA95" s="112">
        <v>0</v>
      </c>
      <c r="CB95" s="112">
        <v>0</v>
      </c>
      <c r="CC95" s="112">
        <v>0</v>
      </c>
      <c r="CD95" s="112">
        <v>0</v>
      </c>
      <c r="CE95" s="112">
        <v>0</v>
      </c>
      <c r="CF95" s="112">
        <v>0</v>
      </c>
      <c r="CG95" s="112">
        <v>0</v>
      </c>
      <c r="CH95" s="112">
        <v>0</v>
      </c>
      <c r="CI95" s="112">
        <v>0</v>
      </c>
      <c r="CJ95" s="112">
        <v>0</v>
      </c>
      <c r="CK95" s="112">
        <v>0</v>
      </c>
      <c r="CL95" s="112">
        <v>0</v>
      </c>
      <c r="CM95" s="112">
        <v>0</v>
      </c>
      <c r="CN95" s="112">
        <v>0</v>
      </c>
      <c r="CO95" s="112">
        <v>0</v>
      </c>
      <c r="CP95" s="112">
        <v>0</v>
      </c>
      <c r="CQ95" s="112">
        <v>0</v>
      </c>
      <c r="CR95" s="112">
        <v>0</v>
      </c>
      <c r="CS95" s="112">
        <v>0</v>
      </c>
      <c r="CT95" s="112">
        <v>0</v>
      </c>
      <c r="CU95" s="112">
        <v>0</v>
      </c>
      <c r="CV95" s="112">
        <v>0</v>
      </c>
    </row>
    <row r="96" spans="1:100" x14ac:dyDescent="0.15">
      <c r="A96" s="189" t="s">
        <v>286</v>
      </c>
      <c r="B96" s="112">
        <v>0</v>
      </c>
      <c r="C96" s="112">
        <v>0</v>
      </c>
      <c r="D96" s="112">
        <v>0</v>
      </c>
      <c r="E96" s="112">
        <v>0</v>
      </c>
      <c r="F96" s="112">
        <v>0</v>
      </c>
      <c r="G96" s="112">
        <v>0</v>
      </c>
      <c r="H96" s="112">
        <v>0</v>
      </c>
      <c r="I96" s="112">
        <v>0</v>
      </c>
      <c r="J96" s="112">
        <v>0</v>
      </c>
      <c r="K96" s="112">
        <v>0</v>
      </c>
      <c r="L96" s="112">
        <v>0</v>
      </c>
      <c r="M96" s="112">
        <v>0</v>
      </c>
      <c r="N96" s="112">
        <v>0</v>
      </c>
      <c r="O96" s="112">
        <v>0</v>
      </c>
      <c r="P96" s="112">
        <v>0</v>
      </c>
      <c r="Q96" s="112">
        <v>0</v>
      </c>
      <c r="R96" s="112">
        <v>0</v>
      </c>
      <c r="S96" s="112">
        <v>0</v>
      </c>
      <c r="T96" s="112">
        <v>0</v>
      </c>
      <c r="U96" s="112">
        <v>0</v>
      </c>
      <c r="V96" s="112">
        <v>0</v>
      </c>
      <c r="W96" s="112">
        <v>0</v>
      </c>
      <c r="X96" s="112">
        <v>0</v>
      </c>
      <c r="Y96" s="112">
        <v>0</v>
      </c>
      <c r="Z96" s="112">
        <v>0</v>
      </c>
      <c r="AA96" s="112">
        <v>0</v>
      </c>
      <c r="AB96" s="112">
        <v>0</v>
      </c>
      <c r="AC96" s="112">
        <v>0</v>
      </c>
      <c r="AD96" s="112">
        <v>0</v>
      </c>
      <c r="AE96" s="112">
        <v>0</v>
      </c>
      <c r="AF96" s="112">
        <v>0</v>
      </c>
      <c r="AG96" s="112">
        <v>0</v>
      </c>
      <c r="AH96" s="112">
        <v>0</v>
      </c>
      <c r="AI96" s="112">
        <v>0</v>
      </c>
      <c r="AJ96" s="112">
        <v>0</v>
      </c>
      <c r="AK96" s="112">
        <v>0</v>
      </c>
      <c r="AL96" s="112">
        <v>0</v>
      </c>
      <c r="AM96" s="112">
        <v>0</v>
      </c>
      <c r="AN96" s="112">
        <v>0</v>
      </c>
      <c r="AO96" s="112">
        <v>0</v>
      </c>
      <c r="AP96" s="112">
        <v>0</v>
      </c>
      <c r="AQ96" s="112">
        <v>0</v>
      </c>
      <c r="AR96" s="112">
        <v>0</v>
      </c>
      <c r="AS96" s="112">
        <v>0</v>
      </c>
      <c r="AT96" s="112">
        <v>0</v>
      </c>
      <c r="AU96" s="112">
        <v>0</v>
      </c>
      <c r="AV96" s="112">
        <v>0</v>
      </c>
      <c r="AW96" s="112">
        <v>0</v>
      </c>
      <c r="AX96" s="112">
        <v>0</v>
      </c>
      <c r="AY96" s="112">
        <v>0</v>
      </c>
      <c r="AZ96" s="112">
        <v>0</v>
      </c>
      <c r="BA96" s="112">
        <v>0</v>
      </c>
      <c r="BB96" s="112">
        <v>0.8</v>
      </c>
      <c r="BC96" s="112">
        <v>0.8</v>
      </c>
      <c r="BD96" s="112">
        <v>0.8</v>
      </c>
      <c r="BE96" s="112">
        <v>0</v>
      </c>
      <c r="BF96" s="112">
        <v>0.8</v>
      </c>
      <c r="BG96" s="112">
        <v>0</v>
      </c>
      <c r="BH96" s="112">
        <v>0</v>
      </c>
      <c r="BI96" s="112">
        <v>0</v>
      </c>
      <c r="BJ96" s="112">
        <v>0.8</v>
      </c>
      <c r="BK96" s="112">
        <v>0</v>
      </c>
      <c r="BL96" s="112">
        <v>0.8</v>
      </c>
      <c r="BM96" s="112">
        <v>0</v>
      </c>
      <c r="BN96" s="112">
        <v>0</v>
      </c>
      <c r="BO96" s="112">
        <v>0</v>
      </c>
      <c r="BP96" s="112">
        <v>0</v>
      </c>
      <c r="BQ96" s="112">
        <v>0.8</v>
      </c>
      <c r="BR96" s="112">
        <v>0</v>
      </c>
      <c r="BS96" s="112">
        <v>0.8</v>
      </c>
      <c r="BT96" s="112">
        <v>0</v>
      </c>
      <c r="BU96" s="112">
        <v>0</v>
      </c>
      <c r="BV96" s="112">
        <v>0</v>
      </c>
      <c r="BW96" s="112">
        <v>0</v>
      </c>
      <c r="BX96" s="112">
        <v>0</v>
      </c>
      <c r="BY96" s="112">
        <v>0</v>
      </c>
      <c r="BZ96" s="112">
        <v>0</v>
      </c>
      <c r="CA96" s="112">
        <v>0</v>
      </c>
      <c r="CB96" s="112">
        <v>0</v>
      </c>
      <c r="CC96" s="112">
        <v>0</v>
      </c>
      <c r="CD96" s="112">
        <v>0</v>
      </c>
      <c r="CE96" s="112">
        <v>0</v>
      </c>
      <c r="CF96" s="112">
        <v>0.8</v>
      </c>
      <c r="CG96" s="112">
        <v>0</v>
      </c>
      <c r="CH96" s="112">
        <v>0</v>
      </c>
      <c r="CI96" s="112">
        <v>0</v>
      </c>
      <c r="CJ96" s="112">
        <v>0</v>
      </c>
      <c r="CK96" s="112">
        <v>0</v>
      </c>
      <c r="CL96" s="112">
        <v>0</v>
      </c>
      <c r="CM96" s="112">
        <v>0</v>
      </c>
      <c r="CN96" s="112">
        <v>0</v>
      </c>
      <c r="CO96" s="112">
        <v>0</v>
      </c>
      <c r="CP96" s="112">
        <v>0</v>
      </c>
      <c r="CQ96" s="112">
        <v>0</v>
      </c>
      <c r="CR96" s="112">
        <v>0</v>
      </c>
      <c r="CS96" s="112">
        <v>0</v>
      </c>
      <c r="CT96" s="112">
        <v>0</v>
      </c>
      <c r="CU96" s="112">
        <v>0</v>
      </c>
      <c r="CV96" s="112">
        <v>0</v>
      </c>
    </row>
    <row r="97" spans="1:100" x14ac:dyDescent="0.15">
      <c r="A97" s="189" t="s">
        <v>287</v>
      </c>
      <c r="B97" s="112">
        <v>0</v>
      </c>
      <c r="C97" s="112">
        <v>0</v>
      </c>
      <c r="D97" s="112">
        <v>0</v>
      </c>
      <c r="E97" s="112">
        <v>0</v>
      </c>
      <c r="F97" s="112">
        <v>0</v>
      </c>
      <c r="G97" s="112">
        <v>0</v>
      </c>
      <c r="H97" s="112">
        <v>0</v>
      </c>
      <c r="I97" s="112">
        <v>0</v>
      </c>
      <c r="J97" s="112">
        <v>0</v>
      </c>
      <c r="K97" s="112">
        <v>0</v>
      </c>
      <c r="L97" s="112">
        <v>0.8</v>
      </c>
      <c r="M97" s="112">
        <v>0</v>
      </c>
      <c r="N97" s="112">
        <v>0</v>
      </c>
      <c r="O97" s="112">
        <v>0</v>
      </c>
      <c r="P97" s="112">
        <v>0</v>
      </c>
      <c r="Q97" s="112">
        <v>0</v>
      </c>
      <c r="R97" s="112">
        <v>0</v>
      </c>
      <c r="S97" s="112">
        <v>0</v>
      </c>
      <c r="T97" s="112">
        <v>0</v>
      </c>
      <c r="U97" s="112">
        <v>0</v>
      </c>
      <c r="V97" s="112">
        <v>0</v>
      </c>
      <c r="W97" s="112">
        <v>0</v>
      </c>
      <c r="X97" s="112">
        <v>0</v>
      </c>
      <c r="Y97" s="112">
        <v>0</v>
      </c>
      <c r="Z97" s="112">
        <v>0</v>
      </c>
      <c r="AA97" s="112">
        <v>0</v>
      </c>
      <c r="AB97" s="112">
        <v>0</v>
      </c>
      <c r="AC97" s="112">
        <v>0</v>
      </c>
      <c r="AD97" s="112">
        <v>0</v>
      </c>
      <c r="AE97" s="112">
        <v>0.8</v>
      </c>
      <c r="AF97" s="112">
        <v>0.8</v>
      </c>
      <c r="AG97" s="112">
        <v>0</v>
      </c>
      <c r="AH97" s="112">
        <v>0</v>
      </c>
      <c r="AI97" s="112">
        <v>0</v>
      </c>
      <c r="AJ97" s="112">
        <v>0</v>
      </c>
      <c r="AK97" s="112">
        <v>0</v>
      </c>
      <c r="AL97" s="112">
        <v>0.8</v>
      </c>
      <c r="AM97" s="112">
        <v>0</v>
      </c>
      <c r="AN97" s="112">
        <v>0</v>
      </c>
      <c r="AO97" s="112">
        <v>0.8</v>
      </c>
      <c r="AP97" s="112">
        <v>0</v>
      </c>
      <c r="AQ97" s="112">
        <v>0</v>
      </c>
      <c r="AR97" s="112">
        <v>0</v>
      </c>
      <c r="AS97" s="112">
        <v>0</v>
      </c>
      <c r="AT97" s="112">
        <v>0</v>
      </c>
      <c r="AU97" s="112">
        <v>0</v>
      </c>
      <c r="AV97" s="112">
        <v>0</v>
      </c>
      <c r="AW97" s="112">
        <v>0</v>
      </c>
      <c r="AX97" s="112">
        <v>0</v>
      </c>
      <c r="AY97" s="112">
        <v>0</v>
      </c>
      <c r="AZ97" s="112">
        <v>0.8</v>
      </c>
      <c r="BA97" s="112">
        <v>0.8</v>
      </c>
      <c r="BB97" s="112">
        <v>0</v>
      </c>
      <c r="BC97" s="112">
        <v>0</v>
      </c>
      <c r="BD97" s="112">
        <v>0</v>
      </c>
      <c r="BE97" s="112">
        <v>0</v>
      </c>
      <c r="BF97" s="112">
        <v>0</v>
      </c>
      <c r="BG97" s="112">
        <v>0</v>
      </c>
      <c r="BH97" s="112">
        <v>0</v>
      </c>
      <c r="BI97" s="112">
        <v>0</v>
      </c>
      <c r="BJ97" s="112">
        <v>0</v>
      </c>
      <c r="BK97" s="112">
        <v>0.8</v>
      </c>
      <c r="BL97" s="112">
        <v>0</v>
      </c>
      <c r="BM97" s="112">
        <v>0.8</v>
      </c>
      <c r="BN97" s="112">
        <v>0</v>
      </c>
      <c r="BO97" s="112">
        <v>0</v>
      </c>
      <c r="BP97" s="112">
        <v>0</v>
      </c>
      <c r="BQ97" s="112">
        <v>0.8</v>
      </c>
      <c r="BR97" s="112">
        <v>0</v>
      </c>
      <c r="BS97" s="112">
        <v>0.8</v>
      </c>
      <c r="BT97" s="112">
        <v>0</v>
      </c>
      <c r="BU97" s="112">
        <v>0</v>
      </c>
      <c r="BV97" s="112">
        <v>0</v>
      </c>
      <c r="BW97" s="112">
        <v>0</v>
      </c>
      <c r="BX97" s="112">
        <v>0</v>
      </c>
      <c r="BY97" s="112">
        <v>0</v>
      </c>
      <c r="BZ97" s="112">
        <v>0</v>
      </c>
      <c r="CA97" s="112">
        <v>0.8</v>
      </c>
      <c r="CB97" s="112">
        <v>0</v>
      </c>
      <c r="CC97" s="112">
        <v>0.8</v>
      </c>
      <c r="CD97" s="112">
        <v>0</v>
      </c>
      <c r="CE97" s="112">
        <v>0.8</v>
      </c>
      <c r="CF97" s="112">
        <v>0.8</v>
      </c>
      <c r="CG97" s="112">
        <v>0</v>
      </c>
      <c r="CH97" s="112">
        <v>0.8</v>
      </c>
      <c r="CI97" s="112">
        <v>0</v>
      </c>
      <c r="CJ97" s="112">
        <v>0</v>
      </c>
      <c r="CK97" s="112">
        <v>0</v>
      </c>
      <c r="CL97" s="112">
        <v>0</v>
      </c>
      <c r="CM97" s="112">
        <v>0</v>
      </c>
      <c r="CN97" s="112">
        <v>0</v>
      </c>
      <c r="CO97" s="112">
        <v>0</v>
      </c>
      <c r="CP97" s="112">
        <v>0</v>
      </c>
      <c r="CQ97" s="112">
        <v>0</v>
      </c>
      <c r="CR97" s="112">
        <v>0</v>
      </c>
      <c r="CS97" s="112">
        <v>0</v>
      </c>
      <c r="CT97" s="112">
        <v>0</v>
      </c>
      <c r="CU97" s="112">
        <v>0</v>
      </c>
      <c r="CV97" s="112">
        <v>0</v>
      </c>
    </row>
    <row r="98" spans="1:100" x14ac:dyDescent="0.15">
      <c r="A98" s="189" t="s">
        <v>288</v>
      </c>
      <c r="B98" s="112">
        <v>0</v>
      </c>
      <c r="C98" s="112">
        <v>0</v>
      </c>
      <c r="D98" s="112">
        <v>0</v>
      </c>
      <c r="E98" s="112">
        <v>0</v>
      </c>
      <c r="F98" s="112">
        <v>0</v>
      </c>
      <c r="G98" s="112">
        <v>0</v>
      </c>
      <c r="H98" s="112">
        <v>0</v>
      </c>
      <c r="I98" s="112">
        <v>0</v>
      </c>
      <c r="J98" s="112">
        <v>0</v>
      </c>
      <c r="K98" s="112">
        <v>0</v>
      </c>
      <c r="L98" s="112">
        <v>0</v>
      </c>
      <c r="M98" s="112">
        <v>0</v>
      </c>
      <c r="N98" s="112">
        <v>0</v>
      </c>
      <c r="O98" s="112">
        <v>0</v>
      </c>
      <c r="P98" s="112">
        <v>0</v>
      </c>
      <c r="Q98" s="112">
        <v>0</v>
      </c>
      <c r="R98" s="112">
        <v>0</v>
      </c>
      <c r="S98" s="112">
        <v>0</v>
      </c>
      <c r="T98" s="112">
        <v>0</v>
      </c>
      <c r="U98" s="112">
        <v>0</v>
      </c>
      <c r="V98" s="112">
        <v>0</v>
      </c>
      <c r="W98" s="112">
        <v>0</v>
      </c>
      <c r="X98" s="112">
        <v>0</v>
      </c>
      <c r="Y98" s="112">
        <v>0</v>
      </c>
      <c r="Z98" s="112">
        <v>0</v>
      </c>
      <c r="AA98" s="112">
        <v>0</v>
      </c>
      <c r="AB98" s="112">
        <v>0</v>
      </c>
      <c r="AC98" s="112">
        <v>0</v>
      </c>
      <c r="AD98" s="112">
        <v>0</v>
      </c>
      <c r="AE98" s="112">
        <v>0</v>
      </c>
      <c r="AF98" s="112">
        <v>0</v>
      </c>
      <c r="AG98" s="112">
        <v>0</v>
      </c>
      <c r="AH98" s="112">
        <v>0</v>
      </c>
      <c r="AI98" s="112">
        <v>0</v>
      </c>
      <c r="AJ98" s="112">
        <v>0</v>
      </c>
      <c r="AK98" s="112">
        <v>0</v>
      </c>
      <c r="AL98" s="112">
        <v>0.8</v>
      </c>
      <c r="AM98" s="112">
        <v>0</v>
      </c>
      <c r="AN98" s="112">
        <v>0</v>
      </c>
      <c r="AO98" s="112">
        <v>0</v>
      </c>
      <c r="AP98" s="112">
        <v>0</v>
      </c>
      <c r="AQ98" s="112">
        <v>0</v>
      </c>
      <c r="AR98" s="112">
        <v>0</v>
      </c>
      <c r="AS98" s="112">
        <v>0</v>
      </c>
      <c r="AT98" s="112">
        <v>0</v>
      </c>
      <c r="AU98" s="112">
        <v>0</v>
      </c>
      <c r="AV98" s="112">
        <v>0</v>
      </c>
      <c r="AW98" s="112">
        <v>0</v>
      </c>
      <c r="AX98" s="112">
        <v>0</v>
      </c>
      <c r="AY98" s="112">
        <v>0</v>
      </c>
      <c r="AZ98" s="112">
        <v>0</v>
      </c>
      <c r="BA98" s="112">
        <v>0</v>
      </c>
      <c r="BB98" s="112">
        <v>0.8</v>
      </c>
      <c r="BC98" s="112">
        <v>0.8</v>
      </c>
      <c r="BD98" s="112">
        <v>0.8</v>
      </c>
      <c r="BE98" s="112">
        <v>0</v>
      </c>
      <c r="BF98" s="112">
        <v>0.8</v>
      </c>
      <c r="BG98" s="112">
        <v>0</v>
      </c>
      <c r="BH98" s="112">
        <v>0.8</v>
      </c>
      <c r="BI98" s="112">
        <v>0</v>
      </c>
      <c r="BJ98" s="112">
        <v>0.8</v>
      </c>
      <c r="BK98" s="112">
        <v>0.8</v>
      </c>
      <c r="BL98" s="112">
        <v>0.8</v>
      </c>
      <c r="BM98" s="112">
        <v>0.8</v>
      </c>
      <c r="BN98" s="112">
        <v>0</v>
      </c>
      <c r="BO98" s="112">
        <v>0.8</v>
      </c>
      <c r="BP98" s="112">
        <v>0</v>
      </c>
      <c r="BQ98" s="112">
        <v>0.8</v>
      </c>
      <c r="BR98" s="112">
        <v>0</v>
      </c>
      <c r="BS98" s="112">
        <v>0.8</v>
      </c>
      <c r="BT98" s="112">
        <v>0</v>
      </c>
      <c r="BU98" s="112">
        <v>0.8</v>
      </c>
      <c r="BV98" s="112">
        <v>0</v>
      </c>
      <c r="BW98" s="112">
        <v>0.8</v>
      </c>
      <c r="BX98" s="112">
        <v>0</v>
      </c>
      <c r="BY98" s="112">
        <v>0</v>
      </c>
      <c r="BZ98" s="112">
        <v>0</v>
      </c>
      <c r="CA98" s="112">
        <v>0</v>
      </c>
      <c r="CB98" s="112">
        <v>0</v>
      </c>
      <c r="CC98" s="112">
        <v>0</v>
      </c>
      <c r="CD98" s="112">
        <v>0</v>
      </c>
      <c r="CE98" s="112">
        <v>0.8</v>
      </c>
      <c r="CF98" s="112">
        <v>0.8</v>
      </c>
      <c r="CG98" s="112">
        <v>0</v>
      </c>
      <c r="CH98" s="112">
        <v>0.8</v>
      </c>
      <c r="CI98" s="112">
        <v>0</v>
      </c>
      <c r="CJ98" s="112">
        <v>0</v>
      </c>
      <c r="CK98" s="112">
        <v>0</v>
      </c>
      <c r="CL98" s="112">
        <v>0</v>
      </c>
      <c r="CM98" s="112">
        <v>0</v>
      </c>
      <c r="CN98" s="112">
        <v>0</v>
      </c>
      <c r="CO98" s="112">
        <v>0</v>
      </c>
      <c r="CP98" s="112">
        <v>0</v>
      </c>
      <c r="CQ98" s="112">
        <v>0</v>
      </c>
      <c r="CR98" s="112">
        <v>0</v>
      </c>
      <c r="CS98" s="112">
        <v>0</v>
      </c>
      <c r="CT98" s="112">
        <v>0</v>
      </c>
      <c r="CU98" s="112">
        <v>0</v>
      </c>
      <c r="CV98" s="112">
        <v>0</v>
      </c>
    </row>
    <row r="99" spans="1:100" x14ac:dyDescent="0.15">
      <c r="A99" s="189" t="s">
        <v>289</v>
      </c>
      <c r="B99" s="112">
        <v>0</v>
      </c>
      <c r="C99" s="112">
        <v>0</v>
      </c>
      <c r="D99" s="112">
        <v>0</v>
      </c>
      <c r="E99" s="112">
        <v>0</v>
      </c>
      <c r="F99" s="112">
        <v>0</v>
      </c>
      <c r="G99" s="112">
        <v>0</v>
      </c>
      <c r="H99" s="112">
        <v>0</v>
      </c>
      <c r="I99" s="112">
        <v>0</v>
      </c>
      <c r="J99" s="112">
        <v>0</v>
      </c>
      <c r="K99" s="112">
        <v>0</v>
      </c>
      <c r="L99" s="112">
        <v>0</v>
      </c>
      <c r="M99" s="112">
        <v>0</v>
      </c>
      <c r="N99" s="112">
        <v>0</v>
      </c>
      <c r="O99" s="112">
        <v>0</v>
      </c>
      <c r="P99" s="112">
        <v>0</v>
      </c>
      <c r="Q99" s="112">
        <v>0</v>
      </c>
      <c r="R99" s="112">
        <v>0</v>
      </c>
      <c r="S99" s="112">
        <v>0</v>
      </c>
      <c r="T99" s="112">
        <v>0</v>
      </c>
      <c r="U99" s="112">
        <v>0</v>
      </c>
      <c r="V99" s="112">
        <v>0</v>
      </c>
      <c r="W99" s="112">
        <v>0</v>
      </c>
      <c r="X99" s="112">
        <v>0</v>
      </c>
      <c r="Y99" s="112">
        <v>0</v>
      </c>
      <c r="Z99" s="112">
        <v>0</v>
      </c>
      <c r="AA99" s="112">
        <v>0</v>
      </c>
      <c r="AB99" s="112">
        <v>0</v>
      </c>
      <c r="AC99" s="112">
        <v>0</v>
      </c>
      <c r="AD99" s="112">
        <v>0</v>
      </c>
      <c r="AE99" s="112">
        <v>0</v>
      </c>
      <c r="AF99" s="112">
        <v>0.8</v>
      </c>
      <c r="AG99" s="112">
        <v>0</v>
      </c>
      <c r="AH99" s="112">
        <v>0</v>
      </c>
      <c r="AI99" s="112">
        <v>0</v>
      </c>
      <c r="AJ99" s="112">
        <v>0</v>
      </c>
      <c r="AK99" s="112">
        <v>0</v>
      </c>
      <c r="AL99" s="112">
        <v>0</v>
      </c>
      <c r="AM99" s="112">
        <v>0</v>
      </c>
      <c r="AN99" s="112">
        <v>0</v>
      </c>
      <c r="AO99" s="112">
        <v>0</v>
      </c>
      <c r="AP99" s="112">
        <v>0</v>
      </c>
      <c r="AQ99" s="112">
        <v>0</v>
      </c>
      <c r="AR99" s="112">
        <v>0</v>
      </c>
      <c r="AS99" s="112">
        <v>0</v>
      </c>
      <c r="AT99" s="112">
        <v>0</v>
      </c>
      <c r="AU99" s="112">
        <v>0</v>
      </c>
      <c r="AV99" s="112">
        <v>0</v>
      </c>
      <c r="AW99" s="112">
        <v>0</v>
      </c>
      <c r="AX99" s="112">
        <v>0</v>
      </c>
      <c r="AY99" s="112">
        <v>0</v>
      </c>
      <c r="AZ99" s="112">
        <v>0.8</v>
      </c>
      <c r="BA99" s="112">
        <v>0.8</v>
      </c>
      <c r="BB99" s="112">
        <v>0</v>
      </c>
      <c r="BC99" s="112">
        <v>0</v>
      </c>
      <c r="BD99" s="112">
        <v>0</v>
      </c>
      <c r="BE99" s="112">
        <v>0</v>
      </c>
      <c r="BF99" s="112">
        <v>0</v>
      </c>
      <c r="BG99" s="112">
        <v>0</v>
      </c>
      <c r="BH99" s="112">
        <v>0</v>
      </c>
      <c r="BI99" s="112">
        <v>0</v>
      </c>
      <c r="BJ99" s="112">
        <v>0</v>
      </c>
      <c r="BK99" s="112">
        <v>0.8</v>
      </c>
      <c r="BL99" s="112">
        <v>0</v>
      </c>
      <c r="BM99" s="112">
        <v>0.8</v>
      </c>
      <c r="BN99" s="112">
        <v>0.8</v>
      </c>
      <c r="BO99" s="112">
        <v>0.8</v>
      </c>
      <c r="BP99" s="112">
        <v>0.8</v>
      </c>
      <c r="BQ99" s="112">
        <v>0</v>
      </c>
      <c r="BR99" s="112">
        <v>0.8</v>
      </c>
      <c r="BS99" s="112">
        <v>0</v>
      </c>
      <c r="BT99" s="112">
        <v>0</v>
      </c>
      <c r="BU99" s="112">
        <v>0</v>
      </c>
      <c r="BV99" s="112">
        <v>0</v>
      </c>
      <c r="BW99" s="112">
        <v>0</v>
      </c>
      <c r="BX99" s="112">
        <v>0</v>
      </c>
      <c r="BY99" s="112">
        <v>0</v>
      </c>
      <c r="BZ99" s="112">
        <v>0.8</v>
      </c>
      <c r="CA99" s="112">
        <v>0.8</v>
      </c>
      <c r="CB99" s="112">
        <v>0.8</v>
      </c>
      <c r="CC99" s="112">
        <v>0</v>
      </c>
      <c r="CD99" s="112">
        <v>0.8</v>
      </c>
      <c r="CE99" s="112">
        <v>0</v>
      </c>
      <c r="CF99" s="112">
        <v>0</v>
      </c>
      <c r="CG99" s="112">
        <v>0.8</v>
      </c>
      <c r="CH99" s="112">
        <v>0</v>
      </c>
      <c r="CI99" s="112">
        <v>0</v>
      </c>
      <c r="CJ99" s="112">
        <v>0</v>
      </c>
      <c r="CK99" s="112">
        <v>0</v>
      </c>
      <c r="CL99" s="112">
        <v>0</v>
      </c>
      <c r="CM99" s="112">
        <v>0</v>
      </c>
      <c r="CN99" s="112">
        <v>0</v>
      </c>
      <c r="CO99" s="112">
        <v>0</v>
      </c>
      <c r="CP99" s="112">
        <v>0</v>
      </c>
      <c r="CQ99" s="112">
        <v>0</v>
      </c>
      <c r="CR99" s="112">
        <v>0</v>
      </c>
      <c r="CS99" s="112">
        <v>0</v>
      </c>
      <c r="CT99" s="112">
        <v>0</v>
      </c>
      <c r="CU99" s="112">
        <v>0</v>
      </c>
      <c r="CV99" s="112">
        <v>0</v>
      </c>
    </row>
    <row r="100" spans="1:100" x14ac:dyDescent="0.15">
      <c r="A100" s="189" t="s">
        <v>290</v>
      </c>
      <c r="B100" s="112">
        <v>0</v>
      </c>
      <c r="C100" s="112">
        <v>0</v>
      </c>
      <c r="D100" s="112">
        <v>0</v>
      </c>
      <c r="E100" s="112">
        <v>0</v>
      </c>
      <c r="F100" s="112">
        <v>0</v>
      </c>
      <c r="G100" s="112">
        <v>0</v>
      </c>
      <c r="H100" s="112">
        <v>0</v>
      </c>
      <c r="I100" s="112">
        <v>0</v>
      </c>
      <c r="J100" s="112">
        <v>0</v>
      </c>
      <c r="K100" s="112">
        <v>0</v>
      </c>
      <c r="L100" s="112">
        <v>0</v>
      </c>
      <c r="M100" s="112">
        <v>0</v>
      </c>
      <c r="N100" s="112">
        <v>0</v>
      </c>
      <c r="O100" s="112">
        <v>0</v>
      </c>
      <c r="P100" s="112">
        <v>0</v>
      </c>
      <c r="Q100" s="112">
        <v>0</v>
      </c>
      <c r="R100" s="112">
        <v>0</v>
      </c>
      <c r="S100" s="112">
        <v>0</v>
      </c>
      <c r="T100" s="112">
        <v>0</v>
      </c>
      <c r="U100" s="112">
        <v>0</v>
      </c>
      <c r="V100" s="112">
        <v>0</v>
      </c>
      <c r="W100" s="112">
        <v>0</v>
      </c>
      <c r="X100" s="112">
        <v>0</v>
      </c>
      <c r="Y100" s="112">
        <v>0</v>
      </c>
      <c r="Z100" s="112">
        <v>0</v>
      </c>
      <c r="AA100" s="112">
        <v>0</v>
      </c>
      <c r="AB100" s="112">
        <v>0.8</v>
      </c>
      <c r="AC100" s="112">
        <v>0</v>
      </c>
      <c r="AD100" s="112">
        <v>0</v>
      </c>
      <c r="AE100" s="112">
        <v>0</v>
      </c>
      <c r="AF100" s="112">
        <v>0</v>
      </c>
      <c r="AG100" s="112">
        <v>0</v>
      </c>
      <c r="AH100" s="112">
        <v>0</v>
      </c>
      <c r="AI100" s="112">
        <v>0</v>
      </c>
      <c r="AJ100" s="112">
        <v>0</v>
      </c>
      <c r="AK100" s="112">
        <v>0</v>
      </c>
      <c r="AL100" s="112">
        <v>0</v>
      </c>
      <c r="AM100" s="112">
        <v>0</v>
      </c>
      <c r="AN100" s="112">
        <v>0</v>
      </c>
      <c r="AO100" s="112">
        <v>0</v>
      </c>
      <c r="AP100" s="112">
        <v>0</v>
      </c>
      <c r="AQ100" s="112">
        <v>0</v>
      </c>
      <c r="AR100" s="112">
        <v>0</v>
      </c>
      <c r="AS100" s="112">
        <v>0</v>
      </c>
      <c r="AT100" s="112">
        <v>0</v>
      </c>
      <c r="AU100" s="112">
        <v>0</v>
      </c>
      <c r="AV100" s="112">
        <v>0</v>
      </c>
      <c r="AW100" s="112">
        <v>0</v>
      </c>
      <c r="AX100" s="112">
        <v>0</v>
      </c>
      <c r="AY100" s="112">
        <v>0.8</v>
      </c>
      <c r="AZ100" s="112">
        <v>0.8</v>
      </c>
      <c r="BA100" s="112">
        <v>0.8</v>
      </c>
      <c r="BB100" s="112">
        <v>0</v>
      </c>
      <c r="BC100" s="112">
        <v>0.8</v>
      </c>
      <c r="BD100" s="112">
        <v>0.8</v>
      </c>
      <c r="BE100" s="112">
        <v>0.8</v>
      </c>
      <c r="BF100" s="112">
        <v>0.8</v>
      </c>
      <c r="BG100" s="112">
        <v>0</v>
      </c>
      <c r="BH100" s="112">
        <v>0.8</v>
      </c>
      <c r="BI100" s="112">
        <v>0.8</v>
      </c>
      <c r="BJ100" s="112">
        <v>0.8</v>
      </c>
      <c r="BK100" s="112">
        <v>0.8</v>
      </c>
      <c r="BL100" s="112">
        <v>0.8</v>
      </c>
      <c r="BM100" s="112">
        <v>0.8</v>
      </c>
      <c r="BN100" s="112">
        <v>0.8</v>
      </c>
      <c r="BO100" s="112">
        <v>0</v>
      </c>
      <c r="BP100" s="112">
        <v>0.8</v>
      </c>
      <c r="BQ100" s="112">
        <v>0</v>
      </c>
      <c r="BR100" s="112">
        <v>0.8</v>
      </c>
      <c r="BS100" s="112">
        <v>0</v>
      </c>
      <c r="BT100" s="112">
        <v>0.8</v>
      </c>
      <c r="BU100" s="112">
        <v>0</v>
      </c>
      <c r="BV100" s="112">
        <v>0.8</v>
      </c>
      <c r="BW100" s="112">
        <v>0</v>
      </c>
      <c r="BX100" s="112">
        <v>0</v>
      </c>
      <c r="BY100" s="112">
        <v>0</v>
      </c>
      <c r="BZ100" s="112">
        <v>0</v>
      </c>
      <c r="CA100" s="112">
        <v>0</v>
      </c>
      <c r="CB100" s="112">
        <v>0</v>
      </c>
      <c r="CC100" s="112">
        <v>0</v>
      </c>
      <c r="CD100" s="112">
        <v>0.8</v>
      </c>
      <c r="CE100" s="112">
        <v>0</v>
      </c>
      <c r="CF100" s="112">
        <v>0</v>
      </c>
      <c r="CG100" s="112">
        <v>0.8</v>
      </c>
      <c r="CH100" s="112">
        <v>0</v>
      </c>
      <c r="CI100" s="112">
        <v>0</v>
      </c>
      <c r="CJ100" s="112">
        <v>0</v>
      </c>
      <c r="CK100" s="112">
        <v>0</v>
      </c>
      <c r="CL100" s="112">
        <v>0</v>
      </c>
      <c r="CM100" s="112">
        <v>0</v>
      </c>
      <c r="CN100" s="112">
        <v>0</v>
      </c>
      <c r="CO100" s="112">
        <v>0</v>
      </c>
      <c r="CP100" s="112">
        <v>0</v>
      </c>
      <c r="CQ100" s="112">
        <v>0</v>
      </c>
      <c r="CR100" s="112">
        <v>0</v>
      </c>
      <c r="CS100" s="112">
        <v>0</v>
      </c>
      <c r="CT100" s="112">
        <v>0</v>
      </c>
      <c r="CU100" s="112">
        <v>0</v>
      </c>
      <c r="CV100" s="112">
        <v>0</v>
      </c>
    </row>
    <row r="101" spans="1:100" x14ac:dyDescent="0.15">
      <c r="A101" s="189" t="s">
        <v>299</v>
      </c>
      <c r="B101" s="112">
        <v>0.8</v>
      </c>
      <c r="C101" s="112">
        <v>0</v>
      </c>
      <c r="D101" s="112">
        <v>0.8</v>
      </c>
      <c r="E101" s="112">
        <v>0</v>
      </c>
      <c r="F101" s="112">
        <v>0.8</v>
      </c>
      <c r="G101" s="112">
        <v>0</v>
      </c>
      <c r="H101" s="112">
        <v>0</v>
      </c>
      <c r="I101" s="112">
        <v>0</v>
      </c>
      <c r="J101" s="112">
        <v>0</v>
      </c>
      <c r="K101" s="112">
        <v>0</v>
      </c>
      <c r="L101" s="112">
        <v>0</v>
      </c>
      <c r="M101" s="112">
        <v>0</v>
      </c>
      <c r="N101" s="112">
        <v>0</v>
      </c>
      <c r="O101" s="112">
        <v>0</v>
      </c>
      <c r="P101" s="112">
        <v>0</v>
      </c>
      <c r="Q101" s="112">
        <v>0</v>
      </c>
      <c r="R101" s="112">
        <v>0</v>
      </c>
      <c r="S101" s="112">
        <v>0</v>
      </c>
      <c r="T101" s="112">
        <v>0</v>
      </c>
      <c r="U101" s="112">
        <v>0</v>
      </c>
      <c r="V101" s="112">
        <v>0</v>
      </c>
      <c r="W101" s="112">
        <v>0</v>
      </c>
      <c r="X101" s="112">
        <v>0</v>
      </c>
      <c r="Y101" s="112">
        <v>0</v>
      </c>
      <c r="Z101" s="112">
        <v>0</v>
      </c>
      <c r="AA101" s="112">
        <v>0</v>
      </c>
      <c r="AB101" s="112">
        <v>0</v>
      </c>
      <c r="AC101" s="112">
        <v>0</v>
      </c>
      <c r="AD101" s="112">
        <v>0</v>
      </c>
      <c r="AE101" s="112">
        <v>0</v>
      </c>
      <c r="AF101" s="112">
        <v>0</v>
      </c>
      <c r="AG101" s="112">
        <v>0</v>
      </c>
      <c r="AH101" s="112">
        <v>0</v>
      </c>
      <c r="AI101" s="112">
        <v>0</v>
      </c>
      <c r="AJ101" s="112">
        <v>0</v>
      </c>
      <c r="AK101" s="112">
        <v>0</v>
      </c>
      <c r="AL101" s="112">
        <v>0</v>
      </c>
      <c r="AM101" s="112">
        <v>0</v>
      </c>
      <c r="AN101" s="112">
        <v>0</v>
      </c>
      <c r="AO101" s="112">
        <v>0</v>
      </c>
      <c r="AP101" s="112">
        <v>0.8</v>
      </c>
      <c r="AQ101" s="112">
        <v>0</v>
      </c>
      <c r="AR101" s="112">
        <v>0</v>
      </c>
      <c r="AS101" s="112">
        <v>0</v>
      </c>
      <c r="AT101" s="112">
        <v>0.8</v>
      </c>
      <c r="AU101" s="112">
        <v>0</v>
      </c>
      <c r="AV101" s="112">
        <v>0</v>
      </c>
      <c r="AW101" s="112">
        <v>0</v>
      </c>
      <c r="AX101" s="112">
        <v>0</v>
      </c>
      <c r="AY101" s="112">
        <v>0.8</v>
      </c>
      <c r="AZ101" s="112">
        <v>0.8</v>
      </c>
      <c r="BA101" s="112">
        <v>0.8</v>
      </c>
      <c r="BB101" s="112">
        <v>0</v>
      </c>
      <c r="BC101" s="112">
        <v>0.8</v>
      </c>
      <c r="BD101" s="112">
        <v>0.8</v>
      </c>
      <c r="BE101" s="112">
        <v>0.8</v>
      </c>
      <c r="BF101" s="112">
        <v>0.8</v>
      </c>
      <c r="BG101" s="112">
        <v>0.8</v>
      </c>
      <c r="BH101" s="112">
        <v>0</v>
      </c>
      <c r="BI101" s="112">
        <v>0</v>
      </c>
      <c r="BJ101" s="112">
        <v>0.8</v>
      </c>
      <c r="BK101" s="112">
        <v>0</v>
      </c>
      <c r="BL101" s="112">
        <v>0</v>
      </c>
      <c r="BM101" s="112">
        <v>0.8</v>
      </c>
      <c r="BN101" s="112">
        <v>0</v>
      </c>
      <c r="BO101" s="112">
        <v>0</v>
      </c>
      <c r="BP101" s="112">
        <v>0.8</v>
      </c>
      <c r="BQ101" s="112">
        <v>0</v>
      </c>
      <c r="BR101" s="112">
        <v>0</v>
      </c>
      <c r="BS101" s="112">
        <v>0</v>
      </c>
      <c r="BT101" s="112">
        <v>0</v>
      </c>
      <c r="BU101" s="112">
        <v>0</v>
      </c>
      <c r="BV101" s="112">
        <v>0</v>
      </c>
      <c r="BW101" s="112">
        <v>0</v>
      </c>
      <c r="BX101" s="112">
        <v>0</v>
      </c>
      <c r="BY101" s="112">
        <v>0</v>
      </c>
      <c r="BZ101" s="112">
        <v>0</v>
      </c>
      <c r="CA101" s="112">
        <v>0</v>
      </c>
      <c r="CB101" s="112">
        <v>0</v>
      </c>
      <c r="CC101" s="112">
        <v>0</v>
      </c>
      <c r="CD101" s="112">
        <v>0</v>
      </c>
      <c r="CE101" s="112">
        <v>0</v>
      </c>
      <c r="CF101" s="112">
        <v>0</v>
      </c>
      <c r="CG101" s="112">
        <v>0</v>
      </c>
      <c r="CH101" s="112">
        <v>0.8</v>
      </c>
      <c r="CI101" s="112">
        <v>0</v>
      </c>
      <c r="CJ101" s="112">
        <v>0</v>
      </c>
      <c r="CK101" s="112">
        <v>0</v>
      </c>
      <c r="CL101" s="112">
        <v>0</v>
      </c>
      <c r="CM101" s="112">
        <v>0</v>
      </c>
      <c r="CN101" s="112">
        <v>0</v>
      </c>
      <c r="CO101" s="112">
        <v>0</v>
      </c>
      <c r="CP101" s="112">
        <v>0</v>
      </c>
      <c r="CQ101" s="112">
        <v>0</v>
      </c>
      <c r="CR101" s="112">
        <v>0</v>
      </c>
      <c r="CS101" s="112">
        <v>0</v>
      </c>
      <c r="CT101" s="112">
        <v>0</v>
      </c>
      <c r="CU101" s="112">
        <v>0</v>
      </c>
      <c r="CV101" s="112">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indexed="51"/>
  </sheetPr>
  <dimension ref="A1:CV101"/>
  <sheetViews>
    <sheetView workbookViewId="0">
      <selection activeCell="A3" sqref="A3"/>
    </sheetView>
  </sheetViews>
  <sheetFormatPr baseColWidth="10" defaultRowHeight="13" x14ac:dyDescent="0.15"/>
  <cols>
    <col min="1" max="1" width="44.33203125" style="112" bestFit="1" customWidth="1"/>
    <col min="2" max="100" width="2.33203125" style="112" customWidth="1"/>
    <col min="101" max="16384" width="10.83203125" style="112"/>
  </cols>
  <sheetData>
    <row r="1" spans="1:100" x14ac:dyDescent="0.15">
      <c r="A1" s="63" t="s">
        <v>139</v>
      </c>
      <c r="B1" s="192" t="s">
        <v>192</v>
      </c>
      <c r="C1" s="192" t="s">
        <v>193</v>
      </c>
      <c r="D1" s="192" t="s">
        <v>194</v>
      </c>
      <c r="E1" s="192" t="s">
        <v>195</v>
      </c>
      <c r="F1" s="192" t="s">
        <v>196</v>
      </c>
      <c r="G1" s="192" t="s">
        <v>197</v>
      </c>
      <c r="H1" s="192" t="s">
        <v>198</v>
      </c>
      <c r="I1" s="192" t="s">
        <v>199</v>
      </c>
      <c r="J1" s="192" t="s">
        <v>200</v>
      </c>
      <c r="K1" s="192" t="s">
        <v>201</v>
      </c>
      <c r="L1" s="192" t="s">
        <v>202</v>
      </c>
      <c r="M1" s="192" t="s">
        <v>203</v>
      </c>
      <c r="N1" s="192" t="s">
        <v>204</v>
      </c>
      <c r="O1" s="192" t="s">
        <v>205</v>
      </c>
      <c r="P1" s="192" t="s">
        <v>206</v>
      </c>
      <c r="Q1" s="192" t="s">
        <v>207</v>
      </c>
      <c r="R1" s="192" t="s">
        <v>208</v>
      </c>
      <c r="S1" s="192" t="s">
        <v>209</v>
      </c>
      <c r="T1" s="192" t="s">
        <v>210</v>
      </c>
      <c r="U1" s="192" t="s">
        <v>211</v>
      </c>
      <c r="V1" s="192" t="s">
        <v>212</v>
      </c>
      <c r="W1" s="192" t="s">
        <v>213</v>
      </c>
      <c r="X1" s="192" t="s">
        <v>214</v>
      </c>
      <c r="Y1" s="192" t="s">
        <v>215</v>
      </c>
      <c r="Z1" s="192" t="s">
        <v>216</v>
      </c>
      <c r="AA1" s="192" t="s">
        <v>217</v>
      </c>
      <c r="AB1" s="192" t="s">
        <v>218</v>
      </c>
      <c r="AC1" s="192" t="s">
        <v>219</v>
      </c>
      <c r="AD1" s="192" t="s">
        <v>220</v>
      </c>
      <c r="AE1" s="192" t="s">
        <v>221</v>
      </c>
      <c r="AF1" s="192" t="s">
        <v>222</v>
      </c>
      <c r="AG1" s="192" t="s">
        <v>223</v>
      </c>
      <c r="AH1" s="192" t="s">
        <v>224</v>
      </c>
      <c r="AI1" s="192" t="s">
        <v>225</v>
      </c>
      <c r="AJ1" s="192" t="s">
        <v>226</v>
      </c>
      <c r="AK1" s="192" t="s">
        <v>227</v>
      </c>
      <c r="AL1" s="192" t="s">
        <v>228</v>
      </c>
      <c r="AM1" s="192" t="s">
        <v>229</v>
      </c>
      <c r="AN1" s="192" t="s">
        <v>230</v>
      </c>
      <c r="AO1" s="192" t="s">
        <v>231</v>
      </c>
      <c r="AP1" s="192" t="s">
        <v>232</v>
      </c>
      <c r="AQ1" s="192" t="s">
        <v>233</v>
      </c>
      <c r="AR1" s="192" t="s">
        <v>234</v>
      </c>
      <c r="AS1" s="192" t="s">
        <v>235</v>
      </c>
      <c r="AT1" s="192" t="s">
        <v>236</v>
      </c>
      <c r="AU1" s="192" t="s">
        <v>237</v>
      </c>
      <c r="AV1" s="192" t="s">
        <v>238</v>
      </c>
      <c r="AW1" s="192" t="s">
        <v>239</v>
      </c>
      <c r="AX1" s="192" t="s">
        <v>240</v>
      </c>
      <c r="AY1" s="192" t="s">
        <v>241</v>
      </c>
      <c r="AZ1" s="192" t="s">
        <v>242</v>
      </c>
      <c r="BA1" s="192" t="s">
        <v>243</v>
      </c>
      <c r="BB1" s="192" t="s">
        <v>244</v>
      </c>
      <c r="BC1" s="192" t="s">
        <v>245</v>
      </c>
      <c r="BD1" s="192" t="s">
        <v>246</v>
      </c>
      <c r="BE1" s="192" t="s">
        <v>247</v>
      </c>
      <c r="BF1" s="192" t="s">
        <v>248</v>
      </c>
      <c r="BG1" s="192" t="s">
        <v>249</v>
      </c>
      <c r="BH1" s="192" t="s">
        <v>250</v>
      </c>
      <c r="BI1" s="192" t="s">
        <v>251</v>
      </c>
      <c r="BJ1" s="192" t="s">
        <v>252</v>
      </c>
      <c r="BK1" s="192" t="s">
        <v>253</v>
      </c>
      <c r="BL1" s="192" t="s">
        <v>254</v>
      </c>
      <c r="BM1" s="192" t="s">
        <v>255</v>
      </c>
      <c r="BN1" s="192" t="s">
        <v>256</v>
      </c>
      <c r="BO1" s="192" t="s">
        <v>257</v>
      </c>
      <c r="BP1" s="192" t="s">
        <v>258</v>
      </c>
      <c r="BQ1" s="192" t="s">
        <v>259</v>
      </c>
      <c r="BR1" s="192" t="s">
        <v>260</v>
      </c>
      <c r="BS1" s="192" t="s">
        <v>261</v>
      </c>
      <c r="BT1" s="192" t="s">
        <v>262</v>
      </c>
      <c r="BU1" s="192" t="s">
        <v>263</v>
      </c>
      <c r="BV1" s="192" t="s">
        <v>264</v>
      </c>
      <c r="BW1" s="192" t="s">
        <v>265</v>
      </c>
      <c r="BX1" s="192" t="s">
        <v>266</v>
      </c>
      <c r="BY1" s="192" t="s">
        <v>267</v>
      </c>
      <c r="BZ1" s="192" t="s">
        <v>268</v>
      </c>
      <c r="CA1" s="192" t="s">
        <v>269</v>
      </c>
      <c r="CB1" s="192" t="s">
        <v>270</v>
      </c>
      <c r="CC1" s="192" t="s">
        <v>271</v>
      </c>
      <c r="CD1" s="192" t="s">
        <v>272</v>
      </c>
      <c r="CE1" s="192" t="s">
        <v>273</v>
      </c>
      <c r="CF1" s="192" t="s">
        <v>274</v>
      </c>
      <c r="CG1" s="192" t="s">
        <v>275</v>
      </c>
      <c r="CH1" s="192" t="s">
        <v>276</v>
      </c>
      <c r="CI1" s="192" t="s">
        <v>277</v>
      </c>
      <c r="CJ1" s="192" t="s">
        <v>278</v>
      </c>
      <c r="CK1" s="192" t="s">
        <v>279</v>
      </c>
      <c r="CL1" s="192" t="s">
        <v>280</v>
      </c>
      <c r="CM1" s="192" t="s">
        <v>281</v>
      </c>
      <c r="CN1" s="192" t="s">
        <v>282</v>
      </c>
      <c r="CO1" s="192" t="s">
        <v>283</v>
      </c>
      <c r="CP1" s="192" t="s">
        <v>284</v>
      </c>
      <c r="CQ1" s="192" t="s">
        <v>285</v>
      </c>
      <c r="CR1" s="192" t="s">
        <v>286</v>
      </c>
      <c r="CS1" s="192" t="s">
        <v>287</v>
      </c>
      <c r="CT1" s="192" t="s">
        <v>288</v>
      </c>
      <c r="CU1" s="192" t="s">
        <v>289</v>
      </c>
      <c r="CV1" s="192" t="s">
        <v>290</v>
      </c>
    </row>
    <row r="2" spans="1:100" customFormat="1" x14ac:dyDescent="0.15">
      <c r="A2" s="191" t="s">
        <v>192</v>
      </c>
      <c r="B2" s="112">
        <v>0</v>
      </c>
      <c r="C2" s="112">
        <v>0</v>
      </c>
      <c r="D2" s="112">
        <v>0</v>
      </c>
      <c r="E2" s="112">
        <v>0</v>
      </c>
      <c r="F2" s="112">
        <v>0</v>
      </c>
      <c r="G2" s="112">
        <v>0</v>
      </c>
      <c r="H2" s="112">
        <v>0</v>
      </c>
      <c r="I2" s="112">
        <v>0</v>
      </c>
      <c r="J2" s="112">
        <v>0</v>
      </c>
      <c r="K2" s="112">
        <v>0</v>
      </c>
      <c r="L2" s="112">
        <v>0</v>
      </c>
      <c r="M2" s="112">
        <v>0</v>
      </c>
      <c r="N2" s="112">
        <v>0</v>
      </c>
      <c r="O2" s="112">
        <v>0</v>
      </c>
      <c r="P2" s="112">
        <v>0</v>
      </c>
      <c r="Q2" s="112">
        <v>0</v>
      </c>
      <c r="R2" s="112">
        <v>0</v>
      </c>
      <c r="S2" s="112">
        <v>0</v>
      </c>
      <c r="T2" s="112">
        <v>0</v>
      </c>
      <c r="U2" s="112">
        <v>0</v>
      </c>
      <c r="V2" s="112">
        <v>0</v>
      </c>
      <c r="W2" s="112">
        <v>0</v>
      </c>
      <c r="X2" s="112">
        <v>0</v>
      </c>
      <c r="Y2" s="112">
        <v>0</v>
      </c>
      <c r="Z2" s="112">
        <v>0</v>
      </c>
      <c r="AA2" s="112">
        <v>0</v>
      </c>
      <c r="AB2" s="112">
        <v>0</v>
      </c>
      <c r="AC2" s="112">
        <v>0</v>
      </c>
      <c r="AD2" s="112">
        <v>0</v>
      </c>
      <c r="AE2" s="112">
        <v>0</v>
      </c>
      <c r="AF2" s="112">
        <v>0</v>
      </c>
      <c r="AG2" s="112">
        <v>0</v>
      </c>
      <c r="AH2" s="112">
        <v>0</v>
      </c>
      <c r="AI2" s="112">
        <v>0</v>
      </c>
      <c r="AJ2" s="112">
        <v>0</v>
      </c>
      <c r="AK2" s="112">
        <v>0</v>
      </c>
      <c r="AL2" s="112">
        <v>0</v>
      </c>
      <c r="AM2" s="112">
        <v>0</v>
      </c>
      <c r="AN2" s="112">
        <v>0</v>
      </c>
      <c r="AO2" s="112">
        <v>0</v>
      </c>
      <c r="AP2" s="112">
        <v>0</v>
      </c>
      <c r="AQ2" s="112">
        <v>0</v>
      </c>
      <c r="AR2" s="112">
        <v>0</v>
      </c>
      <c r="AS2" s="112">
        <v>0</v>
      </c>
      <c r="AT2" s="112">
        <v>0</v>
      </c>
      <c r="AU2" s="112">
        <v>0</v>
      </c>
      <c r="AV2" s="112">
        <v>0</v>
      </c>
      <c r="AW2" s="112">
        <v>0</v>
      </c>
      <c r="AX2" s="112">
        <v>0</v>
      </c>
      <c r="AY2" s="112">
        <v>0</v>
      </c>
      <c r="AZ2" s="112">
        <v>0</v>
      </c>
      <c r="BA2" s="112">
        <v>0</v>
      </c>
      <c r="BB2" s="112">
        <v>0</v>
      </c>
      <c r="BC2" s="112">
        <v>0</v>
      </c>
      <c r="BD2" s="112">
        <v>0</v>
      </c>
      <c r="BE2" s="112">
        <v>0</v>
      </c>
      <c r="BF2" s="112">
        <v>0</v>
      </c>
      <c r="BG2" s="112">
        <v>0</v>
      </c>
      <c r="BH2" s="112">
        <v>0</v>
      </c>
      <c r="BI2" s="112">
        <v>0</v>
      </c>
      <c r="BJ2" s="112">
        <v>0</v>
      </c>
      <c r="BK2" s="112">
        <v>0</v>
      </c>
      <c r="BL2" s="112">
        <v>0</v>
      </c>
      <c r="BM2" s="112">
        <v>0</v>
      </c>
      <c r="BN2" s="112">
        <v>0</v>
      </c>
      <c r="BO2" s="112">
        <v>0</v>
      </c>
      <c r="BP2" s="112">
        <v>0</v>
      </c>
      <c r="BQ2" s="112">
        <v>0</v>
      </c>
      <c r="BR2" s="112">
        <v>0</v>
      </c>
      <c r="BS2" s="112">
        <v>0</v>
      </c>
      <c r="BT2" s="112">
        <v>0</v>
      </c>
      <c r="BU2" s="112">
        <v>0</v>
      </c>
      <c r="BV2" s="112">
        <v>0</v>
      </c>
      <c r="BW2" s="112">
        <v>0</v>
      </c>
      <c r="BX2" s="112">
        <v>0</v>
      </c>
      <c r="BY2" s="112">
        <v>0</v>
      </c>
      <c r="BZ2" s="112">
        <v>0</v>
      </c>
      <c r="CA2" s="112">
        <v>0</v>
      </c>
      <c r="CB2" s="112">
        <v>0</v>
      </c>
      <c r="CC2" s="112">
        <v>0</v>
      </c>
      <c r="CD2" s="112">
        <v>0</v>
      </c>
      <c r="CE2" s="112">
        <v>0</v>
      </c>
      <c r="CF2" s="112">
        <v>0</v>
      </c>
      <c r="CG2" s="112">
        <v>0</v>
      </c>
      <c r="CH2" s="112">
        <v>0</v>
      </c>
      <c r="CI2" s="112">
        <v>0</v>
      </c>
      <c r="CJ2" s="112">
        <v>0</v>
      </c>
      <c r="CK2" s="112">
        <v>0</v>
      </c>
      <c r="CL2" s="112">
        <v>0</v>
      </c>
      <c r="CM2" s="112">
        <v>0</v>
      </c>
      <c r="CN2" s="112">
        <v>0</v>
      </c>
      <c r="CO2" s="112">
        <v>0</v>
      </c>
      <c r="CP2" s="112">
        <v>0</v>
      </c>
      <c r="CQ2" s="112">
        <v>0</v>
      </c>
      <c r="CR2" s="112">
        <v>0</v>
      </c>
      <c r="CS2" s="112">
        <v>0</v>
      </c>
      <c r="CT2" s="112">
        <v>0</v>
      </c>
      <c r="CU2" s="112">
        <v>0</v>
      </c>
      <c r="CV2" s="112">
        <v>0</v>
      </c>
    </row>
    <row r="3" spans="1:100" customFormat="1" x14ac:dyDescent="0.15">
      <c r="A3" s="191" t="s">
        <v>193</v>
      </c>
      <c r="B3" s="112">
        <v>0</v>
      </c>
      <c r="C3" s="112">
        <v>0</v>
      </c>
      <c r="D3" s="112">
        <v>0</v>
      </c>
      <c r="E3" s="112">
        <v>0</v>
      </c>
      <c r="F3" s="112">
        <v>0</v>
      </c>
      <c r="G3" s="112">
        <v>0</v>
      </c>
      <c r="H3" s="112">
        <v>0</v>
      </c>
      <c r="I3" s="112">
        <v>0</v>
      </c>
      <c r="J3" s="112">
        <v>0</v>
      </c>
      <c r="K3" s="112">
        <v>0</v>
      </c>
      <c r="L3" s="112">
        <v>0</v>
      </c>
      <c r="M3" s="112">
        <v>0</v>
      </c>
      <c r="N3" s="112">
        <v>0</v>
      </c>
      <c r="O3" s="112">
        <v>0</v>
      </c>
      <c r="P3" s="112">
        <v>0</v>
      </c>
      <c r="Q3" s="112">
        <v>0</v>
      </c>
      <c r="R3" s="112">
        <v>0</v>
      </c>
      <c r="S3" s="112">
        <v>0</v>
      </c>
      <c r="T3" s="112">
        <v>0</v>
      </c>
      <c r="U3" s="112">
        <v>0</v>
      </c>
      <c r="V3" s="112">
        <v>0</v>
      </c>
      <c r="W3" s="112">
        <v>0</v>
      </c>
      <c r="X3" s="112">
        <v>0</v>
      </c>
      <c r="Y3" s="112">
        <v>0</v>
      </c>
      <c r="Z3" s="112">
        <v>0</v>
      </c>
      <c r="AA3" s="112">
        <v>0</v>
      </c>
      <c r="AB3" s="112">
        <v>0</v>
      </c>
      <c r="AC3" s="112">
        <v>0</v>
      </c>
      <c r="AD3" s="112">
        <v>0</v>
      </c>
      <c r="AE3" s="112">
        <v>0</v>
      </c>
      <c r="AF3" s="112">
        <v>0</v>
      </c>
      <c r="AG3" s="112">
        <v>0</v>
      </c>
      <c r="AH3" s="112">
        <v>0</v>
      </c>
      <c r="AI3" s="112">
        <v>0</v>
      </c>
      <c r="AJ3" s="112">
        <v>0</v>
      </c>
      <c r="AK3" s="112">
        <v>0</v>
      </c>
      <c r="AL3" s="112">
        <v>0</v>
      </c>
      <c r="AM3" s="112">
        <v>0</v>
      </c>
      <c r="AN3" s="112">
        <v>0</v>
      </c>
      <c r="AO3" s="112">
        <v>0</v>
      </c>
      <c r="AP3" s="112">
        <v>0</v>
      </c>
      <c r="AQ3" s="112">
        <v>0</v>
      </c>
      <c r="AR3" s="112">
        <v>0</v>
      </c>
      <c r="AS3" s="112">
        <v>0</v>
      </c>
      <c r="AT3" s="112">
        <v>0</v>
      </c>
      <c r="AU3" s="112">
        <v>0</v>
      </c>
      <c r="AV3" s="112">
        <v>0</v>
      </c>
      <c r="AW3" s="112">
        <v>0</v>
      </c>
      <c r="AX3" s="112">
        <v>0</v>
      </c>
      <c r="AY3" s="112">
        <v>0</v>
      </c>
      <c r="AZ3" s="112">
        <v>0</v>
      </c>
      <c r="BA3" s="112">
        <v>0</v>
      </c>
      <c r="BB3" s="112">
        <v>0</v>
      </c>
      <c r="BC3" s="112">
        <v>0</v>
      </c>
      <c r="BD3" s="112">
        <v>0</v>
      </c>
      <c r="BE3" s="112">
        <v>0</v>
      </c>
      <c r="BF3" s="112">
        <v>0</v>
      </c>
      <c r="BG3" s="112">
        <v>0</v>
      </c>
      <c r="BH3" s="112">
        <v>0</v>
      </c>
      <c r="BI3" s="112">
        <v>0</v>
      </c>
      <c r="BJ3" s="112">
        <v>0</v>
      </c>
      <c r="BK3" s="112">
        <v>0</v>
      </c>
      <c r="BL3" s="112">
        <v>0</v>
      </c>
      <c r="BM3" s="112">
        <v>0</v>
      </c>
      <c r="BN3" s="112">
        <v>0</v>
      </c>
      <c r="BO3" s="112">
        <v>0</v>
      </c>
      <c r="BP3" s="112">
        <v>0</v>
      </c>
      <c r="BQ3" s="112">
        <v>0</v>
      </c>
      <c r="BR3" s="112">
        <v>0</v>
      </c>
      <c r="BS3" s="112">
        <v>0</v>
      </c>
      <c r="BT3" s="112">
        <v>0</v>
      </c>
      <c r="BU3" s="112">
        <v>0</v>
      </c>
      <c r="BV3" s="112">
        <v>0</v>
      </c>
      <c r="BW3" s="112">
        <v>0</v>
      </c>
      <c r="BX3" s="112">
        <v>0</v>
      </c>
      <c r="BY3" s="112">
        <v>0</v>
      </c>
      <c r="BZ3" s="112">
        <v>0</v>
      </c>
      <c r="CA3" s="112">
        <v>0</v>
      </c>
      <c r="CB3" s="112">
        <v>0</v>
      </c>
      <c r="CC3" s="112">
        <v>0</v>
      </c>
      <c r="CD3" s="112">
        <v>0</v>
      </c>
      <c r="CE3" s="112">
        <v>0</v>
      </c>
      <c r="CF3" s="112">
        <v>0</v>
      </c>
      <c r="CG3" s="112">
        <v>0</v>
      </c>
      <c r="CH3" s="112">
        <v>0</v>
      </c>
      <c r="CI3" s="112">
        <v>0</v>
      </c>
      <c r="CJ3" s="112">
        <v>0</v>
      </c>
      <c r="CK3" s="112">
        <v>0</v>
      </c>
      <c r="CL3" s="112">
        <v>0</v>
      </c>
      <c r="CM3" s="112">
        <v>0</v>
      </c>
      <c r="CN3" s="112">
        <v>0</v>
      </c>
      <c r="CO3" s="112">
        <v>0</v>
      </c>
      <c r="CP3" s="112">
        <v>0</v>
      </c>
      <c r="CQ3" s="112">
        <v>0</v>
      </c>
      <c r="CR3" s="112">
        <v>0</v>
      </c>
      <c r="CS3" s="112">
        <v>0</v>
      </c>
      <c r="CT3" s="112">
        <v>0</v>
      </c>
      <c r="CU3" s="112">
        <v>0</v>
      </c>
      <c r="CV3" s="112">
        <v>0</v>
      </c>
    </row>
    <row r="4" spans="1:100" customFormat="1" x14ac:dyDescent="0.15">
      <c r="A4" s="191" t="s">
        <v>194</v>
      </c>
      <c r="B4" s="112">
        <v>0</v>
      </c>
      <c r="C4" s="112">
        <v>0</v>
      </c>
      <c r="D4" s="112">
        <v>0</v>
      </c>
      <c r="E4" s="112">
        <v>0</v>
      </c>
      <c r="F4" s="112">
        <v>0</v>
      </c>
      <c r="G4" s="112">
        <v>0</v>
      </c>
      <c r="H4" s="112">
        <v>0</v>
      </c>
      <c r="I4" s="112">
        <v>0</v>
      </c>
      <c r="J4" s="112">
        <v>0</v>
      </c>
      <c r="K4" s="112">
        <v>0</v>
      </c>
      <c r="L4" s="112">
        <v>0</v>
      </c>
      <c r="M4" s="112">
        <v>0</v>
      </c>
      <c r="N4" s="112">
        <v>0</v>
      </c>
      <c r="O4" s="112">
        <v>0</v>
      </c>
      <c r="P4" s="112">
        <v>0</v>
      </c>
      <c r="Q4" s="112">
        <v>0</v>
      </c>
      <c r="R4" s="112">
        <v>0</v>
      </c>
      <c r="S4" s="112">
        <v>0</v>
      </c>
      <c r="T4" s="112">
        <v>0</v>
      </c>
      <c r="U4" s="112">
        <v>0</v>
      </c>
      <c r="V4" s="112">
        <v>0</v>
      </c>
      <c r="W4" s="112">
        <v>0</v>
      </c>
      <c r="X4" s="112">
        <v>0</v>
      </c>
      <c r="Y4" s="112">
        <v>0</v>
      </c>
      <c r="Z4" s="112">
        <v>0</v>
      </c>
      <c r="AA4" s="112">
        <v>0</v>
      </c>
      <c r="AB4" s="112">
        <v>0</v>
      </c>
      <c r="AC4" s="112">
        <v>0</v>
      </c>
      <c r="AD4" s="112">
        <v>0</v>
      </c>
      <c r="AE4" s="112">
        <v>0</v>
      </c>
      <c r="AF4" s="112">
        <v>0</v>
      </c>
      <c r="AG4" s="112">
        <v>0</v>
      </c>
      <c r="AH4" s="112">
        <v>0</v>
      </c>
      <c r="AI4" s="112">
        <v>0</v>
      </c>
      <c r="AJ4" s="112">
        <v>0</v>
      </c>
      <c r="AK4" s="112">
        <v>0</v>
      </c>
      <c r="AL4" s="112">
        <v>0</v>
      </c>
      <c r="AM4" s="112">
        <v>0</v>
      </c>
      <c r="AN4" s="112">
        <v>0</v>
      </c>
      <c r="AO4" s="112">
        <v>0</v>
      </c>
      <c r="AP4" s="112">
        <v>0</v>
      </c>
      <c r="AQ4" s="112">
        <v>0</v>
      </c>
      <c r="AR4" s="112">
        <v>0</v>
      </c>
      <c r="AS4" s="112">
        <v>0</v>
      </c>
      <c r="AT4" s="112">
        <v>0</v>
      </c>
      <c r="AU4" s="112">
        <v>0</v>
      </c>
      <c r="AV4" s="112">
        <v>0</v>
      </c>
      <c r="AW4" s="112">
        <v>0</v>
      </c>
      <c r="AX4" s="112">
        <v>0</v>
      </c>
      <c r="AY4" s="112">
        <v>0</v>
      </c>
      <c r="AZ4" s="112">
        <v>0</v>
      </c>
      <c r="BA4" s="112">
        <v>0</v>
      </c>
      <c r="BB4" s="112">
        <v>0</v>
      </c>
      <c r="BC4" s="112">
        <v>0</v>
      </c>
      <c r="BD4" s="112">
        <v>0</v>
      </c>
      <c r="BE4" s="112">
        <v>0</v>
      </c>
      <c r="BF4" s="112">
        <v>0</v>
      </c>
      <c r="BG4" s="112">
        <v>0</v>
      </c>
      <c r="BH4" s="112">
        <v>0</v>
      </c>
      <c r="BI4" s="112">
        <v>0</v>
      </c>
      <c r="BJ4" s="112">
        <v>0</v>
      </c>
      <c r="BK4" s="112">
        <v>0</v>
      </c>
      <c r="BL4" s="112">
        <v>0</v>
      </c>
      <c r="BM4" s="112">
        <v>0</v>
      </c>
      <c r="BN4" s="112">
        <v>0</v>
      </c>
      <c r="BO4" s="112">
        <v>0</v>
      </c>
      <c r="BP4" s="112">
        <v>0</v>
      </c>
      <c r="BQ4" s="112">
        <v>0</v>
      </c>
      <c r="BR4" s="112">
        <v>0</v>
      </c>
      <c r="BS4" s="112">
        <v>0</v>
      </c>
      <c r="BT4" s="112">
        <v>0</v>
      </c>
      <c r="BU4" s="112">
        <v>0</v>
      </c>
      <c r="BV4" s="112">
        <v>0</v>
      </c>
      <c r="BW4" s="112">
        <v>0</v>
      </c>
      <c r="BX4" s="112">
        <v>0</v>
      </c>
      <c r="BY4" s="112">
        <v>0</v>
      </c>
      <c r="BZ4" s="112">
        <v>0</v>
      </c>
      <c r="CA4" s="112">
        <v>0</v>
      </c>
      <c r="CB4" s="112">
        <v>0</v>
      </c>
      <c r="CC4" s="112">
        <v>0</v>
      </c>
      <c r="CD4" s="112">
        <v>0</v>
      </c>
      <c r="CE4" s="112">
        <v>0</v>
      </c>
      <c r="CF4" s="112">
        <v>0</v>
      </c>
      <c r="CG4" s="112">
        <v>0</v>
      </c>
      <c r="CH4" s="112">
        <v>0</v>
      </c>
      <c r="CI4" s="112">
        <v>0</v>
      </c>
      <c r="CJ4" s="112">
        <v>0</v>
      </c>
      <c r="CK4" s="112">
        <v>0</v>
      </c>
      <c r="CL4" s="112">
        <v>0</v>
      </c>
      <c r="CM4" s="112">
        <v>0</v>
      </c>
      <c r="CN4" s="112">
        <v>0</v>
      </c>
      <c r="CO4" s="112">
        <v>0</v>
      </c>
      <c r="CP4" s="112">
        <v>0</v>
      </c>
      <c r="CQ4" s="112">
        <v>0</v>
      </c>
      <c r="CR4" s="112">
        <v>0</v>
      </c>
      <c r="CS4" s="112">
        <v>0</v>
      </c>
      <c r="CT4" s="112">
        <v>0</v>
      </c>
      <c r="CU4" s="112">
        <v>0</v>
      </c>
      <c r="CV4" s="112">
        <v>0</v>
      </c>
    </row>
    <row r="5" spans="1:100" customFormat="1" x14ac:dyDescent="0.15">
      <c r="A5" s="191" t="s">
        <v>195</v>
      </c>
      <c r="B5" s="112">
        <v>0</v>
      </c>
      <c r="C5" s="112">
        <v>0</v>
      </c>
      <c r="D5" s="112">
        <v>1</v>
      </c>
      <c r="E5" s="112">
        <v>0</v>
      </c>
      <c r="F5" s="112">
        <v>0</v>
      </c>
      <c r="G5" s="112">
        <v>0</v>
      </c>
      <c r="H5" s="112">
        <v>1</v>
      </c>
      <c r="I5" s="112">
        <v>0</v>
      </c>
      <c r="J5" s="112">
        <v>0</v>
      </c>
      <c r="K5" s="112">
        <v>0</v>
      </c>
      <c r="L5" s="112">
        <v>0</v>
      </c>
      <c r="M5" s="112">
        <v>0</v>
      </c>
      <c r="N5" s="112">
        <v>0</v>
      </c>
      <c r="O5" s="112">
        <v>0</v>
      </c>
      <c r="P5" s="112">
        <v>0</v>
      </c>
      <c r="Q5" s="112">
        <v>0</v>
      </c>
      <c r="R5" s="112">
        <v>0</v>
      </c>
      <c r="S5" s="112">
        <v>0</v>
      </c>
      <c r="T5" s="112">
        <v>0</v>
      </c>
      <c r="U5" s="112">
        <v>0</v>
      </c>
      <c r="V5" s="112">
        <v>0</v>
      </c>
      <c r="W5" s="112">
        <v>0</v>
      </c>
      <c r="X5" s="112">
        <v>0</v>
      </c>
      <c r="Y5" s="112">
        <v>0</v>
      </c>
      <c r="Z5" s="112">
        <v>0</v>
      </c>
      <c r="AA5" s="112">
        <v>0</v>
      </c>
      <c r="AB5" s="112">
        <v>0</v>
      </c>
      <c r="AC5" s="112">
        <v>0</v>
      </c>
      <c r="AD5" s="112">
        <v>0</v>
      </c>
      <c r="AE5" s="112">
        <v>0</v>
      </c>
      <c r="AF5" s="112">
        <v>0</v>
      </c>
      <c r="AG5" s="112">
        <v>0</v>
      </c>
      <c r="AH5" s="112">
        <v>0</v>
      </c>
      <c r="AI5" s="112">
        <v>0</v>
      </c>
      <c r="AJ5" s="112">
        <v>0</v>
      </c>
      <c r="AK5" s="112">
        <v>0</v>
      </c>
      <c r="AL5" s="112">
        <v>0</v>
      </c>
      <c r="AM5" s="112">
        <v>0</v>
      </c>
      <c r="AN5" s="112">
        <v>0</v>
      </c>
      <c r="AO5" s="112">
        <v>0</v>
      </c>
      <c r="AP5" s="112">
        <v>0</v>
      </c>
      <c r="AQ5" s="112">
        <v>0</v>
      </c>
      <c r="AR5" s="112">
        <v>0</v>
      </c>
      <c r="AS5" s="112">
        <v>0</v>
      </c>
      <c r="AT5" s="112">
        <v>0</v>
      </c>
      <c r="AU5" s="112">
        <v>0</v>
      </c>
      <c r="AV5" s="112">
        <v>0</v>
      </c>
      <c r="AW5" s="112">
        <v>0</v>
      </c>
      <c r="AX5" s="112">
        <v>0</v>
      </c>
      <c r="AY5" s="112">
        <v>0</v>
      </c>
      <c r="AZ5" s="112">
        <v>0</v>
      </c>
      <c r="BA5" s="112">
        <v>0</v>
      </c>
      <c r="BB5" s="112">
        <v>0</v>
      </c>
      <c r="BC5" s="112">
        <v>0</v>
      </c>
      <c r="BD5" s="112">
        <v>0</v>
      </c>
      <c r="BE5" s="112">
        <v>0</v>
      </c>
      <c r="BF5" s="112">
        <v>0</v>
      </c>
      <c r="BG5" s="112">
        <v>0</v>
      </c>
      <c r="BH5" s="112">
        <v>0</v>
      </c>
      <c r="BI5" s="112">
        <v>0</v>
      </c>
      <c r="BJ5" s="112">
        <v>0</v>
      </c>
      <c r="BK5" s="112">
        <v>0</v>
      </c>
      <c r="BL5" s="112">
        <v>0</v>
      </c>
      <c r="BM5" s="112">
        <v>0</v>
      </c>
      <c r="BN5" s="112">
        <v>0</v>
      </c>
      <c r="BO5" s="112">
        <v>0</v>
      </c>
      <c r="BP5" s="112">
        <v>0</v>
      </c>
      <c r="BQ5" s="112">
        <v>0</v>
      </c>
      <c r="BR5" s="112">
        <v>0</v>
      </c>
      <c r="BS5" s="112">
        <v>0</v>
      </c>
      <c r="BT5" s="112">
        <v>0</v>
      </c>
      <c r="BU5" s="112">
        <v>0</v>
      </c>
      <c r="BV5" s="112">
        <v>0</v>
      </c>
      <c r="BW5" s="112">
        <v>0</v>
      </c>
      <c r="BX5" s="112">
        <v>0</v>
      </c>
      <c r="BY5" s="112">
        <v>0</v>
      </c>
      <c r="BZ5" s="112">
        <v>0</v>
      </c>
      <c r="CA5" s="112">
        <v>0</v>
      </c>
      <c r="CB5" s="112">
        <v>0</v>
      </c>
      <c r="CC5" s="112">
        <v>0</v>
      </c>
      <c r="CD5" s="112">
        <v>0</v>
      </c>
      <c r="CE5" s="112">
        <v>0</v>
      </c>
      <c r="CF5" s="112">
        <v>0</v>
      </c>
      <c r="CG5" s="112">
        <v>0</v>
      </c>
      <c r="CH5" s="112">
        <v>0</v>
      </c>
      <c r="CI5" s="112">
        <v>0</v>
      </c>
      <c r="CJ5" s="112">
        <v>0</v>
      </c>
      <c r="CK5" s="112">
        <v>0</v>
      </c>
      <c r="CL5" s="112">
        <v>0</v>
      </c>
      <c r="CM5" s="112">
        <v>0</v>
      </c>
      <c r="CN5" s="112">
        <v>0</v>
      </c>
      <c r="CO5" s="112">
        <v>0</v>
      </c>
      <c r="CP5" s="112">
        <v>0</v>
      </c>
      <c r="CQ5" s="112">
        <v>0</v>
      </c>
      <c r="CR5" s="112">
        <v>0</v>
      </c>
      <c r="CS5" s="112">
        <v>0</v>
      </c>
      <c r="CT5" s="112">
        <v>0</v>
      </c>
      <c r="CU5" s="112">
        <v>0</v>
      </c>
      <c r="CV5" s="112">
        <v>0</v>
      </c>
    </row>
    <row r="6" spans="1:100" customFormat="1" x14ac:dyDescent="0.15">
      <c r="A6" s="191" t="s">
        <v>196</v>
      </c>
      <c r="B6" s="112">
        <v>0</v>
      </c>
      <c r="C6" s="112">
        <v>0</v>
      </c>
      <c r="D6" s="112">
        <v>0</v>
      </c>
      <c r="E6" s="112">
        <v>0</v>
      </c>
      <c r="F6" s="112">
        <v>0</v>
      </c>
      <c r="G6" s="112">
        <v>0</v>
      </c>
      <c r="H6" s="112">
        <v>0</v>
      </c>
      <c r="I6" s="112">
        <v>0</v>
      </c>
      <c r="J6" s="112">
        <v>0</v>
      </c>
      <c r="K6" s="112">
        <v>0</v>
      </c>
      <c r="L6" s="112">
        <v>0</v>
      </c>
      <c r="M6" s="112">
        <v>0</v>
      </c>
      <c r="N6" s="112">
        <v>0</v>
      </c>
      <c r="O6" s="112">
        <v>0</v>
      </c>
      <c r="P6" s="112">
        <v>0</v>
      </c>
      <c r="Q6" s="112">
        <v>0</v>
      </c>
      <c r="R6" s="112">
        <v>0</v>
      </c>
      <c r="S6" s="112">
        <v>0</v>
      </c>
      <c r="T6" s="112">
        <v>0</v>
      </c>
      <c r="U6" s="112">
        <v>0</v>
      </c>
      <c r="V6" s="112">
        <v>0</v>
      </c>
      <c r="W6" s="112">
        <v>0</v>
      </c>
      <c r="X6" s="112">
        <v>0</v>
      </c>
      <c r="Y6" s="112">
        <v>0</v>
      </c>
      <c r="Z6" s="112">
        <v>0</v>
      </c>
      <c r="AA6" s="112">
        <v>0</v>
      </c>
      <c r="AB6" s="112">
        <v>0</v>
      </c>
      <c r="AC6" s="112">
        <v>0</v>
      </c>
      <c r="AD6" s="112">
        <v>0</v>
      </c>
      <c r="AE6" s="112">
        <v>0</v>
      </c>
      <c r="AF6" s="112">
        <v>0</v>
      </c>
      <c r="AG6" s="112">
        <v>0</v>
      </c>
      <c r="AH6" s="112">
        <v>0</v>
      </c>
      <c r="AI6" s="112">
        <v>0</v>
      </c>
      <c r="AJ6" s="112">
        <v>0</v>
      </c>
      <c r="AK6" s="112">
        <v>0</v>
      </c>
      <c r="AL6" s="112">
        <v>0</v>
      </c>
      <c r="AM6" s="112">
        <v>0</v>
      </c>
      <c r="AN6" s="112">
        <v>0</v>
      </c>
      <c r="AO6" s="112">
        <v>0</v>
      </c>
      <c r="AP6" s="112">
        <v>0</v>
      </c>
      <c r="AQ6" s="112">
        <v>0</v>
      </c>
      <c r="AR6" s="112">
        <v>0</v>
      </c>
      <c r="AS6" s="112">
        <v>0</v>
      </c>
      <c r="AT6" s="112">
        <v>0</v>
      </c>
      <c r="AU6" s="112">
        <v>0</v>
      </c>
      <c r="AV6" s="112">
        <v>0</v>
      </c>
      <c r="AW6" s="112">
        <v>0</v>
      </c>
      <c r="AX6" s="112">
        <v>0</v>
      </c>
      <c r="AY6" s="112">
        <v>0</v>
      </c>
      <c r="AZ6" s="112">
        <v>0</v>
      </c>
      <c r="BA6" s="112">
        <v>0</v>
      </c>
      <c r="BB6" s="112">
        <v>0</v>
      </c>
      <c r="BC6" s="112">
        <v>0</v>
      </c>
      <c r="BD6" s="112">
        <v>0</v>
      </c>
      <c r="BE6" s="112">
        <v>0</v>
      </c>
      <c r="BF6" s="112">
        <v>0</v>
      </c>
      <c r="BG6" s="112">
        <v>0</v>
      </c>
      <c r="BH6" s="112">
        <v>0</v>
      </c>
      <c r="BI6" s="112">
        <v>0</v>
      </c>
      <c r="BJ6" s="112">
        <v>0</v>
      </c>
      <c r="BK6" s="112">
        <v>0</v>
      </c>
      <c r="BL6" s="112">
        <v>0</v>
      </c>
      <c r="BM6" s="112">
        <v>0</v>
      </c>
      <c r="BN6" s="112">
        <v>0</v>
      </c>
      <c r="BO6" s="112">
        <v>0</v>
      </c>
      <c r="BP6" s="112">
        <v>0</v>
      </c>
      <c r="BQ6" s="112">
        <v>0</v>
      </c>
      <c r="BR6" s="112">
        <v>0</v>
      </c>
      <c r="BS6" s="112">
        <v>0</v>
      </c>
      <c r="BT6" s="112">
        <v>0</v>
      </c>
      <c r="BU6" s="112">
        <v>0</v>
      </c>
      <c r="BV6" s="112">
        <v>0</v>
      </c>
      <c r="BW6" s="112">
        <v>0</v>
      </c>
      <c r="BX6" s="112">
        <v>0</v>
      </c>
      <c r="BY6" s="112">
        <v>0</v>
      </c>
      <c r="BZ6" s="112">
        <v>0</v>
      </c>
      <c r="CA6" s="112">
        <v>0</v>
      </c>
      <c r="CB6" s="112">
        <v>0</v>
      </c>
      <c r="CC6" s="112">
        <v>0</v>
      </c>
      <c r="CD6" s="112">
        <v>0</v>
      </c>
      <c r="CE6" s="112">
        <v>0</v>
      </c>
      <c r="CF6" s="112">
        <v>0</v>
      </c>
      <c r="CG6" s="112">
        <v>0</v>
      </c>
      <c r="CH6" s="112">
        <v>0</v>
      </c>
      <c r="CI6" s="112">
        <v>0</v>
      </c>
      <c r="CJ6" s="112">
        <v>0</v>
      </c>
      <c r="CK6" s="112">
        <v>0</v>
      </c>
      <c r="CL6" s="112">
        <v>0</v>
      </c>
      <c r="CM6" s="112">
        <v>0</v>
      </c>
      <c r="CN6" s="112">
        <v>0</v>
      </c>
      <c r="CO6" s="112">
        <v>0</v>
      </c>
      <c r="CP6" s="112">
        <v>0</v>
      </c>
      <c r="CQ6" s="112">
        <v>0</v>
      </c>
      <c r="CR6" s="112">
        <v>0</v>
      </c>
      <c r="CS6" s="112">
        <v>0</v>
      </c>
      <c r="CT6" s="112">
        <v>0</v>
      </c>
      <c r="CU6" s="112">
        <v>0</v>
      </c>
      <c r="CV6" s="112">
        <v>0</v>
      </c>
    </row>
    <row r="7" spans="1:100" customFormat="1" x14ac:dyDescent="0.15">
      <c r="A7" s="191" t="s">
        <v>197</v>
      </c>
      <c r="B7" s="112">
        <v>0</v>
      </c>
      <c r="C7" s="112">
        <v>0</v>
      </c>
      <c r="D7" s="112">
        <v>0</v>
      </c>
      <c r="E7" s="112">
        <v>0</v>
      </c>
      <c r="F7" s="112">
        <v>0</v>
      </c>
      <c r="G7" s="112">
        <v>0</v>
      </c>
      <c r="H7" s="112">
        <v>0</v>
      </c>
      <c r="I7" s="112">
        <v>0</v>
      </c>
      <c r="J7" s="112">
        <v>0</v>
      </c>
      <c r="K7" s="112">
        <v>0</v>
      </c>
      <c r="L7" s="112">
        <v>1</v>
      </c>
      <c r="M7" s="112">
        <v>0</v>
      </c>
      <c r="N7" s="112">
        <v>0</v>
      </c>
      <c r="O7" s="112">
        <v>0</v>
      </c>
      <c r="P7" s="112">
        <v>0</v>
      </c>
      <c r="Q7" s="112">
        <v>0</v>
      </c>
      <c r="R7" s="112">
        <v>0</v>
      </c>
      <c r="S7" s="112">
        <v>0</v>
      </c>
      <c r="T7" s="112">
        <v>0</v>
      </c>
      <c r="U7" s="112">
        <v>0</v>
      </c>
      <c r="V7" s="112">
        <v>0</v>
      </c>
      <c r="W7" s="112">
        <v>0</v>
      </c>
      <c r="X7" s="112">
        <v>0</v>
      </c>
      <c r="Y7" s="112">
        <v>0</v>
      </c>
      <c r="Z7" s="112">
        <v>0</v>
      </c>
      <c r="AA7" s="112">
        <v>0</v>
      </c>
      <c r="AB7" s="112">
        <v>0</v>
      </c>
      <c r="AC7" s="112">
        <v>0</v>
      </c>
      <c r="AD7" s="112">
        <v>0</v>
      </c>
      <c r="AE7" s="112">
        <v>0</v>
      </c>
      <c r="AF7" s="112">
        <v>0</v>
      </c>
      <c r="AG7" s="112">
        <v>0</v>
      </c>
      <c r="AH7" s="112">
        <v>0</v>
      </c>
      <c r="AI7" s="112">
        <v>0</v>
      </c>
      <c r="AJ7" s="112">
        <v>0</v>
      </c>
      <c r="AK7" s="112">
        <v>0</v>
      </c>
      <c r="AL7" s="112">
        <v>0</v>
      </c>
      <c r="AM7" s="112">
        <v>0</v>
      </c>
      <c r="AN7" s="112">
        <v>0</v>
      </c>
      <c r="AO7" s="112">
        <v>0</v>
      </c>
      <c r="AP7" s="112">
        <v>0</v>
      </c>
      <c r="AQ7" s="112">
        <v>0</v>
      </c>
      <c r="AR7" s="112">
        <v>0</v>
      </c>
      <c r="AS7" s="112">
        <v>0</v>
      </c>
      <c r="AT7" s="112">
        <v>0</v>
      </c>
      <c r="AU7" s="112">
        <v>0</v>
      </c>
      <c r="AV7" s="112">
        <v>0</v>
      </c>
      <c r="AW7" s="112">
        <v>0</v>
      </c>
      <c r="AX7" s="112">
        <v>0</v>
      </c>
      <c r="AY7" s="112">
        <v>0</v>
      </c>
      <c r="AZ7" s="112">
        <v>0</v>
      </c>
      <c r="BA7" s="112">
        <v>0</v>
      </c>
      <c r="BB7" s="112">
        <v>0</v>
      </c>
      <c r="BC7" s="112">
        <v>0</v>
      </c>
      <c r="BD7" s="112">
        <v>0</v>
      </c>
      <c r="BE7" s="112">
        <v>0</v>
      </c>
      <c r="BF7" s="112">
        <v>0</v>
      </c>
      <c r="BG7" s="112">
        <v>0</v>
      </c>
      <c r="BH7" s="112">
        <v>0</v>
      </c>
      <c r="BI7" s="112">
        <v>0</v>
      </c>
      <c r="BJ7" s="112">
        <v>0</v>
      </c>
      <c r="BK7" s="112">
        <v>0</v>
      </c>
      <c r="BL7" s="112">
        <v>0</v>
      </c>
      <c r="BM7" s="112">
        <v>0</v>
      </c>
      <c r="BN7" s="112">
        <v>0</v>
      </c>
      <c r="BO7" s="112">
        <v>0</v>
      </c>
      <c r="BP7" s="112">
        <v>0</v>
      </c>
      <c r="BQ7" s="112">
        <v>0</v>
      </c>
      <c r="BR7" s="112">
        <v>0</v>
      </c>
      <c r="BS7" s="112">
        <v>0</v>
      </c>
      <c r="BT7" s="112">
        <v>0</v>
      </c>
      <c r="BU7" s="112">
        <v>0</v>
      </c>
      <c r="BV7" s="112">
        <v>0</v>
      </c>
      <c r="BW7" s="112">
        <v>0</v>
      </c>
      <c r="BX7" s="112">
        <v>0</v>
      </c>
      <c r="BY7" s="112">
        <v>0</v>
      </c>
      <c r="BZ7" s="112">
        <v>0</v>
      </c>
      <c r="CA7" s="112">
        <v>0</v>
      </c>
      <c r="CB7" s="112">
        <v>0</v>
      </c>
      <c r="CC7" s="112">
        <v>0</v>
      </c>
      <c r="CD7" s="112">
        <v>0</v>
      </c>
      <c r="CE7" s="112">
        <v>0</v>
      </c>
      <c r="CF7" s="112">
        <v>0</v>
      </c>
      <c r="CG7" s="112">
        <v>0</v>
      </c>
      <c r="CH7" s="112">
        <v>0</v>
      </c>
      <c r="CI7" s="112">
        <v>0</v>
      </c>
      <c r="CJ7" s="112">
        <v>0</v>
      </c>
      <c r="CK7" s="112">
        <v>0</v>
      </c>
      <c r="CL7" s="112">
        <v>0</v>
      </c>
      <c r="CM7" s="112">
        <v>0</v>
      </c>
      <c r="CN7" s="112">
        <v>0</v>
      </c>
      <c r="CO7" s="112">
        <v>0</v>
      </c>
      <c r="CP7" s="112">
        <v>0</v>
      </c>
      <c r="CQ7" s="112">
        <v>0</v>
      </c>
      <c r="CR7" s="112">
        <v>0</v>
      </c>
      <c r="CS7" s="112">
        <v>0</v>
      </c>
      <c r="CT7" s="112">
        <v>0</v>
      </c>
      <c r="CU7" s="112">
        <v>0</v>
      </c>
      <c r="CV7" s="112">
        <v>0</v>
      </c>
    </row>
    <row r="8" spans="1:100" customFormat="1" x14ac:dyDescent="0.15">
      <c r="A8" s="191" t="s">
        <v>198</v>
      </c>
      <c r="B8" s="112">
        <v>0</v>
      </c>
      <c r="C8" s="112">
        <v>0</v>
      </c>
      <c r="D8" s="112">
        <v>0</v>
      </c>
      <c r="E8" s="112">
        <v>0</v>
      </c>
      <c r="F8" s="112">
        <v>0</v>
      </c>
      <c r="G8" s="112">
        <v>0</v>
      </c>
      <c r="H8" s="112">
        <v>0</v>
      </c>
      <c r="I8" s="112">
        <v>0</v>
      </c>
      <c r="J8" s="112">
        <v>0</v>
      </c>
      <c r="K8" s="112">
        <v>0</v>
      </c>
      <c r="L8" s="112">
        <v>0</v>
      </c>
      <c r="M8" s="112">
        <v>0</v>
      </c>
      <c r="N8" s="112">
        <v>0</v>
      </c>
      <c r="O8" s="112">
        <v>0</v>
      </c>
      <c r="P8" s="112">
        <v>0</v>
      </c>
      <c r="Q8" s="112">
        <v>0</v>
      </c>
      <c r="R8" s="112">
        <v>0</v>
      </c>
      <c r="S8" s="112">
        <v>0</v>
      </c>
      <c r="T8" s="112">
        <v>0</v>
      </c>
      <c r="U8" s="112">
        <v>0</v>
      </c>
      <c r="V8" s="112">
        <v>0</v>
      </c>
      <c r="W8" s="112">
        <v>0</v>
      </c>
      <c r="X8" s="112">
        <v>0</v>
      </c>
      <c r="Y8" s="112">
        <v>0</v>
      </c>
      <c r="Z8" s="112">
        <v>0</v>
      </c>
      <c r="AA8" s="112">
        <v>0</v>
      </c>
      <c r="AB8" s="112">
        <v>0</v>
      </c>
      <c r="AC8" s="112">
        <v>0</v>
      </c>
      <c r="AD8" s="112">
        <v>0</v>
      </c>
      <c r="AE8" s="112">
        <v>0</v>
      </c>
      <c r="AF8" s="112">
        <v>0</v>
      </c>
      <c r="AG8" s="112">
        <v>0</v>
      </c>
      <c r="AH8" s="112">
        <v>0</v>
      </c>
      <c r="AI8" s="112">
        <v>0</v>
      </c>
      <c r="AJ8" s="112">
        <v>0</v>
      </c>
      <c r="AK8" s="112">
        <v>0</v>
      </c>
      <c r="AL8" s="112">
        <v>0</v>
      </c>
      <c r="AM8" s="112">
        <v>0</v>
      </c>
      <c r="AN8" s="112">
        <v>0</v>
      </c>
      <c r="AO8" s="112">
        <v>0</v>
      </c>
      <c r="AP8" s="112">
        <v>0</v>
      </c>
      <c r="AQ8" s="112">
        <v>0</v>
      </c>
      <c r="AR8" s="112">
        <v>0</v>
      </c>
      <c r="AS8" s="112">
        <v>0</v>
      </c>
      <c r="AT8" s="112">
        <v>0</v>
      </c>
      <c r="AU8" s="112">
        <v>0</v>
      </c>
      <c r="AV8" s="112">
        <v>0</v>
      </c>
      <c r="AW8" s="112">
        <v>0</v>
      </c>
      <c r="AX8" s="112">
        <v>0</v>
      </c>
      <c r="AY8" s="112">
        <v>0</v>
      </c>
      <c r="AZ8" s="112">
        <v>0</v>
      </c>
      <c r="BA8" s="112">
        <v>0</v>
      </c>
      <c r="BB8" s="112">
        <v>0</v>
      </c>
      <c r="BC8" s="112">
        <v>0</v>
      </c>
      <c r="BD8" s="112">
        <v>0</v>
      </c>
      <c r="BE8" s="112">
        <v>0</v>
      </c>
      <c r="BF8" s="112">
        <v>0</v>
      </c>
      <c r="BG8" s="112">
        <v>0</v>
      </c>
      <c r="BH8" s="112">
        <v>0</v>
      </c>
      <c r="BI8" s="112">
        <v>0</v>
      </c>
      <c r="BJ8" s="112">
        <v>0</v>
      </c>
      <c r="BK8" s="112">
        <v>0</v>
      </c>
      <c r="BL8" s="112">
        <v>0</v>
      </c>
      <c r="BM8" s="112">
        <v>0</v>
      </c>
      <c r="BN8" s="112">
        <v>0</v>
      </c>
      <c r="BO8" s="112">
        <v>0</v>
      </c>
      <c r="BP8" s="112">
        <v>0</v>
      </c>
      <c r="BQ8" s="112">
        <v>0</v>
      </c>
      <c r="BR8" s="112">
        <v>0</v>
      </c>
      <c r="BS8" s="112">
        <v>0</v>
      </c>
      <c r="BT8" s="112">
        <v>0</v>
      </c>
      <c r="BU8" s="112">
        <v>0</v>
      </c>
      <c r="BV8" s="112">
        <v>0</v>
      </c>
      <c r="BW8" s="112">
        <v>0</v>
      </c>
      <c r="BX8" s="112">
        <v>0</v>
      </c>
      <c r="BY8" s="112">
        <v>0</v>
      </c>
      <c r="BZ8" s="112">
        <v>0</v>
      </c>
      <c r="CA8" s="112">
        <v>0</v>
      </c>
      <c r="CB8" s="112">
        <v>0</v>
      </c>
      <c r="CC8" s="112">
        <v>0</v>
      </c>
      <c r="CD8" s="112">
        <v>0</v>
      </c>
      <c r="CE8" s="112">
        <v>0</v>
      </c>
      <c r="CF8" s="112">
        <v>0</v>
      </c>
      <c r="CG8" s="112">
        <v>0</v>
      </c>
      <c r="CH8" s="112">
        <v>0</v>
      </c>
      <c r="CI8" s="112">
        <v>0</v>
      </c>
      <c r="CJ8" s="112">
        <v>0</v>
      </c>
      <c r="CK8" s="112">
        <v>0</v>
      </c>
      <c r="CL8" s="112">
        <v>0</v>
      </c>
      <c r="CM8" s="112">
        <v>0</v>
      </c>
      <c r="CN8" s="112">
        <v>0</v>
      </c>
      <c r="CO8" s="112">
        <v>0</v>
      </c>
      <c r="CP8" s="112">
        <v>0</v>
      </c>
      <c r="CQ8" s="112">
        <v>0</v>
      </c>
      <c r="CR8" s="112">
        <v>0</v>
      </c>
      <c r="CS8" s="112">
        <v>0</v>
      </c>
      <c r="CT8" s="112">
        <v>0</v>
      </c>
      <c r="CU8" s="112">
        <v>0</v>
      </c>
      <c r="CV8" s="112">
        <v>0</v>
      </c>
    </row>
    <row r="9" spans="1:100" customFormat="1" x14ac:dyDescent="0.15">
      <c r="A9" s="191" t="s">
        <v>199</v>
      </c>
      <c r="B9" s="112">
        <v>0</v>
      </c>
      <c r="C9" s="112">
        <v>0</v>
      </c>
      <c r="D9" s="112">
        <v>0</v>
      </c>
      <c r="E9" s="112">
        <v>0</v>
      </c>
      <c r="F9" s="112">
        <v>0</v>
      </c>
      <c r="G9" s="112">
        <v>0</v>
      </c>
      <c r="H9" s="112">
        <v>0</v>
      </c>
      <c r="I9" s="112">
        <v>0</v>
      </c>
      <c r="J9" s="112">
        <v>0</v>
      </c>
      <c r="K9" s="112">
        <v>0</v>
      </c>
      <c r="L9" s="112">
        <v>0</v>
      </c>
      <c r="M9" s="112">
        <v>0</v>
      </c>
      <c r="N9" s="112">
        <v>0</v>
      </c>
      <c r="O9" s="112">
        <v>0</v>
      </c>
      <c r="P9" s="112">
        <v>0</v>
      </c>
      <c r="Q9" s="112">
        <v>0</v>
      </c>
      <c r="R9" s="112">
        <v>0</v>
      </c>
      <c r="S9" s="112">
        <v>0</v>
      </c>
      <c r="T9" s="112">
        <v>0</v>
      </c>
      <c r="U9" s="112">
        <v>0</v>
      </c>
      <c r="V9" s="112">
        <v>0</v>
      </c>
      <c r="W9" s="112">
        <v>0</v>
      </c>
      <c r="X9" s="112">
        <v>0</v>
      </c>
      <c r="Y9" s="112">
        <v>0</v>
      </c>
      <c r="Z9" s="112">
        <v>0</v>
      </c>
      <c r="AA9" s="112">
        <v>0</v>
      </c>
      <c r="AB9" s="112">
        <v>0</v>
      </c>
      <c r="AC9" s="112">
        <v>0</v>
      </c>
      <c r="AD9" s="112">
        <v>0</v>
      </c>
      <c r="AE9" s="112">
        <v>0</v>
      </c>
      <c r="AF9" s="112">
        <v>0</v>
      </c>
      <c r="AG9" s="112">
        <v>0</v>
      </c>
      <c r="AH9" s="112">
        <v>0</v>
      </c>
      <c r="AI9" s="112">
        <v>0</v>
      </c>
      <c r="AJ9" s="112">
        <v>0</v>
      </c>
      <c r="AK9" s="112">
        <v>0</v>
      </c>
      <c r="AL9" s="112">
        <v>0</v>
      </c>
      <c r="AM9" s="112">
        <v>0</v>
      </c>
      <c r="AN9" s="112">
        <v>0</v>
      </c>
      <c r="AO9" s="112">
        <v>0</v>
      </c>
      <c r="AP9" s="112">
        <v>0</v>
      </c>
      <c r="AQ9" s="112">
        <v>0</v>
      </c>
      <c r="AR9" s="112">
        <v>0</v>
      </c>
      <c r="AS9" s="112">
        <v>0</v>
      </c>
      <c r="AT9" s="112">
        <v>0</v>
      </c>
      <c r="AU9" s="112">
        <v>0</v>
      </c>
      <c r="AV9" s="112">
        <v>0</v>
      </c>
      <c r="AW9" s="112">
        <v>0</v>
      </c>
      <c r="AX9" s="112">
        <v>0</v>
      </c>
      <c r="AY9" s="112">
        <v>0</v>
      </c>
      <c r="AZ9" s="112">
        <v>0</v>
      </c>
      <c r="BA9" s="112">
        <v>0</v>
      </c>
      <c r="BB9" s="112">
        <v>0</v>
      </c>
      <c r="BC9" s="112">
        <v>0</v>
      </c>
      <c r="BD9" s="112">
        <v>0</v>
      </c>
      <c r="BE9" s="112">
        <v>0</v>
      </c>
      <c r="BF9" s="112">
        <v>0</v>
      </c>
      <c r="BG9" s="112">
        <v>0</v>
      </c>
      <c r="BH9" s="112">
        <v>0</v>
      </c>
      <c r="BI9" s="112">
        <v>0</v>
      </c>
      <c r="BJ9" s="112">
        <v>0</v>
      </c>
      <c r="BK9" s="112">
        <v>0</v>
      </c>
      <c r="BL9" s="112">
        <v>0</v>
      </c>
      <c r="BM9" s="112">
        <v>0</v>
      </c>
      <c r="BN9" s="112">
        <v>0</v>
      </c>
      <c r="BO9" s="112">
        <v>0</v>
      </c>
      <c r="BP9" s="112">
        <v>0</v>
      </c>
      <c r="BQ9" s="112">
        <v>0</v>
      </c>
      <c r="BR9" s="112">
        <v>0</v>
      </c>
      <c r="BS9" s="112">
        <v>0</v>
      </c>
      <c r="BT9" s="112">
        <v>0</v>
      </c>
      <c r="BU9" s="112">
        <v>0</v>
      </c>
      <c r="BV9" s="112">
        <v>0</v>
      </c>
      <c r="BW9" s="112">
        <v>0</v>
      </c>
      <c r="BX9" s="112">
        <v>0</v>
      </c>
      <c r="BY9" s="112">
        <v>0</v>
      </c>
      <c r="BZ9" s="112">
        <v>0</v>
      </c>
      <c r="CA9" s="112">
        <v>0</v>
      </c>
      <c r="CB9" s="112">
        <v>0</v>
      </c>
      <c r="CC9" s="112">
        <v>0</v>
      </c>
      <c r="CD9" s="112">
        <v>0</v>
      </c>
      <c r="CE9" s="112">
        <v>0</v>
      </c>
      <c r="CF9" s="112">
        <v>0</v>
      </c>
      <c r="CG9" s="112">
        <v>0</v>
      </c>
      <c r="CH9" s="112">
        <v>0</v>
      </c>
      <c r="CI9" s="112">
        <v>0</v>
      </c>
      <c r="CJ9" s="112">
        <v>0</v>
      </c>
      <c r="CK9" s="112">
        <v>0</v>
      </c>
      <c r="CL9" s="112">
        <v>0</v>
      </c>
      <c r="CM9" s="112">
        <v>0</v>
      </c>
      <c r="CN9" s="112">
        <v>0</v>
      </c>
      <c r="CO9" s="112">
        <v>0</v>
      </c>
      <c r="CP9" s="112">
        <v>0</v>
      </c>
      <c r="CQ9" s="112">
        <v>0</v>
      </c>
      <c r="CR9" s="112">
        <v>0</v>
      </c>
      <c r="CS9" s="112">
        <v>0</v>
      </c>
      <c r="CT9" s="112">
        <v>0</v>
      </c>
      <c r="CU9" s="112">
        <v>0</v>
      </c>
      <c r="CV9" s="112">
        <v>0</v>
      </c>
    </row>
    <row r="10" spans="1:100" customFormat="1" x14ac:dyDescent="0.15">
      <c r="A10" s="191" t="s">
        <v>200</v>
      </c>
      <c r="B10" s="112">
        <v>0</v>
      </c>
      <c r="C10" s="112">
        <v>0</v>
      </c>
      <c r="D10" s="112">
        <v>0</v>
      </c>
      <c r="E10" s="112">
        <v>0</v>
      </c>
      <c r="F10" s="112">
        <v>0</v>
      </c>
      <c r="G10" s="112">
        <v>0</v>
      </c>
      <c r="H10" s="112">
        <v>0</v>
      </c>
      <c r="I10" s="112">
        <v>0</v>
      </c>
      <c r="J10" s="112">
        <v>0</v>
      </c>
      <c r="K10" s="112">
        <v>0</v>
      </c>
      <c r="L10" s="112">
        <v>0</v>
      </c>
      <c r="M10" s="112">
        <v>0</v>
      </c>
      <c r="N10" s="112">
        <v>0</v>
      </c>
      <c r="O10" s="112">
        <v>0</v>
      </c>
      <c r="P10" s="112">
        <v>0</v>
      </c>
      <c r="Q10" s="112">
        <v>0</v>
      </c>
      <c r="R10" s="112">
        <v>0</v>
      </c>
      <c r="S10" s="112">
        <v>0</v>
      </c>
      <c r="T10" s="112">
        <v>0</v>
      </c>
      <c r="U10" s="112">
        <v>0</v>
      </c>
      <c r="V10" s="112">
        <v>0</v>
      </c>
      <c r="W10" s="112">
        <v>0</v>
      </c>
      <c r="X10" s="112">
        <v>0</v>
      </c>
      <c r="Y10" s="112">
        <v>0</v>
      </c>
      <c r="Z10" s="112">
        <v>0</v>
      </c>
      <c r="AA10" s="112">
        <v>0</v>
      </c>
      <c r="AB10" s="112">
        <v>0</v>
      </c>
      <c r="AC10" s="112">
        <v>0</v>
      </c>
      <c r="AD10" s="112">
        <v>0</v>
      </c>
      <c r="AE10" s="112">
        <v>0</v>
      </c>
      <c r="AF10" s="112">
        <v>0</v>
      </c>
      <c r="AG10" s="112">
        <v>0</v>
      </c>
      <c r="AH10" s="112">
        <v>0</v>
      </c>
      <c r="AI10" s="112">
        <v>0</v>
      </c>
      <c r="AJ10" s="112">
        <v>0</v>
      </c>
      <c r="AK10" s="112">
        <v>0</v>
      </c>
      <c r="AL10" s="112">
        <v>0</v>
      </c>
      <c r="AM10" s="112">
        <v>0</v>
      </c>
      <c r="AN10" s="112">
        <v>0</v>
      </c>
      <c r="AO10" s="112">
        <v>0</v>
      </c>
      <c r="AP10" s="112">
        <v>0</v>
      </c>
      <c r="AQ10" s="112">
        <v>0</v>
      </c>
      <c r="AR10" s="112">
        <v>0</v>
      </c>
      <c r="AS10" s="112">
        <v>0</v>
      </c>
      <c r="AT10" s="112">
        <v>0</v>
      </c>
      <c r="AU10" s="112">
        <v>0</v>
      </c>
      <c r="AV10" s="112">
        <v>0</v>
      </c>
      <c r="AW10" s="112">
        <v>0</v>
      </c>
      <c r="AX10" s="112">
        <v>0</v>
      </c>
      <c r="AY10" s="112">
        <v>0</v>
      </c>
      <c r="AZ10" s="112">
        <v>0</v>
      </c>
      <c r="BA10" s="112">
        <v>0</v>
      </c>
      <c r="BB10" s="112">
        <v>0</v>
      </c>
      <c r="BC10" s="112">
        <v>0</v>
      </c>
      <c r="BD10" s="112">
        <v>0</v>
      </c>
      <c r="BE10" s="112">
        <v>0</v>
      </c>
      <c r="BF10" s="112">
        <v>0</v>
      </c>
      <c r="BG10" s="112">
        <v>0</v>
      </c>
      <c r="BH10" s="112">
        <v>0</v>
      </c>
      <c r="BI10" s="112">
        <v>0</v>
      </c>
      <c r="BJ10" s="112">
        <v>0</v>
      </c>
      <c r="BK10" s="112">
        <v>0</v>
      </c>
      <c r="BL10" s="112">
        <v>0</v>
      </c>
      <c r="BM10" s="112">
        <v>0</v>
      </c>
      <c r="BN10" s="112">
        <v>0</v>
      </c>
      <c r="BO10" s="112">
        <v>0</v>
      </c>
      <c r="BP10" s="112">
        <v>0</v>
      </c>
      <c r="BQ10" s="112">
        <v>0</v>
      </c>
      <c r="BR10" s="112">
        <v>0</v>
      </c>
      <c r="BS10" s="112">
        <v>0</v>
      </c>
      <c r="BT10" s="112">
        <v>0</v>
      </c>
      <c r="BU10" s="112">
        <v>0</v>
      </c>
      <c r="BV10" s="112">
        <v>0</v>
      </c>
      <c r="BW10" s="112">
        <v>0</v>
      </c>
      <c r="BX10" s="112">
        <v>0</v>
      </c>
      <c r="BY10" s="112">
        <v>0</v>
      </c>
      <c r="BZ10" s="112">
        <v>0</v>
      </c>
      <c r="CA10" s="112">
        <v>0</v>
      </c>
      <c r="CB10" s="112">
        <v>0</v>
      </c>
      <c r="CC10" s="112">
        <v>0</v>
      </c>
      <c r="CD10" s="112">
        <v>0</v>
      </c>
      <c r="CE10" s="112">
        <v>0</v>
      </c>
      <c r="CF10" s="112">
        <v>0</v>
      </c>
      <c r="CG10" s="112">
        <v>0</v>
      </c>
      <c r="CH10" s="112">
        <v>0</v>
      </c>
      <c r="CI10" s="112">
        <v>0</v>
      </c>
      <c r="CJ10" s="112">
        <v>0</v>
      </c>
      <c r="CK10" s="112">
        <v>0</v>
      </c>
      <c r="CL10" s="112">
        <v>0</v>
      </c>
      <c r="CM10" s="112">
        <v>0</v>
      </c>
      <c r="CN10" s="112">
        <v>0</v>
      </c>
      <c r="CO10" s="112">
        <v>0</v>
      </c>
      <c r="CP10" s="112">
        <v>0</v>
      </c>
      <c r="CQ10" s="112">
        <v>0</v>
      </c>
      <c r="CR10" s="112">
        <v>0</v>
      </c>
      <c r="CS10" s="112">
        <v>0</v>
      </c>
      <c r="CT10" s="112">
        <v>0</v>
      </c>
      <c r="CU10" s="112">
        <v>0</v>
      </c>
      <c r="CV10" s="112">
        <v>0</v>
      </c>
    </row>
    <row r="11" spans="1:100" customFormat="1" x14ac:dyDescent="0.15">
      <c r="A11" s="191" t="s">
        <v>201</v>
      </c>
      <c r="B11" s="112">
        <v>0</v>
      </c>
      <c r="C11" s="112">
        <v>0</v>
      </c>
      <c r="D11" s="112">
        <v>0</v>
      </c>
      <c r="E11" s="112">
        <v>0</v>
      </c>
      <c r="F11" s="112">
        <v>0</v>
      </c>
      <c r="G11" s="112">
        <v>0</v>
      </c>
      <c r="H11" s="112">
        <v>0</v>
      </c>
      <c r="I11" s="112">
        <v>0</v>
      </c>
      <c r="J11" s="112">
        <v>0</v>
      </c>
      <c r="K11" s="112">
        <v>0</v>
      </c>
      <c r="L11" s="112">
        <v>0</v>
      </c>
      <c r="M11" s="112">
        <v>0</v>
      </c>
      <c r="N11" s="112">
        <v>0</v>
      </c>
      <c r="O11" s="112">
        <v>0</v>
      </c>
      <c r="P11" s="112">
        <v>0</v>
      </c>
      <c r="Q11" s="112">
        <v>0</v>
      </c>
      <c r="R11" s="112">
        <v>0</v>
      </c>
      <c r="S11" s="112">
        <v>0</v>
      </c>
      <c r="T11" s="112">
        <v>0</v>
      </c>
      <c r="U11" s="112">
        <v>0</v>
      </c>
      <c r="V11" s="112">
        <v>0</v>
      </c>
      <c r="W11" s="112">
        <v>0</v>
      </c>
      <c r="X11" s="112">
        <v>0</v>
      </c>
      <c r="Y11" s="112">
        <v>0</v>
      </c>
      <c r="Z11" s="112">
        <v>0</v>
      </c>
      <c r="AA11" s="112">
        <v>0</v>
      </c>
      <c r="AB11" s="112">
        <v>0</v>
      </c>
      <c r="AC11" s="112">
        <v>0</v>
      </c>
      <c r="AD11" s="112">
        <v>0</v>
      </c>
      <c r="AE11" s="112">
        <v>0</v>
      </c>
      <c r="AF11" s="112">
        <v>0</v>
      </c>
      <c r="AG11" s="112">
        <v>0</v>
      </c>
      <c r="AH11" s="112">
        <v>0</v>
      </c>
      <c r="AI11" s="112">
        <v>0</v>
      </c>
      <c r="AJ11" s="112">
        <v>0</v>
      </c>
      <c r="AK11" s="112">
        <v>0</v>
      </c>
      <c r="AL11" s="112">
        <v>0</v>
      </c>
      <c r="AM11" s="112">
        <v>0</v>
      </c>
      <c r="AN11" s="112">
        <v>0</v>
      </c>
      <c r="AO11" s="112">
        <v>0</v>
      </c>
      <c r="AP11" s="112">
        <v>0</v>
      </c>
      <c r="AQ11" s="112">
        <v>0</v>
      </c>
      <c r="AR11" s="112">
        <v>0</v>
      </c>
      <c r="AS11" s="112">
        <v>0</v>
      </c>
      <c r="AT11" s="112">
        <v>0</v>
      </c>
      <c r="AU11" s="112">
        <v>0</v>
      </c>
      <c r="AV11" s="112">
        <v>0</v>
      </c>
      <c r="AW11" s="112">
        <v>0</v>
      </c>
      <c r="AX11" s="112">
        <v>0</v>
      </c>
      <c r="AY11" s="112">
        <v>0</v>
      </c>
      <c r="AZ11" s="112">
        <v>0</v>
      </c>
      <c r="BA11" s="112">
        <v>0</v>
      </c>
      <c r="BB11" s="112">
        <v>0</v>
      </c>
      <c r="BC11" s="112">
        <v>0</v>
      </c>
      <c r="BD11" s="112">
        <v>0</v>
      </c>
      <c r="BE11" s="112">
        <v>0</v>
      </c>
      <c r="BF11" s="112">
        <v>0</v>
      </c>
      <c r="BG11" s="112">
        <v>0</v>
      </c>
      <c r="BH11" s="112">
        <v>0</v>
      </c>
      <c r="BI11" s="112">
        <v>0</v>
      </c>
      <c r="BJ11" s="112">
        <v>0</v>
      </c>
      <c r="BK11" s="112">
        <v>0</v>
      </c>
      <c r="BL11" s="112">
        <v>0</v>
      </c>
      <c r="BM11" s="112">
        <v>0</v>
      </c>
      <c r="BN11" s="112">
        <v>0</v>
      </c>
      <c r="BO11" s="112">
        <v>0</v>
      </c>
      <c r="BP11" s="112">
        <v>0</v>
      </c>
      <c r="BQ11" s="112">
        <v>0</v>
      </c>
      <c r="BR11" s="112">
        <v>0</v>
      </c>
      <c r="BS11" s="112">
        <v>0</v>
      </c>
      <c r="BT11" s="112">
        <v>0</v>
      </c>
      <c r="BU11" s="112">
        <v>0</v>
      </c>
      <c r="BV11" s="112">
        <v>0</v>
      </c>
      <c r="BW11" s="112">
        <v>0</v>
      </c>
      <c r="BX11" s="112">
        <v>0</v>
      </c>
      <c r="BY11" s="112">
        <v>0</v>
      </c>
      <c r="BZ11" s="112">
        <v>0</v>
      </c>
      <c r="CA11" s="112">
        <v>0</v>
      </c>
      <c r="CB11" s="112">
        <v>0</v>
      </c>
      <c r="CC11" s="112">
        <v>0</v>
      </c>
      <c r="CD11" s="112">
        <v>0</v>
      </c>
      <c r="CE11" s="112">
        <v>0</v>
      </c>
      <c r="CF11" s="112">
        <v>0</v>
      </c>
      <c r="CG11" s="112">
        <v>0</v>
      </c>
      <c r="CH11" s="112">
        <v>0</v>
      </c>
      <c r="CI11" s="112">
        <v>0</v>
      </c>
      <c r="CJ11" s="112">
        <v>0</v>
      </c>
      <c r="CK11" s="112">
        <v>0</v>
      </c>
      <c r="CL11" s="112">
        <v>0</v>
      </c>
      <c r="CM11" s="112">
        <v>0</v>
      </c>
      <c r="CN11" s="112">
        <v>0</v>
      </c>
      <c r="CO11" s="112">
        <v>0</v>
      </c>
      <c r="CP11" s="112">
        <v>0</v>
      </c>
      <c r="CQ11" s="112">
        <v>0</v>
      </c>
      <c r="CR11" s="112">
        <v>0</v>
      </c>
      <c r="CS11" s="112">
        <v>0</v>
      </c>
      <c r="CT11" s="112">
        <v>0</v>
      </c>
      <c r="CU11" s="112">
        <v>0</v>
      </c>
      <c r="CV11" s="112">
        <v>0</v>
      </c>
    </row>
    <row r="12" spans="1:100" customFormat="1" x14ac:dyDescent="0.15">
      <c r="A12" s="191" t="s">
        <v>202</v>
      </c>
      <c r="B12" s="112">
        <v>1</v>
      </c>
      <c r="C12" s="112">
        <v>0</v>
      </c>
      <c r="D12" s="112">
        <v>0</v>
      </c>
      <c r="E12" s="112">
        <v>0</v>
      </c>
      <c r="F12" s="112">
        <v>0</v>
      </c>
      <c r="G12" s="112">
        <v>0</v>
      </c>
      <c r="H12" s="112">
        <v>0</v>
      </c>
      <c r="I12" s="112">
        <v>0</v>
      </c>
      <c r="J12" s="112">
        <v>0</v>
      </c>
      <c r="K12" s="112">
        <v>0</v>
      </c>
      <c r="L12" s="112">
        <v>1</v>
      </c>
      <c r="M12" s="112">
        <v>0</v>
      </c>
      <c r="N12" s="112">
        <v>0</v>
      </c>
      <c r="O12" s="112">
        <v>0</v>
      </c>
      <c r="P12" s="112">
        <v>0</v>
      </c>
      <c r="Q12" s="112">
        <v>1</v>
      </c>
      <c r="R12" s="112">
        <v>0</v>
      </c>
      <c r="S12" s="112">
        <v>0</v>
      </c>
      <c r="T12" s="112">
        <v>0</v>
      </c>
      <c r="U12" s="112">
        <v>0</v>
      </c>
      <c r="V12" s="112">
        <v>0</v>
      </c>
      <c r="W12" s="112">
        <v>0</v>
      </c>
      <c r="X12" s="112">
        <v>0</v>
      </c>
      <c r="Y12" s="112">
        <v>0</v>
      </c>
      <c r="Z12" s="112">
        <v>0</v>
      </c>
      <c r="AA12" s="112">
        <v>0</v>
      </c>
      <c r="AB12" s="112">
        <v>0</v>
      </c>
      <c r="AC12" s="112">
        <v>0</v>
      </c>
      <c r="AD12" s="112">
        <v>1</v>
      </c>
      <c r="AE12" s="112">
        <v>1</v>
      </c>
      <c r="AF12" s="112">
        <v>0</v>
      </c>
      <c r="AG12" s="112">
        <v>0</v>
      </c>
      <c r="AH12" s="112">
        <v>0</v>
      </c>
      <c r="AI12" s="112">
        <v>0</v>
      </c>
      <c r="AJ12" s="112">
        <v>0</v>
      </c>
      <c r="AK12" s="112">
        <v>0</v>
      </c>
      <c r="AL12" s="112">
        <v>0</v>
      </c>
      <c r="AM12" s="112">
        <v>0</v>
      </c>
      <c r="AN12" s="112">
        <v>0</v>
      </c>
      <c r="AO12" s="112">
        <v>0</v>
      </c>
      <c r="AP12" s="112">
        <v>0</v>
      </c>
      <c r="AQ12" s="112">
        <v>0</v>
      </c>
      <c r="AR12" s="112">
        <v>0</v>
      </c>
      <c r="AS12" s="112">
        <v>0</v>
      </c>
      <c r="AT12" s="112">
        <v>0</v>
      </c>
      <c r="AU12" s="112">
        <v>0</v>
      </c>
      <c r="AV12" s="112">
        <v>0</v>
      </c>
      <c r="AW12" s="112">
        <v>0</v>
      </c>
      <c r="AX12" s="112">
        <v>0</v>
      </c>
      <c r="AY12" s="112">
        <v>0</v>
      </c>
      <c r="AZ12" s="112">
        <v>0</v>
      </c>
      <c r="BA12" s="112">
        <v>0</v>
      </c>
      <c r="BB12" s="112">
        <v>0</v>
      </c>
      <c r="BC12" s="112">
        <v>0</v>
      </c>
      <c r="BD12" s="112">
        <v>0</v>
      </c>
      <c r="BE12" s="112">
        <v>0</v>
      </c>
      <c r="BF12" s="112">
        <v>0</v>
      </c>
      <c r="BG12" s="112">
        <v>0</v>
      </c>
      <c r="BH12" s="112">
        <v>0</v>
      </c>
      <c r="BI12" s="112">
        <v>0</v>
      </c>
      <c r="BJ12" s="112">
        <v>0</v>
      </c>
      <c r="BK12" s="112">
        <v>0</v>
      </c>
      <c r="BL12" s="112">
        <v>0</v>
      </c>
      <c r="BM12" s="112">
        <v>0</v>
      </c>
      <c r="BN12" s="112">
        <v>0</v>
      </c>
      <c r="BO12" s="112">
        <v>0</v>
      </c>
      <c r="BP12" s="112">
        <v>0</v>
      </c>
      <c r="BQ12" s="112">
        <v>0</v>
      </c>
      <c r="BR12" s="112">
        <v>0</v>
      </c>
      <c r="BS12" s="112">
        <v>0</v>
      </c>
      <c r="BT12" s="112">
        <v>0</v>
      </c>
      <c r="BU12" s="112">
        <v>0</v>
      </c>
      <c r="BV12" s="112">
        <v>0</v>
      </c>
      <c r="BW12" s="112">
        <v>0</v>
      </c>
      <c r="BX12" s="112">
        <v>0</v>
      </c>
      <c r="BY12" s="112">
        <v>0</v>
      </c>
      <c r="BZ12" s="112">
        <v>0</v>
      </c>
      <c r="CA12" s="112">
        <v>0</v>
      </c>
      <c r="CB12" s="112">
        <v>0</v>
      </c>
      <c r="CC12" s="112">
        <v>0</v>
      </c>
      <c r="CD12" s="112">
        <v>0</v>
      </c>
      <c r="CE12" s="112">
        <v>0</v>
      </c>
      <c r="CF12" s="112">
        <v>0</v>
      </c>
      <c r="CG12" s="112">
        <v>0</v>
      </c>
      <c r="CH12" s="112">
        <v>0</v>
      </c>
      <c r="CI12" s="112">
        <v>0</v>
      </c>
      <c r="CJ12" s="112">
        <v>0</v>
      </c>
      <c r="CK12" s="112">
        <v>0</v>
      </c>
      <c r="CL12" s="112">
        <v>0</v>
      </c>
      <c r="CM12" s="112">
        <v>0</v>
      </c>
      <c r="CN12" s="112">
        <v>0</v>
      </c>
      <c r="CO12" s="112">
        <v>0</v>
      </c>
      <c r="CP12" s="112">
        <v>0</v>
      </c>
      <c r="CQ12" s="112">
        <v>0</v>
      </c>
      <c r="CR12" s="112">
        <v>0</v>
      </c>
      <c r="CS12" s="112">
        <v>0</v>
      </c>
      <c r="CT12" s="112">
        <v>0</v>
      </c>
      <c r="CU12" s="112">
        <v>0</v>
      </c>
      <c r="CV12" s="112">
        <v>0</v>
      </c>
    </row>
    <row r="13" spans="1:100" customFormat="1" x14ac:dyDescent="0.15">
      <c r="A13" s="191" t="s">
        <v>203</v>
      </c>
      <c r="B13" s="112">
        <v>1</v>
      </c>
      <c r="C13" s="112">
        <v>0</v>
      </c>
      <c r="D13" s="112">
        <v>0</v>
      </c>
      <c r="E13" s="112">
        <v>0</v>
      </c>
      <c r="F13" s="112">
        <v>1</v>
      </c>
      <c r="G13" s="112">
        <v>1</v>
      </c>
      <c r="H13" s="112">
        <v>1</v>
      </c>
      <c r="I13" s="112">
        <v>0</v>
      </c>
      <c r="J13" s="112">
        <v>0</v>
      </c>
      <c r="K13" s="112">
        <v>0</v>
      </c>
      <c r="L13" s="112">
        <v>1</v>
      </c>
      <c r="M13" s="112">
        <v>0</v>
      </c>
      <c r="N13" s="112">
        <v>0</v>
      </c>
      <c r="O13" s="112">
        <v>0</v>
      </c>
      <c r="P13" s="112">
        <v>0</v>
      </c>
      <c r="Q13" s="112">
        <v>1</v>
      </c>
      <c r="R13" s="112">
        <v>1</v>
      </c>
      <c r="S13" s="112">
        <v>0</v>
      </c>
      <c r="T13" s="112">
        <v>1</v>
      </c>
      <c r="U13" s="112">
        <v>1</v>
      </c>
      <c r="V13" s="112">
        <v>0</v>
      </c>
      <c r="W13" s="112">
        <v>0</v>
      </c>
      <c r="X13" s="112">
        <v>0</v>
      </c>
      <c r="Y13" s="112">
        <v>0</v>
      </c>
      <c r="Z13" s="112">
        <v>0</v>
      </c>
      <c r="AA13" s="112">
        <v>0</v>
      </c>
      <c r="AB13" s="112">
        <v>0</v>
      </c>
      <c r="AC13" s="112">
        <v>0</v>
      </c>
      <c r="AD13" s="112">
        <v>1</v>
      </c>
      <c r="AE13" s="112">
        <v>1</v>
      </c>
      <c r="AF13" s="112">
        <v>0</v>
      </c>
      <c r="AG13" s="112">
        <v>0</v>
      </c>
      <c r="AH13" s="112">
        <v>0</v>
      </c>
      <c r="AI13" s="112">
        <v>0</v>
      </c>
      <c r="AJ13" s="112">
        <v>0</v>
      </c>
      <c r="AK13" s="112">
        <v>0</v>
      </c>
      <c r="AL13" s="112">
        <v>0</v>
      </c>
      <c r="AM13" s="112">
        <v>0</v>
      </c>
      <c r="AN13" s="112">
        <v>0</v>
      </c>
      <c r="AO13" s="112">
        <v>0</v>
      </c>
      <c r="AP13" s="112">
        <v>0</v>
      </c>
      <c r="AQ13" s="112">
        <v>0</v>
      </c>
      <c r="AR13" s="112">
        <v>0</v>
      </c>
      <c r="AS13" s="112">
        <v>0</v>
      </c>
      <c r="AT13" s="112">
        <v>0</v>
      </c>
      <c r="AU13" s="112">
        <v>0</v>
      </c>
      <c r="AV13" s="112">
        <v>0</v>
      </c>
      <c r="AW13" s="112">
        <v>0</v>
      </c>
      <c r="AX13" s="112">
        <v>0</v>
      </c>
      <c r="AY13" s="112">
        <v>0</v>
      </c>
      <c r="AZ13" s="112">
        <v>0</v>
      </c>
      <c r="BA13" s="112">
        <v>0</v>
      </c>
      <c r="BB13" s="112">
        <v>0</v>
      </c>
      <c r="BC13" s="112">
        <v>0</v>
      </c>
      <c r="BD13" s="112">
        <v>0</v>
      </c>
      <c r="BE13" s="112">
        <v>0</v>
      </c>
      <c r="BF13" s="112">
        <v>0</v>
      </c>
      <c r="BG13" s="112">
        <v>0</v>
      </c>
      <c r="BH13" s="112">
        <v>0</v>
      </c>
      <c r="BI13" s="112">
        <v>0</v>
      </c>
      <c r="BJ13" s="112">
        <v>0</v>
      </c>
      <c r="BK13" s="112">
        <v>0</v>
      </c>
      <c r="BL13" s="112">
        <v>0</v>
      </c>
      <c r="BM13" s="112">
        <v>0</v>
      </c>
      <c r="BN13" s="112">
        <v>0</v>
      </c>
      <c r="BO13" s="112">
        <v>0</v>
      </c>
      <c r="BP13" s="112">
        <v>0</v>
      </c>
      <c r="BQ13" s="112">
        <v>0</v>
      </c>
      <c r="BR13" s="112">
        <v>0</v>
      </c>
      <c r="BS13" s="112">
        <v>0</v>
      </c>
      <c r="BT13" s="112">
        <v>0</v>
      </c>
      <c r="BU13" s="112">
        <v>0</v>
      </c>
      <c r="BV13" s="112">
        <v>0</v>
      </c>
      <c r="BW13" s="112">
        <v>0</v>
      </c>
      <c r="BX13" s="112">
        <v>0</v>
      </c>
      <c r="BY13" s="112">
        <v>0</v>
      </c>
      <c r="BZ13" s="112">
        <v>0</v>
      </c>
      <c r="CA13" s="112">
        <v>0</v>
      </c>
      <c r="CB13" s="112">
        <v>0</v>
      </c>
      <c r="CC13" s="112">
        <v>0</v>
      </c>
      <c r="CD13" s="112">
        <v>0</v>
      </c>
      <c r="CE13" s="112">
        <v>0</v>
      </c>
      <c r="CF13" s="112">
        <v>0</v>
      </c>
      <c r="CG13" s="112">
        <v>0</v>
      </c>
      <c r="CH13" s="112">
        <v>0</v>
      </c>
      <c r="CI13" s="112">
        <v>0</v>
      </c>
      <c r="CJ13" s="112">
        <v>0</v>
      </c>
      <c r="CK13" s="112">
        <v>0</v>
      </c>
      <c r="CL13" s="112">
        <v>0</v>
      </c>
      <c r="CM13" s="112">
        <v>0</v>
      </c>
      <c r="CN13" s="112">
        <v>0</v>
      </c>
      <c r="CO13" s="112">
        <v>0</v>
      </c>
      <c r="CP13" s="112">
        <v>0</v>
      </c>
      <c r="CQ13" s="112">
        <v>0</v>
      </c>
      <c r="CR13" s="112">
        <v>0</v>
      </c>
      <c r="CS13" s="112">
        <v>0</v>
      </c>
      <c r="CT13" s="112">
        <v>0</v>
      </c>
      <c r="CU13" s="112">
        <v>0</v>
      </c>
      <c r="CV13" s="112">
        <v>0</v>
      </c>
    </row>
    <row r="14" spans="1:100" customFormat="1" x14ac:dyDescent="0.15">
      <c r="A14" s="191" t="s">
        <v>204</v>
      </c>
      <c r="B14" s="112">
        <v>0</v>
      </c>
      <c r="C14" s="112">
        <v>0</v>
      </c>
      <c r="D14" s="112">
        <v>0</v>
      </c>
      <c r="E14" s="112">
        <v>0</v>
      </c>
      <c r="F14" s="112">
        <v>0</v>
      </c>
      <c r="G14" s="112">
        <v>0</v>
      </c>
      <c r="H14" s="112">
        <v>0</v>
      </c>
      <c r="I14" s="112">
        <v>0</v>
      </c>
      <c r="J14" s="112">
        <v>0</v>
      </c>
      <c r="K14" s="112">
        <v>0</v>
      </c>
      <c r="L14" s="112">
        <v>0</v>
      </c>
      <c r="M14" s="112">
        <v>0</v>
      </c>
      <c r="N14" s="112">
        <v>0</v>
      </c>
      <c r="O14" s="112">
        <v>0</v>
      </c>
      <c r="P14" s="112">
        <v>0</v>
      </c>
      <c r="Q14" s="112">
        <v>0</v>
      </c>
      <c r="R14" s="112">
        <v>0</v>
      </c>
      <c r="S14" s="112">
        <v>0</v>
      </c>
      <c r="T14" s="112">
        <v>0</v>
      </c>
      <c r="U14" s="112">
        <v>0</v>
      </c>
      <c r="V14" s="112">
        <v>0</v>
      </c>
      <c r="W14" s="112">
        <v>0</v>
      </c>
      <c r="X14" s="112">
        <v>0</v>
      </c>
      <c r="Y14" s="112">
        <v>0</v>
      </c>
      <c r="Z14" s="112">
        <v>0</v>
      </c>
      <c r="AA14" s="112">
        <v>0</v>
      </c>
      <c r="AB14" s="112">
        <v>0</v>
      </c>
      <c r="AC14" s="112">
        <v>0</v>
      </c>
      <c r="AD14" s="112">
        <v>0</v>
      </c>
      <c r="AE14" s="112">
        <v>0</v>
      </c>
      <c r="AF14" s="112">
        <v>0</v>
      </c>
      <c r="AG14" s="112">
        <v>0</v>
      </c>
      <c r="AH14" s="112">
        <v>0</v>
      </c>
      <c r="AI14" s="112">
        <v>0</v>
      </c>
      <c r="AJ14" s="112">
        <v>0</v>
      </c>
      <c r="AK14" s="112">
        <v>0</v>
      </c>
      <c r="AL14" s="112">
        <v>0</v>
      </c>
      <c r="AM14" s="112">
        <v>0</v>
      </c>
      <c r="AN14" s="112">
        <v>0</v>
      </c>
      <c r="AO14" s="112">
        <v>0</v>
      </c>
      <c r="AP14" s="112">
        <v>0</v>
      </c>
      <c r="AQ14" s="112">
        <v>0</v>
      </c>
      <c r="AR14" s="112">
        <v>0</v>
      </c>
      <c r="AS14" s="112">
        <v>0</v>
      </c>
      <c r="AT14" s="112">
        <v>0</v>
      </c>
      <c r="AU14" s="112">
        <v>0</v>
      </c>
      <c r="AV14" s="112">
        <v>0</v>
      </c>
      <c r="AW14" s="112">
        <v>0</v>
      </c>
      <c r="AX14" s="112">
        <v>0</v>
      </c>
      <c r="AY14" s="112">
        <v>0</v>
      </c>
      <c r="AZ14" s="112">
        <v>0</v>
      </c>
      <c r="BA14" s="112">
        <v>0</v>
      </c>
      <c r="BB14" s="112">
        <v>0</v>
      </c>
      <c r="BC14" s="112">
        <v>0</v>
      </c>
      <c r="BD14" s="112">
        <v>0</v>
      </c>
      <c r="BE14" s="112">
        <v>0</v>
      </c>
      <c r="BF14" s="112">
        <v>0</v>
      </c>
      <c r="BG14" s="112">
        <v>0</v>
      </c>
      <c r="BH14" s="112">
        <v>0</v>
      </c>
      <c r="BI14" s="112">
        <v>0</v>
      </c>
      <c r="BJ14" s="112">
        <v>0</v>
      </c>
      <c r="BK14" s="112">
        <v>0</v>
      </c>
      <c r="BL14" s="112">
        <v>0</v>
      </c>
      <c r="BM14" s="112">
        <v>0</v>
      </c>
      <c r="BN14" s="112">
        <v>0</v>
      </c>
      <c r="BO14" s="112">
        <v>0</v>
      </c>
      <c r="BP14" s="112">
        <v>0</v>
      </c>
      <c r="BQ14" s="112">
        <v>0</v>
      </c>
      <c r="BR14" s="112">
        <v>0</v>
      </c>
      <c r="BS14" s="112">
        <v>0</v>
      </c>
      <c r="BT14" s="112">
        <v>0</v>
      </c>
      <c r="BU14" s="112">
        <v>0</v>
      </c>
      <c r="BV14" s="112">
        <v>0</v>
      </c>
      <c r="BW14" s="112">
        <v>0</v>
      </c>
      <c r="BX14" s="112">
        <v>0</v>
      </c>
      <c r="BY14" s="112">
        <v>0</v>
      </c>
      <c r="BZ14" s="112">
        <v>0</v>
      </c>
      <c r="CA14" s="112">
        <v>0</v>
      </c>
      <c r="CB14" s="112">
        <v>0</v>
      </c>
      <c r="CC14" s="112">
        <v>0</v>
      </c>
      <c r="CD14" s="112">
        <v>0</v>
      </c>
      <c r="CE14" s="112">
        <v>0</v>
      </c>
      <c r="CF14" s="112">
        <v>0</v>
      </c>
      <c r="CG14" s="112">
        <v>0</v>
      </c>
      <c r="CH14" s="112">
        <v>0</v>
      </c>
      <c r="CI14" s="112">
        <v>0</v>
      </c>
      <c r="CJ14" s="112">
        <v>0</v>
      </c>
      <c r="CK14" s="112">
        <v>0</v>
      </c>
      <c r="CL14" s="112">
        <v>0</v>
      </c>
      <c r="CM14" s="112">
        <v>0</v>
      </c>
      <c r="CN14" s="112">
        <v>0</v>
      </c>
      <c r="CO14" s="112">
        <v>0</v>
      </c>
      <c r="CP14" s="112">
        <v>0</v>
      </c>
      <c r="CQ14" s="112">
        <v>0</v>
      </c>
      <c r="CR14" s="112">
        <v>0</v>
      </c>
      <c r="CS14" s="112">
        <v>0</v>
      </c>
      <c r="CT14" s="112">
        <v>0</v>
      </c>
      <c r="CU14" s="112">
        <v>0</v>
      </c>
      <c r="CV14" s="112">
        <v>0</v>
      </c>
    </row>
    <row r="15" spans="1:100" customFormat="1" x14ac:dyDescent="0.15">
      <c r="A15" s="191" t="s">
        <v>205</v>
      </c>
      <c r="B15" s="112">
        <v>1</v>
      </c>
      <c r="C15" s="112">
        <v>0</v>
      </c>
      <c r="D15" s="112">
        <v>0</v>
      </c>
      <c r="E15" s="112">
        <v>0</v>
      </c>
      <c r="F15" s="112">
        <v>0</v>
      </c>
      <c r="G15" s="112">
        <v>0</v>
      </c>
      <c r="H15" s="112">
        <v>0</v>
      </c>
      <c r="I15" s="112">
        <v>0</v>
      </c>
      <c r="J15" s="112">
        <v>0</v>
      </c>
      <c r="K15" s="112">
        <v>0</v>
      </c>
      <c r="L15" s="112">
        <v>1</v>
      </c>
      <c r="M15" s="112">
        <v>0</v>
      </c>
      <c r="N15" s="112">
        <v>0</v>
      </c>
      <c r="O15" s="112">
        <v>0</v>
      </c>
      <c r="P15" s="112">
        <v>1</v>
      </c>
      <c r="Q15" s="112">
        <v>1</v>
      </c>
      <c r="R15" s="112">
        <v>1</v>
      </c>
      <c r="S15" s="112">
        <v>0</v>
      </c>
      <c r="T15" s="112">
        <v>1</v>
      </c>
      <c r="U15" s="112">
        <v>0</v>
      </c>
      <c r="V15" s="112">
        <v>0</v>
      </c>
      <c r="W15" s="112">
        <v>0</v>
      </c>
      <c r="X15" s="112">
        <v>1</v>
      </c>
      <c r="Y15" s="112">
        <v>0</v>
      </c>
      <c r="Z15" s="112">
        <v>0</v>
      </c>
      <c r="AA15" s="112">
        <v>0</v>
      </c>
      <c r="AB15" s="112">
        <v>0</v>
      </c>
      <c r="AC15" s="112">
        <v>0</v>
      </c>
      <c r="AD15" s="112">
        <v>1</v>
      </c>
      <c r="AE15" s="112">
        <v>1</v>
      </c>
      <c r="AF15" s="112">
        <v>0</v>
      </c>
      <c r="AG15" s="112">
        <v>0</v>
      </c>
      <c r="AH15" s="112">
        <v>0</v>
      </c>
      <c r="AI15" s="112">
        <v>0</v>
      </c>
      <c r="AJ15" s="112">
        <v>0</v>
      </c>
      <c r="AK15" s="112">
        <v>0</v>
      </c>
      <c r="AL15" s="112">
        <v>0</v>
      </c>
      <c r="AM15" s="112">
        <v>0</v>
      </c>
      <c r="AN15" s="112">
        <v>0</v>
      </c>
      <c r="AO15" s="112">
        <v>0</v>
      </c>
      <c r="AP15" s="112">
        <v>0</v>
      </c>
      <c r="AQ15" s="112">
        <v>0</v>
      </c>
      <c r="AR15" s="112">
        <v>0</v>
      </c>
      <c r="AS15" s="112">
        <v>0</v>
      </c>
      <c r="AT15" s="112">
        <v>0</v>
      </c>
      <c r="AU15" s="112">
        <v>0</v>
      </c>
      <c r="AV15" s="112">
        <v>0</v>
      </c>
      <c r="AW15" s="112">
        <v>0</v>
      </c>
      <c r="AX15" s="112">
        <v>0</v>
      </c>
      <c r="AY15" s="112">
        <v>0</v>
      </c>
      <c r="AZ15" s="112">
        <v>0</v>
      </c>
      <c r="BA15" s="112">
        <v>0</v>
      </c>
      <c r="BB15" s="112">
        <v>0</v>
      </c>
      <c r="BC15" s="112">
        <v>0</v>
      </c>
      <c r="BD15" s="112">
        <v>0</v>
      </c>
      <c r="BE15" s="112">
        <v>0</v>
      </c>
      <c r="BF15" s="112">
        <v>0</v>
      </c>
      <c r="BG15" s="112">
        <v>0</v>
      </c>
      <c r="BH15" s="112">
        <v>0</v>
      </c>
      <c r="BI15" s="112">
        <v>0</v>
      </c>
      <c r="BJ15" s="112">
        <v>0</v>
      </c>
      <c r="BK15" s="112">
        <v>0</v>
      </c>
      <c r="BL15" s="112">
        <v>0</v>
      </c>
      <c r="BM15" s="112">
        <v>0</v>
      </c>
      <c r="BN15" s="112">
        <v>0</v>
      </c>
      <c r="BO15" s="112">
        <v>0</v>
      </c>
      <c r="BP15" s="112">
        <v>0</v>
      </c>
      <c r="BQ15" s="112">
        <v>0</v>
      </c>
      <c r="BR15" s="112">
        <v>0</v>
      </c>
      <c r="BS15" s="112">
        <v>0</v>
      </c>
      <c r="BT15" s="112">
        <v>0</v>
      </c>
      <c r="BU15" s="112">
        <v>0</v>
      </c>
      <c r="BV15" s="112">
        <v>0</v>
      </c>
      <c r="BW15" s="112">
        <v>0</v>
      </c>
      <c r="BX15" s="112">
        <v>0</v>
      </c>
      <c r="BY15" s="112">
        <v>0</v>
      </c>
      <c r="BZ15" s="112">
        <v>0</v>
      </c>
      <c r="CA15" s="112">
        <v>0</v>
      </c>
      <c r="CB15" s="112">
        <v>0</v>
      </c>
      <c r="CC15" s="112">
        <v>0</v>
      </c>
      <c r="CD15" s="112">
        <v>0</v>
      </c>
      <c r="CE15" s="112">
        <v>0</v>
      </c>
      <c r="CF15" s="112">
        <v>0</v>
      </c>
      <c r="CG15" s="112">
        <v>0</v>
      </c>
      <c r="CH15" s="112">
        <v>0</v>
      </c>
      <c r="CI15" s="112">
        <v>0</v>
      </c>
      <c r="CJ15" s="112">
        <v>0</v>
      </c>
      <c r="CK15" s="112">
        <v>0</v>
      </c>
      <c r="CL15" s="112">
        <v>0</v>
      </c>
      <c r="CM15" s="112">
        <v>0</v>
      </c>
      <c r="CN15" s="112">
        <v>0</v>
      </c>
      <c r="CO15" s="112">
        <v>0</v>
      </c>
      <c r="CP15" s="112">
        <v>0</v>
      </c>
      <c r="CQ15" s="112">
        <v>0</v>
      </c>
      <c r="CR15" s="112">
        <v>0</v>
      </c>
      <c r="CS15" s="112">
        <v>0</v>
      </c>
      <c r="CT15" s="112">
        <v>0</v>
      </c>
      <c r="CU15" s="112">
        <v>0</v>
      </c>
      <c r="CV15" s="112">
        <v>0</v>
      </c>
    </row>
    <row r="16" spans="1:100" customFormat="1" x14ac:dyDescent="0.15">
      <c r="A16" s="191" t="s">
        <v>206</v>
      </c>
      <c r="B16" s="112">
        <v>1</v>
      </c>
      <c r="C16" s="112">
        <v>0</v>
      </c>
      <c r="D16" s="112">
        <v>0</v>
      </c>
      <c r="E16" s="112">
        <v>0</v>
      </c>
      <c r="F16" s="112">
        <v>1</v>
      </c>
      <c r="G16" s="112">
        <v>0</v>
      </c>
      <c r="H16" s="112">
        <v>0</v>
      </c>
      <c r="I16" s="112">
        <v>0</v>
      </c>
      <c r="J16" s="112">
        <v>0</v>
      </c>
      <c r="K16" s="112">
        <v>0</v>
      </c>
      <c r="L16" s="112">
        <v>0</v>
      </c>
      <c r="M16" s="112">
        <v>0</v>
      </c>
      <c r="N16" s="112">
        <v>0</v>
      </c>
      <c r="O16" s="112">
        <v>1</v>
      </c>
      <c r="P16" s="112">
        <v>0</v>
      </c>
      <c r="Q16" s="112">
        <v>1</v>
      </c>
      <c r="R16" s="112">
        <v>1</v>
      </c>
      <c r="S16" s="112">
        <v>1</v>
      </c>
      <c r="T16" s="112">
        <v>1</v>
      </c>
      <c r="U16" s="112">
        <v>1</v>
      </c>
      <c r="V16" s="112">
        <v>1</v>
      </c>
      <c r="W16" s="112">
        <v>1</v>
      </c>
      <c r="X16" s="112">
        <v>1</v>
      </c>
      <c r="Y16" s="112">
        <v>0</v>
      </c>
      <c r="Z16" s="112">
        <v>0</v>
      </c>
      <c r="AA16" s="112">
        <v>0</v>
      </c>
      <c r="AB16" s="112">
        <v>0</v>
      </c>
      <c r="AC16" s="112">
        <v>0</v>
      </c>
      <c r="AD16" s="112">
        <v>1</v>
      </c>
      <c r="AE16" s="112">
        <v>1</v>
      </c>
      <c r="AF16" s="112">
        <v>1</v>
      </c>
      <c r="AG16" s="112">
        <v>1</v>
      </c>
      <c r="AH16" s="112">
        <v>0</v>
      </c>
      <c r="AI16" s="112">
        <v>0</v>
      </c>
      <c r="AJ16" s="112">
        <v>0</v>
      </c>
      <c r="AK16" s="112">
        <v>0</v>
      </c>
      <c r="AL16" s="112">
        <v>0</v>
      </c>
      <c r="AM16" s="112">
        <v>0</v>
      </c>
      <c r="AN16" s="112">
        <v>0</v>
      </c>
      <c r="AO16" s="112">
        <v>0</v>
      </c>
      <c r="AP16" s="112">
        <v>0</v>
      </c>
      <c r="AQ16" s="112">
        <v>0</v>
      </c>
      <c r="AR16" s="112">
        <v>0</v>
      </c>
      <c r="AS16" s="112">
        <v>0</v>
      </c>
      <c r="AT16" s="112">
        <v>0</v>
      </c>
      <c r="AU16" s="112">
        <v>0</v>
      </c>
      <c r="AV16" s="112">
        <v>0</v>
      </c>
      <c r="AW16" s="112">
        <v>0</v>
      </c>
      <c r="AX16" s="112">
        <v>0</v>
      </c>
      <c r="AY16" s="112">
        <v>0</v>
      </c>
      <c r="AZ16" s="112">
        <v>0</v>
      </c>
      <c r="BA16" s="112">
        <v>0</v>
      </c>
      <c r="BB16" s="112">
        <v>0</v>
      </c>
      <c r="BC16" s="112">
        <v>0</v>
      </c>
      <c r="BD16" s="112">
        <v>0</v>
      </c>
      <c r="BE16" s="112">
        <v>0</v>
      </c>
      <c r="BF16" s="112">
        <v>0</v>
      </c>
      <c r="BG16" s="112">
        <v>0</v>
      </c>
      <c r="BH16" s="112">
        <v>0</v>
      </c>
      <c r="BI16" s="112">
        <v>0</v>
      </c>
      <c r="BJ16" s="112">
        <v>0</v>
      </c>
      <c r="BK16" s="112">
        <v>0</v>
      </c>
      <c r="BL16" s="112">
        <v>0</v>
      </c>
      <c r="BM16" s="112">
        <v>0</v>
      </c>
      <c r="BN16" s="112">
        <v>0</v>
      </c>
      <c r="BO16" s="112">
        <v>0</v>
      </c>
      <c r="BP16" s="112">
        <v>0</v>
      </c>
      <c r="BQ16" s="112">
        <v>0</v>
      </c>
      <c r="BR16" s="112">
        <v>0</v>
      </c>
      <c r="BS16" s="112">
        <v>0</v>
      </c>
      <c r="BT16" s="112">
        <v>0</v>
      </c>
      <c r="BU16" s="112">
        <v>0</v>
      </c>
      <c r="BV16" s="112">
        <v>0</v>
      </c>
      <c r="BW16" s="112">
        <v>0</v>
      </c>
      <c r="BX16" s="112">
        <v>0</v>
      </c>
      <c r="BY16" s="112">
        <v>0</v>
      </c>
      <c r="BZ16" s="112">
        <v>0</v>
      </c>
      <c r="CA16" s="112">
        <v>0</v>
      </c>
      <c r="CB16" s="112">
        <v>0</v>
      </c>
      <c r="CC16" s="112">
        <v>0</v>
      </c>
      <c r="CD16" s="112">
        <v>0</v>
      </c>
      <c r="CE16" s="112">
        <v>0</v>
      </c>
      <c r="CF16" s="112">
        <v>0</v>
      </c>
      <c r="CG16" s="112">
        <v>0</v>
      </c>
      <c r="CH16" s="112">
        <v>0</v>
      </c>
      <c r="CI16" s="112">
        <v>0</v>
      </c>
      <c r="CJ16" s="112">
        <v>0</v>
      </c>
      <c r="CK16" s="112">
        <v>0</v>
      </c>
      <c r="CL16" s="112">
        <v>0</v>
      </c>
      <c r="CM16" s="112">
        <v>0</v>
      </c>
      <c r="CN16" s="112">
        <v>0</v>
      </c>
      <c r="CO16" s="112">
        <v>0</v>
      </c>
      <c r="CP16" s="112">
        <v>0</v>
      </c>
      <c r="CQ16" s="112">
        <v>0</v>
      </c>
      <c r="CR16" s="112">
        <v>0</v>
      </c>
      <c r="CS16" s="112">
        <v>0</v>
      </c>
      <c r="CT16" s="112">
        <v>0</v>
      </c>
      <c r="CU16" s="112">
        <v>0</v>
      </c>
      <c r="CV16" s="112">
        <v>0</v>
      </c>
    </row>
    <row r="17" spans="1:100" customFormat="1" x14ac:dyDescent="0.15">
      <c r="A17" s="191" t="s">
        <v>207</v>
      </c>
      <c r="B17" s="112">
        <v>0</v>
      </c>
      <c r="C17" s="112">
        <v>0</v>
      </c>
      <c r="D17" s="112">
        <v>0</v>
      </c>
      <c r="E17" s="112">
        <v>0</v>
      </c>
      <c r="F17" s="112">
        <v>0</v>
      </c>
      <c r="G17" s="112">
        <v>0</v>
      </c>
      <c r="H17" s="112">
        <v>0</v>
      </c>
      <c r="I17" s="112">
        <v>0</v>
      </c>
      <c r="J17" s="112">
        <v>0</v>
      </c>
      <c r="K17" s="112">
        <v>0</v>
      </c>
      <c r="L17" s="112">
        <v>0</v>
      </c>
      <c r="M17" s="112">
        <v>0</v>
      </c>
      <c r="N17" s="112">
        <v>0</v>
      </c>
      <c r="O17" s="112">
        <v>0</v>
      </c>
      <c r="P17" s="112">
        <v>0</v>
      </c>
      <c r="Q17" s="112">
        <v>0</v>
      </c>
      <c r="R17" s="112">
        <v>0</v>
      </c>
      <c r="S17" s="112">
        <v>0</v>
      </c>
      <c r="T17" s="112">
        <v>0</v>
      </c>
      <c r="U17" s="112">
        <v>0</v>
      </c>
      <c r="V17" s="112">
        <v>0</v>
      </c>
      <c r="W17" s="112">
        <v>0</v>
      </c>
      <c r="X17" s="112">
        <v>0</v>
      </c>
      <c r="Y17" s="112">
        <v>0</v>
      </c>
      <c r="Z17" s="112">
        <v>0</v>
      </c>
      <c r="AA17" s="112">
        <v>0</v>
      </c>
      <c r="AB17" s="112">
        <v>0</v>
      </c>
      <c r="AC17" s="112">
        <v>0</v>
      </c>
      <c r="AD17" s="112">
        <v>0</v>
      </c>
      <c r="AE17" s="112">
        <v>0</v>
      </c>
      <c r="AF17" s="112">
        <v>0</v>
      </c>
      <c r="AG17" s="112">
        <v>0</v>
      </c>
      <c r="AH17" s="112">
        <v>0</v>
      </c>
      <c r="AI17" s="112">
        <v>0</v>
      </c>
      <c r="AJ17" s="112">
        <v>0</v>
      </c>
      <c r="AK17" s="112">
        <v>0</v>
      </c>
      <c r="AL17" s="112">
        <v>0</v>
      </c>
      <c r="AM17" s="112">
        <v>0</v>
      </c>
      <c r="AN17" s="112">
        <v>0</v>
      </c>
      <c r="AO17" s="112">
        <v>0</v>
      </c>
      <c r="AP17" s="112">
        <v>0</v>
      </c>
      <c r="AQ17" s="112">
        <v>0</v>
      </c>
      <c r="AR17" s="112">
        <v>0</v>
      </c>
      <c r="AS17" s="112">
        <v>0</v>
      </c>
      <c r="AT17" s="112">
        <v>0</v>
      </c>
      <c r="AU17" s="112">
        <v>0</v>
      </c>
      <c r="AV17" s="112">
        <v>0</v>
      </c>
      <c r="AW17" s="112">
        <v>0</v>
      </c>
      <c r="AX17" s="112">
        <v>0</v>
      </c>
      <c r="AY17" s="112">
        <v>0</v>
      </c>
      <c r="AZ17" s="112">
        <v>0</v>
      </c>
      <c r="BA17" s="112">
        <v>0</v>
      </c>
      <c r="BB17" s="112">
        <v>0</v>
      </c>
      <c r="BC17" s="112">
        <v>0</v>
      </c>
      <c r="BD17" s="112">
        <v>0</v>
      </c>
      <c r="BE17" s="112">
        <v>0</v>
      </c>
      <c r="BF17" s="112">
        <v>0</v>
      </c>
      <c r="BG17" s="112">
        <v>0</v>
      </c>
      <c r="BH17" s="112">
        <v>0</v>
      </c>
      <c r="BI17" s="112">
        <v>0</v>
      </c>
      <c r="BJ17" s="112">
        <v>0</v>
      </c>
      <c r="BK17" s="112">
        <v>0</v>
      </c>
      <c r="BL17" s="112">
        <v>0</v>
      </c>
      <c r="BM17" s="112">
        <v>0</v>
      </c>
      <c r="BN17" s="112">
        <v>0</v>
      </c>
      <c r="BO17" s="112">
        <v>0</v>
      </c>
      <c r="BP17" s="112">
        <v>0</v>
      </c>
      <c r="BQ17" s="112">
        <v>0</v>
      </c>
      <c r="BR17" s="112">
        <v>0</v>
      </c>
      <c r="BS17" s="112">
        <v>0</v>
      </c>
      <c r="BT17" s="112">
        <v>0</v>
      </c>
      <c r="BU17" s="112">
        <v>0</v>
      </c>
      <c r="BV17" s="112">
        <v>0</v>
      </c>
      <c r="BW17" s="112">
        <v>0</v>
      </c>
      <c r="BX17" s="112">
        <v>0</v>
      </c>
      <c r="BY17" s="112">
        <v>0</v>
      </c>
      <c r="BZ17" s="112">
        <v>0</v>
      </c>
      <c r="CA17" s="112">
        <v>0</v>
      </c>
      <c r="CB17" s="112">
        <v>0</v>
      </c>
      <c r="CC17" s="112">
        <v>0</v>
      </c>
      <c r="CD17" s="112">
        <v>0</v>
      </c>
      <c r="CE17" s="112">
        <v>0</v>
      </c>
      <c r="CF17" s="112">
        <v>0</v>
      </c>
      <c r="CG17" s="112">
        <v>0</v>
      </c>
      <c r="CH17" s="112">
        <v>0</v>
      </c>
      <c r="CI17" s="112">
        <v>0</v>
      </c>
      <c r="CJ17" s="112">
        <v>0</v>
      </c>
      <c r="CK17" s="112">
        <v>0</v>
      </c>
      <c r="CL17" s="112">
        <v>0</v>
      </c>
      <c r="CM17" s="112">
        <v>0</v>
      </c>
      <c r="CN17" s="112">
        <v>0</v>
      </c>
      <c r="CO17" s="112">
        <v>0</v>
      </c>
      <c r="CP17" s="112">
        <v>0</v>
      </c>
      <c r="CQ17" s="112">
        <v>0</v>
      </c>
      <c r="CR17" s="112">
        <v>0</v>
      </c>
      <c r="CS17" s="112">
        <v>0</v>
      </c>
      <c r="CT17" s="112">
        <v>0</v>
      </c>
      <c r="CU17" s="112">
        <v>0</v>
      </c>
      <c r="CV17" s="112">
        <v>0</v>
      </c>
    </row>
    <row r="18" spans="1:100" customFormat="1" x14ac:dyDescent="0.15">
      <c r="A18" s="191" t="s">
        <v>208</v>
      </c>
      <c r="B18" s="112">
        <v>1</v>
      </c>
      <c r="C18" s="112">
        <v>0</v>
      </c>
      <c r="D18" s="112">
        <v>0</v>
      </c>
      <c r="E18" s="112">
        <v>0</v>
      </c>
      <c r="F18" s="112">
        <v>0</v>
      </c>
      <c r="G18" s="112">
        <v>0</v>
      </c>
      <c r="H18" s="112">
        <v>0</v>
      </c>
      <c r="I18" s="112">
        <v>0</v>
      </c>
      <c r="J18" s="112">
        <v>0</v>
      </c>
      <c r="K18" s="112">
        <v>0</v>
      </c>
      <c r="L18" s="112">
        <v>0</v>
      </c>
      <c r="M18" s="112">
        <v>0</v>
      </c>
      <c r="N18" s="112">
        <v>0</v>
      </c>
      <c r="O18" s="112">
        <v>0</v>
      </c>
      <c r="P18" s="112">
        <v>0</v>
      </c>
      <c r="Q18" s="112">
        <v>1</v>
      </c>
      <c r="R18" s="112">
        <v>1</v>
      </c>
      <c r="S18" s="112">
        <v>0</v>
      </c>
      <c r="T18" s="112">
        <v>0</v>
      </c>
      <c r="U18" s="112">
        <v>0</v>
      </c>
      <c r="V18" s="112">
        <v>0</v>
      </c>
      <c r="W18" s="112">
        <v>0</v>
      </c>
      <c r="X18" s="112">
        <v>0</v>
      </c>
      <c r="Y18" s="112">
        <v>0</v>
      </c>
      <c r="Z18" s="112">
        <v>0</v>
      </c>
      <c r="AA18" s="112">
        <v>0</v>
      </c>
      <c r="AB18" s="112">
        <v>0</v>
      </c>
      <c r="AC18" s="112">
        <v>0</v>
      </c>
      <c r="AD18" s="112">
        <v>1</v>
      </c>
      <c r="AE18" s="112">
        <v>1</v>
      </c>
      <c r="AF18" s="112">
        <v>1</v>
      </c>
      <c r="AG18" s="112">
        <v>0</v>
      </c>
      <c r="AH18" s="112">
        <v>0</v>
      </c>
      <c r="AI18" s="112">
        <v>0</v>
      </c>
      <c r="AJ18" s="112">
        <v>0</v>
      </c>
      <c r="AK18" s="112">
        <v>0</v>
      </c>
      <c r="AL18" s="112">
        <v>0</v>
      </c>
      <c r="AM18" s="112">
        <v>0</v>
      </c>
      <c r="AN18" s="112">
        <v>0</v>
      </c>
      <c r="AO18" s="112">
        <v>0</v>
      </c>
      <c r="AP18" s="112">
        <v>0</v>
      </c>
      <c r="AQ18" s="112">
        <v>0</v>
      </c>
      <c r="AR18" s="112">
        <v>0</v>
      </c>
      <c r="AS18" s="112">
        <v>0</v>
      </c>
      <c r="AT18" s="112">
        <v>0</v>
      </c>
      <c r="AU18" s="112">
        <v>0</v>
      </c>
      <c r="AV18" s="112">
        <v>0</v>
      </c>
      <c r="AW18" s="112">
        <v>0</v>
      </c>
      <c r="AX18" s="112">
        <v>0</v>
      </c>
      <c r="AY18" s="112">
        <v>0</v>
      </c>
      <c r="AZ18" s="112">
        <v>0</v>
      </c>
      <c r="BA18" s="112">
        <v>0</v>
      </c>
      <c r="BB18" s="112">
        <v>0</v>
      </c>
      <c r="BC18" s="112">
        <v>0</v>
      </c>
      <c r="BD18" s="112">
        <v>0</v>
      </c>
      <c r="BE18" s="112">
        <v>0</v>
      </c>
      <c r="BF18" s="112">
        <v>0</v>
      </c>
      <c r="BG18" s="112">
        <v>0</v>
      </c>
      <c r="BH18" s="112">
        <v>0</v>
      </c>
      <c r="BI18" s="112">
        <v>0</v>
      </c>
      <c r="BJ18" s="112">
        <v>0</v>
      </c>
      <c r="BK18" s="112">
        <v>0</v>
      </c>
      <c r="BL18" s="112">
        <v>0</v>
      </c>
      <c r="BM18" s="112">
        <v>0</v>
      </c>
      <c r="BN18" s="112">
        <v>0</v>
      </c>
      <c r="BO18" s="112">
        <v>0</v>
      </c>
      <c r="BP18" s="112">
        <v>0</v>
      </c>
      <c r="BQ18" s="112">
        <v>0</v>
      </c>
      <c r="BR18" s="112">
        <v>0</v>
      </c>
      <c r="BS18" s="112">
        <v>0</v>
      </c>
      <c r="BT18" s="112">
        <v>0</v>
      </c>
      <c r="BU18" s="112">
        <v>0</v>
      </c>
      <c r="BV18" s="112">
        <v>0</v>
      </c>
      <c r="BW18" s="112">
        <v>0</v>
      </c>
      <c r="BX18" s="112">
        <v>0</v>
      </c>
      <c r="BY18" s="112">
        <v>0</v>
      </c>
      <c r="BZ18" s="112">
        <v>0</v>
      </c>
      <c r="CA18" s="112">
        <v>0</v>
      </c>
      <c r="CB18" s="112">
        <v>0</v>
      </c>
      <c r="CC18" s="112">
        <v>0</v>
      </c>
      <c r="CD18" s="112">
        <v>0</v>
      </c>
      <c r="CE18" s="112">
        <v>0</v>
      </c>
      <c r="CF18" s="112">
        <v>0</v>
      </c>
      <c r="CG18" s="112">
        <v>0</v>
      </c>
      <c r="CH18" s="112">
        <v>0</v>
      </c>
      <c r="CI18" s="112">
        <v>0</v>
      </c>
      <c r="CJ18" s="112">
        <v>0</v>
      </c>
      <c r="CK18" s="112">
        <v>0</v>
      </c>
      <c r="CL18" s="112">
        <v>0</v>
      </c>
      <c r="CM18" s="112">
        <v>0</v>
      </c>
      <c r="CN18" s="112">
        <v>0</v>
      </c>
      <c r="CO18" s="112">
        <v>0</v>
      </c>
      <c r="CP18" s="112">
        <v>0</v>
      </c>
      <c r="CQ18" s="112">
        <v>0</v>
      </c>
      <c r="CR18" s="112">
        <v>0</v>
      </c>
      <c r="CS18" s="112">
        <v>0</v>
      </c>
      <c r="CT18" s="112">
        <v>0</v>
      </c>
      <c r="CU18" s="112">
        <v>0</v>
      </c>
      <c r="CV18" s="112">
        <v>0</v>
      </c>
    </row>
    <row r="19" spans="1:100" customFormat="1" x14ac:dyDescent="0.15">
      <c r="A19" s="191" t="s">
        <v>209</v>
      </c>
      <c r="B19" s="112">
        <v>1</v>
      </c>
      <c r="C19" s="112">
        <v>0</v>
      </c>
      <c r="D19" s="112">
        <v>0</v>
      </c>
      <c r="E19" s="112">
        <v>0</v>
      </c>
      <c r="F19" s="112">
        <v>0</v>
      </c>
      <c r="G19" s="112">
        <v>0</v>
      </c>
      <c r="H19" s="112">
        <v>0</v>
      </c>
      <c r="I19" s="112">
        <v>0</v>
      </c>
      <c r="J19" s="112">
        <v>0</v>
      </c>
      <c r="K19" s="112">
        <v>0</v>
      </c>
      <c r="L19" s="112">
        <v>0</v>
      </c>
      <c r="M19" s="112">
        <v>0</v>
      </c>
      <c r="N19" s="112">
        <v>0</v>
      </c>
      <c r="O19" s="112">
        <v>1</v>
      </c>
      <c r="P19" s="112">
        <v>1</v>
      </c>
      <c r="Q19" s="112">
        <v>1</v>
      </c>
      <c r="R19" s="112">
        <v>1</v>
      </c>
      <c r="S19" s="112">
        <v>0</v>
      </c>
      <c r="T19" s="112">
        <v>1</v>
      </c>
      <c r="U19" s="112">
        <v>0</v>
      </c>
      <c r="V19" s="112">
        <v>0</v>
      </c>
      <c r="W19" s="112">
        <v>0</v>
      </c>
      <c r="X19" s="112">
        <v>1</v>
      </c>
      <c r="Y19" s="112">
        <v>0</v>
      </c>
      <c r="Z19" s="112">
        <v>0</v>
      </c>
      <c r="AA19" s="112">
        <v>0</v>
      </c>
      <c r="AB19" s="112">
        <v>0</v>
      </c>
      <c r="AC19" s="112">
        <v>0</v>
      </c>
      <c r="AD19" s="112">
        <v>1</v>
      </c>
      <c r="AE19" s="112">
        <v>1</v>
      </c>
      <c r="AF19" s="112">
        <v>0</v>
      </c>
      <c r="AG19" s="112">
        <v>0</v>
      </c>
      <c r="AH19" s="112">
        <v>0</v>
      </c>
      <c r="AI19" s="112">
        <v>0</v>
      </c>
      <c r="AJ19" s="112">
        <v>0</v>
      </c>
      <c r="AK19" s="112">
        <v>0</v>
      </c>
      <c r="AL19" s="112">
        <v>0</v>
      </c>
      <c r="AM19" s="112">
        <v>0</v>
      </c>
      <c r="AN19" s="112">
        <v>0</v>
      </c>
      <c r="AO19" s="112">
        <v>0</v>
      </c>
      <c r="AP19" s="112">
        <v>0</v>
      </c>
      <c r="AQ19" s="112">
        <v>0</v>
      </c>
      <c r="AR19" s="112">
        <v>0</v>
      </c>
      <c r="AS19" s="112">
        <v>0</v>
      </c>
      <c r="AT19" s="112">
        <v>0</v>
      </c>
      <c r="AU19" s="112">
        <v>0</v>
      </c>
      <c r="AV19" s="112">
        <v>0</v>
      </c>
      <c r="AW19" s="112">
        <v>0</v>
      </c>
      <c r="AX19" s="112">
        <v>0</v>
      </c>
      <c r="AY19" s="112">
        <v>0</v>
      </c>
      <c r="AZ19" s="112">
        <v>0</v>
      </c>
      <c r="BA19" s="112">
        <v>0</v>
      </c>
      <c r="BB19" s="112">
        <v>0</v>
      </c>
      <c r="BC19" s="112">
        <v>0</v>
      </c>
      <c r="BD19" s="112">
        <v>0</v>
      </c>
      <c r="BE19" s="112">
        <v>0</v>
      </c>
      <c r="BF19" s="112">
        <v>0</v>
      </c>
      <c r="BG19" s="112">
        <v>0</v>
      </c>
      <c r="BH19" s="112">
        <v>0</v>
      </c>
      <c r="BI19" s="112">
        <v>0</v>
      </c>
      <c r="BJ19" s="112">
        <v>0</v>
      </c>
      <c r="BK19" s="112">
        <v>0</v>
      </c>
      <c r="BL19" s="112">
        <v>0</v>
      </c>
      <c r="BM19" s="112">
        <v>0</v>
      </c>
      <c r="BN19" s="112">
        <v>0</v>
      </c>
      <c r="BO19" s="112">
        <v>0</v>
      </c>
      <c r="BP19" s="112">
        <v>0</v>
      </c>
      <c r="BQ19" s="112">
        <v>0</v>
      </c>
      <c r="BR19" s="112">
        <v>0</v>
      </c>
      <c r="BS19" s="112">
        <v>0</v>
      </c>
      <c r="BT19" s="112">
        <v>0</v>
      </c>
      <c r="BU19" s="112">
        <v>0</v>
      </c>
      <c r="BV19" s="112">
        <v>0</v>
      </c>
      <c r="BW19" s="112">
        <v>0</v>
      </c>
      <c r="BX19" s="112">
        <v>0</v>
      </c>
      <c r="BY19" s="112">
        <v>0</v>
      </c>
      <c r="BZ19" s="112">
        <v>0</v>
      </c>
      <c r="CA19" s="112">
        <v>0</v>
      </c>
      <c r="CB19" s="112">
        <v>0</v>
      </c>
      <c r="CC19" s="112">
        <v>0</v>
      </c>
      <c r="CD19" s="112">
        <v>0</v>
      </c>
      <c r="CE19" s="112">
        <v>0</v>
      </c>
      <c r="CF19" s="112">
        <v>0</v>
      </c>
      <c r="CG19" s="112">
        <v>0</v>
      </c>
      <c r="CH19" s="112">
        <v>0</v>
      </c>
      <c r="CI19" s="112">
        <v>0</v>
      </c>
      <c r="CJ19" s="112">
        <v>0</v>
      </c>
      <c r="CK19" s="112">
        <v>0</v>
      </c>
      <c r="CL19" s="112">
        <v>0</v>
      </c>
      <c r="CM19" s="112">
        <v>0</v>
      </c>
      <c r="CN19" s="112">
        <v>0</v>
      </c>
      <c r="CO19" s="112">
        <v>0</v>
      </c>
      <c r="CP19" s="112">
        <v>0</v>
      </c>
      <c r="CQ19" s="112">
        <v>0</v>
      </c>
      <c r="CR19" s="112">
        <v>0</v>
      </c>
      <c r="CS19" s="112">
        <v>0</v>
      </c>
      <c r="CT19" s="112">
        <v>0</v>
      </c>
      <c r="CU19" s="112">
        <v>0</v>
      </c>
      <c r="CV19" s="112">
        <v>0</v>
      </c>
    </row>
    <row r="20" spans="1:100" customFormat="1" x14ac:dyDescent="0.15">
      <c r="A20" s="191" t="s">
        <v>210</v>
      </c>
      <c r="B20" s="112">
        <v>1</v>
      </c>
      <c r="C20" s="112">
        <v>0</v>
      </c>
      <c r="D20" s="112">
        <v>0</v>
      </c>
      <c r="E20" s="112">
        <v>0</v>
      </c>
      <c r="F20" s="112">
        <v>0</v>
      </c>
      <c r="G20" s="112">
        <v>0</v>
      </c>
      <c r="H20" s="112">
        <v>0</v>
      </c>
      <c r="I20" s="112">
        <v>0</v>
      </c>
      <c r="J20" s="112">
        <v>0</v>
      </c>
      <c r="K20" s="112">
        <v>0</v>
      </c>
      <c r="L20" s="112">
        <v>0</v>
      </c>
      <c r="M20" s="112">
        <v>0</v>
      </c>
      <c r="N20" s="112">
        <v>0</v>
      </c>
      <c r="O20" s="112">
        <v>0</v>
      </c>
      <c r="P20" s="112">
        <v>0</v>
      </c>
      <c r="Q20" s="112">
        <v>0</v>
      </c>
      <c r="R20" s="112">
        <v>0</v>
      </c>
      <c r="S20" s="112">
        <v>0</v>
      </c>
      <c r="T20" s="112">
        <v>0</v>
      </c>
      <c r="U20" s="112">
        <v>0</v>
      </c>
      <c r="V20" s="112">
        <v>0</v>
      </c>
      <c r="W20" s="112">
        <v>0</v>
      </c>
      <c r="X20" s="112">
        <v>0</v>
      </c>
      <c r="Y20" s="112">
        <v>0</v>
      </c>
      <c r="Z20" s="112">
        <v>0</v>
      </c>
      <c r="AA20" s="112">
        <v>0</v>
      </c>
      <c r="AB20" s="112">
        <v>0</v>
      </c>
      <c r="AC20" s="112">
        <v>0</v>
      </c>
      <c r="AD20" s="112">
        <v>0</v>
      </c>
      <c r="AE20" s="112">
        <v>0</v>
      </c>
      <c r="AF20" s="112">
        <v>0</v>
      </c>
      <c r="AG20" s="112">
        <v>0</v>
      </c>
      <c r="AH20" s="112">
        <v>0</v>
      </c>
      <c r="AI20" s="112">
        <v>0</v>
      </c>
      <c r="AJ20" s="112">
        <v>0</v>
      </c>
      <c r="AK20" s="112">
        <v>0</v>
      </c>
      <c r="AL20" s="112">
        <v>0</v>
      </c>
      <c r="AM20" s="112">
        <v>0</v>
      </c>
      <c r="AN20" s="112">
        <v>0</v>
      </c>
      <c r="AO20" s="112">
        <v>0</v>
      </c>
      <c r="AP20" s="112">
        <v>0</v>
      </c>
      <c r="AQ20" s="112">
        <v>0</v>
      </c>
      <c r="AR20" s="112">
        <v>0</v>
      </c>
      <c r="AS20" s="112">
        <v>0</v>
      </c>
      <c r="AT20" s="112">
        <v>0</v>
      </c>
      <c r="AU20" s="112">
        <v>0</v>
      </c>
      <c r="AV20" s="112">
        <v>0</v>
      </c>
      <c r="AW20" s="112">
        <v>0</v>
      </c>
      <c r="AX20" s="112">
        <v>0</v>
      </c>
      <c r="AY20" s="112">
        <v>0</v>
      </c>
      <c r="AZ20" s="112">
        <v>0</v>
      </c>
      <c r="BA20" s="112">
        <v>0</v>
      </c>
      <c r="BB20" s="112">
        <v>0</v>
      </c>
      <c r="BC20" s="112">
        <v>0</v>
      </c>
      <c r="BD20" s="112">
        <v>0</v>
      </c>
      <c r="BE20" s="112">
        <v>0</v>
      </c>
      <c r="BF20" s="112">
        <v>0</v>
      </c>
      <c r="BG20" s="112">
        <v>0</v>
      </c>
      <c r="BH20" s="112">
        <v>0</v>
      </c>
      <c r="BI20" s="112">
        <v>0</v>
      </c>
      <c r="BJ20" s="112">
        <v>0</v>
      </c>
      <c r="BK20" s="112">
        <v>0</v>
      </c>
      <c r="BL20" s="112">
        <v>0</v>
      </c>
      <c r="BM20" s="112">
        <v>0</v>
      </c>
      <c r="BN20" s="112">
        <v>0</v>
      </c>
      <c r="BO20" s="112">
        <v>0</v>
      </c>
      <c r="BP20" s="112">
        <v>0</v>
      </c>
      <c r="BQ20" s="112">
        <v>0</v>
      </c>
      <c r="BR20" s="112">
        <v>0</v>
      </c>
      <c r="BS20" s="112">
        <v>0</v>
      </c>
      <c r="BT20" s="112">
        <v>0</v>
      </c>
      <c r="BU20" s="112">
        <v>0</v>
      </c>
      <c r="BV20" s="112">
        <v>0</v>
      </c>
      <c r="BW20" s="112">
        <v>0</v>
      </c>
      <c r="BX20" s="112">
        <v>0</v>
      </c>
      <c r="BY20" s="112">
        <v>0</v>
      </c>
      <c r="BZ20" s="112">
        <v>0</v>
      </c>
      <c r="CA20" s="112">
        <v>0</v>
      </c>
      <c r="CB20" s="112">
        <v>0</v>
      </c>
      <c r="CC20" s="112">
        <v>0</v>
      </c>
      <c r="CD20" s="112">
        <v>0</v>
      </c>
      <c r="CE20" s="112">
        <v>0</v>
      </c>
      <c r="CF20" s="112">
        <v>0</v>
      </c>
      <c r="CG20" s="112">
        <v>0</v>
      </c>
      <c r="CH20" s="112">
        <v>0</v>
      </c>
      <c r="CI20" s="112">
        <v>0</v>
      </c>
      <c r="CJ20" s="112">
        <v>0</v>
      </c>
      <c r="CK20" s="112">
        <v>0</v>
      </c>
      <c r="CL20" s="112">
        <v>0</v>
      </c>
      <c r="CM20" s="112">
        <v>0</v>
      </c>
      <c r="CN20" s="112">
        <v>0</v>
      </c>
      <c r="CO20" s="112">
        <v>0</v>
      </c>
      <c r="CP20" s="112">
        <v>0</v>
      </c>
      <c r="CQ20" s="112">
        <v>0</v>
      </c>
      <c r="CR20" s="112">
        <v>0</v>
      </c>
      <c r="CS20" s="112">
        <v>0</v>
      </c>
      <c r="CT20" s="112">
        <v>0</v>
      </c>
      <c r="CU20" s="112">
        <v>0</v>
      </c>
      <c r="CV20" s="112">
        <v>0</v>
      </c>
    </row>
    <row r="21" spans="1:100" customFormat="1" x14ac:dyDescent="0.15">
      <c r="A21" s="191" t="s">
        <v>211</v>
      </c>
      <c r="B21" s="112">
        <v>1</v>
      </c>
      <c r="C21" s="112">
        <v>0</v>
      </c>
      <c r="D21" s="112">
        <v>0</v>
      </c>
      <c r="E21" s="112">
        <v>0</v>
      </c>
      <c r="F21" s="112">
        <v>1</v>
      </c>
      <c r="G21" s="112">
        <v>1</v>
      </c>
      <c r="H21" s="112">
        <v>1</v>
      </c>
      <c r="I21" s="112">
        <v>1</v>
      </c>
      <c r="J21" s="112">
        <v>1</v>
      </c>
      <c r="K21" s="112">
        <v>0</v>
      </c>
      <c r="L21" s="112">
        <v>1</v>
      </c>
      <c r="M21" s="112">
        <v>1</v>
      </c>
      <c r="N21" s="112">
        <v>1</v>
      </c>
      <c r="O21" s="112">
        <v>1</v>
      </c>
      <c r="P21" s="112">
        <v>1</v>
      </c>
      <c r="Q21" s="112">
        <v>1</v>
      </c>
      <c r="R21" s="112">
        <v>1</v>
      </c>
      <c r="S21" s="112">
        <v>1</v>
      </c>
      <c r="T21" s="112">
        <v>1</v>
      </c>
      <c r="U21" s="112">
        <v>0</v>
      </c>
      <c r="V21" s="112">
        <v>1</v>
      </c>
      <c r="W21" s="112">
        <v>1</v>
      </c>
      <c r="X21" s="112">
        <v>1</v>
      </c>
      <c r="Y21" s="112">
        <v>0</v>
      </c>
      <c r="Z21" s="112">
        <v>0</v>
      </c>
      <c r="AA21" s="112">
        <v>0</v>
      </c>
      <c r="AB21" s="112">
        <v>0</v>
      </c>
      <c r="AC21" s="112">
        <v>0</v>
      </c>
      <c r="AD21" s="112">
        <v>1</v>
      </c>
      <c r="AE21" s="112">
        <v>1</v>
      </c>
      <c r="AF21" s="112">
        <v>1</v>
      </c>
      <c r="AG21" s="112">
        <v>1</v>
      </c>
      <c r="AH21" s="112">
        <v>0</v>
      </c>
      <c r="AI21" s="112">
        <v>0</v>
      </c>
      <c r="AJ21" s="112">
        <v>0</v>
      </c>
      <c r="AK21" s="112">
        <v>1</v>
      </c>
      <c r="AL21" s="112">
        <v>0</v>
      </c>
      <c r="AM21" s="112">
        <v>0</v>
      </c>
      <c r="AN21" s="112">
        <v>0</v>
      </c>
      <c r="AO21" s="112">
        <v>0</v>
      </c>
      <c r="AP21" s="112">
        <v>1</v>
      </c>
      <c r="AQ21" s="112">
        <v>0</v>
      </c>
      <c r="AR21" s="112">
        <v>0</v>
      </c>
      <c r="AS21" s="112">
        <v>0</v>
      </c>
      <c r="AT21" s="112">
        <v>0</v>
      </c>
      <c r="AU21" s="112">
        <v>0</v>
      </c>
      <c r="AV21" s="112">
        <v>0</v>
      </c>
      <c r="AW21" s="112">
        <v>0</v>
      </c>
      <c r="AX21" s="112">
        <v>0</v>
      </c>
      <c r="AY21" s="112">
        <v>0</v>
      </c>
      <c r="AZ21" s="112">
        <v>0</v>
      </c>
      <c r="BA21" s="112">
        <v>0</v>
      </c>
      <c r="BB21" s="112">
        <v>0</v>
      </c>
      <c r="BC21" s="112">
        <v>0</v>
      </c>
      <c r="BD21" s="112">
        <v>0</v>
      </c>
      <c r="BE21" s="112">
        <v>0</v>
      </c>
      <c r="BF21" s="112">
        <v>0</v>
      </c>
      <c r="BG21" s="112">
        <v>0</v>
      </c>
      <c r="BH21" s="112">
        <v>0</v>
      </c>
      <c r="BI21" s="112">
        <v>0</v>
      </c>
      <c r="BJ21" s="112">
        <v>0</v>
      </c>
      <c r="BK21" s="112">
        <v>0</v>
      </c>
      <c r="BL21" s="112">
        <v>0</v>
      </c>
      <c r="BM21" s="112">
        <v>0</v>
      </c>
      <c r="BN21" s="112">
        <v>0</v>
      </c>
      <c r="BO21" s="112">
        <v>0</v>
      </c>
      <c r="BP21" s="112">
        <v>0</v>
      </c>
      <c r="BQ21" s="112">
        <v>0</v>
      </c>
      <c r="BR21" s="112">
        <v>0</v>
      </c>
      <c r="BS21" s="112">
        <v>0</v>
      </c>
      <c r="BT21" s="112">
        <v>0</v>
      </c>
      <c r="BU21" s="112">
        <v>0</v>
      </c>
      <c r="BV21" s="112">
        <v>0</v>
      </c>
      <c r="BW21" s="112">
        <v>0</v>
      </c>
      <c r="BX21" s="112">
        <v>0</v>
      </c>
      <c r="BY21" s="112">
        <v>0</v>
      </c>
      <c r="BZ21" s="112">
        <v>0</v>
      </c>
      <c r="CA21" s="112">
        <v>0</v>
      </c>
      <c r="CB21" s="112">
        <v>0</v>
      </c>
      <c r="CC21" s="112">
        <v>0</v>
      </c>
      <c r="CD21" s="112">
        <v>0</v>
      </c>
      <c r="CE21" s="112">
        <v>0</v>
      </c>
      <c r="CF21" s="112">
        <v>0</v>
      </c>
      <c r="CG21" s="112">
        <v>0</v>
      </c>
      <c r="CH21" s="112">
        <v>0</v>
      </c>
      <c r="CI21" s="112">
        <v>0</v>
      </c>
      <c r="CJ21" s="112">
        <v>0</v>
      </c>
      <c r="CK21" s="112">
        <v>0</v>
      </c>
      <c r="CL21" s="112">
        <v>0</v>
      </c>
      <c r="CM21" s="112">
        <v>0</v>
      </c>
      <c r="CN21" s="112">
        <v>0</v>
      </c>
      <c r="CO21" s="112">
        <v>0</v>
      </c>
      <c r="CP21" s="112">
        <v>0</v>
      </c>
      <c r="CQ21" s="112">
        <v>0</v>
      </c>
      <c r="CR21" s="112">
        <v>0</v>
      </c>
      <c r="CS21" s="112">
        <v>0</v>
      </c>
      <c r="CT21" s="112">
        <v>0</v>
      </c>
      <c r="CU21" s="112">
        <v>0</v>
      </c>
      <c r="CV21" s="112">
        <v>0</v>
      </c>
    </row>
    <row r="22" spans="1:100" customFormat="1" x14ac:dyDescent="0.15">
      <c r="A22" s="191" t="s">
        <v>212</v>
      </c>
      <c r="B22" s="112">
        <v>0</v>
      </c>
      <c r="C22" s="112">
        <v>0</v>
      </c>
      <c r="D22" s="112">
        <v>0</v>
      </c>
      <c r="E22" s="112">
        <v>0</v>
      </c>
      <c r="F22" s="112">
        <v>0</v>
      </c>
      <c r="G22" s="112">
        <v>0</v>
      </c>
      <c r="H22" s="112">
        <v>0</v>
      </c>
      <c r="I22" s="112">
        <v>0</v>
      </c>
      <c r="J22" s="112">
        <v>0</v>
      </c>
      <c r="K22" s="112">
        <v>0</v>
      </c>
      <c r="L22" s="112">
        <v>0</v>
      </c>
      <c r="M22" s="112">
        <v>0</v>
      </c>
      <c r="N22" s="112">
        <v>0</v>
      </c>
      <c r="O22" s="112">
        <v>0</v>
      </c>
      <c r="P22" s="112">
        <v>0</v>
      </c>
      <c r="Q22" s="112">
        <v>0</v>
      </c>
      <c r="R22" s="112">
        <v>0</v>
      </c>
      <c r="S22" s="112">
        <v>0</v>
      </c>
      <c r="T22" s="112">
        <v>1</v>
      </c>
      <c r="U22" s="112">
        <v>0</v>
      </c>
      <c r="V22" s="112">
        <v>0</v>
      </c>
      <c r="W22" s="112">
        <v>0</v>
      </c>
      <c r="X22" s="112">
        <v>0</v>
      </c>
      <c r="Y22" s="112">
        <v>0</v>
      </c>
      <c r="Z22" s="112">
        <v>0</v>
      </c>
      <c r="AA22" s="112">
        <v>0</v>
      </c>
      <c r="AB22" s="112">
        <v>0</v>
      </c>
      <c r="AC22" s="112">
        <v>0</v>
      </c>
      <c r="AD22" s="112">
        <v>0</v>
      </c>
      <c r="AE22" s="112">
        <v>0</v>
      </c>
      <c r="AF22" s="112">
        <v>0</v>
      </c>
      <c r="AG22" s="112">
        <v>0</v>
      </c>
      <c r="AH22" s="112">
        <v>0</v>
      </c>
      <c r="AI22" s="112">
        <v>0</v>
      </c>
      <c r="AJ22" s="112">
        <v>0</v>
      </c>
      <c r="AK22" s="112">
        <v>0</v>
      </c>
      <c r="AL22" s="112">
        <v>0</v>
      </c>
      <c r="AM22" s="112">
        <v>0</v>
      </c>
      <c r="AN22" s="112">
        <v>0</v>
      </c>
      <c r="AO22" s="112">
        <v>0</v>
      </c>
      <c r="AP22" s="112">
        <v>0</v>
      </c>
      <c r="AQ22" s="112">
        <v>0</v>
      </c>
      <c r="AR22" s="112">
        <v>0</v>
      </c>
      <c r="AS22" s="112">
        <v>0</v>
      </c>
      <c r="AT22" s="112">
        <v>0</v>
      </c>
      <c r="AU22" s="112">
        <v>0</v>
      </c>
      <c r="AV22" s="112">
        <v>0</v>
      </c>
      <c r="AW22" s="112">
        <v>0</v>
      </c>
      <c r="AX22" s="112">
        <v>0</v>
      </c>
      <c r="AY22" s="112">
        <v>0</v>
      </c>
      <c r="AZ22" s="112">
        <v>0</v>
      </c>
      <c r="BA22" s="112">
        <v>0</v>
      </c>
      <c r="BB22" s="112">
        <v>0</v>
      </c>
      <c r="BC22" s="112">
        <v>0</v>
      </c>
      <c r="BD22" s="112">
        <v>0</v>
      </c>
      <c r="BE22" s="112">
        <v>0</v>
      </c>
      <c r="BF22" s="112">
        <v>0</v>
      </c>
      <c r="BG22" s="112">
        <v>0</v>
      </c>
      <c r="BH22" s="112">
        <v>0</v>
      </c>
      <c r="BI22" s="112">
        <v>0</v>
      </c>
      <c r="BJ22" s="112">
        <v>0</v>
      </c>
      <c r="BK22" s="112">
        <v>0</v>
      </c>
      <c r="BL22" s="112">
        <v>0</v>
      </c>
      <c r="BM22" s="112">
        <v>0</v>
      </c>
      <c r="BN22" s="112">
        <v>0</v>
      </c>
      <c r="BO22" s="112">
        <v>0</v>
      </c>
      <c r="BP22" s="112">
        <v>0</v>
      </c>
      <c r="BQ22" s="112">
        <v>0</v>
      </c>
      <c r="BR22" s="112">
        <v>0</v>
      </c>
      <c r="BS22" s="112">
        <v>0</v>
      </c>
      <c r="BT22" s="112">
        <v>0</v>
      </c>
      <c r="BU22" s="112">
        <v>0</v>
      </c>
      <c r="BV22" s="112">
        <v>0</v>
      </c>
      <c r="BW22" s="112">
        <v>0</v>
      </c>
      <c r="BX22" s="112">
        <v>0</v>
      </c>
      <c r="BY22" s="112">
        <v>0</v>
      </c>
      <c r="BZ22" s="112">
        <v>0</v>
      </c>
      <c r="CA22" s="112">
        <v>0</v>
      </c>
      <c r="CB22" s="112">
        <v>0</v>
      </c>
      <c r="CC22" s="112">
        <v>0</v>
      </c>
      <c r="CD22" s="112">
        <v>0</v>
      </c>
      <c r="CE22" s="112">
        <v>0</v>
      </c>
      <c r="CF22" s="112">
        <v>0</v>
      </c>
      <c r="CG22" s="112">
        <v>0</v>
      </c>
      <c r="CH22" s="112">
        <v>0</v>
      </c>
      <c r="CI22" s="112">
        <v>0</v>
      </c>
      <c r="CJ22" s="112">
        <v>0</v>
      </c>
      <c r="CK22" s="112">
        <v>0</v>
      </c>
      <c r="CL22" s="112">
        <v>0</v>
      </c>
      <c r="CM22" s="112">
        <v>0</v>
      </c>
      <c r="CN22" s="112">
        <v>0</v>
      </c>
      <c r="CO22" s="112">
        <v>0</v>
      </c>
      <c r="CP22" s="112">
        <v>0</v>
      </c>
      <c r="CQ22" s="112">
        <v>0</v>
      </c>
      <c r="CR22" s="112">
        <v>0</v>
      </c>
      <c r="CS22" s="112">
        <v>0</v>
      </c>
      <c r="CT22" s="112">
        <v>0</v>
      </c>
      <c r="CU22" s="112">
        <v>0</v>
      </c>
      <c r="CV22" s="112">
        <v>0</v>
      </c>
    </row>
    <row r="23" spans="1:100" customFormat="1" x14ac:dyDescent="0.15">
      <c r="A23" s="191" t="s">
        <v>213</v>
      </c>
      <c r="B23" s="112">
        <v>1</v>
      </c>
      <c r="C23" s="112">
        <v>0</v>
      </c>
      <c r="D23" s="112">
        <v>0</v>
      </c>
      <c r="E23" s="112">
        <v>0</v>
      </c>
      <c r="F23" s="112">
        <v>0</v>
      </c>
      <c r="G23" s="112">
        <v>0</v>
      </c>
      <c r="H23" s="112">
        <v>0</v>
      </c>
      <c r="I23" s="112">
        <v>0</v>
      </c>
      <c r="J23" s="112">
        <v>0</v>
      </c>
      <c r="K23" s="112">
        <v>0</v>
      </c>
      <c r="L23" s="112">
        <v>0</v>
      </c>
      <c r="M23" s="112">
        <v>0</v>
      </c>
      <c r="N23" s="112">
        <v>0</v>
      </c>
      <c r="O23" s="112">
        <v>0</v>
      </c>
      <c r="P23" s="112">
        <v>1</v>
      </c>
      <c r="Q23" s="112">
        <v>1</v>
      </c>
      <c r="R23" s="112">
        <v>0</v>
      </c>
      <c r="S23" s="112">
        <v>0</v>
      </c>
      <c r="T23" s="112">
        <v>0</v>
      </c>
      <c r="U23" s="112">
        <v>0</v>
      </c>
      <c r="V23" s="112">
        <v>0</v>
      </c>
      <c r="W23" s="112">
        <v>0</v>
      </c>
      <c r="X23" s="112">
        <v>0</v>
      </c>
      <c r="Y23" s="112">
        <v>0</v>
      </c>
      <c r="Z23" s="112">
        <v>0</v>
      </c>
      <c r="AA23" s="112">
        <v>0</v>
      </c>
      <c r="AB23" s="112">
        <v>0</v>
      </c>
      <c r="AC23" s="112">
        <v>0</v>
      </c>
      <c r="AD23" s="112">
        <v>1</v>
      </c>
      <c r="AE23" s="112">
        <v>1</v>
      </c>
      <c r="AF23" s="112">
        <v>0</v>
      </c>
      <c r="AG23" s="112">
        <v>0</v>
      </c>
      <c r="AH23" s="112">
        <v>0</v>
      </c>
      <c r="AI23" s="112">
        <v>0</v>
      </c>
      <c r="AJ23" s="112">
        <v>0</v>
      </c>
      <c r="AK23" s="112">
        <v>0</v>
      </c>
      <c r="AL23" s="112">
        <v>0</v>
      </c>
      <c r="AM23" s="112">
        <v>0</v>
      </c>
      <c r="AN23" s="112">
        <v>0</v>
      </c>
      <c r="AO23" s="112">
        <v>0</v>
      </c>
      <c r="AP23" s="112">
        <v>1</v>
      </c>
      <c r="AQ23" s="112">
        <v>0</v>
      </c>
      <c r="AR23" s="112">
        <v>0</v>
      </c>
      <c r="AS23" s="112">
        <v>0</v>
      </c>
      <c r="AT23" s="112">
        <v>0</v>
      </c>
      <c r="AU23" s="112">
        <v>0</v>
      </c>
      <c r="AV23" s="112">
        <v>0</v>
      </c>
      <c r="AW23" s="112">
        <v>0</v>
      </c>
      <c r="AX23" s="112">
        <v>0</v>
      </c>
      <c r="AY23" s="112">
        <v>0</v>
      </c>
      <c r="AZ23" s="112">
        <v>0</v>
      </c>
      <c r="BA23" s="112">
        <v>0</v>
      </c>
      <c r="BB23" s="112">
        <v>0</v>
      </c>
      <c r="BC23" s="112">
        <v>0</v>
      </c>
      <c r="BD23" s="112">
        <v>0</v>
      </c>
      <c r="BE23" s="112">
        <v>0</v>
      </c>
      <c r="BF23" s="112">
        <v>0</v>
      </c>
      <c r="BG23" s="112">
        <v>0</v>
      </c>
      <c r="BH23" s="112">
        <v>0</v>
      </c>
      <c r="BI23" s="112">
        <v>0</v>
      </c>
      <c r="BJ23" s="112">
        <v>0</v>
      </c>
      <c r="BK23" s="112">
        <v>0</v>
      </c>
      <c r="BL23" s="112">
        <v>0</v>
      </c>
      <c r="BM23" s="112">
        <v>0</v>
      </c>
      <c r="BN23" s="112">
        <v>0</v>
      </c>
      <c r="BO23" s="112">
        <v>0</v>
      </c>
      <c r="BP23" s="112">
        <v>0</v>
      </c>
      <c r="BQ23" s="112">
        <v>0</v>
      </c>
      <c r="BR23" s="112">
        <v>0</v>
      </c>
      <c r="BS23" s="112">
        <v>0</v>
      </c>
      <c r="BT23" s="112">
        <v>0</v>
      </c>
      <c r="BU23" s="112">
        <v>0</v>
      </c>
      <c r="BV23" s="112">
        <v>0</v>
      </c>
      <c r="BW23" s="112">
        <v>0</v>
      </c>
      <c r="BX23" s="112">
        <v>0</v>
      </c>
      <c r="BY23" s="112">
        <v>0</v>
      </c>
      <c r="BZ23" s="112">
        <v>0</v>
      </c>
      <c r="CA23" s="112">
        <v>0</v>
      </c>
      <c r="CB23" s="112">
        <v>0</v>
      </c>
      <c r="CC23" s="112">
        <v>0</v>
      </c>
      <c r="CD23" s="112">
        <v>0</v>
      </c>
      <c r="CE23" s="112">
        <v>0</v>
      </c>
      <c r="CF23" s="112">
        <v>0</v>
      </c>
      <c r="CG23" s="112">
        <v>0</v>
      </c>
      <c r="CH23" s="112">
        <v>0</v>
      </c>
      <c r="CI23" s="112">
        <v>0</v>
      </c>
      <c r="CJ23" s="112">
        <v>0</v>
      </c>
      <c r="CK23" s="112">
        <v>0</v>
      </c>
      <c r="CL23" s="112">
        <v>0</v>
      </c>
      <c r="CM23" s="112">
        <v>0</v>
      </c>
      <c r="CN23" s="112">
        <v>0</v>
      </c>
      <c r="CO23" s="112">
        <v>0</v>
      </c>
      <c r="CP23" s="112">
        <v>0</v>
      </c>
      <c r="CQ23" s="112">
        <v>0</v>
      </c>
      <c r="CR23" s="112">
        <v>0</v>
      </c>
      <c r="CS23" s="112">
        <v>0</v>
      </c>
      <c r="CT23" s="112">
        <v>0</v>
      </c>
      <c r="CU23" s="112">
        <v>0</v>
      </c>
      <c r="CV23" s="112">
        <v>0</v>
      </c>
    </row>
    <row r="24" spans="1:100" customFormat="1" x14ac:dyDescent="0.15">
      <c r="A24" s="191" t="s">
        <v>214</v>
      </c>
      <c r="B24" s="112">
        <v>1</v>
      </c>
      <c r="C24" s="112">
        <v>0</v>
      </c>
      <c r="D24" s="112">
        <v>0</v>
      </c>
      <c r="E24" s="112">
        <v>0</v>
      </c>
      <c r="F24" s="112">
        <v>1</v>
      </c>
      <c r="G24" s="112">
        <v>1</v>
      </c>
      <c r="H24" s="112">
        <v>1</v>
      </c>
      <c r="I24" s="112">
        <v>1</v>
      </c>
      <c r="J24" s="112">
        <v>0</v>
      </c>
      <c r="K24" s="112">
        <v>0</v>
      </c>
      <c r="L24" s="112">
        <v>1</v>
      </c>
      <c r="M24" s="112">
        <v>0</v>
      </c>
      <c r="N24" s="112">
        <v>0</v>
      </c>
      <c r="O24" s="112">
        <v>1</v>
      </c>
      <c r="P24" s="112">
        <v>1</v>
      </c>
      <c r="Q24" s="112">
        <v>1</v>
      </c>
      <c r="R24" s="112">
        <v>1</v>
      </c>
      <c r="S24" s="112">
        <v>1</v>
      </c>
      <c r="T24" s="112">
        <v>1</v>
      </c>
      <c r="U24" s="112">
        <v>1</v>
      </c>
      <c r="V24" s="112">
        <v>1</v>
      </c>
      <c r="W24" s="112">
        <v>1</v>
      </c>
      <c r="X24" s="112">
        <v>0</v>
      </c>
      <c r="Y24" s="112">
        <v>0</v>
      </c>
      <c r="Z24" s="112">
        <v>0</v>
      </c>
      <c r="AA24" s="112">
        <v>0</v>
      </c>
      <c r="AB24" s="112">
        <v>0</v>
      </c>
      <c r="AC24" s="112">
        <v>0</v>
      </c>
      <c r="AD24" s="112">
        <v>1</v>
      </c>
      <c r="AE24" s="112">
        <v>1</v>
      </c>
      <c r="AF24" s="112">
        <v>1</v>
      </c>
      <c r="AG24" s="112">
        <v>0</v>
      </c>
      <c r="AH24" s="112">
        <v>0</v>
      </c>
      <c r="AI24" s="112">
        <v>0</v>
      </c>
      <c r="AJ24" s="112">
        <v>1</v>
      </c>
      <c r="AK24" s="112">
        <v>0</v>
      </c>
      <c r="AL24" s="112">
        <v>0</v>
      </c>
      <c r="AM24" s="112">
        <v>0</v>
      </c>
      <c r="AN24" s="112">
        <v>0</v>
      </c>
      <c r="AO24" s="112">
        <v>0</v>
      </c>
      <c r="AP24" s="112">
        <v>1</v>
      </c>
      <c r="AQ24" s="112">
        <v>0</v>
      </c>
      <c r="AR24" s="112">
        <v>1</v>
      </c>
      <c r="AS24" s="112">
        <v>0</v>
      </c>
      <c r="AT24" s="112">
        <v>0</v>
      </c>
      <c r="AU24" s="112">
        <v>0</v>
      </c>
      <c r="AV24" s="112">
        <v>0</v>
      </c>
      <c r="AW24" s="112">
        <v>0</v>
      </c>
      <c r="AX24" s="112">
        <v>0</v>
      </c>
      <c r="AY24" s="112">
        <v>0</v>
      </c>
      <c r="AZ24" s="112">
        <v>0</v>
      </c>
      <c r="BA24" s="112">
        <v>0</v>
      </c>
      <c r="BB24" s="112">
        <v>0</v>
      </c>
      <c r="BC24" s="112">
        <v>0</v>
      </c>
      <c r="BD24" s="112">
        <v>0</v>
      </c>
      <c r="BE24" s="112">
        <v>0</v>
      </c>
      <c r="BF24" s="112">
        <v>0</v>
      </c>
      <c r="BG24" s="112">
        <v>0</v>
      </c>
      <c r="BH24" s="112">
        <v>0</v>
      </c>
      <c r="BI24" s="112">
        <v>0</v>
      </c>
      <c r="BJ24" s="112">
        <v>0</v>
      </c>
      <c r="BK24" s="112">
        <v>0</v>
      </c>
      <c r="BL24" s="112">
        <v>0</v>
      </c>
      <c r="BM24" s="112">
        <v>0</v>
      </c>
      <c r="BN24" s="112">
        <v>0</v>
      </c>
      <c r="BO24" s="112">
        <v>0</v>
      </c>
      <c r="BP24" s="112">
        <v>0</v>
      </c>
      <c r="BQ24" s="112">
        <v>0</v>
      </c>
      <c r="BR24" s="112">
        <v>0</v>
      </c>
      <c r="BS24" s="112">
        <v>0</v>
      </c>
      <c r="BT24" s="112">
        <v>0</v>
      </c>
      <c r="BU24" s="112">
        <v>0</v>
      </c>
      <c r="BV24" s="112">
        <v>0</v>
      </c>
      <c r="BW24" s="112">
        <v>0</v>
      </c>
      <c r="BX24" s="112">
        <v>0</v>
      </c>
      <c r="BY24" s="112">
        <v>0</v>
      </c>
      <c r="BZ24" s="112">
        <v>0</v>
      </c>
      <c r="CA24" s="112">
        <v>0</v>
      </c>
      <c r="CB24" s="112">
        <v>0</v>
      </c>
      <c r="CC24" s="112">
        <v>0</v>
      </c>
      <c r="CD24" s="112">
        <v>0</v>
      </c>
      <c r="CE24" s="112">
        <v>0</v>
      </c>
      <c r="CF24" s="112">
        <v>0</v>
      </c>
      <c r="CG24" s="112">
        <v>0</v>
      </c>
      <c r="CH24" s="112">
        <v>0</v>
      </c>
      <c r="CI24" s="112">
        <v>0</v>
      </c>
      <c r="CJ24" s="112">
        <v>0</v>
      </c>
      <c r="CK24" s="112">
        <v>0</v>
      </c>
      <c r="CL24" s="112">
        <v>0</v>
      </c>
      <c r="CM24" s="112">
        <v>0</v>
      </c>
      <c r="CN24" s="112">
        <v>0</v>
      </c>
      <c r="CO24" s="112">
        <v>0</v>
      </c>
      <c r="CP24" s="112">
        <v>0</v>
      </c>
      <c r="CQ24" s="112">
        <v>0</v>
      </c>
      <c r="CR24" s="112">
        <v>0</v>
      </c>
      <c r="CS24" s="112">
        <v>0</v>
      </c>
      <c r="CT24" s="112">
        <v>0</v>
      </c>
      <c r="CU24" s="112">
        <v>0</v>
      </c>
      <c r="CV24" s="112">
        <v>0</v>
      </c>
    </row>
    <row r="25" spans="1:100" customFormat="1" x14ac:dyDescent="0.15">
      <c r="A25" s="191" t="s">
        <v>215</v>
      </c>
      <c r="B25" s="112">
        <v>0</v>
      </c>
      <c r="C25" s="112">
        <v>0</v>
      </c>
      <c r="D25" s="112">
        <v>0</v>
      </c>
      <c r="E25" s="112">
        <v>0</v>
      </c>
      <c r="F25" s="112">
        <v>0</v>
      </c>
      <c r="G25" s="112">
        <v>0</v>
      </c>
      <c r="H25" s="112">
        <v>0</v>
      </c>
      <c r="I25" s="112">
        <v>0</v>
      </c>
      <c r="J25" s="112">
        <v>0</v>
      </c>
      <c r="K25" s="112">
        <v>0</v>
      </c>
      <c r="L25" s="112">
        <v>0</v>
      </c>
      <c r="M25" s="112">
        <v>0</v>
      </c>
      <c r="N25" s="112">
        <v>0</v>
      </c>
      <c r="O25" s="112">
        <v>0</v>
      </c>
      <c r="P25" s="112">
        <v>1</v>
      </c>
      <c r="Q25" s="112">
        <v>1</v>
      </c>
      <c r="R25" s="112">
        <v>1</v>
      </c>
      <c r="S25" s="112">
        <v>0</v>
      </c>
      <c r="T25" s="112">
        <v>1</v>
      </c>
      <c r="U25" s="112">
        <v>1</v>
      </c>
      <c r="V25" s="112">
        <v>1</v>
      </c>
      <c r="W25" s="112">
        <v>1</v>
      </c>
      <c r="X25" s="112">
        <v>0</v>
      </c>
      <c r="Y25" s="112">
        <v>0</v>
      </c>
      <c r="Z25" s="112">
        <v>0</v>
      </c>
      <c r="AA25" s="112">
        <v>0</v>
      </c>
      <c r="AB25" s="112">
        <v>0</v>
      </c>
      <c r="AC25" s="112">
        <v>0</v>
      </c>
      <c r="AD25" s="112">
        <v>1</v>
      </c>
      <c r="AE25" s="112">
        <v>1</v>
      </c>
      <c r="AF25" s="112">
        <v>1</v>
      </c>
      <c r="AG25" s="112">
        <v>0</v>
      </c>
      <c r="AH25" s="112">
        <v>0</v>
      </c>
      <c r="AI25" s="112">
        <v>0</v>
      </c>
      <c r="AJ25" s="112">
        <v>1</v>
      </c>
      <c r="AK25" s="112">
        <v>0</v>
      </c>
      <c r="AL25" s="112">
        <v>0</v>
      </c>
      <c r="AM25" s="112">
        <v>0</v>
      </c>
      <c r="AN25" s="112">
        <v>0</v>
      </c>
      <c r="AO25" s="112">
        <v>0</v>
      </c>
      <c r="AP25" s="112">
        <v>1</v>
      </c>
      <c r="AQ25" s="112">
        <v>0</v>
      </c>
      <c r="AR25" s="112">
        <v>1</v>
      </c>
      <c r="AS25" s="112">
        <v>0</v>
      </c>
      <c r="AT25" s="112">
        <v>0</v>
      </c>
      <c r="AU25" s="112">
        <v>0</v>
      </c>
      <c r="AV25" s="112">
        <v>0</v>
      </c>
      <c r="AW25" s="112">
        <v>0</v>
      </c>
      <c r="AX25" s="112">
        <v>0</v>
      </c>
      <c r="AY25" s="112">
        <v>0</v>
      </c>
      <c r="AZ25" s="112">
        <v>0</v>
      </c>
      <c r="BA25" s="112">
        <v>0</v>
      </c>
      <c r="BB25" s="112">
        <v>0</v>
      </c>
      <c r="BC25" s="112">
        <v>0</v>
      </c>
      <c r="BD25" s="112">
        <v>0</v>
      </c>
      <c r="BE25" s="112">
        <v>0</v>
      </c>
      <c r="BF25" s="112">
        <v>0</v>
      </c>
      <c r="BG25" s="112">
        <v>0</v>
      </c>
      <c r="BH25" s="112">
        <v>0</v>
      </c>
      <c r="BI25" s="112">
        <v>0</v>
      </c>
      <c r="BJ25" s="112">
        <v>0</v>
      </c>
      <c r="BK25" s="112">
        <v>0</v>
      </c>
      <c r="BL25" s="112">
        <v>0</v>
      </c>
      <c r="BM25" s="112">
        <v>0</v>
      </c>
      <c r="BN25" s="112">
        <v>0</v>
      </c>
      <c r="BO25" s="112">
        <v>0</v>
      </c>
      <c r="BP25" s="112">
        <v>0</v>
      </c>
      <c r="BQ25" s="112">
        <v>0</v>
      </c>
      <c r="BR25" s="112">
        <v>0</v>
      </c>
      <c r="BS25" s="112">
        <v>0</v>
      </c>
      <c r="BT25" s="112">
        <v>0</v>
      </c>
      <c r="BU25" s="112">
        <v>0</v>
      </c>
      <c r="BV25" s="112">
        <v>0</v>
      </c>
      <c r="BW25" s="112">
        <v>0</v>
      </c>
      <c r="BX25" s="112">
        <v>0</v>
      </c>
      <c r="BY25" s="112">
        <v>0</v>
      </c>
      <c r="BZ25" s="112">
        <v>0</v>
      </c>
      <c r="CA25" s="112">
        <v>0</v>
      </c>
      <c r="CB25" s="112">
        <v>0</v>
      </c>
      <c r="CC25" s="112">
        <v>0</v>
      </c>
      <c r="CD25" s="112">
        <v>0</v>
      </c>
      <c r="CE25" s="112">
        <v>0</v>
      </c>
      <c r="CF25" s="112">
        <v>0</v>
      </c>
      <c r="CG25" s="112">
        <v>0</v>
      </c>
      <c r="CH25" s="112">
        <v>0</v>
      </c>
      <c r="CI25" s="112">
        <v>0</v>
      </c>
      <c r="CJ25" s="112">
        <v>0</v>
      </c>
      <c r="CK25" s="112">
        <v>0</v>
      </c>
      <c r="CL25" s="112">
        <v>0</v>
      </c>
      <c r="CM25" s="112">
        <v>0</v>
      </c>
      <c r="CN25" s="112">
        <v>0</v>
      </c>
      <c r="CO25" s="112">
        <v>0</v>
      </c>
      <c r="CP25" s="112">
        <v>0</v>
      </c>
      <c r="CQ25" s="112">
        <v>0</v>
      </c>
      <c r="CR25" s="112">
        <v>0</v>
      </c>
      <c r="CS25" s="112">
        <v>0</v>
      </c>
      <c r="CT25" s="112">
        <v>0</v>
      </c>
      <c r="CU25" s="112">
        <v>0</v>
      </c>
      <c r="CV25" s="112">
        <v>0</v>
      </c>
    </row>
    <row r="26" spans="1:100" customFormat="1" x14ac:dyDescent="0.15">
      <c r="A26" s="191" t="s">
        <v>216</v>
      </c>
      <c r="B26" s="112">
        <v>1</v>
      </c>
      <c r="C26" s="112">
        <v>0</v>
      </c>
      <c r="D26" s="112">
        <v>0</v>
      </c>
      <c r="E26" s="112">
        <v>1</v>
      </c>
      <c r="F26" s="112">
        <v>0</v>
      </c>
      <c r="G26" s="112">
        <v>0</v>
      </c>
      <c r="H26" s="112">
        <v>0</v>
      </c>
      <c r="I26" s="112">
        <v>0</v>
      </c>
      <c r="J26" s="112">
        <v>0</v>
      </c>
      <c r="K26" s="112">
        <v>0</v>
      </c>
      <c r="L26" s="112">
        <v>0</v>
      </c>
      <c r="M26" s="112">
        <v>0</v>
      </c>
      <c r="N26" s="112">
        <v>0</v>
      </c>
      <c r="O26" s="112">
        <v>0</v>
      </c>
      <c r="P26" s="112">
        <v>0</v>
      </c>
      <c r="Q26" s="112">
        <v>0</v>
      </c>
      <c r="R26" s="112">
        <v>0</v>
      </c>
      <c r="S26" s="112">
        <v>0</v>
      </c>
      <c r="T26" s="112">
        <v>0</v>
      </c>
      <c r="U26" s="112">
        <v>0</v>
      </c>
      <c r="V26" s="112">
        <v>0</v>
      </c>
      <c r="W26" s="112">
        <v>0</v>
      </c>
      <c r="X26" s="112">
        <v>0</v>
      </c>
      <c r="Y26" s="112">
        <v>0</v>
      </c>
      <c r="Z26" s="112">
        <v>0</v>
      </c>
      <c r="AA26" s="112">
        <v>0</v>
      </c>
      <c r="AB26" s="112">
        <v>0</v>
      </c>
      <c r="AC26" s="112">
        <v>0</v>
      </c>
      <c r="AD26" s="112">
        <v>0</v>
      </c>
      <c r="AE26" s="112">
        <v>0</v>
      </c>
      <c r="AF26" s="112">
        <v>0</v>
      </c>
      <c r="AG26" s="112">
        <v>0</v>
      </c>
      <c r="AH26" s="112">
        <v>0</v>
      </c>
      <c r="AI26" s="112">
        <v>0</v>
      </c>
      <c r="AJ26" s="112">
        <v>0</v>
      </c>
      <c r="AK26" s="112">
        <v>0</v>
      </c>
      <c r="AL26" s="112">
        <v>0</v>
      </c>
      <c r="AM26" s="112">
        <v>0</v>
      </c>
      <c r="AN26" s="112">
        <v>0</v>
      </c>
      <c r="AO26" s="112">
        <v>0</v>
      </c>
      <c r="AP26" s="112">
        <v>0</v>
      </c>
      <c r="AQ26" s="112">
        <v>0</v>
      </c>
      <c r="AR26" s="112">
        <v>0</v>
      </c>
      <c r="AS26" s="112">
        <v>0</v>
      </c>
      <c r="AT26" s="112">
        <v>0</v>
      </c>
      <c r="AU26" s="112">
        <v>0</v>
      </c>
      <c r="AV26" s="112">
        <v>0</v>
      </c>
      <c r="AW26" s="112">
        <v>0</v>
      </c>
      <c r="AX26" s="112">
        <v>0</v>
      </c>
      <c r="AY26" s="112">
        <v>0</v>
      </c>
      <c r="AZ26" s="112">
        <v>0</v>
      </c>
      <c r="BA26" s="112">
        <v>0</v>
      </c>
      <c r="BB26" s="112">
        <v>0</v>
      </c>
      <c r="BC26" s="112">
        <v>0</v>
      </c>
      <c r="BD26" s="112">
        <v>0</v>
      </c>
      <c r="BE26" s="112">
        <v>0</v>
      </c>
      <c r="BF26" s="112">
        <v>0</v>
      </c>
      <c r="BG26" s="112">
        <v>0</v>
      </c>
      <c r="BH26" s="112">
        <v>0</v>
      </c>
      <c r="BI26" s="112">
        <v>0</v>
      </c>
      <c r="BJ26" s="112">
        <v>0</v>
      </c>
      <c r="BK26" s="112">
        <v>0</v>
      </c>
      <c r="BL26" s="112">
        <v>0</v>
      </c>
      <c r="BM26" s="112">
        <v>0</v>
      </c>
      <c r="BN26" s="112">
        <v>0</v>
      </c>
      <c r="BO26" s="112">
        <v>0</v>
      </c>
      <c r="BP26" s="112">
        <v>0</v>
      </c>
      <c r="BQ26" s="112">
        <v>0</v>
      </c>
      <c r="BR26" s="112">
        <v>0</v>
      </c>
      <c r="BS26" s="112">
        <v>0</v>
      </c>
      <c r="BT26" s="112">
        <v>0</v>
      </c>
      <c r="BU26" s="112">
        <v>0</v>
      </c>
      <c r="BV26" s="112">
        <v>0</v>
      </c>
      <c r="BW26" s="112">
        <v>0</v>
      </c>
      <c r="BX26" s="112">
        <v>0</v>
      </c>
      <c r="BY26" s="112">
        <v>0</v>
      </c>
      <c r="BZ26" s="112">
        <v>0</v>
      </c>
      <c r="CA26" s="112">
        <v>0</v>
      </c>
      <c r="CB26" s="112">
        <v>0</v>
      </c>
      <c r="CC26" s="112">
        <v>0</v>
      </c>
      <c r="CD26" s="112">
        <v>0</v>
      </c>
      <c r="CE26" s="112">
        <v>0</v>
      </c>
      <c r="CF26" s="112">
        <v>0</v>
      </c>
      <c r="CG26" s="112">
        <v>0</v>
      </c>
      <c r="CH26" s="112">
        <v>0</v>
      </c>
      <c r="CI26" s="112">
        <v>0</v>
      </c>
      <c r="CJ26" s="112">
        <v>0</v>
      </c>
      <c r="CK26" s="112">
        <v>0</v>
      </c>
      <c r="CL26" s="112">
        <v>0</v>
      </c>
      <c r="CM26" s="112">
        <v>0</v>
      </c>
      <c r="CN26" s="112">
        <v>0</v>
      </c>
      <c r="CO26" s="112">
        <v>0</v>
      </c>
      <c r="CP26" s="112">
        <v>0</v>
      </c>
      <c r="CQ26" s="112">
        <v>0</v>
      </c>
      <c r="CR26" s="112">
        <v>0</v>
      </c>
      <c r="CS26" s="112">
        <v>0</v>
      </c>
      <c r="CT26" s="112">
        <v>0</v>
      </c>
      <c r="CU26" s="112">
        <v>0</v>
      </c>
      <c r="CV26" s="112">
        <v>0</v>
      </c>
    </row>
    <row r="27" spans="1:100" customFormat="1" x14ac:dyDescent="0.15">
      <c r="A27" s="191" t="s">
        <v>217</v>
      </c>
      <c r="B27" s="112">
        <v>1</v>
      </c>
      <c r="C27" s="112">
        <v>0</v>
      </c>
      <c r="D27" s="112">
        <v>0</v>
      </c>
      <c r="E27" s="112">
        <v>1</v>
      </c>
      <c r="F27" s="112">
        <v>1</v>
      </c>
      <c r="G27" s="112">
        <v>1</v>
      </c>
      <c r="H27" s="112">
        <v>1</v>
      </c>
      <c r="I27" s="112">
        <v>1</v>
      </c>
      <c r="J27" s="112">
        <v>1</v>
      </c>
      <c r="K27" s="112">
        <v>1</v>
      </c>
      <c r="L27" s="112">
        <v>1</v>
      </c>
      <c r="M27" s="112">
        <v>1</v>
      </c>
      <c r="N27" s="112">
        <v>0</v>
      </c>
      <c r="O27" s="112">
        <v>1</v>
      </c>
      <c r="P27" s="112">
        <v>1</v>
      </c>
      <c r="Q27" s="112">
        <v>1</v>
      </c>
      <c r="R27" s="112">
        <v>1</v>
      </c>
      <c r="S27" s="112">
        <v>1</v>
      </c>
      <c r="T27" s="112">
        <v>1</v>
      </c>
      <c r="U27" s="112">
        <v>1</v>
      </c>
      <c r="V27" s="112">
        <v>1</v>
      </c>
      <c r="W27" s="112">
        <v>1</v>
      </c>
      <c r="X27" s="112">
        <v>1</v>
      </c>
      <c r="Y27" s="112">
        <v>0</v>
      </c>
      <c r="Z27" s="112">
        <v>1</v>
      </c>
      <c r="AA27" s="112">
        <v>0</v>
      </c>
      <c r="AB27" s="112">
        <v>0</v>
      </c>
      <c r="AC27" s="112">
        <v>0</v>
      </c>
      <c r="AD27" s="112">
        <v>1</v>
      </c>
      <c r="AE27" s="112">
        <v>1</v>
      </c>
      <c r="AF27" s="112">
        <v>1</v>
      </c>
      <c r="AG27" s="112">
        <v>1</v>
      </c>
      <c r="AH27" s="112">
        <v>0</v>
      </c>
      <c r="AI27" s="112">
        <v>0</v>
      </c>
      <c r="AJ27" s="112">
        <v>0</v>
      </c>
      <c r="AK27" s="112">
        <v>1</v>
      </c>
      <c r="AL27" s="112">
        <v>0</v>
      </c>
      <c r="AM27" s="112">
        <v>0</v>
      </c>
      <c r="AN27" s="112">
        <v>0</v>
      </c>
      <c r="AO27" s="112">
        <v>0</v>
      </c>
      <c r="AP27" s="112">
        <v>0</v>
      </c>
      <c r="AQ27" s="112">
        <v>1</v>
      </c>
      <c r="AR27" s="112">
        <v>0</v>
      </c>
      <c r="AS27" s="112">
        <v>0</v>
      </c>
      <c r="AT27" s="112">
        <v>0</v>
      </c>
      <c r="AU27" s="112">
        <v>0</v>
      </c>
      <c r="AV27" s="112">
        <v>0</v>
      </c>
      <c r="AW27" s="112">
        <v>0</v>
      </c>
      <c r="AX27" s="112">
        <v>0</v>
      </c>
      <c r="AY27" s="112">
        <v>0</v>
      </c>
      <c r="AZ27" s="112">
        <v>0</v>
      </c>
      <c r="BA27" s="112">
        <v>0</v>
      </c>
      <c r="BB27" s="112">
        <v>0</v>
      </c>
      <c r="BC27" s="112">
        <v>0</v>
      </c>
      <c r="BD27" s="112">
        <v>0</v>
      </c>
      <c r="BE27" s="112">
        <v>0</v>
      </c>
      <c r="BF27" s="112">
        <v>0</v>
      </c>
      <c r="BG27" s="112">
        <v>0</v>
      </c>
      <c r="BH27" s="112">
        <v>0</v>
      </c>
      <c r="BI27" s="112">
        <v>0</v>
      </c>
      <c r="BJ27" s="112">
        <v>0</v>
      </c>
      <c r="BK27" s="112">
        <v>0</v>
      </c>
      <c r="BL27" s="112">
        <v>0</v>
      </c>
      <c r="BM27" s="112">
        <v>0</v>
      </c>
      <c r="BN27" s="112">
        <v>0</v>
      </c>
      <c r="BO27" s="112">
        <v>0</v>
      </c>
      <c r="BP27" s="112">
        <v>0</v>
      </c>
      <c r="BQ27" s="112">
        <v>0</v>
      </c>
      <c r="BR27" s="112">
        <v>0</v>
      </c>
      <c r="BS27" s="112">
        <v>0</v>
      </c>
      <c r="BT27" s="112">
        <v>0</v>
      </c>
      <c r="BU27" s="112">
        <v>0</v>
      </c>
      <c r="BV27" s="112">
        <v>0</v>
      </c>
      <c r="BW27" s="112">
        <v>0</v>
      </c>
      <c r="BX27" s="112">
        <v>0</v>
      </c>
      <c r="BY27" s="112">
        <v>0</v>
      </c>
      <c r="BZ27" s="112">
        <v>0</v>
      </c>
      <c r="CA27" s="112">
        <v>0</v>
      </c>
      <c r="CB27" s="112">
        <v>0</v>
      </c>
      <c r="CC27" s="112">
        <v>0</v>
      </c>
      <c r="CD27" s="112">
        <v>0</v>
      </c>
      <c r="CE27" s="112">
        <v>0</v>
      </c>
      <c r="CF27" s="112">
        <v>0</v>
      </c>
      <c r="CG27" s="112">
        <v>0</v>
      </c>
      <c r="CH27" s="112">
        <v>0</v>
      </c>
      <c r="CI27" s="112">
        <v>0</v>
      </c>
      <c r="CJ27" s="112">
        <v>0</v>
      </c>
      <c r="CK27" s="112">
        <v>0</v>
      </c>
      <c r="CL27" s="112">
        <v>0</v>
      </c>
      <c r="CM27" s="112">
        <v>0</v>
      </c>
      <c r="CN27" s="112">
        <v>0</v>
      </c>
      <c r="CO27" s="112">
        <v>0</v>
      </c>
      <c r="CP27" s="112">
        <v>0</v>
      </c>
      <c r="CQ27" s="112">
        <v>0</v>
      </c>
      <c r="CR27" s="112">
        <v>0</v>
      </c>
      <c r="CS27" s="112">
        <v>0</v>
      </c>
      <c r="CT27" s="112">
        <v>0</v>
      </c>
      <c r="CU27" s="112">
        <v>0</v>
      </c>
      <c r="CV27" s="112">
        <v>0</v>
      </c>
    </row>
    <row r="28" spans="1:100" customFormat="1" x14ac:dyDescent="0.15">
      <c r="A28" s="191" t="s">
        <v>218</v>
      </c>
      <c r="B28" s="112">
        <v>0</v>
      </c>
      <c r="C28" s="112">
        <v>0</v>
      </c>
      <c r="D28" s="112">
        <v>0</v>
      </c>
      <c r="E28" s="112">
        <v>0</v>
      </c>
      <c r="F28" s="112">
        <v>0</v>
      </c>
      <c r="G28" s="112">
        <v>0</v>
      </c>
      <c r="H28" s="112">
        <v>0</v>
      </c>
      <c r="I28" s="112">
        <v>0</v>
      </c>
      <c r="J28" s="112">
        <v>0</v>
      </c>
      <c r="K28" s="112">
        <v>0</v>
      </c>
      <c r="L28" s="112">
        <v>0</v>
      </c>
      <c r="M28" s="112">
        <v>0</v>
      </c>
      <c r="N28" s="112">
        <v>0</v>
      </c>
      <c r="O28" s="112">
        <v>0</v>
      </c>
      <c r="P28" s="112">
        <v>1</v>
      </c>
      <c r="Q28" s="112">
        <v>0</v>
      </c>
      <c r="R28" s="112">
        <v>1</v>
      </c>
      <c r="S28" s="112">
        <v>0</v>
      </c>
      <c r="T28" s="112">
        <v>0</v>
      </c>
      <c r="U28" s="112">
        <v>0</v>
      </c>
      <c r="V28" s="112">
        <v>0</v>
      </c>
      <c r="W28" s="112">
        <v>0</v>
      </c>
      <c r="X28" s="112">
        <v>0</v>
      </c>
      <c r="Y28" s="112">
        <v>0</v>
      </c>
      <c r="Z28" s="112">
        <v>0</v>
      </c>
      <c r="AA28" s="112">
        <v>0</v>
      </c>
      <c r="AB28" s="112">
        <v>0</v>
      </c>
      <c r="AC28" s="112">
        <v>0</v>
      </c>
      <c r="AD28" s="112">
        <v>0</v>
      </c>
      <c r="AE28" s="112">
        <v>1</v>
      </c>
      <c r="AF28" s="112">
        <v>0</v>
      </c>
      <c r="AG28" s="112">
        <v>0</v>
      </c>
      <c r="AH28" s="112">
        <v>0</v>
      </c>
      <c r="AI28" s="112">
        <v>0</v>
      </c>
      <c r="AJ28" s="112">
        <v>0</v>
      </c>
      <c r="AK28" s="112">
        <v>0</v>
      </c>
      <c r="AL28" s="112">
        <v>0</v>
      </c>
      <c r="AM28" s="112">
        <v>0</v>
      </c>
      <c r="AN28" s="112">
        <v>0</v>
      </c>
      <c r="AO28" s="112">
        <v>0</v>
      </c>
      <c r="AP28" s="112">
        <v>1</v>
      </c>
      <c r="AQ28" s="112">
        <v>0</v>
      </c>
      <c r="AR28" s="112">
        <v>0</v>
      </c>
      <c r="AS28" s="112">
        <v>0</v>
      </c>
      <c r="AT28" s="112">
        <v>0</v>
      </c>
      <c r="AU28" s="112">
        <v>0</v>
      </c>
      <c r="AV28" s="112">
        <v>0</v>
      </c>
      <c r="AW28" s="112">
        <v>0</v>
      </c>
      <c r="AX28" s="112">
        <v>0</v>
      </c>
      <c r="AY28" s="112">
        <v>0</v>
      </c>
      <c r="AZ28" s="112">
        <v>0</v>
      </c>
      <c r="BA28" s="112">
        <v>0</v>
      </c>
      <c r="BB28" s="112">
        <v>0</v>
      </c>
      <c r="BC28" s="112">
        <v>0</v>
      </c>
      <c r="BD28" s="112">
        <v>0</v>
      </c>
      <c r="BE28" s="112">
        <v>0</v>
      </c>
      <c r="BF28" s="112">
        <v>0</v>
      </c>
      <c r="BG28" s="112">
        <v>0</v>
      </c>
      <c r="BH28" s="112">
        <v>0</v>
      </c>
      <c r="BI28" s="112">
        <v>0</v>
      </c>
      <c r="BJ28" s="112">
        <v>0</v>
      </c>
      <c r="BK28" s="112">
        <v>0</v>
      </c>
      <c r="BL28" s="112">
        <v>0</v>
      </c>
      <c r="BM28" s="112">
        <v>0</v>
      </c>
      <c r="BN28" s="112">
        <v>0</v>
      </c>
      <c r="BO28" s="112">
        <v>0</v>
      </c>
      <c r="BP28" s="112">
        <v>0</v>
      </c>
      <c r="BQ28" s="112">
        <v>0</v>
      </c>
      <c r="BR28" s="112">
        <v>0</v>
      </c>
      <c r="BS28" s="112">
        <v>0</v>
      </c>
      <c r="BT28" s="112">
        <v>0</v>
      </c>
      <c r="BU28" s="112">
        <v>0</v>
      </c>
      <c r="BV28" s="112">
        <v>0</v>
      </c>
      <c r="BW28" s="112">
        <v>0</v>
      </c>
      <c r="BX28" s="112">
        <v>0</v>
      </c>
      <c r="BY28" s="112">
        <v>0</v>
      </c>
      <c r="BZ28" s="112">
        <v>0</v>
      </c>
      <c r="CA28" s="112">
        <v>0</v>
      </c>
      <c r="CB28" s="112">
        <v>0</v>
      </c>
      <c r="CC28" s="112">
        <v>0</v>
      </c>
      <c r="CD28" s="112">
        <v>0</v>
      </c>
      <c r="CE28" s="112">
        <v>0</v>
      </c>
      <c r="CF28" s="112">
        <v>0</v>
      </c>
      <c r="CG28" s="112">
        <v>0</v>
      </c>
      <c r="CH28" s="112">
        <v>0</v>
      </c>
      <c r="CI28" s="112">
        <v>0</v>
      </c>
      <c r="CJ28" s="112">
        <v>0</v>
      </c>
      <c r="CK28" s="112">
        <v>0</v>
      </c>
      <c r="CL28" s="112">
        <v>0</v>
      </c>
      <c r="CM28" s="112">
        <v>0</v>
      </c>
      <c r="CN28" s="112">
        <v>0</v>
      </c>
      <c r="CO28" s="112">
        <v>0</v>
      </c>
      <c r="CP28" s="112">
        <v>0</v>
      </c>
      <c r="CQ28" s="112">
        <v>0</v>
      </c>
      <c r="CR28" s="112">
        <v>0</v>
      </c>
      <c r="CS28" s="112">
        <v>0</v>
      </c>
      <c r="CT28" s="112">
        <v>0</v>
      </c>
      <c r="CU28" s="112">
        <v>0</v>
      </c>
      <c r="CV28" s="112">
        <v>0</v>
      </c>
    </row>
    <row r="29" spans="1:100" customFormat="1" x14ac:dyDescent="0.15">
      <c r="A29" s="191" t="s">
        <v>219</v>
      </c>
      <c r="B29" s="112">
        <v>0</v>
      </c>
      <c r="C29" s="112">
        <v>0</v>
      </c>
      <c r="D29" s="112">
        <v>0</v>
      </c>
      <c r="E29" s="112">
        <v>0</v>
      </c>
      <c r="F29" s="112">
        <v>0</v>
      </c>
      <c r="G29" s="112">
        <v>0</v>
      </c>
      <c r="H29" s="112">
        <v>0</v>
      </c>
      <c r="I29" s="112">
        <v>0</v>
      </c>
      <c r="J29" s="112">
        <v>0</v>
      </c>
      <c r="K29" s="112">
        <v>0</v>
      </c>
      <c r="L29" s="112">
        <v>0</v>
      </c>
      <c r="M29" s="112">
        <v>0</v>
      </c>
      <c r="N29" s="112">
        <v>0</v>
      </c>
      <c r="O29" s="112">
        <v>0</v>
      </c>
      <c r="P29" s="112">
        <v>0</v>
      </c>
      <c r="Q29" s="112">
        <v>0</v>
      </c>
      <c r="R29" s="112">
        <v>0</v>
      </c>
      <c r="S29" s="112">
        <v>0</v>
      </c>
      <c r="T29" s="112">
        <v>0</v>
      </c>
      <c r="U29" s="112">
        <v>0</v>
      </c>
      <c r="V29" s="112">
        <v>0</v>
      </c>
      <c r="W29" s="112">
        <v>1</v>
      </c>
      <c r="X29" s="112">
        <v>0</v>
      </c>
      <c r="Y29" s="112">
        <v>0</v>
      </c>
      <c r="Z29" s="112">
        <v>0</v>
      </c>
      <c r="AA29" s="112">
        <v>0</v>
      </c>
      <c r="AB29" s="112">
        <v>0</v>
      </c>
      <c r="AC29" s="112">
        <v>0</v>
      </c>
      <c r="AD29" s="112">
        <v>0</v>
      </c>
      <c r="AE29" s="112">
        <v>0</v>
      </c>
      <c r="AF29" s="112">
        <v>0</v>
      </c>
      <c r="AG29" s="112">
        <v>0</v>
      </c>
      <c r="AH29" s="112">
        <v>0</v>
      </c>
      <c r="AI29" s="112">
        <v>0</v>
      </c>
      <c r="AJ29" s="112">
        <v>0</v>
      </c>
      <c r="AK29" s="112">
        <v>0</v>
      </c>
      <c r="AL29" s="112">
        <v>0</v>
      </c>
      <c r="AM29" s="112">
        <v>0</v>
      </c>
      <c r="AN29" s="112">
        <v>0</v>
      </c>
      <c r="AO29" s="112">
        <v>0</v>
      </c>
      <c r="AP29" s="112">
        <v>0</v>
      </c>
      <c r="AQ29" s="112">
        <v>0</v>
      </c>
      <c r="AR29" s="112">
        <v>0</v>
      </c>
      <c r="AS29" s="112">
        <v>0</v>
      </c>
      <c r="AT29" s="112">
        <v>0</v>
      </c>
      <c r="AU29" s="112">
        <v>0</v>
      </c>
      <c r="AV29" s="112">
        <v>0</v>
      </c>
      <c r="AW29" s="112">
        <v>0</v>
      </c>
      <c r="AX29" s="112">
        <v>0</v>
      </c>
      <c r="AY29" s="112">
        <v>0</v>
      </c>
      <c r="AZ29" s="112">
        <v>0</v>
      </c>
      <c r="BA29" s="112">
        <v>0</v>
      </c>
      <c r="BB29" s="112">
        <v>0</v>
      </c>
      <c r="BC29" s="112">
        <v>0</v>
      </c>
      <c r="BD29" s="112">
        <v>0</v>
      </c>
      <c r="BE29" s="112">
        <v>0</v>
      </c>
      <c r="BF29" s="112">
        <v>0</v>
      </c>
      <c r="BG29" s="112">
        <v>0</v>
      </c>
      <c r="BH29" s="112">
        <v>0</v>
      </c>
      <c r="BI29" s="112">
        <v>0</v>
      </c>
      <c r="BJ29" s="112">
        <v>0</v>
      </c>
      <c r="BK29" s="112">
        <v>0</v>
      </c>
      <c r="BL29" s="112">
        <v>0</v>
      </c>
      <c r="BM29" s="112">
        <v>0</v>
      </c>
      <c r="BN29" s="112">
        <v>0</v>
      </c>
      <c r="BO29" s="112">
        <v>0</v>
      </c>
      <c r="BP29" s="112">
        <v>0</v>
      </c>
      <c r="BQ29" s="112">
        <v>0</v>
      </c>
      <c r="BR29" s="112">
        <v>0</v>
      </c>
      <c r="BS29" s="112">
        <v>0</v>
      </c>
      <c r="BT29" s="112">
        <v>0</v>
      </c>
      <c r="BU29" s="112">
        <v>0</v>
      </c>
      <c r="BV29" s="112">
        <v>0</v>
      </c>
      <c r="BW29" s="112">
        <v>0</v>
      </c>
      <c r="BX29" s="112">
        <v>0</v>
      </c>
      <c r="BY29" s="112">
        <v>0</v>
      </c>
      <c r="BZ29" s="112">
        <v>0</v>
      </c>
      <c r="CA29" s="112">
        <v>0</v>
      </c>
      <c r="CB29" s="112">
        <v>0</v>
      </c>
      <c r="CC29" s="112">
        <v>0</v>
      </c>
      <c r="CD29" s="112">
        <v>0</v>
      </c>
      <c r="CE29" s="112">
        <v>0</v>
      </c>
      <c r="CF29" s="112">
        <v>0</v>
      </c>
      <c r="CG29" s="112">
        <v>0</v>
      </c>
      <c r="CH29" s="112">
        <v>0</v>
      </c>
      <c r="CI29" s="112">
        <v>0</v>
      </c>
      <c r="CJ29" s="112">
        <v>0</v>
      </c>
      <c r="CK29" s="112">
        <v>0</v>
      </c>
      <c r="CL29" s="112">
        <v>0</v>
      </c>
      <c r="CM29" s="112">
        <v>0</v>
      </c>
      <c r="CN29" s="112">
        <v>0</v>
      </c>
      <c r="CO29" s="112">
        <v>0</v>
      </c>
      <c r="CP29" s="112">
        <v>0</v>
      </c>
      <c r="CQ29" s="112">
        <v>0</v>
      </c>
      <c r="CR29" s="112">
        <v>0</v>
      </c>
      <c r="CS29" s="112">
        <v>0</v>
      </c>
      <c r="CT29" s="112">
        <v>0</v>
      </c>
      <c r="CU29" s="112">
        <v>0</v>
      </c>
      <c r="CV29" s="112">
        <v>0</v>
      </c>
    </row>
    <row r="30" spans="1:100" customFormat="1" x14ac:dyDescent="0.15">
      <c r="A30" s="191" t="s">
        <v>220</v>
      </c>
      <c r="B30" s="112">
        <v>0</v>
      </c>
      <c r="C30" s="112">
        <v>0</v>
      </c>
      <c r="D30" s="112">
        <v>0</v>
      </c>
      <c r="E30" s="112">
        <v>0</v>
      </c>
      <c r="F30" s="112">
        <v>0</v>
      </c>
      <c r="G30" s="112">
        <v>0</v>
      </c>
      <c r="H30" s="112">
        <v>0</v>
      </c>
      <c r="I30" s="112">
        <v>0</v>
      </c>
      <c r="J30" s="112">
        <v>0</v>
      </c>
      <c r="K30" s="112">
        <v>0</v>
      </c>
      <c r="L30" s="112">
        <v>0</v>
      </c>
      <c r="M30" s="112">
        <v>0</v>
      </c>
      <c r="N30" s="112">
        <v>0</v>
      </c>
      <c r="O30" s="112">
        <v>0</v>
      </c>
      <c r="P30" s="112">
        <v>1</v>
      </c>
      <c r="Q30" s="112">
        <v>0</v>
      </c>
      <c r="R30" s="112">
        <v>0</v>
      </c>
      <c r="S30" s="112">
        <v>0</v>
      </c>
      <c r="T30" s="112">
        <v>0</v>
      </c>
      <c r="U30" s="112">
        <v>0</v>
      </c>
      <c r="V30" s="112">
        <v>0</v>
      </c>
      <c r="W30" s="112">
        <v>0</v>
      </c>
      <c r="X30" s="112">
        <v>0</v>
      </c>
      <c r="Y30" s="112">
        <v>0</v>
      </c>
      <c r="Z30" s="112">
        <v>0</v>
      </c>
      <c r="AA30" s="112">
        <v>0</v>
      </c>
      <c r="AB30" s="112">
        <v>0</v>
      </c>
      <c r="AC30" s="112">
        <v>0</v>
      </c>
      <c r="AD30" s="112">
        <v>0</v>
      </c>
      <c r="AE30" s="112">
        <v>1</v>
      </c>
      <c r="AF30" s="112">
        <v>0</v>
      </c>
      <c r="AG30" s="112">
        <v>0</v>
      </c>
      <c r="AH30" s="112">
        <v>0</v>
      </c>
      <c r="AI30" s="112">
        <v>0</v>
      </c>
      <c r="AJ30" s="112">
        <v>0</v>
      </c>
      <c r="AK30" s="112">
        <v>0</v>
      </c>
      <c r="AL30" s="112">
        <v>0</v>
      </c>
      <c r="AM30" s="112">
        <v>0</v>
      </c>
      <c r="AN30" s="112">
        <v>0</v>
      </c>
      <c r="AO30" s="112">
        <v>0</v>
      </c>
      <c r="AP30" s="112">
        <v>0</v>
      </c>
      <c r="AQ30" s="112">
        <v>0</v>
      </c>
      <c r="AR30" s="112">
        <v>0</v>
      </c>
      <c r="AS30" s="112">
        <v>0</v>
      </c>
      <c r="AT30" s="112">
        <v>0</v>
      </c>
      <c r="AU30" s="112">
        <v>0</v>
      </c>
      <c r="AV30" s="112">
        <v>0</v>
      </c>
      <c r="AW30" s="112">
        <v>0</v>
      </c>
      <c r="AX30" s="112">
        <v>0</v>
      </c>
      <c r="AY30" s="112">
        <v>0</v>
      </c>
      <c r="AZ30" s="112">
        <v>0</v>
      </c>
      <c r="BA30" s="112">
        <v>0</v>
      </c>
      <c r="BB30" s="112">
        <v>0</v>
      </c>
      <c r="BC30" s="112">
        <v>0</v>
      </c>
      <c r="BD30" s="112">
        <v>0</v>
      </c>
      <c r="BE30" s="112">
        <v>0</v>
      </c>
      <c r="BF30" s="112">
        <v>0</v>
      </c>
      <c r="BG30" s="112">
        <v>0</v>
      </c>
      <c r="BH30" s="112">
        <v>0</v>
      </c>
      <c r="BI30" s="112">
        <v>0</v>
      </c>
      <c r="BJ30" s="112">
        <v>0</v>
      </c>
      <c r="BK30" s="112">
        <v>0</v>
      </c>
      <c r="BL30" s="112">
        <v>0</v>
      </c>
      <c r="BM30" s="112">
        <v>0</v>
      </c>
      <c r="BN30" s="112">
        <v>0</v>
      </c>
      <c r="BO30" s="112">
        <v>0</v>
      </c>
      <c r="BP30" s="112">
        <v>0</v>
      </c>
      <c r="BQ30" s="112">
        <v>0</v>
      </c>
      <c r="BR30" s="112">
        <v>0</v>
      </c>
      <c r="BS30" s="112">
        <v>0</v>
      </c>
      <c r="BT30" s="112">
        <v>0</v>
      </c>
      <c r="BU30" s="112">
        <v>0</v>
      </c>
      <c r="BV30" s="112">
        <v>0</v>
      </c>
      <c r="BW30" s="112">
        <v>0</v>
      </c>
      <c r="BX30" s="112">
        <v>0</v>
      </c>
      <c r="BY30" s="112">
        <v>0</v>
      </c>
      <c r="BZ30" s="112">
        <v>0</v>
      </c>
      <c r="CA30" s="112">
        <v>0</v>
      </c>
      <c r="CB30" s="112">
        <v>0</v>
      </c>
      <c r="CC30" s="112">
        <v>0</v>
      </c>
      <c r="CD30" s="112">
        <v>0</v>
      </c>
      <c r="CE30" s="112">
        <v>0</v>
      </c>
      <c r="CF30" s="112">
        <v>0</v>
      </c>
      <c r="CG30" s="112">
        <v>0</v>
      </c>
      <c r="CH30" s="112">
        <v>0</v>
      </c>
      <c r="CI30" s="112">
        <v>0</v>
      </c>
      <c r="CJ30" s="112">
        <v>0</v>
      </c>
      <c r="CK30" s="112">
        <v>0</v>
      </c>
      <c r="CL30" s="112">
        <v>0</v>
      </c>
      <c r="CM30" s="112">
        <v>0</v>
      </c>
      <c r="CN30" s="112">
        <v>0</v>
      </c>
      <c r="CO30" s="112">
        <v>0</v>
      </c>
      <c r="CP30" s="112">
        <v>0</v>
      </c>
      <c r="CQ30" s="112">
        <v>0</v>
      </c>
      <c r="CR30" s="112">
        <v>0</v>
      </c>
      <c r="CS30" s="112">
        <v>0</v>
      </c>
      <c r="CT30" s="112">
        <v>0</v>
      </c>
      <c r="CU30" s="112">
        <v>0</v>
      </c>
      <c r="CV30" s="112">
        <v>0</v>
      </c>
    </row>
    <row r="31" spans="1:100" customFormat="1" x14ac:dyDescent="0.15">
      <c r="A31" s="191" t="s">
        <v>221</v>
      </c>
      <c r="B31" s="112">
        <v>0</v>
      </c>
      <c r="C31" s="112">
        <v>0</v>
      </c>
      <c r="D31" s="112">
        <v>1</v>
      </c>
      <c r="E31" s="112">
        <v>0</v>
      </c>
      <c r="F31" s="112">
        <v>0</v>
      </c>
      <c r="G31" s="112">
        <v>0</v>
      </c>
      <c r="H31" s="112">
        <v>0</v>
      </c>
      <c r="I31" s="112">
        <v>0</v>
      </c>
      <c r="J31" s="112">
        <v>0</v>
      </c>
      <c r="K31" s="112">
        <v>0</v>
      </c>
      <c r="L31" s="112">
        <v>1</v>
      </c>
      <c r="M31" s="112">
        <v>0</v>
      </c>
      <c r="N31" s="112">
        <v>0</v>
      </c>
      <c r="O31" s="112">
        <v>0</v>
      </c>
      <c r="P31" s="112">
        <v>1</v>
      </c>
      <c r="Q31" s="112">
        <v>1</v>
      </c>
      <c r="R31" s="112">
        <v>0</v>
      </c>
      <c r="S31" s="112">
        <v>0</v>
      </c>
      <c r="T31" s="112">
        <v>0</v>
      </c>
      <c r="U31" s="112">
        <v>0</v>
      </c>
      <c r="V31" s="112">
        <v>0</v>
      </c>
      <c r="W31" s="112">
        <v>0</v>
      </c>
      <c r="X31" s="112">
        <v>0</v>
      </c>
      <c r="Y31" s="112">
        <v>0</v>
      </c>
      <c r="Z31" s="112">
        <v>0</v>
      </c>
      <c r="AA31" s="112">
        <v>0</v>
      </c>
      <c r="AB31" s="112">
        <v>0</v>
      </c>
      <c r="AC31" s="112">
        <v>0</v>
      </c>
      <c r="AD31" s="112">
        <v>1</v>
      </c>
      <c r="AE31" s="112">
        <v>0</v>
      </c>
      <c r="AF31" s="112">
        <v>0</v>
      </c>
      <c r="AG31" s="112">
        <v>0</v>
      </c>
      <c r="AH31" s="112">
        <v>0</v>
      </c>
      <c r="AI31" s="112">
        <v>0</v>
      </c>
      <c r="AJ31" s="112">
        <v>0</v>
      </c>
      <c r="AK31" s="112">
        <v>0</v>
      </c>
      <c r="AL31" s="112">
        <v>0</v>
      </c>
      <c r="AM31" s="112">
        <v>0</v>
      </c>
      <c r="AN31" s="112">
        <v>0</v>
      </c>
      <c r="AO31" s="112">
        <v>0</v>
      </c>
      <c r="AP31" s="112">
        <v>0</v>
      </c>
      <c r="AQ31" s="112">
        <v>0</v>
      </c>
      <c r="AR31" s="112">
        <v>0</v>
      </c>
      <c r="AS31" s="112">
        <v>0</v>
      </c>
      <c r="AT31" s="112">
        <v>0</v>
      </c>
      <c r="AU31" s="112">
        <v>0</v>
      </c>
      <c r="AV31" s="112">
        <v>0</v>
      </c>
      <c r="AW31" s="112">
        <v>0</v>
      </c>
      <c r="AX31" s="112">
        <v>0</v>
      </c>
      <c r="AY31" s="112">
        <v>0</v>
      </c>
      <c r="AZ31" s="112">
        <v>0</v>
      </c>
      <c r="BA31" s="112">
        <v>0</v>
      </c>
      <c r="BB31" s="112">
        <v>0</v>
      </c>
      <c r="BC31" s="112">
        <v>0</v>
      </c>
      <c r="BD31" s="112">
        <v>0</v>
      </c>
      <c r="BE31" s="112">
        <v>0</v>
      </c>
      <c r="BF31" s="112">
        <v>0</v>
      </c>
      <c r="BG31" s="112">
        <v>0</v>
      </c>
      <c r="BH31" s="112">
        <v>0</v>
      </c>
      <c r="BI31" s="112">
        <v>0</v>
      </c>
      <c r="BJ31" s="112">
        <v>0</v>
      </c>
      <c r="BK31" s="112">
        <v>0</v>
      </c>
      <c r="BL31" s="112">
        <v>0</v>
      </c>
      <c r="BM31" s="112">
        <v>0</v>
      </c>
      <c r="BN31" s="112">
        <v>0</v>
      </c>
      <c r="BO31" s="112">
        <v>0</v>
      </c>
      <c r="BP31" s="112">
        <v>0</v>
      </c>
      <c r="BQ31" s="112">
        <v>0</v>
      </c>
      <c r="BR31" s="112">
        <v>0</v>
      </c>
      <c r="BS31" s="112">
        <v>0</v>
      </c>
      <c r="BT31" s="112">
        <v>0</v>
      </c>
      <c r="BU31" s="112">
        <v>0</v>
      </c>
      <c r="BV31" s="112">
        <v>0</v>
      </c>
      <c r="BW31" s="112">
        <v>0</v>
      </c>
      <c r="BX31" s="112">
        <v>0</v>
      </c>
      <c r="BY31" s="112">
        <v>0</v>
      </c>
      <c r="BZ31" s="112">
        <v>0</v>
      </c>
      <c r="CA31" s="112">
        <v>0</v>
      </c>
      <c r="CB31" s="112">
        <v>0</v>
      </c>
      <c r="CC31" s="112">
        <v>0</v>
      </c>
      <c r="CD31" s="112">
        <v>0</v>
      </c>
      <c r="CE31" s="112">
        <v>0</v>
      </c>
      <c r="CF31" s="112">
        <v>0</v>
      </c>
      <c r="CG31" s="112">
        <v>0</v>
      </c>
      <c r="CH31" s="112">
        <v>0</v>
      </c>
      <c r="CI31" s="112">
        <v>0</v>
      </c>
      <c r="CJ31" s="112">
        <v>0</v>
      </c>
      <c r="CK31" s="112">
        <v>0</v>
      </c>
      <c r="CL31" s="112">
        <v>0</v>
      </c>
      <c r="CM31" s="112">
        <v>0</v>
      </c>
      <c r="CN31" s="112">
        <v>0</v>
      </c>
      <c r="CO31" s="112">
        <v>0</v>
      </c>
      <c r="CP31" s="112">
        <v>0</v>
      </c>
      <c r="CQ31" s="112">
        <v>0</v>
      </c>
      <c r="CR31" s="112">
        <v>0</v>
      </c>
      <c r="CS31" s="112">
        <v>0</v>
      </c>
      <c r="CT31" s="112">
        <v>0</v>
      </c>
      <c r="CU31" s="112">
        <v>0</v>
      </c>
      <c r="CV31" s="112">
        <v>0</v>
      </c>
    </row>
    <row r="32" spans="1:100" x14ac:dyDescent="0.15">
      <c r="A32" s="191" t="s">
        <v>222</v>
      </c>
      <c r="B32" s="112">
        <v>0</v>
      </c>
      <c r="C32" s="112">
        <v>0</v>
      </c>
      <c r="D32" s="112">
        <v>1</v>
      </c>
      <c r="E32" s="112">
        <v>0</v>
      </c>
      <c r="F32" s="112">
        <v>0</v>
      </c>
      <c r="G32" s="112">
        <v>0</v>
      </c>
      <c r="H32" s="112">
        <v>0</v>
      </c>
      <c r="I32" s="112">
        <v>0</v>
      </c>
      <c r="J32" s="112">
        <v>0</v>
      </c>
      <c r="K32" s="112">
        <v>0</v>
      </c>
      <c r="L32" s="112">
        <v>1</v>
      </c>
      <c r="M32" s="112">
        <v>0</v>
      </c>
      <c r="N32" s="112">
        <v>0</v>
      </c>
      <c r="O32" s="112">
        <v>0</v>
      </c>
      <c r="P32" s="112">
        <v>1</v>
      </c>
      <c r="Q32" s="112">
        <v>1</v>
      </c>
      <c r="R32" s="112">
        <v>1</v>
      </c>
      <c r="S32" s="112">
        <v>0</v>
      </c>
      <c r="T32" s="112">
        <v>1</v>
      </c>
      <c r="U32" s="112">
        <v>1</v>
      </c>
      <c r="V32" s="112">
        <v>0</v>
      </c>
      <c r="W32" s="112">
        <v>0</v>
      </c>
      <c r="X32" s="112">
        <v>1</v>
      </c>
      <c r="Y32" s="112">
        <v>0</v>
      </c>
      <c r="Z32" s="112">
        <v>1</v>
      </c>
      <c r="AA32" s="112">
        <v>0</v>
      </c>
      <c r="AB32" s="112">
        <v>0</v>
      </c>
      <c r="AC32" s="112">
        <v>0</v>
      </c>
      <c r="AD32" s="112">
        <v>1</v>
      </c>
      <c r="AE32" s="112">
        <v>1</v>
      </c>
      <c r="AF32" s="112">
        <v>0</v>
      </c>
      <c r="AG32" s="112">
        <v>0</v>
      </c>
      <c r="AH32" s="112">
        <v>0</v>
      </c>
      <c r="AI32" s="112">
        <v>0</v>
      </c>
      <c r="AJ32" s="112">
        <v>0</v>
      </c>
      <c r="AK32" s="112">
        <v>0</v>
      </c>
      <c r="AL32" s="112">
        <v>0</v>
      </c>
      <c r="AM32" s="112">
        <v>0</v>
      </c>
      <c r="AN32" s="112">
        <v>0</v>
      </c>
      <c r="AO32" s="112">
        <v>0</v>
      </c>
      <c r="AP32" s="112">
        <v>0</v>
      </c>
      <c r="AQ32" s="112">
        <v>0</v>
      </c>
      <c r="AR32" s="112">
        <v>0</v>
      </c>
      <c r="AS32" s="112">
        <v>0</v>
      </c>
      <c r="AT32" s="112">
        <v>0</v>
      </c>
      <c r="AU32" s="112">
        <v>0</v>
      </c>
      <c r="AV32" s="112">
        <v>0</v>
      </c>
      <c r="AW32" s="112">
        <v>0</v>
      </c>
      <c r="AX32" s="112">
        <v>0</v>
      </c>
      <c r="AY32" s="112">
        <v>0</v>
      </c>
      <c r="AZ32" s="112">
        <v>0</v>
      </c>
      <c r="BA32" s="112">
        <v>0</v>
      </c>
      <c r="BB32" s="112">
        <v>0</v>
      </c>
      <c r="BC32" s="112">
        <v>0</v>
      </c>
      <c r="BD32" s="112">
        <v>0</v>
      </c>
      <c r="BE32" s="112">
        <v>0</v>
      </c>
      <c r="BF32" s="112">
        <v>0</v>
      </c>
      <c r="BG32" s="112">
        <v>0</v>
      </c>
      <c r="BH32" s="112">
        <v>0</v>
      </c>
      <c r="BI32" s="112">
        <v>0</v>
      </c>
      <c r="BJ32" s="112">
        <v>0</v>
      </c>
      <c r="BK32" s="112">
        <v>0</v>
      </c>
      <c r="BL32" s="112">
        <v>0</v>
      </c>
      <c r="BM32" s="112">
        <v>0</v>
      </c>
      <c r="BN32" s="112">
        <v>0</v>
      </c>
      <c r="BO32" s="112">
        <v>0</v>
      </c>
      <c r="BP32" s="112">
        <v>0</v>
      </c>
      <c r="BQ32" s="112">
        <v>0</v>
      </c>
      <c r="BR32" s="112">
        <v>0</v>
      </c>
      <c r="BS32" s="112">
        <v>0</v>
      </c>
      <c r="BT32" s="112">
        <v>0</v>
      </c>
      <c r="BU32" s="112">
        <v>0</v>
      </c>
      <c r="BV32" s="112">
        <v>0</v>
      </c>
      <c r="BW32" s="112">
        <v>0</v>
      </c>
      <c r="BX32" s="112">
        <v>0</v>
      </c>
      <c r="BY32" s="112">
        <v>0</v>
      </c>
      <c r="BZ32" s="112">
        <v>0</v>
      </c>
      <c r="CA32" s="112">
        <v>0</v>
      </c>
      <c r="CB32" s="112">
        <v>0</v>
      </c>
      <c r="CC32" s="112">
        <v>0</v>
      </c>
      <c r="CD32" s="112">
        <v>0</v>
      </c>
      <c r="CE32" s="112">
        <v>0</v>
      </c>
      <c r="CF32" s="112">
        <v>0</v>
      </c>
      <c r="CG32" s="112">
        <v>0</v>
      </c>
      <c r="CH32" s="112">
        <v>0</v>
      </c>
      <c r="CI32" s="112">
        <v>0</v>
      </c>
      <c r="CJ32" s="112">
        <v>0</v>
      </c>
      <c r="CK32" s="112">
        <v>0</v>
      </c>
      <c r="CL32" s="112">
        <v>0</v>
      </c>
      <c r="CM32" s="112">
        <v>0</v>
      </c>
      <c r="CN32" s="112">
        <v>0</v>
      </c>
      <c r="CO32" s="112">
        <v>0</v>
      </c>
      <c r="CP32" s="112">
        <v>0</v>
      </c>
      <c r="CQ32" s="112">
        <v>0</v>
      </c>
      <c r="CR32" s="112">
        <v>0</v>
      </c>
      <c r="CS32" s="112">
        <v>0</v>
      </c>
      <c r="CT32" s="112">
        <v>0</v>
      </c>
      <c r="CU32" s="112">
        <v>0</v>
      </c>
      <c r="CV32" s="112">
        <v>0</v>
      </c>
    </row>
    <row r="33" spans="1:100" x14ac:dyDescent="0.15">
      <c r="A33" s="191" t="s">
        <v>223</v>
      </c>
      <c r="B33" s="112">
        <v>0</v>
      </c>
      <c r="C33" s="112">
        <v>0</v>
      </c>
      <c r="D33" s="112">
        <v>1</v>
      </c>
      <c r="E33" s="112">
        <v>0</v>
      </c>
      <c r="F33" s="112">
        <v>0</v>
      </c>
      <c r="G33" s="112">
        <v>0</v>
      </c>
      <c r="H33" s="112">
        <v>0</v>
      </c>
      <c r="I33" s="112">
        <v>0</v>
      </c>
      <c r="J33" s="112">
        <v>0</v>
      </c>
      <c r="K33" s="112">
        <v>0</v>
      </c>
      <c r="L33" s="112">
        <v>0</v>
      </c>
      <c r="M33" s="112">
        <v>0</v>
      </c>
      <c r="N33" s="112">
        <v>0</v>
      </c>
      <c r="O33" s="112">
        <v>0</v>
      </c>
      <c r="P33" s="112">
        <v>0</v>
      </c>
      <c r="Q33" s="112">
        <v>1</v>
      </c>
      <c r="R33" s="112">
        <v>0</v>
      </c>
      <c r="S33" s="112">
        <v>0</v>
      </c>
      <c r="T33" s="112">
        <v>1</v>
      </c>
      <c r="U33" s="112">
        <v>0</v>
      </c>
      <c r="V33" s="112">
        <v>0</v>
      </c>
      <c r="W33" s="112">
        <v>0</v>
      </c>
      <c r="X33" s="112">
        <v>0</v>
      </c>
      <c r="Y33" s="112">
        <v>0</v>
      </c>
      <c r="Z33" s="112">
        <v>0</v>
      </c>
      <c r="AA33" s="112">
        <v>0</v>
      </c>
      <c r="AB33" s="112">
        <v>0</v>
      </c>
      <c r="AC33" s="112">
        <v>0</v>
      </c>
      <c r="AD33" s="112">
        <v>0</v>
      </c>
      <c r="AE33" s="112">
        <v>1</v>
      </c>
      <c r="AF33" s="112">
        <v>0</v>
      </c>
      <c r="AG33" s="112">
        <v>0</v>
      </c>
      <c r="AH33" s="112">
        <v>0</v>
      </c>
      <c r="AI33" s="112">
        <v>0</v>
      </c>
      <c r="AJ33" s="112">
        <v>0</v>
      </c>
      <c r="AK33" s="112">
        <v>0</v>
      </c>
      <c r="AL33" s="112">
        <v>0</v>
      </c>
      <c r="AM33" s="112">
        <v>0</v>
      </c>
      <c r="AN33" s="112">
        <v>0</v>
      </c>
      <c r="AO33" s="112">
        <v>0</v>
      </c>
      <c r="AP33" s="112">
        <v>0</v>
      </c>
      <c r="AQ33" s="112">
        <v>0</v>
      </c>
      <c r="AR33" s="112">
        <v>0</v>
      </c>
      <c r="AS33" s="112">
        <v>0</v>
      </c>
      <c r="AT33" s="112">
        <v>0</v>
      </c>
      <c r="AU33" s="112">
        <v>0</v>
      </c>
      <c r="AV33" s="112">
        <v>0</v>
      </c>
      <c r="AW33" s="112">
        <v>0</v>
      </c>
      <c r="AX33" s="112">
        <v>0</v>
      </c>
      <c r="AY33" s="112">
        <v>0</v>
      </c>
      <c r="AZ33" s="112">
        <v>0</v>
      </c>
      <c r="BA33" s="112">
        <v>0</v>
      </c>
      <c r="BB33" s="112">
        <v>0</v>
      </c>
      <c r="BC33" s="112">
        <v>0</v>
      </c>
      <c r="BD33" s="112">
        <v>0</v>
      </c>
      <c r="BE33" s="112">
        <v>0</v>
      </c>
      <c r="BF33" s="112">
        <v>0</v>
      </c>
      <c r="BG33" s="112">
        <v>0</v>
      </c>
      <c r="BH33" s="112">
        <v>0</v>
      </c>
      <c r="BI33" s="112">
        <v>0</v>
      </c>
      <c r="BJ33" s="112">
        <v>0</v>
      </c>
      <c r="BK33" s="112">
        <v>0</v>
      </c>
      <c r="BL33" s="112">
        <v>0</v>
      </c>
      <c r="BM33" s="112">
        <v>0</v>
      </c>
      <c r="BN33" s="112">
        <v>0</v>
      </c>
      <c r="BO33" s="112">
        <v>0</v>
      </c>
      <c r="BP33" s="112">
        <v>0</v>
      </c>
      <c r="BQ33" s="112">
        <v>0</v>
      </c>
      <c r="BR33" s="112">
        <v>0</v>
      </c>
      <c r="BS33" s="112">
        <v>0</v>
      </c>
      <c r="BT33" s="112">
        <v>0</v>
      </c>
      <c r="BU33" s="112">
        <v>0</v>
      </c>
      <c r="BV33" s="112">
        <v>0</v>
      </c>
      <c r="BW33" s="112">
        <v>0</v>
      </c>
      <c r="BX33" s="112">
        <v>0</v>
      </c>
      <c r="BY33" s="112">
        <v>0</v>
      </c>
      <c r="BZ33" s="112">
        <v>0</v>
      </c>
      <c r="CA33" s="112">
        <v>0</v>
      </c>
      <c r="CB33" s="112">
        <v>0</v>
      </c>
      <c r="CC33" s="112">
        <v>0</v>
      </c>
      <c r="CD33" s="112">
        <v>0</v>
      </c>
      <c r="CE33" s="112">
        <v>0</v>
      </c>
      <c r="CF33" s="112">
        <v>0</v>
      </c>
      <c r="CG33" s="112">
        <v>0</v>
      </c>
      <c r="CH33" s="112">
        <v>0</v>
      </c>
      <c r="CI33" s="112">
        <v>0</v>
      </c>
      <c r="CJ33" s="112">
        <v>0</v>
      </c>
      <c r="CK33" s="112">
        <v>0</v>
      </c>
      <c r="CL33" s="112">
        <v>0</v>
      </c>
      <c r="CM33" s="112">
        <v>0</v>
      </c>
      <c r="CN33" s="112">
        <v>0</v>
      </c>
      <c r="CO33" s="112">
        <v>0</v>
      </c>
      <c r="CP33" s="112">
        <v>0</v>
      </c>
      <c r="CQ33" s="112">
        <v>0</v>
      </c>
      <c r="CR33" s="112">
        <v>0</v>
      </c>
      <c r="CS33" s="112">
        <v>0</v>
      </c>
      <c r="CT33" s="112">
        <v>0</v>
      </c>
      <c r="CU33" s="112">
        <v>0</v>
      </c>
      <c r="CV33" s="112">
        <v>0</v>
      </c>
    </row>
    <row r="34" spans="1:100" x14ac:dyDescent="0.15">
      <c r="A34" s="191" t="s">
        <v>224</v>
      </c>
      <c r="B34" s="112">
        <v>0</v>
      </c>
      <c r="C34" s="112">
        <v>0</v>
      </c>
      <c r="D34" s="112">
        <v>1</v>
      </c>
      <c r="E34" s="112">
        <v>0</v>
      </c>
      <c r="F34" s="112">
        <v>0</v>
      </c>
      <c r="G34" s="112">
        <v>0</v>
      </c>
      <c r="H34" s="112">
        <v>0</v>
      </c>
      <c r="I34" s="112">
        <v>0</v>
      </c>
      <c r="J34" s="112">
        <v>0</v>
      </c>
      <c r="K34" s="112">
        <v>0</v>
      </c>
      <c r="L34" s="112">
        <v>0</v>
      </c>
      <c r="M34" s="112">
        <v>0</v>
      </c>
      <c r="N34" s="112">
        <v>0</v>
      </c>
      <c r="O34" s="112">
        <v>0</v>
      </c>
      <c r="P34" s="112">
        <v>0</v>
      </c>
      <c r="Q34" s="112">
        <v>0</v>
      </c>
      <c r="R34" s="112">
        <v>0</v>
      </c>
      <c r="S34" s="112">
        <v>0</v>
      </c>
      <c r="T34" s="112">
        <v>0</v>
      </c>
      <c r="U34" s="112">
        <v>0</v>
      </c>
      <c r="V34" s="112">
        <v>0</v>
      </c>
      <c r="W34" s="112">
        <v>0</v>
      </c>
      <c r="X34" s="112">
        <v>0</v>
      </c>
      <c r="Y34" s="112">
        <v>0</v>
      </c>
      <c r="Z34" s="112">
        <v>0</v>
      </c>
      <c r="AA34" s="112">
        <v>0</v>
      </c>
      <c r="AB34" s="112">
        <v>0</v>
      </c>
      <c r="AC34" s="112">
        <v>0</v>
      </c>
      <c r="AD34" s="112">
        <v>0</v>
      </c>
      <c r="AE34" s="112">
        <v>0</v>
      </c>
      <c r="AF34" s="112">
        <v>0</v>
      </c>
      <c r="AG34" s="112">
        <v>0</v>
      </c>
      <c r="AH34" s="112">
        <v>0</v>
      </c>
      <c r="AI34" s="112">
        <v>0</v>
      </c>
      <c r="AJ34" s="112">
        <v>0</v>
      </c>
      <c r="AK34" s="112">
        <v>0</v>
      </c>
      <c r="AL34" s="112">
        <v>0</v>
      </c>
      <c r="AM34" s="112">
        <v>0</v>
      </c>
      <c r="AN34" s="112">
        <v>0</v>
      </c>
      <c r="AO34" s="112">
        <v>0</v>
      </c>
      <c r="AP34" s="112">
        <v>0</v>
      </c>
      <c r="AQ34" s="112">
        <v>0</v>
      </c>
      <c r="AR34" s="112">
        <v>0</v>
      </c>
      <c r="AS34" s="112">
        <v>0</v>
      </c>
      <c r="AT34" s="112">
        <v>0</v>
      </c>
      <c r="AU34" s="112">
        <v>0</v>
      </c>
      <c r="AV34" s="112">
        <v>0</v>
      </c>
      <c r="AW34" s="112">
        <v>0</v>
      </c>
      <c r="AX34" s="112">
        <v>0</v>
      </c>
      <c r="AY34" s="112">
        <v>0</v>
      </c>
      <c r="AZ34" s="112">
        <v>0</v>
      </c>
      <c r="BA34" s="112">
        <v>0</v>
      </c>
      <c r="BB34" s="112">
        <v>0</v>
      </c>
      <c r="BC34" s="112">
        <v>0</v>
      </c>
      <c r="BD34" s="112">
        <v>0</v>
      </c>
      <c r="BE34" s="112">
        <v>0</v>
      </c>
      <c r="BF34" s="112">
        <v>0</v>
      </c>
      <c r="BG34" s="112">
        <v>0</v>
      </c>
      <c r="BH34" s="112">
        <v>0</v>
      </c>
      <c r="BI34" s="112">
        <v>0</v>
      </c>
      <c r="BJ34" s="112">
        <v>0</v>
      </c>
      <c r="BK34" s="112">
        <v>0</v>
      </c>
      <c r="BL34" s="112">
        <v>0</v>
      </c>
      <c r="BM34" s="112">
        <v>0</v>
      </c>
      <c r="BN34" s="112">
        <v>0</v>
      </c>
      <c r="BO34" s="112">
        <v>0</v>
      </c>
      <c r="BP34" s="112">
        <v>0</v>
      </c>
      <c r="BQ34" s="112">
        <v>0</v>
      </c>
      <c r="BR34" s="112">
        <v>0</v>
      </c>
      <c r="BS34" s="112">
        <v>0</v>
      </c>
      <c r="BT34" s="112">
        <v>0</v>
      </c>
      <c r="BU34" s="112">
        <v>0</v>
      </c>
      <c r="BV34" s="112">
        <v>0</v>
      </c>
      <c r="BW34" s="112">
        <v>0</v>
      </c>
      <c r="BX34" s="112">
        <v>0</v>
      </c>
      <c r="BY34" s="112">
        <v>0</v>
      </c>
      <c r="BZ34" s="112">
        <v>0</v>
      </c>
      <c r="CA34" s="112">
        <v>0</v>
      </c>
      <c r="CB34" s="112">
        <v>0</v>
      </c>
      <c r="CC34" s="112">
        <v>0</v>
      </c>
      <c r="CD34" s="112">
        <v>0</v>
      </c>
      <c r="CE34" s="112">
        <v>0</v>
      </c>
      <c r="CF34" s="112">
        <v>0</v>
      </c>
      <c r="CG34" s="112">
        <v>0</v>
      </c>
      <c r="CH34" s="112">
        <v>0</v>
      </c>
      <c r="CI34" s="112">
        <v>0</v>
      </c>
      <c r="CJ34" s="112">
        <v>0</v>
      </c>
      <c r="CK34" s="112">
        <v>0</v>
      </c>
      <c r="CL34" s="112">
        <v>0</v>
      </c>
      <c r="CM34" s="112">
        <v>0</v>
      </c>
      <c r="CN34" s="112">
        <v>0</v>
      </c>
      <c r="CO34" s="112">
        <v>0</v>
      </c>
      <c r="CP34" s="112">
        <v>0</v>
      </c>
      <c r="CQ34" s="112">
        <v>0</v>
      </c>
      <c r="CR34" s="112">
        <v>0</v>
      </c>
      <c r="CS34" s="112">
        <v>0</v>
      </c>
      <c r="CT34" s="112">
        <v>0</v>
      </c>
      <c r="CU34" s="112">
        <v>0</v>
      </c>
      <c r="CV34" s="112">
        <v>0</v>
      </c>
    </row>
    <row r="35" spans="1:100" x14ac:dyDescent="0.15">
      <c r="A35" s="191" t="s">
        <v>225</v>
      </c>
      <c r="B35" s="112">
        <v>0</v>
      </c>
      <c r="C35" s="112">
        <v>0</v>
      </c>
      <c r="D35" s="112">
        <v>1</v>
      </c>
      <c r="E35" s="112">
        <v>0</v>
      </c>
      <c r="F35" s="112">
        <v>0</v>
      </c>
      <c r="G35" s="112">
        <v>0</v>
      </c>
      <c r="H35" s="112">
        <v>0</v>
      </c>
      <c r="I35" s="112">
        <v>0</v>
      </c>
      <c r="J35" s="112">
        <v>0</v>
      </c>
      <c r="K35" s="112">
        <v>0</v>
      </c>
      <c r="L35" s="112">
        <v>0</v>
      </c>
      <c r="M35" s="112">
        <v>0</v>
      </c>
      <c r="N35" s="112">
        <v>0</v>
      </c>
      <c r="O35" s="112">
        <v>0</v>
      </c>
      <c r="P35" s="112">
        <v>1</v>
      </c>
      <c r="Q35" s="112">
        <v>1</v>
      </c>
      <c r="R35" s="112">
        <v>1</v>
      </c>
      <c r="S35" s="112">
        <v>0</v>
      </c>
      <c r="T35" s="112">
        <v>1</v>
      </c>
      <c r="U35" s="112">
        <v>0</v>
      </c>
      <c r="V35" s="112">
        <v>0</v>
      </c>
      <c r="W35" s="112">
        <v>0</v>
      </c>
      <c r="X35" s="112">
        <v>0</v>
      </c>
      <c r="Y35" s="112">
        <v>0</v>
      </c>
      <c r="Z35" s="112">
        <v>0</v>
      </c>
      <c r="AA35" s="112">
        <v>0</v>
      </c>
      <c r="AB35" s="112">
        <v>0</v>
      </c>
      <c r="AC35" s="112">
        <v>0</v>
      </c>
      <c r="AD35" s="112">
        <v>1</v>
      </c>
      <c r="AE35" s="112">
        <v>1</v>
      </c>
      <c r="AF35" s="112">
        <v>0</v>
      </c>
      <c r="AG35" s="112">
        <v>0</v>
      </c>
      <c r="AH35" s="112">
        <v>0</v>
      </c>
      <c r="AI35" s="112">
        <v>0</v>
      </c>
      <c r="AJ35" s="112">
        <v>0</v>
      </c>
      <c r="AK35" s="112">
        <v>0</v>
      </c>
      <c r="AL35" s="112">
        <v>0</v>
      </c>
      <c r="AM35" s="112">
        <v>0</v>
      </c>
      <c r="AN35" s="112">
        <v>0</v>
      </c>
      <c r="AO35" s="112">
        <v>0</v>
      </c>
      <c r="AP35" s="112">
        <v>0</v>
      </c>
      <c r="AQ35" s="112">
        <v>0</v>
      </c>
      <c r="AR35" s="112">
        <v>1</v>
      </c>
      <c r="AS35" s="112">
        <v>0</v>
      </c>
      <c r="AT35" s="112">
        <v>0</v>
      </c>
      <c r="AU35" s="112">
        <v>0</v>
      </c>
      <c r="AV35" s="112">
        <v>0</v>
      </c>
      <c r="AW35" s="112">
        <v>0</v>
      </c>
      <c r="AX35" s="112">
        <v>0</v>
      </c>
      <c r="AY35" s="112">
        <v>0</v>
      </c>
      <c r="AZ35" s="112">
        <v>0</v>
      </c>
      <c r="BA35" s="112">
        <v>0</v>
      </c>
      <c r="BB35" s="112">
        <v>0</v>
      </c>
      <c r="BC35" s="112">
        <v>0</v>
      </c>
      <c r="BD35" s="112">
        <v>0</v>
      </c>
      <c r="BE35" s="112">
        <v>0</v>
      </c>
      <c r="BF35" s="112">
        <v>0</v>
      </c>
      <c r="BG35" s="112">
        <v>0</v>
      </c>
      <c r="BH35" s="112">
        <v>0</v>
      </c>
      <c r="BI35" s="112">
        <v>0</v>
      </c>
      <c r="BJ35" s="112">
        <v>0</v>
      </c>
      <c r="BK35" s="112">
        <v>0</v>
      </c>
      <c r="BL35" s="112">
        <v>0</v>
      </c>
      <c r="BM35" s="112">
        <v>0</v>
      </c>
      <c r="BN35" s="112">
        <v>0</v>
      </c>
      <c r="BO35" s="112">
        <v>0</v>
      </c>
      <c r="BP35" s="112">
        <v>0</v>
      </c>
      <c r="BQ35" s="112">
        <v>0</v>
      </c>
      <c r="BR35" s="112">
        <v>0</v>
      </c>
      <c r="BS35" s="112">
        <v>0</v>
      </c>
      <c r="BT35" s="112">
        <v>0</v>
      </c>
      <c r="BU35" s="112">
        <v>0</v>
      </c>
      <c r="BV35" s="112">
        <v>0</v>
      </c>
      <c r="BW35" s="112">
        <v>0</v>
      </c>
      <c r="BX35" s="112">
        <v>0</v>
      </c>
      <c r="BY35" s="112">
        <v>0</v>
      </c>
      <c r="BZ35" s="112">
        <v>0</v>
      </c>
      <c r="CA35" s="112">
        <v>0</v>
      </c>
      <c r="CB35" s="112">
        <v>0</v>
      </c>
      <c r="CC35" s="112">
        <v>0</v>
      </c>
      <c r="CD35" s="112">
        <v>0</v>
      </c>
      <c r="CE35" s="112">
        <v>0</v>
      </c>
      <c r="CF35" s="112">
        <v>0</v>
      </c>
      <c r="CG35" s="112">
        <v>0</v>
      </c>
      <c r="CH35" s="112">
        <v>0</v>
      </c>
      <c r="CI35" s="112">
        <v>0</v>
      </c>
      <c r="CJ35" s="112">
        <v>0</v>
      </c>
      <c r="CK35" s="112">
        <v>0</v>
      </c>
      <c r="CL35" s="112">
        <v>0</v>
      </c>
      <c r="CM35" s="112">
        <v>0</v>
      </c>
      <c r="CN35" s="112">
        <v>0</v>
      </c>
      <c r="CO35" s="112">
        <v>0</v>
      </c>
      <c r="CP35" s="112">
        <v>0</v>
      </c>
      <c r="CQ35" s="112">
        <v>0</v>
      </c>
      <c r="CR35" s="112">
        <v>0</v>
      </c>
      <c r="CS35" s="112">
        <v>0</v>
      </c>
      <c r="CT35" s="112">
        <v>0</v>
      </c>
      <c r="CU35" s="112">
        <v>0</v>
      </c>
      <c r="CV35" s="112">
        <v>0</v>
      </c>
    </row>
    <row r="36" spans="1:100" x14ac:dyDescent="0.15">
      <c r="A36" s="191" t="s">
        <v>226</v>
      </c>
      <c r="B36" s="112">
        <v>0</v>
      </c>
      <c r="C36" s="112">
        <v>0</v>
      </c>
      <c r="D36" s="112">
        <v>1</v>
      </c>
      <c r="E36" s="112">
        <v>0</v>
      </c>
      <c r="F36" s="112">
        <v>0</v>
      </c>
      <c r="G36" s="112">
        <v>0</v>
      </c>
      <c r="H36" s="112">
        <v>0</v>
      </c>
      <c r="I36" s="112">
        <v>0</v>
      </c>
      <c r="J36" s="112">
        <v>0</v>
      </c>
      <c r="K36" s="112">
        <v>0</v>
      </c>
      <c r="L36" s="112">
        <v>1</v>
      </c>
      <c r="M36" s="112">
        <v>0</v>
      </c>
      <c r="N36" s="112">
        <v>0</v>
      </c>
      <c r="O36" s="112">
        <v>0</v>
      </c>
      <c r="P36" s="112">
        <v>1</v>
      </c>
      <c r="Q36" s="112">
        <v>1</v>
      </c>
      <c r="R36" s="112">
        <v>1</v>
      </c>
      <c r="S36" s="112">
        <v>1</v>
      </c>
      <c r="T36" s="112">
        <v>1</v>
      </c>
      <c r="U36" s="112">
        <v>1</v>
      </c>
      <c r="V36" s="112">
        <v>1</v>
      </c>
      <c r="W36" s="112">
        <v>1</v>
      </c>
      <c r="X36" s="112">
        <v>1</v>
      </c>
      <c r="Y36" s="112">
        <v>0</v>
      </c>
      <c r="Z36" s="112">
        <v>1</v>
      </c>
      <c r="AA36" s="112">
        <v>0</v>
      </c>
      <c r="AB36" s="112">
        <v>0</v>
      </c>
      <c r="AC36" s="112">
        <v>0</v>
      </c>
      <c r="AD36" s="112">
        <v>1</v>
      </c>
      <c r="AE36" s="112">
        <v>1</v>
      </c>
      <c r="AF36" s="112">
        <v>1</v>
      </c>
      <c r="AG36" s="112">
        <v>1</v>
      </c>
      <c r="AH36" s="112">
        <v>1</v>
      </c>
      <c r="AI36" s="112">
        <v>0</v>
      </c>
      <c r="AJ36" s="112">
        <v>1</v>
      </c>
      <c r="AK36" s="112">
        <v>0</v>
      </c>
      <c r="AL36" s="112">
        <v>0</v>
      </c>
      <c r="AM36" s="112">
        <v>0</v>
      </c>
      <c r="AN36" s="112">
        <v>0</v>
      </c>
      <c r="AO36" s="112">
        <v>0</v>
      </c>
      <c r="AP36" s="112">
        <v>0</v>
      </c>
      <c r="AQ36" s="112">
        <v>0</v>
      </c>
      <c r="AR36" s="112">
        <v>1</v>
      </c>
      <c r="AS36" s="112">
        <v>0</v>
      </c>
      <c r="AT36" s="112">
        <v>0</v>
      </c>
      <c r="AU36" s="112">
        <v>0</v>
      </c>
      <c r="AV36" s="112">
        <v>0</v>
      </c>
      <c r="AW36" s="112">
        <v>0</v>
      </c>
      <c r="AX36" s="112">
        <v>0</v>
      </c>
      <c r="AY36" s="112">
        <v>0</v>
      </c>
      <c r="AZ36" s="112">
        <v>0</v>
      </c>
      <c r="BA36" s="112">
        <v>0</v>
      </c>
      <c r="BB36" s="112">
        <v>0</v>
      </c>
      <c r="BC36" s="112">
        <v>0</v>
      </c>
      <c r="BD36" s="112">
        <v>0</v>
      </c>
      <c r="BE36" s="112">
        <v>0</v>
      </c>
      <c r="BF36" s="112">
        <v>0</v>
      </c>
      <c r="BG36" s="112">
        <v>0</v>
      </c>
      <c r="BH36" s="112">
        <v>0</v>
      </c>
      <c r="BI36" s="112">
        <v>0</v>
      </c>
      <c r="BJ36" s="112">
        <v>0</v>
      </c>
      <c r="BK36" s="112">
        <v>0</v>
      </c>
      <c r="BL36" s="112">
        <v>0</v>
      </c>
      <c r="BM36" s="112">
        <v>0</v>
      </c>
      <c r="BN36" s="112">
        <v>0</v>
      </c>
      <c r="BO36" s="112">
        <v>0</v>
      </c>
      <c r="BP36" s="112">
        <v>0</v>
      </c>
      <c r="BQ36" s="112">
        <v>0</v>
      </c>
      <c r="BR36" s="112">
        <v>0</v>
      </c>
      <c r="BS36" s="112">
        <v>0</v>
      </c>
      <c r="BT36" s="112">
        <v>0</v>
      </c>
      <c r="BU36" s="112">
        <v>0</v>
      </c>
      <c r="BV36" s="112">
        <v>0</v>
      </c>
      <c r="BW36" s="112">
        <v>0</v>
      </c>
      <c r="BX36" s="112">
        <v>0</v>
      </c>
      <c r="BY36" s="112">
        <v>0</v>
      </c>
      <c r="BZ36" s="112">
        <v>0</v>
      </c>
      <c r="CA36" s="112">
        <v>0</v>
      </c>
      <c r="CB36" s="112">
        <v>0</v>
      </c>
      <c r="CC36" s="112">
        <v>0</v>
      </c>
      <c r="CD36" s="112">
        <v>0</v>
      </c>
      <c r="CE36" s="112">
        <v>0</v>
      </c>
      <c r="CF36" s="112">
        <v>0</v>
      </c>
      <c r="CG36" s="112">
        <v>0</v>
      </c>
      <c r="CH36" s="112">
        <v>0</v>
      </c>
      <c r="CI36" s="112">
        <v>0</v>
      </c>
      <c r="CJ36" s="112">
        <v>0</v>
      </c>
      <c r="CK36" s="112">
        <v>0</v>
      </c>
      <c r="CL36" s="112">
        <v>0</v>
      </c>
      <c r="CM36" s="112">
        <v>0</v>
      </c>
      <c r="CN36" s="112">
        <v>0</v>
      </c>
      <c r="CO36" s="112">
        <v>0</v>
      </c>
      <c r="CP36" s="112">
        <v>0</v>
      </c>
      <c r="CQ36" s="112">
        <v>0</v>
      </c>
      <c r="CR36" s="112">
        <v>0</v>
      </c>
      <c r="CS36" s="112">
        <v>0</v>
      </c>
      <c r="CT36" s="112">
        <v>0</v>
      </c>
      <c r="CU36" s="112">
        <v>0</v>
      </c>
      <c r="CV36" s="112">
        <v>0</v>
      </c>
    </row>
    <row r="37" spans="1:100" x14ac:dyDescent="0.15">
      <c r="A37" s="191" t="s">
        <v>227</v>
      </c>
      <c r="B37" s="112">
        <v>1</v>
      </c>
      <c r="C37" s="112">
        <v>0</v>
      </c>
      <c r="D37" s="112">
        <v>0</v>
      </c>
      <c r="E37" s="112">
        <v>0</v>
      </c>
      <c r="F37" s="112">
        <v>0</v>
      </c>
      <c r="G37" s="112">
        <v>0</v>
      </c>
      <c r="H37" s="112">
        <v>0</v>
      </c>
      <c r="I37" s="112">
        <v>0</v>
      </c>
      <c r="J37" s="112">
        <v>0</v>
      </c>
      <c r="K37" s="112">
        <v>1</v>
      </c>
      <c r="L37" s="112">
        <v>1</v>
      </c>
      <c r="M37" s="112">
        <v>1</v>
      </c>
      <c r="N37" s="112">
        <v>0</v>
      </c>
      <c r="O37" s="112">
        <v>1</v>
      </c>
      <c r="P37" s="112">
        <v>1</v>
      </c>
      <c r="Q37" s="112">
        <v>1</v>
      </c>
      <c r="R37" s="112">
        <v>1</v>
      </c>
      <c r="S37" s="112">
        <v>1</v>
      </c>
      <c r="T37" s="112">
        <v>0</v>
      </c>
      <c r="U37" s="112">
        <v>1</v>
      </c>
      <c r="V37" s="112">
        <v>0</v>
      </c>
      <c r="W37" s="112">
        <v>0</v>
      </c>
      <c r="X37" s="112">
        <v>0</v>
      </c>
      <c r="Y37" s="112">
        <v>0</v>
      </c>
      <c r="Z37" s="112">
        <v>1</v>
      </c>
      <c r="AA37" s="112">
        <v>0</v>
      </c>
      <c r="AB37" s="112">
        <v>0</v>
      </c>
      <c r="AC37" s="112">
        <v>0</v>
      </c>
      <c r="AD37" s="112">
        <v>1</v>
      </c>
      <c r="AE37" s="112">
        <v>1</v>
      </c>
      <c r="AF37" s="112">
        <v>1</v>
      </c>
      <c r="AG37" s="112">
        <v>0</v>
      </c>
      <c r="AH37" s="112">
        <v>0</v>
      </c>
      <c r="AI37" s="112">
        <v>0</v>
      </c>
      <c r="AJ37" s="112">
        <v>1</v>
      </c>
      <c r="AK37" s="112">
        <v>0</v>
      </c>
      <c r="AL37" s="112">
        <v>0</v>
      </c>
      <c r="AM37" s="112">
        <v>0</v>
      </c>
      <c r="AN37" s="112">
        <v>0</v>
      </c>
      <c r="AO37" s="112">
        <v>0</v>
      </c>
      <c r="AP37" s="112">
        <v>0</v>
      </c>
      <c r="AQ37" s="112">
        <v>0</v>
      </c>
      <c r="AR37" s="112">
        <v>0</v>
      </c>
      <c r="AS37" s="112">
        <v>0</v>
      </c>
      <c r="AT37" s="112">
        <v>0</v>
      </c>
      <c r="AU37" s="112">
        <v>0</v>
      </c>
      <c r="AV37" s="112">
        <v>0</v>
      </c>
      <c r="AW37" s="112">
        <v>0</v>
      </c>
      <c r="AX37" s="112">
        <v>0</v>
      </c>
      <c r="AY37" s="112">
        <v>0</v>
      </c>
      <c r="AZ37" s="112">
        <v>0</v>
      </c>
      <c r="BA37" s="112">
        <v>0</v>
      </c>
      <c r="BB37" s="112">
        <v>0</v>
      </c>
      <c r="BC37" s="112">
        <v>0</v>
      </c>
      <c r="BD37" s="112">
        <v>0</v>
      </c>
      <c r="BE37" s="112">
        <v>0</v>
      </c>
      <c r="BF37" s="112">
        <v>0</v>
      </c>
      <c r="BG37" s="112">
        <v>0</v>
      </c>
      <c r="BH37" s="112">
        <v>0</v>
      </c>
      <c r="BI37" s="112">
        <v>0</v>
      </c>
      <c r="BJ37" s="112">
        <v>0</v>
      </c>
      <c r="BK37" s="112">
        <v>0</v>
      </c>
      <c r="BL37" s="112">
        <v>0</v>
      </c>
      <c r="BM37" s="112">
        <v>0</v>
      </c>
      <c r="BN37" s="112">
        <v>0</v>
      </c>
      <c r="BO37" s="112">
        <v>0</v>
      </c>
      <c r="BP37" s="112">
        <v>0</v>
      </c>
      <c r="BQ37" s="112">
        <v>0</v>
      </c>
      <c r="BR37" s="112">
        <v>0</v>
      </c>
      <c r="BS37" s="112">
        <v>0</v>
      </c>
      <c r="BT37" s="112">
        <v>0</v>
      </c>
      <c r="BU37" s="112">
        <v>0</v>
      </c>
      <c r="BV37" s="112">
        <v>0</v>
      </c>
      <c r="BW37" s="112">
        <v>0</v>
      </c>
      <c r="BX37" s="112">
        <v>0</v>
      </c>
      <c r="BY37" s="112">
        <v>0</v>
      </c>
      <c r="BZ37" s="112">
        <v>0</v>
      </c>
      <c r="CA37" s="112">
        <v>0</v>
      </c>
      <c r="CB37" s="112">
        <v>0</v>
      </c>
      <c r="CC37" s="112">
        <v>0</v>
      </c>
      <c r="CD37" s="112">
        <v>0</v>
      </c>
      <c r="CE37" s="112">
        <v>0</v>
      </c>
      <c r="CF37" s="112">
        <v>0</v>
      </c>
      <c r="CG37" s="112">
        <v>0</v>
      </c>
      <c r="CH37" s="112">
        <v>0</v>
      </c>
      <c r="CI37" s="112">
        <v>0</v>
      </c>
      <c r="CJ37" s="112">
        <v>0</v>
      </c>
      <c r="CK37" s="112">
        <v>0</v>
      </c>
      <c r="CL37" s="112">
        <v>0</v>
      </c>
      <c r="CM37" s="112">
        <v>0</v>
      </c>
      <c r="CN37" s="112">
        <v>0</v>
      </c>
      <c r="CO37" s="112">
        <v>0</v>
      </c>
      <c r="CP37" s="112">
        <v>0</v>
      </c>
      <c r="CQ37" s="112">
        <v>0</v>
      </c>
      <c r="CR37" s="112">
        <v>0</v>
      </c>
      <c r="CS37" s="112">
        <v>0</v>
      </c>
      <c r="CT37" s="112">
        <v>0</v>
      </c>
      <c r="CU37" s="112">
        <v>0</v>
      </c>
      <c r="CV37" s="112">
        <v>0</v>
      </c>
    </row>
    <row r="38" spans="1:100" x14ac:dyDescent="0.15">
      <c r="A38" s="191" t="s">
        <v>228</v>
      </c>
      <c r="B38" s="112">
        <v>0</v>
      </c>
      <c r="C38" s="112">
        <v>0</v>
      </c>
      <c r="D38" s="112">
        <v>1</v>
      </c>
      <c r="E38" s="112">
        <v>0</v>
      </c>
      <c r="F38" s="112">
        <v>0</v>
      </c>
      <c r="G38" s="112">
        <v>0</v>
      </c>
      <c r="H38" s="112">
        <v>0</v>
      </c>
      <c r="I38" s="112">
        <v>0</v>
      </c>
      <c r="J38" s="112">
        <v>0</v>
      </c>
      <c r="K38" s="112">
        <v>0</v>
      </c>
      <c r="L38" s="112">
        <v>1</v>
      </c>
      <c r="M38" s="112">
        <v>0</v>
      </c>
      <c r="N38" s="112">
        <v>0</v>
      </c>
      <c r="O38" s="112">
        <v>0</v>
      </c>
      <c r="P38" s="112">
        <v>1</v>
      </c>
      <c r="Q38" s="112">
        <v>1</v>
      </c>
      <c r="R38" s="112">
        <v>1</v>
      </c>
      <c r="S38" s="112">
        <v>0</v>
      </c>
      <c r="T38" s="112">
        <v>1</v>
      </c>
      <c r="U38" s="112">
        <v>1</v>
      </c>
      <c r="V38" s="112">
        <v>1</v>
      </c>
      <c r="W38" s="112">
        <v>0</v>
      </c>
      <c r="X38" s="112">
        <v>0</v>
      </c>
      <c r="Y38" s="112">
        <v>0</v>
      </c>
      <c r="Z38" s="112">
        <v>0</v>
      </c>
      <c r="AA38" s="112">
        <v>0</v>
      </c>
      <c r="AB38" s="112">
        <v>0</v>
      </c>
      <c r="AC38" s="112">
        <v>0</v>
      </c>
      <c r="AD38" s="112">
        <v>1</v>
      </c>
      <c r="AE38" s="112">
        <v>1</v>
      </c>
      <c r="AF38" s="112">
        <v>1</v>
      </c>
      <c r="AG38" s="112">
        <v>1</v>
      </c>
      <c r="AH38" s="112">
        <v>0</v>
      </c>
      <c r="AI38" s="112">
        <v>0</v>
      </c>
      <c r="AJ38" s="112">
        <v>0</v>
      </c>
      <c r="AK38" s="112">
        <v>0</v>
      </c>
      <c r="AL38" s="112">
        <v>0</v>
      </c>
      <c r="AM38" s="112">
        <v>0</v>
      </c>
      <c r="AN38" s="112">
        <v>0</v>
      </c>
      <c r="AO38" s="112">
        <v>0</v>
      </c>
      <c r="AP38" s="112">
        <v>0</v>
      </c>
      <c r="AQ38" s="112">
        <v>0</v>
      </c>
      <c r="AR38" s="112">
        <v>0</v>
      </c>
      <c r="AS38" s="112">
        <v>0</v>
      </c>
      <c r="AT38" s="112">
        <v>0</v>
      </c>
      <c r="AU38" s="112">
        <v>0</v>
      </c>
      <c r="AV38" s="112">
        <v>0</v>
      </c>
      <c r="AW38" s="112">
        <v>0</v>
      </c>
      <c r="AX38" s="112">
        <v>0</v>
      </c>
      <c r="AY38" s="112">
        <v>0</v>
      </c>
      <c r="AZ38" s="112">
        <v>0</v>
      </c>
      <c r="BA38" s="112">
        <v>0</v>
      </c>
      <c r="BB38" s="112">
        <v>0</v>
      </c>
      <c r="BC38" s="112">
        <v>0</v>
      </c>
      <c r="BD38" s="112">
        <v>0</v>
      </c>
      <c r="BE38" s="112">
        <v>0</v>
      </c>
      <c r="BF38" s="112">
        <v>0</v>
      </c>
      <c r="BG38" s="112">
        <v>0</v>
      </c>
      <c r="BH38" s="112">
        <v>0</v>
      </c>
      <c r="BI38" s="112">
        <v>0</v>
      </c>
      <c r="BJ38" s="112">
        <v>0</v>
      </c>
      <c r="BK38" s="112">
        <v>0</v>
      </c>
      <c r="BL38" s="112">
        <v>0</v>
      </c>
      <c r="BM38" s="112">
        <v>0</v>
      </c>
      <c r="BN38" s="112">
        <v>0</v>
      </c>
      <c r="BO38" s="112">
        <v>0</v>
      </c>
      <c r="BP38" s="112">
        <v>0</v>
      </c>
      <c r="BQ38" s="112">
        <v>0</v>
      </c>
      <c r="BR38" s="112">
        <v>0</v>
      </c>
      <c r="BS38" s="112">
        <v>0</v>
      </c>
      <c r="BT38" s="112">
        <v>0</v>
      </c>
      <c r="BU38" s="112">
        <v>0</v>
      </c>
      <c r="BV38" s="112">
        <v>0</v>
      </c>
      <c r="BW38" s="112">
        <v>0</v>
      </c>
      <c r="BX38" s="112">
        <v>0</v>
      </c>
      <c r="BY38" s="112">
        <v>0</v>
      </c>
      <c r="BZ38" s="112">
        <v>0</v>
      </c>
      <c r="CA38" s="112">
        <v>0</v>
      </c>
      <c r="CB38" s="112">
        <v>0</v>
      </c>
      <c r="CC38" s="112">
        <v>0</v>
      </c>
      <c r="CD38" s="112">
        <v>0</v>
      </c>
      <c r="CE38" s="112">
        <v>0</v>
      </c>
      <c r="CF38" s="112">
        <v>0</v>
      </c>
      <c r="CG38" s="112">
        <v>0</v>
      </c>
      <c r="CH38" s="112">
        <v>0</v>
      </c>
      <c r="CI38" s="112">
        <v>0</v>
      </c>
      <c r="CJ38" s="112">
        <v>0</v>
      </c>
      <c r="CK38" s="112">
        <v>0</v>
      </c>
      <c r="CL38" s="112">
        <v>0</v>
      </c>
      <c r="CM38" s="112">
        <v>0</v>
      </c>
      <c r="CN38" s="112">
        <v>0</v>
      </c>
      <c r="CO38" s="112">
        <v>0</v>
      </c>
      <c r="CP38" s="112">
        <v>0</v>
      </c>
      <c r="CQ38" s="112">
        <v>0</v>
      </c>
      <c r="CR38" s="112">
        <v>0</v>
      </c>
      <c r="CS38" s="112">
        <v>0</v>
      </c>
      <c r="CT38" s="112">
        <v>0</v>
      </c>
      <c r="CU38" s="112">
        <v>0</v>
      </c>
      <c r="CV38" s="112">
        <v>0</v>
      </c>
    </row>
    <row r="39" spans="1:100" x14ac:dyDescent="0.15">
      <c r="A39" s="191" t="s">
        <v>229</v>
      </c>
      <c r="B39" s="112">
        <v>0</v>
      </c>
      <c r="C39" s="112">
        <v>0</v>
      </c>
      <c r="D39" s="112">
        <v>1</v>
      </c>
      <c r="E39" s="112">
        <v>0</v>
      </c>
      <c r="F39" s="112">
        <v>0</v>
      </c>
      <c r="G39" s="112">
        <v>0</v>
      </c>
      <c r="H39" s="112">
        <v>0</v>
      </c>
      <c r="I39" s="112">
        <v>0</v>
      </c>
      <c r="J39" s="112">
        <v>0</v>
      </c>
      <c r="K39" s="112">
        <v>0</v>
      </c>
      <c r="L39" s="112">
        <v>1</v>
      </c>
      <c r="M39" s="112">
        <v>0</v>
      </c>
      <c r="N39" s="112">
        <v>0</v>
      </c>
      <c r="O39" s="112">
        <v>0</v>
      </c>
      <c r="P39" s="112">
        <v>0</v>
      </c>
      <c r="Q39" s="112">
        <v>1</v>
      </c>
      <c r="R39" s="112">
        <v>0</v>
      </c>
      <c r="S39" s="112">
        <v>0</v>
      </c>
      <c r="T39" s="112">
        <v>1</v>
      </c>
      <c r="U39" s="112">
        <v>0</v>
      </c>
      <c r="V39" s="112">
        <v>0</v>
      </c>
      <c r="W39" s="112">
        <v>0</v>
      </c>
      <c r="X39" s="112">
        <v>0</v>
      </c>
      <c r="Y39" s="112">
        <v>0</v>
      </c>
      <c r="Z39" s="112">
        <v>0</v>
      </c>
      <c r="AA39" s="112">
        <v>0</v>
      </c>
      <c r="AB39" s="112">
        <v>0</v>
      </c>
      <c r="AC39" s="112">
        <v>0</v>
      </c>
      <c r="AD39" s="112">
        <v>0</v>
      </c>
      <c r="AE39" s="112">
        <v>1</v>
      </c>
      <c r="AF39" s="112">
        <v>0</v>
      </c>
      <c r="AG39" s="112">
        <v>0</v>
      </c>
      <c r="AH39" s="112">
        <v>0</v>
      </c>
      <c r="AI39" s="112">
        <v>0</v>
      </c>
      <c r="AJ39" s="112">
        <v>0</v>
      </c>
      <c r="AK39" s="112">
        <v>0</v>
      </c>
      <c r="AL39" s="112">
        <v>0</v>
      </c>
      <c r="AM39" s="112">
        <v>0</v>
      </c>
      <c r="AN39" s="112">
        <v>0</v>
      </c>
      <c r="AO39" s="112">
        <v>0</v>
      </c>
      <c r="AP39" s="112">
        <v>0</v>
      </c>
      <c r="AQ39" s="112">
        <v>0</v>
      </c>
      <c r="AR39" s="112">
        <v>0</v>
      </c>
      <c r="AS39" s="112">
        <v>0</v>
      </c>
      <c r="AT39" s="112">
        <v>0</v>
      </c>
      <c r="AU39" s="112">
        <v>0</v>
      </c>
      <c r="AV39" s="112">
        <v>0</v>
      </c>
      <c r="AW39" s="112">
        <v>0</v>
      </c>
      <c r="AX39" s="112">
        <v>0</v>
      </c>
      <c r="AY39" s="112">
        <v>0</v>
      </c>
      <c r="AZ39" s="112">
        <v>0</v>
      </c>
      <c r="BA39" s="112">
        <v>0</v>
      </c>
      <c r="BB39" s="112">
        <v>0</v>
      </c>
      <c r="BC39" s="112">
        <v>0</v>
      </c>
      <c r="BD39" s="112">
        <v>0</v>
      </c>
      <c r="BE39" s="112">
        <v>0</v>
      </c>
      <c r="BF39" s="112">
        <v>0</v>
      </c>
      <c r="BG39" s="112">
        <v>0</v>
      </c>
      <c r="BH39" s="112">
        <v>0</v>
      </c>
      <c r="BI39" s="112">
        <v>0</v>
      </c>
      <c r="BJ39" s="112">
        <v>0</v>
      </c>
      <c r="BK39" s="112">
        <v>0</v>
      </c>
      <c r="BL39" s="112">
        <v>0</v>
      </c>
      <c r="BM39" s="112">
        <v>0</v>
      </c>
      <c r="BN39" s="112">
        <v>0</v>
      </c>
      <c r="BO39" s="112">
        <v>0</v>
      </c>
      <c r="BP39" s="112">
        <v>0</v>
      </c>
      <c r="BQ39" s="112">
        <v>0</v>
      </c>
      <c r="BR39" s="112">
        <v>0</v>
      </c>
      <c r="BS39" s="112">
        <v>0</v>
      </c>
      <c r="BT39" s="112">
        <v>0</v>
      </c>
      <c r="BU39" s="112">
        <v>0</v>
      </c>
      <c r="BV39" s="112">
        <v>0</v>
      </c>
      <c r="BW39" s="112">
        <v>0</v>
      </c>
      <c r="BX39" s="112">
        <v>0</v>
      </c>
      <c r="BY39" s="112">
        <v>0</v>
      </c>
      <c r="BZ39" s="112">
        <v>0</v>
      </c>
      <c r="CA39" s="112">
        <v>0</v>
      </c>
      <c r="CB39" s="112">
        <v>0</v>
      </c>
      <c r="CC39" s="112">
        <v>0</v>
      </c>
      <c r="CD39" s="112">
        <v>0</v>
      </c>
      <c r="CE39" s="112">
        <v>0</v>
      </c>
      <c r="CF39" s="112">
        <v>0</v>
      </c>
      <c r="CG39" s="112">
        <v>0</v>
      </c>
      <c r="CH39" s="112">
        <v>0</v>
      </c>
      <c r="CI39" s="112">
        <v>0</v>
      </c>
      <c r="CJ39" s="112">
        <v>0</v>
      </c>
      <c r="CK39" s="112">
        <v>0</v>
      </c>
      <c r="CL39" s="112">
        <v>0</v>
      </c>
      <c r="CM39" s="112">
        <v>0</v>
      </c>
      <c r="CN39" s="112">
        <v>0</v>
      </c>
      <c r="CO39" s="112">
        <v>0</v>
      </c>
      <c r="CP39" s="112">
        <v>0</v>
      </c>
      <c r="CQ39" s="112">
        <v>0</v>
      </c>
      <c r="CR39" s="112">
        <v>0</v>
      </c>
      <c r="CS39" s="112">
        <v>0</v>
      </c>
      <c r="CT39" s="112">
        <v>0</v>
      </c>
      <c r="CU39" s="112">
        <v>0</v>
      </c>
      <c r="CV39" s="112">
        <v>0</v>
      </c>
    </row>
    <row r="40" spans="1:100" x14ac:dyDescent="0.15">
      <c r="A40" s="191" t="s">
        <v>230</v>
      </c>
      <c r="B40" s="112">
        <v>0</v>
      </c>
      <c r="C40" s="112">
        <v>0</v>
      </c>
      <c r="D40" s="112">
        <v>1</v>
      </c>
      <c r="E40" s="112">
        <v>0</v>
      </c>
      <c r="F40" s="112">
        <v>0</v>
      </c>
      <c r="G40" s="112">
        <v>0</v>
      </c>
      <c r="H40" s="112">
        <v>0</v>
      </c>
      <c r="I40" s="112">
        <v>0</v>
      </c>
      <c r="J40" s="112">
        <v>0</v>
      </c>
      <c r="K40" s="112">
        <v>0</v>
      </c>
      <c r="L40" s="112">
        <v>0</v>
      </c>
      <c r="M40" s="112">
        <v>0</v>
      </c>
      <c r="N40" s="112">
        <v>0</v>
      </c>
      <c r="O40" s="112">
        <v>0</v>
      </c>
      <c r="P40" s="112">
        <v>0</v>
      </c>
      <c r="Q40" s="112">
        <v>0</v>
      </c>
      <c r="R40" s="112">
        <v>0</v>
      </c>
      <c r="S40" s="112">
        <v>0</v>
      </c>
      <c r="T40" s="112">
        <v>0</v>
      </c>
      <c r="U40" s="112">
        <v>0</v>
      </c>
      <c r="V40" s="112">
        <v>0</v>
      </c>
      <c r="W40" s="112">
        <v>0</v>
      </c>
      <c r="X40" s="112">
        <v>0</v>
      </c>
      <c r="Y40" s="112">
        <v>0</v>
      </c>
      <c r="Z40" s="112">
        <v>0</v>
      </c>
      <c r="AA40" s="112">
        <v>0</v>
      </c>
      <c r="AB40" s="112">
        <v>0</v>
      </c>
      <c r="AC40" s="112">
        <v>0</v>
      </c>
      <c r="AD40" s="112">
        <v>0</v>
      </c>
      <c r="AE40" s="112">
        <v>0</v>
      </c>
      <c r="AF40" s="112">
        <v>0</v>
      </c>
      <c r="AG40" s="112">
        <v>0</v>
      </c>
      <c r="AH40" s="112">
        <v>0</v>
      </c>
      <c r="AI40" s="112">
        <v>0</v>
      </c>
      <c r="AJ40" s="112">
        <v>0</v>
      </c>
      <c r="AK40" s="112">
        <v>0</v>
      </c>
      <c r="AL40" s="112">
        <v>0</v>
      </c>
      <c r="AM40" s="112">
        <v>0</v>
      </c>
      <c r="AN40" s="112">
        <v>0</v>
      </c>
      <c r="AO40" s="112">
        <v>0</v>
      </c>
      <c r="AP40" s="112">
        <v>0</v>
      </c>
      <c r="AQ40" s="112">
        <v>0</v>
      </c>
      <c r="AR40" s="112">
        <v>0</v>
      </c>
      <c r="AS40" s="112">
        <v>0</v>
      </c>
      <c r="AT40" s="112">
        <v>0</v>
      </c>
      <c r="AU40" s="112">
        <v>0</v>
      </c>
      <c r="AV40" s="112">
        <v>0</v>
      </c>
      <c r="AW40" s="112">
        <v>0</v>
      </c>
      <c r="AX40" s="112">
        <v>0</v>
      </c>
      <c r="AY40" s="112">
        <v>0</v>
      </c>
      <c r="AZ40" s="112">
        <v>0</v>
      </c>
      <c r="BA40" s="112">
        <v>0</v>
      </c>
      <c r="BB40" s="112">
        <v>0</v>
      </c>
      <c r="BC40" s="112">
        <v>0</v>
      </c>
      <c r="BD40" s="112">
        <v>0</v>
      </c>
      <c r="BE40" s="112">
        <v>0</v>
      </c>
      <c r="BF40" s="112">
        <v>0</v>
      </c>
      <c r="BG40" s="112">
        <v>0</v>
      </c>
      <c r="BH40" s="112">
        <v>0</v>
      </c>
      <c r="BI40" s="112">
        <v>0</v>
      </c>
      <c r="BJ40" s="112">
        <v>0</v>
      </c>
      <c r="BK40" s="112">
        <v>0</v>
      </c>
      <c r="BL40" s="112">
        <v>0</v>
      </c>
      <c r="BM40" s="112">
        <v>0</v>
      </c>
      <c r="BN40" s="112">
        <v>0</v>
      </c>
      <c r="BO40" s="112">
        <v>0</v>
      </c>
      <c r="BP40" s="112">
        <v>0</v>
      </c>
      <c r="BQ40" s="112">
        <v>0</v>
      </c>
      <c r="BR40" s="112">
        <v>0</v>
      </c>
      <c r="BS40" s="112">
        <v>0</v>
      </c>
      <c r="BT40" s="112">
        <v>0</v>
      </c>
      <c r="BU40" s="112">
        <v>0</v>
      </c>
      <c r="BV40" s="112">
        <v>0</v>
      </c>
      <c r="BW40" s="112">
        <v>0</v>
      </c>
      <c r="BX40" s="112">
        <v>0</v>
      </c>
      <c r="BY40" s="112">
        <v>0</v>
      </c>
      <c r="BZ40" s="112">
        <v>0</v>
      </c>
      <c r="CA40" s="112">
        <v>0</v>
      </c>
      <c r="CB40" s="112">
        <v>0</v>
      </c>
      <c r="CC40" s="112">
        <v>0</v>
      </c>
      <c r="CD40" s="112">
        <v>0</v>
      </c>
      <c r="CE40" s="112">
        <v>0</v>
      </c>
      <c r="CF40" s="112">
        <v>0</v>
      </c>
      <c r="CG40" s="112">
        <v>0</v>
      </c>
      <c r="CH40" s="112">
        <v>0</v>
      </c>
      <c r="CI40" s="112">
        <v>0</v>
      </c>
      <c r="CJ40" s="112">
        <v>0</v>
      </c>
      <c r="CK40" s="112">
        <v>0</v>
      </c>
      <c r="CL40" s="112">
        <v>0</v>
      </c>
      <c r="CM40" s="112">
        <v>0</v>
      </c>
      <c r="CN40" s="112">
        <v>0</v>
      </c>
      <c r="CO40" s="112">
        <v>0</v>
      </c>
      <c r="CP40" s="112">
        <v>0</v>
      </c>
      <c r="CQ40" s="112">
        <v>0</v>
      </c>
      <c r="CR40" s="112">
        <v>0</v>
      </c>
      <c r="CS40" s="112">
        <v>0</v>
      </c>
      <c r="CT40" s="112">
        <v>0</v>
      </c>
      <c r="CU40" s="112">
        <v>0</v>
      </c>
      <c r="CV40" s="112">
        <v>0</v>
      </c>
    </row>
    <row r="41" spans="1:100" x14ac:dyDescent="0.15">
      <c r="A41" s="191" t="s">
        <v>231</v>
      </c>
      <c r="B41" s="112">
        <v>0</v>
      </c>
      <c r="C41" s="112">
        <v>0</v>
      </c>
      <c r="D41" s="112">
        <v>1</v>
      </c>
      <c r="E41" s="112">
        <v>0</v>
      </c>
      <c r="F41" s="112">
        <v>0</v>
      </c>
      <c r="G41" s="112">
        <v>0</v>
      </c>
      <c r="H41" s="112">
        <v>0</v>
      </c>
      <c r="I41" s="112">
        <v>0</v>
      </c>
      <c r="J41" s="112">
        <v>0</v>
      </c>
      <c r="K41" s="112">
        <v>0</v>
      </c>
      <c r="L41" s="112">
        <v>1</v>
      </c>
      <c r="M41" s="112">
        <v>0</v>
      </c>
      <c r="N41" s="112">
        <v>0</v>
      </c>
      <c r="O41" s="112">
        <v>0</v>
      </c>
      <c r="P41" s="112">
        <v>1</v>
      </c>
      <c r="Q41" s="112">
        <v>1</v>
      </c>
      <c r="R41" s="112">
        <v>0</v>
      </c>
      <c r="S41" s="112">
        <v>0</v>
      </c>
      <c r="T41" s="112">
        <v>1</v>
      </c>
      <c r="U41" s="112">
        <v>0</v>
      </c>
      <c r="V41" s="112">
        <v>0</v>
      </c>
      <c r="W41" s="112">
        <v>0</v>
      </c>
      <c r="X41" s="112">
        <v>0</v>
      </c>
      <c r="Y41" s="112">
        <v>0</v>
      </c>
      <c r="Z41" s="112">
        <v>0</v>
      </c>
      <c r="AA41" s="112">
        <v>0</v>
      </c>
      <c r="AB41" s="112">
        <v>0</v>
      </c>
      <c r="AC41" s="112">
        <v>0</v>
      </c>
      <c r="AD41" s="112">
        <v>1</v>
      </c>
      <c r="AE41" s="112">
        <v>1</v>
      </c>
      <c r="AF41" s="112">
        <v>1</v>
      </c>
      <c r="AG41" s="112">
        <v>0</v>
      </c>
      <c r="AH41" s="112">
        <v>0</v>
      </c>
      <c r="AI41" s="112">
        <v>0</v>
      </c>
      <c r="AJ41" s="112">
        <v>0</v>
      </c>
      <c r="AK41" s="112">
        <v>0</v>
      </c>
      <c r="AL41" s="112">
        <v>0</v>
      </c>
      <c r="AM41" s="112">
        <v>0</v>
      </c>
      <c r="AN41" s="112">
        <v>0</v>
      </c>
      <c r="AO41" s="112">
        <v>0</v>
      </c>
      <c r="AP41" s="112">
        <v>0</v>
      </c>
      <c r="AQ41" s="112">
        <v>0</v>
      </c>
      <c r="AR41" s="112">
        <v>0</v>
      </c>
      <c r="AS41" s="112">
        <v>0</v>
      </c>
      <c r="AT41" s="112">
        <v>0</v>
      </c>
      <c r="AU41" s="112">
        <v>0</v>
      </c>
      <c r="AV41" s="112">
        <v>0</v>
      </c>
      <c r="AW41" s="112">
        <v>0</v>
      </c>
      <c r="AX41" s="112">
        <v>0</v>
      </c>
      <c r="AY41" s="112">
        <v>0</v>
      </c>
      <c r="AZ41" s="112">
        <v>0</v>
      </c>
      <c r="BA41" s="112">
        <v>0</v>
      </c>
      <c r="BB41" s="112">
        <v>0</v>
      </c>
      <c r="BC41" s="112">
        <v>0</v>
      </c>
      <c r="BD41" s="112">
        <v>0</v>
      </c>
      <c r="BE41" s="112">
        <v>0</v>
      </c>
      <c r="BF41" s="112">
        <v>0</v>
      </c>
      <c r="BG41" s="112">
        <v>0</v>
      </c>
      <c r="BH41" s="112">
        <v>0</v>
      </c>
      <c r="BI41" s="112">
        <v>0</v>
      </c>
      <c r="BJ41" s="112">
        <v>0</v>
      </c>
      <c r="BK41" s="112">
        <v>0</v>
      </c>
      <c r="BL41" s="112">
        <v>0</v>
      </c>
      <c r="BM41" s="112">
        <v>0</v>
      </c>
      <c r="BN41" s="112">
        <v>0</v>
      </c>
      <c r="BO41" s="112">
        <v>0</v>
      </c>
      <c r="BP41" s="112">
        <v>0</v>
      </c>
      <c r="BQ41" s="112">
        <v>0</v>
      </c>
      <c r="BR41" s="112">
        <v>0</v>
      </c>
      <c r="BS41" s="112">
        <v>0</v>
      </c>
      <c r="BT41" s="112">
        <v>0</v>
      </c>
      <c r="BU41" s="112">
        <v>0</v>
      </c>
      <c r="BV41" s="112">
        <v>0</v>
      </c>
      <c r="BW41" s="112">
        <v>0</v>
      </c>
      <c r="BX41" s="112">
        <v>0</v>
      </c>
      <c r="BY41" s="112">
        <v>0</v>
      </c>
      <c r="BZ41" s="112">
        <v>0</v>
      </c>
      <c r="CA41" s="112">
        <v>0</v>
      </c>
      <c r="CB41" s="112">
        <v>0</v>
      </c>
      <c r="CC41" s="112">
        <v>0</v>
      </c>
      <c r="CD41" s="112">
        <v>0</v>
      </c>
      <c r="CE41" s="112">
        <v>0</v>
      </c>
      <c r="CF41" s="112">
        <v>0</v>
      </c>
      <c r="CG41" s="112">
        <v>0</v>
      </c>
      <c r="CH41" s="112">
        <v>0</v>
      </c>
      <c r="CI41" s="112">
        <v>0</v>
      </c>
      <c r="CJ41" s="112">
        <v>0</v>
      </c>
      <c r="CK41" s="112">
        <v>0</v>
      </c>
      <c r="CL41" s="112">
        <v>0</v>
      </c>
      <c r="CM41" s="112">
        <v>0</v>
      </c>
      <c r="CN41" s="112">
        <v>0</v>
      </c>
      <c r="CO41" s="112">
        <v>0</v>
      </c>
      <c r="CP41" s="112">
        <v>0</v>
      </c>
      <c r="CQ41" s="112">
        <v>0</v>
      </c>
      <c r="CR41" s="112">
        <v>0</v>
      </c>
      <c r="CS41" s="112">
        <v>0</v>
      </c>
      <c r="CT41" s="112">
        <v>0</v>
      </c>
      <c r="CU41" s="112">
        <v>0</v>
      </c>
      <c r="CV41" s="112">
        <v>0</v>
      </c>
    </row>
    <row r="42" spans="1:100" x14ac:dyDescent="0.15">
      <c r="A42" s="191" t="s">
        <v>232</v>
      </c>
      <c r="B42" s="112">
        <v>1</v>
      </c>
      <c r="C42" s="112">
        <v>0</v>
      </c>
      <c r="D42" s="112">
        <v>0</v>
      </c>
      <c r="E42" s="112">
        <v>0</v>
      </c>
      <c r="F42" s="112">
        <v>0</v>
      </c>
      <c r="G42" s="112">
        <v>0</v>
      </c>
      <c r="H42" s="112">
        <v>0</v>
      </c>
      <c r="I42" s="112">
        <v>0</v>
      </c>
      <c r="J42" s="112">
        <v>0</v>
      </c>
      <c r="K42" s="112">
        <v>0</v>
      </c>
      <c r="L42" s="112">
        <v>0</v>
      </c>
      <c r="M42" s="112">
        <v>1</v>
      </c>
      <c r="N42" s="112">
        <v>0</v>
      </c>
      <c r="O42" s="112">
        <v>1</v>
      </c>
      <c r="P42" s="112">
        <v>1</v>
      </c>
      <c r="Q42" s="112">
        <v>1</v>
      </c>
      <c r="R42" s="112">
        <v>1</v>
      </c>
      <c r="S42" s="112">
        <v>1</v>
      </c>
      <c r="T42" s="112">
        <v>1</v>
      </c>
      <c r="U42" s="112">
        <v>1</v>
      </c>
      <c r="V42" s="112">
        <v>1</v>
      </c>
      <c r="W42" s="112">
        <v>1</v>
      </c>
      <c r="X42" s="112">
        <v>1</v>
      </c>
      <c r="Y42" s="112">
        <v>0</v>
      </c>
      <c r="Z42" s="112">
        <v>0</v>
      </c>
      <c r="AA42" s="112">
        <v>0</v>
      </c>
      <c r="AB42" s="112">
        <v>0</v>
      </c>
      <c r="AC42" s="112">
        <v>0</v>
      </c>
      <c r="AD42" s="112">
        <v>0</v>
      </c>
      <c r="AE42" s="112">
        <v>0</v>
      </c>
      <c r="AF42" s="112">
        <v>1</v>
      </c>
      <c r="AG42" s="112">
        <v>1</v>
      </c>
      <c r="AH42" s="112">
        <v>0</v>
      </c>
      <c r="AI42" s="112">
        <v>0</v>
      </c>
      <c r="AJ42" s="112">
        <v>1</v>
      </c>
      <c r="AK42" s="112">
        <v>0</v>
      </c>
      <c r="AL42" s="112">
        <v>0</v>
      </c>
      <c r="AM42" s="112">
        <v>0</v>
      </c>
      <c r="AN42" s="112">
        <v>0</v>
      </c>
      <c r="AO42" s="112">
        <v>0</v>
      </c>
      <c r="AP42" s="112">
        <v>0</v>
      </c>
      <c r="AQ42" s="112">
        <v>0</v>
      </c>
      <c r="AR42" s="112">
        <v>0</v>
      </c>
      <c r="AS42" s="112">
        <v>0</v>
      </c>
      <c r="AT42" s="112">
        <v>0</v>
      </c>
      <c r="AU42" s="112">
        <v>0</v>
      </c>
      <c r="AV42" s="112">
        <v>0</v>
      </c>
      <c r="AW42" s="112">
        <v>0</v>
      </c>
      <c r="AX42" s="112">
        <v>0</v>
      </c>
      <c r="AY42" s="112">
        <v>0</v>
      </c>
      <c r="AZ42" s="112">
        <v>0</v>
      </c>
      <c r="BA42" s="112">
        <v>0</v>
      </c>
      <c r="BB42" s="112">
        <v>0</v>
      </c>
      <c r="BC42" s="112">
        <v>0</v>
      </c>
      <c r="BD42" s="112">
        <v>0</v>
      </c>
      <c r="BE42" s="112">
        <v>0</v>
      </c>
      <c r="BF42" s="112">
        <v>0</v>
      </c>
      <c r="BG42" s="112">
        <v>0</v>
      </c>
      <c r="BH42" s="112">
        <v>0</v>
      </c>
      <c r="BI42" s="112">
        <v>0</v>
      </c>
      <c r="BJ42" s="112">
        <v>0</v>
      </c>
      <c r="BK42" s="112">
        <v>0</v>
      </c>
      <c r="BL42" s="112">
        <v>0</v>
      </c>
      <c r="BM42" s="112">
        <v>0</v>
      </c>
      <c r="BN42" s="112">
        <v>0</v>
      </c>
      <c r="BO42" s="112">
        <v>0</v>
      </c>
      <c r="BP42" s="112">
        <v>0</v>
      </c>
      <c r="BQ42" s="112">
        <v>0</v>
      </c>
      <c r="BR42" s="112">
        <v>0</v>
      </c>
      <c r="BS42" s="112">
        <v>0</v>
      </c>
      <c r="BT42" s="112">
        <v>0</v>
      </c>
      <c r="BU42" s="112">
        <v>0</v>
      </c>
      <c r="BV42" s="112">
        <v>0</v>
      </c>
      <c r="BW42" s="112">
        <v>0</v>
      </c>
      <c r="BX42" s="112">
        <v>0</v>
      </c>
      <c r="BY42" s="112">
        <v>0</v>
      </c>
      <c r="BZ42" s="112">
        <v>0</v>
      </c>
      <c r="CA42" s="112">
        <v>0</v>
      </c>
      <c r="CB42" s="112">
        <v>0</v>
      </c>
      <c r="CC42" s="112">
        <v>0</v>
      </c>
      <c r="CD42" s="112">
        <v>0</v>
      </c>
      <c r="CE42" s="112">
        <v>0</v>
      </c>
      <c r="CF42" s="112">
        <v>0</v>
      </c>
      <c r="CG42" s="112">
        <v>0</v>
      </c>
      <c r="CH42" s="112">
        <v>0</v>
      </c>
      <c r="CI42" s="112">
        <v>0</v>
      </c>
      <c r="CJ42" s="112">
        <v>0</v>
      </c>
      <c r="CK42" s="112">
        <v>0</v>
      </c>
      <c r="CL42" s="112">
        <v>0</v>
      </c>
      <c r="CM42" s="112">
        <v>0</v>
      </c>
      <c r="CN42" s="112">
        <v>0</v>
      </c>
      <c r="CO42" s="112">
        <v>0</v>
      </c>
      <c r="CP42" s="112">
        <v>0</v>
      </c>
      <c r="CQ42" s="112">
        <v>0</v>
      </c>
      <c r="CR42" s="112">
        <v>0</v>
      </c>
      <c r="CS42" s="112">
        <v>0</v>
      </c>
      <c r="CT42" s="112">
        <v>0</v>
      </c>
      <c r="CU42" s="112">
        <v>0</v>
      </c>
      <c r="CV42" s="112">
        <v>0</v>
      </c>
    </row>
    <row r="43" spans="1:100" x14ac:dyDescent="0.15">
      <c r="A43" s="191" t="s">
        <v>233</v>
      </c>
      <c r="B43" s="112">
        <v>1</v>
      </c>
      <c r="C43" s="112">
        <v>0</v>
      </c>
      <c r="D43" s="112">
        <v>0</v>
      </c>
      <c r="E43" s="112">
        <v>0</v>
      </c>
      <c r="F43" s="112">
        <v>0</v>
      </c>
      <c r="G43" s="112">
        <v>0</v>
      </c>
      <c r="H43" s="112">
        <v>0</v>
      </c>
      <c r="I43" s="112">
        <v>0</v>
      </c>
      <c r="J43" s="112">
        <v>0</v>
      </c>
      <c r="K43" s="112">
        <v>1</v>
      </c>
      <c r="L43" s="112">
        <v>1</v>
      </c>
      <c r="M43" s="112">
        <v>0</v>
      </c>
      <c r="N43" s="112">
        <v>0</v>
      </c>
      <c r="O43" s="112">
        <v>1</v>
      </c>
      <c r="P43" s="112">
        <v>1</v>
      </c>
      <c r="Q43" s="112">
        <v>1</v>
      </c>
      <c r="R43" s="112">
        <v>1</v>
      </c>
      <c r="S43" s="112">
        <v>1</v>
      </c>
      <c r="T43" s="112">
        <v>1</v>
      </c>
      <c r="U43" s="112">
        <v>1</v>
      </c>
      <c r="V43" s="112">
        <v>1</v>
      </c>
      <c r="W43" s="112">
        <v>1</v>
      </c>
      <c r="X43" s="112">
        <v>1</v>
      </c>
      <c r="Y43" s="112">
        <v>0</v>
      </c>
      <c r="Z43" s="112">
        <v>1</v>
      </c>
      <c r="AA43" s="112">
        <v>0</v>
      </c>
      <c r="AB43" s="112">
        <v>0</v>
      </c>
      <c r="AC43" s="112">
        <v>0</v>
      </c>
      <c r="AD43" s="112">
        <v>1</v>
      </c>
      <c r="AE43" s="112">
        <v>1</v>
      </c>
      <c r="AF43" s="112">
        <v>1</v>
      </c>
      <c r="AG43" s="112">
        <v>1</v>
      </c>
      <c r="AH43" s="112">
        <v>0</v>
      </c>
      <c r="AI43" s="112">
        <v>0</v>
      </c>
      <c r="AJ43" s="112">
        <v>0</v>
      </c>
      <c r="AK43" s="112">
        <v>0</v>
      </c>
      <c r="AL43" s="112">
        <v>0</v>
      </c>
      <c r="AM43" s="112">
        <v>0</v>
      </c>
      <c r="AN43" s="112">
        <v>1</v>
      </c>
      <c r="AO43" s="112">
        <v>0</v>
      </c>
      <c r="AP43" s="112">
        <v>0</v>
      </c>
      <c r="AQ43" s="112">
        <v>1</v>
      </c>
      <c r="AR43" s="112">
        <v>1</v>
      </c>
      <c r="AS43" s="112">
        <v>0</v>
      </c>
      <c r="AT43" s="112">
        <v>0</v>
      </c>
      <c r="AU43" s="112">
        <v>0</v>
      </c>
      <c r="AV43" s="112">
        <v>0</v>
      </c>
      <c r="AW43" s="112">
        <v>0</v>
      </c>
      <c r="AX43" s="112">
        <v>0</v>
      </c>
      <c r="AY43" s="112">
        <v>0</v>
      </c>
      <c r="AZ43" s="112">
        <v>0</v>
      </c>
      <c r="BA43" s="112">
        <v>0</v>
      </c>
      <c r="BB43" s="112">
        <v>0</v>
      </c>
      <c r="BC43" s="112">
        <v>0</v>
      </c>
      <c r="BD43" s="112">
        <v>0</v>
      </c>
      <c r="BE43" s="112">
        <v>0</v>
      </c>
      <c r="BF43" s="112">
        <v>0</v>
      </c>
      <c r="BG43" s="112">
        <v>0</v>
      </c>
      <c r="BH43" s="112">
        <v>0</v>
      </c>
      <c r="BI43" s="112">
        <v>0</v>
      </c>
      <c r="BJ43" s="112">
        <v>0</v>
      </c>
      <c r="BK43" s="112">
        <v>0</v>
      </c>
      <c r="BL43" s="112">
        <v>0</v>
      </c>
      <c r="BM43" s="112">
        <v>0</v>
      </c>
      <c r="BN43" s="112">
        <v>0</v>
      </c>
      <c r="BO43" s="112">
        <v>0</v>
      </c>
      <c r="BP43" s="112">
        <v>0</v>
      </c>
      <c r="BQ43" s="112">
        <v>0</v>
      </c>
      <c r="BR43" s="112">
        <v>0</v>
      </c>
      <c r="BS43" s="112">
        <v>0</v>
      </c>
      <c r="BT43" s="112">
        <v>0</v>
      </c>
      <c r="BU43" s="112">
        <v>0</v>
      </c>
      <c r="BV43" s="112">
        <v>0</v>
      </c>
      <c r="BW43" s="112">
        <v>0</v>
      </c>
      <c r="BX43" s="112">
        <v>0</v>
      </c>
      <c r="BY43" s="112">
        <v>0</v>
      </c>
      <c r="BZ43" s="112">
        <v>0</v>
      </c>
      <c r="CA43" s="112">
        <v>0</v>
      </c>
      <c r="CB43" s="112">
        <v>0</v>
      </c>
      <c r="CC43" s="112">
        <v>0</v>
      </c>
      <c r="CD43" s="112">
        <v>0</v>
      </c>
      <c r="CE43" s="112">
        <v>0</v>
      </c>
      <c r="CF43" s="112">
        <v>0</v>
      </c>
      <c r="CG43" s="112">
        <v>0</v>
      </c>
      <c r="CH43" s="112">
        <v>0</v>
      </c>
      <c r="CI43" s="112">
        <v>0</v>
      </c>
      <c r="CJ43" s="112">
        <v>0</v>
      </c>
      <c r="CK43" s="112">
        <v>0</v>
      </c>
      <c r="CL43" s="112">
        <v>0</v>
      </c>
      <c r="CM43" s="112">
        <v>0</v>
      </c>
      <c r="CN43" s="112">
        <v>0</v>
      </c>
      <c r="CO43" s="112">
        <v>0</v>
      </c>
      <c r="CP43" s="112">
        <v>0</v>
      </c>
      <c r="CQ43" s="112">
        <v>0</v>
      </c>
      <c r="CR43" s="112">
        <v>0</v>
      </c>
      <c r="CS43" s="112">
        <v>0</v>
      </c>
      <c r="CT43" s="112">
        <v>0</v>
      </c>
      <c r="CU43" s="112">
        <v>0</v>
      </c>
      <c r="CV43" s="112">
        <v>0</v>
      </c>
    </row>
    <row r="44" spans="1:100" x14ac:dyDescent="0.15">
      <c r="A44" s="191" t="s">
        <v>234</v>
      </c>
      <c r="B44" s="112">
        <v>0</v>
      </c>
      <c r="C44" s="112">
        <v>0</v>
      </c>
      <c r="D44" s="112">
        <v>0</v>
      </c>
      <c r="E44" s="112">
        <v>0</v>
      </c>
      <c r="F44" s="112">
        <v>0</v>
      </c>
      <c r="G44" s="112">
        <v>0</v>
      </c>
      <c r="H44" s="112">
        <v>0</v>
      </c>
      <c r="I44" s="112">
        <v>0</v>
      </c>
      <c r="J44" s="112">
        <v>0</v>
      </c>
      <c r="K44" s="112">
        <v>0</v>
      </c>
      <c r="L44" s="112">
        <v>1</v>
      </c>
      <c r="M44" s="112">
        <v>1</v>
      </c>
      <c r="N44" s="112">
        <v>0</v>
      </c>
      <c r="O44" s="112">
        <v>1</v>
      </c>
      <c r="P44" s="112">
        <v>1</v>
      </c>
      <c r="Q44" s="112">
        <v>1</v>
      </c>
      <c r="R44" s="112">
        <v>1</v>
      </c>
      <c r="S44" s="112">
        <v>1</v>
      </c>
      <c r="T44" s="112">
        <v>1</v>
      </c>
      <c r="U44" s="112">
        <v>1</v>
      </c>
      <c r="V44" s="112">
        <v>1</v>
      </c>
      <c r="W44" s="112">
        <v>1</v>
      </c>
      <c r="X44" s="112">
        <v>1</v>
      </c>
      <c r="Y44" s="112">
        <v>0</v>
      </c>
      <c r="Z44" s="112">
        <v>1</v>
      </c>
      <c r="AA44" s="112">
        <v>0</v>
      </c>
      <c r="AB44" s="112">
        <v>0</v>
      </c>
      <c r="AC44" s="112">
        <v>0</v>
      </c>
      <c r="AD44" s="112">
        <v>1</v>
      </c>
      <c r="AE44" s="112">
        <v>1</v>
      </c>
      <c r="AF44" s="112">
        <v>1</v>
      </c>
      <c r="AG44" s="112">
        <v>1</v>
      </c>
      <c r="AH44" s="112">
        <v>0</v>
      </c>
      <c r="AI44" s="112">
        <v>1</v>
      </c>
      <c r="AJ44" s="112">
        <v>1</v>
      </c>
      <c r="AK44" s="112">
        <v>0</v>
      </c>
      <c r="AL44" s="112">
        <v>0</v>
      </c>
      <c r="AM44" s="112">
        <v>0</v>
      </c>
      <c r="AN44" s="112">
        <v>1</v>
      </c>
      <c r="AO44" s="112">
        <v>0</v>
      </c>
      <c r="AP44" s="112">
        <v>0</v>
      </c>
      <c r="AQ44" s="112">
        <v>1</v>
      </c>
      <c r="AR44" s="112">
        <v>0</v>
      </c>
      <c r="AS44" s="112">
        <v>0</v>
      </c>
      <c r="AT44" s="112">
        <v>0</v>
      </c>
      <c r="AU44" s="112">
        <v>1</v>
      </c>
      <c r="AV44" s="112">
        <v>0</v>
      </c>
      <c r="AW44" s="112">
        <v>0</v>
      </c>
      <c r="AX44" s="112">
        <v>0</v>
      </c>
      <c r="AY44" s="112">
        <v>0</v>
      </c>
      <c r="AZ44" s="112">
        <v>0</v>
      </c>
      <c r="BA44" s="112">
        <v>0</v>
      </c>
      <c r="BB44" s="112">
        <v>0</v>
      </c>
      <c r="BC44" s="112">
        <v>0</v>
      </c>
      <c r="BD44" s="112">
        <v>0</v>
      </c>
      <c r="BE44" s="112">
        <v>0</v>
      </c>
      <c r="BF44" s="112">
        <v>0</v>
      </c>
      <c r="BG44" s="112">
        <v>0</v>
      </c>
      <c r="BH44" s="112">
        <v>0</v>
      </c>
      <c r="BI44" s="112">
        <v>0</v>
      </c>
      <c r="BJ44" s="112">
        <v>0</v>
      </c>
      <c r="BK44" s="112">
        <v>0</v>
      </c>
      <c r="BL44" s="112">
        <v>0</v>
      </c>
      <c r="BM44" s="112">
        <v>0</v>
      </c>
      <c r="BN44" s="112">
        <v>0</v>
      </c>
      <c r="BO44" s="112">
        <v>0</v>
      </c>
      <c r="BP44" s="112">
        <v>0</v>
      </c>
      <c r="BQ44" s="112">
        <v>0</v>
      </c>
      <c r="BR44" s="112">
        <v>0</v>
      </c>
      <c r="BS44" s="112">
        <v>0</v>
      </c>
      <c r="BT44" s="112">
        <v>0</v>
      </c>
      <c r="BU44" s="112">
        <v>0</v>
      </c>
      <c r="BV44" s="112">
        <v>0</v>
      </c>
      <c r="BW44" s="112">
        <v>0</v>
      </c>
      <c r="BX44" s="112">
        <v>0</v>
      </c>
      <c r="BY44" s="112">
        <v>0</v>
      </c>
      <c r="BZ44" s="112">
        <v>0</v>
      </c>
      <c r="CA44" s="112">
        <v>0</v>
      </c>
      <c r="CB44" s="112">
        <v>0</v>
      </c>
      <c r="CC44" s="112">
        <v>0</v>
      </c>
      <c r="CD44" s="112">
        <v>0</v>
      </c>
      <c r="CE44" s="112">
        <v>0</v>
      </c>
      <c r="CF44" s="112">
        <v>0</v>
      </c>
      <c r="CG44" s="112">
        <v>0</v>
      </c>
      <c r="CH44" s="112">
        <v>0</v>
      </c>
      <c r="CI44" s="112">
        <v>0</v>
      </c>
      <c r="CJ44" s="112">
        <v>0</v>
      </c>
      <c r="CK44" s="112">
        <v>0</v>
      </c>
      <c r="CL44" s="112">
        <v>0</v>
      </c>
      <c r="CM44" s="112">
        <v>0</v>
      </c>
      <c r="CN44" s="112">
        <v>0</v>
      </c>
      <c r="CO44" s="112">
        <v>0</v>
      </c>
      <c r="CP44" s="112">
        <v>0</v>
      </c>
      <c r="CQ44" s="112">
        <v>0</v>
      </c>
      <c r="CR44" s="112">
        <v>0</v>
      </c>
      <c r="CS44" s="112">
        <v>0</v>
      </c>
      <c r="CT44" s="112">
        <v>0</v>
      </c>
      <c r="CU44" s="112">
        <v>0</v>
      </c>
      <c r="CV44" s="112">
        <v>0</v>
      </c>
    </row>
    <row r="45" spans="1:100" x14ac:dyDescent="0.15">
      <c r="A45" s="191" t="s">
        <v>235</v>
      </c>
      <c r="B45" s="112">
        <v>0</v>
      </c>
      <c r="C45" s="112">
        <v>0</v>
      </c>
      <c r="D45" s="112">
        <v>0</v>
      </c>
      <c r="E45" s="112">
        <v>0</v>
      </c>
      <c r="F45" s="112">
        <v>0</v>
      </c>
      <c r="G45" s="112">
        <v>0</v>
      </c>
      <c r="H45" s="112">
        <v>0</v>
      </c>
      <c r="I45" s="112">
        <v>0</v>
      </c>
      <c r="J45" s="112">
        <v>0</v>
      </c>
      <c r="K45" s="112">
        <v>0</v>
      </c>
      <c r="L45" s="112">
        <v>0</v>
      </c>
      <c r="M45" s="112">
        <v>0</v>
      </c>
      <c r="N45" s="112">
        <v>0</v>
      </c>
      <c r="O45" s="112">
        <v>0</v>
      </c>
      <c r="P45" s="112">
        <v>0</v>
      </c>
      <c r="Q45" s="112">
        <v>0</v>
      </c>
      <c r="R45" s="112">
        <v>0</v>
      </c>
      <c r="S45" s="112">
        <v>0</v>
      </c>
      <c r="T45" s="112">
        <v>0</v>
      </c>
      <c r="U45" s="112">
        <v>0</v>
      </c>
      <c r="V45" s="112">
        <v>0</v>
      </c>
      <c r="W45" s="112">
        <v>0</v>
      </c>
      <c r="X45" s="112">
        <v>0</v>
      </c>
      <c r="Y45" s="112">
        <v>0</v>
      </c>
      <c r="Z45" s="112">
        <v>0</v>
      </c>
      <c r="AA45" s="112">
        <v>0</v>
      </c>
      <c r="AB45" s="112">
        <v>0</v>
      </c>
      <c r="AC45" s="112">
        <v>0</v>
      </c>
      <c r="AD45" s="112">
        <v>1</v>
      </c>
      <c r="AE45" s="112">
        <v>1</v>
      </c>
      <c r="AF45" s="112">
        <v>1</v>
      </c>
      <c r="AG45" s="112">
        <v>0</v>
      </c>
      <c r="AH45" s="112">
        <v>0</v>
      </c>
      <c r="AI45" s="112">
        <v>0</v>
      </c>
      <c r="AJ45" s="112">
        <v>1</v>
      </c>
      <c r="AK45" s="112">
        <v>1</v>
      </c>
      <c r="AL45" s="112">
        <v>0</v>
      </c>
      <c r="AM45" s="112">
        <v>0</v>
      </c>
      <c r="AN45" s="112">
        <v>1</v>
      </c>
      <c r="AO45" s="112">
        <v>0</v>
      </c>
      <c r="AP45" s="112">
        <v>1</v>
      </c>
      <c r="AQ45" s="112">
        <v>0</v>
      </c>
      <c r="AR45" s="112">
        <v>1</v>
      </c>
      <c r="AS45" s="112">
        <v>0</v>
      </c>
      <c r="AT45" s="112">
        <v>0</v>
      </c>
      <c r="AU45" s="112">
        <v>0</v>
      </c>
      <c r="AV45" s="112">
        <v>0</v>
      </c>
      <c r="AW45" s="112">
        <v>0</v>
      </c>
      <c r="AX45" s="112">
        <v>0</v>
      </c>
      <c r="AY45" s="112">
        <v>0</v>
      </c>
      <c r="AZ45" s="112">
        <v>0</v>
      </c>
      <c r="BA45" s="112">
        <v>0</v>
      </c>
      <c r="BB45" s="112">
        <v>0</v>
      </c>
      <c r="BC45" s="112">
        <v>0</v>
      </c>
      <c r="BD45" s="112">
        <v>0</v>
      </c>
      <c r="BE45" s="112">
        <v>0</v>
      </c>
      <c r="BF45" s="112">
        <v>0</v>
      </c>
      <c r="BG45" s="112">
        <v>0</v>
      </c>
      <c r="BH45" s="112">
        <v>0</v>
      </c>
      <c r="BI45" s="112">
        <v>0</v>
      </c>
      <c r="BJ45" s="112">
        <v>0</v>
      </c>
      <c r="BK45" s="112">
        <v>0</v>
      </c>
      <c r="BL45" s="112">
        <v>0</v>
      </c>
      <c r="BM45" s="112">
        <v>0</v>
      </c>
      <c r="BN45" s="112">
        <v>0</v>
      </c>
      <c r="BO45" s="112">
        <v>0</v>
      </c>
      <c r="BP45" s="112">
        <v>0</v>
      </c>
      <c r="BQ45" s="112">
        <v>0</v>
      </c>
      <c r="BR45" s="112">
        <v>0</v>
      </c>
      <c r="BS45" s="112">
        <v>0</v>
      </c>
      <c r="BT45" s="112">
        <v>0</v>
      </c>
      <c r="BU45" s="112">
        <v>0</v>
      </c>
      <c r="BV45" s="112">
        <v>0</v>
      </c>
      <c r="BW45" s="112">
        <v>0</v>
      </c>
      <c r="BX45" s="112">
        <v>0</v>
      </c>
      <c r="BY45" s="112">
        <v>0</v>
      </c>
      <c r="BZ45" s="112">
        <v>0</v>
      </c>
      <c r="CA45" s="112">
        <v>0</v>
      </c>
      <c r="CB45" s="112">
        <v>0</v>
      </c>
      <c r="CC45" s="112">
        <v>0</v>
      </c>
      <c r="CD45" s="112">
        <v>0</v>
      </c>
      <c r="CE45" s="112">
        <v>0</v>
      </c>
      <c r="CF45" s="112">
        <v>0</v>
      </c>
      <c r="CG45" s="112">
        <v>0</v>
      </c>
      <c r="CH45" s="112">
        <v>0</v>
      </c>
      <c r="CI45" s="112">
        <v>0</v>
      </c>
      <c r="CJ45" s="112">
        <v>0</v>
      </c>
      <c r="CK45" s="112">
        <v>0</v>
      </c>
      <c r="CL45" s="112">
        <v>0</v>
      </c>
      <c r="CM45" s="112">
        <v>0</v>
      </c>
      <c r="CN45" s="112">
        <v>0</v>
      </c>
      <c r="CO45" s="112">
        <v>0</v>
      </c>
      <c r="CP45" s="112">
        <v>0</v>
      </c>
      <c r="CQ45" s="112">
        <v>0</v>
      </c>
      <c r="CR45" s="112">
        <v>0</v>
      </c>
      <c r="CS45" s="112">
        <v>0</v>
      </c>
      <c r="CT45" s="112">
        <v>0</v>
      </c>
      <c r="CU45" s="112">
        <v>0</v>
      </c>
      <c r="CV45" s="112">
        <v>0</v>
      </c>
    </row>
    <row r="46" spans="1:100" x14ac:dyDescent="0.15">
      <c r="A46" s="191" t="s">
        <v>236</v>
      </c>
      <c r="B46" s="112">
        <v>0</v>
      </c>
      <c r="C46" s="112">
        <v>0</v>
      </c>
      <c r="D46" s="112">
        <v>0</v>
      </c>
      <c r="E46" s="112">
        <v>0</v>
      </c>
      <c r="F46" s="112">
        <v>0</v>
      </c>
      <c r="G46" s="112">
        <v>0</v>
      </c>
      <c r="H46" s="112">
        <v>0</v>
      </c>
      <c r="I46" s="112">
        <v>0</v>
      </c>
      <c r="J46" s="112">
        <v>0</v>
      </c>
      <c r="K46" s="112">
        <v>0</v>
      </c>
      <c r="L46" s="112">
        <v>0</v>
      </c>
      <c r="M46" s="112">
        <v>0</v>
      </c>
      <c r="N46" s="112">
        <v>0</v>
      </c>
      <c r="O46" s="112">
        <v>0</v>
      </c>
      <c r="P46" s="112">
        <v>0</v>
      </c>
      <c r="Q46" s="112">
        <v>0</v>
      </c>
      <c r="R46" s="112">
        <v>0</v>
      </c>
      <c r="S46" s="112">
        <v>0</v>
      </c>
      <c r="T46" s="112">
        <v>0</v>
      </c>
      <c r="U46" s="112">
        <v>0</v>
      </c>
      <c r="V46" s="112">
        <v>0</v>
      </c>
      <c r="W46" s="112">
        <v>0</v>
      </c>
      <c r="X46" s="112">
        <v>0</v>
      </c>
      <c r="Y46" s="112">
        <v>0</v>
      </c>
      <c r="Z46" s="112">
        <v>0</v>
      </c>
      <c r="AA46" s="112">
        <v>0</v>
      </c>
      <c r="AB46" s="112">
        <v>0</v>
      </c>
      <c r="AC46" s="112">
        <v>0</v>
      </c>
      <c r="AD46" s="112">
        <v>1</v>
      </c>
      <c r="AE46" s="112">
        <v>1</v>
      </c>
      <c r="AF46" s="112">
        <v>1</v>
      </c>
      <c r="AG46" s="112">
        <v>0</v>
      </c>
      <c r="AH46" s="112">
        <v>0</v>
      </c>
      <c r="AI46" s="112">
        <v>0</v>
      </c>
      <c r="AJ46" s="112">
        <v>1</v>
      </c>
      <c r="AK46" s="112">
        <v>1</v>
      </c>
      <c r="AL46" s="112">
        <v>0</v>
      </c>
      <c r="AM46" s="112">
        <v>0</v>
      </c>
      <c r="AN46" s="112">
        <v>1</v>
      </c>
      <c r="AO46" s="112">
        <v>0</v>
      </c>
      <c r="AP46" s="112">
        <v>1</v>
      </c>
      <c r="AQ46" s="112">
        <v>0</v>
      </c>
      <c r="AR46" s="112">
        <v>1</v>
      </c>
      <c r="AS46" s="112">
        <v>0</v>
      </c>
      <c r="AT46" s="112">
        <v>0</v>
      </c>
      <c r="AU46" s="112">
        <v>0</v>
      </c>
      <c r="AV46" s="112">
        <v>0</v>
      </c>
      <c r="AW46" s="112">
        <v>0</v>
      </c>
      <c r="AX46" s="112">
        <v>0</v>
      </c>
      <c r="AY46" s="112">
        <v>0</v>
      </c>
      <c r="AZ46" s="112">
        <v>0</v>
      </c>
      <c r="BA46" s="112">
        <v>0</v>
      </c>
      <c r="BB46" s="112">
        <v>0</v>
      </c>
      <c r="BC46" s="112">
        <v>0</v>
      </c>
      <c r="BD46" s="112">
        <v>0</v>
      </c>
      <c r="BE46" s="112">
        <v>0</v>
      </c>
      <c r="BF46" s="112">
        <v>0</v>
      </c>
      <c r="BG46" s="112">
        <v>0</v>
      </c>
      <c r="BH46" s="112">
        <v>0</v>
      </c>
      <c r="BI46" s="112">
        <v>0</v>
      </c>
      <c r="BJ46" s="112">
        <v>0</v>
      </c>
      <c r="BK46" s="112">
        <v>0</v>
      </c>
      <c r="BL46" s="112">
        <v>0</v>
      </c>
      <c r="BM46" s="112">
        <v>0</v>
      </c>
      <c r="BN46" s="112">
        <v>0</v>
      </c>
      <c r="BO46" s="112">
        <v>0</v>
      </c>
      <c r="BP46" s="112">
        <v>0</v>
      </c>
      <c r="BQ46" s="112">
        <v>0</v>
      </c>
      <c r="BR46" s="112">
        <v>0</v>
      </c>
      <c r="BS46" s="112">
        <v>0</v>
      </c>
      <c r="BT46" s="112">
        <v>0</v>
      </c>
      <c r="BU46" s="112">
        <v>0</v>
      </c>
      <c r="BV46" s="112">
        <v>0</v>
      </c>
      <c r="BW46" s="112">
        <v>0</v>
      </c>
      <c r="BX46" s="112">
        <v>0</v>
      </c>
      <c r="BY46" s="112">
        <v>0</v>
      </c>
      <c r="BZ46" s="112">
        <v>0</v>
      </c>
      <c r="CA46" s="112">
        <v>0</v>
      </c>
      <c r="CB46" s="112">
        <v>0</v>
      </c>
      <c r="CC46" s="112">
        <v>0</v>
      </c>
      <c r="CD46" s="112">
        <v>0</v>
      </c>
      <c r="CE46" s="112">
        <v>0</v>
      </c>
      <c r="CF46" s="112">
        <v>0</v>
      </c>
      <c r="CG46" s="112">
        <v>0</v>
      </c>
      <c r="CH46" s="112">
        <v>0</v>
      </c>
      <c r="CI46" s="112">
        <v>0</v>
      </c>
      <c r="CJ46" s="112">
        <v>0</v>
      </c>
      <c r="CK46" s="112">
        <v>0</v>
      </c>
      <c r="CL46" s="112">
        <v>0</v>
      </c>
      <c r="CM46" s="112">
        <v>0</v>
      </c>
      <c r="CN46" s="112">
        <v>0</v>
      </c>
      <c r="CO46" s="112">
        <v>0</v>
      </c>
      <c r="CP46" s="112">
        <v>0</v>
      </c>
      <c r="CQ46" s="112">
        <v>0</v>
      </c>
      <c r="CR46" s="112">
        <v>0</v>
      </c>
      <c r="CS46" s="112">
        <v>0</v>
      </c>
      <c r="CT46" s="112">
        <v>0</v>
      </c>
      <c r="CU46" s="112">
        <v>0</v>
      </c>
      <c r="CV46" s="112">
        <v>0</v>
      </c>
    </row>
    <row r="47" spans="1:100" x14ac:dyDescent="0.15">
      <c r="A47" s="191" t="s">
        <v>237</v>
      </c>
      <c r="B47" s="112">
        <v>1</v>
      </c>
      <c r="C47" s="112">
        <v>0</v>
      </c>
      <c r="D47" s="112">
        <v>0</v>
      </c>
      <c r="E47" s="112">
        <v>0</v>
      </c>
      <c r="F47" s="112">
        <v>0</v>
      </c>
      <c r="G47" s="112">
        <v>0</v>
      </c>
      <c r="H47" s="112">
        <v>0</v>
      </c>
      <c r="I47" s="112">
        <v>0</v>
      </c>
      <c r="J47" s="112">
        <v>0</v>
      </c>
      <c r="K47" s="112">
        <v>0</v>
      </c>
      <c r="L47" s="112">
        <v>1</v>
      </c>
      <c r="M47" s="112">
        <v>0</v>
      </c>
      <c r="N47" s="112">
        <v>1</v>
      </c>
      <c r="O47" s="112">
        <v>0</v>
      </c>
      <c r="P47" s="112">
        <v>1</v>
      </c>
      <c r="Q47" s="112">
        <v>1</v>
      </c>
      <c r="R47" s="112">
        <v>1</v>
      </c>
      <c r="S47" s="112">
        <v>0</v>
      </c>
      <c r="T47" s="112">
        <v>1</v>
      </c>
      <c r="U47" s="112">
        <v>1</v>
      </c>
      <c r="V47" s="112">
        <v>1</v>
      </c>
      <c r="W47" s="112">
        <v>0</v>
      </c>
      <c r="X47" s="112">
        <v>0</v>
      </c>
      <c r="Y47" s="112">
        <v>0</v>
      </c>
      <c r="Z47" s="112">
        <v>0</v>
      </c>
      <c r="AA47" s="112">
        <v>0</v>
      </c>
      <c r="AB47" s="112">
        <v>0</v>
      </c>
      <c r="AC47" s="112">
        <v>0</v>
      </c>
      <c r="AD47" s="112">
        <v>0</v>
      </c>
      <c r="AE47" s="112">
        <v>1</v>
      </c>
      <c r="AF47" s="112">
        <v>0</v>
      </c>
      <c r="AG47" s="112">
        <v>0</v>
      </c>
      <c r="AH47" s="112">
        <v>0</v>
      </c>
      <c r="AI47" s="112">
        <v>0</v>
      </c>
      <c r="AJ47" s="112">
        <v>0</v>
      </c>
      <c r="AK47" s="112">
        <v>0</v>
      </c>
      <c r="AL47" s="112">
        <v>0</v>
      </c>
      <c r="AM47" s="112">
        <v>0</v>
      </c>
      <c r="AN47" s="112">
        <v>0</v>
      </c>
      <c r="AO47" s="112">
        <v>0</v>
      </c>
      <c r="AP47" s="112">
        <v>1</v>
      </c>
      <c r="AQ47" s="112">
        <v>0</v>
      </c>
      <c r="AR47" s="112">
        <v>0</v>
      </c>
      <c r="AS47" s="112">
        <v>0</v>
      </c>
      <c r="AT47" s="112">
        <v>0</v>
      </c>
      <c r="AU47" s="112">
        <v>0</v>
      </c>
      <c r="AV47" s="112">
        <v>0</v>
      </c>
      <c r="AW47" s="112">
        <v>0</v>
      </c>
      <c r="AX47" s="112">
        <v>0</v>
      </c>
      <c r="AY47" s="112">
        <v>0</v>
      </c>
      <c r="AZ47" s="112">
        <v>0</v>
      </c>
      <c r="BA47" s="112">
        <v>0</v>
      </c>
      <c r="BB47" s="112">
        <v>0</v>
      </c>
      <c r="BC47" s="112">
        <v>1</v>
      </c>
      <c r="BD47" s="112">
        <v>1</v>
      </c>
      <c r="BE47" s="112">
        <v>0</v>
      </c>
      <c r="BF47" s="112">
        <v>0</v>
      </c>
      <c r="BG47" s="112">
        <v>0</v>
      </c>
      <c r="BH47" s="112">
        <v>0</v>
      </c>
      <c r="BI47" s="112">
        <v>0</v>
      </c>
      <c r="BJ47" s="112">
        <v>0</v>
      </c>
      <c r="BK47" s="112">
        <v>0</v>
      </c>
      <c r="BL47" s="112">
        <v>0</v>
      </c>
      <c r="BM47" s="112">
        <v>0</v>
      </c>
      <c r="BN47" s="112">
        <v>0</v>
      </c>
      <c r="BO47" s="112">
        <v>0</v>
      </c>
      <c r="BP47" s="112">
        <v>0</v>
      </c>
      <c r="BQ47" s="112">
        <v>0</v>
      </c>
      <c r="BR47" s="112">
        <v>0</v>
      </c>
      <c r="BS47" s="112">
        <v>0</v>
      </c>
      <c r="BT47" s="112">
        <v>0</v>
      </c>
      <c r="BU47" s="112">
        <v>0</v>
      </c>
      <c r="BV47" s="112">
        <v>0</v>
      </c>
      <c r="BW47" s="112">
        <v>0</v>
      </c>
      <c r="BX47" s="112">
        <v>0</v>
      </c>
      <c r="BY47" s="112">
        <v>0</v>
      </c>
      <c r="BZ47" s="112">
        <v>0</v>
      </c>
      <c r="CA47" s="112">
        <v>0</v>
      </c>
      <c r="CB47" s="112">
        <v>0</v>
      </c>
      <c r="CC47" s="112">
        <v>0</v>
      </c>
      <c r="CD47" s="112">
        <v>0</v>
      </c>
      <c r="CE47" s="112">
        <v>0</v>
      </c>
      <c r="CF47" s="112">
        <v>0</v>
      </c>
      <c r="CG47" s="112">
        <v>0</v>
      </c>
      <c r="CH47" s="112">
        <v>0</v>
      </c>
      <c r="CI47" s="112">
        <v>0</v>
      </c>
      <c r="CJ47" s="112">
        <v>0</v>
      </c>
      <c r="CK47" s="112">
        <v>0</v>
      </c>
      <c r="CL47" s="112">
        <v>0</v>
      </c>
      <c r="CM47" s="112">
        <v>0</v>
      </c>
      <c r="CN47" s="112">
        <v>0</v>
      </c>
      <c r="CO47" s="112">
        <v>0</v>
      </c>
      <c r="CP47" s="112">
        <v>0</v>
      </c>
      <c r="CQ47" s="112">
        <v>0</v>
      </c>
      <c r="CR47" s="112">
        <v>0</v>
      </c>
      <c r="CS47" s="112">
        <v>0</v>
      </c>
      <c r="CT47" s="112">
        <v>0</v>
      </c>
      <c r="CU47" s="112">
        <v>0</v>
      </c>
      <c r="CV47" s="112">
        <v>0</v>
      </c>
    </row>
    <row r="48" spans="1:100" x14ac:dyDescent="0.15">
      <c r="A48" s="191" t="s">
        <v>238</v>
      </c>
      <c r="B48" s="112">
        <v>0</v>
      </c>
      <c r="C48" s="112">
        <v>0</v>
      </c>
      <c r="D48" s="112">
        <v>0</v>
      </c>
      <c r="E48" s="112">
        <v>0</v>
      </c>
      <c r="F48" s="112">
        <v>0</v>
      </c>
      <c r="G48" s="112">
        <v>0</v>
      </c>
      <c r="H48" s="112">
        <v>0</v>
      </c>
      <c r="I48" s="112">
        <v>0</v>
      </c>
      <c r="J48" s="112">
        <v>0</v>
      </c>
      <c r="K48" s="112">
        <v>0</v>
      </c>
      <c r="L48" s="112">
        <v>0</v>
      </c>
      <c r="M48" s="112">
        <v>0</v>
      </c>
      <c r="N48" s="112">
        <v>0</v>
      </c>
      <c r="O48" s="112">
        <v>0</v>
      </c>
      <c r="P48" s="112">
        <v>0</v>
      </c>
      <c r="Q48" s="112">
        <v>0</v>
      </c>
      <c r="R48" s="112">
        <v>0</v>
      </c>
      <c r="S48" s="112">
        <v>0</v>
      </c>
      <c r="T48" s="112">
        <v>0</v>
      </c>
      <c r="U48" s="112">
        <v>0</v>
      </c>
      <c r="V48" s="112">
        <v>0</v>
      </c>
      <c r="W48" s="112">
        <v>0</v>
      </c>
      <c r="X48" s="112">
        <v>0</v>
      </c>
      <c r="Y48" s="112">
        <v>0</v>
      </c>
      <c r="Z48" s="112">
        <v>0</v>
      </c>
      <c r="AA48" s="112">
        <v>0</v>
      </c>
      <c r="AB48" s="112">
        <v>0</v>
      </c>
      <c r="AC48" s="112">
        <v>0</v>
      </c>
      <c r="AD48" s="112">
        <v>0</v>
      </c>
      <c r="AE48" s="112">
        <v>0</v>
      </c>
      <c r="AF48" s="112">
        <v>0</v>
      </c>
      <c r="AG48" s="112">
        <v>0</v>
      </c>
      <c r="AH48" s="112">
        <v>0</v>
      </c>
      <c r="AI48" s="112">
        <v>0</v>
      </c>
      <c r="AJ48" s="112">
        <v>0</v>
      </c>
      <c r="AK48" s="112">
        <v>0</v>
      </c>
      <c r="AL48" s="112">
        <v>0</v>
      </c>
      <c r="AM48" s="112">
        <v>0</v>
      </c>
      <c r="AN48" s="112">
        <v>0</v>
      </c>
      <c r="AO48" s="112">
        <v>0</v>
      </c>
      <c r="AP48" s="112">
        <v>0</v>
      </c>
      <c r="AQ48" s="112">
        <v>0</v>
      </c>
      <c r="AR48" s="112">
        <v>1</v>
      </c>
      <c r="AS48" s="112">
        <v>0</v>
      </c>
      <c r="AT48" s="112">
        <v>0</v>
      </c>
      <c r="AU48" s="112">
        <v>0</v>
      </c>
      <c r="AV48" s="112">
        <v>0</v>
      </c>
      <c r="AW48" s="112">
        <v>0</v>
      </c>
      <c r="AX48" s="112">
        <v>0</v>
      </c>
      <c r="AY48" s="112">
        <v>0</v>
      </c>
      <c r="AZ48" s="112">
        <v>0</v>
      </c>
      <c r="BA48" s="112">
        <v>0</v>
      </c>
      <c r="BB48" s="112">
        <v>0</v>
      </c>
      <c r="BC48" s="112">
        <v>0</v>
      </c>
      <c r="BD48" s="112">
        <v>0</v>
      </c>
      <c r="BE48" s="112">
        <v>0</v>
      </c>
      <c r="BF48" s="112">
        <v>0</v>
      </c>
      <c r="BG48" s="112">
        <v>0</v>
      </c>
      <c r="BH48" s="112">
        <v>0</v>
      </c>
      <c r="BI48" s="112">
        <v>0</v>
      </c>
      <c r="BJ48" s="112">
        <v>0</v>
      </c>
      <c r="BK48" s="112">
        <v>0</v>
      </c>
      <c r="BL48" s="112">
        <v>0</v>
      </c>
      <c r="BM48" s="112">
        <v>0</v>
      </c>
      <c r="BN48" s="112">
        <v>0</v>
      </c>
      <c r="BO48" s="112">
        <v>0</v>
      </c>
      <c r="BP48" s="112">
        <v>0</v>
      </c>
      <c r="BQ48" s="112">
        <v>0</v>
      </c>
      <c r="BR48" s="112">
        <v>0</v>
      </c>
      <c r="BS48" s="112">
        <v>0</v>
      </c>
      <c r="BT48" s="112">
        <v>0</v>
      </c>
      <c r="BU48" s="112">
        <v>0</v>
      </c>
      <c r="BV48" s="112">
        <v>0</v>
      </c>
      <c r="BW48" s="112">
        <v>0</v>
      </c>
      <c r="BX48" s="112">
        <v>0</v>
      </c>
      <c r="BY48" s="112">
        <v>0</v>
      </c>
      <c r="BZ48" s="112">
        <v>0</v>
      </c>
      <c r="CA48" s="112">
        <v>0</v>
      </c>
      <c r="CB48" s="112">
        <v>0</v>
      </c>
      <c r="CC48" s="112">
        <v>0</v>
      </c>
      <c r="CD48" s="112">
        <v>0</v>
      </c>
      <c r="CE48" s="112">
        <v>0</v>
      </c>
      <c r="CF48" s="112">
        <v>0</v>
      </c>
      <c r="CG48" s="112">
        <v>0</v>
      </c>
      <c r="CH48" s="112">
        <v>0</v>
      </c>
      <c r="CI48" s="112">
        <v>0</v>
      </c>
      <c r="CJ48" s="112">
        <v>0</v>
      </c>
      <c r="CK48" s="112">
        <v>0</v>
      </c>
      <c r="CL48" s="112">
        <v>0</v>
      </c>
      <c r="CM48" s="112">
        <v>0</v>
      </c>
      <c r="CN48" s="112">
        <v>0</v>
      </c>
      <c r="CO48" s="112">
        <v>0</v>
      </c>
      <c r="CP48" s="112">
        <v>0</v>
      </c>
      <c r="CQ48" s="112">
        <v>0</v>
      </c>
      <c r="CR48" s="112">
        <v>0</v>
      </c>
      <c r="CS48" s="112">
        <v>0</v>
      </c>
      <c r="CT48" s="112">
        <v>0</v>
      </c>
      <c r="CU48" s="112">
        <v>0</v>
      </c>
      <c r="CV48" s="112">
        <v>0</v>
      </c>
    </row>
    <row r="49" spans="1:100" x14ac:dyDescent="0.15">
      <c r="A49" s="191" t="s">
        <v>239</v>
      </c>
      <c r="B49" s="112">
        <v>0</v>
      </c>
      <c r="C49" s="112">
        <v>0</v>
      </c>
      <c r="D49" s="112">
        <v>0</v>
      </c>
      <c r="E49" s="112">
        <v>0</v>
      </c>
      <c r="F49" s="112">
        <v>0</v>
      </c>
      <c r="G49" s="112">
        <v>0</v>
      </c>
      <c r="H49" s="112">
        <v>0</v>
      </c>
      <c r="I49" s="112">
        <v>0</v>
      </c>
      <c r="J49" s="112">
        <v>0</v>
      </c>
      <c r="K49" s="112">
        <v>0</v>
      </c>
      <c r="L49" s="112">
        <v>0</v>
      </c>
      <c r="M49" s="112">
        <v>0</v>
      </c>
      <c r="N49" s="112">
        <v>0</v>
      </c>
      <c r="O49" s="112">
        <v>0</v>
      </c>
      <c r="P49" s="112">
        <v>0</v>
      </c>
      <c r="Q49" s="112">
        <v>0</v>
      </c>
      <c r="R49" s="112">
        <v>0</v>
      </c>
      <c r="S49" s="112">
        <v>0</v>
      </c>
      <c r="T49" s="112">
        <v>0</v>
      </c>
      <c r="U49" s="112">
        <v>0</v>
      </c>
      <c r="V49" s="112">
        <v>0</v>
      </c>
      <c r="W49" s="112">
        <v>0</v>
      </c>
      <c r="X49" s="112">
        <v>0</v>
      </c>
      <c r="Y49" s="112">
        <v>0</v>
      </c>
      <c r="Z49" s="112">
        <v>0</v>
      </c>
      <c r="AA49" s="112">
        <v>0</v>
      </c>
      <c r="AB49" s="112">
        <v>0</v>
      </c>
      <c r="AC49" s="112">
        <v>0</v>
      </c>
      <c r="AD49" s="112">
        <v>1</v>
      </c>
      <c r="AE49" s="112">
        <v>1</v>
      </c>
      <c r="AF49" s="112">
        <v>1</v>
      </c>
      <c r="AG49" s="112">
        <v>1</v>
      </c>
      <c r="AH49" s="112">
        <v>1</v>
      </c>
      <c r="AI49" s="112">
        <v>0</v>
      </c>
      <c r="AJ49" s="112">
        <v>0</v>
      </c>
      <c r="AK49" s="112">
        <v>0</v>
      </c>
      <c r="AL49" s="112">
        <v>0</v>
      </c>
      <c r="AM49" s="112">
        <v>0</v>
      </c>
      <c r="AN49" s="112">
        <v>0</v>
      </c>
      <c r="AO49" s="112">
        <v>0</v>
      </c>
      <c r="AP49" s="112">
        <v>1</v>
      </c>
      <c r="AQ49" s="112">
        <v>0</v>
      </c>
      <c r="AR49" s="112">
        <v>1</v>
      </c>
      <c r="AS49" s="112">
        <v>0</v>
      </c>
      <c r="AT49" s="112">
        <v>0</v>
      </c>
      <c r="AU49" s="112">
        <v>0</v>
      </c>
      <c r="AV49" s="112">
        <v>0</v>
      </c>
      <c r="AW49" s="112">
        <v>0</v>
      </c>
      <c r="AX49" s="112">
        <v>0</v>
      </c>
      <c r="AY49" s="112">
        <v>0</v>
      </c>
      <c r="AZ49" s="112">
        <v>0</v>
      </c>
      <c r="BA49" s="112">
        <v>0</v>
      </c>
      <c r="BB49" s="112">
        <v>0</v>
      </c>
      <c r="BC49" s="112">
        <v>0</v>
      </c>
      <c r="BD49" s="112">
        <v>0</v>
      </c>
      <c r="BE49" s="112">
        <v>0</v>
      </c>
      <c r="BF49" s="112">
        <v>0</v>
      </c>
      <c r="BG49" s="112">
        <v>0</v>
      </c>
      <c r="BH49" s="112">
        <v>0</v>
      </c>
      <c r="BI49" s="112">
        <v>0</v>
      </c>
      <c r="BJ49" s="112">
        <v>0</v>
      </c>
      <c r="BK49" s="112">
        <v>0</v>
      </c>
      <c r="BL49" s="112">
        <v>0</v>
      </c>
      <c r="BM49" s="112">
        <v>0</v>
      </c>
      <c r="BN49" s="112">
        <v>0</v>
      </c>
      <c r="BO49" s="112">
        <v>0</v>
      </c>
      <c r="BP49" s="112">
        <v>0</v>
      </c>
      <c r="BQ49" s="112">
        <v>0</v>
      </c>
      <c r="BR49" s="112">
        <v>0</v>
      </c>
      <c r="BS49" s="112">
        <v>0</v>
      </c>
      <c r="BT49" s="112">
        <v>0</v>
      </c>
      <c r="BU49" s="112">
        <v>0</v>
      </c>
      <c r="BV49" s="112">
        <v>0</v>
      </c>
      <c r="BW49" s="112">
        <v>0</v>
      </c>
      <c r="BX49" s="112">
        <v>0</v>
      </c>
      <c r="BY49" s="112">
        <v>0</v>
      </c>
      <c r="BZ49" s="112">
        <v>0</v>
      </c>
      <c r="CA49" s="112">
        <v>0</v>
      </c>
      <c r="CB49" s="112">
        <v>0</v>
      </c>
      <c r="CC49" s="112">
        <v>0</v>
      </c>
      <c r="CD49" s="112">
        <v>0</v>
      </c>
      <c r="CE49" s="112">
        <v>0</v>
      </c>
      <c r="CF49" s="112">
        <v>0</v>
      </c>
      <c r="CG49" s="112">
        <v>0</v>
      </c>
      <c r="CH49" s="112">
        <v>0</v>
      </c>
      <c r="CI49" s="112">
        <v>0</v>
      </c>
      <c r="CJ49" s="112">
        <v>0</v>
      </c>
      <c r="CK49" s="112">
        <v>0</v>
      </c>
      <c r="CL49" s="112">
        <v>0</v>
      </c>
      <c r="CM49" s="112">
        <v>0</v>
      </c>
      <c r="CN49" s="112">
        <v>0</v>
      </c>
      <c r="CO49" s="112">
        <v>0</v>
      </c>
      <c r="CP49" s="112">
        <v>0</v>
      </c>
      <c r="CQ49" s="112">
        <v>0</v>
      </c>
      <c r="CR49" s="112">
        <v>0</v>
      </c>
      <c r="CS49" s="112">
        <v>0</v>
      </c>
      <c r="CT49" s="112">
        <v>0</v>
      </c>
      <c r="CU49" s="112">
        <v>0</v>
      </c>
      <c r="CV49" s="112">
        <v>0</v>
      </c>
    </row>
    <row r="50" spans="1:100" x14ac:dyDescent="0.15">
      <c r="A50" s="191" t="s">
        <v>240</v>
      </c>
      <c r="B50" s="112">
        <v>1</v>
      </c>
      <c r="C50" s="112">
        <v>0</v>
      </c>
      <c r="D50" s="112">
        <v>0</v>
      </c>
      <c r="E50" s="112">
        <v>0</v>
      </c>
      <c r="F50" s="112">
        <v>0</v>
      </c>
      <c r="G50" s="112">
        <v>0</v>
      </c>
      <c r="H50" s="112">
        <v>0</v>
      </c>
      <c r="I50" s="112">
        <v>0</v>
      </c>
      <c r="J50" s="112">
        <v>0</v>
      </c>
      <c r="K50" s="112">
        <v>0</v>
      </c>
      <c r="L50" s="112">
        <v>1</v>
      </c>
      <c r="M50" s="112">
        <v>0</v>
      </c>
      <c r="N50" s="112">
        <v>0</v>
      </c>
      <c r="O50" s="112">
        <v>1</v>
      </c>
      <c r="P50" s="112">
        <v>0</v>
      </c>
      <c r="Q50" s="112">
        <v>1</v>
      </c>
      <c r="R50" s="112">
        <v>1</v>
      </c>
      <c r="S50" s="112">
        <v>0</v>
      </c>
      <c r="T50" s="112">
        <v>1</v>
      </c>
      <c r="U50" s="112">
        <v>1</v>
      </c>
      <c r="V50" s="112">
        <v>1</v>
      </c>
      <c r="W50" s="112">
        <v>0</v>
      </c>
      <c r="X50" s="112">
        <v>0</v>
      </c>
      <c r="Y50" s="112">
        <v>0</v>
      </c>
      <c r="Z50" s="112">
        <v>0</v>
      </c>
      <c r="AA50" s="112">
        <v>0</v>
      </c>
      <c r="AB50" s="112">
        <v>0</v>
      </c>
      <c r="AC50" s="112">
        <v>0</v>
      </c>
      <c r="AD50" s="112">
        <v>0</v>
      </c>
      <c r="AE50" s="112">
        <v>0</v>
      </c>
      <c r="AF50" s="112">
        <v>0</v>
      </c>
      <c r="AG50" s="112">
        <v>0</v>
      </c>
      <c r="AH50" s="112">
        <v>0</v>
      </c>
      <c r="AI50" s="112">
        <v>0</v>
      </c>
      <c r="AJ50" s="112">
        <v>0</v>
      </c>
      <c r="AK50" s="112">
        <v>0</v>
      </c>
      <c r="AL50" s="112">
        <v>0</v>
      </c>
      <c r="AM50" s="112">
        <v>0</v>
      </c>
      <c r="AN50" s="112">
        <v>0</v>
      </c>
      <c r="AO50" s="112">
        <v>0</v>
      </c>
      <c r="AP50" s="112">
        <v>0</v>
      </c>
      <c r="AQ50" s="112">
        <v>0</v>
      </c>
      <c r="AR50" s="112">
        <v>1</v>
      </c>
      <c r="AS50" s="112">
        <v>0</v>
      </c>
      <c r="AT50" s="112">
        <v>0</v>
      </c>
      <c r="AU50" s="112">
        <v>0</v>
      </c>
      <c r="AV50" s="112">
        <v>0</v>
      </c>
      <c r="AW50" s="112">
        <v>0</v>
      </c>
      <c r="AX50" s="112">
        <v>0</v>
      </c>
      <c r="AY50" s="112">
        <v>0</v>
      </c>
      <c r="AZ50" s="112">
        <v>0</v>
      </c>
      <c r="BA50" s="112">
        <v>0</v>
      </c>
      <c r="BB50" s="112">
        <v>0</v>
      </c>
      <c r="BC50" s="112">
        <v>0</v>
      </c>
      <c r="BD50" s="112">
        <v>0</v>
      </c>
      <c r="BE50" s="112">
        <v>0</v>
      </c>
      <c r="BF50" s="112">
        <v>0</v>
      </c>
      <c r="BG50" s="112">
        <v>0</v>
      </c>
      <c r="BH50" s="112">
        <v>0</v>
      </c>
      <c r="BI50" s="112">
        <v>0</v>
      </c>
      <c r="BJ50" s="112">
        <v>0</v>
      </c>
      <c r="BK50" s="112">
        <v>0</v>
      </c>
      <c r="BL50" s="112">
        <v>0</v>
      </c>
      <c r="BM50" s="112">
        <v>0</v>
      </c>
      <c r="BN50" s="112">
        <v>0</v>
      </c>
      <c r="BO50" s="112">
        <v>0</v>
      </c>
      <c r="BP50" s="112">
        <v>0</v>
      </c>
      <c r="BQ50" s="112">
        <v>0</v>
      </c>
      <c r="BR50" s="112">
        <v>0</v>
      </c>
      <c r="BS50" s="112">
        <v>0</v>
      </c>
      <c r="BT50" s="112">
        <v>0</v>
      </c>
      <c r="BU50" s="112">
        <v>0</v>
      </c>
      <c r="BV50" s="112">
        <v>0</v>
      </c>
      <c r="BW50" s="112">
        <v>0</v>
      </c>
      <c r="BX50" s="112">
        <v>0</v>
      </c>
      <c r="BY50" s="112">
        <v>0</v>
      </c>
      <c r="BZ50" s="112">
        <v>0</v>
      </c>
      <c r="CA50" s="112">
        <v>0</v>
      </c>
      <c r="CB50" s="112">
        <v>0</v>
      </c>
      <c r="CC50" s="112">
        <v>0</v>
      </c>
      <c r="CD50" s="112">
        <v>0</v>
      </c>
      <c r="CE50" s="112">
        <v>0</v>
      </c>
      <c r="CF50" s="112">
        <v>0</v>
      </c>
      <c r="CG50" s="112">
        <v>0</v>
      </c>
      <c r="CH50" s="112">
        <v>0</v>
      </c>
      <c r="CI50" s="112">
        <v>0</v>
      </c>
      <c r="CJ50" s="112">
        <v>0</v>
      </c>
      <c r="CK50" s="112">
        <v>0</v>
      </c>
      <c r="CL50" s="112">
        <v>0</v>
      </c>
      <c r="CM50" s="112">
        <v>0</v>
      </c>
      <c r="CN50" s="112">
        <v>0</v>
      </c>
      <c r="CO50" s="112">
        <v>0</v>
      </c>
      <c r="CP50" s="112">
        <v>0</v>
      </c>
      <c r="CQ50" s="112">
        <v>0</v>
      </c>
      <c r="CR50" s="112">
        <v>0</v>
      </c>
      <c r="CS50" s="112">
        <v>0</v>
      </c>
      <c r="CT50" s="112">
        <v>0</v>
      </c>
      <c r="CU50" s="112">
        <v>0</v>
      </c>
      <c r="CV50" s="112">
        <v>0</v>
      </c>
    </row>
    <row r="51" spans="1:100" x14ac:dyDescent="0.15">
      <c r="A51" s="191" t="s">
        <v>241</v>
      </c>
      <c r="B51" s="112">
        <v>0</v>
      </c>
      <c r="C51" s="112">
        <v>0</v>
      </c>
      <c r="D51" s="112">
        <v>0</v>
      </c>
      <c r="E51" s="112">
        <v>0</v>
      </c>
      <c r="F51" s="112">
        <v>0</v>
      </c>
      <c r="G51" s="112">
        <v>0</v>
      </c>
      <c r="H51" s="112">
        <v>0</v>
      </c>
      <c r="I51" s="112">
        <v>0</v>
      </c>
      <c r="J51" s="112">
        <v>0</v>
      </c>
      <c r="K51" s="112">
        <v>0</v>
      </c>
      <c r="L51" s="112">
        <v>1</v>
      </c>
      <c r="M51" s="112">
        <v>0</v>
      </c>
      <c r="N51" s="112">
        <v>0</v>
      </c>
      <c r="O51" s="112">
        <v>1</v>
      </c>
      <c r="P51" s="112">
        <v>1</v>
      </c>
      <c r="Q51" s="112">
        <v>1</v>
      </c>
      <c r="R51" s="112">
        <v>1</v>
      </c>
      <c r="S51" s="112">
        <v>0</v>
      </c>
      <c r="T51" s="112">
        <v>1</v>
      </c>
      <c r="U51" s="112">
        <v>1</v>
      </c>
      <c r="V51" s="112">
        <v>1</v>
      </c>
      <c r="W51" s="112">
        <v>0</v>
      </c>
      <c r="X51" s="112">
        <v>1</v>
      </c>
      <c r="Y51" s="112">
        <v>0</v>
      </c>
      <c r="Z51" s="112">
        <v>0</v>
      </c>
      <c r="AA51" s="112">
        <v>0</v>
      </c>
      <c r="AB51" s="112">
        <v>0</v>
      </c>
      <c r="AC51" s="112">
        <v>0</v>
      </c>
      <c r="AD51" s="112">
        <v>1</v>
      </c>
      <c r="AE51" s="112">
        <v>1</v>
      </c>
      <c r="AF51" s="112">
        <v>1</v>
      </c>
      <c r="AG51" s="112">
        <v>1</v>
      </c>
      <c r="AH51" s="112">
        <v>0</v>
      </c>
      <c r="AI51" s="112">
        <v>1</v>
      </c>
      <c r="AJ51" s="112">
        <v>1</v>
      </c>
      <c r="AK51" s="112">
        <v>0</v>
      </c>
      <c r="AL51" s="112">
        <v>0</v>
      </c>
      <c r="AM51" s="112">
        <v>0</v>
      </c>
      <c r="AN51" s="112">
        <v>0</v>
      </c>
      <c r="AO51" s="112">
        <v>0</v>
      </c>
      <c r="AP51" s="112">
        <v>1</v>
      </c>
      <c r="AQ51" s="112">
        <v>0</v>
      </c>
      <c r="AR51" s="112">
        <v>1</v>
      </c>
      <c r="AS51" s="112">
        <v>0</v>
      </c>
      <c r="AT51" s="112">
        <v>0</v>
      </c>
      <c r="AU51" s="112">
        <v>0</v>
      </c>
      <c r="AV51" s="112">
        <v>0</v>
      </c>
      <c r="AW51" s="112">
        <v>0</v>
      </c>
      <c r="AX51" s="112">
        <v>0</v>
      </c>
      <c r="AY51" s="112">
        <v>0</v>
      </c>
      <c r="AZ51" s="112">
        <v>0</v>
      </c>
      <c r="BA51" s="112">
        <v>0</v>
      </c>
      <c r="BB51" s="112">
        <v>0</v>
      </c>
      <c r="BC51" s="112">
        <v>1</v>
      </c>
      <c r="BD51" s="112">
        <v>1</v>
      </c>
      <c r="BE51" s="112">
        <v>0</v>
      </c>
      <c r="BF51" s="112">
        <v>1</v>
      </c>
      <c r="BG51" s="112">
        <v>0</v>
      </c>
      <c r="BH51" s="112">
        <v>0</v>
      </c>
      <c r="BI51" s="112">
        <v>0</v>
      </c>
      <c r="BJ51" s="112">
        <v>0</v>
      </c>
      <c r="BK51" s="112">
        <v>0</v>
      </c>
      <c r="BL51" s="112">
        <v>0</v>
      </c>
      <c r="BM51" s="112">
        <v>0</v>
      </c>
      <c r="BN51" s="112">
        <v>0</v>
      </c>
      <c r="BO51" s="112">
        <v>0</v>
      </c>
      <c r="BP51" s="112">
        <v>0</v>
      </c>
      <c r="BQ51" s="112">
        <v>0</v>
      </c>
      <c r="BR51" s="112">
        <v>0</v>
      </c>
      <c r="BS51" s="112">
        <v>0</v>
      </c>
      <c r="BT51" s="112">
        <v>0</v>
      </c>
      <c r="BU51" s="112">
        <v>0</v>
      </c>
      <c r="BV51" s="112">
        <v>0</v>
      </c>
      <c r="BW51" s="112">
        <v>0</v>
      </c>
      <c r="BX51" s="112">
        <v>0</v>
      </c>
      <c r="BY51" s="112">
        <v>0</v>
      </c>
      <c r="BZ51" s="112">
        <v>0</v>
      </c>
      <c r="CA51" s="112">
        <v>0</v>
      </c>
      <c r="CB51" s="112">
        <v>0</v>
      </c>
      <c r="CC51" s="112">
        <v>0</v>
      </c>
      <c r="CD51" s="112">
        <v>0</v>
      </c>
      <c r="CE51" s="112">
        <v>0</v>
      </c>
      <c r="CF51" s="112">
        <v>0</v>
      </c>
      <c r="CG51" s="112">
        <v>0</v>
      </c>
      <c r="CH51" s="112">
        <v>0</v>
      </c>
      <c r="CI51" s="112">
        <v>0</v>
      </c>
      <c r="CJ51" s="112">
        <v>0</v>
      </c>
      <c r="CK51" s="112">
        <v>0</v>
      </c>
      <c r="CL51" s="112">
        <v>0</v>
      </c>
      <c r="CM51" s="112">
        <v>0</v>
      </c>
      <c r="CN51" s="112">
        <v>0</v>
      </c>
      <c r="CO51" s="112">
        <v>0</v>
      </c>
      <c r="CP51" s="112">
        <v>0</v>
      </c>
      <c r="CQ51" s="112">
        <v>0</v>
      </c>
      <c r="CR51" s="112">
        <v>0</v>
      </c>
      <c r="CS51" s="112">
        <v>0</v>
      </c>
      <c r="CT51" s="112">
        <v>0</v>
      </c>
      <c r="CU51" s="112">
        <v>0</v>
      </c>
      <c r="CV51" s="112">
        <v>0</v>
      </c>
    </row>
    <row r="52" spans="1:100" x14ac:dyDescent="0.15">
      <c r="A52" s="191" t="s">
        <v>242</v>
      </c>
      <c r="B52" s="112">
        <v>0</v>
      </c>
      <c r="C52" s="112">
        <v>0</v>
      </c>
      <c r="D52" s="112">
        <v>1</v>
      </c>
      <c r="E52" s="112">
        <v>0</v>
      </c>
      <c r="F52" s="112">
        <v>0</v>
      </c>
      <c r="G52" s="112">
        <v>0</v>
      </c>
      <c r="H52" s="112">
        <v>0</v>
      </c>
      <c r="I52" s="112">
        <v>0</v>
      </c>
      <c r="J52" s="112">
        <v>0</v>
      </c>
      <c r="K52" s="112">
        <v>0</v>
      </c>
      <c r="L52" s="112">
        <v>0</v>
      </c>
      <c r="M52" s="112">
        <v>0</v>
      </c>
      <c r="N52" s="112">
        <v>0</v>
      </c>
      <c r="O52" s="112">
        <v>1</v>
      </c>
      <c r="P52" s="112">
        <v>1</v>
      </c>
      <c r="Q52" s="112">
        <v>1</v>
      </c>
      <c r="R52" s="112">
        <v>1</v>
      </c>
      <c r="S52" s="112">
        <v>1</v>
      </c>
      <c r="T52" s="112">
        <v>1</v>
      </c>
      <c r="U52" s="112">
        <v>1</v>
      </c>
      <c r="V52" s="112">
        <v>1</v>
      </c>
      <c r="W52" s="112">
        <v>1</v>
      </c>
      <c r="X52" s="112">
        <v>1</v>
      </c>
      <c r="Y52" s="112">
        <v>0</v>
      </c>
      <c r="Z52" s="112">
        <v>1</v>
      </c>
      <c r="AA52" s="112">
        <v>0</v>
      </c>
      <c r="AB52" s="112">
        <v>0</v>
      </c>
      <c r="AC52" s="112">
        <v>0</v>
      </c>
      <c r="AD52" s="112">
        <v>1</v>
      </c>
      <c r="AE52" s="112">
        <v>1</v>
      </c>
      <c r="AF52" s="112">
        <v>1</v>
      </c>
      <c r="AG52" s="112">
        <v>1</v>
      </c>
      <c r="AH52" s="112">
        <v>0</v>
      </c>
      <c r="AI52" s="112">
        <v>1</v>
      </c>
      <c r="AJ52" s="112">
        <v>0</v>
      </c>
      <c r="AK52" s="112">
        <v>0</v>
      </c>
      <c r="AL52" s="112">
        <v>0</v>
      </c>
      <c r="AM52" s="112">
        <v>0</v>
      </c>
      <c r="AN52" s="112">
        <v>1</v>
      </c>
      <c r="AO52" s="112">
        <v>0</v>
      </c>
      <c r="AP52" s="112">
        <v>1</v>
      </c>
      <c r="AQ52" s="112">
        <v>0</v>
      </c>
      <c r="AR52" s="112">
        <v>1</v>
      </c>
      <c r="AS52" s="112">
        <v>0</v>
      </c>
      <c r="AT52" s="112">
        <v>0</v>
      </c>
      <c r="AU52" s="112">
        <v>0</v>
      </c>
      <c r="AV52" s="112">
        <v>0</v>
      </c>
      <c r="AW52" s="112">
        <v>0</v>
      </c>
      <c r="AX52" s="112">
        <v>0</v>
      </c>
      <c r="AY52" s="112">
        <v>0</v>
      </c>
      <c r="AZ52" s="112">
        <v>0</v>
      </c>
      <c r="BA52" s="112">
        <v>0</v>
      </c>
      <c r="BB52" s="112">
        <v>0</v>
      </c>
      <c r="BC52" s="112">
        <v>1</v>
      </c>
      <c r="BD52" s="112">
        <v>1</v>
      </c>
      <c r="BE52" s="112">
        <v>0</v>
      </c>
      <c r="BF52" s="112">
        <v>1</v>
      </c>
      <c r="BG52" s="112">
        <v>0</v>
      </c>
      <c r="BH52" s="112">
        <v>0</v>
      </c>
      <c r="BI52" s="112">
        <v>0</v>
      </c>
      <c r="BJ52" s="112">
        <v>0</v>
      </c>
      <c r="BK52" s="112">
        <v>0</v>
      </c>
      <c r="BL52" s="112">
        <v>0</v>
      </c>
      <c r="BM52" s="112">
        <v>0</v>
      </c>
      <c r="BN52" s="112">
        <v>0</v>
      </c>
      <c r="BO52" s="112">
        <v>0</v>
      </c>
      <c r="BP52" s="112">
        <v>0</v>
      </c>
      <c r="BQ52" s="112">
        <v>0</v>
      </c>
      <c r="BR52" s="112">
        <v>0</v>
      </c>
      <c r="BS52" s="112">
        <v>0</v>
      </c>
      <c r="BT52" s="112">
        <v>0</v>
      </c>
      <c r="BU52" s="112">
        <v>0</v>
      </c>
      <c r="BV52" s="112">
        <v>0</v>
      </c>
      <c r="BW52" s="112">
        <v>0</v>
      </c>
      <c r="BX52" s="112">
        <v>0</v>
      </c>
      <c r="BY52" s="112">
        <v>0</v>
      </c>
      <c r="BZ52" s="112">
        <v>0</v>
      </c>
      <c r="CA52" s="112">
        <v>0</v>
      </c>
      <c r="CB52" s="112">
        <v>0</v>
      </c>
      <c r="CC52" s="112">
        <v>0</v>
      </c>
      <c r="CD52" s="112">
        <v>0</v>
      </c>
      <c r="CE52" s="112">
        <v>0</v>
      </c>
      <c r="CF52" s="112">
        <v>0</v>
      </c>
      <c r="CG52" s="112">
        <v>0</v>
      </c>
      <c r="CH52" s="112">
        <v>0</v>
      </c>
      <c r="CI52" s="112">
        <v>0</v>
      </c>
      <c r="CJ52" s="112">
        <v>0</v>
      </c>
      <c r="CK52" s="112">
        <v>0</v>
      </c>
      <c r="CL52" s="112">
        <v>0</v>
      </c>
      <c r="CM52" s="112">
        <v>0</v>
      </c>
      <c r="CN52" s="112">
        <v>0</v>
      </c>
      <c r="CO52" s="112">
        <v>0</v>
      </c>
      <c r="CP52" s="112">
        <v>0</v>
      </c>
      <c r="CQ52" s="112">
        <v>0</v>
      </c>
      <c r="CR52" s="112">
        <v>0</v>
      </c>
      <c r="CS52" s="112">
        <v>0</v>
      </c>
      <c r="CT52" s="112">
        <v>0</v>
      </c>
      <c r="CU52" s="112">
        <v>0</v>
      </c>
      <c r="CV52" s="112">
        <v>0</v>
      </c>
    </row>
    <row r="53" spans="1:100" x14ac:dyDescent="0.15">
      <c r="A53" s="191" t="s">
        <v>243</v>
      </c>
      <c r="B53" s="112">
        <v>0</v>
      </c>
      <c r="C53" s="112">
        <v>0</v>
      </c>
      <c r="D53" s="112">
        <v>1</v>
      </c>
      <c r="E53" s="112">
        <v>0</v>
      </c>
      <c r="F53" s="112">
        <v>0</v>
      </c>
      <c r="G53" s="112">
        <v>0</v>
      </c>
      <c r="H53" s="112">
        <v>0</v>
      </c>
      <c r="I53" s="112">
        <v>0</v>
      </c>
      <c r="J53" s="112">
        <v>0</v>
      </c>
      <c r="K53" s="112">
        <v>0</v>
      </c>
      <c r="L53" s="112">
        <v>1</v>
      </c>
      <c r="M53" s="112">
        <v>0</v>
      </c>
      <c r="N53" s="112">
        <v>0</v>
      </c>
      <c r="O53" s="112">
        <v>1</v>
      </c>
      <c r="P53" s="112">
        <v>1</v>
      </c>
      <c r="Q53" s="112">
        <v>1</v>
      </c>
      <c r="R53" s="112">
        <v>1</v>
      </c>
      <c r="S53" s="112">
        <v>1</v>
      </c>
      <c r="T53" s="112">
        <v>1</v>
      </c>
      <c r="U53" s="112">
        <v>1</v>
      </c>
      <c r="V53" s="112">
        <v>1</v>
      </c>
      <c r="W53" s="112">
        <v>1</v>
      </c>
      <c r="X53" s="112">
        <v>1</v>
      </c>
      <c r="Y53" s="112">
        <v>0</v>
      </c>
      <c r="Z53" s="112">
        <v>1</v>
      </c>
      <c r="AA53" s="112">
        <v>1</v>
      </c>
      <c r="AB53" s="112">
        <v>0</v>
      </c>
      <c r="AC53" s="112">
        <v>1</v>
      </c>
      <c r="AD53" s="112">
        <v>1</v>
      </c>
      <c r="AE53" s="112">
        <v>1</v>
      </c>
      <c r="AF53" s="112">
        <v>1</v>
      </c>
      <c r="AG53" s="112">
        <v>1</v>
      </c>
      <c r="AH53" s="112">
        <v>0</v>
      </c>
      <c r="AI53" s="112">
        <v>1</v>
      </c>
      <c r="AJ53" s="112">
        <v>1</v>
      </c>
      <c r="AK53" s="112">
        <v>0</v>
      </c>
      <c r="AL53" s="112">
        <v>0</v>
      </c>
      <c r="AM53" s="112">
        <v>0</v>
      </c>
      <c r="AN53" s="112">
        <v>1</v>
      </c>
      <c r="AO53" s="112">
        <v>0</v>
      </c>
      <c r="AP53" s="112">
        <v>1</v>
      </c>
      <c r="AQ53" s="112">
        <v>0</v>
      </c>
      <c r="AR53" s="112">
        <v>1</v>
      </c>
      <c r="AS53" s="112">
        <v>1</v>
      </c>
      <c r="AT53" s="112">
        <v>1</v>
      </c>
      <c r="AU53" s="112">
        <v>0</v>
      </c>
      <c r="AV53" s="112">
        <v>0</v>
      </c>
      <c r="AW53" s="112">
        <v>0</v>
      </c>
      <c r="AX53" s="112">
        <v>1</v>
      </c>
      <c r="AY53" s="112">
        <v>1</v>
      </c>
      <c r="AZ53" s="112">
        <v>0</v>
      </c>
      <c r="BA53" s="112">
        <v>1</v>
      </c>
      <c r="BB53" s="112">
        <v>0</v>
      </c>
      <c r="BC53" s="112">
        <v>1</v>
      </c>
      <c r="BD53" s="112">
        <v>1</v>
      </c>
      <c r="BE53" s="112">
        <v>0</v>
      </c>
      <c r="BF53" s="112">
        <v>1</v>
      </c>
      <c r="BG53" s="112">
        <v>0</v>
      </c>
      <c r="BH53" s="112">
        <v>0</v>
      </c>
      <c r="BI53" s="112">
        <v>0</v>
      </c>
      <c r="BJ53" s="112">
        <v>0</v>
      </c>
      <c r="BK53" s="112">
        <v>0</v>
      </c>
      <c r="BL53" s="112">
        <v>0</v>
      </c>
      <c r="BM53" s="112">
        <v>0</v>
      </c>
      <c r="BN53" s="112">
        <v>0</v>
      </c>
      <c r="BO53" s="112">
        <v>0</v>
      </c>
      <c r="BP53" s="112">
        <v>0</v>
      </c>
      <c r="BQ53" s="112">
        <v>0</v>
      </c>
      <c r="BR53" s="112">
        <v>0</v>
      </c>
      <c r="BS53" s="112">
        <v>0</v>
      </c>
      <c r="BT53" s="112">
        <v>0</v>
      </c>
      <c r="BU53" s="112">
        <v>0</v>
      </c>
      <c r="BV53" s="112">
        <v>0</v>
      </c>
      <c r="BW53" s="112">
        <v>0</v>
      </c>
      <c r="BX53" s="112">
        <v>0</v>
      </c>
      <c r="BY53" s="112">
        <v>0</v>
      </c>
      <c r="BZ53" s="112">
        <v>0</v>
      </c>
      <c r="CA53" s="112">
        <v>0</v>
      </c>
      <c r="CB53" s="112">
        <v>0</v>
      </c>
      <c r="CC53" s="112">
        <v>0</v>
      </c>
      <c r="CD53" s="112">
        <v>0</v>
      </c>
      <c r="CE53" s="112">
        <v>0</v>
      </c>
      <c r="CF53" s="112">
        <v>0</v>
      </c>
      <c r="CG53" s="112">
        <v>0</v>
      </c>
      <c r="CH53" s="112">
        <v>0</v>
      </c>
      <c r="CI53" s="112">
        <v>0</v>
      </c>
      <c r="CJ53" s="112">
        <v>0</v>
      </c>
      <c r="CK53" s="112">
        <v>0</v>
      </c>
      <c r="CL53" s="112">
        <v>0</v>
      </c>
      <c r="CM53" s="112">
        <v>0</v>
      </c>
      <c r="CN53" s="112">
        <v>0</v>
      </c>
      <c r="CO53" s="112">
        <v>0</v>
      </c>
      <c r="CP53" s="112">
        <v>0</v>
      </c>
      <c r="CQ53" s="112">
        <v>0</v>
      </c>
      <c r="CR53" s="112">
        <v>0</v>
      </c>
      <c r="CS53" s="112">
        <v>0</v>
      </c>
      <c r="CT53" s="112">
        <v>0</v>
      </c>
      <c r="CU53" s="112">
        <v>0</v>
      </c>
      <c r="CV53" s="112">
        <v>0</v>
      </c>
    </row>
    <row r="54" spans="1:100" x14ac:dyDescent="0.15">
      <c r="A54" s="191" t="s">
        <v>244</v>
      </c>
      <c r="B54" s="112">
        <v>0</v>
      </c>
      <c r="C54" s="112">
        <v>0</v>
      </c>
      <c r="D54" s="112">
        <v>1</v>
      </c>
      <c r="E54" s="112">
        <v>0</v>
      </c>
      <c r="F54" s="112">
        <v>0</v>
      </c>
      <c r="G54" s="112">
        <v>0</v>
      </c>
      <c r="H54" s="112">
        <v>0</v>
      </c>
      <c r="I54" s="112">
        <v>0</v>
      </c>
      <c r="J54" s="112">
        <v>0</v>
      </c>
      <c r="K54" s="112">
        <v>0</v>
      </c>
      <c r="L54" s="112">
        <v>1</v>
      </c>
      <c r="M54" s="112">
        <v>0</v>
      </c>
      <c r="N54" s="112">
        <v>0</v>
      </c>
      <c r="O54" s="112">
        <v>1</v>
      </c>
      <c r="P54" s="112">
        <v>0</v>
      </c>
      <c r="Q54" s="112">
        <v>1</v>
      </c>
      <c r="R54" s="112">
        <v>1</v>
      </c>
      <c r="S54" s="112">
        <v>1</v>
      </c>
      <c r="T54" s="112">
        <v>0</v>
      </c>
      <c r="U54" s="112">
        <v>1</v>
      </c>
      <c r="V54" s="112">
        <v>1</v>
      </c>
      <c r="W54" s="112">
        <v>1</v>
      </c>
      <c r="X54" s="112">
        <v>0</v>
      </c>
      <c r="Y54" s="112">
        <v>0</v>
      </c>
      <c r="Z54" s="112">
        <v>1</v>
      </c>
      <c r="AA54" s="112">
        <v>0</v>
      </c>
      <c r="AB54" s="112">
        <v>0</v>
      </c>
      <c r="AC54" s="112">
        <v>0</v>
      </c>
      <c r="AD54" s="112">
        <v>0</v>
      </c>
      <c r="AE54" s="112">
        <v>0</v>
      </c>
      <c r="AF54" s="112">
        <v>0</v>
      </c>
      <c r="AG54" s="112">
        <v>0</v>
      </c>
      <c r="AH54" s="112">
        <v>0</v>
      </c>
      <c r="AI54" s="112">
        <v>0</v>
      </c>
      <c r="AJ54" s="112">
        <v>0</v>
      </c>
      <c r="AK54" s="112">
        <v>0</v>
      </c>
      <c r="AL54" s="112">
        <v>0</v>
      </c>
      <c r="AM54" s="112">
        <v>0</v>
      </c>
      <c r="AN54" s="112">
        <v>0</v>
      </c>
      <c r="AO54" s="112">
        <v>0</v>
      </c>
      <c r="AP54" s="112">
        <v>1</v>
      </c>
      <c r="AQ54" s="112">
        <v>0</v>
      </c>
      <c r="AR54" s="112">
        <v>0</v>
      </c>
      <c r="AS54" s="112">
        <v>0</v>
      </c>
      <c r="AT54" s="112">
        <v>0</v>
      </c>
      <c r="AU54" s="112">
        <v>0</v>
      </c>
      <c r="AV54" s="112">
        <v>0</v>
      </c>
      <c r="AW54" s="112">
        <v>0</v>
      </c>
      <c r="AX54" s="112">
        <v>0</v>
      </c>
      <c r="AY54" s="112">
        <v>0</v>
      </c>
      <c r="AZ54" s="112">
        <v>0</v>
      </c>
      <c r="BA54" s="112">
        <v>0</v>
      </c>
      <c r="BB54" s="112">
        <v>0</v>
      </c>
      <c r="BC54" s="112">
        <v>0</v>
      </c>
      <c r="BD54" s="112">
        <v>0</v>
      </c>
      <c r="BE54" s="112">
        <v>0</v>
      </c>
      <c r="BF54" s="112">
        <v>0</v>
      </c>
      <c r="BG54" s="112">
        <v>0</v>
      </c>
      <c r="BH54" s="112">
        <v>0</v>
      </c>
      <c r="BI54" s="112">
        <v>0</v>
      </c>
      <c r="BJ54" s="112">
        <v>0</v>
      </c>
      <c r="BK54" s="112">
        <v>0</v>
      </c>
      <c r="BL54" s="112">
        <v>0</v>
      </c>
      <c r="BM54" s="112">
        <v>0</v>
      </c>
      <c r="BN54" s="112">
        <v>0</v>
      </c>
      <c r="BO54" s="112">
        <v>0</v>
      </c>
      <c r="BP54" s="112">
        <v>0</v>
      </c>
      <c r="BQ54" s="112">
        <v>0</v>
      </c>
      <c r="BR54" s="112">
        <v>0</v>
      </c>
      <c r="BS54" s="112">
        <v>0</v>
      </c>
      <c r="BT54" s="112">
        <v>0</v>
      </c>
      <c r="BU54" s="112">
        <v>0</v>
      </c>
      <c r="BV54" s="112">
        <v>0</v>
      </c>
      <c r="BW54" s="112">
        <v>0</v>
      </c>
      <c r="BX54" s="112">
        <v>0</v>
      </c>
      <c r="BY54" s="112">
        <v>0</v>
      </c>
      <c r="BZ54" s="112">
        <v>0</v>
      </c>
      <c r="CA54" s="112">
        <v>0</v>
      </c>
      <c r="CB54" s="112">
        <v>0</v>
      </c>
      <c r="CC54" s="112">
        <v>0</v>
      </c>
      <c r="CD54" s="112">
        <v>0</v>
      </c>
      <c r="CE54" s="112">
        <v>0</v>
      </c>
      <c r="CF54" s="112">
        <v>0</v>
      </c>
      <c r="CG54" s="112">
        <v>0</v>
      </c>
      <c r="CH54" s="112">
        <v>0</v>
      </c>
      <c r="CI54" s="112">
        <v>0</v>
      </c>
      <c r="CJ54" s="112">
        <v>0</v>
      </c>
      <c r="CK54" s="112">
        <v>0</v>
      </c>
      <c r="CL54" s="112">
        <v>0</v>
      </c>
      <c r="CM54" s="112">
        <v>0</v>
      </c>
      <c r="CN54" s="112">
        <v>0</v>
      </c>
      <c r="CO54" s="112">
        <v>0</v>
      </c>
      <c r="CP54" s="112">
        <v>0</v>
      </c>
      <c r="CQ54" s="112">
        <v>0</v>
      </c>
      <c r="CR54" s="112">
        <v>0</v>
      </c>
      <c r="CS54" s="112">
        <v>0</v>
      </c>
      <c r="CT54" s="112">
        <v>0</v>
      </c>
      <c r="CU54" s="112">
        <v>0</v>
      </c>
      <c r="CV54" s="112">
        <v>0</v>
      </c>
    </row>
    <row r="55" spans="1:100" x14ac:dyDescent="0.15">
      <c r="A55" s="191" t="s">
        <v>245</v>
      </c>
      <c r="B55" s="112">
        <v>1</v>
      </c>
      <c r="C55" s="112">
        <v>0</v>
      </c>
      <c r="D55" s="112">
        <v>1</v>
      </c>
      <c r="E55" s="112">
        <v>1</v>
      </c>
      <c r="F55" s="112">
        <v>0</v>
      </c>
      <c r="G55" s="112">
        <v>0</v>
      </c>
      <c r="H55" s="112">
        <v>0</v>
      </c>
      <c r="I55" s="112">
        <v>0</v>
      </c>
      <c r="J55" s="112">
        <v>0</v>
      </c>
      <c r="K55" s="112">
        <v>0</v>
      </c>
      <c r="L55" s="112">
        <v>0</v>
      </c>
      <c r="M55" s="112">
        <v>0</v>
      </c>
      <c r="N55" s="112">
        <v>0</v>
      </c>
      <c r="O55" s="112">
        <v>0</v>
      </c>
      <c r="P55" s="112">
        <v>0</v>
      </c>
      <c r="Q55" s="112">
        <v>0</v>
      </c>
      <c r="R55" s="112">
        <v>0</v>
      </c>
      <c r="S55" s="112">
        <v>0</v>
      </c>
      <c r="T55" s="112">
        <v>0</v>
      </c>
      <c r="U55" s="112">
        <v>0</v>
      </c>
      <c r="V55" s="112">
        <v>0</v>
      </c>
      <c r="W55" s="112">
        <v>0</v>
      </c>
      <c r="X55" s="112">
        <v>0</v>
      </c>
      <c r="Y55" s="112">
        <v>0</v>
      </c>
      <c r="Z55" s="112">
        <v>0</v>
      </c>
      <c r="AA55" s="112">
        <v>0</v>
      </c>
      <c r="AB55" s="112">
        <v>0</v>
      </c>
      <c r="AC55" s="112">
        <v>0</v>
      </c>
      <c r="AD55" s="112">
        <v>0</v>
      </c>
      <c r="AE55" s="112">
        <v>0</v>
      </c>
      <c r="AF55" s="112">
        <v>0</v>
      </c>
      <c r="AG55" s="112">
        <v>0</v>
      </c>
      <c r="AH55" s="112">
        <v>0</v>
      </c>
      <c r="AI55" s="112">
        <v>0</v>
      </c>
      <c r="AJ55" s="112">
        <v>0</v>
      </c>
      <c r="AK55" s="112">
        <v>0</v>
      </c>
      <c r="AL55" s="112">
        <v>0</v>
      </c>
      <c r="AM55" s="112">
        <v>0</v>
      </c>
      <c r="AN55" s="112">
        <v>0</v>
      </c>
      <c r="AO55" s="112">
        <v>0</v>
      </c>
      <c r="AP55" s="112">
        <v>1</v>
      </c>
      <c r="AQ55" s="112">
        <v>0</v>
      </c>
      <c r="AR55" s="112">
        <v>1</v>
      </c>
      <c r="AS55" s="112">
        <v>0</v>
      </c>
      <c r="AT55" s="112">
        <v>0</v>
      </c>
      <c r="AU55" s="112">
        <v>0</v>
      </c>
      <c r="AV55" s="112">
        <v>0</v>
      </c>
      <c r="AW55" s="112">
        <v>0</v>
      </c>
      <c r="AX55" s="112">
        <v>0</v>
      </c>
      <c r="AY55" s="112">
        <v>0</v>
      </c>
      <c r="AZ55" s="112">
        <v>0</v>
      </c>
      <c r="BA55" s="112">
        <v>0</v>
      </c>
      <c r="BB55" s="112">
        <v>0</v>
      </c>
      <c r="BC55" s="112">
        <v>1</v>
      </c>
      <c r="BD55" s="112">
        <v>1</v>
      </c>
      <c r="BE55" s="112">
        <v>0</v>
      </c>
      <c r="BF55" s="112">
        <v>1</v>
      </c>
      <c r="BG55" s="112">
        <v>0</v>
      </c>
      <c r="BH55" s="112">
        <v>0</v>
      </c>
      <c r="BI55" s="112">
        <v>0</v>
      </c>
      <c r="BJ55" s="112">
        <v>0</v>
      </c>
      <c r="BK55" s="112">
        <v>0</v>
      </c>
      <c r="BL55" s="112">
        <v>0</v>
      </c>
      <c r="BM55" s="112">
        <v>0</v>
      </c>
      <c r="BN55" s="112">
        <v>0</v>
      </c>
      <c r="BO55" s="112">
        <v>0</v>
      </c>
      <c r="BP55" s="112">
        <v>0</v>
      </c>
      <c r="BQ55" s="112">
        <v>0</v>
      </c>
      <c r="BR55" s="112">
        <v>0</v>
      </c>
      <c r="BS55" s="112">
        <v>0</v>
      </c>
      <c r="BT55" s="112">
        <v>0</v>
      </c>
      <c r="BU55" s="112">
        <v>0</v>
      </c>
      <c r="BV55" s="112">
        <v>0</v>
      </c>
      <c r="BW55" s="112">
        <v>0</v>
      </c>
      <c r="BX55" s="112">
        <v>0</v>
      </c>
      <c r="BY55" s="112">
        <v>0</v>
      </c>
      <c r="BZ55" s="112">
        <v>0</v>
      </c>
      <c r="CA55" s="112">
        <v>0</v>
      </c>
      <c r="CB55" s="112">
        <v>0</v>
      </c>
      <c r="CC55" s="112">
        <v>0</v>
      </c>
      <c r="CD55" s="112">
        <v>0</v>
      </c>
      <c r="CE55" s="112">
        <v>0</v>
      </c>
      <c r="CF55" s="112">
        <v>0</v>
      </c>
      <c r="CG55" s="112">
        <v>0</v>
      </c>
      <c r="CH55" s="112">
        <v>0</v>
      </c>
      <c r="CI55" s="112">
        <v>0</v>
      </c>
      <c r="CJ55" s="112">
        <v>0</v>
      </c>
      <c r="CK55" s="112">
        <v>0</v>
      </c>
      <c r="CL55" s="112">
        <v>0</v>
      </c>
      <c r="CM55" s="112">
        <v>0</v>
      </c>
      <c r="CN55" s="112">
        <v>0</v>
      </c>
      <c r="CO55" s="112">
        <v>0</v>
      </c>
      <c r="CP55" s="112">
        <v>0</v>
      </c>
      <c r="CQ55" s="112">
        <v>0</v>
      </c>
      <c r="CR55" s="112">
        <v>0</v>
      </c>
      <c r="CS55" s="112">
        <v>0</v>
      </c>
      <c r="CT55" s="112">
        <v>0</v>
      </c>
      <c r="CU55" s="112">
        <v>0</v>
      </c>
      <c r="CV55" s="112">
        <v>0</v>
      </c>
    </row>
    <row r="56" spans="1:100" x14ac:dyDescent="0.15">
      <c r="A56" s="191" t="s">
        <v>246</v>
      </c>
      <c r="B56" s="112">
        <v>1</v>
      </c>
      <c r="C56" s="112">
        <v>0</v>
      </c>
      <c r="D56" s="112">
        <v>1</v>
      </c>
      <c r="E56" s="112">
        <v>1</v>
      </c>
      <c r="F56" s="112">
        <v>0</v>
      </c>
      <c r="G56" s="112">
        <v>0</v>
      </c>
      <c r="H56" s="112">
        <v>0</v>
      </c>
      <c r="I56" s="112">
        <v>0</v>
      </c>
      <c r="J56" s="112">
        <v>0</v>
      </c>
      <c r="K56" s="112">
        <v>0</v>
      </c>
      <c r="L56" s="112">
        <v>0</v>
      </c>
      <c r="M56" s="112">
        <v>0</v>
      </c>
      <c r="N56" s="112">
        <v>0</v>
      </c>
      <c r="O56" s="112">
        <v>0</v>
      </c>
      <c r="P56" s="112">
        <v>0</v>
      </c>
      <c r="Q56" s="112">
        <v>0</v>
      </c>
      <c r="R56" s="112">
        <v>0</v>
      </c>
      <c r="S56" s="112">
        <v>0</v>
      </c>
      <c r="T56" s="112">
        <v>0</v>
      </c>
      <c r="U56" s="112">
        <v>0</v>
      </c>
      <c r="V56" s="112">
        <v>0</v>
      </c>
      <c r="W56" s="112">
        <v>0</v>
      </c>
      <c r="X56" s="112">
        <v>0</v>
      </c>
      <c r="Y56" s="112">
        <v>0</v>
      </c>
      <c r="Z56" s="112">
        <v>0</v>
      </c>
      <c r="AA56" s="112">
        <v>0</v>
      </c>
      <c r="AB56" s="112">
        <v>0</v>
      </c>
      <c r="AC56" s="112">
        <v>0</v>
      </c>
      <c r="AD56" s="112">
        <v>0</v>
      </c>
      <c r="AE56" s="112">
        <v>0</v>
      </c>
      <c r="AF56" s="112">
        <v>0</v>
      </c>
      <c r="AG56" s="112">
        <v>0</v>
      </c>
      <c r="AH56" s="112">
        <v>0</v>
      </c>
      <c r="AI56" s="112">
        <v>0</v>
      </c>
      <c r="AJ56" s="112">
        <v>0</v>
      </c>
      <c r="AK56" s="112">
        <v>0</v>
      </c>
      <c r="AL56" s="112">
        <v>0</v>
      </c>
      <c r="AM56" s="112">
        <v>0</v>
      </c>
      <c r="AN56" s="112">
        <v>0</v>
      </c>
      <c r="AO56" s="112">
        <v>0</v>
      </c>
      <c r="AP56" s="112">
        <v>1</v>
      </c>
      <c r="AQ56" s="112">
        <v>0</v>
      </c>
      <c r="AR56" s="112">
        <v>1</v>
      </c>
      <c r="AS56" s="112">
        <v>0</v>
      </c>
      <c r="AT56" s="112">
        <v>0</v>
      </c>
      <c r="AU56" s="112">
        <v>0</v>
      </c>
      <c r="AV56" s="112">
        <v>0</v>
      </c>
      <c r="AW56" s="112">
        <v>0</v>
      </c>
      <c r="AX56" s="112">
        <v>0</v>
      </c>
      <c r="AY56" s="112">
        <v>0</v>
      </c>
      <c r="AZ56" s="112">
        <v>0</v>
      </c>
      <c r="BA56" s="112">
        <v>0</v>
      </c>
      <c r="BB56" s="112">
        <v>0</v>
      </c>
      <c r="BC56" s="112">
        <v>1</v>
      </c>
      <c r="BD56" s="112">
        <v>1</v>
      </c>
      <c r="BE56" s="112">
        <v>0</v>
      </c>
      <c r="BF56" s="112">
        <v>1</v>
      </c>
      <c r="BG56" s="112">
        <v>0</v>
      </c>
      <c r="BH56" s="112">
        <v>0</v>
      </c>
      <c r="BI56" s="112">
        <v>0</v>
      </c>
      <c r="BJ56" s="112">
        <v>0</v>
      </c>
      <c r="BK56" s="112">
        <v>0</v>
      </c>
      <c r="BL56" s="112">
        <v>0</v>
      </c>
      <c r="BM56" s="112">
        <v>0</v>
      </c>
      <c r="BN56" s="112">
        <v>0</v>
      </c>
      <c r="BO56" s="112">
        <v>0</v>
      </c>
      <c r="BP56" s="112">
        <v>0</v>
      </c>
      <c r="BQ56" s="112">
        <v>0</v>
      </c>
      <c r="BR56" s="112">
        <v>0</v>
      </c>
      <c r="BS56" s="112">
        <v>0</v>
      </c>
      <c r="BT56" s="112">
        <v>0</v>
      </c>
      <c r="BU56" s="112">
        <v>0</v>
      </c>
      <c r="BV56" s="112">
        <v>0</v>
      </c>
      <c r="BW56" s="112">
        <v>0</v>
      </c>
      <c r="BX56" s="112">
        <v>0</v>
      </c>
      <c r="BY56" s="112">
        <v>0</v>
      </c>
      <c r="BZ56" s="112">
        <v>0</v>
      </c>
      <c r="CA56" s="112">
        <v>0</v>
      </c>
      <c r="CB56" s="112">
        <v>0</v>
      </c>
      <c r="CC56" s="112">
        <v>0</v>
      </c>
      <c r="CD56" s="112">
        <v>0</v>
      </c>
      <c r="CE56" s="112">
        <v>0</v>
      </c>
      <c r="CF56" s="112">
        <v>0</v>
      </c>
      <c r="CG56" s="112">
        <v>0</v>
      </c>
      <c r="CH56" s="112">
        <v>0</v>
      </c>
      <c r="CI56" s="112">
        <v>0</v>
      </c>
      <c r="CJ56" s="112">
        <v>0</v>
      </c>
      <c r="CK56" s="112">
        <v>0</v>
      </c>
      <c r="CL56" s="112">
        <v>0</v>
      </c>
      <c r="CM56" s="112">
        <v>0</v>
      </c>
      <c r="CN56" s="112">
        <v>0</v>
      </c>
      <c r="CO56" s="112">
        <v>0</v>
      </c>
      <c r="CP56" s="112">
        <v>0</v>
      </c>
      <c r="CQ56" s="112">
        <v>0</v>
      </c>
      <c r="CR56" s="112">
        <v>0</v>
      </c>
      <c r="CS56" s="112">
        <v>0</v>
      </c>
      <c r="CT56" s="112">
        <v>0</v>
      </c>
      <c r="CU56" s="112">
        <v>0</v>
      </c>
      <c r="CV56" s="112">
        <v>0</v>
      </c>
    </row>
    <row r="57" spans="1:100" x14ac:dyDescent="0.15">
      <c r="A57" s="191" t="s">
        <v>247</v>
      </c>
      <c r="B57" s="112">
        <v>1</v>
      </c>
      <c r="C57" s="112">
        <v>0</v>
      </c>
      <c r="D57" s="112">
        <v>0</v>
      </c>
      <c r="E57" s="112">
        <v>1</v>
      </c>
      <c r="F57" s="112">
        <v>0</v>
      </c>
      <c r="G57" s="112">
        <v>0</v>
      </c>
      <c r="H57" s="112">
        <v>0</v>
      </c>
      <c r="I57" s="112">
        <v>0</v>
      </c>
      <c r="J57" s="112">
        <v>0</v>
      </c>
      <c r="K57" s="112">
        <v>0</v>
      </c>
      <c r="L57" s="112">
        <v>1</v>
      </c>
      <c r="M57" s="112">
        <v>0</v>
      </c>
      <c r="N57" s="112">
        <v>0</v>
      </c>
      <c r="O57" s="112">
        <v>0</v>
      </c>
      <c r="P57" s="112">
        <v>0</v>
      </c>
      <c r="Q57" s="112">
        <v>1</v>
      </c>
      <c r="R57" s="112">
        <v>0</v>
      </c>
      <c r="S57" s="112">
        <v>1</v>
      </c>
      <c r="T57" s="112">
        <v>1</v>
      </c>
      <c r="U57" s="112">
        <v>0</v>
      </c>
      <c r="V57" s="112">
        <v>0</v>
      </c>
      <c r="W57" s="112">
        <v>0</v>
      </c>
      <c r="X57" s="112">
        <v>0</v>
      </c>
      <c r="Y57" s="112">
        <v>0</v>
      </c>
      <c r="Z57" s="112">
        <v>0</v>
      </c>
      <c r="AA57" s="112">
        <v>0</v>
      </c>
      <c r="AB57" s="112">
        <v>0</v>
      </c>
      <c r="AC57" s="112">
        <v>0</v>
      </c>
      <c r="AD57" s="112">
        <v>1</v>
      </c>
      <c r="AE57" s="112">
        <v>1</v>
      </c>
      <c r="AF57" s="112">
        <v>0</v>
      </c>
      <c r="AG57" s="112">
        <v>0</v>
      </c>
      <c r="AH57" s="112">
        <v>0</v>
      </c>
      <c r="AI57" s="112">
        <v>0</v>
      </c>
      <c r="AJ57" s="112">
        <v>0</v>
      </c>
      <c r="AK57" s="112">
        <v>0</v>
      </c>
      <c r="AL57" s="112">
        <v>0</v>
      </c>
      <c r="AM57" s="112">
        <v>0</v>
      </c>
      <c r="AN57" s="112">
        <v>0</v>
      </c>
      <c r="AO57" s="112">
        <v>0</v>
      </c>
      <c r="AP57" s="112">
        <v>1</v>
      </c>
      <c r="AQ57" s="112">
        <v>0</v>
      </c>
      <c r="AR57" s="112">
        <v>1</v>
      </c>
      <c r="AS57" s="112">
        <v>0</v>
      </c>
      <c r="AT57" s="112">
        <v>0</v>
      </c>
      <c r="AU57" s="112">
        <v>0</v>
      </c>
      <c r="AV57" s="112">
        <v>0</v>
      </c>
      <c r="AW57" s="112">
        <v>0</v>
      </c>
      <c r="AX57" s="112">
        <v>0</v>
      </c>
      <c r="AY57" s="112">
        <v>0</v>
      </c>
      <c r="AZ57" s="112">
        <v>0</v>
      </c>
      <c r="BA57" s="112">
        <v>0</v>
      </c>
      <c r="BB57" s="112">
        <v>0</v>
      </c>
      <c r="BC57" s="112">
        <v>1</v>
      </c>
      <c r="BD57" s="112">
        <v>1</v>
      </c>
      <c r="BE57" s="112">
        <v>0</v>
      </c>
      <c r="BF57" s="112">
        <v>1</v>
      </c>
      <c r="BG57" s="112">
        <v>0</v>
      </c>
      <c r="BH57" s="112">
        <v>0</v>
      </c>
      <c r="BI57" s="112">
        <v>0</v>
      </c>
      <c r="BJ57" s="112">
        <v>0</v>
      </c>
      <c r="BK57" s="112">
        <v>0</v>
      </c>
      <c r="BL57" s="112">
        <v>0</v>
      </c>
      <c r="BM57" s="112">
        <v>0</v>
      </c>
      <c r="BN57" s="112">
        <v>0</v>
      </c>
      <c r="BO57" s="112">
        <v>0</v>
      </c>
      <c r="BP57" s="112">
        <v>0</v>
      </c>
      <c r="BQ57" s="112">
        <v>0</v>
      </c>
      <c r="BR57" s="112">
        <v>0</v>
      </c>
      <c r="BS57" s="112">
        <v>0</v>
      </c>
      <c r="BT57" s="112">
        <v>0</v>
      </c>
      <c r="BU57" s="112">
        <v>0</v>
      </c>
      <c r="BV57" s="112">
        <v>0</v>
      </c>
      <c r="BW57" s="112">
        <v>0</v>
      </c>
      <c r="BX57" s="112">
        <v>0</v>
      </c>
      <c r="BY57" s="112">
        <v>0</v>
      </c>
      <c r="BZ57" s="112">
        <v>0</v>
      </c>
      <c r="CA57" s="112">
        <v>0</v>
      </c>
      <c r="CB57" s="112">
        <v>0</v>
      </c>
      <c r="CC57" s="112">
        <v>0</v>
      </c>
      <c r="CD57" s="112">
        <v>0</v>
      </c>
      <c r="CE57" s="112">
        <v>0</v>
      </c>
      <c r="CF57" s="112">
        <v>0</v>
      </c>
      <c r="CG57" s="112">
        <v>0</v>
      </c>
      <c r="CH57" s="112">
        <v>0</v>
      </c>
      <c r="CI57" s="112">
        <v>0</v>
      </c>
      <c r="CJ57" s="112">
        <v>0</v>
      </c>
      <c r="CK57" s="112">
        <v>0</v>
      </c>
      <c r="CL57" s="112">
        <v>0</v>
      </c>
      <c r="CM57" s="112">
        <v>0</v>
      </c>
      <c r="CN57" s="112">
        <v>0</v>
      </c>
      <c r="CO57" s="112">
        <v>0</v>
      </c>
      <c r="CP57" s="112">
        <v>0</v>
      </c>
      <c r="CQ57" s="112">
        <v>0</v>
      </c>
      <c r="CR57" s="112">
        <v>0</v>
      </c>
      <c r="CS57" s="112">
        <v>0</v>
      </c>
      <c r="CT57" s="112">
        <v>0</v>
      </c>
      <c r="CU57" s="112">
        <v>0</v>
      </c>
      <c r="CV57" s="112">
        <v>0</v>
      </c>
    </row>
    <row r="58" spans="1:100" x14ac:dyDescent="0.15">
      <c r="A58" s="191" t="s">
        <v>248</v>
      </c>
      <c r="B58" s="112">
        <v>1</v>
      </c>
      <c r="C58" s="112">
        <v>0</v>
      </c>
      <c r="D58" s="112">
        <v>1</v>
      </c>
      <c r="E58" s="112">
        <v>1</v>
      </c>
      <c r="F58" s="112">
        <v>0</v>
      </c>
      <c r="G58" s="112">
        <v>0</v>
      </c>
      <c r="H58" s="112">
        <v>0</v>
      </c>
      <c r="I58" s="112">
        <v>0</v>
      </c>
      <c r="J58" s="112">
        <v>0</v>
      </c>
      <c r="K58" s="112">
        <v>0</v>
      </c>
      <c r="L58" s="112">
        <v>1</v>
      </c>
      <c r="M58" s="112">
        <v>1</v>
      </c>
      <c r="N58" s="112">
        <v>0</v>
      </c>
      <c r="O58" s="112">
        <v>1</v>
      </c>
      <c r="P58" s="112">
        <v>1</v>
      </c>
      <c r="Q58" s="112">
        <v>1</v>
      </c>
      <c r="R58" s="112">
        <v>1</v>
      </c>
      <c r="S58" s="112">
        <v>1</v>
      </c>
      <c r="T58" s="112">
        <v>1</v>
      </c>
      <c r="U58" s="112">
        <v>1</v>
      </c>
      <c r="V58" s="112">
        <v>1</v>
      </c>
      <c r="W58" s="112">
        <v>1</v>
      </c>
      <c r="X58" s="112">
        <v>1</v>
      </c>
      <c r="Y58" s="112">
        <v>1</v>
      </c>
      <c r="Z58" s="112">
        <v>1</v>
      </c>
      <c r="AA58" s="112">
        <v>0</v>
      </c>
      <c r="AB58" s="112">
        <v>0</v>
      </c>
      <c r="AC58" s="112">
        <v>1</v>
      </c>
      <c r="AD58" s="112">
        <v>1</v>
      </c>
      <c r="AE58" s="112">
        <v>1</v>
      </c>
      <c r="AF58" s="112">
        <v>1</v>
      </c>
      <c r="AG58" s="112">
        <v>1</v>
      </c>
      <c r="AH58" s="112">
        <v>1</v>
      </c>
      <c r="AI58" s="112">
        <v>1</v>
      </c>
      <c r="AJ58" s="112">
        <v>1</v>
      </c>
      <c r="AK58" s="112">
        <v>1</v>
      </c>
      <c r="AL58" s="112">
        <v>0</v>
      </c>
      <c r="AM58" s="112">
        <v>0</v>
      </c>
      <c r="AN58" s="112">
        <v>1</v>
      </c>
      <c r="AO58" s="112">
        <v>0</v>
      </c>
      <c r="AP58" s="112">
        <v>1</v>
      </c>
      <c r="AQ58" s="112">
        <v>0</v>
      </c>
      <c r="AR58" s="112">
        <v>1</v>
      </c>
      <c r="AS58" s="112">
        <v>0</v>
      </c>
      <c r="AT58" s="112">
        <v>0</v>
      </c>
      <c r="AU58" s="112">
        <v>0</v>
      </c>
      <c r="AV58" s="112">
        <v>0</v>
      </c>
      <c r="AW58" s="112">
        <v>0</v>
      </c>
      <c r="AX58" s="112">
        <v>0</v>
      </c>
      <c r="AY58" s="112">
        <v>0</v>
      </c>
      <c r="AZ58" s="112">
        <v>0</v>
      </c>
      <c r="BA58" s="112">
        <v>0</v>
      </c>
      <c r="BB58" s="112">
        <v>0</v>
      </c>
      <c r="BC58" s="112">
        <v>1</v>
      </c>
      <c r="BD58" s="112">
        <v>1</v>
      </c>
      <c r="BE58" s="112">
        <v>0</v>
      </c>
      <c r="BF58" s="112">
        <v>1</v>
      </c>
      <c r="BG58" s="112">
        <v>0</v>
      </c>
      <c r="BH58" s="112">
        <v>0</v>
      </c>
      <c r="BI58" s="112">
        <v>0</v>
      </c>
      <c r="BJ58" s="112">
        <v>0</v>
      </c>
      <c r="BK58" s="112">
        <v>0</v>
      </c>
      <c r="BL58" s="112">
        <v>0</v>
      </c>
      <c r="BM58" s="112">
        <v>0</v>
      </c>
      <c r="BN58" s="112">
        <v>0</v>
      </c>
      <c r="BO58" s="112">
        <v>0</v>
      </c>
      <c r="BP58" s="112">
        <v>0</v>
      </c>
      <c r="BQ58" s="112">
        <v>0</v>
      </c>
      <c r="BR58" s="112">
        <v>0</v>
      </c>
      <c r="BS58" s="112">
        <v>0</v>
      </c>
      <c r="BT58" s="112">
        <v>0</v>
      </c>
      <c r="BU58" s="112">
        <v>0</v>
      </c>
      <c r="BV58" s="112">
        <v>0</v>
      </c>
      <c r="BW58" s="112">
        <v>0</v>
      </c>
      <c r="BX58" s="112">
        <v>0</v>
      </c>
      <c r="BY58" s="112">
        <v>0</v>
      </c>
      <c r="BZ58" s="112">
        <v>0</v>
      </c>
      <c r="CA58" s="112">
        <v>0</v>
      </c>
      <c r="CB58" s="112">
        <v>0</v>
      </c>
      <c r="CC58" s="112">
        <v>0</v>
      </c>
      <c r="CD58" s="112">
        <v>0</v>
      </c>
      <c r="CE58" s="112">
        <v>0</v>
      </c>
      <c r="CF58" s="112">
        <v>0</v>
      </c>
      <c r="CG58" s="112">
        <v>0</v>
      </c>
      <c r="CH58" s="112">
        <v>0</v>
      </c>
      <c r="CI58" s="112">
        <v>0</v>
      </c>
      <c r="CJ58" s="112">
        <v>0</v>
      </c>
      <c r="CK58" s="112">
        <v>0</v>
      </c>
      <c r="CL58" s="112">
        <v>0</v>
      </c>
      <c r="CM58" s="112">
        <v>0</v>
      </c>
      <c r="CN58" s="112">
        <v>0</v>
      </c>
      <c r="CO58" s="112">
        <v>0</v>
      </c>
      <c r="CP58" s="112">
        <v>0</v>
      </c>
      <c r="CQ58" s="112">
        <v>0</v>
      </c>
      <c r="CR58" s="112">
        <v>0</v>
      </c>
      <c r="CS58" s="112">
        <v>0</v>
      </c>
      <c r="CT58" s="112">
        <v>0</v>
      </c>
      <c r="CU58" s="112">
        <v>0</v>
      </c>
      <c r="CV58" s="112">
        <v>0</v>
      </c>
    </row>
    <row r="59" spans="1:100" x14ac:dyDescent="0.15">
      <c r="A59" s="191" t="s">
        <v>249</v>
      </c>
      <c r="B59" s="112">
        <v>1</v>
      </c>
      <c r="C59" s="112">
        <v>0</v>
      </c>
      <c r="D59" s="112">
        <v>1</v>
      </c>
      <c r="E59" s="112">
        <v>0</v>
      </c>
      <c r="F59" s="112">
        <v>0</v>
      </c>
      <c r="G59" s="112">
        <v>0</v>
      </c>
      <c r="H59" s="112">
        <v>0</v>
      </c>
      <c r="I59" s="112">
        <v>0</v>
      </c>
      <c r="J59" s="112">
        <v>0</v>
      </c>
      <c r="K59" s="112">
        <v>0</v>
      </c>
      <c r="L59" s="112">
        <v>0</v>
      </c>
      <c r="M59" s="112">
        <v>0</v>
      </c>
      <c r="N59" s="112">
        <v>0</v>
      </c>
      <c r="O59" s="112">
        <v>0</v>
      </c>
      <c r="P59" s="112">
        <v>0</v>
      </c>
      <c r="Q59" s="112">
        <v>0</v>
      </c>
      <c r="R59" s="112">
        <v>0</v>
      </c>
      <c r="S59" s="112">
        <v>0</v>
      </c>
      <c r="T59" s="112">
        <v>0</v>
      </c>
      <c r="U59" s="112">
        <v>0</v>
      </c>
      <c r="V59" s="112">
        <v>0</v>
      </c>
      <c r="W59" s="112">
        <v>0</v>
      </c>
      <c r="X59" s="112">
        <v>0</v>
      </c>
      <c r="Y59" s="112">
        <v>0</v>
      </c>
      <c r="Z59" s="112">
        <v>0</v>
      </c>
      <c r="AA59" s="112">
        <v>0</v>
      </c>
      <c r="AB59" s="112">
        <v>0</v>
      </c>
      <c r="AC59" s="112">
        <v>0</v>
      </c>
      <c r="AD59" s="112">
        <v>0</v>
      </c>
      <c r="AE59" s="112">
        <v>0</v>
      </c>
      <c r="AF59" s="112">
        <v>0</v>
      </c>
      <c r="AG59" s="112">
        <v>0</v>
      </c>
      <c r="AH59" s="112">
        <v>0</v>
      </c>
      <c r="AI59" s="112">
        <v>0</v>
      </c>
      <c r="AJ59" s="112">
        <v>0</v>
      </c>
      <c r="AK59" s="112">
        <v>0</v>
      </c>
      <c r="AL59" s="112">
        <v>0</v>
      </c>
      <c r="AM59" s="112">
        <v>0</v>
      </c>
      <c r="AN59" s="112">
        <v>0</v>
      </c>
      <c r="AO59" s="112">
        <v>0</v>
      </c>
      <c r="AP59" s="112">
        <v>1</v>
      </c>
      <c r="AQ59" s="112">
        <v>0</v>
      </c>
      <c r="AR59" s="112">
        <v>0</v>
      </c>
      <c r="AS59" s="112">
        <v>0</v>
      </c>
      <c r="AT59" s="112">
        <v>0</v>
      </c>
      <c r="AU59" s="112">
        <v>0</v>
      </c>
      <c r="AV59" s="112">
        <v>0</v>
      </c>
      <c r="AW59" s="112">
        <v>0</v>
      </c>
      <c r="AX59" s="112">
        <v>0</v>
      </c>
      <c r="AY59" s="112">
        <v>0</v>
      </c>
      <c r="AZ59" s="112">
        <v>0</v>
      </c>
      <c r="BA59" s="112">
        <v>0</v>
      </c>
      <c r="BB59" s="112">
        <v>0</v>
      </c>
      <c r="BC59" s="112">
        <v>1</v>
      </c>
      <c r="BD59" s="112">
        <v>1</v>
      </c>
      <c r="BE59" s="112">
        <v>0</v>
      </c>
      <c r="BF59" s="112">
        <v>1</v>
      </c>
      <c r="BG59" s="112">
        <v>0</v>
      </c>
      <c r="BH59" s="112">
        <v>0</v>
      </c>
      <c r="BI59" s="112">
        <v>0</v>
      </c>
      <c r="BJ59" s="112">
        <v>0</v>
      </c>
      <c r="BK59" s="112">
        <v>0</v>
      </c>
      <c r="BL59" s="112">
        <v>0</v>
      </c>
      <c r="BM59" s="112">
        <v>0</v>
      </c>
      <c r="BN59" s="112">
        <v>0</v>
      </c>
      <c r="BO59" s="112">
        <v>0</v>
      </c>
      <c r="BP59" s="112">
        <v>0</v>
      </c>
      <c r="BQ59" s="112">
        <v>0</v>
      </c>
      <c r="BR59" s="112">
        <v>0</v>
      </c>
      <c r="BS59" s="112">
        <v>0</v>
      </c>
      <c r="BT59" s="112">
        <v>0</v>
      </c>
      <c r="BU59" s="112">
        <v>0</v>
      </c>
      <c r="BV59" s="112">
        <v>0</v>
      </c>
      <c r="BW59" s="112">
        <v>0</v>
      </c>
      <c r="BX59" s="112">
        <v>0</v>
      </c>
      <c r="BY59" s="112">
        <v>0</v>
      </c>
      <c r="BZ59" s="112">
        <v>0</v>
      </c>
      <c r="CA59" s="112">
        <v>0</v>
      </c>
      <c r="CB59" s="112">
        <v>0</v>
      </c>
      <c r="CC59" s="112">
        <v>0</v>
      </c>
      <c r="CD59" s="112">
        <v>0</v>
      </c>
      <c r="CE59" s="112">
        <v>0</v>
      </c>
      <c r="CF59" s="112">
        <v>0</v>
      </c>
      <c r="CG59" s="112">
        <v>0</v>
      </c>
      <c r="CH59" s="112">
        <v>0</v>
      </c>
      <c r="CI59" s="112">
        <v>0</v>
      </c>
      <c r="CJ59" s="112">
        <v>0</v>
      </c>
      <c r="CK59" s="112">
        <v>0</v>
      </c>
      <c r="CL59" s="112">
        <v>0</v>
      </c>
      <c r="CM59" s="112">
        <v>0</v>
      </c>
      <c r="CN59" s="112">
        <v>0</v>
      </c>
      <c r="CO59" s="112">
        <v>0</v>
      </c>
      <c r="CP59" s="112">
        <v>0</v>
      </c>
      <c r="CQ59" s="112">
        <v>0</v>
      </c>
      <c r="CR59" s="112">
        <v>0</v>
      </c>
      <c r="CS59" s="112">
        <v>0</v>
      </c>
      <c r="CT59" s="112">
        <v>0</v>
      </c>
      <c r="CU59" s="112">
        <v>0</v>
      </c>
      <c r="CV59" s="112">
        <v>0</v>
      </c>
    </row>
    <row r="60" spans="1:100" x14ac:dyDescent="0.15">
      <c r="A60" s="191" t="s">
        <v>250</v>
      </c>
      <c r="B60" s="112">
        <v>0</v>
      </c>
      <c r="C60" s="112">
        <v>0</v>
      </c>
      <c r="D60" s="112">
        <v>0</v>
      </c>
      <c r="E60" s="112">
        <v>0</v>
      </c>
      <c r="F60" s="112">
        <v>0</v>
      </c>
      <c r="G60" s="112">
        <v>0</v>
      </c>
      <c r="H60" s="112">
        <v>0</v>
      </c>
      <c r="I60" s="112">
        <v>0</v>
      </c>
      <c r="J60" s="112">
        <v>0</v>
      </c>
      <c r="K60" s="112">
        <v>0</v>
      </c>
      <c r="L60" s="112">
        <v>0</v>
      </c>
      <c r="M60" s="112">
        <v>0</v>
      </c>
      <c r="N60" s="112">
        <v>0</v>
      </c>
      <c r="O60" s="112">
        <v>1</v>
      </c>
      <c r="P60" s="112">
        <v>0</v>
      </c>
      <c r="Q60" s="112">
        <v>0</v>
      </c>
      <c r="R60" s="112">
        <v>1</v>
      </c>
      <c r="S60" s="112">
        <v>0</v>
      </c>
      <c r="T60" s="112">
        <v>0</v>
      </c>
      <c r="U60" s="112">
        <v>1</v>
      </c>
      <c r="V60" s="112">
        <v>1</v>
      </c>
      <c r="W60" s="112">
        <v>1</v>
      </c>
      <c r="X60" s="112">
        <v>1</v>
      </c>
      <c r="Y60" s="112">
        <v>0</v>
      </c>
      <c r="Z60" s="112">
        <v>0</v>
      </c>
      <c r="AA60" s="112">
        <v>0</v>
      </c>
      <c r="AB60" s="112">
        <v>0</v>
      </c>
      <c r="AC60" s="112">
        <v>0</v>
      </c>
      <c r="AD60" s="112">
        <v>1</v>
      </c>
      <c r="AE60" s="112">
        <v>0</v>
      </c>
      <c r="AF60" s="112">
        <v>1</v>
      </c>
      <c r="AG60" s="112">
        <v>0</v>
      </c>
      <c r="AH60" s="112">
        <v>0</v>
      </c>
      <c r="AI60" s="112">
        <v>1</v>
      </c>
      <c r="AJ60" s="112">
        <v>0</v>
      </c>
      <c r="AK60" s="112">
        <v>0</v>
      </c>
      <c r="AL60" s="112">
        <v>0</v>
      </c>
      <c r="AM60" s="112">
        <v>0</v>
      </c>
      <c r="AN60" s="112">
        <v>0</v>
      </c>
      <c r="AO60" s="112">
        <v>0</v>
      </c>
      <c r="AP60" s="112">
        <v>0</v>
      </c>
      <c r="AQ60" s="112">
        <v>0</v>
      </c>
      <c r="AR60" s="112">
        <v>1</v>
      </c>
      <c r="AS60" s="112">
        <v>0</v>
      </c>
      <c r="AT60" s="112">
        <v>0</v>
      </c>
      <c r="AU60" s="112">
        <v>0</v>
      </c>
      <c r="AV60" s="112">
        <v>0</v>
      </c>
      <c r="AW60" s="112">
        <v>0</v>
      </c>
      <c r="AX60" s="112">
        <v>0</v>
      </c>
      <c r="AY60" s="112">
        <v>0</v>
      </c>
      <c r="AZ60" s="112">
        <v>0</v>
      </c>
      <c r="BA60" s="112">
        <v>0</v>
      </c>
      <c r="BB60" s="112">
        <v>0</v>
      </c>
      <c r="BC60" s="112">
        <v>0</v>
      </c>
      <c r="BD60" s="112">
        <v>0</v>
      </c>
      <c r="BE60" s="112">
        <v>0</v>
      </c>
      <c r="BF60" s="112">
        <v>0</v>
      </c>
      <c r="BG60" s="112">
        <v>0</v>
      </c>
      <c r="BH60" s="112">
        <v>0</v>
      </c>
      <c r="BI60" s="112">
        <v>0</v>
      </c>
      <c r="BJ60" s="112">
        <v>0</v>
      </c>
      <c r="BK60" s="112">
        <v>0</v>
      </c>
      <c r="BL60" s="112">
        <v>1</v>
      </c>
      <c r="BM60" s="112">
        <v>0</v>
      </c>
      <c r="BN60" s="112">
        <v>0</v>
      </c>
      <c r="BO60" s="112">
        <v>0</v>
      </c>
      <c r="BP60" s="112">
        <v>0</v>
      </c>
      <c r="BQ60" s="112">
        <v>0</v>
      </c>
      <c r="BR60" s="112">
        <v>0</v>
      </c>
      <c r="BS60" s="112">
        <v>0</v>
      </c>
      <c r="BT60" s="112">
        <v>0</v>
      </c>
      <c r="BU60" s="112">
        <v>0</v>
      </c>
      <c r="BV60" s="112">
        <v>0</v>
      </c>
      <c r="BW60" s="112">
        <v>0</v>
      </c>
      <c r="BX60" s="112">
        <v>0</v>
      </c>
      <c r="BY60" s="112">
        <v>0</v>
      </c>
      <c r="BZ60" s="112">
        <v>0</v>
      </c>
      <c r="CA60" s="112">
        <v>0</v>
      </c>
      <c r="CB60" s="112">
        <v>0</v>
      </c>
      <c r="CC60" s="112">
        <v>0</v>
      </c>
      <c r="CD60" s="112">
        <v>0</v>
      </c>
      <c r="CE60" s="112">
        <v>0</v>
      </c>
      <c r="CF60" s="112">
        <v>0</v>
      </c>
      <c r="CG60" s="112">
        <v>0</v>
      </c>
      <c r="CH60" s="112">
        <v>0</v>
      </c>
      <c r="CI60" s="112">
        <v>0</v>
      </c>
      <c r="CJ60" s="112">
        <v>0</v>
      </c>
      <c r="CK60" s="112">
        <v>0</v>
      </c>
      <c r="CL60" s="112">
        <v>0</v>
      </c>
      <c r="CM60" s="112">
        <v>0</v>
      </c>
      <c r="CN60" s="112">
        <v>0</v>
      </c>
      <c r="CO60" s="112">
        <v>0</v>
      </c>
      <c r="CP60" s="112">
        <v>0</v>
      </c>
      <c r="CQ60" s="112">
        <v>0</v>
      </c>
      <c r="CR60" s="112">
        <v>0</v>
      </c>
      <c r="CS60" s="112">
        <v>0</v>
      </c>
      <c r="CT60" s="112">
        <v>0</v>
      </c>
      <c r="CU60" s="112">
        <v>0</v>
      </c>
      <c r="CV60" s="112">
        <v>0</v>
      </c>
    </row>
    <row r="61" spans="1:100" x14ac:dyDescent="0.15">
      <c r="A61" s="191" t="s">
        <v>251</v>
      </c>
      <c r="B61" s="112">
        <v>0</v>
      </c>
      <c r="C61" s="112">
        <v>0</v>
      </c>
      <c r="D61" s="112">
        <v>0</v>
      </c>
      <c r="E61" s="112">
        <v>0</v>
      </c>
      <c r="F61" s="112">
        <v>0</v>
      </c>
      <c r="G61" s="112">
        <v>0</v>
      </c>
      <c r="H61" s="112">
        <v>0</v>
      </c>
      <c r="I61" s="112">
        <v>0</v>
      </c>
      <c r="J61" s="112">
        <v>0</v>
      </c>
      <c r="K61" s="112">
        <v>0</v>
      </c>
      <c r="L61" s="112">
        <v>0</v>
      </c>
      <c r="M61" s="112">
        <v>0</v>
      </c>
      <c r="N61" s="112">
        <v>0</v>
      </c>
      <c r="O61" s="112">
        <v>0</v>
      </c>
      <c r="P61" s="112">
        <v>0</v>
      </c>
      <c r="Q61" s="112">
        <v>0</v>
      </c>
      <c r="R61" s="112">
        <v>0</v>
      </c>
      <c r="S61" s="112">
        <v>0</v>
      </c>
      <c r="T61" s="112">
        <v>0</v>
      </c>
      <c r="U61" s="112">
        <v>0</v>
      </c>
      <c r="V61" s="112">
        <v>0</v>
      </c>
      <c r="W61" s="112">
        <v>0</v>
      </c>
      <c r="X61" s="112">
        <v>0</v>
      </c>
      <c r="Y61" s="112">
        <v>0</v>
      </c>
      <c r="Z61" s="112">
        <v>0</v>
      </c>
      <c r="AA61" s="112">
        <v>0</v>
      </c>
      <c r="AB61" s="112">
        <v>0</v>
      </c>
      <c r="AC61" s="112">
        <v>0</v>
      </c>
      <c r="AD61" s="112">
        <v>0</v>
      </c>
      <c r="AE61" s="112">
        <v>0</v>
      </c>
      <c r="AF61" s="112">
        <v>0</v>
      </c>
      <c r="AG61" s="112">
        <v>0</v>
      </c>
      <c r="AH61" s="112">
        <v>0</v>
      </c>
      <c r="AI61" s="112">
        <v>0</v>
      </c>
      <c r="AJ61" s="112">
        <v>0</v>
      </c>
      <c r="AK61" s="112">
        <v>0</v>
      </c>
      <c r="AL61" s="112">
        <v>0</v>
      </c>
      <c r="AM61" s="112">
        <v>0</v>
      </c>
      <c r="AN61" s="112">
        <v>0</v>
      </c>
      <c r="AO61" s="112">
        <v>0</v>
      </c>
      <c r="AP61" s="112">
        <v>1</v>
      </c>
      <c r="AQ61" s="112">
        <v>0</v>
      </c>
      <c r="AR61" s="112">
        <v>1</v>
      </c>
      <c r="AS61" s="112">
        <v>0</v>
      </c>
      <c r="AT61" s="112">
        <v>0</v>
      </c>
      <c r="AU61" s="112">
        <v>0</v>
      </c>
      <c r="AV61" s="112">
        <v>0</v>
      </c>
      <c r="AW61" s="112">
        <v>0</v>
      </c>
      <c r="AX61" s="112">
        <v>0</v>
      </c>
      <c r="AY61" s="112">
        <v>0</v>
      </c>
      <c r="AZ61" s="112">
        <v>0</v>
      </c>
      <c r="BA61" s="112">
        <v>0</v>
      </c>
      <c r="BB61" s="112">
        <v>0</v>
      </c>
      <c r="BC61" s="112">
        <v>1</v>
      </c>
      <c r="BD61" s="112">
        <v>1</v>
      </c>
      <c r="BE61" s="112">
        <v>0</v>
      </c>
      <c r="BF61" s="112">
        <v>1</v>
      </c>
      <c r="BG61" s="112">
        <v>1</v>
      </c>
      <c r="BH61" s="112">
        <v>0</v>
      </c>
      <c r="BI61" s="112">
        <v>0</v>
      </c>
      <c r="BJ61" s="112">
        <v>0</v>
      </c>
      <c r="BK61" s="112">
        <v>0</v>
      </c>
      <c r="BL61" s="112">
        <v>0</v>
      </c>
      <c r="BM61" s="112">
        <v>0</v>
      </c>
      <c r="BN61" s="112">
        <v>0</v>
      </c>
      <c r="BO61" s="112">
        <v>0</v>
      </c>
      <c r="BP61" s="112">
        <v>0</v>
      </c>
      <c r="BQ61" s="112">
        <v>0</v>
      </c>
      <c r="BR61" s="112">
        <v>0</v>
      </c>
      <c r="BS61" s="112">
        <v>0</v>
      </c>
      <c r="BT61" s="112">
        <v>0</v>
      </c>
      <c r="BU61" s="112">
        <v>0</v>
      </c>
      <c r="BV61" s="112">
        <v>0</v>
      </c>
      <c r="BW61" s="112">
        <v>0</v>
      </c>
      <c r="BX61" s="112">
        <v>0</v>
      </c>
      <c r="BY61" s="112">
        <v>0</v>
      </c>
      <c r="BZ61" s="112">
        <v>0</v>
      </c>
      <c r="CA61" s="112">
        <v>0</v>
      </c>
      <c r="CB61" s="112">
        <v>0</v>
      </c>
      <c r="CC61" s="112">
        <v>0</v>
      </c>
      <c r="CD61" s="112">
        <v>0</v>
      </c>
      <c r="CE61" s="112">
        <v>0</v>
      </c>
      <c r="CF61" s="112">
        <v>0</v>
      </c>
      <c r="CG61" s="112">
        <v>0</v>
      </c>
      <c r="CH61" s="112">
        <v>0</v>
      </c>
      <c r="CI61" s="112">
        <v>0</v>
      </c>
      <c r="CJ61" s="112">
        <v>0</v>
      </c>
      <c r="CK61" s="112">
        <v>0</v>
      </c>
      <c r="CL61" s="112">
        <v>0</v>
      </c>
      <c r="CM61" s="112">
        <v>0</v>
      </c>
      <c r="CN61" s="112">
        <v>0</v>
      </c>
      <c r="CO61" s="112">
        <v>0</v>
      </c>
      <c r="CP61" s="112">
        <v>0</v>
      </c>
      <c r="CQ61" s="112">
        <v>0</v>
      </c>
      <c r="CR61" s="112">
        <v>0</v>
      </c>
      <c r="CS61" s="112">
        <v>0</v>
      </c>
      <c r="CT61" s="112">
        <v>0</v>
      </c>
      <c r="CU61" s="112">
        <v>0</v>
      </c>
      <c r="CV61" s="112">
        <v>0</v>
      </c>
    </row>
    <row r="62" spans="1:100" x14ac:dyDescent="0.15">
      <c r="A62" s="191" t="s">
        <v>252</v>
      </c>
      <c r="B62" s="112">
        <v>0</v>
      </c>
      <c r="C62" s="112">
        <v>0</v>
      </c>
      <c r="D62" s="112">
        <v>0</v>
      </c>
      <c r="E62" s="112">
        <v>0</v>
      </c>
      <c r="F62" s="112">
        <v>0</v>
      </c>
      <c r="G62" s="112">
        <v>0</v>
      </c>
      <c r="H62" s="112">
        <v>0</v>
      </c>
      <c r="I62" s="112">
        <v>0</v>
      </c>
      <c r="J62" s="112">
        <v>0</v>
      </c>
      <c r="K62" s="112">
        <v>0</v>
      </c>
      <c r="L62" s="112">
        <v>0</v>
      </c>
      <c r="M62" s="112">
        <v>0</v>
      </c>
      <c r="N62" s="112">
        <v>0</v>
      </c>
      <c r="O62" s="112">
        <v>1</v>
      </c>
      <c r="P62" s="112">
        <v>1</v>
      </c>
      <c r="Q62" s="112">
        <v>1</v>
      </c>
      <c r="R62" s="112">
        <v>1</v>
      </c>
      <c r="S62" s="112">
        <v>0</v>
      </c>
      <c r="T62" s="112">
        <v>0</v>
      </c>
      <c r="U62" s="112">
        <v>1</v>
      </c>
      <c r="V62" s="112">
        <v>1</v>
      </c>
      <c r="W62" s="112">
        <v>1</v>
      </c>
      <c r="X62" s="112">
        <v>1</v>
      </c>
      <c r="Y62" s="112">
        <v>0</v>
      </c>
      <c r="Z62" s="112">
        <v>1</v>
      </c>
      <c r="AA62" s="112">
        <v>0</v>
      </c>
      <c r="AB62" s="112">
        <v>0</v>
      </c>
      <c r="AC62" s="112">
        <v>0</v>
      </c>
      <c r="AD62" s="112">
        <v>1</v>
      </c>
      <c r="AE62" s="112">
        <v>0</v>
      </c>
      <c r="AF62" s="112">
        <v>0</v>
      </c>
      <c r="AG62" s="112">
        <v>1</v>
      </c>
      <c r="AH62" s="112">
        <v>0</v>
      </c>
      <c r="AI62" s="112">
        <v>0</v>
      </c>
      <c r="AJ62" s="112">
        <v>1</v>
      </c>
      <c r="AK62" s="112">
        <v>0</v>
      </c>
      <c r="AL62" s="112">
        <v>0</v>
      </c>
      <c r="AM62" s="112">
        <v>0</v>
      </c>
      <c r="AN62" s="112">
        <v>0</v>
      </c>
      <c r="AO62" s="112">
        <v>0</v>
      </c>
      <c r="AP62" s="112">
        <v>0</v>
      </c>
      <c r="AQ62" s="112">
        <v>0</v>
      </c>
      <c r="AR62" s="112">
        <v>1</v>
      </c>
      <c r="AS62" s="112">
        <v>0</v>
      </c>
      <c r="AT62" s="112">
        <v>0</v>
      </c>
      <c r="AU62" s="112">
        <v>0</v>
      </c>
      <c r="AV62" s="112">
        <v>0</v>
      </c>
      <c r="AW62" s="112">
        <v>0</v>
      </c>
      <c r="AX62" s="112">
        <v>0</v>
      </c>
      <c r="AY62" s="112">
        <v>0</v>
      </c>
      <c r="AZ62" s="112">
        <v>0</v>
      </c>
      <c r="BA62" s="112">
        <v>0</v>
      </c>
      <c r="BB62" s="112">
        <v>0</v>
      </c>
      <c r="BC62" s="112">
        <v>1</v>
      </c>
      <c r="BD62" s="112">
        <v>1</v>
      </c>
      <c r="BE62" s="112">
        <v>0</v>
      </c>
      <c r="BF62" s="112">
        <v>1</v>
      </c>
      <c r="BG62" s="112">
        <v>1</v>
      </c>
      <c r="BH62" s="112">
        <v>0</v>
      </c>
      <c r="BI62" s="112">
        <v>0</v>
      </c>
      <c r="BJ62" s="112">
        <v>0</v>
      </c>
      <c r="BK62" s="112">
        <v>0</v>
      </c>
      <c r="BL62" s="112">
        <v>0</v>
      </c>
      <c r="BM62" s="112">
        <v>0</v>
      </c>
      <c r="BN62" s="112">
        <v>0</v>
      </c>
      <c r="BO62" s="112">
        <v>0</v>
      </c>
      <c r="BP62" s="112">
        <v>0</v>
      </c>
      <c r="BQ62" s="112">
        <v>0</v>
      </c>
      <c r="BR62" s="112">
        <v>0</v>
      </c>
      <c r="BS62" s="112">
        <v>0</v>
      </c>
      <c r="BT62" s="112">
        <v>0</v>
      </c>
      <c r="BU62" s="112">
        <v>0</v>
      </c>
      <c r="BV62" s="112">
        <v>0</v>
      </c>
      <c r="BW62" s="112">
        <v>0</v>
      </c>
      <c r="BX62" s="112">
        <v>0</v>
      </c>
      <c r="BY62" s="112">
        <v>0</v>
      </c>
      <c r="BZ62" s="112">
        <v>0</v>
      </c>
      <c r="CA62" s="112">
        <v>0</v>
      </c>
      <c r="CB62" s="112">
        <v>0</v>
      </c>
      <c r="CC62" s="112">
        <v>0</v>
      </c>
      <c r="CD62" s="112">
        <v>0</v>
      </c>
      <c r="CE62" s="112">
        <v>0</v>
      </c>
      <c r="CF62" s="112">
        <v>0</v>
      </c>
      <c r="CG62" s="112">
        <v>0</v>
      </c>
      <c r="CH62" s="112">
        <v>0</v>
      </c>
      <c r="CI62" s="112">
        <v>0</v>
      </c>
      <c r="CJ62" s="112">
        <v>0</v>
      </c>
      <c r="CK62" s="112">
        <v>0</v>
      </c>
      <c r="CL62" s="112">
        <v>0</v>
      </c>
      <c r="CM62" s="112">
        <v>0</v>
      </c>
      <c r="CN62" s="112">
        <v>0</v>
      </c>
      <c r="CO62" s="112">
        <v>0</v>
      </c>
      <c r="CP62" s="112">
        <v>0</v>
      </c>
      <c r="CQ62" s="112">
        <v>0</v>
      </c>
      <c r="CR62" s="112">
        <v>0</v>
      </c>
      <c r="CS62" s="112">
        <v>0</v>
      </c>
      <c r="CT62" s="112">
        <v>0</v>
      </c>
      <c r="CU62" s="112">
        <v>0</v>
      </c>
      <c r="CV62" s="112">
        <v>0</v>
      </c>
    </row>
    <row r="63" spans="1:100" x14ac:dyDescent="0.15">
      <c r="A63" s="191" t="s">
        <v>253</v>
      </c>
      <c r="B63" s="112">
        <v>0</v>
      </c>
      <c r="C63" s="112">
        <v>0</v>
      </c>
      <c r="D63" s="112">
        <v>0</v>
      </c>
      <c r="E63" s="112">
        <v>0</v>
      </c>
      <c r="F63" s="112">
        <v>0</v>
      </c>
      <c r="G63" s="112">
        <v>0</v>
      </c>
      <c r="H63" s="112">
        <v>0</v>
      </c>
      <c r="I63" s="112">
        <v>0</v>
      </c>
      <c r="J63" s="112">
        <v>0</v>
      </c>
      <c r="K63" s="112">
        <v>0</v>
      </c>
      <c r="L63" s="112">
        <v>0</v>
      </c>
      <c r="M63" s="112">
        <v>0</v>
      </c>
      <c r="N63" s="112">
        <v>0</v>
      </c>
      <c r="O63" s="112">
        <v>1</v>
      </c>
      <c r="P63" s="112">
        <v>0</v>
      </c>
      <c r="Q63" s="112">
        <v>1</v>
      </c>
      <c r="R63" s="112">
        <v>1</v>
      </c>
      <c r="S63" s="112">
        <v>0</v>
      </c>
      <c r="T63" s="112">
        <v>1</v>
      </c>
      <c r="U63" s="112">
        <v>1</v>
      </c>
      <c r="V63" s="112">
        <v>1</v>
      </c>
      <c r="W63" s="112">
        <v>1</v>
      </c>
      <c r="X63" s="112">
        <v>1</v>
      </c>
      <c r="Y63" s="112">
        <v>0</v>
      </c>
      <c r="Z63" s="112">
        <v>1</v>
      </c>
      <c r="AA63" s="112">
        <v>0</v>
      </c>
      <c r="AB63" s="112">
        <v>0</v>
      </c>
      <c r="AC63" s="112">
        <v>0</v>
      </c>
      <c r="AD63" s="112">
        <v>0</v>
      </c>
      <c r="AE63" s="112">
        <v>0</v>
      </c>
      <c r="AF63" s="112">
        <v>1</v>
      </c>
      <c r="AG63" s="112">
        <v>1</v>
      </c>
      <c r="AH63" s="112">
        <v>0</v>
      </c>
      <c r="AI63" s="112">
        <v>0</v>
      </c>
      <c r="AJ63" s="112">
        <v>1</v>
      </c>
      <c r="AK63" s="112">
        <v>0</v>
      </c>
      <c r="AL63" s="112">
        <v>0</v>
      </c>
      <c r="AM63" s="112">
        <v>0</v>
      </c>
      <c r="AN63" s="112">
        <v>0</v>
      </c>
      <c r="AO63" s="112">
        <v>0</v>
      </c>
      <c r="AP63" s="112">
        <v>0</v>
      </c>
      <c r="AQ63" s="112">
        <v>0</v>
      </c>
      <c r="AR63" s="112">
        <v>1</v>
      </c>
      <c r="AS63" s="112">
        <v>0</v>
      </c>
      <c r="AT63" s="112">
        <v>0</v>
      </c>
      <c r="AU63" s="112">
        <v>1</v>
      </c>
      <c r="AV63" s="112">
        <v>1</v>
      </c>
      <c r="AW63" s="112">
        <v>1</v>
      </c>
      <c r="AX63" s="112">
        <v>1</v>
      </c>
      <c r="AY63" s="112">
        <v>1</v>
      </c>
      <c r="AZ63" s="112">
        <v>1</v>
      </c>
      <c r="BA63" s="112">
        <v>1</v>
      </c>
      <c r="BB63" s="112">
        <v>0</v>
      </c>
      <c r="BC63" s="112">
        <v>1</v>
      </c>
      <c r="BD63" s="112">
        <v>1</v>
      </c>
      <c r="BE63" s="112">
        <v>1</v>
      </c>
      <c r="BF63" s="112">
        <v>1</v>
      </c>
      <c r="BG63" s="112">
        <v>0</v>
      </c>
      <c r="BH63" s="112">
        <v>0</v>
      </c>
      <c r="BI63" s="112">
        <v>0</v>
      </c>
      <c r="BJ63" s="112">
        <v>0</v>
      </c>
      <c r="BK63" s="112">
        <v>0</v>
      </c>
      <c r="BL63" s="112">
        <v>1</v>
      </c>
      <c r="BM63" s="112">
        <v>0</v>
      </c>
      <c r="BN63" s="112">
        <v>0</v>
      </c>
      <c r="BO63" s="112">
        <v>0</v>
      </c>
      <c r="BP63" s="112">
        <v>0</v>
      </c>
      <c r="BQ63" s="112">
        <v>0</v>
      </c>
      <c r="BR63" s="112">
        <v>0</v>
      </c>
      <c r="BS63" s="112">
        <v>0</v>
      </c>
      <c r="BT63" s="112">
        <v>0</v>
      </c>
      <c r="BU63" s="112">
        <v>0</v>
      </c>
      <c r="BV63" s="112">
        <v>0</v>
      </c>
      <c r="BW63" s="112">
        <v>0</v>
      </c>
      <c r="BX63" s="112">
        <v>0</v>
      </c>
      <c r="BY63" s="112">
        <v>0</v>
      </c>
      <c r="BZ63" s="112">
        <v>0</v>
      </c>
      <c r="CA63" s="112">
        <v>0</v>
      </c>
      <c r="CB63" s="112">
        <v>0</v>
      </c>
      <c r="CC63" s="112">
        <v>0</v>
      </c>
      <c r="CD63" s="112">
        <v>0</v>
      </c>
      <c r="CE63" s="112">
        <v>0</v>
      </c>
      <c r="CF63" s="112">
        <v>0</v>
      </c>
      <c r="CG63" s="112">
        <v>0</v>
      </c>
      <c r="CH63" s="112">
        <v>0</v>
      </c>
      <c r="CI63" s="112">
        <v>0</v>
      </c>
      <c r="CJ63" s="112">
        <v>0</v>
      </c>
      <c r="CK63" s="112">
        <v>0</v>
      </c>
      <c r="CL63" s="112">
        <v>0</v>
      </c>
      <c r="CM63" s="112">
        <v>0</v>
      </c>
      <c r="CN63" s="112">
        <v>0</v>
      </c>
      <c r="CO63" s="112">
        <v>0</v>
      </c>
      <c r="CP63" s="112">
        <v>0</v>
      </c>
      <c r="CQ63" s="112">
        <v>0</v>
      </c>
      <c r="CR63" s="112">
        <v>0</v>
      </c>
      <c r="CS63" s="112">
        <v>0</v>
      </c>
      <c r="CT63" s="112">
        <v>0</v>
      </c>
      <c r="CU63" s="112">
        <v>0</v>
      </c>
      <c r="CV63" s="112">
        <v>0</v>
      </c>
    </row>
    <row r="64" spans="1:100" x14ac:dyDescent="0.15">
      <c r="A64" s="191" t="s">
        <v>254</v>
      </c>
      <c r="B64" s="112">
        <v>0</v>
      </c>
      <c r="C64" s="112">
        <v>0</v>
      </c>
      <c r="D64" s="112">
        <v>0</v>
      </c>
      <c r="E64" s="112">
        <v>0</v>
      </c>
      <c r="F64" s="112">
        <v>0</v>
      </c>
      <c r="G64" s="112">
        <v>0</v>
      </c>
      <c r="H64" s="112">
        <v>0</v>
      </c>
      <c r="I64" s="112">
        <v>0</v>
      </c>
      <c r="J64" s="112">
        <v>0</v>
      </c>
      <c r="K64" s="112">
        <v>0</v>
      </c>
      <c r="L64" s="112">
        <v>0</v>
      </c>
      <c r="M64" s="112">
        <v>0</v>
      </c>
      <c r="N64" s="112">
        <v>0</v>
      </c>
      <c r="O64" s="112">
        <v>0</v>
      </c>
      <c r="P64" s="112">
        <v>0</v>
      </c>
      <c r="Q64" s="112">
        <v>0</v>
      </c>
      <c r="R64" s="112">
        <v>0</v>
      </c>
      <c r="S64" s="112">
        <v>0</v>
      </c>
      <c r="T64" s="112">
        <v>0</v>
      </c>
      <c r="U64" s="112">
        <v>1</v>
      </c>
      <c r="V64" s="112">
        <v>0</v>
      </c>
      <c r="W64" s="112">
        <v>0</v>
      </c>
      <c r="X64" s="112">
        <v>0</v>
      </c>
      <c r="Y64" s="112">
        <v>0</v>
      </c>
      <c r="Z64" s="112">
        <v>0</v>
      </c>
      <c r="AA64" s="112">
        <v>0</v>
      </c>
      <c r="AB64" s="112">
        <v>0</v>
      </c>
      <c r="AC64" s="112">
        <v>0</v>
      </c>
      <c r="AD64" s="112">
        <v>0</v>
      </c>
      <c r="AE64" s="112">
        <v>0</v>
      </c>
      <c r="AF64" s="112">
        <v>1</v>
      </c>
      <c r="AG64" s="112">
        <v>0</v>
      </c>
      <c r="AH64" s="112">
        <v>0</v>
      </c>
      <c r="AI64" s="112">
        <v>0</v>
      </c>
      <c r="AJ64" s="112">
        <v>0</v>
      </c>
      <c r="AK64" s="112">
        <v>0</v>
      </c>
      <c r="AL64" s="112">
        <v>0</v>
      </c>
      <c r="AM64" s="112">
        <v>0</v>
      </c>
      <c r="AN64" s="112">
        <v>0</v>
      </c>
      <c r="AO64" s="112">
        <v>0</v>
      </c>
      <c r="AP64" s="112">
        <v>0</v>
      </c>
      <c r="AQ64" s="112">
        <v>0</v>
      </c>
      <c r="AR64" s="112">
        <v>1</v>
      </c>
      <c r="AS64" s="112">
        <v>0</v>
      </c>
      <c r="AT64" s="112">
        <v>0</v>
      </c>
      <c r="AU64" s="112">
        <v>0</v>
      </c>
      <c r="AV64" s="112">
        <v>0</v>
      </c>
      <c r="AW64" s="112">
        <v>0</v>
      </c>
      <c r="AX64" s="112">
        <v>0</v>
      </c>
      <c r="AY64" s="112">
        <v>0</v>
      </c>
      <c r="AZ64" s="112">
        <v>0</v>
      </c>
      <c r="BA64" s="112">
        <v>0</v>
      </c>
      <c r="BB64" s="112">
        <v>0</v>
      </c>
      <c r="BC64" s="112">
        <v>0</v>
      </c>
      <c r="BD64" s="112">
        <v>0</v>
      </c>
      <c r="BE64" s="112">
        <v>0</v>
      </c>
      <c r="BF64" s="112">
        <v>0</v>
      </c>
      <c r="BG64" s="112">
        <v>0</v>
      </c>
      <c r="BH64" s="112">
        <v>0</v>
      </c>
      <c r="BI64" s="112">
        <v>0</v>
      </c>
      <c r="BJ64" s="112">
        <v>0</v>
      </c>
      <c r="BK64" s="112">
        <v>0</v>
      </c>
      <c r="BL64" s="112">
        <v>0</v>
      </c>
      <c r="BM64" s="112">
        <v>0</v>
      </c>
      <c r="BN64" s="112">
        <v>0</v>
      </c>
      <c r="BO64" s="112">
        <v>0</v>
      </c>
      <c r="BP64" s="112">
        <v>0</v>
      </c>
      <c r="BQ64" s="112">
        <v>0</v>
      </c>
      <c r="BR64" s="112">
        <v>0</v>
      </c>
      <c r="BS64" s="112">
        <v>0</v>
      </c>
      <c r="BT64" s="112">
        <v>0</v>
      </c>
      <c r="BU64" s="112">
        <v>0</v>
      </c>
      <c r="BV64" s="112">
        <v>0</v>
      </c>
      <c r="BW64" s="112">
        <v>0</v>
      </c>
      <c r="BX64" s="112">
        <v>0</v>
      </c>
      <c r="BY64" s="112">
        <v>0</v>
      </c>
      <c r="BZ64" s="112">
        <v>0</v>
      </c>
      <c r="CA64" s="112">
        <v>0</v>
      </c>
      <c r="CB64" s="112">
        <v>0</v>
      </c>
      <c r="CC64" s="112">
        <v>0</v>
      </c>
      <c r="CD64" s="112">
        <v>0</v>
      </c>
      <c r="CE64" s="112">
        <v>0</v>
      </c>
      <c r="CF64" s="112">
        <v>0</v>
      </c>
      <c r="CG64" s="112">
        <v>0</v>
      </c>
      <c r="CH64" s="112">
        <v>0</v>
      </c>
      <c r="CI64" s="112">
        <v>0</v>
      </c>
      <c r="CJ64" s="112">
        <v>0</v>
      </c>
      <c r="CK64" s="112">
        <v>0</v>
      </c>
      <c r="CL64" s="112">
        <v>0</v>
      </c>
      <c r="CM64" s="112">
        <v>0</v>
      </c>
      <c r="CN64" s="112">
        <v>0</v>
      </c>
      <c r="CO64" s="112">
        <v>0</v>
      </c>
      <c r="CP64" s="112">
        <v>0</v>
      </c>
      <c r="CQ64" s="112">
        <v>0</v>
      </c>
      <c r="CR64" s="112">
        <v>0</v>
      </c>
      <c r="CS64" s="112">
        <v>0</v>
      </c>
      <c r="CT64" s="112">
        <v>0</v>
      </c>
      <c r="CU64" s="112">
        <v>0</v>
      </c>
      <c r="CV64" s="112">
        <v>0</v>
      </c>
    </row>
    <row r="65" spans="1:100" x14ac:dyDescent="0.15">
      <c r="A65" s="191" t="s">
        <v>255</v>
      </c>
      <c r="B65" s="112">
        <v>0</v>
      </c>
      <c r="C65" s="112">
        <v>0</v>
      </c>
      <c r="D65" s="112">
        <v>0</v>
      </c>
      <c r="E65" s="112">
        <v>1</v>
      </c>
      <c r="F65" s="112">
        <v>0</v>
      </c>
      <c r="G65" s="112">
        <v>0</v>
      </c>
      <c r="H65" s="112">
        <v>0</v>
      </c>
      <c r="I65" s="112">
        <v>0</v>
      </c>
      <c r="J65" s="112">
        <v>0</v>
      </c>
      <c r="K65" s="112">
        <v>0</v>
      </c>
      <c r="L65" s="112">
        <v>0</v>
      </c>
      <c r="M65" s="112">
        <v>0</v>
      </c>
      <c r="N65" s="112">
        <v>0</v>
      </c>
      <c r="O65" s="112">
        <v>1</v>
      </c>
      <c r="P65" s="112">
        <v>1</v>
      </c>
      <c r="Q65" s="112">
        <v>1</v>
      </c>
      <c r="R65" s="112">
        <v>1</v>
      </c>
      <c r="S65" s="112">
        <v>1</v>
      </c>
      <c r="T65" s="112">
        <v>1</v>
      </c>
      <c r="U65" s="112">
        <v>1</v>
      </c>
      <c r="V65" s="112">
        <v>1</v>
      </c>
      <c r="W65" s="112">
        <v>1</v>
      </c>
      <c r="X65" s="112">
        <v>1</v>
      </c>
      <c r="Y65" s="112">
        <v>0</v>
      </c>
      <c r="Z65" s="112">
        <v>1</v>
      </c>
      <c r="AA65" s="112">
        <v>0</v>
      </c>
      <c r="AB65" s="112">
        <v>0</v>
      </c>
      <c r="AC65" s="112">
        <v>0</v>
      </c>
      <c r="AD65" s="112">
        <v>1</v>
      </c>
      <c r="AE65" s="112">
        <v>1</v>
      </c>
      <c r="AF65" s="112">
        <v>1</v>
      </c>
      <c r="AG65" s="112">
        <v>0</v>
      </c>
      <c r="AH65" s="112">
        <v>0</v>
      </c>
      <c r="AI65" s="112">
        <v>0</v>
      </c>
      <c r="AJ65" s="112">
        <v>0</v>
      </c>
      <c r="AK65" s="112">
        <v>1</v>
      </c>
      <c r="AL65" s="112">
        <v>0</v>
      </c>
      <c r="AM65" s="112">
        <v>0</v>
      </c>
      <c r="AN65" s="112">
        <v>0</v>
      </c>
      <c r="AO65" s="112">
        <v>0</v>
      </c>
      <c r="AP65" s="112">
        <v>1</v>
      </c>
      <c r="AQ65" s="112">
        <v>0</v>
      </c>
      <c r="AR65" s="112">
        <v>0</v>
      </c>
      <c r="AS65" s="112">
        <v>1</v>
      </c>
      <c r="AT65" s="112">
        <v>0</v>
      </c>
      <c r="AU65" s="112">
        <v>0</v>
      </c>
      <c r="AV65" s="112">
        <v>0</v>
      </c>
      <c r="AW65" s="112">
        <v>1</v>
      </c>
      <c r="AX65" s="112">
        <v>0</v>
      </c>
      <c r="AY65" s="112">
        <v>0</v>
      </c>
      <c r="AZ65" s="112">
        <v>0</v>
      </c>
      <c r="BA65" s="112">
        <v>0</v>
      </c>
      <c r="BB65" s="112">
        <v>0</v>
      </c>
      <c r="BC65" s="112">
        <v>1</v>
      </c>
      <c r="BD65" s="112">
        <v>1</v>
      </c>
      <c r="BE65" s="112">
        <v>0</v>
      </c>
      <c r="BF65" s="112">
        <v>1</v>
      </c>
      <c r="BG65" s="112">
        <v>1</v>
      </c>
      <c r="BH65" s="112">
        <v>0</v>
      </c>
      <c r="BI65" s="112">
        <v>0</v>
      </c>
      <c r="BJ65" s="112">
        <v>1</v>
      </c>
      <c r="BK65" s="112">
        <v>0</v>
      </c>
      <c r="BL65" s="112">
        <v>1</v>
      </c>
      <c r="BM65" s="112">
        <v>0</v>
      </c>
      <c r="BN65" s="112">
        <v>0</v>
      </c>
      <c r="BO65" s="112">
        <v>0</v>
      </c>
      <c r="BP65" s="112">
        <v>0</v>
      </c>
      <c r="BQ65" s="112">
        <v>0</v>
      </c>
      <c r="BR65" s="112">
        <v>0</v>
      </c>
      <c r="BS65" s="112">
        <v>0</v>
      </c>
      <c r="BT65" s="112">
        <v>0</v>
      </c>
      <c r="BU65" s="112">
        <v>0</v>
      </c>
      <c r="BV65" s="112">
        <v>0</v>
      </c>
      <c r="BW65" s="112">
        <v>0</v>
      </c>
      <c r="BX65" s="112">
        <v>0</v>
      </c>
      <c r="BY65" s="112">
        <v>0</v>
      </c>
      <c r="BZ65" s="112">
        <v>0</v>
      </c>
      <c r="CA65" s="112">
        <v>0</v>
      </c>
      <c r="CB65" s="112">
        <v>0</v>
      </c>
      <c r="CC65" s="112">
        <v>0</v>
      </c>
      <c r="CD65" s="112">
        <v>0</v>
      </c>
      <c r="CE65" s="112">
        <v>0</v>
      </c>
      <c r="CF65" s="112">
        <v>0</v>
      </c>
      <c r="CG65" s="112">
        <v>0</v>
      </c>
      <c r="CH65" s="112">
        <v>0</v>
      </c>
      <c r="CI65" s="112">
        <v>0</v>
      </c>
      <c r="CJ65" s="112">
        <v>0</v>
      </c>
      <c r="CK65" s="112">
        <v>0</v>
      </c>
      <c r="CL65" s="112">
        <v>0</v>
      </c>
      <c r="CM65" s="112">
        <v>0</v>
      </c>
      <c r="CN65" s="112">
        <v>0</v>
      </c>
      <c r="CO65" s="112">
        <v>0</v>
      </c>
      <c r="CP65" s="112">
        <v>0</v>
      </c>
      <c r="CQ65" s="112">
        <v>0</v>
      </c>
      <c r="CR65" s="112">
        <v>0</v>
      </c>
      <c r="CS65" s="112">
        <v>0</v>
      </c>
      <c r="CT65" s="112">
        <v>0</v>
      </c>
      <c r="CU65" s="112">
        <v>0</v>
      </c>
      <c r="CV65" s="112">
        <v>0</v>
      </c>
    </row>
    <row r="66" spans="1:100" x14ac:dyDescent="0.15">
      <c r="A66" s="191" t="s">
        <v>256</v>
      </c>
      <c r="B66" s="112">
        <v>1</v>
      </c>
      <c r="C66" s="112">
        <v>0</v>
      </c>
      <c r="D66" s="112">
        <v>0</v>
      </c>
      <c r="E66" s="112">
        <v>1</v>
      </c>
      <c r="F66" s="112">
        <v>0</v>
      </c>
      <c r="G66" s="112">
        <v>0</v>
      </c>
      <c r="H66" s="112">
        <v>0</v>
      </c>
      <c r="I66" s="112">
        <v>0</v>
      </c>
      <c r="J66" s="112">
        <v>0</v>
      </c>
      <c r="K66" s="112">
        <v>0</v>
      </c>
      <c r="L66" s="112">
        <v>0</v>
      </c>
      <c r="M66" s="112">
        <v>0</v>
      </c>
      <c r="N66" s="112">
        <v>0</v>
      </c>
      <c r="O66" s="112">
        <v>0</v>
      </c>
      <c r="P66" s="112">
        <v>0</v>
      </c>
      <c r="Q66" s="112">
        <v>0</v>
      </c>
      <c r="R66" s="112">
        <v>0</v>
      </c>
      <c r="S66" s="112">
        <v>0</v>
      </c>
      <c r="T66" s="112">
        <v>0</v>
      </c>
      <c r="U66" s="112">
        <v>0</v>
      </c>
      <c r="V66" s="112">
        <v>0</v>
      </c>
      <c r="W66" s="112">
        <v>0</v>
      </c>
      <c r="X66" s="112">
        <v>1</v>
      </c>
      <c r="Y66" s="112">
        <v>0</v>
      </c>
      <c r="Z66" s="112">
        <v>0</v>
      </c>
      <c r="AA66" s="112">
        <v>0</v>
      </c>
      <c r="AB66" s="112">
        <v>0</v>
      </c>
      <c r="AC66" s="112">
        <v>1</v>
      </c>
      <c r="AD66" s="112">
        <v>0</v>
      </c>
      <c r="AE66" s="112">
        <v>0</v>
      </c>
      <c r="AF66" s="112">
        <v>0</v>
      </c>
      <c r="AG66" s="112">
        <v>0</v>
      </c>
      <c r="AH66" s="112">
        <v>0</v>
      </c>
      <c r="AI66" s="112">
        <v>0</v>
      </c>
      <c r="AJ66" s="112">
        <v>0</v>
      </c>
      <c r="AK66" s="112">
        <v>0</v>
      </c>
      <c r="AL66" s="112">
        <v>0</v>
      </c>
      <c r="AM66" s="112">
        <v>0</v>
      </c>
      <c r="AN66" s="112">
        <v>0</v>
      </c>
      <c r="AO66" s="112">
        <v>0</v>
      </c>
      <c r="AP66" s="112">
        <v>1</v>
      </c>
      <c r="AQ66" s="112">
        <v>0</v>
      </c>
      <c r="AR66" s="112">
        <v>1</v>
      </c>
      <c r="AS66" s="112">
        <v>0</v>
      </c>
      <c r="AT66" s="112">
        <v>1</v>
      </c>
      <c r="AU66" s="112">
        <v>1</v>
      </c>
      <c r="AV66" s="112">
        <v>0</v>
      </c>
      <c r="AW66" s="112">
        <v>1</v>
      </c>
      <c r="AX66" s="112">
        <v>1</v>
      </c>
      <c r="AY66" s="112">
        <v>1</v>
      </c>
      <c r="AZ66" s="112">
        <v>1</v>
      </c>
      <c r="BA66" s="112">
        <v>1</v>
      </c>
      <c r="BB66" s="112">
        <v>0</v>
      </c>
      <c r="BC66" s="112">
        <v>1</v>
      </c>
      <c r="BD66" s="112">
        <v>1</v>
      </c>
      <c r="BE66" s="112">
        <v>1</v>
      </c>
      <c r="BF66" s="112">
        <v>1</v>
      </c>
      <c r="BG66" s="112">
        <v>1</v>
      </c>
      <c r="BH66" s="112">
        <v>0</v>
      </c>
      <c r="BI66" s="112">
        <v>0</v>
      </c>
      <c r="BJ66" s="112">
        <v>0</v>
      </c>
      <c r="BK66" s="112">
        <v>0</v>
      </c>
      <c r="BL66" s="112">
        <v>0</v>
      </c>
      <c r="BM66" s="112">
        <v>0</v>
      </c>
      <c r="BN66" s="112">
        <v>0</v>
      </c>
      <c r="BO66" s="112">
        <v>0</v>
      </c>
      <c r="BP66" s="112">
        <v>0</v>
      </c>
      <c r="BQ66" s="112">
        <v>0</v>
      </c>
      <c r="BR66" s="112">
        <v>0</v>
      </c>
      <c r="BS66" s="112">
        <v>0</v>
      </c>
      <c r="BT66" s="112">
        <v>0</v>
      </c>
      <c r="BU66" s="112">
        <v>0</v>
      </c>
      <c r="BV66" s="112">
        <v>0</v>
      </c>
      <c r="BW66" s="112">
        <v>0</v>
      </c>
      <c r="BX66" s="112">
        <v>0</v>
      </c>
      <c r="BY66" s="112">
        <v>0</v>
      </c>
      <c r="BZ66" s="112">
        <v>0</v>
      </c>
      <c r="CA66" s="112">
        <v>0</v>
      </c>
      <c r="CB66" s="112">
        <v>0</v>
      </c>
      <c r="CC66" s="112">
        <v>0</v>
      </c>
      <c r="CD66" s="112">
        <v>0</v>
      </c>
      <c r="CE66" s="112">
        <v>0</v>
      </c>
      <c r="CF66" s="112">
        <v>0</v>
      </c>
      <c r="CG66" s="112">
        <v>0</v>
      </c>
      <c r="CH66" s="112">
        <v>0</v>
      </c>
      <c r="CI66" s="112">
        <v>0</v>
      </c>
      <c r="CJ66" s="112">
        <v>0</v>
      </c>
      <c r="CK66" s="112">
        <v>0</v>
      </c>
      <c r="CL66" s="112">
        <v>0</v>
      </c>
      <c r="CM66" s="112">
        <v>0</v>
      </c>
      <c r="CN66" s="112">
        <v>0</v>
      </c>
      <c r="CO66" s="112">
        <v>0</v>
      </c>
      <c r="CP66" s="112">
        <v>0</v>
      </c>
      <c r="CQ66" s="112">
        <v>0</v>
      </c>
      <c r="CR66" s="112">
        <v>0</v>
      </c>
      <c r="CS66" s="112">
        <v>0</v>
      </c>
      <c r="CT66" s="112">
        <v>0</v>
      </c>
      <c r="CU66" s="112">
        <v>0</v>
      </c>
      <c r="CV66" s="112">
        <v>0</v>
      </c>
    </row>
    <row r="67" spans="1:100" x14ac:dyDescent="0.15">
      <c r="A67" s="191" t="s">
        <v>257</v>
      </c>
      <c r="B67" s="112">
        <v>1</v>
      </c>
      <c r="C67" s="112">
        <v>0</v>
      </c>
      <c r="D67" s="112">
        <v>0</v>
      </c>
      <c r="E67" s="112">
        <v>0</v>
      </c>
      <c r="F67" s="112">
        <v>0</v>
      </c>
      <c r="G67" s="112">
        <v>0</v>
      </c>
      <c r="H67" s="112">
        <v>0</v>
      </c>
      <c r="I67" s="112">
        <v>0</v>
      </c>
      <c r="J67" s="112">
        <v>0</v>
      </c>
      <c r="K67" s="112">
        <v>0</v>
      </c>
      <c r="L67" s="112">
        <v>0</v>
      </c>
      <c r="M67" s="112">
        <v>0</v>
      </c>
      <c r="N67" s="112">
        <v>1</v>
      </c>
      <c r="O67" s="112">
        <v>1</v>
      </c>
      <c r="P67" s="112">
        <v>1</v>
      </c>
      <c r="Q67" s="112">
        <v>1</v>
      </c>
      <c r="R67" s="112">
        <v>1</v>
      </c>
      <c r="S67" s="112">
        <v>1</v>
      </c>
      <c r="T67" s="112">
        <v>1</v>
      </c>
      <c r="U67" s="112">
        <v>1</v>
      </c>
      <c r="V67" s="112">
        <v>1</v>
      </c>
      <c r="W67" s="112">
        <v>1</v>
      </c>
      <c r="X67" s="112">
        <v>1</v>
      </c>
      <c r="Y67" s="112">
        <v>0</v>
      </c>
      <c r="Z67" s="112">
        <v>1</v>
      </c>
      <c r="AA67" s="112">
        <v>0</v>
      </c>
      <c r="AB67" s="112">
        <v>0</v>
      </c>
      <c r="AC67" s="112">
        <v>0</v>
      </c>
      <c r="AD67" s="112">
        <v>1</v>
      </c>
      <c r="AE67" s="112">
        <v>1</v>
      </c>
      <c r="AF67" s="112">
        <v>1</v>
      </c>
      <c r="AG67" s="112">
        <v>1</v>
      </c>
      <c r="AH67" s="112">
        <v>1</v>
      </c>
      <c r="AI67" s="112">
        <v>1</v>
      </c>
      <c r="AJ67" s="112">
        <v>1</v>
      </c>
      <c r="AK67" s="112">
        <v>1</v>
      </c>
      <c r="AL67" s="112">
        <v>0</v>
      </c>
      <c r="AM67" s="112">
        <v>0</v>
      </c>
      <c r="AN67" s="112">
        <v>0</v>
      </c>
      <c r="AO67" s="112">
        <v>0</v>
      </c>
      <c r="AP67" s="112">
        <v>1</v>
      </c>
      <c r="AQ67" s="112">
        <v>0</v>
      </c>
      <c r="AR67" s="112">
        <v>1</v>
      </c>
      <c r="AS67" s="112">
        <v>0</v>
      </c>
      <c r="AT67" s="112">
        <v>0</v>
      </c>
      <c r="AU67" s="112">
        <v>0</v>
      </c>
      <c r="AV67" s="112">
        <v>1</v>
      </c>
      <c r="AW67" s="112">
        <v>0</v>
      </c>
      <c r="AX67" s="112">
        <v>0</v>
      </c>
      <c r="AY67" s="112">
        <v>0</v>
      </c>
      <c r="AZ67" s="112">
        <v>0</v>
      </c>
      <c r="BA67" s="112">
        <v>0</v>
      </c>
      <c r="BB67" s="112">
        <v>1</v>
      </c>
      <c r="BC67" s="112">
        <v>1</v>
      </c>
      <c r="BD67" s="112">
        <v>1</v>
      </c>
      <c r="BE67" s="112">
        <v>0</v>
      </c>
      <c r="BF67" s="112">
        <v>1</v>
      </c>
      <c r="BG67" s="112">
        <v>1</v>
      </c>
      <c r="BH67" s="112">
        <v>0</v>
      </c>
      <c r="BI67" s="112">
        <v>0</v>
      </c>
      <c r="BJ67" s="112">
        <v>0</v>
      </c>
      <c r="BK67" s="112">
        <v>0</v>
      </c>
      <c r="BL67" s="112">
        <v>0</v>
      </c>
      <c r="BM67" s="112">
        <v>0</v>
      </c>
      <c r="BN67" s="112">
        <v>0</v>
      </c>
      <c r="BO67" s="112">
        <v>0</v>
      </c>
      <c r="BP67" s="112">
        <v>0</v>
      </c>
      <c r="BQ67" s="112">
        <v>0</v>
      </c>
      <c r="BR67" s="112">
        <v>0</v>
      </c>
      <c r="BS67" s="112">
        <v>0</v>
      </c>
      <c r="BT67" s="112">
        <v>0</v>
      </c>
      <c r="BU67" s="112">
        <v>0</v>
      </c>
      <c r="BV67" s="112">
        <v>0</v>
      </c>
      <c r="BW67" s="112">
        <v>0</v>
      </c>
      <c r="BX67" s="112">
        <v>0</v>
      </c>
      <c r="BY67" s="112">
        <v>0</v>
      </c>
      <c r="BZ67" s="112">
        <v>0</v>
      </c>
      <c r="CA67" s="112">
        <v>0</v>
      </c>
      <c r="CB67" s="112">
        <v>0</v>
      </c>
      <c r="CC67" s="112">
        <v>0</v>
      </c>
      <c r="CD67" s="112">
        <v>0</v>
      </c>
      <c r="CE67" s="112">
        <v>0</v>
      </c>
      <c r="CF67" s="112">
        <v>0</v>
      </c>
      <c r="CG67" s="112">
        <v>0</v>
      </c>
      <c r="CH67" s="112">
        <v>0</v>
      </c>
      <c r="CI67" s="112">
        <v>0</v>
      </c>
      <c r="CJ67" s="112">
        <v>0</v>
      </c>
      <c r="CK67" s="112">
        <v>0</v>
      </c>
      <c r="CL67" s="112">
        <v>0</v>
      </c>
      <c r="CM67" s="112">
        <v>0</v>
      </c>
      <c r="CN67" s="112">
        <v>0</v>
      </c>
      <c r="CO67" s="112">
        <v>0</v>
      </c>
      <c r="CP67" s="112">
        <v>0</v>
      </c>
      <c r="CQ67" s="112">
        <v>0</v>
      </c>
      <c r="CR67" s="112">
        <v>0</v>
      </c>
      <c r="CS67" s="112">
        <v>0</v>
      </c>
      <c r="CT67" s="112">
        <v>0</v>
      </c>
      <c r="CU67" s="112">
        <v>0</v>
      </c>
      <c r="CV67" s="112">
        <v>0</v>
      </c>
    </row>
    <row r="68" spans="1:100" x14ac:dyDescent="0.15">
      <c r="A68" s="191" t="s">
        <v>258</v>
      </c>
      <c r="B68" s="112">
        <v>0</v>
      </c>
      <c r="C68" s="112">
        <v>0</v>
      </c>
      <c r="D68" s="112">
        <v>0</v>
      </c>
      <c r="E68" s="112">
        <v>0</v>
      </c>
      <c r="F68" s="112">
        <v>0</v>
      </c>
      <c r="G68" s="112">
        <v>0</v>
      </c>
      <c r="H68" s="112">
        <v>0</v>
      </c>
      <c r="I68" s="112">
        <v>0</v>
      </c>
      <c r="J68" s="112">
        <v>0</v>
      </c>
      <c r="K68" s="112">
        <v>0</v>
      </c>
      <c r="L68" s="112">
        <v>0</v>
      </c>
      <c r="M68" s="112">
        <v>0</v>
      </c>
      <c r="N68" s="112">
        <v>0</v>
      </c>
      <c r="O68" s="112">
        <v>1</v>
      </c>
      <c r="P68" s="112">
        <v>0</v>
      </c>
      <c r="Q68" s="112">
        <v>1</v>
      </c>
      <c r="R68" s="112">
        <v>1</v>
      </c>
      <c r="S68" s="112">
        <v>1</v>
      </c>
      <c r="T68" s="112">
        <v>1</v>
      </c>
      <c r="U68" s="112">
        <v>1</v>
      </c>
      <c r="V68" s="112">
        <v>1</v>
      </c>
      <c r="W68" s="112">
        <v>1</v>
      </c>
      <c r="X68" s="112">
        <v>1</v>
      </c>
      <c r="Y68" s="112">
        <v>1</v>
      </c>
      <c r="Z68" s="112">
        <v>1</v>
      </c>
      <c r="AA68" s="112">
        <v>0</v>
      </c>
      <c r="AB68" s="112">
        <v>0</v>
      </c>
      <c r="AC68" s="112">
        <v>1</v>
      </c>
      <c r="AD68" s="112">
        <v>0</v>
      </c>
      <c r="AE68" s="112">
        <v>0</v>
      </c>
      <c r="AF68" s="112">
        <v>0</v>
      </c>
      <c r="AG68" s="112">
        <v>0</v>
      </c>
      <c r="AH68" s="112">
        <v>0</v>
      </c>
      <c r="AI68" s="112">
        <v>0</v>
      </c>
      <c r="AJ68" s="112">
        <v>0</v>
      </c>
      <c r="AK68" s="112">
        <v>0</v>
      </c>
      <c r="AL68" s="112">
        <v>0</v>
      </c>
      <c r="AM68" s="112">
        <v>0</v>
      </c>
      <c r="AN68" s="112">
        <v>0</v>
      </c>
      <c r="AO68" s="112">
        <v>0</v>
      </c>
      <c r="AP68" s="112">
        <v>1</v>
      </c>
      <c r="AQ68" s="112">
        <v>1</v>
      </c>
      <c r="AR68" s="112">
        <v>1</v>
      </c>
      <c r="AS68" s="112">
        <v>0</v>
      </c>
      <c r="AT68" s="112">
        <v>1</v>
      </c>
      <c r="AU68" s="112">
        <v>1</v>
      </c>
      <c r="AV68" s="112">
        <v>0</v>
      </c>
      <c r="AW68" s="112">
        <v>1</v>
      </c>
      <c r="AX68" s="112">
        <v>1</v>
      </c>
      <c r="AY68" s="112">
        <v>1</v>
      </c>
      <c r="AZ68" s="112">
        <v>1</v>
      </c>
      <c r="BA68" s="112">
        <v>1</v>
      </c>
      <c r="BB68" s="112">
        <v>0</v>
      </c>
      <c r="BC68" s="112">
        <v>1</v>
      </c>
      <c r="BD68" s="112">
        <v>1</v>
      </c>
      <c r="BE68" s="112">
        <v>1</v>
      </c>
      <c r="BF68" s="112">
        <v>1</v>
      </c>
      <c r="BG68" s="112">
        <v>0</v>
      </c>
      <c r="BH68" s="112">
        <v>0</v>
      </c>
      <c r="BI68" s="112">
        <v>0</v>
      </c>
      <c r="BJ68" s="112">
        <v>0</v>
      </c>
      <c r="BK68" s="112">
        <v>0</v>
      </c>
      <c r="BL68" s="112">
        <v>1</v>
      </c>
      <c r="BM68" s="112">
        <v>1</v>
      </c>
      <c r="BN68" s="112">
        <v>0</v>
      </c>
      <c r="BO68" s="112">
        <v>0</v>
      </c>
      <c r="BP68" s="112">
        <v>1</v>
      </c>
      <c r="BQ68" s="112">
        <v>0</v>
      </c>
      <c r="BR68" s="112">
        <v>1</v>
      </c>
      <c r="BS68" s="112">
        <v>0</v>
      </c>
      <c r="BT68" s="112">
        <v>0</v>
      </c>
      <c r="BU68" s="112">
        <v>0</v>
      </c>
      <c r="BV68" s="112">
        <v>0</v>
      </c>
      <c r="BW68" s="112">
        <v>0</v>
      </c>
      <c r="BX68" s="112">
        <v>0</v>
      </c>
      <c r="BY68" s="112">
        <v>0</v>
      </c>
      <c r="BZ68" s="112">
        <v>0</v>
      </c>
      <c r="CA68" s="112">
        <v>0</v>
      </c>
      <c r="CB68" s="112">
        <v>0</v>
      </c>
      <c r="CC68" s="112">
        <v>0</v>
      </c>
      <c r="CD68" s="112">
        <v>0</v>
      </c>
      <c r="CE68" s="112">
        <v>0</v>
      </c>
      <c r="CF68" s="112">
        <v>0</v>
      </c>
      <c r="CG68" s="112">
        <v>0</v>
      </c>
      <c r="CH68" s="112">
        <v>0</v>
      </c>
      <c r="CI68" s="112">
        <v>0</v>
      </c>
      <c r="CJ68" s="112">
        <v>0</v>
      </c>
      <c r="CK68" s="112">
        <v>0</v>
      </c>
      <c r="CL68" s="112">
        <v>0</v>
      </c>
      <c r="CM68" s="112">
        <v>0</v>
      </c>
      <c r="CN68" s="112">
        <v>0</v>
      </c>
      <c r="CO68" s="112">
        <v>0</v>
      </c>
      <c r="CP68" s="112">
        <v>0</v>
      </c>
      <c r="CQ68" s="112">
        <v>0</v>
      </c>
      <c r="CR68" s="112">
        <v>0</v>
      </c>
      <c r="CS68" s="112">
        <v>0</v>
      </c>
      <c r="CT68" s="112">
        <v>0</v>
      </c>
      <c r="CU68" s="112">
        <v>0</v>
      </c>
      <c r="CV68" s="112">
        <v>0</v>
      </c>
    </row>
    <row r="69" spans="1:100" x14ac:dyDescent="0.15">
      <c r="A69" s="191" t="s">
        <v>259</v>
      </c>
      <c r="B69" s="112">
        <v>0</v>
      </c>
      <c r="C69" s="112">
        <v>0</v>
      </c>
      <c r="D69" s="112">
        <v>0</v>
      </c>
      <c r="E69" s="112">
        <v>0</v>
      </c>
      <c r="F69" s="112">
        <v>0</v>
      </c>
      <c r="G69" s="112">
        <v>0</v>
      </c>
      <c r="H69" s="112">
        <v>0</v>
      </c>
      <c r="I69" s="112">
        <v>0</v>
      </c>
      <c r="J69" s="112">
        <v>0</v>
      </c>
      <c r="K69" s="112">
        <v>0</v>
      </c>
      <c r="L69" s="112">
        <v>1</v>
      </c>
      <c r="M69" s="112">
        <v>1</v>
      </c>
      <c r="N69" s="112">
        <v>0</v>
      </c>
      <c r="O69" s="112">
        <v>1</v>
      </c>
      <c r="P69" s="112">
        <v>1</v>
      </c>
      <c r="Q69" s="112">
        <v>1</v>
      </c>
      <c r="R69" s="112">
        <v>1</v>
      </c>
      <c r="S69" s="112">
        <v>1</v>
      </c>
      <c r="T69" s="112">
        <v>1</v>
      </c>
      <c r="U69" s="112">
        <v>1</v>
      </c>
      <c r="V69" s="112">
        <v>1</v>
      </c>
      <c r="W69" s="112">
        <v>1</v>
      </c>
      <c r="X69" s="112">
        <v>1</v>
      </c>
      <c r="Y69" s="112">
        <v>0</v>
      </c>
      <c r="Z69" s="112">
        <v>1</v>
      </c>
      <c r="AA69" s="112">
        <v>0</v>
      </c>
      <c r="AB69" s="112">
        <v>0</v>
      </c>
      <c r="AC69" s="112">
        <v>0</v>
      </c>
      <c r="AD69" s="112">
        <v>1</v>
      </c>
      <c r="AE69" s="112">
        <v>1</v>
      </c>
      <c r="AF69" s="112">
        <v>1</v>
      </c>
      <c r="AG69" s="112">
        <v>1</v>
      </c>
      <c r="AH69" s="112">
        <v>1</v>
      </c>
      <c r="AI69" s="112">
        <v>1</v>
      </c>
      <c r="AJ69" s="112">
        <v>1</v>
      </c>
      <c r="AK69" s="112">
        <v>1</v>
      </c>
      <c r="AL69" s="112">
        <v>0</v>
      </c>
      <c r="AM69" s="112">
        <v>0</v>
      </c>
      <c r="AN69" s="112">
        <v>1</v>
      </c>
      <c r="AO69" s="112">
        <v>0</v>
      </c>
      <c r="AP69" s="112">
        <v>1</v>
      </c>
      <c r="AQ69" s="112">
        <v>0</v>
      </c>
      <c r="AR69" s="112">
        <v>1</v>
      </c>
      <c r="AS69" s="112">
        <v>1</v>
      </c>
      <c r="AT69" s="112">
        <v>0</v>
      </c>
      <c r="AU69" s="112">
        <v>0</v>
      </c>
      <c r="AV69" s="112">
        <v>1</v>
      </c>
      <c r="AW69" s="112">
        <v>1</v>
      </c>
      <c r="AX69" s="112">
        <v>0</v>
      </c>
      <c r="AY69" s="112">
        <v>0</v>
      </c>
      <c r="AZ69" s="112">
        <v>0</v>
      </c>
      <c r="BA69" s="112">
        <v>0</v>
      </c>
      <c r="BB69" s="112">
        <v>1</v>
      </c>
      <c r="BC69" s="112">
        <v>1</v>
      </c>
      <c r="BD69" s="112">
        <v>1</v>
      </c>
      <c r="BE69" s="112">
        <v>0</v>
      </c>
      <c r="BF69" s="112">
        <v>1</v>
      </c>
      <c r="BG69" s="112">
        <v>0</v>
      </c>
      <c r="BH69" s="112">
        <v>0</v>
      </c>
      <c r="BI69" s="112">
        <v>0</v>
      </c>
      <c r="BJ69" s="112">
        <v>0</v>
      </c>
      <c r="BK69" s="112">
        <v>0</v>
      </c>
      <c r="BL69" s="112">
        <v>1</v>
      </c>
      <c r="BM69" s="112">
        <v>1</v>
      </c>
      <c r="BN69" s="112">
        <v>0</v>
      </c>
      <c r="BO69" s="112">
        <v>0</v>
      </c>
      <c r="BP69" s="112">
        <v>0</v>
      </c>
      <c r="BQ69" s="112">
        <v>1</v>
      </c>
      <c r="BR69" s="112">
        <v>0</v>
      </c>
      <c r="BS69" s="112">
        <v>1</v>
      </c>
      <c r="BT69" s="112">
        <v>0</v>
      </c>
      <c r="BU69" s="112">
        <v>0</v>
      </c>
      <c r="BV69" s="112">
        <v>0</v>
      </c>
      <c r="BW69" s="112">
        <v>0</v>
      </c>
      <c r="BX69" s="112">
        <v>0</v>
      </c>
      <c r="BY69" s="112">
        <v>0</v>
      </c>
      <c r="BZ69" s="112">
        <v>0</v>
      </c>
      <c r="CA69" s="112">
        <v>0</v>
      </c>
      <c r="CB69" s="112">
        <v>0</v>
      </c>
      <c r="CC69" s="112">
        <v>0</v>
      </c>
      <c r="CD69" s="112">
        <v>0</v>
      </c>
      <c r="CE69" s="112">
        <v>0</v>
      </c>
      <c r="CF69" s="112">
        <v>0</v>
      </c>
      <c r="CG69" s="112">
        <v>0</v>
      </c>
      <c r="CH69" s="112">
        <v>0</v>
      </c>
      <c r="CI69" s="112">
        <v>0</v>
      </c>
      <c r="CJ69" s="112">
        <v>0</v>
      </c>
      <c r="CK69" s="112">
        <v>0</v>
      </c>
      <c r="CL69" s="112">
        <v>0</v>
      </c>
      <c r="CM69" s="112">
        <v>0</v>
      </c>
      <c r="CN69" s="112">
        <v>0</v>
      </c>
      <c r="CO69" s="112">
        <v>0</v>
      </c>
      <c r="CP69" s="112">
        <v>0</v>
      </c>
      <c r="CQ69" s="112">
        <v>0</v>
      </c>
      <c r="CR69" s="112">
        <v>0</v>
      </c>
      <c r="CS69" s="112">
        <v>0</v>
      </c>
      <c r="CT69" s="112">
        <v>0</v>
      </c>
      <c r="CU69" s="112">
        <v>0</v>
      </c>
      <c r="CV69" s="112">
        <v>0</v>
      </c>
    </row>
    <row r="70" spans="1:100" x14ac:dyDescent="0.15">
      <c r="A70" s="191" t="s">
        <v>260</v>
      </c>
      <c r="B70" s="112">
        <v>0</v>
      </c>
      <c r="C70" s="112">
        <v>0</v>
      </c>
      <c r="D70" s="112">
        <v>0</v>
      </c>
      <c r="E70" s="112">
        <v>0</v>
      </c>
      <c r="F70" s="112">
        <v>0</v>
      </c>
      <c r="G70" s="112">
        <v>0</v>
      </c>
      <c r="H70" s="112">
        <v>0</v>
      </c>
      <c r="I70" s="112">
        <v>0</v>
      </c>
      <c r="J70" s="112">
        <v>0</v>
      </c>
      <c r="K70" s="112">
        <v>0</v>
      </c>
      <c r="L70" s="112">
        <v>0</v>
      </c>
      <c r="M70" s="112">
        <v>1</v>
      </c>
      <c r="N70" s="112">
        <v>0</v>
      </c>
      <c r="O70" s="112">
        <v>1</v>
      </c>
      <c r="P70" s="112">
        <v>1</v>
      </c>
      <c r="Q70" s="112">
        <v>1</v>
      </c>
      <c r="R70" s="112">
        <v>1</v>
      </c>
      <c r="S70" s="112">
        <v>1</v>
      </c>
      <c r="T70" s="112">
        <v>1</v>
      </c>
      <c r="U70" s="112">
        <v>1</v>
      </c>
      <c r="V70" s="112">
        <v>1</v>
      </c>
      <c r="W70" s="112">
        <v>1</v>
      </c>
      <c r="X70" s="112">
        <v>1</v>
      </c>
      <c r="Y70" s="112">
        <v>1</v>
      </c>
      <c r="Z70" s="112">
        <v>1</v>
      </c>
      <c r="AA70" s="112">
        <v>0</v>
      </c>
      <c r="AB70" s="112">
        <v>0</v>
      </c>
      <c r="AC70" s="112">
        <v>1</v>
      </c>
      <c r="AD70" s="112">
        <v>1</v>
      </c>
      <c r="AE70" s="112">
        <v>1</v>
      </c>
      <c r="AF70" s="112">
        <v>1</v>
      </c>
      <c r="AG70" s="112">
        <v>1</v>
      </c>
      <c r="AH70" s="112">
        <v>1</v>
      </c>
      <c r="AI70" s="112">
        <v>1</v>
      </c>
      <c r="AJ70" s="112">
        <v>1</v>
      </c>
      <c r="AK70" s="112">
        <v>1</v>
      </c>
      <c r="AL70" s="112">
        <v>0</v>
      </c>
      <c r="AM70" s="112">
        <v>0</v>
      </c>
      <c r="AN70" s="112">
        <v>0</v>
      </c>
      <c r="AO70" s="112">
        <v>0</v>
      </c>
      <c r="AP70" s="112">
        <v>1</v>
      </c>
      <c r="AQ70" s="112">
        <v>1</v>
      </c>
      <c r="AR70" s="112">
        <v>1</v>
      </c>
      <c r="AS70" s="112">
        <v>0</v>
      </c>
      <c r="AT70" s="112">
        <v>1</v>
      </c>
      <c r="AU70" s="112">
        <v>1</v>
      </c>
      <c r="AV70" s="112">
        <v>0</v>
      </c>
      <c r="AW70" s="112">
        <v>1</v>
      </c>
      <c r="AX70" s="112">
        <v>1</v>
      </c>
      <c r="AY70" s="112">
        <v>1</v>
      </c>
      <c r="AZ70" s="112">
        <v>1</v>
      </c>
      <c r="BA70" s="112">
        <v>1</v>
      </c>
      <c r="BB70" s="112">
        <v>0</v>
      </c>
      <c r="BC70" s="112">
        <v>1</v>
      </c>
      <c r="BD70" s="112">
        <v>1</v>
      </c>
      <c r="BE70" s="112">
        <v>1</v>
      </c>
      <c r="BF70" s="112">
        <v>1</v>
      </c>
      <c r="BG70" s="112">
        <v>1</v>
      </c>
      <c r="BH70" s="112">
        <v>0</v>
      </c>
      <c r="BI70" s="112">
        <v>1</v>
      </c>
      <c r="BJ70" s="112">
        <v>0</v>
      </c>
      <c r="BK70" s="112">
        <v>0</v>
      </c>
      <c r="BL70" s="112">
        <v>1</v>
      </c>
      <c r="BM70" s="112">
        <v>1</v>
      </c>
      <c r="BN70" s="112">
        <v>0</v>
      </c>
      <c r="BO70" s="112">
        <v>0</v>
      </c>
      <c r="BP70" s="112">
        <v>1</v>
      </c>
      <c r="BQ70" s="112">
        <v>0</v>
      </c>
      <c r="BR70" s="112">
        <v>1</v>
      </c>
      <c r="BS70" s="112">
        <v>0</v>
      </c>
      <c r="BT70" s="112">
        <v>0</v>
      </c>
      <c r="BU70" s="112">
        <v>0</v>
      </c>
      <c r="BV70" s="112">
        <v>0</v>
      </c>
      <c r="BW70" s="112">
        <v>0</v>
      </c>
      <c r="BX70" s="112">
        <v>0</v>
      </c>
      <c r="BY70" s="112">
        <v>0</v>
      </c>
      <c r="BZ70" s="112">
        <v>0</v>
      </c>
      <c r="CA70" s="112">
        <v>0</v>
      </c>
      <c r="CB70" s="112">
        <v>0</v>
      </c>
      <c r="CC70" s="112">
        <v>0</v>
      </c>
      <c r="CD70" s="112">
        <v>0</v>
      </c>
      <c r="CE70" s="112">
        <v>0</v>
      </c>
      <c r="CF70" s="112">
        <v>0</v>
      </c>
      <c r="CG70" s="112">
        <v>0</v>
      </c>
      <c r="CH70" s="112">
        <v>0</v>
      </c>
      <c r="CI70" s="112">
        <v>0</v>
      </c>
      <c r="CJ70" s="112">
        <v>0</v>
      </c>
      <c r="CK70" s="112">
        <v>0</v>
      </c>
      <c r="CL70" s="112">
        <v>0</v>
      </c>
      <c r="CM70" s="112">
        <v>0</v>
      </c>
      <c r="CN70" s="112">
        <v>0</v>
      </c>
      <c r="CO70" s="112">
        <v>0</v>
      </c>
      <c r="CP70" s="112">
        <v>0</v>
      </c>
      <c r="CQ70" s="112">
        <v>0</v>
      </c>
      <c r="CR70" s="112">
        <v>0</v>
      </c>
      <c r="CS70" s="112">
        <v>0</v>
      </c>
      <c r="CT70" s="112">
        <v>0</v>
      </c>
      <c r="CU70" s="112">
        <v>0</v>
      </c>
      <c r="CV70" s="112">
        <v>0</v>
      </c>
    </row>
    <row r="71" spans="1:100" x14ac:dyDescent="0.15">
      <c r="A71" s="191" t="s">
        <v>261</v>
      </c>
      <c r="B71" s="112">
        <v>0</v>
      </c>
      <c r="C71" s="112">
        <v>0</v>
      </c>
      <c r="D71" s="112">
        <v>0</v>
      </c>
      <c r="E71" s="112">
        <v>0</v>
      </c>
      <c r="F71" s="112">
        <v>0</v>
      </c>
      <c r="G71" s="112">
        <v>0</v>
      </c>
      <c r="H71" s="112">
        <v>0</v>
      </c>
      <c r="I71" s="112">
        <v>0</v>
      </c>
      <c r="J71" s="112">
        <v>0</v>
      </c>
      <c r="K71" s="112">
        <v>0</v>
      </c>
      <c r="L71" s="112">
        <v>0</v>
      </c>
      <c r="M71" s="112">
        <v>0</v>
      </c>
      <c r="N71" s="112">
        <v>0</v>
      </c>
      <c r="O71" s="112">
        <v>1</v>
      </c>
      <c r="P71" s="112">
        <v>0</v>
      </c>
      <c r="Q71" s="112">
        <v>1</v>
      </c>
      <c r="R71" s="112">
        <v>1</v>
      </c>
      <c r="S71" s="112">
        <v>0</v>
      </c>
      <c r="T71" s="112">
        <v>0</v>
      </c>
      <c r="U71" s="112">
        <v>1</v>
      </c>
      <c r="V71" s="112">
        <v>1</v>
      </c>
      <c r="W71" s="112">
        <v>0</v>
      </c>
      <c r="X71" s="112">
        <v>1</v>
      </c>
      <c r="Y71" s="112">
        <v>0</v>
      </c>
      <c r="Z71" s="112">
        <v>0</v>
      </c>
      <c r="AA71" s="112">
        <v>0</v>
      </c>
      <c r="AB71" s="112">
        <v>0</v>
      </c>
      <c r="AC71" s="112">
        <v>0</v>
      </c>
      <c r="AD71" s="112">
        <v>0</v>
      </c>
      <c r="AE71" s="112">
        <v>0</v>
      </c>
      <c r="AF71" s="112">
        <v>0</v>
      </c>
      <c r="AG71" s="112">
        <v>0</v>
      </c>
      <c r="AH71" s="112">
        <v>0</v>
      </c>
      <c r="AI71" s="112">
        <v>0</v>
      </c>
      <c r="AJ71" s="112">
        <v>0</v>
      </c>
      <c r="AK71" s="112">
        <v>0</v>
      </c>
      <c r="AL71" s="112">
        <v>0</v>
      </c>
      <c r="AM71" s="112">
        <v>0</v>
      </c>
      <c r="AN71" s="112">
        <v>0</v>
      </c>
      <c r="AO71" s="112">
        <v>0</v>
      </c>
      <c r="AP71" s="112">
        <v>1</v>
      </c>
      <c r="AQ71" s="112">
        <v>0</v>
      </c>
      <c r="AR71" s="112">
        <v>1</v>
      </c>
      <c r="AS71" s="112">
        <v>1</v>
      </c>
      <c r="AT71" s="112">
        <v>0</v>
      </c>
      <c r="AU71" s="112">
        <v>0</v>
      </c>
      <c r="AV71" s="112">
        <v>1</v>
      </c>
      <c r="AW71" s="112">
        <v>0</v>
      </c>
      <c r="AX71" s="112">
        <v>0</v>
      </c>
      <c r="AY71" s="112">
        <v>0</v>
      </c>
      <c r="AZ71" s="112">
        <v>0</v>
      </c>
      <c r="BA71" s="112">
        <v>0</v>
      </c>
      <c r="BB71" s="112">
        <v>1</v>
      </c>
      <c r="BC71" s="112">
        <v>1</v>
      </c>
      <c r="BD71" s="112">
        <v>1</v>
      </c>
      <c r="BE71" s="112">
        <v>0</v>
      </c>
      <c r="BF71" s="112">
        <v>1</v>
      </c>
      <c r="BG71" s="112">
        <v>1</v>
      </c>
      <c r="BH71" s="112">
        <v>0</v>
      </c>
      <c r="BI71" s="112">
        <v>0</v>
      </c>
      <c r="BJ71" s="112">
        <v>0</v>
      </c>
      <c r="BK71" s="112">
        <v>0</v>
      </c>
      <c r="BL71" s="112">
        <v>1</v>
      </c>
      <c r="BM71" s="112">
        <v>1</v>
      </c>
      <c r="BN71" s="112">
        <v>0</v>
      </c>
      <c r="BO71" s="112">
        <v>0</v>
      </c>
      <c r="BP71" s="112">
        <v>0</v>
      </c>
      <c r="BQ71" s="112">
        <v>1</v>
      </c>
      <c r="BR71" s="112">
        <v>0</v>
      </c>
      <c r="BS71" s="112">
        <v>1</v>
      </c>
      <c r="BT71" s="112">
        <v>0</v>
      </c>
      <c r="BU71" s="112">
        <v>0</v>
      </c>
      <c r="BV71" s="112">
        <v>0</v>
      </c>
      <c r="BW71" s="112">
        <v>0</v>
      </c>
      <c r="BX71" s="112">
        <v>0</v>
      </c>
      <c r="BY71" s="112">
        <v>0</v>
      </c>
      <c r="BZ71" s="112">
        <v>0</v>
      </c>
      <c r="CA71" s="112">
        <v>0</v>
      </c>
      <c r="CB71" s="112">
        <v>0</v>
      </c>
      <c r="CC71" s="112">
        <v>0</v>
      </c>
      <c r="CD71" s="112">
        <v>0</v>
      </c>
      <c r="CE71" s="112">
        <v>0</v>
      </c>
      <c r="CF71" s="112">
        <v>0</v>
      </c>
      <c r="CG71" s="112">
        <v>0</v>
      </c>
      <c r="CH71" s="112">
        <v>0</v>
      </c>
      <c r="CI71" s="112">
        <v>0</v>
      </c>
      <c r="CJ71" s="112">
        <v>0</v>
      </c>
      <c r="CK71" s="112">
        <v>0</v>
      </c>
      <c r="CL71" s="112">
        <v>0</v>
      </c>
      <c r="CM71" s="112">
        <v>0</v>
      </c>
      <c r="CN71" s="112">
        <v>0</v>
      </c>
      <c r="CO71" s="112">
        <v>0</v>
      </c>
      <c r="CP71" s="112">
        <v>0</v>
      </c>
      <c r="CQ71" s="112">
        <v>0</v>
      </c>
      <c r="CR71" s="112">
        <v>0</v>
      </c>
      <c r="CS71" s="112">
        <v>0</v>
      </c>
      <c r="CT71" s="112">
        <v>0</v>
      </c>
      <c r="CU71" s="112">
        <v>0</v>
      </c>
      <c r="CV71" s="112">
        <v>0</v>
      </c>
    </row>
    <row r="72" spans="1:100" x14ac:dyDescent="0.15">
      <c r="A72" s="191" t="s">
        <v>262</v>
      </c>
      <c r="B72" s="112">
        <v>0</v>
      </c>
      <c r="C72" s="112">
        <v>0</v>
      </c>
      <c r="D72" s="112">
        <v>0</v>
      </c>
      <c r="E72" s="112">
        <v>0</v>
      </c>
      <c r="F72" s="112">
        <v>0</v>
      </c>
      <c r="G72" s="112">
        <v>0</v>
      </c>
      <c r="H72" s="112">
        <v>0</v>
      </c>
      <c r="I72" s="112">
        <v>0</v>
      </c>
      <c r="J72" s="112">
        <v>0</v>
      </c>
      <c r="K72" s="112">
        <v>0</v>
      </c>
      <c r="L72" s="112">
        <v>0</v>
      </c>
      <c r="M72" s="112">
        <v>0</v>
      </c>
      <c r="N72" s="112">
        <v>0</v>
      </c>
      <c r="O72" s="112">
        <v>1</v>
      </c>
      <c r="P72" s="112">
        <v>1</v>
      </c>
      <c r="Q72" s="112">
        <v>1</v>
      </c>
      <c r="R72" s="112">
        <v>1</v>
      </c>
      <c r="S72" s="112">
        <v>1</v>
      </c>
      <c r="T72" s="112">
        <v>1</v>
      </c>
      <c r="U72" s="112">
        <v>1</v>
      </c>
      <c r="V72" s="112">
        <v>1</v>
      </c>
      <c r="W72" s="112">
        <v>1</v>
      </c>
      <c r="X72" s="112">
        <v>1</v>
      </c>
      <c r="Y72" s="112">
        <v>1</v>
      </c>
      <c r="Z72" s="112">
        <v>1</v>
      </c>
      <c r="AA72" s="112">
        <v>0</v>
      </c>
      <c r="AB72" s="112">
        <v>0</v>
      </c>
      <c r="AC72" s="112">
        <v>1</v>
      </c>
      <c r="AD72" s="112">
        <v>1</v>
      </c>
      <c r="AE72" s="112">
        <v>1</v>
      </c>
      <c r="AF72" s="112">
        <v>1</v>
      </c>
      <c r="AG72" s="112">
        <v>1</v>
      </c>
      <c r="AH72" s="112">
        <v>1</v>
      </c>
      <c r="AI72" s="112">
        <v>1</v>
      </c>
      <c r="AJ72" s="112">
        <v>1</v>
      </c>
      <c r="AK72" s="112">
        <v>1</v>
      </c>
      <c r="AL72" s="112">
        <v>0</v>
      </c>
      <c r="AM72" s="112">
        <v>0</v>
      </c>
      <c r="AN72" s="112">
        <v>1</v>
      </c>
      <c r="AO72" s="112">
        <v>0</v>
      </c>
      <c r="AP72" s="112">
        <v>1</v>
      </c>
      <c r="AQ72" s="112">
        <v>0</v>
      </c>
      <c r="AR72" s="112">
        <v>1</v>
      </c>
      <c r="AS72" s="112">
        <v>0</v>
      </c>
      <c r="AT72" s="112">
        <v>1</v>
      </c>
      <c r="AU72" s="112">
        <v>1</v>
      </c>
      <c r="AV72" s="112">
        <v>0</v>
      </c>
      <c r="AW72" s="112">
        <v>1</v>
      </c>
      <c r="AX72" s="112">
        <v>1</v>
      </c>
      <c r="AY72" s="112">
        <v>1</v>
      </c>
      <c r="AZ72" s="112">
        <v>1</v>
      </c>
      <c r="BA72" s="112">
        <v>1</v>
      </c>
      <c r="BB72" s="112">
        <v>0</v>
      </c>
      <c r="BC72" s="112">
        <v>0</v>
      </c>
      <c r="BD72" s="112">
        <v>0</v>
      </c>
      <c r="BE72" s="112">
        <v>1</v>
      </c>
      <c r="BF72" s="112">
        <v>0</v>
      </c>
      <c r="BG72" s="112">
        <v>1</v>
      </c>
      <c r="BH72" s="112">
        <v>0</v>
      </c>
      <c r="BI72" s="112">
        <v>0</v>
      </c>
      <c r="BJ72" s="112">
        <v>0</v>
      </c>
      <c r="BK72" s="112">
        <v>0</v>
      </c>
      <c r="BL72" s="112">
        <v>1</v>
      </c>
      <c r="BM72" s="112">
        <v>0</v>
      </c>
      <c r="BN72" s="112">
        <v>0</v>
      </c>
      <c r="BO72" s="112">
        <v>0</v>
      </c>
      <c r="BP72" s="112">
        <v>0</v>
      </c>
      <c r="BQ72" s="112">
        <v>0</v>
      </c>
      <c r="BR72" s="112">
        <v>0</v>
      </c>
      <c r="BS72" s="112">
        <v>0</v>
      </c>
      <c r="BT72" s="112">
        <v>0</v>
      </c>
      <c r="BU72" s="112">
        <v>0</v>
      </c>
      <c r="BV72" s="112">
        <v>0</v>
      </c>
      <c r="BW72" s="112">
        <v>0</v>
      </c>
      <c r="BX72" s="112">
        <v>0</v>
      </c>
      <c r="BY72" s="112">
        <v>0</v>
      </c>
      <c r="BZ72" s="112">
        <v>0</v>
      </c>
      <c r="CA72" s="112">
        <v>0</v>
      </c>
      <c r="CB72" s="112">
        <v>0</v>
      </c>
      <c r="CC72" s="112">
        <v>0</v>
      </c>
      <c r="CD72" s="112">
        <v>0</v>
      </c>
      <c r="CE72" s="112">
        <v>0</v>
      </c>
      <c r="CF72" s="112">
        <v>0</v>
      </c>
      <c r="CG72" s="112">
        <v>0</v>
      </c>
      <c r="CH72" s="112">
        <v>0</v>
      </c>
      <c r="CI72" s="112">
        <v>0</v>
      </c>
      <c r="CJ72" s="112">
        <v>0</v>
      </c>
      <c r="CK72" s="112">
        <v>0</v>
      </c>
      <c r="CL72" s="112">
        <v>0</v>
      </c>
      <c r="CM72" s="112">
        <v>0</v>
      </c>
      <c r="CN72" s="112">
        <v>0</v>
      </c>
      <c r="CO72" s="112">
        <v>0</v>
      </c>
      <c r="CP72" s="112">
        <v>0</v>
      </c>
      <c r="CQ72" s="112">
        <v>0</v>
      </c>
      <c r="CR72" s="112">
        <v>0</v>
      </c>
      <c r="CS72" s="112">
        <v>0</v>
      </c>
      <c r="CT72" s="112">
        <v>0</v>
      </c>
      <c r="CU72" s="112">
        <v>0</v>
      </c>
      <c r="CV72" s="112">
        <v>0</v>
      </c>
    </row>
    <row r="73" spans="1:100" x14ac:dyDescent="0.15">
      <c r="A73" s="191" t="s">
        <v>263</v>
      </c>
      <c r="B73" s="112">
        <v>0</v>
      </c>
      <c r="C73" s="112">
        <v>0</v>
      </c>
      <c r="D73" s="112">
        <v>0</v>
      </c>
      <c r="E73" s="112">
        <v>0</v>
      </c>
      <c r="F73" s="112">
        <v>0</v>
      </c>
      <c r="G73" s="112">
        <v>0</v>
      </c>
      <c r="H73" s="112">
        <v>0</v>
      </c>
      <c r="I73" s="112">
        <v>0</v>
      </c>
      <c r="J73" s="112">
        <v>0</v>
      </c>
      <c r="K73" s="112">
        <v>0</v>
      </c>
      <c r="L73" s="112">
        <v>0</v>
      </c>
      <c r="M73" s="112">
        <v>0</v>
      </c>
      <c r="N73" s="112">
        <v>0</v>
      </c>
      <c r="O73" s="112">
        <v>0</v>
      </c>
      <c r="P73" s="112">
        <v>0</v>
      </c>
      <c r="Q73" s="112">
        <v>0</v>
      </c>
      <c r="R73" s="112">
        <v>0</v>
      </c>
      <c r="S73" s="112">
        <v>0</v>
      </c>
      <c r="T73" s="112">
        <v>0</v>
      </c>
      <c r="U73" s="112">
        <v>0</v>
      </c>
      <c r="V73" s="112">
        <v>0</v>
      </c>
      <c r="W73" s="112">
        <v>0</v>
      </c>
      <c r="X73" s="112">
        <v>1</v>
      </c>
      <c r="Y73" s="112">
        <v>0</v>
      </c>
      <c r="Z73" s="112">
        <v>0</v>
      </c>
      <c r="AA73" s="112">
        <v>0</v>
      </c>
      <c r="AB73" s="112">
        <v>0</v>
      </c>
      <c r="AC73" s="112">
        <v>0</v>
      </c>
      <c r="AD73" s="112">
        <v>0</v>
      </c>
      <c r="AE73" s="112">
        <v>0</v>
      </c>
      <c r="AF73" s="112">
        <v>0</v>
      </c>
      <c r="AG73" s="112">
        <v>0</v>
      </c>
      <c r="AH73" s="112">
        <v>0</v>
      </c>
      <c r="AI73" s="112">
        <v>0</v>
      </c>
      <c r="AJ73" s="112">
        <v>0</v>
      </c>
      <c r="AK73" s="112">
        <v>0</v>
      </c>
      <c r="AL73" s="112">
        <v>0</v>
      </c>
      <c r="AM73" s="112">
        <v>0</v>
      </c>
      <c r="AN73" s="112">
        <v>0</v>
      </c>
      <c r="AO73" s="112">
        <v>0</v>
      </c>
      <c r="AP73" s="112">
        <v>1</v>
      </c>
      <c r="AQ73" s="112">
        <v>0</v>
      </c>
      <c r="AR73" s="112">
        <v>1</v>
      </c>
      <c r="AS73" s="112">
        <v>1</v>
      </c>
      <c r="AT73" s="112">
        <v>0</v>
      </c>
      <c r="AU73" s="112">
        <v>0</v>
      </c>
      <c r="AV73" s="112">
        <v>1</v>
      </c>
      <c r="AW73" s="112">
        <v>0</v>
      </c>
      <c r="AX73" s="112">
        <v>0</v>
      </c>
      <c r="AY73" s="112">
        <v>0</v>
      </c>
      <c r="AZ73" s="112">
        <v>0</v>
      </c>
      <c r="BA73" s="112">
        <v>0</v>
      </c>
      <c r="BB73" s="112">
        <v>1</v>
      </c>
      <c r="BC73" s="112">
        <v>0</v>
      </c>
      <c r="BD73" s="112">
        <v>0</v>
      </c>
      <c r="BE73" s="112">
        <v>0</v>
      </c>
      <c r="BF73" s="112">
        <v>0</v>
      </c>
      <c r="BG73" s="112">
        <v>1</v>
      </c>
      <c r="BH73" s="112">
        <v>0</v>
      </c>
      <c r="BI73" s="112">
        <v>0</v>
      </c>
      <c r="BJ73" s="112">
        <v>0</v>
      </c>
      <c r="BK73" s="112">
        <v>0</v>
      </c>
      <c r="BL73" s="112">
        <v>1</v>
      </c>
      <c r="BM73" s="112">
        <v>0</v>
      </c>
      <c r="BN73" s="112">
        <v>0</v>
      </c>
      <c r="BO73" s="112">
        <v>0</v>
      </c>
      <c r="BP73" s="112">
        <v>0</v>
      </c>
      <c r="BQ73" s="112">
        <v>0</v>
      </c>
      <c r="BR73" s="112">
        <v>0</v>
      </c>
      <c r="BS73" s="112">
        <v>0</v>
      </c>
      <c r="BT73" s="112">
        <v>0</v>
      </c>
      <c r="BU73" s="112">
        <v>0</v>
      </c>
      <c r="BV73" s="112">
        <v>0</v>
      </c>
      <c r="BW73" s="112">
        <v>0</v>
      </c>
      <c r="BX73" s="112">
        <v>0</v>
      </c>
      <c r="BY73" s="112">
        <v>0</v>
      </c>
      <c r="BZ73" s="112">
        <v>0</v>
      </c>
      <c r="CA73" s="112">
        <v>0</v>
      </c>
      <c r="CB73" s="112">
        <v>0</v>
      </c>
      <c r="CC73" s="112">
        <v>0</v>
      </c>
      <c r="CD73" s="112">
        <v>0</v>
      </c>
      <c r="CE73" s="112">
        <v>0</v>
      </c>
      <c r="CF73" s="112">
        <v>0</v>
      </c>
      <c r="CG73" s="112">
        <v>0</v>
      </c>
      <c r="CH73" s="112">
        <v>0</v>
      </c>
      <c r="CI73" s="112">
        <v>0</v>
      </c>
      <c r="CJ73" s="112">
        <v>0</v>
      </c>
      <c r="CK73" s="112">
        <v>0</v>
      </c>
      <c r="CL73" s="112">
        <v>0</v>
      </c>
      <c r="CM73" s="112">
        <v>0</v>
      </c>
      <c r="CN73" s="112">
        <v>0</v>
      </c>
      <c r="CO73" s="112">
        <v>0</v>
      </c>
      <c r="CP73" s="112">
        <v>0</v>
      </c>
      <c r="CQ73" s="112">
        <v>0</v>
      </c>
      <c r="CR73" s="112">
        <v>0</v>
      </c>
      <c r="CS73" s="112">
        <v>0</v>
      </c>
      <c r="CT73" s="112">
        <v>0</v>
      </c>
      <c r="CU73" s="112">
        <v>0</v>
      </c>
      <c r="CV73" s="112">
        <v>0</v>
      </c>
    </row>
    <row r="74" spans="1:100" x14ac:dyDescent="0.15">
      <c r="A74" s="191" t="s">
        <v>264</v>
      </c>
      <c r="B74" s="112">
        <v>0</v>
      </c>
      <c r="C74" s="112">
        <v>0</v>
      </c>
      <c r="D74" s="112">
        <v>0</v>
      </c>
      <c r="E74" s="112">
        <v>0</v>
      </c>
      <c r="F74" s="112">
        <v>0</v>
      </c>
      <c r="G74" s="112">
        <v>0</v>
      </c>
      <c r="H74" s="112">
        <v>0</v>
      </c>
      <c r="I74" s="112">
        <v>0</v>
      </c>
      <c r="J74" s="112">
        <v>0</v>
      </c>
      <c r="K74" s="112">
        <v>0</v>
      </c>
      <c r="L74" s="112">
        <v>0</v>
      </c>
      <c r="M74" s="112">
        <v>0</v>
      </c>
      <c r="N74" s="112">
        <v>0</v>
      </c>
      <c r="O74" s="112">
        <v>0</v>
      </c>
      <c r="P74" s="112">
        <v>0</v>
      </c>
      <c r="Q74" s="112">
        <v>0</v>
      </c>
      <c r="R74" s="112">
        <v>0</v>
      </c>
      <c r="S74" s="112">
        <v>0</v>
      </c>
      <c r="T74" s="112">
        <v>0</v>
      </c>
      <c r="U74" s="112">
        <v>0</v>
      </c>
      <c r="V74" s="112">
        <v>0</v>
      </c>
      <c r="W74" s="112">
        <v>0</v>
      </c>
      <c r="X74" s="112">
        <v>1</v>
      </c>
      <c r="Y74" s="112">
        <v>0</v>
      </c>
      <c r="Z74" s="112">
        <v>0</v>
      </c>
      <c r="AA74" s="112">
        <v>0</v>
      </c>
      <c r="AB74" s="112">
        <v>0</v>
      </c>
      <c r="AC74" s="112">
        <v>1</v>
      </c>
      <c r="AD74" s="112">
        <v>0</v>
      </c>
      <c r="AE74" s="112">
        <v>0</v>
      </c>
      <c r="AF74" s="112">
        <v>0</v>
      </c>
      <c r="AG74" s="112">
        <v>0</v>
      </c>
      <c r="AH74" s="112">
        <v>0</v>
      </c>
      <c r="AI74" s="112">
        <v>0</v>
      </c>
      <c r="AJ74" s="112">
        <v>0</v>
      </c>
      <c r="AK74" s="112">
        <v>0</v>
      </c>
      <c r="AL74" s="112">
        <v>0</v>
      </c>
      <c r="AM74" s="112">
        <v>0</v>
      </c>
      <c r="AN74" s="112">
        <v>0</v>
      </c>
      <c r="AO74" s="112">
        <v>0</v>
      </c>
      <c r="AP74" s="112">
        <v>1</v>
      </c>
      <c r="AQ74" s="112">
        <v>0</v>
      </c>
      <c r="AR74" s="112">
        <v>0</v>
      </c>
      <c r="AS74" s="112">
        <v>0</v>
      </c>
      <c r="AT74" s="112">
        <v>0</v>
      </c>
      <c r="AU74" s="112">
        <v>0</v>
      </c>
      <c r="AV74" s="112">
        <v>0</v>
      </c>
      <c r="AW74" s="112">
        <v>1</v>
      </c>
      <c r="AX74" s="112">
        <v>1</v>
      </c>
      <c r="AY74" s="112">
        <v>1</v>
      </c>
      <c r="AZ74" s="112">
        <v>1</v>
      </c>
      <c r="BA74" s="112">
        <v>1</v>
      </c>
      <c r="BB74" s="112">
        <v>0</v>
      </c>
      <c r="BC74" s="112">
        <v>1</v>
      </c>
      <c r="BD74" s="112">
        <v>1</v>
      </c>
      <c r="BE74" s="112">
        <v>0</v>
      </c>
      <c r="BF74" s="112">
        <v>1</v>
      </c>
      <c r="BG74" s="112">
        <v>0</v>
      </c>
      <c r="BH74" s="112">
        <v>1</v>
      </c>
      <c r="BI74" s="112">
        <v>1</v>
      </c>
      <c r="BJ74" s="112">
        <v>0</v>
      </c>
      <c r="BK74" s="112">
        <v>0</v>
      </c>
      <c r="BL74" s="112">
        <v>0</v>
      </c>
      <c r="BM74" s="112">
        <v>1</v>
      </c>
      <c r="BN74" s="112">
        <v>1</v>
      </c>
      <c r="BO74" s="112">
        <v>0</v>
      </c>
      <c r="BP74" s="112">
        <v>1</v>
      </c>
      <c r="BQ74" s="112">
        <v>0</v>
      </c>
      <c r="BR74" s="112">
        <v>1</v>
      </c>
      <c r="BS74" s="112">
        <v>0</v>
      </c>
      <c r="BT74" s="112">
        <v>1</v>
      </c>
      <c r="BU74" s="112">
        <v>0</v>
      </c>
      <c r="BV74" s="112">
        <v>1</v>
      </c>
      <c r="BW74" s="112">
        <v>0</v>
      </c>
      <c r="BX74" s="112">
        <v>0</v>
      </c>
      <c r="BY74" s="112">
        <v>0</v>
      </c>
      <c r="BZ74" s="112">
        <v>0</v>
      </c>
      <c r="CA74" s="112">
        <v>0</v>
      </c>
      <c r="CB74" s="112">
        <v>0</v>
      </c>
      <c r="CC74" s="112">
        <v>0</v>
      </c>
      <c r="CD74" s="112">
        <v>0</v>
      </c>
      <c r="CE74" s="112">
        <v>0</v>
      </c>
      <c r="CF74" s="112">
        <v>0</v>
      </c>
      <c r="CG74" s="112">
        <v>0</v>
      </c>
      <c r="CH74" s="112">
        <v>0</v>
      </c>
      <c r="CI74" s="112">
        <v>0</v>
      </c>
      <c r="CJ74" s="112">
        <v>0</v>
      </c>
      <c r="CK74" s="112">
        <v>0</v>
      </c>
      <c r="CL74" s="112">
        <v>0</v>
      </c>
      <c r="CM74" s="112">
        <v>0</v>
      </c>
      <c r="CN74" s="112">
        <v>0</v>
      </c>
      <c r="CO74" s="112">
        <v>0</v>
      </c>
      <c r="CP74" s="112">
        <v>0</v>
      </c>
      <c r="CQ74" s="112">
        <v>0</v>
      </c>
      <c r="CR74" s="112">
        <v>0</v>
      </c>
      <c r="CS74" s="112">
        <v>0</v>
      </c>
      <c r="CT74" s="112">
        <v>0</v>
      </c>
      <c r="CU74" s="112">
        <v>0</v>
      </c>
      <c r="CV74" s="112">
        <v>0</v>
      </c>
    </row>
    <row r="75" spans="1:100" x14ac:dyDescent="0.15">
      <c r="A75" s="191" t="s">
        <v>265</v>
      </c>
      <c r="B75" s="112">
        <v>0</v>
      </c>
      <c r="C75" s="112">
        <v>0</v>
      </c>
      <c r="D75" s="112">
        <v>0</v>
      </c>
      <c r="E75" s="112">
        <v>0</v>
      </c>
      <c r="F75" s="112">
        <v>0</v>
      </c>
      <c r="G75" s="112">
        <v>0</v>
      </c>
      <c r="H75" s="112">
        <v>0</v>
      </c>
      <c r="I75" s="112">
        <v>0</v>
      </c>
      <c r="J75" s="112">
        <v>0</v>
      </c>
      <c r="K75" s="112">
        <v>0</v>
      </c>
      <c r="L75" s="112">
        <v>0</v>
      </c>
      <c r="M75" s="112">
        <v>0</v>
      </c>
      <c r="N75" s="112">
        <v>0</v>
      </c>
      <c r="O75" s="112">
        <v>0</v>
      </c>
      <c r="P75" s="112">
        <v>0</v>
      </c>
      <c r="Q75" s="112">
        <v>0</v>
      </c>
      <c r="R75" s="112">
        <v>0</v>
      </c>
      <c r="S75" s="112">
        <v>0</v>
      </c>
      <c r="T75" s="112">
        <v>0</v>
      </c>
      <c r="U75" s="112">
        <v>0</v>
      </c>
      <c r="V75" s="112">
        <v>0</v>
      </c>
      <c r="W75" s="112">
        <v>0</v>
      </c>
      <c r="X75" s="112">
        <v>1</v>
      </c>
      <c r="Y75" s="112">
        <v>0</v>
      </c>
      <c r="Z75" s="112">
        <v>0</v>
      </c>
      <c r="AA75" s="112">
        <v>0</v>
      </c>
      <c r="AB75" s="112">
        <v>0</v>
      </c>
      <c r="AC75" s="112">
        <v>0</v>
      </c>
      <c r="AD75" s="112">
        <v>0</v>
      </c>
      <c r="AE75" s="112">
        <v>0</v>
      </c>
      <c r="AF75" s="112">
        <v>0</v>
      </c>
      <c r="AG75" s="112">
        <v>0</v>
      </c>
      <c r="AH75" s="112">
        <v>0</v>
      </c>
      <c r="AI75" s="112">
        <v>0</v>
      </c>
      <c r="AJ75" s="112">
        <v>0</v>
      </c>
      <c r="AK75" s="112">
        <v>0</v>
      </c>
      <c r="AL75" s="112">
        <v>0</v>
      </c>
      <c r="AM75" s="112">
        <v>0</v>
      </c>
      <c r="AN75" s="112">
        <v>0</v>
      </c>
      <c r="AO75" s="112">
        <v>0</v>
      </c>
      <c r="AP75" s="112">
        <v>1</v>
      </c>
      <c r="AQ75" s="112">
        <v>0</v>
      </c>
      <c r="AR75" s="112">
        <v>0</v>
      </c>
      <c r="AS75" s="112">
        <v>1</v>
      </c>
      <c r="AT75" s="112">
        <v>0</v>
      </c>
      <c r="AU75" s="112">
        <v>0</v>
      </c>
      <c r="AV75" s="112">
        <v>0</v>
      </c>
      <c r="AW75" s="112">
        <v>0</v>
      </c>
      <c r="AX75" s="112">
        <v>0</v>
      </c>
      <c r="AY75" s="112">
        <v>0</v>
      </c>
      <c r="AZ75" s="112">
        <v>0</v>
      </c>
      <c r="BA75" s="112">
        <v>0</v>
      </c>
      <c r="BB75" s="112">
        <v>1</v>
      </c>
      <c r="BC75" s="112">
        <v>1</v>
      </c>
      <c r="BD75" s="112">
        <v>1</v>
      </c>
      <c r="BE75" s="112">
        <v>0</v>
      </c>
      <c r="BF75" s="112">
        <v>1</v>
      </c>
      <c r="BG75" s="112">
        <v>0</v>
      </c>
      <c r="BH75" s="112">
        <v>1</v>
      </c>
      <c r="BI75" s="112">
        <v>0</v>
      </c>
      <c r="BJ75" s="112">
        <v>0</v>
      </c>
      <c r="BK75" s="112">
        <v>0</v>
      </c>
      <c r="BL75" s="112">
        <v>0</v>
      </c>
      <c r="BM75" s="112">
        <v>1</v>
      </c>
      <c r="BN75" s="112">
        <v>0</v>
      </c>
      <c r="BO75" s="112">
        <v>1</v>
      </c>
      <c r="BP75" s="112">
        <v>0</v>
      </c>
      <c r="BQ75" s="112">
        <v>1</v>
      </c>
      <c r="BR75" s="112">
        <v>0</v>
      </c>
      <c r="BS75" s="112">
        <v>1</v>
      </c>
      <c r="BT75" s="112">
        <v>0</v>
      </c>
      <c r="BU75" s="112">
        <v>1</v>
      </c>
      <c r="BV75" s="112">
        <v>0</v>
      </c>
      <c r="BW75" s="112">
        <v>1</v>
      </c>
      <c r="BX75" s="112">
        <v>0</v>
      </c>
      <c r="BY75" s="112">
        <v>0</v>
      </c>
      <c r="BZ75" s="112">
        <v>0</v>
      </c>
      <c r="CA75" s="112">
        <v>0</v>
      </c>
      <c r="CB75" s="112">
        <v>0</v>
      </c>
      <c r="CC75" s="112">
        <v>0</v>
      </c>
      <c r="CD75" s="112">
        <v>0</v>
      </c>
      <c r="CE75" s="112">
        <v>0</v>
      </c>
      <c r="CF75" s="112">
        <v>0</v>
      </c>
      <c r="CG75" s="112">
        <v>0</v>
      </c>
      <c r="CH75" s="112">
        <v>0</v>
      </c>
      <c r="CI75" s="112">
        <v>0</v>
      </c>
      <c r="CJ75" s="112">
        <v>0</v>
      </c>
      <c r="CK75" s="112">
        <v>0</v>
      </c>
      <c r="CL75" s="112">
        <v>0</v>
      </c>
      <c r="CM75" s="112">
        <v>0</v>
      </c>
      <c r="CN75" s="112">
        <v>0</v>
      </c>
      <c r="CO75" s="112">
        <v>0</v>
      </c>
      <c r="CP75" s="112">
        <v>0</v>
      </c>
      <c r="CQ75" s="112">
        <v>0</v>
      </c>
      <c r="CR75" s="112">
        <v>0</v>
      </c>
      <c r="CS75" s="112">
        <v>0</v>
      </c>
      <c r="CT75" s="112">
        <v>0</v>
      </c>
      <c r="CU75" s="112">
        <v>0</v>
      </c>
      <c r="CV75" s="112">
        <v>0</v>
      </c>
    </row>
    <row r="76" spans="1:100" x14ac:dyDescent="0.15">
      <c r="A76" s="191" t="s">
        <v>266</v>
      </c>
      <c r="B76" s="112">
        <v>0</v>
      </c>
      <c r="C76" s="112">
        <v>0</v>
      </c>
      <c r="D76" s="112">
        <v>0</v>
      </c>
      <c r="E76" s="112">
        <v>0</v>
      </c>
      <c r="F76" s="112">
        <v>0</v>
      </c>
      <c r="G76" s="112">
        <v>0</v>
      </c>
      <c r="H76" s="112">
        <v>0</v>
      </c>
      <c r="I76" s="112">
        <v>0</v>
      </c>
      <c r="J76" s="112">
        <v>0</v>
      </c>
      <c r="K76" s="112">
        <v>0</v>
      </c>
      <c r="L76" s="112">
        <v>0</v>
      </c>
      <c r="M76" s="112">
        <v>0</v>
      </c>
      <c r="N76" s="112">
        <v>0</v>
      </c>
      <c r="O76" s="112">
        <v>0</v>
      </c>
      <c r="P76" s="112">
        <v>0</v>
      </c>
      <c r="Q76" s="112">
        <v>0</v>
      </c>
      <c r="R76" s="112">
        <v>0</v>
      </c>
      <c r="S76" s="112">
        <v>0</v>
      </c>
      <c r="T76" s="112">
        <v>0</v>
      </c>
      <c r="U76" s="112">
        <v>1</v>
      </c>
      <c r="V76" s="112">
        <v>0</v>
      </c>
      <c r="W76" s="112">
        <v>0</v>
      </c>
      <c r="X76" s="112">
        <v>1</v>
      </c>
      <c r="Y76" s="112">
        <v>0</v>
      </c>
      <c r="Z76" s="112">
        <v>1</v>
      </c>
      <c r="AA76" s="112">
        <v>0</v>
      </c>
      <c r="AB76" s="112">
        <v>0</v>
      </c>
      <c r="AC76" s="112">
        <v>1</v>
      </c>
      <c r="AD76" s="112">
        <v>0</v>
      </c>
      <c r="AE76" s="112">
        <v>0</v>
      </c>
      <c r="AF76" s="112">
        <v>0</v>
      </c>
      <c r="AG76" s="112">
        <v>0</v>
      </c>
      <c r="AH76" s="112">
        <v>0</v>
      </c>
      <c r="AI76" s="112">
        <v>0</v>
      </c>
      <c r="AJ76" s="112">
        <v>1</v>
      </c>
      <c r="AK76" s="112">
        <v>0</v>
      </c>
      <c r="AL76" s="112">
        <v>0</v>
      </c>
      <c r="AM76" s="112">
        <v>0</v>
      </c>
      <c r="AN76" s="112">
        <v>0</v>
      </c>
      <c r="AO76" s="112">
        <v>0</v>
      </c>
      <c r="AP76" s="112">
        <v>0</v>
      </c>
      <c r="AQ76" s="112">
        <v>0</v>
      </c>
      <c r="AR76" s="112">
        <v>0</v>
      </c>
      <c r="AS76" s="112">
        <v>0</v>
      </c>
      <c r="AT76" s="112">
        <v>1</v>
      </c>
      <c r="AU76" s="112">
        <v>1</v>
      </c>
      <c r="AV76" s="112">
        <v>0</v>
      </c>
      <c r="AW76" s="112">
        <v>1</v>
      </c>
      <c r="AX76" s="112">
        <v>1</v>
      </c>
      <c r="AY76" s="112">
        <v>1</v>
      </c>
      <c r="AZ76" s="112">
        <v>1</v>
      </c>
      <c r="BA76" s="112">
        <v>1</v>
      </c>
      <c r="BB76" s="112">
        <v>0</v>
      </c>
      <c r="BC76" s="112">
        <v>0</v>
      </c>
      <c r="BD76" s="112">
        <v>0</v>
      </c>
      <c r="BE76" s="112">
        <v>0</v>
      </c>
      <c r="BF76" s="112">
        <v>0</v>
      </c>
      <c r="BG76" s="112">
        <v>0</v>
      </c>
      <c r="BH76" s="112">
        <v>1</v>
      </c>
      <c r="BI76" s="112">
        <v>1</v>
      </c>
      <c r="BJ76" s="112">
        <v>0</v>
      </c>
      <c r="BK76" s="112">
        <v>0</v>
      </c>
      <c r="BL76" s="112">
        <v>0</v>
      </c>
      <c r="BM76" s="112">
        <v>0</v>
      </c>
      <c r="BN76" s="112">
        <v>0</v>
      </c>
      <c r="BO76" s="112">
        <v>0</v>
      </c>
      <c r="BP76" s="112">
        <v>0</v>
      </c>
      <c r="BQ76" s="112">
        <v>0</v>
      </c>
      <c r="BR76" s="112">
        <v>0</v>
      </c>
      <c r="BS76" s="112">
        <v>0</v>
      </c>
      <c r="BT76" s="112">
        <v>1</v>
      </c>
      <c r="BU76" s="112">
        <v>0</v>
      </c>
      <c r="BV76" s="112">
        <v>0</v>
      </c>
      <c r="BW76" s="112">
        <v>0</v>
      </c>
      <c r="BX76" s="112">
        <v>0</v>
      </c>
      <c r="BY76" s="112">
        <v>0</v>
      </c>
      <c r="BZ76" s="112">
        <v>0</v>
      </c>
      <c r="CA76" s="112">
        <v>0</v>
      </c>
      <c r="CB76" s="112">
        <v>0</v>
      </c>
      <c r="CC76" s="112">
        <v>0</v>
      </c>
      <c r="CD76" s="112">
        <v>0</v>
      </c>
      <c r="CE76" s="112">
        <v>0</v>
      </c>
      <c r="CF76" s="112">
        <v>0</v>
      </c>
      <c r="CG76" s="112">
        <v>0</v>
      </c>
      <c r="CH76" s="112">
        <v>0</v>
      </c>
      <c r="CI76" s="112">
        <v>0</v>
      </c>
      <c r="CJ76" s="112">
        <v>0</v>
      </c>
      <c r="CK76" s="112">
        <v>0</v>
      </c>
      <c r="CL76" s="112">
        <v>0</v>
      </c>
      <c r="CM76" s="112">
        <v>0</v>
      </c>
      <c r="CN76" s="112">
        <v>0</v>
      </c>
      <c r="CO76" s="112">
        <v>0</v>
      </c>
      <c r="CP76" s="112">
        <v>0</v>
      </c>
      <c r="CQ76" s="112">
        <v>0</v>
      </c>
      <c r="CR76" s="112">
        <v>0</v>
      </c>
      <c r="CS76" s="112">
        <v>0</v>
      </c>
      <c r="CT76" s="112">
        <v>0</v>
      </c>
      <c r="CU76" s="112">
        <v>0</v>
      </c>
      <c r="CV76" s="112">
        <v>0</v>
      </c>
    </row>
    <row r="77" spans="1:100" x14ac:dyDescent="0.15">
      <c r="A77" s="191" t="s">
        <v>267</v>
      </c>
      <c r="B77" s="112">
        <v>0</v>
      </c>
      <c r="C77" s="112">
        <v>0</v>
      </c>
      <c r="D77" s="112">
        <v>0</v>
      </c>
      <c r="E77" s="112">
        <v>0</v>
      </c>
      <c r="F77" s="112">
        <v>0</v>
      </c>
      <c r="G77" s="112">
        <v>0</v>
      </c>
      <c r="H77" s="112">
        <v>0</v>
      </c>
      <c r="I77" s="112">
        <v>0</v>
      </c>
      <c r="J77" s="112">
        <v>0</v>
      </c>
      <c r="K77" s="112">
        <v>0</v>
      </c>
      <c r="L77" s="112">
        <v>0</v>
      </c>
      <c r="M77" s="112">
        <v>0</v>
      </c>
      <c r="N77" s="112">
        <v>0</v>
      </c>
      <c r="O77" s="112">
        <v>0</v>
      </c>
      <c r="P77" s="112">
        <v>0</v>
      </c>
      <c r="Q77" s="112">
        <v>0</v>
      </c>
      <c r="R77" s="112">
        <v>0</v>
      </c>
      <c r="S77" s="112">
        <v>0</v>
      </c>
      <c r="T77" s="112">
        <v>0</v>
      </c>
      <c r="U77" s="112">
        <v>0</v>
      </c>
      <c r="V77" s="112">
        <v>0</v>
      </c>
      <c r="W77" s="112">
        <v>0</v>
      </c>
      <c r="X77" s="112">
        <v>1</v>
      </c>
      <c r="Y77" s="112">
        <v>0</v>
      </c>
      <c r="Z77" s="112">
        <v>0</v>
      </c>
      <c r="AA77" s="112">
        <v>0</v>
      </c>
      <c r="AB77" s="112">
        <v>0</v>
      </c>
      <c r="AC77" s="112">
        <v>0</v>
      </c>
      <c r="AD77" s="112">
        <v>0</v>
      </c>
      <c r="AE77" s="112">
        <v>0</v>
      </c>
      <c r="AF77" s="112">
        <v>0</v>
      </c>
      <c r="AG77" s="112">
        <v>0</v>
      </c>
      <c r="AH77" s="112">
        <v>0</v>
      </c>
      <c r="AI77" s="112">
        <v>0</v>
      </c>
      <c r="AJ77" s="112">
        <v>0</v>
      </c>
      <c r="AK77" s="112">
        <v>0</v>
      </c>
      <c r="AL77" s="112">
        <v>0</v>
      </c>
      <c r="AM77" s="112">
        <v>0</v>
      </c>
      <c r="AN77" s="112">
        <v>0</v>
      </c>
      <c r="AO77" s="112">
        <v>0</v>
      </c>
      <c r="AP77" s="112">
        <v>0</v>
      </c>
      <c r="AQ77" s="112">
        <v>0</v>
      </c>
      <c r="AR77" s="112">
        <v>0</v>
      </c>
      <c r="AS77" s="112">
        <v>1</v>
      </c>
      <c r="AT77" s="112">
        <v>0</v>
      </c>
      <c r="AU77" s="112">
        <v>0</v>
      </c>
      <c r="AV77" s="112">
        <v>1</v>
      </c>
      <c r="AW77" s="112">
        <v>0</v>
      </c>
      <c r="AX77" s="112">
        <v>0</v>
      </c>
      <c r="AY77" s="112">
        <v>0</v>
      </c>
      <c r="AZ77" s="112">
        <v>0</v>
      </c>
      <c r="BA77" s="112">
        <v>0</v>
      </c>
      <c r="BB77" s="112">
        <v>1</v>
      </c>
      <c r="BC77" s="112">
        <v>0</v>
      </c>
      <c r="BD77" s="112">
        <v>0</v>
      </c>
      <c r="BE77" s="112">
        <v>0</v>
      </c>
      <c r="BF77" s="112">
        <v>0</v>
      </c>
      <c r="BG77" s="112">
        <v>0</v>
      </c>
      <c r="BH77" s="112">
        <v>1</v>
      </c>
      <c r="BI77" s="112">
        <v>0</v>
      </c>
      <c r="BJ77" s="112">
        <v>0</v>
      </c>
      <c r="BK77" s="112">
        <v>0</v>
      </c>
      <c r="BL77" s="112">
        <v>0</v>
      </c>
      <c r="BM77" s="112">
        <v>0</v>
      </c>
      <c r="BN77" s="112">
        <v>0</v>
      </c>
      <c r="BO77" s="112">
        <v>0</v>
      </c>
      <c r="BP77" s="112">
        <v>0</v>
      </c>
      <c r="BQ77" s="112">
        <v>0</v>
      </c>
      <c r="BR77" s="112">
        <v>0</v>
      </c>
      <c r="BS77" s="112">
        <v>0</v>
      </c>
      <c r="BT77" s="112">
        <v>0</v>
      </c>
      <c r="BU77" s="112">
        <v>1</v>
      </c>
      <c r="BV77" s="112">
        <v>0</v>
      </c>
      <c r="BW77" s="112">
        <v>0</v>
      </c>
      <c r="BX77" s="112">
        <v>0</v>
      </c>
      <c r="BY77" s="112">
        <v>0</v>
      </c>
      <c r="BZ77" s="112">
        <v>0</v>
      </c>
      <c r="CA77" s="112">
        <v>0</v>
      </c>
      <c r="CB77" s="112">
        <v>0</v>
      </c>
      <c r="CC77" s="112">
        <v>0</v>
      </c>
      <c r="CD77" s="112">
        <v>0</v>
      </c>
      <c r="CE77" s="112">
        <v>0</v>
      </c>
      <c r="CF77" s="112">
        <v>0</v>
      </c>
      <c r="CG77" s="112">
        <v>0</v>
      </c>
      <c r="CH77" s="112">
        <v>0</v>
      </c>
      <c r="CI77" s="112">
        <v>0</v>
      </c>
      <c r="CJ77" s="112">
        <v>0</v>
      </c>
      <c r="CK77" s="112">
        <v>0</v>
      </c>
      <c r="CL77" s="112">
        <v>0</v>
      </c>
      <c r="CM77" s="112">
        <v>0</v>
      </c>
      <c r="CN77" s="112">
        <v>0</v>
      </c>
      <c r="CO77" s="112">
        <v>0</v>
      </c>
      <c r="CP77" s="112">
        <v>0</v>
      </c>
      <c r="CQ77" s="112">
        <v>0</v>
      </c>
      <c r="CR77" s="112">
        <v>0</v>
      </c>
      <c r="CS77" s="112">
        <v>0</v>
      </c>
      <c r="CT77" s="112">
        <v>0</v>
      </c>
      <c r="CU77" s="112">
        <v>0</v>
      </c>
      <c r="CV77" s="112">
        <v>0</v>
      </c>
    </row>
    <row r="78" spans="1:100" x14ac:dyDescent="0.15">
      <c r="A78" s="191" t="s">
        <v>268</v>
      </c>
      <c r="B78" s="112">
        <v>0</v>
      </c>
      <c r="C78" s="112">
        <v>0</v>
      </c>
      <c r="D78" s="112">
        <v>0</v>
      </c>
      <c r="E78" s="112">
        <v>1</v>
      </c>
      <c r="F78" s="112">
        <v>0</v>
      </c>
      <c r="G78" s="112">
        <v>0</v>
      </c>
      <c r="H78" s="112">
        <v>0</v>
      </c>
      <c r="I78" s="112">
        <v>0</v>
      </c>
      <c r="J78" s="112">
        <v>0</v>
      </c>
      <c r="K78" s="112">
        <v>0</v>
      </c>
      <c r="L78" s="112">
        <v>0</v>
      </c>
      <c r="M78" s="112">
        <v>0</v>
      </c>
      <c r="N78" s="112">
        <v>0</v>
      </c>
      <c r="O78" s="112">
        <v>0</v>
      </c>
      <c r="P78" s="112">
        <v>0</v>
      </c>
      <c r="Q78" s="112">
        <v>0</v>
      </c>
      <c r="R78" s="112">
        <v>0</v>
      </c>
      <c r="S78" s="112">
        <v>0</v>
      </c>
      <c r="T78" s="112">
        <v>0</v>
      </c>
      <c r="U78" s="112">
        <v>0</v>
      </c>
      <c r="V78" s="112">
        <v>0</v>
      </c>
      <c r="W78" s="112">
        <v>0</v>
      </c>
      <c r="X78" s="112">
        <v>0</v>
      </c>
      <c r="Y78" s="112">
        <v>0</v>
      </c>
      <c r="Z78" s="112">
        <v>0</v>
      </c>
      <c r="AA78" s="112">
        <v>0</v>
      </c>
      <c r="AB78" s="112">
        <v>0</v>
      </c>
      <c r="AC78" s="112">
        <v>0</v>
      </c>
      <c r="AD78" s="112">
        <v>0</v>
      </c>
      <c r="AE78" s="112">
        <v>0</v>
      </c>
      <c r="AF78" s="112">
        <v>0</v>
      </c>
      <c r="AG78" s="112">
        <v>0</v>
      </c>
      <c r="AH78" s="112">
        <v>0</v>
      </c>
      <c r="AI78" s="112">
        <v>0</v>
      </c>
      <c r="AJ78" s="112">
        <v>0</v>
      </c>
      <c r="AK78" s="112">
        <v>0</v>
      </c>
      <c r="AL78" s="112">
        <v>0</v>
      </c>
      <c r="AM78" s="112">
        <v>0</v>
      </c>
      <c r="AN78" s="112">
        <v>0</v>
      </c>
      <c r="AO78" s="112">
        <v>0</v>
      </c>
      <c r="AP78" s="112">
        <v>0</v>
      </c>
      <c r="AQ78" s="112">
        <v>1</v>
      </c>
      <c r="AR78" s="112">
        <v>0</v>
      </c>
      <c r="AS78" s="112">
        <v>0</v>
      </c>
      <c r="AT78" s="112">
        <v>0</v>
      </c>
      <c r="AU78" s="112">
        <v>0</v>
      </c>
      <c r="AV78" s="112">
        <v>0</v>
      </c>
      <c r="AW78" s="112">
        <v>0</v>
      </c>
      <c r="AX78" s="112">
        <v>0</v>
      </c>
      <c r="AY78" s="112">
        <v>0</v>
      </c>
      <c r="AZ78" s="112">
        <v>0</v>
      </c>
      <c r="BA78" s="112">
        <v>0</v>
      </c>
      <c r="BB78" s="112">
        <v>0</v>
      </c>
      <c r="BC78" s="112">
        <v>0</v>
      </c>
      <c r="BD78" s="112">
        <v>0</v>
      </c>
      <c r="BE78" s="112">
        <v>0</v>
      </c>
      <c r="BF78" s="112">
        <v>0</v>
      </c>
      <c r="BG78" s="112">
        <v>0</v>
      </c>
      <c r="BH78" s="112">
        <v>0</v>
      </c>
      <c r="BI78" s="112">
        <v>0</v>
      </c>
      <c r="BJ78" s="112">
        <v>0</v>
      </c>
      <c r="BK78" s="112">
        <v>0</v>
      </c>
      <c r="BL78" s="112">
        <v>0</v>
      </c>
      <c r="BM78" s="112">
        <v>1</v>
      </c>
      <c r="BN78" s="112">
        <v>0</v>
      </c>
      <c r="BO78" s="112">
        <v>0</v>
      </c>
      <c r="BP78" s="112">
        <v>0</v>
      </c>
      <c r="BQ78" s="112">
        <v>0</v>
      </c>
      <c r="BR78" s="112">
        <v>0</v>
      </c>
      <c r="BS78" s="112">
        <v>0</v>
      </c>
      <c r="BT78" s="112">
        <v>0</v>
      </c>
      <c r="BU78" s="112">
        <v>0</v>
      </c>
      <c r="BV78" s="112">
        <v>0</v>
      </c>
      <c r="BW78" s="112">
        <v>0</v>
      </c>
      <c r="BX78" s="112">
        <v>0</v>
      </c>
      <c r="BY78" s="112">
        <v>0</v>
      </c>
      <c r="BZ78" s="112">
        <v>0</v>
      </c>
      <c r="CA78" s="112">
        <v>0</v>
      </c>
      <c r="CB78" s="112">
        <v>0</v>
      </c>
      <c r="CC78" s="112">
        <v>0</v>
      </c>
      <c r="CD78" s="112">
        <v>0</v>
      </c>
      <c r="CE78" s="112">
        <v>0</v>
      </c>
      <c r="CF78" s="112">
        <v>0</v>
      </c>
      <c r="CG78" s="112">
        <v>0</v>
      </c>
      <c r="CH78" s="112">
        <v>0</v>
      </c>
      <c r="CI78" s="112">
        <v>0</v>
      </c>
      <c r="CJ78" s="112">
        <v>0</v>
      </c>
      <c r="CK78" s="112">
        <v>0</v>
      </c>
      <c r="CL78" s="112">
        <v>0</v>
      </c>
      <c r="CM78" s="112">
        <v>0</v>
      </c>
      <c r="CN78" s="112">
        <v>0</v>
      </c>
      <c r="CO78" s="112">
        <v>0</v>
      </c>
      <c r="CP78" s="112">
        <v>0</v>
      </c>
      <c r="CQ78" s="112">
        <v>0</v>
      </c>
      <c r="CR78" s="112">
        <v>0</v>
      </c>
      <c r="CS78" s="112">
        <v>0</v>
      </c>
      <c r="CT78" s="112">
        <v>0</v>
      </c>
      <c r="CU78" s="112">
        <v>0</v>
      </c>
      <c r="CV78" s="112">
        <v>0</v>
      </c>
    </row>
    <row r="79" spans="1:100" x14ac:dyDescent="0.15">
      <c r="A79" s="191" t="s">
        <v>269</v>
      </c>
      <c r="B79" s="112">
        <v>0</v>
      </c>
      <c r="C79" s="112">
        <v>0</v>
      </c>
      <c r="D79" s="112">
        <v>0</v>
      </c>
      <c r="E79" s="112">
        <v>1</v>
      </c>
      <c r="F79" s="112">
        <v>0</v>
      </c>
      <c r="G79" s="112">
        <v>0</v>
      </c>
      <c r="H79" s="112">
        <v>0</v>
      </c>
      <c r="I79" s="112">
        <v>0</v>
      </c>
      <c r="J79" s="112">
        <v>0</v>
      </c>
      <c r="K79" s="112">
        <v>0</v>
      </c>
      <c r="L79" s="112">
        <v>0</v>
      </c>
      <c r="M79" s="112">
        <v>0</v>
      </c>
      <c r="N79" s="112">
        <v>0</v>
      </c>
      <c r="O79" s="112">
        <v>0</v>
      </c>
      <c r="P79" s="112">
        <v>0</v>
      </c>
      <c r="Q79" s="112">
        <v>0</v>
      </c>
      <c r="R79" s="112">
        <v>0</v>
      </c>
      <c r="S79" s="112">
        <v>0</v>
      </c>
      <c r="T79" s="112">
        <v>0</v>
      </c>
      <c r="U79" s="112">
        <v>1</v>
      </c>
      <c r="V79" s="112">
        <v>0</v>
      </c>
      <c r="W79" s="112">
        <v>0</v>
      </c>
      <c r="X79" s="112">
        <v>0</v>
      </c>
      <c r="Y79" s="112">
        <v>0</v>
      </c>
      <c r="Z79" s="112">
        <v>0</v>
      </c>
      <c r="AA79" s="112">
        <v>0</v>
      </c>
      <c r="AB79" s="112">
        <v>0</v>
      </c>
      <c r="AC79" s="112">
        <v>0</v>
      </c>
      <c r="AD79" s="112">
        <v>0</v>
      </c>
      <c r="AE79" s="112">
        <v>0</v>
      </c>
      <c r="AF79" s="112">
        <v>0</v>
      </c>
      <c r="AG79" s="112">
        <v>0</v>
      </c>
      <c r="AH79" s="112">
        <v>0</v>
      </c>
      <c r="AI79" s="112">
        <v>0</v>
      </c>
      <c r="AJ79" s="112">
        <v>0</v>
      </c>
      <c r="AK79" s="112">
        <v>0</v>
      </c>
      <c r="AL79" s="112">
        <v>0</v>
      </c>
      <c r="AM79" s="112">
        <v>0</v>
      </c>
      <c r="AN79" s="112">
        <v>0</v>
      </c>
      <c r="AO79" s="112">
        <v>0</v>
      </c>
      <c r="AP79" s="112">
        <v>0</v>
      </c>
      <c r="AQ79" s="112">
        <v>1</v>
      </c>
      <c r="AR79" s="112">
        <v>0</v>
      </c>
      <c r="AS79" s="112">
        <v>0</v>
      </c>
      <c r="AT79" s="112">
        <v>0</v>
      </c>
      <c r="AU79" s="112">
        <v>0</v>
      </c>
      <c r="AV79" s="112">
        <v>0</v>
      </c>
      <c r="AW79" s="112">
        <v>0</v>
      </c>
      <c r="AX79" s="112">
        <v>0</v>
      </c>
      <c r="AY79" s="112">
        <v>0</v>
      </c>
      <c r="AZ79" s="112">
        <v>0</v>
      </c>
      <c r="BA79" s="112">
        <v>0</v>
      </c>
      <c r="BB79" s="112">
        <v>0</v>
      </c>
      <c r="BC79" s="112">
        <v>0</v>
      </c>
      <c r="BD79" s="112">
        <v>0</v>
      </c>
      <c r="BE79" s="112">
        <v>0</v>
      </c>
      <c r="BF79" s="112">
        <v>0</v>
      </c>
      <c r="BG79" s="112">
        <v>0</v>
      </c>
      <c r="BH79" s="112">
        <v>0</v>
      </c>
      <c r="BI79" s="112">
        <v>0</v>
      </c>
      <c r="BJ79" s="112">
        <v>0</v>
      </c>
      <c r="BK79" s="112">
        <v>0</v>
      </c>
      <c r="BL79" s="112">
        <v>0</v>
      </c>
      <c r="BM79" s="112">
        <v>1</v>
      </c>
      <c r="BN79" s="112">
        <v>0</v>
      </c>
      <c r="BO79" s="112">
        <v>0</v>
      </c>
      <c r="BP79" s="112">
        <v>0</v>
      </c>
      <c r="BQ79" s="112">
        <v>0</v>
      </c>
      <c r="BR79" s="112">
        <v>0</v>
      </c>
      <c r="BS79" s="112">
        <v>0</v>
      </c>
      <c r="BT79" s="112">
        <v>0</v>
      </c>
      <c r="BU79" s="112">
        <v>0</v>
      </c>
      <c r="BV79" s="112">
        <v>0</v>
      </c>
      <c r="BW79" s="112">
        <v>0</v>
      </c>
      <c r="BX79" s="112">
        <v>0</v>
      </c>
      <c r="BY79" s="112">
        <v>0</v>
      </c>
      <c r="BZ79" s="112">
        <v>1</v>
      </c>
      <c r="CA79" s="112">
        <v>0</v>
      </c>
      <c r="CB79" s="112">
        <v>0</v>
      </c>
      <c r="CC79" s="112">
        <v>0</v>
      </c>
      <c r="CD79" s="112">
        <v>0</v>
      </c>
      <c r="CE79" s="112">
        <v>0</v>
      </c>
      <c r="CF79" s="112">
        <v>0</v>
      </c>
      <c r="CG79" s="112">
        <v>0</v>
      </c>
      <c r="CH79" s="112">
        <v>0</v>
      </c>
      <c r="CI79" s="112">
        <v>0</v>
      </c>
      <c r="CJ79" s="112">
        <v>0</v>
      </c>
      <c r="CK79" s="112">
        <v>0</v>
      </c>
      <c r="CL79" s="112">
        <v>0</v>
      </c>
      <c r="CM79" s="112">
        <v>0</v>
      </c>
      <c r="CN79" s="112">
        <v>0</v>
      </c>
      <c r="CO79" s="112">
        <v>0</v>
      </c>
      <c r="CP79" s="112">
        <v>0</v>
      </c>
      <c r="CQ79" s="112">
        <v>0</v>
      </c>
      <c r="CR79" s="112">
        <v>0</v>
      </c>
      <c r="CS79" s="112">
        <v>0</v>
      </c>
      <c r="CT79" s="112">
        <v>0</v>
      </c>
      <c r="CU79" s="112">
        <v>0</v>
      </c>
      <c r="CV79" s="112">
        <v>0</v>
      </c>
    </row>
    <row r="80" spans="1:100" x14ac:dyDescent="0.15">
      <c r="A80" s="191" t="s">
        <v>270</v>
      </c>
      <c r="B80" s="112">
        <v>1</v>
      </c>
      <c r="C80" s="112">
        <v>0</v>
      </c>
      <c r="D80" s="112">
        <v>0</v>
      </c>
      <c r="E80" s="112">
        <v>0</v>
      </c>
      <c r="F80" s="112">
        <v>0</v>
      </c>
      <c r="G80" s="112">
        <v>0</v>
      </c>
      <c r="H80" s="112">
        <v>0</v>
      </c>
      <c r="I80" s="112">
        <v>0</v>
      </c>
      <c r="J80" s="112">
        <v>0</v>
      </c>
      <c r="K80" s="112">
        <v>0</v>
      </c>
      <c r="L80" s="112">
        <v>1</v>
      </c>
      <c r="M80" s="112">
        <v>1</v>
      </c>
      <c r="N80" s="112">
        <v>0</v>
      </c>
      <c r="O80" s="112">
        <v>1</v>
      </c>
      <c r="P80" s="112">
        <v>1</v>
      </c>
      <c r="Q80" s="112">
        <v>1</v>
      </c>
      <c r="R80" s="112">
        <v>1</v>
      </c>
      <c r="S80" s="112">
        <v>1</v>
      </c>
      <c r="T80" s="112">
        <v>1</v>
      </c>
      <c r="U80" s="112">
        <v>1</v>
      </c>
      <c r="V80" s="112">
        <v>1</v>
      </c>
      <c r="W80" s="112">
        <v>1</v>
      </c>
      <c r="X80" s="112">
        <v>1</v>
      </c>
      <c r="Y80" s="112">
        <v>0</v>
      </c>
      <c r="Z80" s="112">
        <v>1</v>
      </c>
      <c r="AA80" s="112">
        <v>1</v>
      </c>
      <c r="AB80" s="112">
        <v>0</v>
      </c>
      <c r="AC80" s="112">
        <v>0</v>
      </c>
      <c r="AD80" s="112">
        <v>1</v>
      </c>
      <c r="AE80" s="112">
        <v>1</v>
      </c>
      <c r="AF80" s="112">
        <v>1</v>
      </c>
      <c r="AG80" s="112">
        <v>1</v>
      </c>
      <c r="AH80" s="112">
        <v>1</v>
      </c>
      <c r="AI80" s="112">
        <v>1</v>
      </c>
      <c r="AJ80" s="112">
        <v>1</v>
      </c>
      <c r="AK80" s="112">
        <v>1</v>
      </c>
      <c r="AL80" s="112">
        <v>0</v>
      </c>
      <c r="AM80" s="112">
        <v>0</v>
      </c>
      <c r="AN80" s="112">
        <v>1</v>
      </c>
      <c r="AO80" s="112">
        <v>0</v>
      </c>
      <c r="AP80" s="112">
        <v>0</v>
      </c>
      <c r="AQ80" s="112">
        <v>1</v>
      </c>
      <c r="AR80" s="112">
        <v>0</v>
      </c>
      <c r="AS80" s="112">
        <v>0</v>
      </c>
      <c r="AT80" s="112">
        <v>0</v>
      </c>
      <c r="AU80" s="112">
        <v>0</v>
      </c>
      <c r="AV80" s="112">
        <v>0</v>
      </c>
      <c r="AW80" s="112">
        <v>0</v>
      </c>
      <c r="AX80" s="112">
        <v>0</v>
      </c>
      <c r="AY80" s="112">
        <v>0</v>
      </c>
      <c r="AZ80" s="112">
        <v>0</v>
      </c>
      <c r="BA80" s="112">
        <v>0</v>
      </c>
      <c r="BB80" s="112">
        <v>0</v>
      </c>
      <c r="BC80" s="112">
        <v>0</v>
      </c>
      <c r="BD80" s="112">
        <v>0</v>
      </c>
      <c r="BE80" s="112">
        <v>0</v>
      </c>
      <c r="BF80" s="112">
        <v>0</v>
      </c>
      <c r="BG80" s="112">
        <v>0</v>
      </c>
      <c r="BH80" s="112">
        <v>0</v>
      </c>
      <c r="BI80" s="112">
        <v>0</v>
      </c>
      <c r="BJ80" s="112">
        <v>0</v>
      </c>
      <c r="BK80" s="112">
        <v>1</v>
      </c>
      <c r="BL80" s="112">
        <v>0</v>
      </c>
      <c r="BM80" s="112">
        <v>1</v>
      </c>
      <c r="BN80" s="112">
        <v>0</v>
      </c>
      <c r="BO80" s="112">
        <v>0</v>
      </c>
      <c r="BP80" s="112">
        <v>0</v>
      </c>
      <c r="BQ80" s="112">
        <v>0</v>
      </c>
      <c r="BR80" s="112">
        <v>0</v>
      </c>
      <c r="BS80" s="112">
        <v>0</v>
      </c>
      <c r="BT80" s="112">
        <v>0</v>
      </c>
      <c r="BU80" s="112">
        <v>0</v>
      </c>
      <c r="BV80" s="112">
        <v>0</v>
      </c>
      <c r="BW80" s="112">
        <v>0</v>
      </c>
      <c r="BX80" s="112">
        <v>1</v>
      </c>
      <c r="BY80" s="112">
        <v>0</v>
      </c>
      <c r="BZ80" s="112">
        <v>1</v>
      </c>
      <c r="CA80" s="112">
        <v>1</v>
      </c>
      <c r="CB80" s="112">
        <v>1</v>
      </c>
      <c r="CC80" s="112">
        <v>0</v>
      </c>
      <c r="CD80" s="112">
        <v>1</v>
      </c>
      <c r="CE80" s="112">
        <v>0</v>
      </c>
      <c r="CF80" s="112">
        <v>0</v>
      </c>
      <c r="CG80" s="112">
        <v>0</v>
      </c>
      <c r="CH80" s="112">
        <v>0</v>
      </c>
      <c r="CI80" s="112">
        <v>0</v>
      </c>
      <c r="CJ80" s="112">
        <v>0</v>
      </c>
      <c r="CK80" s="112">
        <v>0</v>
      </c>
      <c r="CL80" s="112">
        <v>0</v>
      </c>
      <c r="CM80" s="112">
        <v>0</v>
      </c>
      <c r="CN80" s="112">
        <v>0</v>
      </c>
      <c r="CO80" s="112">
        <v>0</v>
      </c>
      <c r="CP80" s="112">
        <v>0</v>
      </c>
      <c r="CQ80" s="112">
        <v>0</v>
      </c>
      <c r="CR80" s="112">
        <v>0</v>
      </c>
      <c r="CS80" s="112">
        <v>0</v>
      </c>
      <c r="CT80" s="112">
        <v>0</v>
      </c>
      <c r="CU80" s="112">
        <v>0</v>
      </c>
      <c r="CV80" s="112">
        <v>0</v>
      </c>
    </row>
    <row r="81" spans="1:100" x14ac:dyDescent="0.15">
      <c r="A81" s="191" t="s">
        <v>271</v>
      </c>
      <c r="B81" s="112">
        <v>0</v>
      </c>
      <c r="C81" s="112">
        <v>0</v>
      </c>
      <c r="D81" s="112">
        <v>0</v>
      </c>
      <c r="E81" s="112">
        <v>0</v>
      </c>
      <c r="F81" s="112">
        <v>0</v>
      </c>
      <c r="G81" s="112">
        <v>0</v>
      </c>
      <c r="H81" s="112">
        <v>0</v>
      </c>
      <c r="I81" s="112">
        <v>0</v>
      </c>
      <c r="J81" s="112">
        <v>0</v>
      </c>
      <c r="K81" s="112">
        <v>0</v>
      </c>
      <c r="L81" s="112">
        <v>0</v>
      </c>
      <c r="M81" s="112">
        <v>0</v>
      </c>
      <c r="N81" s="112">
        <v>0</v>
      </c>
      <c r="O81" s="112">
        <v>0</v>
      </c>
      <c r="P81" s="112">
        <v>0</v>
      </c>
      <c r="Q81" s="112">
        <v>0</v>
      </c>
      <c r="R81" s="112">
        <v>0</v>
      </c>
      <c r="S81" s="112">
        <v>0</v>
      </c>
      <c r="T81" s="112">
        <v>1</v>
      </c>
      <c r="U81" s="112">
        <v>1</v>
      </c>
      <c r="V81" s="112">
        <v>0</v>
      </c>
      <c r="W81" s="112">
        <v>0</v>
      </c>
      <c r="X81" s="112">
        <v>0</v>
      </c>
      <c r="Y81" s="112">
        <v>0</v>
      </c>
      <c r="Z81" s="112">
        <v>1</v>
      </c>
      <c r="AA81" s="112">
        <v>1</v>
      </c>
      <c r="AB81" s="112">
        <v>0</v>
      </c>
      <c r="AC81" s="112">
        <v>0</v>
      </c>
      <c r="AD81" s="112">
        <v>0</v>
      </c>
      <c r="AE81" s="112">
        <v>0</v>
      </c>
      <c r="AF81" s="112">
        <v>0</v>
      </c>
      <c r="AG81" s="112">
        <v>0</v>
      </c>
      <c r="AH81" s="112">
        <v>0</v>
      </c>
      <c r="AI81" s="112">
        <v>0</v>
      </c>
      <c r="AJ81" s="112">
        <v>0</v>
      </c>
      <c r="AK81" s="112">
        <v>1</v>
      </c>
      <c r="AL81" s="112">
        <v>0</v>
      </c>
      <c r="AM81" s="112">
        <v>0</v>
      </c>
      <c r="AN81" s="112">
        <v>0</v>
      </c>
      <c r="AO81" s="112">
        <v>0</v>
      </c>
      <c r="AP81" s="112">
        <v>0</v>
      </c>
      <c r="AQ81" s="112">
        <v>0</v>
      </c>
      <c r="AR81" s="112">
        <v>0</v>
      </c>
      <c r="AS81" s="112">
        <v>1</v>
      </c>
      <c r="AT81" s="112">
        <v>0</v>
      </c>
      <c r="AU81" s="112">
        <v>0</v>
      </c>
      <c r="AV81" s="112">
        <v>0</v>
      </c>
      <c r="AW81" s="112">
        <v>0</v>
      </c>
      <c r="AX81" s="112">
        <v>0</v>
      </c>
      <c r="AY81" s="112">
        <v>0</v>
      </c>
      <c r="AZ81" s="112">
        <v>0</v>
      </c>
      <c r="BA81" s="112">
        <v>0</v>
      </c>
      <c r="BB81" s="112">
        <v>1</v>
      </c>
      <c r="BC81" s="112">
        <v>0</v>
      </c>
      <c r="BD81" s="112">
        <v>0</v>
      </c>
      <c r="BE81" s="112">
        <v>0</v>
      </c>
      <c r="BF81" s="112">
        <v>0</v>
      </c>
      <c r="BG81" s="112">
        <v>0</v>
      </c>
      <c r="BH81" s="112">
        <v>0</v>
      </c>
      <c r="BI81" s="112">
        <v>0</v>
      </c>
      <c r="BJ81" s="112">
        <v>0</v>
      </c>
      <c r="BK81" s="112">
        <v>1</v>
      </c>
      <c r="BL81" s="112">
        <v>0</v>
      </c>
      <c r="BM81" s="112">
        <v>1</v>
      </c>
      <c r="BN81" s="112">
        <v>0</v>
      </c>
      <c r="BO81" s="112">
        <v>0</v>
      </c>
      <c r="BP81" s="112">
        <v>0</v>
      </c>
      <c r="BQ81" s="112">
        <v>0</v>
      </c>
      <c r="BR81" s="112">
        <v>0</v>
      </c>
      <c r="BS81" s="112">
        <v>0</v>
      </c>
      <c r="BT81" s="112">
        <v>0</v>
      </c>
      <c r="BU81" s="112">
        <v>0</v>
      </c>
      <c r="BV81" s="112">
        <v>0</v>
      </c>
      <c r="BW81" s="112">
        <v>0</v>
      </c>
      <c r="BX81" s="112">
        <v>0</v>
      </c>
      <c r="BY81" s="112">
        <v>1</v>
      </c>
      <c r="BZ81" s="112">
        <v>0</v>
      </c>
      <c r="CA81" s="112">
        <v>1</v>
      </c>
      <c r="CB81" s="112">
        <v>0</v>
      </c>
      <c r="CC81" s="112">
        <v>1</v>
      </c>
      <c r="CD81" s="112">
        <v>0</v>
      </c>
      <c r="CE81" s="112">
        <v>1</v>
      </c>
      <c r="CF81" s="112">
        <v>0</v>
      </c>
      <c r="CG81" s="112">
        <v>0</v>
      </c>
      <c r="CH81" s="112">
        <v>0</v>
      </c>
      <c r="CI81" s="112">
        <v>0</v>
      </c>
      <c r="CJ81" s="112">
        <v>0</v>
      </c>
      <c r="CK81" s="112">
        <v>0</v>
      </c>
      <c r="CL81" s="112">
        <v>0</v>
      </c>
      <c r="CM81" s="112">
        <v>0</v>
      </c>
      <c r="CN81" s="112">
        <v>0</v>
      </c>
      <c r="CO81" s="112">
        <v>0</v>
      </c>
      <c r="CP81" s="112">
        <v>0</v>
      </c>
      <c r="CQ81" s="112">
        <v>0</v>
      </c>
      <c r="CR81" s="112">
        <v>0</v>
      </c>
      <c r="CS81" s="112">
        <v>0</v>
      </c>
      <c r="CT81" s="112">
        <v>0</v>
      </c>
      <c r="CU81" s="112">
        <v>0</v>
      </c>
      <c r="CV81" s="112">
        <v>0</v>
      </c>
    </row>
    <row r="82" spans="1:100" x14ac:dyDescent="0.15">
      <c r="A82" s="191" t="s">
        <v>272</v>
      </c>
      <c r="B82" s="112">
        <v>0</v>
      </c>
      <c r="C82" s="112">
        <v>0</v>
      </c>
      <c r="D82" s="112">
        <v>0</v>
      </c>
      <c r="E82" s="112">
        <v>0</v>
      </c>
      <c r="F82" s="112">
        <v>0</v>
      </c>
      <c r="G82" s="112">
        <v>0</v>
      </c>
      <c r="H82" s="112">
        <v>0</v>
      </c>
      <c r="I82" s="112">
        <v>0</v>
      </c>
      <c r="J82" s="112">
        <v>0</v>
      </c>
      <c r="K82" s="112">
        <v>0</v>
      </c>
      <c r="L82" s="112">
        <v>0</v>
      </c>
      <c r="M82" s="112">
        <v>0</v>
      </c>
      <c r="N82" s="112">
        <v>0</v>
      </c>
      <c r="O82" s="112">
        <v>0</v>
      </c>
      <c r="P82" s="112">
        <v>0</v>
      </c>
      <c r="Q82" s="112">
        <v>0</v>
      </c>
      <c r="R82" s="112">
        <v>0</v>
      </c>
      <c r="S82" s="112">
        <v>0</v>
      </c>
      <c r="T82" s="112">
        <v>0</v>
      </c>
      <c r="U82" s="112">
        <v>0</v>
      </c>
      <c r="V82" s="112">
        <v>0</v>
      </c>
      <c r="W82" s="112">
        <v>0</v>
      </c>
      <c r="X82" s="112">
        <v>0</v>
      </c>
      <c r="Y82" s="112">
        <v>0</v>
      </c>
      <c r="Z82" s="112">
        <v>0</v>
      </c>
      <c r="AA82" s="112">
        <v>0</v>
      </c>
      <c r="AB82" s="112">
        <v>0</v>
      </c>
      <c r="AC82" s="112">
        <v>0</v>
      </c>
      <c r="AD82" s="112">
        <v>0</v>
      </c>
      <c r="AE82" s="112">
        <v>0</v>
      </c>
      <c r="AF82" s="112">
        <v>0</v>
      </c>
      <c r="AG82" s="112">
        <v>0</v>
      </c>
      <c r="AH82" s="112">
        <v>0</v>
      </c>
      <c r="AI82" s="112">
        <v>0</v>
      </c>
      <c r="AJ82" s="112">
        <v>0</v>
      </c>
      <c r="AK82" s="112">
        <v>0</v>
      </c>
      <c r="AL82" s="112">
        <v>0</v>
      </c>
      <c r="AM82" s="112">
        <v>0</v>
      </c>
      <c r="AN82" s="112">
        <v>0</v>
      </c>
      <c r="AO82" s="112">
        <v>0</v>
      </c>
      <c r="AP82" s="112">
        <v>0</v>
      </c>
      <c r="AQ82" s="112">
        <v>1</v>
      </c>
      <c r="AR82" s="112">
        <v>0</v>
      </c>
      <c r="AS82" s="112">
        <v>0</v>
      </c>
      <c r="AT82" s="112">
        <v>0</v>
      </c>
      <c r="AU82" s="112">
        <v>0</v>
      </c>
      <c r="AV82" s="112">
        <v>0</v>
      </c>
      <c r="AW82" s="112">
        <v>0</v>
      </c>
      <c r="AX82" s="112">
        <v>0</v>
      </c>
      <c r="AY82" s="112">
        <v>0</v>
      </c>
      <c r="AZ82" s="112">
        <v>0</v>
      </c>
      <c r="BA82" s="112">
        <v>0</v>
      </c>
      <c r="BB82" s="112">
        <v>0</v>
      </c>
      <c r="BC82" s="112">
        <v>0</v>
      </c>
      <c r="BD82" s="112">
        <v>0</v>
      </c>
      <c r="BE82" s="112">
        <v>0</v>
      </c>
      <c r="BF82" s="112">
        <v>0</v>
      </c>
      <c r="BG82" s="112">
        <v>0</v>
      </c>
      <c r="BH82" s="112">
        <v>0</v>
      </c>
      <c r="BI82" s="112">
        <v>0</v>
      </c>
      <c r="BJ82" s="112">
        <v>0</v>
      </c>
      <c r="BK82" s="112">
        <v>0</v>
      </c>
      <c r="BL82" s="112">
        <v>0</v>
      </c>
      <c r="BM82" s="112">
        <v>1</v>
      </c>
      <c r="BN82" s="112">
        <v>0</v>
      </c>
      <c r="BO82" s="112">
        <v>0</v>
      </c>
      <c r="BP82" s="112">
        <v>0</v>
      </c>
      <c r="BQ82" s="112">
        <v>0</v>
      </c>
      <c r="BR82" s="112">
        <v>0</v>
      </c>
      <c r="BS82" s="112">
        <v>0</v>
      </c>
      <c r="BT82" s="112">
        <v>0</v>
      </c>
      <c r="BU82" s="112">
        <v>0</v>
      </c>
      <c r="BV82" s="112">
        <v>0</v>
      </c>
      <c r="BW82" s="112">
        <v>0</v>
      </c>
      <c r="BX82" s="112">
        <v>0</v>
      </c>
      <c r="BY82" s="112">
        <v>0</v>
      </c>
      <c r="BZ82" s="112">
        <v>1</v>
      </c>
      <c r="CA82" s="112">
        <v>1</v>
      </c>
      <c r="CB82" s="112">
        <v>0</v>
      </c>
      <c r="CC82" s="112">
        <v>0</v>
      </c>
      <c r="CD82" s="112">
        <v>0</v>
      </c>
      <c r="CE82" s="112">
        <v>0</v>
      </c>
      <c r="CF82" s="112">
        <v>0</v>
      </c>
      <c r="CG82" s="112">
        <v>0</v>
      </c>
      <c r="CH82" s="112">
        <v>0</v>
      </c>
      <c r="CI82" s="112">
        <v>0</v>
      </c>
      <c r="CJ82" s="112">
        <v>0</v>
      </c>
      <c r="CK82" s="112">
        <v>0</v>
      </c>
      <c r="CL82" s="112">
        <v>0</v>
      </c>
      <c r="CM82" s="112">
        <v>0</v>
      </c>
      <c r="CN82" s="112">
        <v>0</v>
      </c>
      <c r="CO82" s="112">
        <v>0</v>
      </c>
      <c r="CP82" s="112">
        <v>0</v>
      </c>
      <c r="CQ82" s="112">
        <v>0</v>
      </c>
      <c r="CR82" s="112">
        <v>0</v>
      </c>
      <c r="CS82" s="112">
        <v>0</v>
      </c>
      <c r="CT82" s="112">
        <v>0</v>
      </c>
      <c r="CU82" s="112">
        <v>0</v>
      </c>
      <c r="CV82" s="112">
        <v>0</v>
      </c>
    </row>
    <row r="83" spans="1:100" x14ac:dyDescent="0.15">
      <c r="A83" s="191" t="s">
        <v>273</v>
      </c>
      <c r="B83" s="112">
        <v>0</v>
      </c>
      <c r="C83" s="112">
        <v>0</v>
      </c>
      <c r="D83" s="112">
        <v>0</v>
      </c>
      <c r="E83" s="112">
        <v>0</v>
      </c>
      <c r="F83" s="112">
        <v>0</v>
      </c>
      <c r="G83" s="112">
        <v>0</v>
      </c>
      <c r="H83" s="112">
        <v>0</v>
      </c>
      <c r="I83" s="112">
        <v>0</v>
      </c>
      <c r="J83" s="112">
        <v>0</v>
      </c>
      <c r="K83" s="112">
        <v>0</v>
      </c>
      <c r="L83" s="112">
        <v>0</v>
      </c>
      <c r="M83" s="112">
        <v>0</v>
      </c>
      <c r="N83" s="112">
        <v>0</v>
      </c>
      <c r="O83" s="112">
        <v>0</v>
      </c>
      <c r="P83" s="112">
        <v>0</v>
      </c>
      <c r="Q83" s="112">
        <v>0</v>
      </c>
      <c r="R83" s="112">
        <v>0</v>
      </c>
      <c r="S83" s="112">
        <v>0</v>
      </c>
      <c r="T83" s="112">
        <v>0</v>
      </c>
      <c r="U83" s="112">
        <v>0</v>
      </c>
      <c r="V83" s="112">
        <v>0</v>
      </c>
      <c r="W83" s="112">
        <v>0</v>
      </c>
      <c r="X83" s="112">
        <v>0</v>
      </c>
      <c r="Y83" s="112">
        <v>0</v>
      </c>
      <c r="Z83" s="112">
        <v>0</v>
      </c>
      <c r="AA83" s="112">
        <v>0</v>
      </c>
      <c r="AB83" s="112">
        <v>0</v>
      </c>
      <c r="AC83" s="112">
        <v>0</v>
      </c>
      <c r="AD83" s="112">
        <v>0</v>
      </c>
      <c r="AE83" s="112">
        <v>0</v>
      </c>
      <c r="AF83" s="112">
        <v>0</v>
      </c>
      <c r="AG83" s="112">
        <v>0</v>
      </c>
      <c r="AH83" s="112">
        <v>0</v>
      </c>
      <c r="AI83" s="112">
        <v>0</v>
      </c>
      <c r="AJ83" s="112">
        <v>0</v>
      </c>
      <c r="AK83" s="112">
        <v>0</v>
      </c>
      <c r="AL83" s="112">
        <v>0</v>
      </c>
      <c r="AM83" s="112">
        <v>0</v>
      </c>
      <c r="AN83" s="112">
        <v>0</v>
      </c>
      <c r="AO83" s="112">
        <v>0</v>
      </c>
      <c r="AP83" s="112">
        <v>0</v>
      </c>
      <c r="AQ83" s="112">
        <v>0</v>
      </c>
      <c r="AR83" s="112">
        <v>0</v>
      </c>
      <c r="AS83" s="112">
        <v>0</v>
      </c>
      <c r="AT83" s="112">
        <v>0</v>
      </c>
      <c r="AU83" s="112">
        <v>0</v>
      </c>
      <c r="AV83" s="112">
        <v>0</v>
      </c>
      <c r="AW83" s="112">
        <v>0</v>
      </c>
      <c r="AX83" s="112">
        <v>0</v>
      </c>
      <c r="AY83" s="112">
        <v>0</v>
      </c>
      <c r="AZ83" s="112">
        <v>0</v>
      </c>
      <c r="BA83" s="112">
        <v>0</v>
      </c>
      <c r="BB83" s="112">
        <v>1</v>
      </c>
      <c r="BC83" s="112">
        <v>0</v>
      </c>
      <c r="BD83" s="112">
        <v>0</v>
      </c>
      <c r="BE83" s="112">
        <v>0</v>
      </c>
      <c r="BF83" s="112">
        <v>0</v>
      </c>
      <c r="BG83" s="112">
        <v>0</v>
      </c>
      <c r="BH83" s="112">
        <v>0</v>
      </c>
      <c r="BI83" s="112">
        <v>0</v>
      </c>
      <c r="BJ83" s="112">
        <v>0</v>
      </c>
      <c r="BK83" s="112">
        <v>0</v>
      </c>
      <c r="BL83" s="112">
        <v>0</v>
      </c>
      <c r="BM83" s="112">
        <v>0</v>
      </c>
      <c r="BN83" s="112">
        <v>0</v>
      </c>
      <c r="BO83" s="112">
        <v>0</v>
      </c>
      <c r="BP83" s="112">
        <v>0</v>
      </c>
      <c r="BQ83" s="112">
        <v>0</v>
      </c>
      <c r="BR83" s="112">
        <v>0</v>
      </c>
      <c r="BS83" s="112">
        <v>0</v>
      </c>
      <c r="BT83" s="112">
        <v>0</v>
      </c>
      <c r="BU83" s="112">
        <v>0</v>
      </c>
      <c r="BV83" s="112">
        <v>0</v>
      </c>
      <c r="BW83" s="112">
        <v>0</v>
      </c>
      <c r="BX83" s="112">
        <v>0</v>
      </c>
      <c r="BY83" s="112">
        <v>0</v>
      </c>
      <c r="BZ83" s="112">
        <v>0</v>
      </c>
      <c r="CA83" s="112">
        <v>0</v>
      </c>
      <c r="CB83" s="112">
        <v>0</v>
      </c>
      <c r="CC83" s="112">
        <v>0</v>
      </c>
      <c r="CD83" s="112">
        <v>0</v>
      </c>
      <c r="CE83" s="112">
        <v>0</v>
      </c>
      <c r="CF83" s="112">
        <v>0</v>
      </c>
      <c r="CG83" s="112">
        <v>0</v>
      </c>
      <c r="CH83" s="112">
        <v>0</v>
      </c>
      <c r="CI83" s="112">
        <v>0</v>
      </c>
      <c r="CJ83" s="112">
        <v>0</v>
      </c>
      <c r="CK83" s="112">
        <v>0</v>
      </c>
      <c r="CL83" s="112">
        <v>0</v>
      </c>
      <c r="CM83" s="112">
        <v>0</v>
      </c>
      <c r="CN83" s="112">
        <v>0</v>
      </c>
      <c r="CO83" s="112">
        <v>0</v>
      </c>
      <c r="CP83" s="112">
        <v>0</v>
      </c>
      <c r="CQ83" s="112">
        <v>0</v>
      </c>
      <c r="CR83" s="112">
        <v>0</v>
      </c>
      <c r="CS83" s="112">
        <v>0</v>
      </c>
      <c r="CT83" s="112">
        <v>0</v>
      </c>
      <c r="CU83" s="112">
        <v>0</v>
      </c>
      <c r="CV83" s="112">
        <v>0</v>
      </c>
    </row>
    <row r="84" spans="1:100" x14ac:dyDescent="0.15">
      <c r="A84" s="191" t="s">
        <v>274</v>
      </c>
      <c r="B84" s="112">
        <v>0</v>
      </c>
      <c r="C84" s="112">
        <v>0</v>
      </c>
      <c r="D84" s="112">
        <v>0</v>
      </c>
      <c r="E84" s="112">
        <v>0</v>
      </c>
      <c r="F84" s="112">
        <v>0</v>
      </c>
      <c r="G84" s="112">
        <v>0</v>
      </c>
      <c r="H84" s="112">
        <v>0</v>
      </c>
      <c r="I84" s="112">
        <v>0</v>
      </c>
      <c r="J84" s="112">
        <v>0</v>
      </c>
      <c r="K84" s="112">
        <v>0</v>
      </c>
      <c r="L84" s="112">
        <v>1</v>
      </c>
      <c r="M84" s="112">
        <v>0</v>
      </c>
      <c r="N84" s="112">
        <v>0</v>
      </c>
      <c r="O84" s="112">
        <v>1</v>
      </c>
      <c r="P84" s="112">
        <v>0</v>
      </c>
      <c r="Q84" s="112">
        <v>1</v>
      </c>
      <c r="R84" s="112">
        <v>0</v>
      </c>
      <c r="S84" s="112">
        <v>1</v>
      </c>
      <c r="T84" s="112">
        <v>0</v>
      </c>
      <c r="U84" s="112">
        <v>1</v>
      </c>
      <c r="V84" s="112">
        <v>0</v>
      </c>
      <c r="W84" s="112">
        <v>0</v>
      </c>
      <c r="X84" s="112">
        <v>0</v>
      </c>
      <c r="Y84" s="112">
        <v>0</v>
      </c>
      <c r="Z84" s="112">
        <v>0</v>
      </c>
      <c r="AA84" s="112">
        <v>0</v>
      </c>
      <c r="AB84" s="112">
        <v>0</v>
      </c>
      <c r="AC84" s="112">
        <v>0</v>
      </c>
      <c r="AD84" s="112">
        <v>0</v>
      </c>
      <c r="AE84" s="112">
        <v>1</v>
      </c>
      <c r="AF84" s="112">
        <v>1</v>
      </c>
      <c r="AG84" s="112">
        <v>1</v>
      </c>
      <c r="AH84" s="112">
        <v>0</v>
      </c>
      <c r="AI84" s="112">
        <v>1</v>
      </c>
      <c r="AJ84" s="112">
        <v>0</v>
      </c>
      <c r="AK84" s="112">
        <v>1</v>
      </c>
      <c r="AL84" s="112">
        <v>0</v>
      </c>
      <c r="AM84" s="112">
        <v>0</v>
      </c>
      <c r="AN84" s="112">
        <v>1</v>
      </c>
      <c r="AO84" s="112">
        <v>0</v>
      </c>
      <c r="AP84" s="112">
        <v>0</v>
      </c>
      <c r="AQ84" s="112">
        <v>0</v>
      </c>
      <c r="AR84" s="112">
        <v>0</v>
      </c>
      <c r="AS84" s="112">
        <v>1</v>
      </c>
      <c r="AT84" s="112">
        <v>0</v>
      </c>
      <c r="AU84" s="112">
        <v>0</v>
      </c>
      <c r="AV84" s="112">
        <v>0</v>
      </c>
      <c r="AW84" s="112">
        <v>0</v>
      </c>
      <c r="AX84" s="112">
        <v>0</v>
      </c>
      <c r="AY84" s="112">
        <v>0</v>
      </c>
      <c r="AZ84" s="112">
        <v>0</v>
      </c>
      <c r="BA84" s="112">
        <v>0</v>
      </c>
      <c r="BB84" s="112">
        <v>1</v>
      </c>
      <c r="BC84" s="112">
        <v>0</v>
      </c>
      <c r="BD84" s="112">
        <v>0</v>
      </c>
      <c r="BE84" s="112">
        <v>0</v>
      </c>
      <c r="BF84" s="112">
        <v>0</v>
      </c>
      <c r="BG84" s="112">
        <v>0</v>
      </c>
      <c r="BH84" s="112">
        <v>0</v>
      </c>
      <c r="BI84" s="112">
        <v>0</v>
      </c>
      <c r="BJ84" s="112">
        <v>0</v>
      </c>
      <c r="BK84" s="112">
        <v>0</v>
      </c>
      <c r="BL84" s="112">
        <v>0</v>
      </c>
      <c r="BM84" s="112">
        <v>0</v>
      </c>
      <c r="BN84" s="112">
        <v>0</v>
      </c>
      <c r="BO84" s="112">
        <v>0</v>
      </c>
      <c r="BP84" s="112">
        <v>0</v>
      </c>
      <c r="BQ84" s="112">
        <v>0</v>
      </c>
      <c r="BR84" s="112">
        <v>0</v>
      </c>
      <c r="BS84" s="112">
        <v>0</v>
      </c>
      <c r="BT84" s="112">
        <v>0</v>
      </c>
      <c r="BU84" s="112">
        <v>0</v>
      </c>
      <c r="BV84" s="112">
        <v>0</v>
      </c>
      <c r="BW84" s="112">
        <v>0</v>
      </c>
      <c r="BX84" s="112">
        <v>0</v>
      </c>
      <c r="BY84" s="112">
        <v>0</v>
      </c>
      <c r="BZ84" s="112">
        <v>0</v>
      </c>
      <c r="CA84" s="112">
        <v>0</v>
      </c>
      <c r="CB84" s="112">
        <v>0</v>
      </c>
      <c r="CC84" s="112">
        <v>0</v>
      </c>
      <c r="CD84" s="112">
        <v>0</v>
      </c>
      <c r="CE84" s="112">
        <v>0</v>
      </c>
      <c r="CF84" s="112">
        <v>0</v>
      </c>
      <c r="CG84" s="112">
        <v>0</v>
      </c>
      <c r="CH84" s="112">
        <v>0</v>
      </c>
      <c r="CI84" s="112">
        <v>0</v>
      </c>
      <c r="CJ84" s="112">
        <v>0</v>
      </c>
      <c r="CK84" s="112">
        <v>0</v>
      </c>
      <c r="CL84" s="112">
        <v>0</v>
      </c>
      <c r="CM84" s="112">
        <v>0</v>
      </c>
      <c r="CN84" s="112">
        <v>0</v>
      </c>
      <c r="CO84" s="112">
        <v>0</v>
      </c>
      <c r="CP84" s="112">
        <v>0</v>
      </c>
      <c r="CQ84" s="112">
        <v>0</v>
      </c>
      <c r="CR84" s="112">
        <v>0</v>
      </c>
      <c r="CS84" s="112">
        <v>0</v>
      </c>
      <c r="CT84" s="112">
        <v>0</v>
      </c>
      <c r="CU84" s="112">
        <v>0</v>
      </c>
      <c r="CV84" s="112">
        <v>0</v>
      </c>
    </row>
    <row r="85" spans="1:100" x14ac:dyDescent="0.15">
      <c r="A85" s="191" t="s">
        <v>275</v>
      </c>
      <c r="B85" s="112">
        <v>0</v>
      </c>
      <c r="C85" s="112">
        <v>0</v>
      </c>
      <c r="D85" s="112">
        <v>0</v>
      </c>
      <c r="E85" s="112">
        <v>0</v>
      </c>
      <c r="F85" s="112">
        <v>0</v>
      </c>
      <c r="G85" s="112">
        <v>0</v>
      </c>
      <c r="H85" s="112">
        <v>0</v>
      </c>
      <c r="I85" s="112">
        <v>0</v>
      </c>
      <c r="J85" s="112">
        <v>0</v>
      </c>
      <c r="K85" s="112">
        <v>0</v>
      </c>
      <c r="L85" s="112">
        <v>0</v>
      </c>
      <c r="M85" s="112">
        <v>0</v>
      </c>
      <c r="N85" s="112">
        <v>0</v>
      </c>
      <c r="O85" s="112">
        <v>0</v>
      </c>
      <c r="P85" s="112">
        <v>0</v>
      </c>
      <c r="Q85" s="112">
        <v>0</v>
      </c>
      <c r="R85" s="112">
        <v>0</v>
      </c>
      <c r="S85" s="112">
        <v>0</v>
      </c>
      <c r="T85" s="112">
        <v>0</v>
      </c>
      <c r="U85" s="112">
        <v>0</v>
      </c>
      <c r="V85" s="112">
        <v>0</v>
      </c>
      <c r="W85" s="112">
        <v>0</v>
      </c>
      <c r="X85" s="112">
        <v>0</v>
      </c>
      <c r="Y85" s="112">
        <v>0</v>
      </c>
      <c r="Z85" s="112">
        <v>0</v>
      </c>
      <c r="AA85" s="112">
        <v>0</v>
      </c>
      <c r="AB85" s="112">
        <v>0</v>
      </c>
      <c r="AC85" s="112">
        <v>0</v>
      </c>
      <c r="AD85" s="112">
        <v>0</v>
      </c>
      <c r="AE85" s="112">
        <v>0</v>
      </c>
      <c r="AF85" s="112">
        <v>0</v>
      </c>
      <c r="AG85" s="112">
        <v>0</v>
      </c>
      <c r="AH85" s="112">
        <v>0</v>
      </c>
      <c r="AI85" s="112">
        <v>0</v>
      </c>
      <c r="AJ85" s="112">
        <v>0</v>
      </c>
      <c r="AK85" s="112">
        <v>0</v>
      </c>
      <c r="AL85" s="112">
        <v>0</v>
      </c>
      <c r="AM85" s="112">
        <v>0</v>
      </c>
      <c r="AN85" s="112">
        <v>0</v>
      </c>
      <c r="AO85" s="112">
        <v>0</v>
      </c>
      <c r="AP85" s="112">
        <v>0</v>
      </c>
      <c r="AQ85" s="112">
        <v>0</v>
      </c>
      <c r="AR85" s="112">
        <v>1</v>
      </c>
      <c r="AS85" s="112">
        <v>0</v>
      </c>
      <c r="AT85" s="112">
        <v>0</v>
      </c>
      <c r="AU85" s="112">
        <v>0</v>
      </c>
      <c r="AV85" s="112">
        <v>0</v>
      </c>
      <c r="AW85" s="112">
        <v>0</v>
      </c>
      <c r="AX85" s="112">
        <v>0</v>
      </c>
      <c r="AY85" s="112">
        <v>0</v>
      </c>
      <c r="AZ85" s="112">
        <v>1</v>
      </c>
      <c r="BA85" s="112">
        <v>1</v>
      </c>
      <c r="BB85" s="112">
        <v>0</v>
      </c>
      <c r="BC85" s="112">
        <v>1</v>
      </c>
      <c r="BD85" s="112">
        <v>1</v>
      </c>
      <c r="BE85" s="112">
        <v>0</v>
      </c>
      <c r="BF85" s="112">
        <v>1</v>
      </c>
      <c r="BG85" s="112">
        <v>0</v>
      </c>
      <c r="BH85" s="112">
        <v>1</v>
      </c>
      <c r="BI85" s="112">
        <v>1</v>
      </c>
      <c r="BJ85" s="112">
        <v>0</v>
      </c>
      <c r="BK85" s="112">
        <v>1</v>
      </c>
      <c r="BL85" s="112">
        <v>0</v>
      </c>
      <c r="BM85" s="112">
        <v>1</v>
      </c>
      <c r="BN85" s="112">
        <v>1</v>
      </c>
      <c r="BO85" s="112">
        <v>0</v>
      </c>
      <c r="BP85" s="112">
        <v>1</v>
      </c>
      <c r="BQ85" s="112">
        <v>0</v>
      </c>
      <c r="BR85" s="112">
        <v>1</v>
      </c>
      <c r="BS85" s="112">
        <v>0</v>
      </c>
      <c r="BT85" s="112">
        <v>1</v>
      </c>
      <c r="BU85" s="112">
        <v>0</v>
      </c>
      <c r="BV85" s="112">
        <v>1</v>
      </c>
      <c r="BW85" s="112">
        <v>0</v>
      </c>
      <c r="BX85" s="112">
        <v>1</v>
      </c>
      <c r="BY85" s="112">
        <v>0</v>
      </c>
      <c r="BZ85" s="112">
        <v>1</v>
      </c>
      <c r="CA85" s="112">
        <v>1</v>
      </c>
      <c r="CB85" s="112">
        <v>1</v>
      </c>
      <c r="CC85" s="112">
        <v>0</v>
      </c>
      <c r="CD85" s="112">
        <v>1</v>
      </c>
      <c r="CE85" s="112">
        <v>0</v>
      </c>
      <c r="CF85" s="112">
        <v>0</v>
      </c>
      <c r="CG85" s="112">
        <v>0</v>
      </c>
      <c r="CH85" s="112">
        <v>0</v>
      </c>
      <c r="CI85" s="112">
        <v>0</v>
      </c>
      <c r="CJ85" s="112">
        <v>0</v>
      </c>
      <c r="CK85" s="112">
        <v>0</v>
      </c>
      <c r="CL85" s="112">
        <v>0</v>
      </c>
      <c r="CM85" s="112">
        <v>0</v>
      </c>
      <c r="CN85" s="112">
        <v>0</v>
      </c>
      <c r="CO85" s="112">
        <v>0</v>
      </c>
      <c r="CP85" s="112">
        <v>0</v>
      </c>
      <c r="CQ85" s="112">
        <v>0</v>
      </c>
      <c r="CR85" s="112">
        <v>0</v>
      </c>
      <c r="CS85" s="112">
        <v>0</v>
      </c>
      <c r="CT85" s="112">
        <v>0</v>
      </c>
      <c r="CU85" s="112">
        <v>0</v>
      </c>
      <c r="CV85" s="112">
        <v>0</v>
      </c>
    </row>
    <row r="86" spans="1:100" x14ac:dyDescent="0.15">
      <c r="A86" s="191" t="s">
        <v>276</v>
      </c>
      <c r="B86" s="112">
        <v>0</v>
      </c>
      <c r="C86" s="112">
        <v>0</v>
      </c>
      <c r="D86" s="112">
        <v>0</v>
      </c>
      <c r="E86" s="112">
        <v>0</v>
      </c>
      <c r="F86" s="112">
        <v>0</v>
      </c>
      <c r="G86" s="112">
        <v>0</v>
      </c>
      <c r="H86" s="112">
        <v>0</v>
      </c>
      <c r="I86" s="112">
        <v>0</v>
      </c>
      <c r="J86" s="112">
        <v>0</v>
      </c>
      <c r="K86" s="112">
        <v>0</v>
      </c>
      <c r="L86" s="112">
        <v>0</v>
      </c>
      <c r="M86" s="112">
        <v>0</v>
      </c>
      <c r="N86" s="112">
        <v>0</v>
      </c>
      <c r="O86" s="112">
        <v>0</v>
      </c>
      <c r="P86" s="112">
        <v>0</v>
      </c>
      <c r="Q86" s="112">
        <v>0</v>
      </c>
      <c r="R86" s="112">
        <v>0</v>
      </c>
      <c r="S86" s="112">
        <v>0</v>
      </c>
      <c r="T86" s="112">
        <v>0</v>
      </c>
      <c r="U86" s="112">
        <v>0</v>
      </c>
      <c r="V86" s="112">
        <v>0</v>
      </c>
      <c r="W86" s="112">
        <v>0</v>
      </c>
      <c r="X86" s="112">
        <v>0</v>
      </c>
      <c r="Y86" s="112">
        <v>0</v>
      </c>
      <c r="Z86" s="112">
        <v>1</v>
      </c>
      <c r="AA86" s="112">
        <v>0</v>
      </c>
      <c r="AB86" s="112">
        <v>0</v>
      </c>
      <c r="AC86" s="112">
        <v>0</v>
      </c>
      <c r="AD86" s="112">
        <v>0</v>
      </c>
      <c r="AE86" s="112">
        <v>0</v>
      </c>
      <c r="AF86" s="112">
        <v>0</v>
      </c>
      <c r="AG86" s="112">
        <v>0</v>
      </c>
      <c r="AH86" s="112">
        <v>0</v>
      </c>
      <c r="AI86" s="112">
        <v>0</v>
      </c>
      <c r="AJ86" s="112">
        <v>0</v>
      </c>
      <c r="AK86" s="112">
        <v>0</v>
      </c>
      <c r="AL86" s="112">
        <v>0</v>
      </c>
      <c r="AM86" s="112">
        <v>0</v>
      </c>
      <c r="AN86" s="112">
        <v>0</v>
      </c>
      <c r="AO86" s="112">
        <v>1</v>
      </c>
      <c r="AP86" s="112">
        <v>0</v>
      </c>
      <c r="AQ86" s="112">
        <v>0</v>
      </c>
      <c r="AR86" s="112">
        <v>1</v>
      </c>
      <c r="AS86" s="112">
        <v>0</v>
      </c>
      <c r="AT86" s="112">
        <v>0</v>
      </c>
      <c r="AU86" s="112">
        <v>0</v>
      </c>
      <c r="AV86" s="112">
        <v>0</v>
      </c>
      <c r="AW86" s="112">
        <v>0</v>
      </c>
      <c r="AX86" s="112">
        <v>0</v>
      </c>
      <c r="AY86" s="112">
        <v>0</v>
      </c>
      <c r="AZ86" s="112">
        <v>0</v>
      </c>
      <c r="BA86" s="112">
        <v>0</v>
      </c>
      <c r="BB86" s="112">
        <v>1</v>
      </c>
      <c r="BC86" s="112">
        <v>1</v>
      </c>
      <c r="BD86" s="112">
        <v>1</v>
      </c>
      <c r="BE86" s="112">
        <v>0</v>
      </c>
      <c r="BF86" s="112">
        <v>1</v>
      </c>
      <c r="BG86" s="112">
        <v>0</v>
      </c>
      <c r="BH86" s="112">
        <v>1</v>
      </c>
      <c r="BI86" s="112">
        <v>0</v>
      </c>
      <c r="BJ86" s="112">
        <v>0</v>
      </c>
      <c r="BK86" s="112">
        <v>1</v>
      </c>
      <c r="BL86" s="112">
        <v>0</v>
      </c>
      <c r="BM86" s="112">
        <v>1</v>
      </c>
      <c r="BN86" s="112">
        <v>0</v>
      </c>
      <c r="BO86" s="112">
        <v>1</v>
      </c>
      <c r="BP86" s="112">
        <v>0</v>
      </c>
      <c r="BQ86" s="112">
        <v>1</v>
      </c>
      <c r="BR86" s="112">
        <v>0</v>
      </c>
      <c r="BS86" s="112">
        <v>1</v>
      </c>
      <c r="BT86" s="112">
        <v>0</v>
      </c>
      <c r="BU86" s="112">
        <v>1</v>
      </c>
      <c r="BV86" s="112">
        <v>0</v>
      </c>
      <c r="BW86" s="112">
        <v>1</v>
      </c>
      <c r="BX86" s="112">
        <v>0</v>
      </c>
      <c r="BY86" s="112">
        <v>1</v>
      </c>
      <c r="BZ86" s="112">
        <v>0</v>
      </c>
      <c r="CA86" s="112">
        <v>1</v>
      </c>
      <c r="CB86" s="112">
        <v>0</v>
      </c>
      <c r="CC86" s="112">
        <v>1</v>
      </c>
      <c r="CD86" s="112">
        <v>0</v>
      </c>
      <c r="CE86" s="112">
        <v>1</v>
      </c>
      <c r="CF86" s="112">
        <v>0</v>
      </c>
      <c r="CG86" s="112">
        <v>0</v>
      </c>
      <c r="CH86" s="112">
        <v>0</v>
      </c>
      <c r="CI86" s="112">
        <v>0</v>
      </c>
      <c r="CJ86" s="112">
        <v>0</v>
      </c>
      <c r="CK86" s="112">
        <v>0</v>
      </c>
      <c r="CL86" s="112">
        <v>0</v>
      </c>
      <c r="CM86" s="112">
        <v>0</v>
      </c>
      <c r="CN86" s="112">
        <v>0</v>
      </c>
      <c r="CO86" s="112">
        <v>0</v>
      </c>
      <c r="CP86" s="112">
        <v>0</v>
      </c>
      <c r="CQ86" s="112">
        <v>0</v>
      </c>
      <c r="CR86" s="112">
        <v>0</v>
      </c>
      <c r="CS86" s="112">
        <v>0</v>
      </c>
      <c r="CT86" s="112">
        <v>0</v>
      </c>
      <c r="CU86" s="112">
        <v>0</v>
      </c>
      <c r="CV86" s="112">
        <v>0</v>
      </c>
    </row>
    <row r="87" spans="1:100" x14ac:dyDescent="0.15">
      <c r="A87" s="191" t="s">
        <v>277</v>
      </c>
      <c r="B87" s="112">
        <v>0</v>
      </c>
      <c r="C87" s="112">
        <v>0</v>
      </c>
      <c r="D87" s="112">
        <v>0</v>
      </c>
      <c r="E87" s="112">
        <v>0</v>
      </c>
      <c r="F87" s="112">
        <v>0</v>
      </c>
      <c r="G87" s="112">
        <v>0</v>
      </c>
      <c r="H87" s="112">
        <v>0</v>
      </c>
      <c r="I87" s="112">
        <v>0</v>
      </c>
      <c r="J87" s="112">
        <v>0</v>
      </c>
      <c r="K87" s="112">
        <v>0</v>
      </c>
      <c r="L87" s="112">
        <v>0</v>
      </c>
      <c r="M87" s="112">
        <v>0</v>
      </c>
      <c r="N87" s="112">
        <v>0</v>
      </c>
      <c r="O87" s="112">
        <v>0</v>
      </c>
      <c r="P87" s="112">
        <v>0</v>
      </c>
      <c r="Q87" s="112">
        <v>0</v>
      </c>
      <c r="R87" s="112">
        <v>0</v>
      </c>
      <c r="S87" s="112">
        <v>0</v>
      </c>
      <c r="T87" s="112">
        <v>0</v>
      </c>
      <c r="U87" s="112">
        <v>0</v>
      </c>
      <c r="V87" s="112">
        <v>0</v>
      </c>
      <c r="W87" s="112">
        <v>0</v>
      </c>
      <c r="X87" s="112">
        <v>0</v>
      </c>
      <c r="Y87" s="112">
        <v>0</v>
      </c>
      <c r="Z87" s="112">
        <v>0</v>
      </c>
      <c r="AA87" s="112">
        <v>1</v>
      </c>
      <c r="AB87" s="112">
        <v>0</v>
      </c>
      <c r="AC87" s="112">
        <v>0</v>
      </c>
      <c r="AD87" s="112">
        <v>0</v>
      </c>
      <c r="AE87" s="112">
        <v>0</v>
      </c>
      <c r="AF87" s="112">
        <v>0</v>
      </c>
      <c r="AG87" s="112">
        <v>0</v>
      </c>
      <c r="AH87" s="112">
        <v>0</v>
      </c>
      <c r="AI87" s="112">
        <v>0</v>
      </c>
      <c r="AJ87" s="112">
        <v>0</v>
      </c>
      <c r="AK87" s="112">
        <v>0</v>
      </c>
      <c r="AL87" s="112">
        <v>0</v>
      </c>
      <c r="AM87" s="112">
        <v>0</v>
      </c>
      <c r="AN87" s="112">
        <v>0</v>
      </c>
      <c r="AO87" s="112">
        <v>0</v>
      </c>
      <c r="AP87" s="112">
        <v>0</v>
      </c>
      <c r="AQ87" s="112">
        <v>0</v>
      </c>
      <c r="AR87" s="112">
        <v>0</v>
      </c>
      <c r="AS87" s="112">
        <v>0</v>
      </c>
      <c r="AT87" s="112">
        <v>0</v>
      </c>
      <c r="AU87" s="112">
        <v>0</v>
      </c>
      <c r="AV87" s="112">
        <v>0</v>
      </c>
      <c r="AW87" s="112">
        <v>0</v>
      </c>
      <c r="AX87" s="112">
        <v>0</v>
      </c>
      <c r="AY87" s="112">
        <v>0</v>
      </c>
      <c r="AZ87" s="112">
        <v>1</v>
      </c>
      <c r="BA87" s="112">
        <v>1</v>
      </c>
      <c r="BB87" s="112">
        <v>0</v>
      </c>
      <c r="BC87" s="112">
        <v>0</v>
      </c>
      <c r="BD87" s="112">
        <v>0</v>
      </c>
      <c r="BE87" s="112">
        <v>0</v>
      </c>
      <c r="BF87" s="112">
        <v>0</v>
      </c>
      <c r="BG87" s="112">
        <v>0</v>
      </c>
      <c r="BH87" s="112">
        <v>0</v>
      </c>
      <c r="BI87" s="112">
        <v>0</v>
      </c>
      <c r="BJ87" s="112">
        <v>0</v>
      </c>
      <c r="BK87" s="112">
        <v>1</v>
      </c>
      <c r="BL87" s="112">
        <v>0</v>
      </c>
      <c r="BM87" s="112">
        <v>1</v>
      </c>
      <c r="BN87" s="112">
        <v>1</v>
      </c>
      <c r="BO87" s="112">
        <v>0</v>
      </c>
      <c r="BP87" s="112">
        <v>1</v>
      </c>
      <c r="BQ87" s="112">
        <v>0</v>
      </c>
      <c r="BR87" s="112">
        <v>1</v>
      </c>
      <c r="BS87" s="112">
        <v>0</v>
      </c>
      <c r="BT87" s="112">
        <v>0</v>
      </c>
      <c r="BU87" s="112">
        <v>0</v>
      </c>
      <c r="BV87" s="112">
        <v>0</v>
      </c>
      <c r="BW87" s="112">
        <v>0</v>
      </c>
      <c r="BX87" s="112">
        <v>0</v>
      </c>
      <c r="BY87" s="112">
        <v>0</v>
      </c>
      <c r="BZ87" s="112">
        <v>1</v>
      </c>
      <c r="CA87" s="112">
        <v>1</v>
      </c>
      <c r="CB87" s="112">
        <v>1</v>
      </c>
      <c r="CC87" s="112">
        <v>0</v>
      </c>
      <c r="CD87" s="112">
        <v>1</v>
      </c>
      <c r="CE87" s="112">
        <v>0</v>
      </c>
      <c r="CF87" s="112">
        <v>0</v>
      </c>
      <c r="CG87" s="112">
        <v>1</v>
      </c>
      <c r="CH87" s="112">
        <v>0</v>
      </c>
      <c r="CI87" s="112">
        <v>0</v>
      </c>
      <c r="CJ87" s="112">
        <v>0</v>
      </c>
      <c r="CK87" s="112">
        <v>0</v>
      </c>
      <c r="CL87" s="112">
        <v>0</v>
      </c>
      <c r="CM87" s="112">
        <v>0</v>
      </c>
      <c r="CN87" s="112">
        <v>0</v>
      </c>
      <c r="CO87" s="112">
        <v>0</v>
      </c>
      <c r="CP87" s="112">
        <v>0</v>
      </c>
      <c r="CQ87" s="112">
        <v>0</v>
      </c>
      <c r="CR87" s="112">
        <v>0</v>
      </c>
      <c r="CS87" s="112">
        <v>0</v>
      </c>
      <c r="CT87" s="112">
        <v>0</v>
      </c>
      <c r="CU87" s="112">
        <v>0</v>
      </c>
      <c r="CV87" s="112">
        <v>0</v>
      </c>
    </row>
    <row r="88" spans="1:100" x14ac:dyDescent="0.15">
      <c r="A88" s="191" t="s">
        <v>278</v>
      </c>
      <c r="B88" s="112">
        <v>0</v>
      </c>
      <c r="C88" s="112">
        <v>0</v>
      </c>
      <c r="D88" s="112">
        <v>0</v>
      </c>
      <c r="E88" s="112">
        <v>0</v>
      </c>
      <c r="F88" s="112">
        <v>0</v>
      </c>
      <c r="G88" s="112">
        <v>0</v>
      </c>
      <c r="H88" s="112">
        <v>0</v>
      </c>
      <c r="I88" s="112">
        <v>0</v>
      </c>
      <c r="J88" s="112">
        <v>0</v>
      </c>
      <c r="K88" s="112">
        <v>0</v>
      </c>
      <c r="L88" s="112">
        <v>0</v>
      </c>
      <c r="M88" s="112">
        <v>0</v>
      </c>
      <c r="N88" s="112">
        <v>0</v>
      </c>
      <c r="O88" s="112">
        <v>0</v>
      </c>
      <c r="P88" s="112">
        <v>0</v>
      </c>
      <c r="Q88" s="112">
        <v>0</v>
      </c>
      <c r="R88" s="112">
        <v>0</v>
      </c>
      <c r="S88" s="112">
        <v>0</v>
      </c>
      <c r="T88" s="112">
        <v>0</v>
      </c>
      <c r="U88" s="112">
        <v>0</v>
      </c>
      <c r="V88" s="112">
        <v>0</v>
      </c>
      <c r="W88" s="112">
        <v>0</v>
      </c>
      <c r="X88" s="112">
        <v>0</v>
      </c>
      <c r="Y88" s="112">
        <v>0</v>
      </c>
      <c r="Z88" s="112">
        <v>0</v>
      </c>
      <c r="AA88" s="112">
        <v>1</v>
      </c>
      <c r="AB88" s="112">
        <v>0</v>
      </c>
      <c r="AC88" s="112">
        <v>0</v>
      </c>
      <c r="AD88" s="112">
        <v>0</v>
      </c>
      <c r="AE88" s="112">
        <v>0</v>
      </c>
      <c r="AF88" s="112">
        <v>0</v>
      </c>
      <c r="AG88" s="112">
        <v>0</v>
      </c>
      <c r="AH88" s="112">
        <v>0</v>
      </c>
      <c r="AI88" s="112">
        <v>0</v>
      </c>
      <c r="AJ88" s="112">
        <v>0</v>
      </c>
      <c r="AK88" s="112">
        <v>0</v>
      </c>
      <c r="AL88" s="112">
        <v>0</v>
      </c>
      <c r="AM88" s="112">
        <v>0</v>
      </c>
      <c r="AN88" s="112">
        <v>0</v>
      </c>
      <c r="AO88" s="112">
        <v>1</v>
      </c>
      <c r="AP88" s="112">
        <v>0</v>
      </c>
      <c r="AQ88" s="112">
        <v>0</v>
      </c>
      <c r="AR88" s="112">
        <v>0</v>
      </c>
      <c r="AS88" s="112">
        <v>0</v>
      </c>
      <c r="AT88" s="112">
        <v>0</v>
      </c>
      <c r="AU88" s="112">
        <v>0</v>
      </c>
      <c r="AV88" s="112">
        <v>0</v>
      </c>
      <c r="AW88" s="112">
        <v>0</v>
      </c>
      <c r="AX88" s="112">
        <v>0</v>
      </c>
      <c r="AY88" s="112">
        <v>0</v>
      </c>
      <c r="AZ88" s="112">
        <v>1</v>
      </c>
      <c r="BA88" s="112">
        <v>1</v>
      </c>
      <c r="BB88" s="112">
        <v>1</v>
      </c>
      <c r="BC88" s="112">
        <v>0</v>
      </c>
      <c r="BD88" s="112">
        <v>0</v>
      </c>
      <c r="BE88" s="112">
        <v>0</v>
      </c>
      <c r="BF88" s="112">
        <v>0</v>
      </c>
      <c r="BG88" s="112">
        <v>0</v>
      </c>
      <c r="BH88" s="112">
        <v>0</v>
      </c>
      <c r="BI88" s="112">
        <v>0</v>
      </c>
      <c r="BJ88" s="112">
        <v>0</v>
      </c>
      <c r="BK88" s="112">
        <v>1</v>
      </c>
      <c r="BL88" s="112">
        <v>0</v>
      </c>
      <c r="BM88" s="112">
        <v>1</v>
      </c>
      <c r="BN88" s="112">
        <v>0</v>
      </c>
      <c r="BO88" s="112">
        <v>1</v>
      </c>
      <c r="BP88" s="112">
        <v>0</v>
      </c>
      <c r="BQ88" s="112">
        <v>1</v>
      </c>
      <c r="BR88" s="112">
        <v>0</v>
      </c>
      <c r="BS88" s="112">
        <v>1</v>
      </c>
      <c r="BT88" s="112">
        <v>0</v>
      </c>
      <c r="BU88" s="112">
        <v>0</v>
      </c>
      <c r="BV88" s="112">
        <v>0</v>
      </c>
      <c r="BW88" s="112">
        <v>0</v>
      </c>
      <c r="BX88" s="112">
        <v>0</v>
      </c>
      <c r="BY88" s="112">
        <v>0</v>
      </c>
      <c r="BZ88" s="112">
        <v>0</v>
      </c>
      <c r="CA88" s="112">
        <v>1</v>
      </c>
      <c r="CB88" s="112">
        <v>0</v>
      </c>
      <c r="CC88" s="112">
        <v>1</v>
      </c>
      <c r="CD88" s="112">
        <v>0</v>
      </c>
      <c r="CE88" s="112">
        <v>1</v>
      </c>
      <c r="CF88" s="112">
        <v>1</v>
      </c>
      <c r="CG88" s="112">
        <v>0</v>
      </c>
      <c r="CH88" s="112">
        <v>1</v>
      </c>
      <c r="CI88" s="112">
        <v>0</v>
      </c>
      <c r="CJ88" s="112">
        <v>0</v>
      </c>
      <c r="CK88" s="112">
        <v>0</v>
      </c>
      <c r="CL88" s="112">
        <v>0</v>
      </c>
      <c r="CM88" s="112">
        <v>0</v>
      </c>
      <c r="CN88" s="112">
        <v>0</v>
      </c>
      <c r="CO88" s="112">
        <v>0</v>
      </c>
      <c r="CP88" s="112">
        <v>0</v>
      </c>
      <c r="CQ88" s="112">
        <v>0</v>
      </c>
      <c r="CR88" s="112">
        <v>0</v>
      </c>
      <c r="CS88" s="112">
        <v>0</v>
      </c>
      <c r="CT88" s="112">
        <v>0</v>
      </c>
      <c r="CU88" s="112">
        <v>0</v>
      </c>
      <c r="CV88" s="112">
        <v>0</v>
      </c>
    </row>
    <row r="89" spans="1:100" x14ac:dyDescent="0.15">
      <c r="A89" s="191" t="s">
        <v>279</v>
      </c>
      <c r="B89" s="112">
        <v>0</v>
      </c>
      <c r="C89" s="112">
        <v>0</v>
      </c>
      <c r="D89" s="112">
        <v>0</v>
      </c>
      <c r="E89" s="112">
        <v>1</v>
      </c>
      <c r="F89" s="112">
        <v>0</v>
      </c>
      <c r="G89" s="112">
        <v>0</v>
      </c>
      <c r="H89" s="112">
        <v>0</v>
      </c>
      <c r="I89" s="112">
        <v>0</v>
      </c>
      <c r="J89" s="112">
        <v>0</v>
      </c>
      <c r="K89" s="112">
        <v>0</v>
      </c>
      <c r="L89" s="112">
        <v>0</v>
      </c>
      <c r="M89" s="112">
        <v>0</v>
      </c>
      <c r="N89" s="112">
        <v>0</v>
      </c>
      <c r="O89" s="112">
        <v>0</v>
      </c>
      <c r="P89" s="112">
        <v>0</v>
      </c>
      <c r="Q89" s="112">
        <v>0</v>
      </c>
      <c r="R89" s="112">
        <v>0</v>
      </c>
      <c r="S89" s="112">
        <v>0</v>
      </c>
      <c r="T89" s="112">
        <v>0</v>
      </c>
      <c r="U89" s="112">
        <v>0</v>
      </c>
      <c r="V89" s="112">
        <v>0</v>
      </c>
      <c r="W89" s="112">
        <v>0</v>
      </c>
      <c r="X89" s="112">
        <v>0</v>
      </c>
      <c r="Y89" s="112">
        <v>0</v>
      </c>
      <c r="Z89" s="112">
        <v>0</v>
      </c>
      <c r="AA89" s="112">
        <v>0</v>
      </c>
      <c r="AB89" s="112">
        <v>1</v>
      </c>
      <c r="AC89" s="112">
        <v>0</v>
      </c>
      <c r="AD89" s="112">
        <v>0</v>
      </c>
      <c r="AE89" s="112">
        <v>0</v>
      </c>
      <c r="AF89" s="112">
        <v>0</v>
      </c>
      <c r="AG89" s="112">
        <v>0</v>
      </c>
      <c r="AH89" s="112">
        <v>0</v>
      </c>
      <c r="AI89" s="112">
        <v>0</v>
      </c>
      <c r="AJ89" s="112">
        <v>0</v>
      </c>
      <c r="AK89" s="112">
        <v>0</v>
      </c>
      <c r="AL89" s="112">
        <v>1</v>
      </c>
      <c r="AM89" s="112">
        <v>0</v>
      </c>
      <c r="AN89" s="112">
        <v>0</v>
      </c>
      <c r="AO89" s="112">
        <v>0</v>
      </c>
      <c r="AP89" s="112">
        <v>0</v>
      </c>
      <c r="AQ89" s="112">
        <v>0</v>
      </c>
      <c r="AR89" s="112">
        <v>1</v>
      </c>
      <c r="AS89" s="112">
        <v>1</v>
      </c>
      <c r="AT89" s="112">
        <v>0</v>
      </c>
      <c r="AU89" s="112">
        <v>0</v>
      </c>
      <c r="AV89" s="112">
        <v>0</v>
      </c>
      <c r="AW89" s="112">
        <v>0</v>
      </c>
      <c r="AX89" s="112">
        <v>0</v>
      </c>
      <c r="AY89" s="112">
        <v>0</v>
      </c>
      <c r="AZ89" s="112">
        <v>1</v>
      </c>
      <c r="BA89" s="112">
        <v>1</v>
      </c>
      <c r="BB89" s="112">
        <v>1</v>
      </c>
      <c r="BC89" s="112">
        <v>1</v>
      </c>
      <c r="BD89" s="112">
        <v>1</v>
      </c>
      <c r="BE89" s="112">
        <v>0</v>
      </c>
      <c r="BF89" s="112">
        <v>1</v>
      </c>
      <c r="BG89" s="112">
        <v>0</v>
      </c>
      <c r="BH89" s="112">
        <v>1</v>
      </c>
      <c r="BI89" s="112">
        <v>0</v>
      </c>
      <c r="BJ89" s="112">
        <v>1</v>
      </c>
      <c r="BK89" s="112">
        <v>0</v>
      </c>
      <c r="BL89" s="112">
        <v>1</v>
      </c>
      <c r="BM89" s="112">
        <v>1</v>
      </c>
      <c r="BN89" s="112">
        <v>1</v>
      </c>
      <c r="BO89" s="112">
        <v>1</v>
      </c>
      <c r="BP89" s="112">
        <v>1</v>
      </c>
      <c r="BQ89" s="112">
        <v>1</v>
      </c>
      <c r="BR89" s="112">
        <v>1</v>
      </c>
      <c r="BS89" s="112">
        <v>1</v>
      </c>
      <c r="BT89" s="112">
        <v>1</v>
      </c>
      <c r="BU89" s="112">
        <v>1</v>
      </c>
      <c r="BV89" s="112">
        <v>1</v>
      </c>
      <c r="BW89" s="112">
        <v>1</v>
      </c>
      <c r="BX89" s="112">
        <v>0</v>
      </c>
      <c r="BY89" s="112">
        <v>0</v>
      </c>
      <c r="BZ89" s="112">
        <v>0</v>
      </c>
      <c r="CA89" s="112">
        <v>0</v>
      </c>
      <c r="CB89" s="112">
        <v>1</v>
      </c>
      <c r="CC89" s="112">
        <v>0</v>
      </c>
      <c r="CD89" s="112">
        <v>1</v>
      </c>
      <c r="CE89" s="112">
        <v>1</v>
      </c>
      <c r="CF89" s="112">
        <v>1</v>
      </c>
      <c r="CG89" s="112">
        <v>1</v>
      </c>
      <c r="CH89" s="112">
        <v>1</v>
      </c>
      <c r="CI89" s="112">
        <v>0</v>
      </c>
      <c r="CJ89" s="112">
        <v>0</v>
      </c>
      <c r="CK89" s="112">
        <v>0</v>
      </c>
      <c r="CL89" s="112">
        <v>0</v>
      </c>
      <c r="CM89" s="112">
        <v>0</v>
      </c>
      <c r="CN89" s="112">
        <v>0</v>
      </c>
      <c r="CO89" s="112">
        <v>0</v>
      </c>
      <c r="CP89" s="112">
        <v>0</v>
      </c>
      <c r="CQ89" s="112">
        <v>0</v>
      </c>
      <c r="CR89" s="112">
        <v>0</v>
      </c>
      <c r="CS89" s="112">
        <v>0</v>
      </c>
      <c r="CT89" s="112">
        <v>0</v>
      </c>
      <c r="CU89" s="112">
        <v>0</v>
      </c>
      <c r="CV89" s="112">
        <v>0</v>
      </c>
    </row>
    <row r="90" spans="1:100" x14ac:dyDescent="0.15">
      <c r="A90" s="191" t="s">
        <v>280</v>
      </c>
      <c r="B90" s="112">
        <v>0</v>
      </c>
      <c r="C90" s="112">
        <v>1</v>
      </c>
      <c r="D90" s="112">
        <v>0</v>
      </c>
      <c r="E90" s="112">
        <v>0</v>
      </c>
      <c r="F90" s="112">
        <v>0</v>
      </c>
      <c r="G90" s="112">
        <v>0</v>
      </c>
      <c r="H90" s="112">
        <v>0</v>
      </c>
      <c r="I90" s="112">
        <v>0</v>
      </c>
      <c r="J90" s="112">
        <v>0</v>
      </c>
      <c r="K90" s="112">
        <v>0</v>
      </c>
      <c r="L90" s="112">
        <v>1</v>
      </c>
      <c r="M90" s="112">
        <v>0</v>
      </c>
      <c r="N90" s="112">
        <v>0</v>
      </c>
      <c r="O90" s="112">
        <v>1</v>
      </c>
      <c r="P90" s="112">
        <v>0</v>
      </c>
      <c r="Q90" s="112">
        <v>0</v>
      </c>
      <c r="R90" s="112">
        <v>1</v>
      </c>
      <c r="S90" s="112">
        <v>0</v>
      </c>
      <c r="T90" s="112">
        <v>1</v>
      </c>
      <c r="U90" s="112">
        <v>0</v>
      </c>
      <c r="V90" s="112">
        <v>0</v>
      </c>
      <c r="W90" s="112">
        <v>0</v>
      </c>
      <c r="X90" s="112">
        <v>0</v>
      </c>
      <c r="Y90" s="112">
        <v>0</v>
      </c>
      <c r="Z90" s="112">
        <v>0</v>
      </c>
      <c r="AA90" s="112">
        <v>0</v>
      </c>
      <c r="AB90" s="112">
        <v>0</v>
      </c>
      <c r="AC90" s="112">
        <v>0</v>
      </c>
      <c r="AD90" s="112">
        <v>1</v>
      </c>
      <c r="AE90" s="112">
        <v>1</v>
      </c>
      <c r="AF90" s="112">
        <v>1</v>
      </c>
      <c r="AG90" s="112">
        <v>1</v>
      </c>
      <c r="AH90" s="112">
        <v>1</v>
      </c>
      <c r="AI90" s="112">
        <v>0</v>
      </c>
      <c r="AJ90" s="112">
        <v>0</v>
      </c>
      <c r="AK90" s="112">
        <v>0</v>
      </c>
      <c r="AL90" s="112">
        <v>0</v>
      </c>
      <c r="AM90" s="112">
        <v>0</v>
      </c>
      <c r="AN90" s="112">
        <v>0</v>
      </c>
      <c r="AO90" s="112">
        <v>0</v>
      </c>
      <c r="AP90" s="112">
        <v>0</v>
      </c>
      <c r="AQ90" s="112">
        <v>0</v>
      </c>
      <c r="AR90" s="112">
        <v>0</v>
      </c>
      <c r="AS90" s="112">
        <v>0</v>
      </c>
      <c r="AT90" s="112">
        <v>0</v>
      </c>
      <c r="AU90" s="112">
        <v>0</v>
      </c>
      <c r="AV90" s="112">
        <v>1</v>
      </c>
      <c r="AW90" s="112">
        <v>0</v>
      </c>
      <c r="AX90" s="112">
        <v>0</v>
      </c>
      <c r="AY90" s="112">
        <v>0</v>
      </c>
      <c r="AZ90" s="112">
        <v>0</v>
      </c>
      <c r="BA90" s="112">
        <v>0</v>
      </c>
      <c r="BB90" s="112">
        <v>0</v>
      </c>
      <c r="BC90" s="112">
        <v>0</v>
      </c>
      <c r="BD90" s="112">
        <v>0</v>
      </c>
      <c r="BE90" s="112">
        <v>0</v>
      </c>
      <c r="BF90" s="112">
        <v>0</v>
      </c>
      <c r="BG90" s="112">
        <v>0</v>
      </c>
      <c r="BH90" s="112">
        <v>0</v>
      </c>
      <c r="BI90" s="112">
        <v>0</v>
      </c>
      <c r="BJ90" s="112">
        <v>0</v>
      </c>
      <c r="BK90" s="112">
        <v>0</v>
      </c>
      <c r="BL90" s="112">
        <v>0</v>
      </c>
      <c r="BM90" s="112">
        <v>0</v>
      </c>
      <c r="BN90" s="112">
        <v>0</v>
      </c>
      <c r="BO90" s="112">
        <v>0</v>
      </c>
      <c r="BP90" s="112">
        <v>1</v>
      </c>
      <c r="BQ90" s="112">
        <v>1</v>
      </c>
      <c r="BR90" s="112">
        <v>0</v>
      </c>
      <c r="BS90" s="112">
        <v>0</v>
      </c>
      <c r="BT90" s="112">
        <v>0</v>
      </c>
      <c r="BU90" s="112">
        <v>0</v>
      </c>
      <c r="BV90" s="112">
        <v>0</v>
      </c>
      <c r="BW90" s="112">
        <v>0</v>
      </c>
      <c r="BX90" s="112">
        <v>0</v>
      </c>
      <c r="BY90" s="112">
        <v>0</v>
      </c>
      <c r="BZ90" s="112">
        <v>0</v>
      </c>
      <c r="CA90" s="112">
        <v>0</v>
      </c>
      <c r="CB90" s="112">
        <v>0</v>
      </c>
      <c r="CC90" s="112">
        <v>1</v>
      </c>
      <c r="CD90" s="112">
        <v>0</v>
      </c>
      <c r="CE90" s="112">
        <v>0</v>
      </c>
      <c r="CF90" s="112">
        <v>1</v>
      </c>
      <c r="CG90" s="112">
        <v>0</v>
      </c>
      <c r="CH90" s="112">
        <v>0</v>
      </c>
      <c r="CI90" s="112">
        <v>0</v>
      </c>
      <c r="CJ90" s="112">
        <v>0</v>
      </c>
      <c r="CK90" s="112">
        <v>0</v>
      </c>
      <c r="CL90" s="112">
        <v>0</v>
      </c>
      <c r="CM90" s="112">
        <v>0</v>
      </c>
      <c r="CN90" s="112">
        <v>0</v>
      </c>
      <c r="CO90" s="112">
        <v>0</v>
      </c>
      <c r="CP90" s="112">
        <v>0</v>
      </c>
      <c r="CQ90" s="112">
        <v>0</v>
      </c>
      <c r="CR90" s="112">
        <v>0</v>
      </c>
      <c r="CS90" s="112">
        <v>0</v>
      </c>
      <c r="CT90" s="112">
        <v>0</v>
      </c>
      <c r="CU90" s="112">
        <v>0</v>
      </c>
      <c r="CV90" s="112">
        <v>0</v>
      </c>
    </row>
    <row r="91" spans="1:100" x14ac:dyDescent="0.15">
      <c r="A91" s="191" t="s">
        <v>281</v>
      </c>
      <c r="B91" s="112">
        <v>0</v>
      </c>
      <c r="C91" s="112">
        <v>0</v>
      </c>
      <c r="D91" s="112">
        <v>0</v>
      </c>
      <c r="E91" s="112">
        <v>1</v>
      </c>
      <c r="F91" s="112">
        <v>0</v>
      </c>
      <c r="G91" s="112">
        <v>0</v>
      </c>
      <c r="H91" s="112">
        <v>0</v>
      </c>
      <c r="I91" s="112">
        <v>0</v>
      </c>
      <c r="J91" s="112">
        <v>0</v>
      </c>
      <c r="K91" s="112">
        <v>0</v>
      </c>
      <c r="L91" s="112">
        <v>0</v>
      </c>
      <c r="M91" s="112">
        <v>0</v>
      </c>
      <c r="N91" s="112">
        <v>0</v>
      </c>
      <c r="O91" s="112">
        <v>0</v>
      </c>
      <c r="P91" s="112">
        <v>0</v>
      </c>
      <c r="Q91" s="112">
        <v>0</v>
      </c>
      <c r="R91" s="112">
        <v>0</v>
      </c>
      <c r="S91" s="112">
        <v>0</v>
      </c>
      <c r="T91" s="112">
        <v>1</v>
      </c>
      <c r="U91" s="112">
        <v>1</v>
      </c>
      <c r="V91" s="112">
        <v>0</v>
      </c>
      <c r="W91" s="112">
        <v>0</v>
      </c>
      <c r="X91" s="112">
        <v>0</v>
      </c>
      <c r="Y91" s="112">
        <v>0</v>
      </c>
      <c r="Z91" s="112">
        <v>0</v>
      </c>
      <c r="AA91" s="112">
        <v>0</v>
      </c>
      <c r="AB91" s="112">
        <v>0</v>
      </c>
      <c r="AC91" s="112">
        <v>0</v>
      </c>
      <c r="AD91" s="112">
        <v>0</v>
      </c>
      <c r="AE91" s="112">
        <v>1</v>
      </c>
      <c r="AF91" s="112">
        <v>1</v>
      </c>
      <c r="AG91" s="112">
        <v>1</v>
      </c>
      <c r="AH91" s="112">
        <v>0</v>
      </c>
      <c r="AI91" s="112">
        <v>0</v>
      </c>
      <c r="AJ91" s="112">
        <v>1</v>
      </c>
      <c r="AK91" s="112">
        <v>1</v>
      </c>
      <c r="AL91" s="112">
        <v>0</v>
      </c>
      <c r="AM91" s="112">
        <v>0</v>
      </c>
      <c r="AN91" s="112">
        <v>0</v>
      </c>
      <c r="AO91" s="112">
        <v>0</v>
      </c>
      <c r="AP91" s="112">
        <v>0</v>
      </c>
      <c r="AQ91" s="112">
        <v>0</v>
      </c>
      <c r="AR91" s="112">
        <v>1</v>
      </c>
      <c r="AS91" s="112">
        <v>1</v>
      </c>
      <c r="AT91" s="112">
        <v>0</v>
      </c>
      <c r="AU91" s="112">
        <v>0</v>
      </c>
      <c r="AV91" s="112">
        <v>1</v>
      </c>
      <c r="AW91" s="112">
        <v>0</v>
      </c>
      <c r="AX91" s="112">
        <v>0</v>
      </c>
      <c r="AY91" s="112">
        <v>0</v>
      </c>
      <c r="AZ91" s="112">
        <v>0</v>
      </c>
      <c r="BA91" s="112">
        <v>0</v>
      </c>
      <c r="BB91" s="112">
        <v>1</v>
      </c>
      <c r="BC91" s="112">
        <v>0</v>
      </c>
      <c r="BD91" s="112">
        <v>0</v>
      </c>
      <c r="BE91" s="112">
        <v>0</v>
      </c>
      <c r="BF91" s="112">
        <v>0</v>
      </c>
      <c r="BG91" s="112">
        <v>0</v>
      </c>
      <c r="BH91" s="112">
        <v>0</v>
      </c>
      <c r="BI91" s="112">
        <v>0</v>
      </c>
      <c r="BJ91" s="112">
        <v>0</v>
      </c>
      <c r="BK91" s="112">
        <v>0</v>
      </c>
      <c r="BL91" s="112">
        <v>1</v>
      </c>
      <c r="BM91" s="112">
        <v>0</v>
      </c>
      <c r="BN91" s="112">
        <v>0</v>
      </c>
      <c r="BO91" s="112">
        <v>0</v>
      </c>
      <c r="BP91" s="112">
        <v>0</v>
      </c>
      <c r="BQ91" s="112">
        <v>1</v>
      </c>
      <c r="BR91" s="112">
        <v>0</v>
      </c>
      <c r="BS91" s="112">
        <v>0</v>
      </c>
      <c r="BT91" s="112">
        <v>0</v>
      </c>
      <c r="BU91" s="112">
        <v>1</v>
      </c>
      <c r="BV91" s="112">
        <v>0</v>
      </c>
      <c r="BW91" s="112">
        <v>0</v>
      </c>
      <c r="BX91" s="112">
        <v>0</v>
      </c>
      <c r="BY91" s="112">
        <v>0</v>
      </c>
      <c r="BZ91" s="112">
        <v>0</v>
      </c>
      <c r="CA91" s="112">
        <v>0</v>
      </c>
      <c r="CB91" s="112">
        <v>0</v>
      </c>
      <c r="CC91" s="112">
        <v>0</v>
      </c>
      <c r="CD91" s="112">
        <v>0</v>
      </c>
      <c r="CE91" s="112">
        <v>0</v>
      </c>
      <c r="CF91" s="112">
        <v>1</v>
      </c>
      <c r="CG91" s="112">
        <v>0</v>
      </c>
      <c r="CH91" s="112">
        <v>1</v>
      </c>
      <c r="CI91" s="112">
        <v>0</v>
      </c>
      <c r="CJ91" s="112">
        <v>0</v>
      </c>
      <c r="CK91" s="112">
        <v>0</v>
      </c>
      <c r="CL91" s="112">
        <v>0</v>
      </c>
      <c r="CM91" s="112">
        <v>0</v>
      </c>
      <c r="CN91" s="112">
        <v>0</v>
      </c>
      <c r="CO91" s="112">
        <v>0</v>
      </c>
      <c r="CP91" s="112">
        <v>0</v>
      </c>
      <c r="CQ91" s="112">
        <v>0</v>
      </c>
      <c r="CR91" s="112">
        <v>0</v>
      </c>
      <c r="CS91" s="112">
        <v>0</v>
      </c>
      <c r="CT91" s="112">
        <v>0</v>
      </c>
      <c r="CU91" s="112">
        <v>0</v>
      </c>
      <c r="CV91" s="112">
        <v>0</v>
      </c>
    </row>
    <row r="92" spans="1:100" x14ac:dyDescent="0.15">
      <c r="A92" s="191" t="s">
        <v>282</v>
      </c>
      <c r="B92" s="112">
        <v>0</v>
      </c>
      <c r="C92" s="112">
        <v>0</v>
      </c>
      <c r="D92" s="112">
        <v>0</v>
      </c>
      <c r="E92" s="112">
        <v>1</v>
      </c>
      <c r="F92" s="112">
        <v>0</v>
      </c>
      <c r="G92" s="112">
        <v>0</v>
      </c>
      <c r="H92" s="112">
        <v>0</v>
      </c>
      <c r="I92" s="112">
        <v>0</v>
      </c>
      <c r="J92" s="112">
        <v>0</v>
      </c>
      <c r="K92" s="112">
        <v>0</v>
      </c>
      <c r="L92" s="112">
        <v>1</v>
      </c>
      <c r="M92" s="112">
        <v>0</v>
      </c>
      <c r="N92" s="112">
        <v>0</v>
      </c>
      <c r="O92" s="112">
        <v>0</v>
      </c>
      <c r="P92" s="112">
        <v>0</v>
      </c>
      <c r="Q92" s="112">
        <v>0</v>
      </c>
      <c r="R92" s="112">
        <v>0</v>
      </c>
      <c r="S92" s="112">
        <v>0</v>
      </c>
      <c r="T92" s="112">
        <v>0</v>
      </c>
      <c r="U92" s="112">
        <v>0</v>
      </c>
      <c r="V92" s="112">
        <v>0</v>
      </c>
      <c r="W92" s="112">
        <v>0</v>
      </c>
      <c r="X92" s="112">
        <v>0</v>
      </c>
      <c r="Y92" s="112">
        <v>0</v>
      </c>
      <c r="Z92" s="112">
        <v>0</v>
      </c>
      <c r="AA92" s="112">
        <v>0</v>
      </c>
      <c r="AB92" s="112">
        <v>1</v>
      </c>
      <c r="AC92" s="112">
        <v>0</v>
      </c>
      <c r="AD92" s="112">
        <v>0</v>
      </c>
      <c r="AE92" s="112">
        <v>0</v>
      </c>
      <c r="AF92" s="112">
        <v>0</v>
      </c>
      <c r="AG92" s="112">
        <v>0</v>
      </c>
      <c r="AH92" s="112">
        <v>0</v>
      </c>
      <c r="AI92" s="112">
        <v>0</v>
      </c>
      <c r="AJ92" s="112">
        <v>0</v>
      </c>
      <c r="AK92" s="112">
        <v>0</v>
      </c>
      <c r="AL92" s="112">
        <v>0</v>
      </c>
      <c r="AM92" s="112">
        <v>0</v>
      </c>
      <c r="AN92" s="112">
        <v>0</v>
      </c>
      <c r="AO92" s="112">
        <v>0</v>
      </c>
      <c r="AP92" s="112">
        <v>0</v>
      </c>
      <c r="AQ92" s="112">
        <v>0</v>
      </c>
      <c r="AR92" s="112">
        <v>1</v>
      </c>
      <c r="AS92" s="112">
        <v>0</v>
      </c>
      <c r="AT92" s="112">
        <v>0</v>
      </c>
      <c r="AU92" s="112">
        <v>0</v>
      </c>
      <c r="AV92" s="112">
        <v>0</v>
      </c>
      <c r="AW92" s="112">
        <v>0</v>
      </c>
      <c r="AX92" s="112">
        <v>0</v>
      </c>
      <c r="AY92" s="112">
        <v>0</v>
      </c>
      <c r="AZ92" s="112">
        <v>0</v>
      </c>
      <c r="BA92" s="112">
        <v>0</v>
      </c>
      <c r="BB92" s="112">
        <v>0</v>
      </c>
      <c r="BC92" s="112">
        <v>0</v>
      </c>
      <c r="BD92" s="112">
        <v>0</v>
      </c>
      <c r="BE92" s="112">
        <v>0</v>
      </c>
      <c r="BF92" s="112">
        <v>0</v>
      </c>
      <c r="BG92" s="112">
        <v>0</v>
      </c>
      <c r="BH92" s="112">
        <v>0</v>
      </c>
      <c r="BI92" s="112">
        <v>0</v>
      </c>
      <c r="BJ92" s="112">
        <v>1</v>
      </c>
      <c r="BK92" s="112">
        <v>0</v>
      </c>
      <c r="BL92" s="112">
        <v>1</v>
      </c>
      <c r="BM92" s="112">
        <v>0</v>
      </c>
      <c r="BN92" s="112">
        <v>0</v>
      </c>
      <c r="BO92" s="112">
        <v>0</v>
      </c>
      <c r="BP92" s="112">
        <v>1</v>
      </c>
      <c r="BQ92" s="112">
        <v>0</v>
      </c>
      <c r="BR92" s="112">
        <v>0</v>
      </c>
      <c r="BS92" s="112">
        <v>0</v>
      </c>
      <c r="BT92" s="112">
        <v>1</v>
      </c>
      <c r="BU92" s="112">
        <v>0</v>
      </c>
      <c r="BV92" s="112">
        <v>0</v>
      </c>
      <c r="BW92" s="112">
        <v>0</v>
      </c>
      <c r="BX92" s="112">
        <v>0</v>
      </c>
      <c r="BY92" s="112">
        <v>0</v>
      </c>
      <c r="BZ92" s="112">
        <v>0</v>
      </c>
      <c r="CA92" s="112">
        <v>0</v>
      </c>
      <c r="CB92" s="112">
        <v>0</v>
      </c>
      <c r="CC92" s="112">
        <v>0</v>
      </c>
      <c r="CD92" s="112">
        <v>0</v>
      </c>
      <c r="CE92" s="112">
        <v>0</v>
      </c>
      <c r="CF92" s="112">
        <v>0</v>
      </c>
      <c r="CG92" s="112">
        <v>1</v>
      </c>
      <c r="CH92" s="112">
        <v>0</v>
      </c>
      <c r="CI92" s="112">
        <v>0</v>
      </c>
      <c r="CJ92" s="112">
        <v>0</v>
      </c>
      <c r="CK92" s="112">
        <v>0</v>
      </c>
      <c r="CL92" s="112">
        <v>0</v>
      </c>
      <c r="CM92" s="112">
        <v>0</v>
      </c>
      <c r="CN92" s="112">
        <v>0</v>
      </c>
      <c r="CO92" s="112">
        <v>0</v>
      </c>
      <c r="CP92" s="112">
        <v>0</v>
      </c>
      <c r="CQ92" s="112">
        <v>0</v>
      </c>
      <c r="CR92" s="112">
        <v>0</v>
      </c>
      <c r="CS92" s="112">
        <v>0</v>
      </c>
      <c r="CT92" s="112">
        <v>0</v>
      </c>
      <c r="CU92" s="112">
        <v>0</v>
      </c>
      <c r="CV92" s="112">
        <v>0</v>
      </c>
    </row>
    <row r="93" spans="1:100" x14ac:dyDescent="0.15">
      <c r="A93" s="191" t="s">
        <v>283</v>
      </c>
      <c r="B93" s="112">
        <v>0</v>
      </c>
      <c r="C93" s="112">
        <v>0</v>
      </c>
      <c r="D93" s="112">
        <v>0</v>
      </c>
      <c r="E93" s="112">
        <v>0</v>
      </c>
      <c r="F93" s="112">
        <v>0</v>
      </c>
      <c r="G93" s="112">
        <v>0</v>
      </c>
      <c r="H93" s="112">
        <v>0</v>
      </c>
      <c r="I93" s="112">
        <v>0</v>
      </c>
      <c r="J93" s="112">
        <v>0</v>
      </c>
      <c r="K93" s="112">
        <v>0</v>
      </c>
      <c r="L93" s="112">
        <v>0</v>
      </c>
      <c r="M93" s="112">
        <v>0</v>
      </c>
      <c r="N93" s="112">
        <v>0</v>
      </c>
      <c r="O93" s="112">
        <v>1</v>
      </c>
      <c r="P93" s="112">
        <v>1</v>
      </c>
      <c r="Q93" s="112">
        <v>0</v>
      </c>
      <c r="R93" s="112">
        <v>0</v>
      </c>
      <c r="S93" s="112">
        <v>0</v>
      </c>
      <c r="T93" s="112">
        <v>0</v>
      </c>
      <c r="U93" s="112">
        <v>1</v>
      </c>
      <c r="V93" s="112">
        <v>0</v>
      </c>
      <c r="W93" s="112">
        <v>1</v>
      </c>
      <c r="X93" s="112">
        <v>1</v>
      </c>
      <c r="Y93" s="112">
        <v>0</v>
      </c>
      <c r="Z93" s="112">
        <v>0</v>
      </c>
      <c r="AA93" s="112">
        <v>0</v>
      </c>
      <c r="AB93" s="112">
        <v>0</v>
      </c>
      <c r="AC93" s="112">
        <v>0</v>
      </c>
      <c r="AD93" s="112">
        <v>1</v>
      </c>
      <c r="AE93" s="112">
        <v>1</v>
      </c>
      <c r="AF93" s="112">
        <v>1</v>
      </c>
      <c r="AG93" s="112">
        <v>1</v>
      </c>
      <c r="AH93" s="112">
        <v>1</v>
      </c>
      <c r="AI93" s="112">
        <v>1</v>
      </c>
      <c r="AJ93" s="112">
        <v>1</v>
      </c>
      <c r="AK93" s="112">
        <v>1</v>
      </c>
      <c r="AL93" s="112">
        <v>0</v>
      </c>
      <c r="AM93" s="112">
        <v>0</v>
      </c>
      <c r="AN93" s="112">
        <v>1</v>
      </c>
      <c r="AO93" s="112">
        <v>0</v>
      </c>
      <c r="AP93" s="112">
        <v>0</v>
      </c>
      <c r="AQ93" s="112">
        <v>0</v>
      </c>
      <c r="AR93" s="112">
        <v>0</v>
      </c>
      <c r="AS93" s="112">
        <v>0</v>
      </c>
      <c r="AT93" s="112">
        <v>0</v>
      </c>
      <c r="AU93" s="112">
        <v>0</v>
      </c>
      <c r="AV93" s="112">
        <v>0</v>
      </c>
      <c r="AW93" s="112">
        <v>0</v>
      </c>
      <c r="AX93" s="112">
        <v>0</v>
      </c>
      <c r="AY93" s="112">
        <v>0</v>
      </c>
      <c r="AZ93" s="112">
        <v>0</v>
      </c>
      <c r="BA93" s="112">
        <v>0</v>
      </c>
      <c r="BB93" s="112">
        <v>0</v>
      </c>
      <c r="BC93" s="112">
        <v>0</v>
      </c>
      <c r="BD93" s="112">
        <v>0</v>
      </c>
      <c r="BE93" s="112">
        <v>0</v>
      </c>
      <c r="BF93" s="112">
        <v>0</v>
      </c>
      <c r="BG93" s="112">
        <v>0</v>
      </c>
      <c r="BH93" s="112">
        <v>0</v>
      </c>
      <c r="BI93" s="112">
        <v>0</v>
      </c>
      <c r="BJ93" s="112">
        <v>0</v>
      </c>
      <c r="BK93" s="112">
        <v>0</v>
      </c>
      <c r="BL93" s="112">
        <v>0</v>
      </c>
      <c r="BM93" s="112">
        <v>0</v>
      </c>
      <c r="BN93" s="112">
        <v>0</v>
      </c>
      <c r="BO93" s="112">
        <v>0</v>
      </c>
      <c r="BP93" s="112">
        <v>0</v>
      </c>
      <c r="BQ93" s="112">
        <v>0</v>
      </c>
      <c r="BR93" s="112">
        <v>0</v>
      </c>
      <c r="BS93" s="112">
        <v>0</v>
      </c>
      <c r="BT93" s="112">
        <v>0</v>
      </c>
      <c r="BU93" s="112">
        <v>0</v>
      </c>
      <c r="BV93" s="112">
        <v>0</v>
      </c>
      <c r="BW93" s="112">
        <v>0</v>
      </c>
      <c r="BX93" s="112">
        <v>0</v>
      </c>
      <c r="BY93" s="112">
        <v>0</v>
      </c>
      <c r="BZ93" s="112">
        <v>0</v>
      </c>
      <c r="CA93" s="112">
        <v>0</v>
      </c>
      <c r="CB93" s="112">
        <v>0</v>
      </c>
      <c r="CC93" s="112">
        <v>0</v>
      </c>
      <c r="CD93" s="112">
        <v>0</v>
      </c>
      <c r="CE93" s="112">
        <v>0</v>
      </c>
      <c r="CF93" s="112">
        <v>0</v>
      </c>
      <c r="CG93" s="112">
        <v>0</v>
      </c>
      <c r="CH93" s="112">
        <v>0</v>
      </c>
      <c r="CI93" s="112">
        <v>0</v>
      </c>
      <c r="CJ93" s="112">
        <v>0</v>
      </c>
      <c r="CK93" s="112">
        <v>0</v>
      </c>
      <c r="CL93" s="112">
        <v>0</v>
      </c>
      <c r="CM93" s="112">
        <v>0</v>
      </c>
      <c r="CN93" s="112">
        <v>0</v>
      </c>
      <c r="CO93" s="112">
        <v>0</v>
      </c>
      <c r="CP93" s="112">
        <v>0</v>
      </c>
      <c r="CQ93" s="112">
        <v>0</v>
      </c>
      <c r="CR93" s="112">
        <v>0</v>
      </c>
      <c r="CS93" s="112">
        <v>0</v>
      </c>
      <c r="CT93" s="112">
        <v>0</v>
      </c>
      <c r="CU93" s="112">
        <v>0</v>
      </c>
      <c r="CV93" s="112">
        <v>0</v>
      </c>
    </row>
    <row r="94" spans="1:100" x14ac:dyDescent="0.15">
      <c r="A94" s="191" t="s">
        <v>284</v>
      </c>
      <c r="B94" s="112">
        <v>1</v>
      </c>
      <c r="C94" s="112">
        <v>0</v>
      </c>
      <c r="D94" s="112">
        <v>0</v>
      </c>
      <c r="E94" s="112">
        <v>0</v>
      </c>
      <c r="F94" s="112">
        <v>0</v>
      </c>
      <c r="G94" s="112">
        <v>0</v>
      </c>
      <c r="H94" s="112">
        <v>0</v>
      </c>
      <c r="I94" s="112">
        <v>0</v>
      </c>
      <c r="J94" s="112">
        <v>0</v>
      </c>
      <c r="K94" s="112">
        <v>0</v>
      </c>
      <c r="L94" s="112">
        <v>0</v>
      </c>
      <c r="M94" s="112">
        <v>0</v>
      </c>
      <c r="N94" s="112">
        <v>0</v>
      </c>
      <c r="O94" s="112">
        <v>0</v>
      </c>
      <c r="P94" s="112">
        <v>0</v>
      </c>
      <c r="Q94" s="112">
        <v>0</v>
      </c>
      <c r="R94" s="112">
        <v>0</v>
      </c>
      <c r="S94" s="112">
        <v>0</v>
      </c>
      <c r="T94" s="112">
        <v>0</v>
      </c>
      <c r="U94" s="112">
        <v>0</v>
      </c>
      <c r="V94" s="112">
        <v>0</v>
      </c>
      <c r="W94" s="112">
        <v>0</v>
      </c>
      <c r="X94" s="112">
        <v>0</v>
      </c>
      <c r="Y94" s="112">
        <v>0</v>
      </c>
      <c r="Z94" s="112">
        <v>0</v>
      </c>
      <c r="AA94" s="112">
        <v>0</v>
      </c>
      <c r="AB94" s="112">
        <v>0</v>
      </c>
      <c r="AC94" s="112">
        <v>0</v>
      </c>
      <c r="AD94" s="112">
        <v>0</v>
      </c>
      <c r="AE94" s="112">
        <v>0</v>
      </c>
      <c r="AF94" s="112">
        <v>0</v>
      </c>
      <c r="AG94" s="112">
        <v>0</v>
      </c>
      <c r="AH94" s="112">
        <v>0</v>
      </c>
      <c r="AI94" s="112">
        <v>0</v>
      </c>
      <c r="AJ94" s="112">
        <v>0</v>
      </c>
      <c r="AK94" s="112">
        <v>0</v>
      </c>
      <c r="AL94" s="112">
        <v>0</v>
      </c>
      <c r="AM94" s="112">
        <v>0</v>
      </c>
      <c r="AN94" s="112">
        <v>0</v>
      </c>
      <c r="AO94" s="112">
        <v>0</v>
      </c>
      <c r="AP94" s="112">
        <v>1</v>
      </c>
      <c r="AQ94" s="112">
        <v>0</v>
      </c>
      <c r="AR94" s="112">
        <v>0</v>
      </c>
      <c r="AS94" s="112">
        <v>0</v>
      </c>
      <c r="AT94" s="112">
        <v>1</v>
      </c>
      <c r="AU94" s="112">
        <v>1</v>
      </c>
      <c r="AV94" s="112">
        <v>0</v>
      </c>
      <c r="AW94" s="112">
        <v>0</v>
      </c>
      <c r="AX94" s="112">
        <v>0</v>
      </c>
      <c r="AY94" s="112">
        <v>1</v>
      </c>
      <c r="AZ94" s="112">
        <v>1</v>
      </c>
      <c r="BA94" s="112">
        <v>1</v>
      </c>
      <c r="BB94" s="112">
        <v>0</v>
      </c>
      <c r="BC94" s="112">
        <v>1</v>
      </c>
      <c r="BD94" s="112">
        <v>1</v>
      </c>
      <c r="BE94" s="112">
        <v>1</v>
      </c>
      <c r="BF94" s="112">
        <v>1</v>
      </c>
      <c r="BG94" s="112">
        <v>1</v>
      </c>
      <c r="BH94" s="112">
        <v>0</v>
      </c>
      <c r="BI94" s="112">
        <v>0</v>
      </c>
      <c r="BJ94" s="112">
        <v>1</v>
      </c>
      <c r="BK94" s="112">
        <v>0</v>
      </c>
      <c r="BL94" s="112">
        <v>1</v>
      </c>
      <c r="BM94" s="112">
        <v>1</v>
      </c>
      <c r="BN94" s="112">
        <v>0</v>
      </c>
      <c r="BO94" s="112">
        <v>0</v>
      </c>
      <c r="BP94" s="112">
        <v>1</v>
      </c>
      <c r="BQ94" s="112">
        <v>0</v>
      </c>
      <c r="BR94" s="112">
        <v>0</v>
      </c>
      <c r="BS94" s="112">
        <v>0</v>
      </c>
      <c r="BT94" s="112">
        <v>0</v>
      </c>
      <c r="BU94" s="112">
        <v>0</v>
      </c>
      <c r="BV94" s="112">
        <v>0</v>
      </c>
      <c r="BW94" s="112">
        <v>0</v>
      </c>
      <c r="BX94" s="112">
        <v>0</v>
      </c>
      <c r="BY94" s="112">
        <v>0</v>
      </c>
      <c r="BZ94" s="112">
        <v>0</v>
      </c>
      <c r="CA94" s="112">
        <v>0</v>
      </c>
      <c r="CB94" s="112">
        <v>0</v>
      </c>
      <c r="CC94" s="112">
        <v>0</v>
      </c>
      <c r="CD94" s="112">
        <v>0</v>
      </c>
      <c r="CE94" s="112">
        <v>0</v>
      </c>
      <c r="CF94" s="112">
        <v>0</v>
      </c>
      <c r="CG94" s="112">
        <v>1</v>
      </c>
      <c r="CH94" s="112">
        <v>0</v>
      </c>
      <c r="CI94" s="112">
        <v>0</v>
      </c>
      <c r="CJ94" s="112">
        <v>0</v>
      </c>
      <c r="CK94" s="112">
        <v>0</v>
      </c>
      <c r="CL94" s="112">
        <v>0</v>
      </c>
      <c r="CM94" s="112">
        <v>0</v>
      </c>
      <c r="CN94" s="112">
        <v>0</v>
      </c>
      <c r="CO94" s="112">
        <v>0</v>
      </c>
      <c r="CP94" s="112">
        <v>0</v>
      </c>
      <c r="CQ94" s="112">
        <v>0</v>
      </c>
      <c r="CR94" s="112">
        <v>0</v>
      </c>
      <c r="CS94" s="112">
        <v>0</v>
      </c>
      <c r="CT94" s="112">
        <v>0</v>
      </c>
      <c r="CU94" s="112">
        <v>0</v>
      </c>
      <c r="CV94" s="112">
        <v>0</v>
      </c>
    </row>
    <row r="95" spans="1:100" x14ac:dyDescent="0.15">
      <c r="A95" s="191" t="s">
        <v>285</v>
      </c>
      <c r="B95" s="112">
        <v>0</v>
      </c>
      <c r="C95" s="112">
        <v>0</v>
      </c>
      <c r="D95" s="112">
        <v>0</v>
      </c>
      <c r="E95" s="112">
        <v>0</v>
      </c>
      <c r="F95" s="112">
        <v>0</v>
      </c>
      <c r="G95" s="112">
        <v>0</v>
      </c>
      <c r="H95" s="112">
        <v>0</v>
      </c>
      <c r="I95" s="112">
        <v>0</v>
      </c>
      <c r="J95" s="112">
        <v>0</v>
      </c>
      <c r="K95" s="112">
        <v>0</v>
      </c>
      <c r="L95" s="112">
        <v>0</v>
      </c>
      <c r="M95" s="112">
        <v>0</v>
      </c>
      <c r="N95" s="112">
        <v>0</v>
      </c>
      <c r="O95" s="112">
        <v>0</v>
      </c>
      <c r="P95" s="112">
        <v>0</v>
      </c>
      <c r="Q95" s="112">
        <v>0</v>
      </c>
      <c r="R95" s="112">
        <v>0</v>
      </c>
      <c r="S95" s="112">
        <v>0</v>
      </c>
      <c r="T95" s="112">
        <v>0</v>
      </c>
      <c r="U95" s="112">
        <v>0</v>
      </c>
      <c r="V95" s="112">
        <v>0</v>
      </c>
      <c r="W95" s="112">
        <v>0</v>
      </c>
      <c r="X95" s="112">
        <v>0</v>
      </c>
      <c r="Y95" s="112">
        <v>0</v>
      </c>
      <c r="Z95" s="112">
        <v>0</v>
      </c>
      <c r="AA95" s="112">
        <v>0</v>
      </c>
      <c r="AB95" s="112">
        <v>1</v>
      </c>
      <c r="AC95" s="112">
        <v>0</v>
      </c>
      <c r="AD95" s="112">
        <v>0</v>
      </c>
      <c r="AE95" s="112">
        <v>0</v>
      </c>
      <c r="AF95" s="112">
        <v>0</v>
      </c>
      <c r="AG95" s="112">
        <v>0</v>
      </c>
      <c r="AH95" s="112">
        <v>0</v>
      </c>
      <c r="AI95" s="112">
        <v>0</v>
      </c>
      <c r="AJ95" s="112">
        <v>0</v>
      </c>
      <c r="AK95" s="112">
        <v>0</v>
      </c>
      <c r="AL95" s="112">
        <v>0</v>
      </c>
      <c r="AM95" s="112">
        <v>1</v>
      </c>
      <c r="AN95" s="112">
        <v>0</v>
      </c>
      <c r="AO95" s="112">
        <v>0</v>
      </c>
      <c r="AP95" s="112">
        <v>0</v>
      </c>
      <c r="AQ95" s="112">
        <v>0</v>
      </c>
      <c r="AR95" s="112">
        <v>0</v>
      </c>
      <c r="AS95" s="112">
        <v>0</v>
      </c>
      <c r="AT95" s="112">
        <v>0</v>
      </c>
      <c r="AU95" s="112">
        <v>0</v>
      </c>
      <c r="AV95" s="112">
        <v>0</v>
      </c>
      <c r="AW95" s="112">
        <v>0</v>
      </c>
      <c r="AX95" s="112">
        <v>0</v>
      </c>
      <c r="AY95" s="112">
        <v>0</v>
      </c>
      <c r="AZ95" s="112">
        <v>1</v>
      </c>
      <c r="BA95" s="112">
        <v>1</v>
      </c>
      <c r="BB95" s="112">
        <v>0</v>
      </c>
      <c r="BC95" s="112">
        <v>1</v>
      </c>
      <c r="BD95" s="112">
        <v>1</v>
      </c>
      <c r="BE95" s="112">
        <v>0</v>
      </c>
      <c r="BF95" s="112">
        <v>1</v>
      </c>
      <c r="BG95" s="112">
        <v>0</v>
      </c>
      <c r="BH95" s="112">
        <v>0</v>
      </c>
      <c r="BI95" s="112">
        <v>0</v>
      </c>
      <c r="BJ95" s="112">
        <v>1</v>
      </c>
      <c r="BK95" s="112">
        <v>0</v>
      </c>
      <c r="BL95" s="112">
        <v>1</v>
      </c>
      <c r="BM95" s="112">
        <v>0</v>
      </c>
      <c r="BN95" s="112">
        <v>0</v>
      </c>
      <c r="BO95" s="112">
        <v>0</v>
      </c>
      <c r="BP95" s="112">
        <v>1</v>
      </c>
      <c r="BQ95" s="112">
        <v>0</v>
      </c>
      <c r="BR95" s="112">
        <v>1</v>
      </c>
      <c r="BS95" s="112">
        <v>0</v>
      </c>
      <c r="BT95" s="112">
        <v>0</v>
      </c>
      <c r="BU95" s="112">
        <v>0</v>
      </c>
      <c r="BV95" s="112">
        <v>0</v>
      </c>
      <c r="BW95" s="112">
        <v>0</v>
      </c>
      <c r="BX95" s="112">
        <v>0</v>
      </c>
      <c r="BY95" s="112">
        <v>0</v>
      </c>
      <c r="BZ95" s="112">
        <v>0</v>
      </c>
      <c r="CA95" s="112">
        <v>0</v>
      </c>
      <c r="CB95" s="112">
        <v>0</v>
      </c>
      <c r="CC95" s="112">
        <v>0</v>
      </c>
      <c r="CD95" s="112">
        <v>0</v>
      </c>
      <c r="CE95" s="112">
        <v>0</v>
      </c>
      <c r="CF95" s="112">
        <v>0</v>
      </c>
      <c r="CG95" s="112">
        <v>0</v>
      </c>
      <c r="CH95" s="112">
        <v>0</v>
      </c>
      <c r="CI95" s="112">
        <v>0</v>
      </c>
      <c r="CJ95" s="112">
        <v>0</v>
      </c>
      <c r="CK95" s="112">
        <v>0</v>
      </c>
      <c r="CL95" s="112">
        <v>0</v>
      </c>
      <c r="CM95" s="112">
        <v>0</v>
      </c>
      <c r="CN95" s="112">
        <v>0</v>
      </c>
      <c r="CO95" s="112">
        <v>0</v>
      </c>
      <c r="CP95" s="112">
        <v>0</v>
      </c>
      <c r="CQ95" s="112">
        <v>0</v>
      </c>
      <c r="CR95" s="112">
        <v>0</v>
      </c>
      <c r="CS95" s="112">
        <v>0</v>
      </c>
      <c r="CT95" s="112">
        <v>0</v>
      </c>
      <c r="CU95" s="112">
        <v>0</v>
      </c>
      <c r="CV95" s="112">
        <v>0</v>
      </c>
    </row>
    <row r="96" spans="1:100" x14ac:dyDescent="0.15">
      <c r="A96" s="191" t="s">
        <v>286</v>
      </c>
      <c r="B96" s="112">
        <v>0</v>
      </c>
      <c r="C96" s="112">
        <v>0</v>
      </c>
      <c r="D96" s="112">
        <v>0</v>
      </c>
      <c r="E96" s="112">
        <v>0</v>
      </c>
      <c r="F96" s="112">
        <v>0</v>
      </c>
      <c r="G96" s="112">
        <v>0</v>
      </c>
      <c r="H96" s="112">
        <v>0</v>
      </c>
      <c r="I96" s="112">
        <v>0</v>
      </c>
      <c r="J96" s="112">
        <v>0</v>
      </c>
      <c r="K96" s="112">
        <v>0</v>
      </c>
      <c r="L96" s="112">
        <v>0</v>
      </c>
      <c r="M96" s="112">
        <v>0</v>
      </c>
      <c r="N96" s="112">
        <v>0</v>
      </c>
      <c r="O96" s="112">
        <v>0</v>
      </c>
      <c r="P96" s="112">
        <v>0</v>
      </c>
      <c r="Q96" s="112">
        <v>0</v>
      </c>
      <c r="R96" s="112">
        <v>0</v>
      </c>
      <c r="S96" s="112">
        <v>0</v>
      </c>
      <c r="T96" s="112">
        <v>0</v>
      </c>
      <c r="U96" s="112">
        <v>0</v>
      </c>
      <c r="V96" s="112">
        <v>0</v>
      </c>
      <c r="W96" s="112">
        <v>0</v>
      </c>
      <c r="X96" s="112">
        <v>0</v>
      </c>
      <c r="Y96" s="112">
        <v>0</v>
      </c>
      <c r="Z96" s="112">
        <v>0</v>
      </c>
      <c r="AA96" s="112">
        <v>0</v>
      </c>
      <c r="AB96" s="112">
        <v>0</v>
      </c>
      <c r="AC96" s="112">
        <v>0</v>
      </c>
      <c r="AD96" s="112">
        <v>0</v>
      </c>
      <c r="AE96" s="112">
        <v>0</v>
      </c>
      <c r="AF96" s="112">
        <v>0</v>
      </c>
      <c r="AG96" s="112">
        <v>0</v>
      </c>
      <c r="AH96" s="112">
        <v>0</v>
      </c>
      <c r="AI96" s="112">
        <v>0</v>
      </c>
      <c r="AJ96" s="112">
        <v>0</v>
      </c>
      <c r="AK96" s="112">
        <v>0</v>
      </c>
      <c r="AL96" s="112">
        <v>0</v>
      </c>
      <c r="AM96" s="112">
        <v>0</v>
      </c>
      <c r="AN96" s="112">
        <v>0</v>
      </c>
      <c r="AO96" s="112">
        <v>0</v>
      </c>
      <c r="AP96" s="112">
        <v>0</v>
      </c>
      <c r="AQ96" s="112">
        <v>0</v>
      </c>
      <c r="AR96" s="112">
        <v>0</v>
      </c>
      <c r="AS96" s="112">
        <v>0</v>
      </c>
      <c r="AT96" s="112">
        <v>0</v>
      </c>
      <c r="AU96" s="112">
        <v>0</v>
      </c>
      <c r="AV96" s="112">
        <v>0</v>
      </c>
      <c r="AW96" s="112">
        <v>0</v>
      </c>
      <c r="AX96" s="112">
        <v>0</v>
      </c>
      <c r="AY96" s="112">
        <v>0</v>
      </c>
      <c r="AZ96" s="112">
        <v>0</v>
      </c>
      <c r="BA96" s="112">
        <v>0</v>
      </c>
      <c r="BB96" s="112">
        <v>1</v>
      </c>
      <c r="BC96" s="112">
        <v>1</v>
      </c>
      <c r="BD96" s="112">
        <v>1</v>
      </c>
      <c r="BE96" s="112">
        <v>0</v>
      </c>
      <c r="BF96" s="112">
        <v>1</v>
      </c>
      <c r="BG96" s="112">
        <v>0</v>
      </c>
      <c r="BH96" s="112">
        <v>0</v>
      </c>
      <c r="BI96" s="112">
        <v>0</v>
      </c>
      <c r="BJ96" s="112">
        <v>1</v>
      </c>
      <c r="BK96" s="112">
        <v>0</v>
      </c>
      <c r="BL96" s="112">
        <v>1</v>
      </c>
      <c r="BM96" s="112">
        <v>0</v>
      </c>
      <c r="BN96" s="112">
        <v>0</v>
      </c>
      <c r="BO96" s="112">
        <v>0</v>
      </c>
      <c r="BP96" s="112">
        <v>0</v>
      </c>
      <c r="BQ96" s="112">
        <v>1</v>
      </c>
      <c r="BR96" s="112">
        <v>0</v>
      </c>
      <c r="BS96" s="112">
        <v>1</v>
      </c>
      <c r="BT96" s="112">
        <v>0</v>
      </c>
      <c r="BU96" s="112">
        <v>0</v>
      </c>
      <c r="BV96" s="112">
        <v>0</v>
      </c>
      <c r="BW96" s="112">
        <v>0</v>
      </c>
      <c r="BX96" s="112">
        <v>0</v>
      </c>
      <c r="BY96" s="112">
        <v>0</v>
      </c>
      <c r="BZ96" s="112">
        <v>0</v>
      </c>
      <c r="CA96" s="112">
        <v>0</v>
      </c>
      <c r="CB96" s="112">
        <v>0</v>
      </c>
      <c r="CC96" s="112">
        <v>0</v>
      </c>
      <c r="CD96" s="112">
        <v>0</v>
      </c>
      <c r="CE96" s="112">
        <v>0</v>
      </c>
      <c r="CF96" s="112">
        <v>1</v>
      </c>
      <c r="CG96" s="112">
        <v>0</v>
      </c>
      <c r="CH96" s="112">
        <v>0</v>
      </c>
      <c r="CI96" s="112">
        <v>0</v>
      </c>
      <c r="CJ96" s="112">
        <v>0</v>
      </c>
      <c r="CK96" s="112">
        <v>0</v>
      </c>
      <c r="CL96" s="112">
        <v>0</v>
      </c>
      <c r="CM96" s="112">
        <v>0</v>
      </c>
      <c r="CN96" s="112">
        <v>0</v>
      </c>
      <c r="CO96" s="112">
        <v>0</v>
      </c>
      <c r="CP96" s="112">
        <v>0</v>
      </c>
      <c r="CQ96" s="112">
        <v>0</v>
      </c>
      <c r="CR96" s="112">
        <v>0</v>
      </c>
      <c r="CS96" s="112">
        <v>0</v>
      </c>
      <c r="CT96" s="112">
        <v>0</v>
      </c>
      <c r="CU96" s="112">
        <v>0</v>
      </c>
      <c r="CV96" s="112">
        <v>0</v>
      </c>
    </row>
    <row r="97" spans="1:100" x14ac:dyDescent="0.15">
      <c r="A97" s="191" t="s">
        <v>287</v>
      </c>
      <c r="B97" s="112">
        <v>0</v>
      </c>
      <c r="C97" s="112">
        <v>0</v>
      </c>
      <c r="D97" s="112">
        <v>0</v>
      </c>
      <c r="E97" s="112">
        <v>0</v>
      </c>
      <c r="F97" s="112">
        <v>0</v>
      </c>
      <c r="G97" s="112">
        <v>0</v>
      </c>
      <c r="H97" s="112">
        <v>0</v>
      </c>
      <c r="I97" s="112">
        <v>0</v>
      </c>
      <c r="J97" s="112">
        <v>0</v>
      </c>
      <c r="K97" s="112">
        <v>0</v>
      </c>
      <c r="L97" s="112">
        <v>1</v>
      </c>
      <c r="M97" s="112">
        <v>0</v>
      </c>
      <c r="N97" s="112">
        <v>0</v>
      </c>
      <c r="O97" s="112">
        <v>0</v>
      </c>
      <c r="P97" s="112">
        <v>0</v>
      </c>
      <c r="Q97" s="112">
        <v>0</v>
      </c>
      <c r="R97" s="112">
        <v>0</v>
      </c>
      <c r="S97" s="112">
        <v>0</v>
      </c>
      <c r="T97" s="112">
        <v>0</v>
      </c>
      <c r="U97" s="112">
        <v>0</v>
      </c>
      <c r="V97" s="112">
        <v>0</v>
      </c>
      <c r="W97" s="112">
        <v>0</v>
      </c>
      <c r="X97" s="112">
        <v>0</v>
      </c>
      <c r="Y97" s="112">
        <v>0</v>
      </c>
      <c r="Z97" s="112">
        <v>0</v>
      </c>
      <c r="AA97" s="112">
        <v>0</v>
      </c>
      <c r="AB97" s="112">
        <v>0</v>
      </c>
      <c r="AC97" s="112">
        <v>0</v>
      </c>
      <c r="AD97" s="112">
        <v>0</v>
      </c>
      <c r="AE97" s="112">
        <v>1</v>
      </c>
      <c r="AF97" s="112">
        <v>1</v>
      </c>
      <c r="AG97" s="112">
        <v>0</v>
      </c>
      <c r="AH97" s="112">
        <v>0</v>
      </c>
      <c r="AI97" s="112">
        <v>0</v>
      </c>
      <c r="AJ97" s="112">
        <v>0</v>
      </c>
      <c r="AK97" s="112">
        <v>0</v>
      </c>
      <c r="AL97" s="112">
        <v>1</v>
      </c>
      <c r="AM97" s="112">
        <v>0</v>
      </c>
      <c r="AN97" s="112">
        <v>0</v>
      </c>
      <c r="AO97" s="112">
        <v>1</v>
      </c>
      <c r="AP97" s="112">
        <v>0</v>
      </c>
      <c r="AQ97" s="112">
        <v>0</v>
      </c>
      <c r="AR97" s="112">
        <v>0</v>
      </c>
      <c r="AS97" s="112">
        <v>0</v>
      </c>
      <c r="AT97" s="112">
        <v>0</v>
      </c>
      <c r="AU97" s="112">
        <v>0</v>
      </c>
      <c r="AV97" s="112">
        <v>0</v>
      </c>
      <c r="AW97" s="112">
        <v>0</v>
      </c>
      <c r="AX97" s="112">
        <v>0</v>
      </c>
      <c r="AY97" s="112">
        <v>0</v>
      </c>
      <c r="AZ97" s="112">
        <v>1</v>
      </c>
      <c r="BA97" s="112">
        <v>1</v>
      </c>
      <c r="BB97" s="112">
        <v>0</v>
      </c>
      <c r="BC97" s="112">
        <v>0</v>
      </c>
      <c r="BD97" s="112">
        <v>0</v>
      </c>
      <c r="BE97" s="112">
        <v>0</v>
      </c>
      <c r="BF97" s="112">
        <v>0</v>
      </c>
      <c r="BG97" s="112">
        <v>0</v>
      </c>
      <c r="BH97" s="112">
        <v>0</v>
      </c>
      <c r="BI97" s="112">
        <v>0</v>
      </c>
      <c r="BJ97" s="112">
        <v>0</v>
      </c>
      <c r="BK97" s="112">
        <v>1</v>
      </c>
      <c r="BL97" s="112">
        <v>0</v>
      </c>
      <c r="BM97" s="112">
        <v>1</v>
      </c>
      <c r="BN97" s="112">
        <v>0</v>
      </c>
      <c r="BO97" s="112">
        <v>0</v>
      </c>
      <c r="BP97" s="112">
        <v>0</v>
      </c>
      <c r="BQ97" s="112">
        <v>1</v>
      </c>
      <c r="BR97" s="112">
        <v>0</v>
      </c>
      <c r="BS97" s="112">
        <v>1</v>
      </c>
      <c r="BT97" s="112">
        <v>0</v>
      </c>
      <c r="BU97" s="112">
        <v>0</v>
      </c>
      <c r="BV97" s="112">
        <v>0</v>
      </c>
      <c r="BW97" s="112">
        <v>0</v>
      </c>
      <c r="BX97" s="112">
        <v>0</v>
      </c>
      <c r="BY97" s="112">
        <v>0</v>
      </c>
      <c r="BZ97" s="112">
        <v>0</v>
      </c>
      <c r="CA97" s="112">
        <v>1</v>
      </c>
      <c r="CB97" s="112">
        <v>0</v>
      </c>
      <c r="CC97" s="112">
        <v>1</v>
      </c>
      <c r="CD97" s="112">
        <v>0</v>
      </c>
      <c r="CE97" s="112">
        <v>1</v>
      </c>
      <c r="CF97" s="112">
        <v>1</v>
      </c>
      <c r="CG97" s="112">
        <v>0</v>
      </c>
      <c r="CH97" s="112">
        <v>1</v>
      </c>
      <c r="CI97" s="112">
        <v>0</v>
      </c>
      <c r="CJ97" s="112">
        <v>0</v>
      </c>
      <c r="CK97" s="112">
        <v>0</v>
      </c>
      <c r="CL97" s="112">
        <v>0</v>
      </c>
      <c r="CM97" s="112">
        <v>0</v>
      </c>
      <c r="CN97" s="112">
        <v>0</v>
      </c>
      <c r="CO97" s="112">
        <v>0</v>
      </c>
      <c r="CP97" s="112">
        <v>0</v>
      </c>
      <c r="CQ97" s="112">
        <v>0</v>
      </c>
      <c r="CR97" s="112">
        <v>0</v>
      </c>
      <c r="CS97" s="112">
        <v>0</v>
      </c>
      <c r="CT97" s="112">
        <v>0</v>
      </c>
      <c r="CU97" s="112">
        <v>0</v>
      </c>
      <c r="CV97" s="112">
        <v>0</v>
      </c>
    </row>
    <row r="98" spans="1:100" x14ac:dyDescent="0.15">
      <c r="A98" s="191" t="s">
        <v>288</v>
      </c>
      <c r="B98" s="112">
        <v>0</v>
      </c>
      <c r="C98" s="112">
        <v>0</v>
      </c>
      <c r="D98" s="112">
        <v>0</v>
      </c>
      <c r="E98" s="112">
        <v>0</v>
      </c>
      <c r="F98" s="112">
        <v>0</v>
      </c>
      <c r="G98" s="112">
        <v>0</v>
      </c>
      <c r="H98" s="112">
        <v>0</v>
      </c>
      <c r="I98" s="112">
        <v>0</v>
      </c>
      <c r="J98" s="112">
        <v>0</v>
      </c>
      <c r="K98" s="112">
        <v>0</v>
      </c>
      <c r="L98" s="112">
        <v>0</v>
      </c>
      <c r="M98" s="112">
        <v>0</v>
      </c>
      <c r="N98" s="112">
        <v>0</v>
      </c>
      <c r="O98" s="112">
        <v>0</v>
      </c>
      <c r="P98" s="112">
        <v>0</v>
      </c>
      <c r="Q98" s="112">
        <v>0</v>
      </c>
      <c r="R98" s="112">
        <v>0</v>
      </c>
      <c r="S98" s="112">
        <v>0</v>
      </c>
      <c r="T98" s="112">
        <v>0</v>
      </c>
      <c r="U98" s="112">
        <v>0</v>
      </c>
      <c r="V98" s="112">
        <v>0</v>
      </c>
      <c r="W98" s="112">
        <v>0</v>
      </c>
      <c r="X98" s="112">
        <v>0</v>
      </c>
      <c r="Y98" s="112">
        <v>0</v>
      </c>
      <c r="Z98" s="112">
        <v>0</v>
      </c>
      <c r="AA98" s="112">
        <v>0</v>
      </c>
      <c r="AB98" s="112">
        <v>0</v>
      </c>
      <c r="AC98" s="112">
        <v>0</v>
      </c>
      <c r="AD98" s="112">
        <v>0</v>
      </c>
      <c r="AE98" s="112">
        <v>0</v>
      </c>
      <c r="AF98" s="112">
        <v>0</v>
      </c>
      <c r="AG98" s="112">
        <v>0</v>
      </c>
      <c r="AH98" s="112">
        <v>0</v>
      </c>
      <c r="AI98" s="112">
        <v>0</v>
      </c>
      <c r="AJ98" s="112">
        <v>0</v>
      </c>
      <c r="AK98" s="112">
        <v>0</v>
      </c>
      <c r="AL98" s="112">
        <v>1</v>
      </c>
      <c r="AM98" s="112">
        <v>0</v>
      </c>
      <c r="AN98" s="112">
        <v>0</v>
      </c>
      <c r="AO98" s="112">
        <v>0</v>
      </c>
      <c r="AP98" s="112">
        <v>0</v>
      </c>
      <c r="AQ98" s="112">
        <v>0</v>
      </c>
      <c r="AR98" s="112">
        <v>0</v>
      </c>
      <c r="AS98" s="112">
        <v>0</v>
      </c>
      <c r="AT98" s="112">
        <v>0</v>
      </c>
      <c r="AU98" s="112">
        <v>0</v>
      </c>
      <c r="AV98" s="112">
        <v>0</v>
      </c>
      <c r="AW98" s="112">
        <v>0</v>
      </c>
      <c r="AX98" s="112">
        <v>0</v>
      </c>
      <c r="AY98" s="112">
        <v>0</v>
      </c>
      <c r="AZ98" s="112">
        <v>0</v>
      </c>
      <c r="BA98" s="112">
        <v>0</v>
      </c>
      <c r="BB98" s="112">
        <v>1</v>
      </c>
      <c r="BC98" s="112">
        <v>1</v>
      </c>
      <c r="BD98" s="112">
        <v>1</v>
      </c>
      <c r="BE98" s="112">
        <v>0</v>
      </c>
      <c r="BF98" s="112">
        <v>1</v>
      </c>
      <c r="BG98" s="112">
        <v>0</v>
      </c>
      <c r="BH98" s="112">
        <v>1</v>
      </c>
      <c r="BI98" s="112">
        <v>0</v>
      </c>
      <c r="BJ98" s="112">
        <v>1</v>
      </c>
      <c r="BK98" s="112">
        <v>1</v>
      </c>
      <c r="BL98" s="112">
        <v>1</v>
      </c>
      <c r="BM98" s="112">
        <v>1</v>
      </c>
      <c r="BN98" s="112">
        <v>0</v>
      </c>
      <c r="BO98" s="112">
        <v>1</v>
      </c>
      <c r="BP98" s="112">
        <v>0</v>
      </c>
      <c r="BQ98" s="112">
        <v>1</v>
      </c>
      <c r="BR98" s="112">
        <v>0</v>
      </c>
      <c r="BS98" s="112">
        <v>1</v>
      </c>
      <c r="BT98" s="112">
        <v>0</v>
      </c>
      <c r="BU98" s="112">
        <v>1</v>
      </c>
      <c r="BV98" s="112">
        <v>0</v>
      </c>
      <c r="BW98" s="112">
        <v>1</v>
      </c>
      <c r="BX98" s="112">
        <v>0</v>
      </c>
      <c r="BY98" s="112">
        <v>0</v>
      </c>
      <c r="BZ98" s="112">
        <v>0</v>
      </c>
      <c r="CA98" s="112">
        <v>0</v>
      </c>
      <c r="CB98" s="112">
        <v>0</v>
      </c>
      <c r="CC98" s="112">
        <v>0</v>
      </c>
      <c r="CD98" s="112">
        <v>0</v>
      </c>
      <c r="CE98" s="112">
        <v>1</v>
      </c>
      <c r="CF98" s="112">
        <v>1</v>
      </c>
      <c r="CG98" s="112">
        <v>0</v>
      </c>
      <c r="CH98" s="112">
        <v>1</v>
      </c>
      <c r="CI98" s="112">
        <v>0</v>
      </c>
      <c r="CJ98" s="112">
        <v>0</v>
      </c>
      <c r="CK98" s="112">
        <v>0</v>
      </c>
      <c r="CL98" s="112">
        <v>0</v>
      </c>
      <c r="CM98" s="112">
        <v>0</v>
      </c>
      <c r="CN98" s="112">
        <v>0</v>
      </c>
      <c r="CO98" s="112">
        <v>0</v>
      </c>
      <c r="CP98" s="112">
        <v>0</v>
      </c>
      <c r="CQ98" s="112">
        <v>0</v>
      </c>
      <c r="CR98" s="112">
        <v>0</v>
      </c>
      <c r="CS98" s="112">
        <v>0</v>
      </c>
      <c r="CT98" s="112">
        <v>0</v>
      </c>
      <c r="CU98" s="112">
        <v>0</v>
      </c>
      <c r="CV98" s="112">
        <v>0</v>
      </c>
    </row>
    <row r="99" spans="1:100" x14ac:dyDescent="0.15">
      <c r="A99" s="191" t="s">
        <v>289</v>
      </c>
      <c r="B99" s="112">
        <v>0</v>
      </c>
      <c r="C99" s="112">
        <v>0</v>
      </c>
      <c r="D99" s="112">
        <v>0</v>
      </c>
      <c r="E99" s="112">
        <v>0</v>
      </c>
      <c r="F99" s="112">
        <v>0</v>
      </c>
      <c r="G99" s="112">
        <v>0</v>
      </c>
      <c r="H99" s="112">
        <v>0</v>
      </c>
      <c r="I99" s="112">
        <v>0</v>
      </c>
      <c r="J99" s="112">
        <v>0</v>
      </c>
      <c r="K99" s="112">
        <v>0</v>
      </c>
      <c r="L99" s="112">
        <v>0</v>
      </c>
      <c r="M99" s="112">
        <v>0</v>
      </c>
      <c r="N99" s="112">
        <v>0</v>
      </c>
      <c r="O99" s="112">
        <v>0</v>
      </c>
      <c r="P99" s="112">
        <v>0</v>
      </c>
      <c r="Q99" s="112">
        <v>0</v>
      </c>
      <c r="R99" s="112">
        <v>0</v>
      </c>
      <c r="S99" s="112">
        <v>0</v>
      </c>
      <c r="T99" s="112">
        <v>0</v>
      </c>
      <c r="U99" s="112">
        <v>0</v>
      </c>
      <c r="V99" s="112">
        <v>0</v>
      </c>
      <c r="W99" s="112">
        <v>0</v>
      </c>
      <c r="X99" s="112">
        <v>0</v>
      </c>
      <c r="Y99" s="112">
        <v>0</v>
      </c>
      <c r="Z99" s="112">
        <v>0</v>
      </c>
      <c r="AA99" s="112">
        <v>0</v>
      </c>
      <c r="AB99" s="112">
        <v>0</v>
      </c>
      <c r="AC99" s="112">
        <v>0</v>
      </c>
      <c r="AD99" s="112">
        <v>0</v>
      </c>
      <c r="AE99" s="112">
        <v>0</v>
      </c>
      <c r="AF99" s="112">
        <v>1</v>
      </c>
      <c r="AG99" s="112">
        <v>0</v>
      </c>
      <c r="AH99" s="112">
        <v>0</v>
      </c>
      <c r="AI99" s="112">
        <v>0</v>
      </c>
      <c r="AJ99" s="112">
        <v>0</v>
      </c>
      <c r="AK99" s="112">
        <v>0</v>
      </c>
      <c r="AL99" s="112">
        <v>0</v>
      </c>
      <c r="AM99" s="112">
        <v>0</v>
      </c>
      <c r="AN99" s="112">
        <v>0</v>
      </c>
      <c r="AO99" s="112">
        <v>0</v>
      </c>
      <c r="AP99" s="112">
        <v>0</v>
      </c>
      <c r="AQ99" s="112">
        <v>0</v>
      </c>
      <c r="AR99" s="112">
        <v>0</v>
      </c>
      <c r="AS99" s="112">
        <v>0</v>
      </c>
      <c r="AT99" s="112">
        <v>0</v>
      </c>
      <c r="AU99" s="112">
        <v>0</v>
      </c>
      <c r="AV99" s="112">
        <v>0</v>
      </c>
      <c r="AW99" s="112">
        <v>0</v>
      </c>
      <c r="AX99" s="112">
        <v>0</v>
      </c>
      <c r="AY99" s="112">
        <v>0</v>
      </c>
      <c r="AZ99" s="112">
        <v>1</v>
      </c>
      <c r="BA99" s="112">
        <v>1</v>
      </c>
      <c r="BB99" s="112">
        <v>0</v>
      </c>
      <c r="BC99" s="112">
        <v>0</v>
      </c>
      <c r="BD99" s="112">
        <v>0</v>
      </c>
      <c r="BE99" s="112">
        <v>0</v>
      </c>
      <c r="BF99" s="112">
        <v>0</v>
      </c>
      <c r="BG99" s="112">
        <v>0</v>
      </c>
      <c r="BH99" s="112">
        <v>0</v>
      </c>
      <c r="BI99" s="112">
        <v>0</v>
      </c>
      <c r="BJ99" s="112">
        <v>0</v>
      </c>
      <c r="BK99" s="112">
        <v>1</v>
      </c>
      <c r="BL99" s="112">
        <v>0</v>
      </c>
      <c r="BM99" s="112">
        <v>1</v>
      </c>
      <c r="BN99" s="112">
        <v>1</v>
      </c>
      <c r="BO99" s="112">
        <v>1</v>
      </c>
      <c r="BP99" s="112">
        <v>1</v>
      </c>
      <c r="BQ99" s="112">
        <v>0</v>
      </c>
      <c r="BR99" s="112">
        <v>1</v>
      </c>
      <c r="BS99" s="112">
        <v>0</v>
      </c>
      <c r="BT99" s="112">
        <v>0</v>
      </c>
      <c r="BU99" s="112">
        <v>0</v>
      </c>
      <c r="BV99" s="112">
        <v>0</v>
      </c>
      <c r="BW99" s="112">
        <v>0</v>
      </c>
      <c r="BX99" s="112">
        <v>0</v>
      </c>
      <c r="BY99" s="112">
        <v>0</v>
      </c>
      <c r="BZ99" s="112">
        <v>1</v>
      </c>
      <c r="CA99" s="112">
        <v>1</v>
      </c>
      <c r="CB99" s="112">
        <v>1</v>
      </c>
      <c r="CC99" s="112">
        <v>0</v>
      </c>
      <c r="CD99" s="112">
        <v>1</v>
      </c>
      <c r="CE99" s="112">
        <v>0</v>
      </c>
      <c r="CF99" s="112">
        <v>0</v>
      </c>
      <c r="CG99" s="112">
        <v>1</v>
      </c>
      <c r="CH99" s="112">
        <v>0</v>
      </c>
      <c r="CI99" s="112">
        <v>0</v>
      </c>
      <c r="CJ99" s="112">
        <v>0</v>
      </c>
      <c r="CK99" s="112">
        <v>0</v>
      </c>
      <c r="CL99" s="112">
        <v>0</v>
      </c>
      <c r="CM99" s="112">
        <v>0</v>
      </c>
      <c r="CN99" s="112">
        <v>0</v>
      </c>
      <c r="CO99" s="112">
        <v>0</v>
      </c>
      <c r="CP99" s="112">
        <v>0</v>
      </c>
      <c r="CQ99" s="112">
        <v>0</v>
      </c>
      <c r="CR99" s="112">
        <v>0</v>
      </c>
      <c r="CS99" s="112">
        <v>0</v>
      </c>
      <c r="CT99" s="112">
        <v>0</v>
      </c>
      <c r="CU99" s="112">
        <v>0</v>
      </c>
      <c r="CV99" s="112">
        <v>0</v>
      </c>
    </row>
    <row r="100" spans="1:100" x14ac:dyDescent="0.15">
      <c r="A100" s="191" t="s">
        <v>290</v>
      </c>
      <c r="B100" s="112">
        <v>0</v>
      </c>
      <c r="C100" s="112">
        <v>0</v>
      </c>
      <c r="D100" s="112">
        <v>0</v>
      </c>
      <c r="E100" s="112">
        <v>0</v>
      </c>
      <c r="F100" s="112">
        <v>0</v>
      </c>
      <c r="G100" s="112">
        <v>0</v>
      </c>
      <c r="H100" s="112">
        <v>0</v>
      </c>
      <c r="I100" s="112">
        <v>0</v>
      </c>
      <c r="J100" s="112">
        <v>0</v>
      </c>
      <c r="K100" s="112">
        <v>0</v>
      </c>
      <c r="L100" s="112">
        <v>0</v>
      </c>
      <c r="M100" s="112">
        <v>0</v>
      </c>
      <c r="N100" s="112">
        <v>0</v>
      </c>
      <c r="O100" s="112">
        <v>0</v>
      </c>
      <c r="P100" s="112">
        <v>0</v>
      </c>
      <c r="Q100" s="112">
        <v>0</v>
      </c>
      <c r="R100" s="112">
        <v>0</v>
      </c>
      <c r="S100" s="112">
        <v>0</v>
      </c>
      <c r="T100" s="112">
        <v>0</v>
      </c>
      <c r="U100" s="112">
        <v>0</v>
      </c>
      <c r="V100" s="112">
        <v>0</v>
      </c>
      <c r="W100" s="112">
        <v>0</v>
      </c>
      <c r="X100" s="112">
        <v>0</v>
      </c>
      <c r="Y100" s="112">
        <v>0</v>
      </c>
      <c r="Z100" s="112">
        <v>0</v>
      </c>
      <c r="AA100" s="112">
        <v>0</v>
      </c>
      <c r="AB100" s="112">
        <v>1</v>
      </c>
      <c r="AC100" s="112">
        <v>0</v>
      </c>
      <c r="AD100" s="112">
        <v>0</v>
      </c>
      <c r="AE100" s="112">
        <v>0</v>
      </c>
      <c r="AF100" s="112">
        <v>0</v>
      </c>
      <c r="AG100" s="112">
        <v>0</v>
      </c>
      <c r="AH100" s="112">
        <v>0</v>
      </c>
      <c r="AI100" s="112">
        <v>0</v>
      </c>
      <c r="AJ100" s="112">
        <v>0</v>
      </c>
      <c r="AK100" s="112">
        <v>0</v>
      </c>
      <c r="AL100" s="112">
        <v>0</v>
      </c>
      <c r="AM100" s="112">
        <v>0</v>
      </c>
      <c r="AN100" s="112">
        <v>0</v>
      </c>
      <c r="AO100" s="112">
        <v>0</v>
      </c>
      <c r="AP100" s="112">
        <v>0</v>
      </c>
      <c r="AQ100" s="112">
        <v>0</v>
      </c>
      <c r="AR100" s="112">
        <v>0</v>
      </c>
      <c r="AS100" s="112">
        <v>0</v>
      </c>
      <c r="AT100" s="112">
        <v>0</v>
      </c>
      <c r="AU100" s="112">
        <v>0</v>
      </c>
      <c r="AV100" s="112">
        <v>0</v>
      </c>
      <c r="AW100" s="112">
        <v>0</v>
      </c>
      <c r="AX100" s="112">
        <v>0</v>
      </c>
      <c r="AY100" s="112">
        <v>1</v>
      </c>
      <c r="AZ100" s="112">
        <v>1</v>
      </c>
      <c r="BA100" s="112">
        <v>1</v>
      </c>
      <c r="BB100" s="112">
        <v>0</v>
      </c>
      <c r="BC100" s="112">
        <v>1</v>
      </c>
      <c r="BD100" s="112">
        <v>1</v>
      </c>
      <c r="BE100" s="112">
        <v>1</v>
      </c>
      <c r="BF100" s="112">
        <v>1</v>
      </c>
      <c r="BG100" s="112">
        <v>0</v>
      </c>
      <c r="BH100" s="112">
        <v>1</v>
      </c>
      <c r="BI100" s="112">
        <v>1</v>
      </c>
      <c r="BJ100" s="112">
        <v>1</v>
      </c>
      <c r="BK100" s="112">
        <v>1</v>
      </c>
      <c r="BL100" s="112">
        <v>1</v>
      </c>
      <c r="BM100" s="112">
        <v>1</v>
      </c>
      <c r="BN100" s="112">
        <v>1</v>
      </c>
      <c r="BO100" s="112">
        <v>0</v>
      </c>
      <c r="BP100" s="112">
        <v>1</v>
      </c>
      <c r="BQ100" s="112">
        <v>0</v>
      </c>
      <c r="BR100" s="112">
        <v>1</v>
      </c>
      <c r="BS100" s="112">
        <v>0</v>
      </c>
      <c r="BT100" s="112">
        <v>1</v>
      </c>
      <c r="BU100" s="112">
        <v>0</v>
      </c>
      <c r="BV100" s="112">
        <v>1</v>
      </c>
      <c r="BW100" s="112">
        <v>0</v>
      </c>
      <c r="BX100" s="112">
        <v>0</v>
      </c>
      <c r="BY100" s="112">
        <v>0</v>
      </c>
      <c r="BZ100" s="112">
        <v>0</v>
      </c>
      <c r="CA100" s="112">
        <v>0</v>
      </c>
      <c r="CB100" s="112">
        <v>0</v>
      </c>
      <c r="CC100" s="112">
        <v>0</v>
      </c>
      <c r="CD100" s="112">
        <v>1</v>
      </c>
      <c r="CE100" s="112">
        <v>0</v>
      </c>
      <c r="CF100" s="112">
        <v>0</v>
      </c>
      <c r="CG100" s="112">
        <v>1</v>
      </c>
      <c r="CH100" s="112">
        <v>0</v>
      </c>
      <c r="CI100" s="112">
        <v>0</v>
      </c>
      <c r="CJ100" s="112">
        <v>0</v>
      </c>
      <c r="CK100" s="112">
        <v>0</v>
      </c>
      <c r="CL100" s="112">
        <v>0</v>
      </c>
      <c r="CM100" s="112">
        <v>0</v>
      </c>
      <c r="CN100" s="112">
        <v>0</v>
      </c>
      <c r="CO100" s="112">
        <v>0</v>
      </c>
      <c r="CP100" s="112">
        <v>0</v>
      </c>
      <c r="CQ100" s="112">
        <v>0</v>
      </c>
      <c r="CR100" s="112">
        <v>0</v>
      </c>
      <c r="CS100" s="112">
        <v>0</v>
      </c>
      <c r="CT100" s="112">
        <v>0</v>
      </c>
      <c r="CU100" s="112">
        <v>0</v>
      </c>
      <c r="CV100" s="112">
        <v>0</v>
      </c>
    </row>
    <row r="101" spans="1:100" x14ac:dyDescent="0.15">
      <c r="A101" s="191" t="s">
        <v>299</v>
      </c>
      <c r="B101" s="112">
        <v>1</v>
      </c>
      <c r="C101" s="112">
        <v>0</v>
      </c>
      <c r="D101" s="112">
        <v>1</v>
      </c>
      <c r="E101" s="112">
        <v>0</v>
      </c>
      <c r="F101" s="112">
        <v>1</v>
      </c>
      <c r="G101" s="112">
        <v>0</v>
      </c>
      <c r="H101" s="112">
        <v>0</v>
      </c>
      <c r="I101" s="112">
        <v>0</v>
      </c>
      <c r="J101" s="112">
        <v>0</v>
      </c>
      <c r="K101" s="112">
        <v>0</v>
      </c>
      <c r="L101" s="112">
        <v>0</v>
      </c>
      <c r="M101" s="112">
        <v>0</v>
      </c>
      <c r="N101" s="112">
        <v>0</v>
      </c>
      <c r="O101" s="112">
        <v>0</v>
      </c>
      <c r="P101" s="112">
        <v>0</v>
      </c>
      <c r="Q101" s="112">
        <v>0</v>
      </c>
      <c r="R101" s="112">
        <v>0</v>
      </c>
      <c r="S101" s="112">
        <v>0</v>
      </c>
      <c r="T101" s="112">
        <v>0</v>
      </c>
      <c r="U101" s="112">
        <v>0</v>
      </c>
      <c r="V101" s="112">
        <v>0</v>
      </c>
      <c r="W101" s="112">
        <v>0</v>
      </c>
      <c r="X101" s="112">
        <v>0</v>
      </c>
      <c r="Y101" s="112">
        <v>0</v>
      </c>
      <c r="Z101" s="112">
        <v>0</v>
      </c>
      <c r="AA101" s="112">
        <v>0</v>
      </c>
      <c r="AB101" s="112">
        <v>0</v>
      </c>
      <c r="AC101" s="112">
        <v>0</v>
      </c>
      <c r="AD101" s="112">
        <v>0</v>
      </c>
      <c r="AE101" s="112">
        <v>0</v>
      </c>
      <c r="AF101" s="112">
        <v>0</v>
      </c>
      <c r="AG101" s="112">
        <v>0</v>
      </c>
      <c r="AH101" s="112">
        <v>0</v>
      </c>
      <c r="AI101" s="112">
        <v>0</v>
      </c>
      <c r="AJ101" s="112">
        <v>0</v>
      </c>
      <c r="AK101" s="112">
        <v>0</v>
      </c>
      <c r="AL101" s="112">
        <v>0</v>
      </c>
      <c r="AM101" s="112">
        <v>0</v>
      </c>
      <c r="AN101" s="112">
        <v>0</v>
      </c>
      <c r="AO101" s="112">
        <v>0</v>
      </c>
      <c r="AP101" s="112">
        <v>1</v>
      </c>
      <c r="AQ101" s="112">
        <v>0</v>
      </c>
      <c r="AR101" s="112">
        <v>0</v>
      </c>
      <c r="AS101" s="112">
        <v>0</v>
      </c>
      <c r="AT101" s="112">
        <v>1</v>
      </c>
      <c r="AU101" s="112">
        <v>0</v>
      </c>
      <c r="AV101" s="112">
        <v>0</v>
      </c>
      <c r="AW101" s="112">
        <v>0</v>
      </c>
      <c r="AX101" s="112">
        <v>0</v>
      </c>
      <c r="AY101" s="112">
        <v>1</v>
      </c>
      <c r="AZ101" s="112">
        <v>1</v>
      </c>
      <c r="BA101" s="112">
        <v>1</v>
      </c>
      <c r="BB101" s="112">
        <v>0</v>
      </c>
      <c r="BC101" s="112">
        <v>1</v>
      </c>
      <c r="BD101" s="112">
        <v>1</v>
      </c>
      <c r="BE101" s="112">
        <v>1</v>
      </c>
      <c r="BF101" s="112">
        <v>1</v>
      </c>
      <c r="BG101" s="112">
        <v>1</v>
      </c>
      <c r="BH101" s="112">
        <v>0</v>
      </c>
      <c r="BI101" s="112">
        <v>0</v>
      </c>
      <c r="BJ101" s="112">
        <v>1</v>
      </c>
      <c r="BK101" s="112">
        <v>0</v>
      </c>
      <c r="BL101" s="112">
        <v>0</v>
      </c>
      <c r="BM101" s="112">
        <v>1</v>
      </c>
      <c r="BN101" s="112">
        <v>0</v>
      </c>
      <c r="BO101" s="112">
        <v>0</v>
      </c>
      <c r="BP101" s="112">
        <v>1</v>
      </c>
      <c r="BQ101" s="112">
        <v>0</v>
      </c>
      <c r="BR101" s="112">
        <v>0</v>
      </c>
      <c r="BS101" s="112">
        <v>0</v>
      </c>
      <c r="BT101" s="112">
        <v>0</v>
      </c>
      <c r="BU101" s="112">
        <v>0</v>
      </c>
      <c r="BV101" s="112">
        <v>0</v>
      </c>
      <c r="BW101" s="112">
        <v>0</v>
      </c>
      <c r="BX101" s="112">
        <v>0</v>
      </c>
      <c r="BY101" s="112">
        <v>0</v>
      </c>
      <c r="BZ101" s="112">
        <v>0</v>
      </c>
      <c r="CA101" s="112">
        <v>0</v>
      </c>
      <c r="CB101" s="112">
        <v>0</v>
      </c>
      <c r="CC101" s="112">
        <v>0</v>
      </c>
      <c r="CD101" s="112">
        <v>0</v>
      </c>
      <c r="CE101" s="112">
        <v>0</v>
      </c>
      <c r="CF101" s="112">
        <v>0</v>
      </c>
      <c r="CG101" s="112">
        <v>0</v>
      </c>
      <c r="CH101" s="112">
        <v>1</v>
      </c>
      <c r="CI101" s="112">
        <v>0</v>
      </c>
      <c r="CJ101" s="112">
        <v>0</v>
      </c>
      <c r="CK101" s="112">
        <v>0</v>
      </c>
      <c r="CL101" s="112">
        <v>0</v>
      </c>
      <c r="CM101" s="112">
        <v>0</v>
      </c>
      <c r="CN101" s="112">
        <v>0</v>
      </c>
      <c r="CO101" s="112">
        <v>0</v>
      </c>
      <c r="CP101" s="112">
        <v>0</v>
      </c>
      <c r="CQ101" s="112">
        <v>0</v>
      </c>
      <c r="CR101" s="112">
        <v>0</v>
      </c>
      <c r="CS101" s="112">
        <v>0</v>
      </c>
      <c r="CT101" s="112">
        <v>0</v>
      </c>
      <c r="CU101" s="112">
        <v>0</v>
      </c>
      <c r="CV101" s="112">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indexed="51"/>
  </sheetPr>
  <dimension ref="A1:J185"/>
  <sheetViews>
    <sheetView workbookViewId="0">
      <selection activeCell="A3" sqref="A3"/>
    </sheetView>
  </sheetViews>
  <sheetFormatPr baseColWidth="10" defaultRowHeight="13" x14ac:dyDescent="0.15"/>
  <cols>
    <col min="1" max="1" width="3.33203125" customWidth="1"/>
    <col min="2" max="2" width="44.33203125" bestFit="1" customWidth="1"/>
    <col min="3" max="4" width="3.83203125" bestFit="1" customWidth="1"/>
    <col min="5" max="10" width="3.83203125" customWidth="1"/>
  </cols>
  <sheetData>
    <row r="1" spans="1:10" ht="112" x14ac:dyDescent="0.15">
      <c r="A1" s="5" t="s">
        <v>83</v>
      </c>
      <c r="B1" s="3" t="s">
        <v>0</v>
      </c>
      <c r="C1" s="194" t="s">
        <v>291</v>
      </c>
      <c r="D1" s="194" t="s">
        <v>292</v>
      </c>
      <c r="E1" s="194" t="s">
        <v>293</v>
      </c>
      <c r="F1" s="194" t="s">
        <v>294</v>
      </c>
      <c r="G1" s="194" t="s">
        <v>295</v>
      </c>
      <c r="H1" s="194" t="s">
        <v>296</v>
      </c>
      <c r="I1" s="194" t="s">
        <v>297</v>
      </c>
      <c r="J1" s="194" t="s">
        <v>298</v>
      </c>
    </row>
    <row r="2" spans="1:10" x14ac:dyDescent="0.15">
      <c r="A2">
        <v>1</v>
      </c>
      <c r="B2" s="193" t="s">
        <v>192</v>
      </c>
      <c r="C2">
        <v>0</v>
      </c>
      <c r="D2">
        <v>0</v>
      </c>
      <c r="E2">
        <v>0</v>
      </c>
      <c r="F2">
        <v>0.8</v>
      </c>
      <c r="G2">
        <v>0</v>
      </c>
      <c r="H2">
        <v>0</v>
      </c>
      <c r="I2">
        <v>0</v>
      </c>
      <c r="J2">
        <v>0</v>
      </c>
    </row>
    <row r="3" spans="1:10" x14ac:dyDescent="0.15">
      <c r="A3">
        <v>2</v>
      </c>
      <c r="B3" s="193" t="s">
        <v>193</v>
      </c>
      <c r="C3">
        <v>0</v>
      </c>
      <c r="D3">
        <v>0</v>
      </c>
      <c r="E3">
        <v>0</v>
      </c>
      <c r="F3">
        <v>0</v>
      </c>
      <c r="G3">
        <v>0</v>
      </c>
      <c r="H3">
        <v>0</v>
      </c>
      <c r="I3">
        <v>0</v>
      </c>
      <c r="J3">
        <v>0.8</v>
      </c>
    </row>
    <row r="4" spans="1:10" x14ac:dyDescent="0.15">
      <c r="A4">
        <v>3</v>
      </c>
      <c r="B4" s="193" t="s">
        <v>194</v>
      </c>
      <c r="C4">
        <v>0</v>
      </c>
      <c r="D4">
        <v>0</v>
      </c>
      <c r="E4">
        <v>0</v>
      </c>
      <c r="F4">
        <v>0</v>
      </c>
      <c r="G4">
        <v>0.8</v>
      </c>
      <c r="H4">
        <v>0</v>
      </c>
      <c r="I4">
        <v>0</v>
      </c>
      <c r="J4">
        <v>0</v>
      </c>
    </row>
    <row r="5" spans="1:10" x14ac:dyDescent="0.15">
      <c r="A5">
        <v>4</v>
      </c>
      <c r="B5" s="193" t="s">
        <v>195</v>
      </c>
      <c r="C5">
        <v>0</v>
      </c>
      <c r="D5">
        <v>0</v>
      </c>
      <c r="E5">
        <v>0</v>
      </c>
      <c r="F5">
        <v>0</v>
      </c>
      <c r="G5">
        <v>0</v>
      </c>
      <c r="H5">
        <v>0</v>
      </c>
      <c r="I5">
        <v>0</v>
      </c>
      <c r="J5">
        <v>0.8</v>
      </c>
    </row>
    <row r="6" spans="1:10" x14ac:dyDescent="0.15">
      <c r="A6">
        <v>5</v>
      </c>
      <c r="B6" s="193" t="s">
        <v>196</v>
      </c>
      <c r="C6">
        <v>0.8</v>
      </c>
      <c r="D6">
        <v>0.8</v>
      </c>
      <c r="E6">
        <v>0</v>
      </c>
      <c r="F6">
        <v>0</v>
      </c>
      <c r="G6">
        <v>0</v>
      </c>
      <c r="H6">
        <v>0</v>
      </c>
      <c r="I6">
        <v>0</v>
      </c>
      <c r="J6">
        <v>0</v>
      </c>
    </row>
    <row r="7" spans="1:10" x14ac:dyDescent="0.15">
      <c r="A7">
        <v>6</v>
      </c>
      <c r="B7" s="193" t="s">
        <v>197</v>
      </c>
      <c r="C7">
        <v>0</v>
      </c>
      <c r="D7">
        <v>0</v>
      </c>
      <c r="E7">
        <v>0</v>
      </c>
      <c r="F7">
        <v>0</v>
      </c>
      <c r="G7">
        <v>0</v>
      </c>
      <c r="H7">
        <v>0</v>
      </c>
      <c r="I7">
        <v>0</v>
      </c>
      <c r="J7">
        <v>0</v>
      </c>
    </row>
    <row r="8" spans="1:10" x14ac:dyDescent="0.15">
      <c r="A8">
        <v>7</v>
      </c>
      <c r="B8" s="193" t="s">
        <v>198</v>
      </c>
      <c r="C8">
        <v>0</v>
      </c>
      <c r="D8">
        <v>0</v>
      </c>
      <c r="E8">
        <v>0</v>
      </c>
      <c r="F8">
        <v>0</v>
      </c>
      <c r="G8">
        <v>0</v>
      </c>
      <c r="H8">
        <v>0</v>
      </c>
      <c r="I8">
        <v>0</v>
      </c>
      <c r="J8">
        <v>0</v>
      </c>
    </row>
    <row r="9" spans="1:10" x14ac:dyDescent="0.15">
      <c r="A9">
        <v>8</v>
      </c>
      <c r="B9" s="193" t="s">
        <v>199</v>
      </c>
      <c r="C9">
        <v>0</v>
      </c>
      <c r="D9">
        <v>0</v>
      </c>
      <c r="E9">
        <v>0</v>
      </c>
      <c r="F9">
        <v>0</v>
      </c>
      <c r="G9">
        <v>0</v>
      </c>
      <c r="H9">
        <v>0</v>
      </c>
      <c r="I9">
        <v>0</v>
      </c>
      <c r="J9">
        <v>0</v>
      </c>
    </row>
    <row r="10" spans="1:10" x14ac:dyDescent="0.15">
      <c r="A10">
        <v>9</v>
      </c>
      <c r="B10" s="193" t="s">
        <v>200</v>
      </c>
      <c r="C10">
        <v>0</v>
      </c>
      <c r="D10">
        <v>0</v>
      </c>
      <c r="E10">
        <v>0</v>
      </c>
      <c r="F10">
        <v>0</v>
      </c>
      <c r="G10">
        <v>0</v>
      </c>
      <c r="H10">
        <v>0</v>
      </c>
      <c r="I10">
        <v>0</v>
      </c>
      <c r="J10">
        <v>0</v>
      </c>
    </row>
    <row r="11" spans="1:10" x14ac:dyDescent="0.15">
      <c r="A11">
        <v>10</v>
      </c>
      <c r="B11" s="193" t="s">
        <v>201</v>
      </c>
      <c r="C11">
        <v>0</v>
      </c>
      <c r="D11">
        <v>0</v>
      </c>
      <c r="E11">
        <v>0</v>
      </c>
      <c r="F11">
        <v>0.8</v>
      </c>
      <c r="G11">
        <v>0</v>
      </c>
      <c r="H11">
        <v>0</v>
      </c>
      <c r="I11">
        <v>0.8</v>
      </c>
      <c r="J11">
        <v>0</v>
      </c>
    </row>
    <row r="12" spans="1:10" x14ac:dyDescent="0.15">
      <c r="A12">
        <v>11</v>
      </c>
      <c r="B12" s="193" t="s">
        <v>202</v>
      </c>
      <c r="C12">
        <v>0.8</v>
      </c>
      <c r="D12">
        <v>0.8</v>
      </c>
      <c r="E12">
        <v>0.8</v>
      </c>
      <c r="F12">
        <v>0.8</v>
      </c>
      <c r="G12">
        <v>0.8</v>
      </c>
      <c r="H12">
        <v>0</v>
      </c>
      <c r="I12">
        <v>0.8</v>
      </c>
      <c r="J12">
        <v>0.8</v>
      </c>
    </row>
    <row r="13" spans="1:10" x14ac:dyDescent="0.15">
      <c r="A13">
        <v>12</v>
      </c>
      <c r="B13" s="193" t="s">
        <v>203</v>
      </c>
      <c r="C13">
        <v>0.8</v>
      </c>
      <c r="D13">
        <v>0.8</v>
      </c>
      <c r="E13">
        <v>0</v>
      </c>
      <c r="F13">
        <v>0.8</v>
      </c>
      <c r="G13">
        <v>0</v>
      </c>
      <c r="H13">
        <v>0</v>
      </c>
      <c r="I13">
        <v>0.8</v>
      </c>
      <c r="J13">
        <v>0</v>
      </c>
    </row>
    <row r="14" spans="1:10" x14ac:dyDescent="0.15">
      <c r="A14">
        <v>13</v>
      </c>
      <c r="B14" s="193" t="s">
        <v>204</v>
      </c>
      <c r="C14">
        <v>0.8</v>
      </c>
      <c r="D14">
        <v>0.8</v>
      </c>
      <c r="E14">
        <v>0</v>
      </c>
      <c r="F14">
        <v>0.8</v>
      </c>
      <c r="G14">
        <v>0.8</v>
      </c>
      <c r="H14">
        <v>0</v>
      </c>
      <c r="I14">
        <v>0</v>
      </c>
      <c r="J14">
        <v>0</v>
      </c>
    </row>
    <row r="15" spans="1:10" x14ac:dyDescent="0.15">
      <c r="A15">
        <v>14</v>
      </c>
      <c r="B15" s="193" t="s">
        <v>205</v>
      </c>
      <c r="C15">
        <v>0.8</v>
      </c>
      <c r="D15">
        <v>0.8</v>
      </c>
      <c r="E15">
        <v>0.8</v>
      </c>
      <c r="F15">
        <v>0.8</v>
      </c>
      <c r="G15">
        <v>0.8</v>
      </c>
      <c r="H15">
        <v>0.8</v>
      </c>
      <c r="I15">
        <v>0.8</v>
      </c>
      <c r="J15">
        <v>0</v>
      </c>
    </row>
    <row r="16" spans="1:10" x14ac:dyDescent="0.15">
      <c r="A16">
        <v>15</v>
      </c>
      <c r="B16" s="193" t="s">
        <v>206</v>
      </c>
      <c r="C16">
        <v>0.8</v>
      </c>
      <c r="D16">
        <v>0.8</v>
      </c>
      <c r="E16">
        <v>0</v>
      </c>
      <c r="F16">
        <v>0.8</v>
      </c>
      <c r="G16">
        <v>0</v>
      </c>
      <c r="H16">
        <v>0</v>
      </c>
      <c r="I16">
        <v>0.8</v>
      </c>
      <c r="J16">
        <v>0.8</v>
      </c>
    </row>
    <row r="17" spans="1:10" x14ac:dyDescent="0.15">
      <c r="A17">
        <v>16</v>
      </c>
      <c r="B17" s="193" t="s">
        <v>207</v>
      </c>
      <c r="C17">
        <v>0.8</v>
      </c>
      <c r="D17">
        <v>0.8</v>
      </c>
      <c r="E17">
        <v>0.8</v>
      </c>
      <c r="F17">
        <v>0.8</v>
      </c>
      <c r="G17">
        <v>0.8</v>
      </c>
      <c r="H17">
        <v>0</v>
      </c>
      <c r="I17">
        <v>0.8</v>
      </c>
      <c r="J17">
        <v>0</v>
      </c>
    </row>
    <row r="18" spans="1:10" x14ac:dyDescent="0.15">
      <c r="A18">
        <v>17</v>
      </c>
      <c r="B18" s="193" t="s">
        <v>208</v>
      </c>
      <c r="C18">
        <v>0.8</v>
      </c>
      <c r="D18">
        <v>0.8</v>
      </c>
      <c r="E18">
        <v>0.8</v>
      </c>
      <c r="F18">
        <v>0.8</v>
      </c>
      <c r="G18">
        <v>0.8</v>
      </c>
      <c r="H18">
        <v>0</v>
      </c>
      <c r="I18">
        <v>0.8</v>
      </c>
      <c r="J18">
        <v>0.8</v>
      </c>
    </row>
    <row r="19" spans="1:10" x14ac:dyDescent="0.15">
      <c r="A19">
        <v>18</v>
      </c>
      <c r="B19" s="193" t="s">
        <v>209</v>
      </c>
      <c r="C19">
        <v>0.8</v>
      </c>
      <c r="D19">
        <v>0.8</v>
      </c>
      <c r="E19">
        <v>0.8</v>
      </c>
      <c r="F19">
        <v>0</v>
      </c>
      <c r="G19">
        <v>0.8</v>
      </c>
      <c r="H19">
        <v>0</v>
      </c>
      <c r="I19">
        <v>0.8</v>
      </c>
      <c r="J19">
        <v>0.8</v>
      </c>
    </row>
    <row r="20" spans="1:10" x14ac:dyDescent="0.15">
      <c r="A20">
        <v>19</v>
      </c>
      <c r="B20" s="193" t="s">
        <v>210</v>
      </c>
      <c r="C20">
        <v>0.8</v>
      </c>
      <c r="D20">
        <v>0.8</v>
      </c>
      <c r="E20">
        <v>0.8</v>
      </c>
      <c r="F20">
        <v>0.8</v>
      </c>
      <c r="G20">
        <v>0.8</v>
      </c>
      <c r="H20">
        <v>0</v>
      </c>
      <c r="I20">
        <v>0.8</v>
      </c>
      <c r="J20">
        <v>0</v>
      </c>
    </row>
    <row r="21" spans="1:10" x14ac:dyDescent="0.15">
      <c r="A21">
        <v>20</v>
      </c>
      <c r="B21" s="193" t="s">
        <v>211</v>
      </c>
      <c r="C21">
        <v>0.8</v>
      </c>
      <c r="D21">
        <v>0.8</v>
      </c>
      <c r="E21">
        <v>0.8</v>
      </c>
      <c r="F21">
        <v>0.8</v>
      </c>
      <c r="G21">
        <v>0.8</v>
      </c>
      <c r="H21">
        <v>0.8</v>
      </c>
      <c r="I21">
        <v>0.8</v>
      </c>
      <c r="J21">
        <v>0</v>
      </c>
    </row>
    <row r="22" spans="1:10" x14ac:dyDescent="0.15">
      <c r="A22">
        <v>21</v>
      </c>
      <c r="B22" s="193" t="s">
        <v>212</v>
      </c>
      <c r="C22">
        <v>0.8</v>
      </c>
      <c r="D22">
        <v>0.8</v>
      </c>
      <c r="E22">
        <v>0</v>
      </c>
      <c r="F22">
        <v>0.8</v>
      </c>
      <c r="G22">
        <v>0.8</v>
      </c>
      <c r="H22">
        <v>0.8</v>
      </c>
      <c r="I22">
        <v>0.8</v>
      </c>
      <c r="J22">
        <v>0</v>
      </c>
    </row>
    <row r="23" spans="1:10" x14ac:dyDescent="0.15">
      <c r="A23">
        <v>22</v>
      </c>
      <c r="B23" s="193" t="s">
        <v>213</v>
      </c>
      <c r="C23">
        <v>0.8</v>
      </c>
      <c r="D23">
        <v>0.8</v>
      </c>
      <c r="E23">
        <v>0.8</v>
      </c>
      <c r="F23">
        <v>0.8</v>
      </c>
      <c r="G23">
        <v>0</v>
      </c>
      <c r="H23">
        <v>0</v>
      </c>
      <c r="I23">
        <v>0.8</v>
      </c>
      <c r="J23">
        <v>0.8</v>
      </c>
    </row>
    <row r="24" spans="1:10" x14ac:dyDescent="0.15">
      <c r="A24">
        <v>23</v>
      </c>
      <c r="B24" s="193" t="s">
        <v>214</v>
      </c>
      <c r="C24">
        <v>0.8</v>
      </c>
      <c r="D24">
        <v>0.8</v>
      </c>
      <c r="E24">
        <v>0.8</v>
      </c>
      <c r="F24">
        <v>0</v>
      </c>
      <c r="G24">
        <v>0.8</v>
      </c>
      <c r="H24">
        <v>0</v>
      </c>
      <c r="I24">
        <v>0.8</v>
      </c>
      <c r="J24">
        <v>0.8</v>
      </c>
    </row>
    <row r="25" spans="1:10" x14ac:dyDescent="0.15">
      <c r="A25">
        <v>24</v>
      </c>
      <c r="B25" s="193" t="s">
        <v>215</v>
      </c>
      <c r="C25">
        <v>0.8</v>
      </c>
      <c r="D25">
        <v>0</v>
      </c>
      <c r="E25">
        <v>0</v>
      </c>
      <c r="F25">
        <v>0</v>
      </c>
      <c r="G25">
        <v>0</v>
      </c>
      <c r="H25">
        <v>0</v>
      </c>
      <c r="I25">
        <v>0</v>
      </c>
      <c r="J25">
        <v>0</v>
      </c>
    </row>
    <row r="26" spans="1:10" x14ac:dyDescent="0.15">
      <c r="A26">
        <v>25</v>
      </c>
      <c r="B26" s="193" t="s">
        <v>216</v>
      </c>
      <c r="C26">
        <v>0.8</v>
      </c>
      <c r="D26">
        <v>0.8</v>
      </c>
      <c r="E26">
        <v>0</v>
      </c>
      <c r="F26">
        <v>0.8</v>
      </c>
      <c r="G26">
        <v>0</v>
      </c>
      <c r="H26">
        <v>0</v>
      </c>
      <c r="I26">
        <v>0.8</v>
      </c>
      <c r="J26">
        <v>0</v>
      </c>
    </row>
    <row r="27" spans="1:10" x14ac:dyDescent="0.15">
      <c r="A27">
        <v>26</v>
      </c>
      <c r="B27" s="193" t="s">
        <v>217</v>
      </c>
      <c r="C27">
        <v>0.8</v>
      </c>
      <c r="D27">
        <v>0.8</v>
      </c>
      <c r="E27">
        <v>0</v>
      </c>
      <c r="F27">
        <v>0</v>
      </c>
      <c r="G27">
        <v>0</v>
      </c>
      <c r="H27">
        <v>0</v>
      </c>
      <c r="I27">
        <v>0.8</v>
      </c>
      <c r="J27">
        <v>0.8</v>
      </c>
    </row>
    <row r="28" spans="1:10" x14ac:dyDescent="0.15">
      <c r="A28">
        <v>27</v>
      </c>
      <c r="B28" s="193" t="s">
        <v>218</v>
      </c>
      <c r="C28">
        <v>0.8</v>
      </c>
      <c r="D28">
        <v>0</v>
      </c>
      <c r="E28">
        <v>0</v>
      </c>
      <c r="F28">
        <v>0</v>
      </c>
      <c r="G28">
        <v>0.8</v>
      </c>
      <c r="H28">
        <v>0</v>
      </c>
      <c r="I28">
        <v>0.8</v>
      </c>
      <c r="J28">
        <v>0</v>
      </c>
    </row>
    <row r="29" spans="1:10" x14ac:dyDescent="0.15">
      <c r="A29">
        <v>28</v>
      </c>
      <c r="B29" s="193" t="s">
        <v>219</v>
      </c>
      <c r="C29">
        <v>0.8</v>
      </c>
      <c r="D29">
        <v>0</v>
      </c>
      <c r="E29">
        <v>0</v>
      </c>
      <c r="F29">
        <v>0</v>
      </c>
      <c r="G29">
        <v>0</v>
      </c>
      <c r="H29">
        <v>0</v>
      </c>
      <c r="I29">
        <v>0.8</v>
      </c>
      <c r="J29">
        <v>0</v>
      </c>
    </row>
    <row r="30" spans="1:10" x14ac:dyDescent="0.15">
      <c r="A30">
        <v>29</v>
      </c>
      <c r="B30" s="193" t="s">
        <v>220</v>
      </c>
      <c r="C30">
        <v>0</v>
      </c>
      <c r="D30">
        <v>0</v>
      </c>
      <c r="E30">
        <v>0</v>
      </c>
      <c r="F30">
        <v>0</v>
      </c>
      <c r="G30">
        <v>0</v>
      </c>
      <c r="H30">
        <v>0.8</v>
      </c>
      <c r="I30">
        <v>0.8</v>
      </c>
      <c r="J30">
        <v>0</v>
      </c>
    </row>
    <row r="31" spans="1:10" x14ac:dyDescent="0.15">
      <c r="A31">
        <v>30</v>
      </c>
      <c r="B31" s="193" t="s">
        <v>221</v>
      </c>
      <c r="C31">
        <v>0.8</v>
      </c>
      <c r="D31">
        <v>0</v>
      </c>
      <c r="E31">
        <v>0.8</v>
      </c>
      <c r="F31">
        <v>0.8</v>
      </c>
      <c r="G31">
        <v>0.8</v>
      </c>
      <c r="H31">
        <v>0.8</v>
      </c>
      <c r="I31">
        <v>0.8</v>
      </c>
      <c r="J31">
        <v>0.8</v>
      </c>
    </row>
    <row r="32" spans="1:10" x14ac:dyDescent="0.15">
      <c r="A32">
        <v>31</v>
      </c>
      <c r="B32" s="193" t="s">
        <v>222</v>
      </c>
      <c r="C32">
        <v>0</v>
      </c>
      <c r="D32">
        <v>0</v>
      </c>
      <c r="E32">
        <v>0.8</v>
      </c>
      <c r="F32">
        <v>0</v>
      </c>
      <c r="G32">
        <v>0.8</v>
      </c>
      <c r="H32">
        <v>0.8</v>
      </c>
      <c r="I32">
        <v>0.8</v>
      </c>
      <c r="J32">
        <v>0.8</v>
      </c>
    </row>
    <row r="33" spans="1:10" x14ac:dyDescent="0.15">
      <c r="A33">
        <v>32</v>
      </c>
      <c r="B33" s="193" t="s">
        <v>223</v>
      </c>
      <c r="C33">
        <v>0.8</v>
      </c>
      <c r="D33">
        <v>0</v>
      </c>
      <c r="E33">
        <v>0.8</v>
      </c>
      <c r="F33">
        <v>0.8</v>
      </c>
      <c r="G33">
        <v>0.8</v>
      </c>
      <c r="H33">
        <v>0.8</v>
      </c>
      <c r="I33">
        <v>0.8</v>
      </c>
      <c r="J33">
        <v>0.8</v>
      </c>
    </row>
    <row r="34" spans="1:10" x14ac:dyDescent="0.15">
      <c r="A34">
        <v>33</v>
      </c>
      <c r="B34" s="193" t="s">
        <v>224</v>
      </c>
      <c r="C34">
        <v>0</v>
      </c>
      <c r="D34">
        <v>0</v>
      </c>
      <c r="E34">
        <v>0</v>
      </c>
      <c r="F34">
        <v>0</v>
      </c>
      <c r="G34">
        <v>0.8</v>
      </c>
      <c r="H34">
        <v>0</v>
      </c>
      <c r="I34">
        <v>0</v>
      </c>
      <c r="J34">
        <v>0.8</v>
      </c>
    </row>
    <row r="35" spans="1:10" x14ac:dyDescent="0.15">
      <c r="A35">
        <v>34</v>
      </c>
      <c r="B35" s="193" t="s">
        <v>225</v>
      </c>
      <c r="C35">
        <v>0</v>
      </c>
      <c r="D35">
        <v>0.8</v>
      </c>
      <c r="E35">
        <v>0</v>
      </c>
      <c r="F35">
        <v>0</v>
      </c>
      <c r="G35">
        <v>0.8</v>
      </c>
      <c r="H35">
        <v>0</v>
      </c>
      <c r="I35">
        <v>0</v>
      </c>
      <c r="J35">
        <v>0</v>
      </c>
    </row>
    <row r="36" spans="1:10" x14ac:dyDescent="0.15">
      <c r="A36">
        <v>35</v>
      </c>
      <c r="B36" s="193" t="s">
        <v>226</v>
      </c>
      <c r="C36">
        <v>0.8</v>
      </c>
      <c r="D36">
        <v>0</v>
      </c>
      <c r="E36">
        <v>0</v>
      </c>
      <c r="F36">
        <v>0.8</v>
      </c>
      <c r="G36">
        <v>0</v>
      </c>
      <c r="H36">
        <v>0</v>
      </c>
      <c r="I36">
        <v>0.8</v>
      </c>
      <c r="J36">
        <v>0.8</v>
      </c>
    </row>
    <row r="37" spans="1:10" x14ac:dyDescent="0.15">
      <c r="A37">
        <v>36</v>
      </c>
      <c r="B37" s="193" t="s">
        <v>227</v>
      </c>
      <c r="C37">
        <v>0</v>
      </c>
      <c r="D37">
        <v>0</v>
      </c>
      <c r="E37">
        <v>0</v>
      </c>
      <c r="F37">
        <v>0</v>
      </c>
      <c r="G37">
        <v>0.8</v>
      </c>
      <c r="H37">
        <v>0.8</v>
      </c>
      <c r="I37">
        <v>0</v>
      </c>
      <c r="J37">
        <v>0.8</v>
      </c>
    </row>
    <row r="38" spans="1:10" x14ac:dyDescent="0.15">
      <c r="A38">
        <v>37</v>
      </c>
      <c r="B38" s="193" t="s">
        <v>228</v>
      </c>
      <c r="C38">
        <v>0</v>
      </c>
      <c r="D38">
        <v>0</v>
      </c>
      <c r="E38">
        <v>0</v>
      </c>
      <c r="F38">
        <v>0.8</v>
      </c>
      <c r="G38">
        <v>0.8</v>
      </c>
      <c r="H38">
        <v>0</v>
      </c>
      <c r="I38">
        <v>0.8</v>
      </c>
      <c r="J38">
        <v>0.8</v>
      </c>
    </row>
    <row r="39" spans="1:10" x14ac:dyDescent="0.15">
      <c r="A39">
        <v>38</v>
      </c>
      <c r="B39" s="193" t="s">
        <v>229</v>
      </c>
      <c r="C39">
        <v>0</v>
      </c>
      <c r="D39">
        <v>0.8</v>
      </c>
      <c r="E39">
        <v>0</v>
      </c>
      <c r="F39">
        <v>0</v>
      </c>
      <c r="G39">
        <v>0</v>
      </c>
      <c r="H39">
        <v>0</v>
      </c>
      <c r="I39">
        <v>0.8</v>
      </c>
      <c r="J39">
        <v>0</v>
      </c>
    </row>
    <row r="40" spans="1:10" x14ac:dyDescent="0.15">
      <c r="A40">
        <v>39</v>
      </c>
      <c r="B40" s="193" t="s">
        <v>230</v>
      </c>
      <c r="C40">
        <v>0</v>
      </c>
      <c r="D40">
        <v>0</v>
      </c>
      <c r="E40">
        <v>0</v>
      </c>
      <c r="F40">
        <v>0.8</v>
      </c>
      <c r="G40">
        <v>0</v>
      </c>
      <c r="H40">
        <v>0</v>
      </c>
      <c r="I40">
        <v>0.8</v>
      </c>
      <c r="J40">
        <v>0</v>
      </c>
    </row>
    <row r="41" spans="1:10" x14ac:dyDescent="0.15">
      <c r="A41">
        <v>40</v>
      </c>
      <c r="B41" s="193" t="s">
        <v>231</v>
      </c>
      <c r="C41">
        <v>0</v>
      </c>
      <c r="D41">
        <v>0</v>
      </c>
      <c r="E41">
        <v>0</v>
      </c>
      <c r="F41">
        <v>0.8</v>
      </c>
      <c r="G41">
        <v>0.8</v>
      </c>
      <c r="H41">
        <v>0</v>
      </c>
      <c r="I41">
        <v>0</v>
      </c>
      <c r="J41">
        <v>0.8</v>
      </c>
    </row>
    <row r="42" spans="1:10" x14ac:dyDescent="0.15">
      <c r="A42">
        <v>41</v>
      </c>
      <c r="B42" s="193" t="s">
        <v>232</v>
      </c>
      <c r="C42">
        <v>0.8</v>
      </c>
      <c r="D42">
        <v>0.8</v>
      </c>
      <c r="E42">
        <v>0</v>
      </c>
      <c r="F42">
        <v>0</v>
      </c>
      <c r="G42">
        <v>0</v>
      </c>
      <c r="H42">
        <v>0</v>
      </c>
      <c r="I42">
        <v>0</v>
      </c>
      <c r="J42">
        <v>0</v>
      </c>
    </row>
    <row r="43" spans="1:10" x14ac:dyDescent="0.15">
      <c r="A43">
        <v>42</v>
      </c>
      <c r="B43" s="193" t="s">
        <v>233</v>
      </c>
      <c r="C43">
        <v>0.8</v>
      </c>
      <c r="D43">
        <v>0.8</v>
      </c>
      <c r="E43">
        <v>0.8</v>
      </c>
      <c r="F43">
        <v>0</v>
      </c>
      <c r="G43">
        <v>0.8</v>
      </c>
      <c r="H43">
        <v>0</v>
      </c>
      <c r="I43">
        <v>0</v>
      </c>
      <c r="J43">
        <v>0</v>
      </c>
    </row>
    <row r="44" spans="1:10" x14ac:dyDescent="0.15">
      <c r="A44">
        <v>43</v>
      </c>
      <c r="B44" s="193" t="s">
        <v>234</v>
      </c>
      <c r="C44">
        <v>0.8</v>
      </c>
      <c r="D44">
        <v>0.8</v>
      </c>
      <c r="E44">
        <v>0</v>
      </c>
      <c r="F44">
        <v>0</v>
      </c>
      <c r="G44">
        <v>0</v>
      </c>
      <c r="H44">
        <v>0</v>
      </c>
      <c r="I44">
        <v>0</v>
      </c>
      <c r="J44">
        <v>0</v>
      </c>
    </row>
    <row r="45" spans="1:10" x14ac:dyDescent="0.15">
      <c r="A45">
        <v>44</v>
      </c>
      <c r="B45" s="193" t="s">
        <v>235</v>
      </c>
      <c r="C45">
        <v>0</v>
      </c>
      <c r="D45">
        <v>0</v>
      </c>
      <c r="E45">
        <v>0</v>
      </c>
      <c r="F45">
        <v>0</v>
      </c>
      <c r="G45">
        <v>0</v>
      </c>
      <c r="H45">
        <v>0</v>
      </c>
      <c r="I45">
        <v>0</v>
      </c>
      <c r="J45">
        <v>0.8</v>
      </c>
    </row>
    <row r="46" spans="1:10" x14ac:dyDescent="0.15">
      <c r="A46">
        <v>45</v>
      </c>
      <c r="B46" s="193" t="s">
        <v>236</v>
      </c>
      <c r="C46">
        <v>0</v>
      </c>
      <c r="D46">
        <v>0</v>
      </c>
      <c r="E46">
        <v>0</v>
      </c>
      <c r="F46">
        <v>0</v>
      </c>
      <c r="G46">
        <v>0</v>
      </c>
      <c r="H46">
        <v>0</v>
      </c>
      <c r="I46">
        <v>0</v>
      </c>
      <c r="J46">
        <v>0.8</v>
      </c>
    </row>
    <row r="47" spans="1:10" x14ac:dyDescent="0.15">
      <c r="A47">
        <v>46</v>
      </c>
      <c r="B47" s="193" t="s">
        <v>237</v>
      </c>
      <c r="C47">
        <v>0.8</v>
      </c>
      <c r="D47">
        <v>0</v>
      </c>
      <c r="E47">
        <v>0</v>
      </c>
      <c r="F47">
        <v>0</v>
      </c>
      <c r="G47">
        <v>0</v>
      </c>
      <c r="H47">
        <v>0</v>
      </c>
      <c r="I47">
        <v>0</v>
      </c>
      <c r="J47">
        <v>0</v>
      </c>
    </row>
    <row r="48" spans="1:10" x14ac:dyDescent="0.15">
      <c r="A48">
        <v>47</v>
      </c>
      <c r="B48" s="193" t="s">
        <v>238</v>
      </c>
      <c r="C48">
        <v>0</v>
      </c>
      <c r="D48">
        <v>0</v>
      </c>
      <c r="E48">
        <v>0</v>
      </c>
      <c r="F48">
        <v>0</v>
      </c>
      <c r="G48">
        <v>0</v>
      </c>
      <c r="H48">
        <v>0</v>
      </c>
      <c r="I48">
        <v>0</v>
      </c>
      <c r="J48">
        <v>0</v>
      </c>
    </row>
    <row r="49" spans="1:10" x14ac:dyDescent="0.15">
      <c r="A49">
        <v>48</v>
      </c>
      <c r="B49" s="193" t="s">
        <v>239</v>
      </c>
      <c r="C49">
        <v>0</v>
      </c>
      <c r="D49">
        <v>0</v>
      </c>
      <c r="E49">
        <v>0</v>
      </c>
      <c r="F49">
        <v>0</v>
      </c>
      <c r="G49">
        <v>0</v>
      </c>
      <c r="H49">
        <v>0</v>
      </c>
      <c r="I49">
        <v>0</v>
      </c>
      <c r="J49">
        <v>0</v>
      </c>
    </row>
    <row r="50" spans="1:10" x14ac:dyDescent="0.15">
      <c r="A50">
        <v>49</v>
      </c>
      <c r="B50" s="193" t="s">
        <v>240</v>
      </c>
      <c r="C50">
        <v>0</v>
      </c>
      <c r="D50">
        <v>0.8</v>
      </c>
      <c r="E50">
        <v>0</v>
      </c>
      <c r="F50">
        <v>0</v>
      </c>
      <c r="G50">
        <v>0</v>
      </c>
      <c r="H50">
        <v>0</v>
      </c>
      <c r="I50">
        <v>0</v>
      </c>
      <c r="J50">
        <v>0</v>
      </c>
    </row>
    <row r="51" spans="1:10" x14ac:dyDescent="0.15">
      <c r="A51">
        <v>50</v>
      </c>
      <c r="B51" s="193" t="s">
        <v>241</v>
      </c>
      <c r="C51">
        <v>0</v>
      </c>
      <c r="D51">
        <v>0.8</v>
      </c>
      <c r="E51">
        <v>0</v>
      </c>
      <c r="F51">
        <v>0</v>
      </c>
      <c r="G51">
        <v>0</v>
      </c>
      <c r="H51">
        <v>0</v>
      </c>
      <c r="I51">
        <v>0</v>
      </c>
      <c r="J51">
        <v>0</v>
      </c>
    </row>
    <row r="52" spans="1:10" x14ac:dyDescent="0.15">
      <c r="A52">
        <v>51</v>
      </c>
      <c r="B52" s="193" t="s">
        <v>242</v>
      </c>
      <c r="C52">
        <v>0</v>
      </c>
      <c r="D52">
        <v>0</v>
      </c>
      <c r="E52">
        <v>0</v>
      </c>
      <c r="F52">
        <v>0</v>
      </c>
      <c r="G52">
        <v>0</v>
      </c>
      <c r="H52">
        <v>0</v>
      </c>
      <c r="I52">
        <v>0</v>
      </c>
      <c r="J52">
        <v>0</v>
      </c>
    </row>
    <row r="53" spans="1:10" x14ac:dyDescent="0.15">
      <c r="A53">
        <v>52</v>
      </c>
      <c r="B53" s="193" t="s">
        <v>243</v>
      </c>
      <c r="C53">
        <v>0.8</v>
      </c>
      <c r="D53">
        <v>0.8</v>
      </c>
      <c r="E53">
        <v>0</v>
      </c>
      <c r="F53">
        <v>0</v>
      </c>
      <c r="G53">
        <v>0</v>
      </c>
      <c r="H53">
        <v>0</v>
      </c>
      <c r="I53">
        <v>0</v>
      </c>
      <c r="J53">
        <v>0</v>
      </c>
    </row>
    <row r="54" spans="1:10" x14ac:dyDescent="0.15">
      <c r="A54">
        <v>53</v>
      </c>
      <c r="B54" s="193" t="s">
        <v>244</v>
      </c>
      <c r="C54">
        <v>0</v>
      </c>
      <c r="D54">
        <v>0</v>
      </c>
      <c r="E54">
        <v>0</v>
      </c>
      <c r="F54">
        <v>0</v>
      </c>
      <c r="G54">
        <v>0</v>
      </c>
      <c r="H54">
        <v>0</v>
      </c>
      <c r="I54">
        <v>0</v>
      </c>
      <c r="J54">
        <v>0.8</v>
      </c>
    </row>
    <row r="55" spans="1:10" x14ac:dyDescent="0.15">
      <c r="A55">
        <v>54</v>
      </c>
      <c r="B55" s="193" t="s">
        <v>245</v>
      </c>
      <c r="C55">
        <v>0</v>
      </c>
      <c r="D55">
        <v>0</v>
      </c>
      <c r="E55">
        <v>0</v>
      </c>
      <c r="F55">
        <v>0</v>
      </c>
      <c r="G55">
        <v>0.8</v>
      </c>
      <c r="H55">
        <v>0.8</v>
      </c>
      <c r="I55">
        <v>0.8</v>
      </c>
      <c r="J55">
        <v>0.8</v>
      </c>
    </row>
    <row r="56" spans="1:10" x14ac:dyDescent="0.15">
      <c r="A56">
        <v>55</v>
      </c>
      <c r="B56" s="193" t="s">
        <v>246</v>
      </c>
      <c r="C56">
        <v>0</v>
      </c>
      <c r="D56">
        <v>0</v>
      </c>
      <c r="E56">
        <v>0</v>
      </c>
      <c r="F56">
        <v>0</v>
      </c>
      <c r="G56">
        <v>0</v>
      </c>
      <c r="H56">
        <v>0</v>
      </c>
      <c r="I56">
        <v>0</v>
      </c>
      <c r="J56">
        <v>0</v>
      </c>
    </row>
    <row r="57" spans="1:10" x14ac:dyDescent="0.15">
      <c r="A57">
        <v>56</v>
      </c>
      <c r="B57" s="193" t="s">
        <v>247</v>
      </c>
      <c r="C57">
        <v>0.8</v>
      </c>
      <c r="D57">
        <v>0.8</v>
      </c>
      <c r="E57">
        <v>0</v>
      </c>
      <c r="F57">
        <v>0</v>
      </c>
      <c r="G57">
        <v>0</v>
      </c>
      <c r="H57">
        <v>0.8</v>
      </c>
      <c r="I57">
        <v>0</v>
      </c>
      <c r="J57">
        <v>0.8</v>
      </c>
    </row>
    <row r="58" spans="1:10" x14ac:dyDescent="0.15">
      <c r="A58">
        <v>57</v>
      </c>
      <c r="B58" s="193" t="s">
        <v>248</v>
      </c>
      <c r="C58">
        <v>0.8</v>
      </c>
      <c r="D58">
        <v>0</v>
      </c>
      <c r="E58">
        <v>0</v>
      </c>
      <c r="F58">
        <v>0</v>
      </c>
      <c r="G58">
        <v>0</v>
      </c>
      <c r="H58">
        <v>0.8</v>
      </c>
      <c r="I58">
        <v>0</v>
      </c>
      <c r="J58">
        <v>0.8</v>
      </c>
    </row>
    <row r="59" spans="1:10" x14ac:dyDescent="0.15">
      <c r="A59">
        <v>58</v>
      </c>
      <c r="B59" s="193" t="s">
        <v>249</v>
      </c>
      <c r="C59">
        <v>0</v>
      </c>
      <c r="D59">
        <v>0</v>
      </c>
      <c r="E59">
        <v>0</v>
      </c>
      <c r="F59">
        <v>0</v>
      </c>
      <c r="G59">
        <v>0</v>
      </c>
      <c r="H59">
        <v>0</v>
      </c>
      <c r="I59">
        <v>0</v>
      </c>
      <c r="J59">
        <v>0</v>
      </c>
    </row>
    <row r="60" spans="1:10" x14ac:dyDescent="0.15">
      <c r="A60">
        <v>59</v>
      </c>
      <c r="B60" s="193" t="s">
        <v>250</v>
      </c>
      <c r="C60">
        <v>0.8</v>
      </c>
      <c r="D60">
        <v>0.8</v>
      </c>
      <c r="E60">
        <v>0</v>
      </c>
      <c r="F60">
        <v>0</v>
      </c>
      <c r="G60">
        <v>0</v>
      </c>
      <c r="H60">
        <v>0</v>
      </c>
      <c r="I60">
        <v>0</v>
      </c>
      <c r="J60">
        <v>0</v>
      </c>
    </row>
    <row r="61" spans="1:10" x14ac:dyDescent="0.15">
      <c r="A61">
        <v>60</v>
      </c>
      <c r="B61" s="193" t="s">
        <v>251</v>
      </c>
      <c r="C61">
        <v>0.8</v>
      </c>
      <c r="D61">
        <v>0</v>
      </c>
      <c r="E61">
        <v>0</v>
      </c>
      <c r="F61">
        <v>0</v>
      </c>
      <c r="G61">
        <v>0</v>
      </c>
      <c r="H61">
        <v>0</v>
      </c>
      <c r="I61">
        <v>0</v>
      </c>
      <c r="J61">
        <v>0</v>
      </c>
    </row>
    <row r="62" spans="1:10" x14ac:dyDescent="0.15">
      <c r="A62">
        <v>61</v>
      </c>
      <c r="B62" s="193" t="s">
        <v>252</v>
      </c>
      <c r="C62">
        <v>0.8</v>
      </c>
      <c r="D62">
        <v>0.8</v>
      </c>
      <c r="E62">
        <v>0</v>
      </c>
      <c r="F62">
        <v>0</v>
      </c>
      <c r="G62">
        <v>0</v>
      </c>
      <c r="H62">
        <v>0</v>
      </c>
      <c r="I62">
        <v>0</v>
      </c>
      <c r="J62">
        <v>0</v>
      </c>
    </row>
    <row r="63" spans="1:10" x14ac:dyDescent="0.15">
      <c r="A63">
        <v>62</v>
      </c>
      <c r="B63" s="193" t="s">
        <v>253</v>
      </c>
      <c r="C63">
        <v>0.8</v>
      </c>
      <c r="D63">
        <v>0.8</v>
      </c>
      <c r="E63">
        <v>0</v>
      </c>
      <c r="F63">
        <v>0</v>
      </c>
      <c r="G63">
        <v>0</v>
      </c>
      <c r="H63">
        <v>0</v>
      </c>
      <c r="I63">
        <v>0</v>
      </c>
      <c r="J63">
        <v>0</v>
      </c>
    </row>
    <row r="64" spans="1:10" x14ac:dyDescent="0.15">
      <c r="A64">
        <v>63</v>
      </c>
      <c r="B64" s="193" t="s">
        <v>254</v>
      </c>
      <c r="C64">
        <v>0.8</v>
      </c>
      <c r="D64">
        <v>0.8</v>
      </c>
      <c r="E64">
        <v>0</v>
      </c>
      <c r="F64">
        <v>0</v>
      </c>
      <c r="G64">
        <v>0</v>
      </c>
      <c r="H64">
        <v>0</v>
      </c>
      <c r="I64">
        <v>0</v>
      </c>
      <c r="J64">
        <v>0</v>
      </c>
    </row>
    <row r="65" spans="1:10" x14ac:dyDescent="0.15">
      <c r="A65">
        <v>64</v>
      </c>
      <c r="B65" s="193" t="s">
        <v>255</v>
      </c>
      <c r="C65">
        <v>0.8</v>
      </c>
      <c r="D65">
        <v>0.8</v>
      </c>
      <c r="E65">
        <v>0</v>
      </c>
      <c r="F65">
        <v>0</v>
      </c>
      <c r="G65">
        <v>0</v>
      </c>
      <c r="H65">
        <v>0</v>
      </c>
      <c r="I65">
        <v>0</v>
      </c>
      <c r="J65">
        <v>0</v>
      </c>
    </row>
    <row r="66" spans="1:10" x14ac:dyDescent="0.15">
      <c r="A66">
        <v>65</v>
      </c>
      <c r="B66" s="193" t="s">
        <v>256</v>
      </c>
      <c r="C66">
        <v>0.8</v>
      </c>
      <c r="D66">
        <v>0.8</v>
      </c>
      <c r="E66">
        <v>0</v>
      </c>
      <c r="F66">
        <v>0</v>
      </c>
      <c r="G66">
        <v>0</v>
      </c>
      <c r="H66">
        <v>0</v>
      </c>
      <c r="I66">
        <v>0</v>
      </c>
      <c r="J66">
        <v>0</v>
      </c>
    </row>
    <row r="67" spans="1:10" x14ac:dyDescent="0.15">
      <c r="A67">
        <v>66</v>
      </c>
      <c r="B67" s="193" t="s">
        <v>257</v>
      </c>
      <c r="C67">
        <v>0</v>
      </c>
      <c r="D67">
        <v>0</v>
      </c>
      <c r="E67">
        <v>0</v>
      </c>
      <c r="F67">
        <v>0</v>
      </c>
      <c r="G67">
        <v>0</v>
      </c>
      <c r="H67">
        <v>0</v>
      </c>
      <c r="I67">
        <v>0</v>
      </c>
      <c r="J67">
        <v>0.8</v>
      </c>
    </row>
    <row r="68" spans="1:10" x14ac:dyDescent="0.15">
      <c r="A68">
        <v>67</v>
      </c>
      <c r="B68" s="193" t="s">
        <v>258</v>
      </c>
      <c r="C68">
        <v>0.8</v>
      </c>
      <c r="D68">
        <v>0.8</v>
      </c>
      <c r="E68">
        <v>0</v>
      </c>
      <c r="F68">
        <v>0</v>
      </c>
      <c r="G68">
        <v>0</v>
      </c>
      <c r="H68">
        <v>0</v>
      </c>
      <c r="I68">
        <v>0</v>
      </c>
      <c r="J68">
        <v>0</v>
      </c>
    </row>
    <row r="69" spans="1:10" x14ac:dyDescent="0.15">
      <c r="A69">
        <v>68</v>
      </c>
      <c r="B69" s="193" t="s">
        <v>259</v>
      </c>
      <c r="C69">
        <v>0</v>
      </c>
      <c r="D69">
        <v>0</v>
      </c>
      <c r="E69">
        <v>0</v>
      </c>
      <c r="F69">
        <v>0</v>
      </c>
      <c r="G69">
        <v>0</v>
      </c>
      <c r="H69">
        <v>0.8</v>
      </c>
      <c r="I69">
        <v>0</v>
      </c>
      <c r="J69">
        <v>0</v>
      </c>
    </row>
    <row r="70" spans="1:10" x14ac:dyDescent="0.15">
      <c r="A70">
        <v>69</v>
      </c>
      <c r="B70" s="193" t="s">
        <v>260</v>
      </c>
      <c r="C70">
        <v>0</v>
      </c>
      <c r="D70">
        <v>0.8</v>
      </c>
      <c r="E70">
        <v>0</v>
      </c>
      <c r="F70">
        <v>0</v>
      </c>
      <c r="G70">
        <v>0</v>
      </c>
      <c r="H70">
        <v>0</v>
      </c>
      <c r="I70">
        <v>0</v>
      </c>
      <c r="J70">
        <v>0</v>
      </c>
    </row>
    <row r="71" spans="1:10" x14ac:dyDescent="0.15">
      <c r="A71">
        <v>70</v>
      </c>
      <c r="B71" s="193" t="s">
        <v>261</v>
      </c>
      <c r="C71">
        <v>0</v>
      </c>
      <c r="D71">
        <v>0</v>
      </c>
      <c r="E71">
        <v>0</v>
      </c>
      <c r="F71">
        <v>0</v>
      </c>
      <c r="G71">
        <v>0</v>
      </c>
      <c r="H71">
        <v>0</v>
      </c>
      <c r="I71">
        <v>0</v>
      </c>
      <c r="J71">
        <v>0</v>
      </c>
    </row>
    <row r="72" spans="1:10" x14ac:dyDescent="0.15">
      <c r="A72">
        <v>71</v>
      </c>
      <c r="B72" s="193" t="s">
        <v>262</v>
      </c>
      <c r="C72">
        <v>0.8</v>
      </c>
      <c r="D72">
        <v>0.8</v>
      </c>
      <c r="E72">
        <v>0</v>
      </c>
      <c r="F72">
        <v>0</v>
      </c>
      <c r="G72">
        <v>0</v>
      </c>
      <c r="H72">
        <v>0</v>
      </c>
      <c r="I72">
        <v>0</v>
      </c>
      <c r="J72">
        <v>0</v>
      </c>
    </row>
    <row r="73" spans="1:10" x14ac:dyDescent="0.15">
      <c r="A73">
        <v>72</v>
      </c>
      <c r="B73" s="193" t="s">
        <v>263</v>
      </c>
      <c r="C73">
        <v>0</v>
      </c>
      <c r="D73">
        <v>0</v>
      </c>
      <c r="E73">
        <v>0</v>
      </c>
      <c r="F73">
        <v>0</v>
      </c>
      <c r="G73">
        <v>0</v>
      </c>
      <c r="H73">
        <v>0.8</v>
      </c>
      <c r="I73">
        <v>0</v>
      </c>
      <c r="J73">
        <v>0</v>
      </c>
    </row>
    <row r="74" spans="1:10" x14ac:dyDescent="0.15">
      <c r="A74">
        <v>73</v>
      </c>
      <c r="B74" s="193" t="s">
        <v>264</v>
      </c>
      <c r="C74">
        <v>0</v>
      </c>
      <c r="D74">
        <v>0</v>
      </c>
      <c r="E74">
        <v>0</v>
      </c>
      <c r="F74">
        <v>0</v>
      </c>
      <c r="G74">
        <v>0</v>
      </c>
      <c r="H74">
        <v>0</v>
      </c>
      <c r="I74">
        <v>0</v>
      </c>
      <c r="J74">
        <v>0</v>
      </c>
    </row>
    <row r="75" spans="1:10" x14ac:dyDescent="0.15">
      <c r="A75">
        <v>74</v>
      </c>
      <c r="B75" s="193" t="s">
        <v>265</v>
      </c>
      <c r="C75">
        <v>0</v>
      </c>
      <c r="D75">
        <v>0</v>
      </c>
      <c r="E75">
        <v>0</v>
      </c>
      <c r="F75">
        <v>0</v>
      </c>
      <c r="G75">
        <v>0</v>
      </c>
      <c r="H75">
        <v>0</v>
      </c>
      <c r="I75">
        <v>0</v>
      </c>
      <c r="J75">
        <v>0</v>
      </c>
    </row>
    <row r="76" spans="1:10" x14ac:dyDescent="0.15">
      <c r="A76">
        <v>75</v>
      </c>
      <c r="B76" s="193" t="s">
        <v>266</v>
      </c>
      <c r="C76">
        <v>0</v>
      </c>
      <c r="D76">
        <v>0</v>
      </c>
      <c r="E76">
        <v>0</v>
      </c>
      <c r="F76">
        <v>0</v>
      </c>
      <c r="G76">
        <v>0</v>
      </c>
      <c r="H76">
        <v>0</v>
      </c>
      <c r="I76">
        <v>0</v>
      </c>
      <c r="J76">
        <v>0</v>
      </c>
    </row>
    <row r="77" spans="1:10" x14ac:dyDescent="0.15">
      <c r="A77">
        <v>76</v>
      </c>
      <c r="B77" s="193" t="s">
        <v>267</v>
      </c>
      <c r="C77">
        <v>0</v>
      </c>
      <c r="D77">
        <v>0</v>
      </c>
      <c r="E77">
        <v>0</v>
      </c>
      <c r="F77">
        <v>0</v>
      </c>
      <c r="G77">
        <v>0</v>
      </c>
      <c r="H77">
        <v>0</v>
      </c>
      <c r="I77">
        <v>0</v>
      </c>
      <c r="J77">
        <v>0</v>
      </c>
    </row>
    <row r="78" spans="1:10" x14ac:dyDescent="0.15">
      <c r="A78">
        <v>77</v>
      </c>
      <c r="B78" s="193" t="s">
        <v>268</v>
      </c>
      <c r="C78">
        <v>0.8</v>
      </c>
      <c r="D78">
        <v>0.8</v>
      </c>
      <c r="E78">
        <v>0</v>
      </c>
      <c r="F78">
        <v>0</v>
      </c>
      <c r="G78">
        <v>0</v>
      </c>
      <c r="H78">
        <v>0</v>
      </c>
      <c r="I78">
        <v>0</v>
      </c>
      <c r="J78">
        <v>0</v>
      </c>
    </row>
    <row r="79" spans="1:10" x14ac:dyDescent="0.15">
      <c r="A79">
        <v>78</v>
      </c>
      <c r="B79" s="193" t="s">
        <v>269</v>
      </c>
      <c r="C79">
        <v>0.8</v>
      </c>
      <c r="D79">
        <v>0.8</v>
      </c>
      <c r="E79">
        <v>0</v>
      </c>
      <c r="F79">
        <v>0</v>
      </c>
      <c r="G79">
        <v>0</v>
      </c>
      <c r="H79">
        <v>0</v>
      </c>
      <c r="I79">
        <v>0</v>
      </c>
      <c r="J79">
        <v>0</v>
      </c>
    </row>
    <row r="80" spans="1:10" x14ac:dyDescent="0.15">
      <c r="A80">
        <v>79</v>
      </c>
      <c r="B80" s="193" t="s">
        <v>270</v>
      </c>
      <c r="C80">
        <v>0</v>
      </c>
      <c r="D80">
        <v>0</v>
      </c>
      <c r="E80">
        <v>0</v>
      </c>
      <c r="F80">
        <v>0</v>
      </c>
      <c r="G80">
        <v>0</v>
      </c>
      <c r="H80">
        <v>0</v>
      </c>
      <c r="I80">
        <v>0</v>
      </c>
      <c r="J80">
        <v>0</v>
      </c>
    </row>
    <row r="81" spans="1:10" x14ac:dyDescent="0.15">
      <c r="A81">
        <v>80</v>
      </c>
      <c r="B81" s="193" t="s">
        <v>271</v>
      </c>
      <c r="C81">
        <v>0</v>
      </c>
      <c r="D81">
        <v>0</v>
      </c>
      <c r="E81">
        <v>0</v>
      </c>
      <c r="F81">
        <v>0</v>
      </c>
      <c r="G81">
        <v>0</v>
      </c>
      <c r="H81">
        <v>0</v>
      </c>
      <c r="I81">
        <v>0</v>
      </c>
      <c r="J81">
        <v>0</v>
      </c>
    </row>
    <row r="82" spans="1:10" x14ac:dyDescent="0.15">
      <c r="A82">
        <v>81</v>
      </c>
      <c r="B82" s="193" t="s">
        <v>272</v>
      </c>
      <c r="C82">
        <v>0</v>
      </c>
      <c r="D82">
        <v>0</v>
      </c>
      <c r="E82">
        <v>0</v>
      </c>
      <c r="F82">
        <v>0</v>
      </c>
      <c r="G82">
        <v>0</v>
      </c>
      <c r="H82">
        <v>0</v>
      </c>
      <c r="I82">
        <v>0</v>
      </c>
      <c r="J82">
        <v>0</v>
      </c>
    </row>
    <row r="83" spans="1:10" x14ac:dyDescent="0.15">
      <c r="A83">
        <v>82</v>
      </c>
      <c r="B83" s="193" t="s">
        <v>273</v>
      </c>
      <c r="C83">
        <v>0</v>
      </c>
      <c r="D83">
        <v>0</v>
      </c>
      <c r="E83">
        <v>0</v>
      </c>
      <c r="F83">
        <v>0</v>
      </c>
      <c r="G83">
        <v>0</v>
      </c>
      <c r="H83">
        <v>0</v>
      </c>
      <c r="I83">
        <v>0</v>
      </c>
      <c r="J83">
        <v>0</v>
      </c>
    </row>
    <row r="84" spans="1:10" x14ac:dyDescent="0.15">
      <c r="A84">
        <v>83</v>
      </c>
      <c r="B84" s="193" t="s">
        <v>274</v>
      </c>
      <c r="C84">
        <v>0</v>
      </c>
      <c r="D84">
        <v>0</v>
      </c>
      <c r="E84">
        <v>0</v>
      </c>
      <c r="F84">
        <v>0</v>
      </c>
      <c r="G84">
        <v>0</v>
      </c>
      <c r="H84">
        <v>0</v>
      </c>
      <c r="I84">
        <v>0</v>
      </c>
      <c r="J84">
        <v>0</v>
      </c>
    </row>
    <row r="85" spans="1:10" x14ac:dyDescent="0.15">
      <c r="A85">
        <v>84</v>
      </c>
      <c r="B85" s="193" t="s">
        <v>275</v>
      </c>
      <c r="C85">
        <v>0</v>
      </c>
      <c r="D85">
        <v>0</v>
      </c>
      <c r="E85">
        <v>0</v>
      </c>
      <c r="F85">
        <v>0</v>
      </c>
      <c r="G85">
        <v>0</v>
      </c>
      <c r="H85">
        <v>0</v>
      </c>
      <c r="I85">
        <v>0</v>
      </c>
      <c r="J85">
        <v>0</v>
      </c>
    </row>
    <row r="86" spans="1:10" x14ac:dyDescent="0.15">
      <c r="A86">
        <v>85</v>
      </c>
      <c r="B86" s="193" t="s">
        <v>276</v>
      </c>
      <c r="C86">
        <v>0</v>
      </c>
      <c r="D86">
        <v>0</v>
      </c>
      <c r="E86">
        <v>0</v>
      </c>
      <c r="F86">
        <v>0</v>
      </c>
      <c r="G86">
        <v>0</v>
      </c>
      <c r="H86">
        <v>0</v>
      </c>
      <c r="I86">
        <v>0</v>
      </c>
      <c r="J86">
        <v>0</v>
      </c>
    </row>
    <row r="87" spans="1:10" x14ac:dyDescent="0.15">
      <c r="A87">
        <v>86</v>
      </c>
      <c r="B87" s="193" t="s">
        <v>277</v>
      </c>
      <c r="C87">
        <v>0</v>
      </c>
      <c r="D87">
        <v>0</v>
      </c>
      <c r="E87">
        <v>0</v>
      </c>
      <c r="F87">
        <v>0</v>
      </c>
      <c r="G87">
        <v>0</v>
      </c>
      <c r="H87">
        <v>0</v>
      </c>
      <c r="I87">
        <v>0</v>
      </c>
      <c r="J87">
        <v>0</v>
      </c>
    </row>
    <row r="88" spans="1:10" x14ac:dyDescent="0.15">
      <c r="A88">
        <v>87</v>
      </c>
      <c r="B88" s="193" t="s">
        <v>278</v>
      </c>
      <c r="C88">
        <v>0</v>
      </c>
      <c r="D88">
        <v>0</v>
      </c>
      <c r="E88">
        <v>0</v>
      </c>
      <c r="F88">
        <v>0</v>
      </c>
      <c r="G88">
        <v>0</v>
      </c>
      <c r="H88">
        <v>0</v>
      </c>
      <c r="I88">
        <v>0</v>
      </c>
      <c r="J88">
        <v>0</v>
      </c>
    </row>
    <row r="89" spans="1:10" x14ac:dyDescent="0.15">
      <c r="A89">
        <v>88</v>
      </c>
      <c r="B89" s="193" t="s">
        <v>279</v>
      </c>
      <c r="C89">
        <v>0</v>
      </c>
      <c r="D89">
        <v>0</v>
      </c>
      <c r="E89">
        <v>0</v>
      </c>
      <c r="F89">
        <v>0</v>
      </c>
      <c r="G89">
        <v>0</v>
      </c>
      <c r="H89">
        <v>0</v>
      </c>
      <c r="I89">
        <v>0</v>
      </c>
      <c r="J89">
        <v>0</v>
      </c>
    </row>
    <row r="90" spans="1:10" x14ac:dyDescent="0.15">
      <c r="A90">
        <v>89</v>
      </c>
      <c r="B90" s="193" t="s">
        <v>280</v>
      </c>
      <c r="C90">
        <v>0</v>
      </c>
      <c r="D90">
        <v>0</v>
      </c>
      <c r="E90">
        <v>0</v>
      </c>
      <c r="F90">
        <v>0</v>
      </c>
      <c r="G90">
        <v>0</v>
      </c>
      <c r="H90">
        <v>0</v>
      </c>
      <c r="I90">
        <v>0</v>
      </c>
      <c r="J90">
        <v>0</v>
      </c>
    </row>
    <row r="91" spans="1:10" x14ac:dyDescent="0.15">
      <c r="A91">
        <v>90</v>
      </c>
      <c r="B91" s="193" t="s">
        <v>281</v>
      </c>
      <c r="C91">
        <v>0</v>
      </c>
      <c r="D91">
        <v>0</v>
      </c>
      <c r="E91">
        <v>0</v>
      </c>
      <c r="F91">
        <v>0</v>
      </c>
      <c r="G91">
        <v>0</v>
      </c>
      <c r="H91">
        <v>0</v>
      </c>
      <c r="I91">
        <v>0</v>
      </c>
      <c r="J91">
        <v>0</v>
      </c>
    </row>
    <row r="92" spans="1:10" x14ac:dyDescent="0.15">
      <c r="A92">
        <v>91</v>
      </c>
      <c r="B92" s="193" t="s">
        <v>282</v>
      </c>
      <c r="C92">
        <v>0</v>
      </c>
      <c r="D92">
        <v>0</v>
      </c>
      <c r="E92">
        <v>0</v>
      </c>
      <c r="F92">
        <v>0</v>
      </c>
      <c r="G92">
        <v>0</v>
      </c>
      <c r="H92">
        <v>0</v>
      </c>
      <c r="I92">
        <v>0</v>
      </c>
      <c r="J92">
        <v>0</v>
      </c>
    </row>
    <row r="93" spans="1:10" x14ac:dyDescent="0.15">
      <c r="A93">
        <v>92</v>
      </c>
      <c r="B93" s="193" t="s">
        <v>283</v>
      </c>
      <c r="C93">
        <v>0</v>
      </c>
      <c r="D93">
        <v>0</v>
      </c>
      <c r="E93">
        <v>0</v>
      </c>
      <c r="F93">
        <v>0</v>
      </c>
      <c r="G93">
        <v>0</v>
      </c>
      <c r="H93">
        <v>0</v>
      </c>
      <c r="I93">
        <v>0</v>
      </c>
      <c r="J93">
        <v>0</v>
      </c>
    </row>
    <row r="94" spans="1:10" x14ac:dyDescent="0.15">
      <c r="A94">
        <v>93</v>
      </c>
      <c r="B94" s="193" t="s">
        <v>284</v>
      </c>
      <c r="C94">
        <v>0</v>
      </c>
      <c r="D94">
        <v>0</v>
      </c>
      <c r="E94">
        <v>0</v>
      </c>
      <c r="F94">
        <v>0</v>
      </c>
      <c r="G94">
        <v>0</v>
      </c>
      <c r="H94">
        <v>0</v>
      </c>
      <c r="I94">
        <v>0</v>
      </c>
      <c r="J94">
        <v>0</v>
      </c>
    </row>
    <row r="95" spans="1:10" x14ac:dyDescent="0.15">
      <c r="A95">
        <v>94</v>
      </c>
      <c r="B95" s="193" t="s">
        <v>285</v>
      </c>
      <c r="C95">
        <v>0</v>
      </c>
      <c r="D95">
        <v>0</v>
      </c>
      <c r="E95">
        <v>0</v>
      </c>
      <c r="F95">
        <v>0</v>
      </c>
      <c r="G95">
        <v>0</v>
      </c>
      <c r="H95">
        <v>0</v>
      </c>
      <c r="I95">
        <v>0</v>
      </c>
      <c r="J95">
        <v>0</v>
      </c>
    </row>
    <row r="96" spans="1:10" x14ac:dyDescent="0.15">
      <c r="A96">
        <v>95</v>
      </c>
      <c r="B96" s="193" t="s">
        <v>286</v>
      </c>
      <c r="C96">
        <v>0</v>
      </c>
      <c r="D96">
        <v>0</v>
      </c>
      <c r="E96">
        <v>0</v>
      </c>
      <c r="F96">
        <v>0</v>
      </c>
      <c r="G96">
        <v>0</v>
      </c>
      <c r="H96">
        <v>0</v>
      </c>
      <c r="I96">
        <v>0</v>
      </c>
      <c r="J96">
        <v>0</v>
      </c>
    </row>
    <row r="97" spans="1:10" x14ac:dyDescent="0.15">
      <c r="A97">
        <v>96</v>
      </c>
      <c r="B97" s="193" t="s">
        <v>287</v>
      </c>
      <c r="C97">
        <v>0</v>
      </c>
      <c r="D97">
        <v>0</v>
      </c>
      <c r="E97">
        <v>0</v>
      </c>
      <c r="F97">
        <v>0</v>
      </c>
      <c r="G97">
        <v>0</v>
      </c>
      <c r="H97">
        <v>0</v>
      </c>
      <c r="I97">
        <v>0</v>
      </c>
      <c r="J97">
        <v>0</v>
      </c>
    </row>
    <row r="98" spans="1:10" x14ac:dyDescent="0.15">
      <c r="A98">
        <v>97</v>
      </c>
      <c r="B98" s="193" t="s">
        <v>288</v>
      </c>
      <c r="C98">
        <v>0</v>
      </c>
      <c r="D98">
        <v>0</v>
      </c>
      <c r="E98">
        <v>0</v>
      </c>
      <c r="F98">
        <v>0</v>
      </c>
      <c r="G98">
        <v>0</v>
      </c>
      <c r="H98">
        <v>0</v>
      </c>
      <c r="I98">
        <v>0</v>
      </c>
      <c r="J98">
        <v>0</v>
      </c>
    </row>
    <row r="99" spans="1:10" x14ac:dyDescent="0.15">
      <c r="A99">
        <v>98</v>
      </c>
      <c r="B99" s="193" t="s">
        <v>289</v>
      </c>
      <c r="C99">
        <v>0</v>
      </c>
      <c r="D99">
        <v>0</v>
      </c>
      <c r="E99">
        <v>0</v>
      </c>
      <c r="F99">
        <v>0</v>
      </c>
      <c r="G99">
        <v>0</v>
      </c>
      <c r="H99">
        <v>0</v>
      </c>
      <c r="I99">
        <v>0</v>
      </c>
      <c r="J99">
        <v>0</v>
      </c>
    </row>
    <row r="100" spans="1:10" x14ac:dyDescent="0.15">
      <c r="A100">
        <v>99</v>
      </c>
      <c r="B100" s="193" t="s">
        <v>290</v>
      </c>
      <c r="C100">
        <v>0</v>
      </c>
      <c r="D100">
        <v>0</v>
      </c>
      <c r="E100">
        <v>0</v>
      </c>
      <c r="F100">
        <v>0</v>
      </c>
      <c r="G100">
        <v>0</v>
      </c>
      <c r="H100">
        <v>0</v>
      </c>
      <c r="I100">
        <v>0</v>
      </c>
      <c r="J100">
        <v>0</v>
      </c>
    </row>
    <row r="179" ht="15" customHeight="1" x14ac:dyDescent="0.15"/>
    <row r="180" ht="15" customHeight="1" x14ac:dyDescent="0.15"/>
    <row r="181" ht="15" customHeight="1" x14ac:dyDescent="0.15"/>
    <row r="182" ht="15" customHeight="1" x14ac:dyDescent="0.15"/>
    <row r="183" ht="15" customHeight="1" x14ac:dyDescent="0.15"/>
    <row r="184" ht="15" customHeight="1" x14ac:dyDescent="0.15"/>
    <row r="185" ht="15" customHeigh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indexed="51"/>
  </sheetPr>
  <dimension ref="A1:J100"/>
  <sheetViews>
    <sheetView workbookViewId="0">
      <selection activeCell="A3" sqref="A3"/>
    </sheetView>
  </sheetViews>
  <sheetFormatPr baseColWidth="10" defaultRowHeight="13" x14ac:dyDescent="0.15"/>
  <cols>
    <col min="1" max="1" width="3.33203125" customWidth="1"/>
    <col min="2" max="2" width="44.33203125" bestFit="1" customWidth="1"/>
    <col min="3" max="4" width="3.83203125" bestFit="1" customWidth="1"/>
    <col min="5" max="10" width="3.83203125" customWidth="1"/>
  </cols>
  <sheetData>
    <row r="1" spans="1:10" ht="112" x14ac:dyDescent="0.15">
      <c r="A1" s="5" t="s">
        <v>82</v>
      </c>
      <c r="B1" s="3" t="s">
        <v>0</v>
      </c>
      <c r="C1" s="196" t="s">
        <v>291</v>
      </c>
      <c r="D1" s="196" t="s">
        <v>292</v>
      </c>
      <c r="E1" s="196" t="s">
        <v>293</v>
      </c>
      <c r="F1" s="196" t="s">
        <v>294</v>
      </c>
      <c r="G1" s="196" t="s">
        <v>295</v>
      </c>
      <c r="H1" s="196" t="s">
        <v>296</v>
      </c>
      <c r="I1" s="196" t="s">
        <v>297</v>
      </c>
      <c r="J1" s="196" t="s">
        <v>298</v>
      </c>
    </row>
    <row r="2" spans="1:10" x14ac:dyDescent="0.15">
      <c r="A2">
        <v>1</v>
      </c>
      <c r="B2" s="195" t="s">
        <v>192</v>
      </c>
      <c r="C2">
        <v>0</v>
      </c>
      <c r="D2">
        <v>0</v>
      </c>
      <c r="E2">
        <v>0</v>
      </c>
      <c r="F2">
        <v>0.8</v>
      </c>
      <c r="G2">
        <v>0</v>
      </c>
      <c r="H2">
        <v>0</v>
      </c>
      <c r="I2">
        <v>0</v>
      </c>
      <c r="J2">
        <v>0</v>
      </c>
    </row>
    <row r="3" spans="1:10" x14ac:dyDescent="0.15">
      <c r="A3">
        <v>2</v>
      </c>
      <c r="B3" s="195" t="s">
        <v>193</v>
      </c>
      <c r="C3">
        <v>0</v>
      </c>
      <c r="D3">
        <v>0</v>
      </c>
      <c r="E3">
        <v>0</v>
      </c>
      <c r="F3">
        <v>0</v>
      </c>
      <c r="G3">
        <v>0</v>
      </c>
      <c r="H3">
        <v>0</v>
      </c>
      <c r="I3">
        <v>0</v>
      </c>
      <c r="J3">
        <v>0.8</v>
      </c>
    </row>
    <row r="4" spans="1:10" x14ac:dyDescent="0.15">
      <c r="A4">
        <v>3</v>
      </c>
      <c r="B4" s="195" t="s">
        <v>194</v>
      </c>
      <c r="C4">
        <v>0</v>
      </c>
      <c r="D4">
        <v>0</v>
      </c>
      <c r="E4">
        <v>0</v>
      </c>
      <c r="F4">
        <v>0</v>
      </c>
      <c r="G4">
        <v>0.8</v>
      </c>
      <c r="H4">
        <v>0</v>
      </c>
      <c r="I4">
        <v>0</v>
      </c>
      <c r="J4">
        <v>0</v>
      </c>
    </row>
    <row r="5" spans="1:10" x14ac:dyDescent="0.15">
      <c r="A5">
        <v>4</v>
      </c>
      <c r="B5" s="195" t="s">
        <v>195</v>
      </c>
      <c r="C5">
        <v>0</v>
      </c>
      <c r="D5">
        <v>0</v>
      </c>
      <c r="E5">
        <v>0</v>
      </c>
      <c r="F5">
        <v>0</v>
      </c>
      <c r="G5">
        <v>0</v>
      </c>
      <c r="H5">
        <v>0</v>
      </c>
      <c r="I5">
        <v>0</v>
      </c>
      <c r="J5">
        <v>0.8</v>
      </c>
    </row>
    <row r="6" spans="1:10" x14ac:dyDescent="0.15">
      <c r="A6">
        <v>5</v>
      </c>
      <c r="B6" s="195" t="s">
        <v>196</v>
      </c>
      <c r="C6">
        <v>0.8</v>
      </c>
      <c r="D6">
        <v>0.8</v>
      </c>
      <c r="E6">
        <v>0</v>
      </c>
      <c r="F6">
        <v>0</v>
      </c>
      <c r="G6">
        <v>0</v>
      </c>
      <c r="H6">
        <v>0</v>
      </c>
      <c r="I6">
        <v>0</v>
      </c>
      <c r="J6">
        <v>0</v>
      </c>
    </row>
    <row r="7" spans="1:10" x14ac:dyDescent="0.15">
      <c r="A7">
        <v>6</v>
      </c>
      <c r="B7" s="195" t="s">
        <v>197</v>
      </c>
      <c r="C7">
        <v>0</v>
      </c>
      <c r="D7">
        <v>0</v>
      </c>
      <c r="E7">
        <v>0</v>
      </c>
      <c r="F7">
        <v>0</v>
      </c>
      <c r="G7">
        <v>0</v>
      </c>
      <c r="H7">
        <v>0</v>
      </c>
      <c r="I7">
        <v>0</v>
      </c>
      <c r="J7">
        <v>0</v>
      </c>
    </row>
    <row r="8" spans="1:10" x14ac:dyDescent="0.15">
      <c r="A8">
        <v>7</v>
      </c>
      <c r="B8" s="195" t="s">
        <v>198</v>
      </c>
      <c r="C8">
        <v>0</v>
      </c>
      <c r="D8">
        <v>0</v>
      </c>
      <c r="E8">
        <v>0</v>
      </c>
      <c r="F8">
        <v>0</v>
      </c>
      <c r="G8">
        <v>0</v>
      </c>
      <c r="H8">
        <v>0</v>
      </c>
      <c r="I8">
        <v>0</v>
      </c>
      <c r="J8">
        <v>0</v>
      </c>
    </row>
    <row r="9" spans="1:10" x14ac:dyDescent="0.15">
      <c r="A9">
        <v>8</v>
      </c>
      <c r="B9" s="195" t="s">
        <v>199</v>
      </c>
      <c r="C9">
        <v>0</v>
      </c>
      <c r="D9">
        <v>0</v>
      </c>
      <c r="E9">
        <v>0</v>
      </c>
      <c r="F9">
        <v>0</v>
      </c>
      <c r="G9">
        <v>0</v>
      </c>
      <c r="H9">
        <v>0</v>
      </c>
      <c r="I9">
        <v>0</v>
      </c>
      <c r="J9">
        <v>0</v>
      </c>
    </row>
    <row r="10" spans="1:10" x14ac:dyDescent="0.15">
      <c r="A10">
        <v>9</v>
      </c>
      <c r="B10" s="195" t="s">
        <v>200</v>
      </c>
      <c r="C10">
        <v>0</v>
      </c>
      <c r="D10">
        <v>0</v>
      </c>
      <c r="E10">
        <v>0</v>
      </c>
      <c r="F10">
        <v>0</v>
      </c>
      <c r="G10">
        <v>0</v>
      </c>
      <c r="H10">
        <v>0</v>
      </c>
      <c r="I10">
        <v>0</v>
      </c>
      <c r="J10">
        <v>0</v>
      </c>
    </row>
    <row r="11" spans="1:10" x14ac:dyDescent="0.15">
      <c r="A11">
        <v>10</v>
      </c>
      <c r="B11" s="195" t="s">
        <v>201</v>
      </c>
      <c r="C11">
        <v>0</v>
      </c>
      <c r="D11">
        <v>0</v>
      </c>
      <c r="E11">
        <v>0</v>
      </c>
      <c r="F11">
        <v>0.8</v>
      </c>
      <c r="G11">
        <v>0</v>
      </c>
      <c r="H11">
        <v>0</v>
      </c>
      <c r="I11">
        <v>0.8</v>
      </c>
      <c r="J11">
        <v>0</v>
      </c>
    </row>
    <row r="12" spans="1:10" x14ac:dyDescent="0.15">
      <c r="A12">
        <v>11</v>
      </c>
      <c r="B12" s="195" t="s">
        <v>202</v>
      </c>
      <c r="C12">
        <v>0.8</v>
      </c>
      <c r="D12">
        <v>0.8</v>
      </c>
      <c r="E12">
        <v>0.8</v>
      </c>
      <c r="F12">
        <v>0.8</v>
      </c>
      <c r="G12">
        <v>0.8</v>
      </c>
      <c r="H12">
        <v>0</v>
      </c>
      <c r="I12">
        <v>0.8</v>
      </c>
      <c r="J12">
        <v>0.8</v>
      </c>
    </row>
    <row r="13" spans="1:10" x14ac:dyDescent="0.15">
      <c r="A13">
        <v>12</v>
      </c>
      <c r="B13" s="195" t="s">
        <v>203</v>
      </c>
      <c r="C13">
        <v>0.8</v>
      </c>
      <c r="D13">
        <v>0.8</v>
      </c>
      <c r="E13">
        <v>0</v>
      </c>
      <c r="F13">
        <v>0.8</v>
      </c>
      <c r="G13">
        <v>0</v>
      </c>
      <c r="H13">
        <v>0</v>
      </c>
      <c r="I13">
        <v>0.8</v>
      </c>
      <c r="J13">
        <v>0</v>
      </c>
    </row>
    <row r="14" spans="1:10" x14ac:dyDescent="0.15">
      <c r="A14">
        <v>13</v>
      </c>
      <c r="B14" s="195" t="s">
        <v>204</v>
      </c>
      <c r="C14">
        <v>0.8</v>
      </c>
      <c r="D14">
        <v>0.8</v>
      </c>
      <c r="E14">
        <v>0</v>
      </c>
      <c r="F14">
        <v>0.8</v>
      </c>
      <c r="G14">
        <v>0.8</v>
      </c>
      <c r="H14">
        <v>0</v>
      </c>
      <c r="I14">
        <v>0</v>
      </c>
      <c r="J14">
        <v>0</v>
      </c>
    </row>
    <row r="15" spans="1:10" x14ac:dyDescent="0.15">
      <c r="A15">
        <v>14</v>
      </c>
      <c r="B15" s="195" t="s">
        <v>205</v>
      </c>
      <c r="C15">
        <v>0.8</v>
      </c>
      <c r="D15">
        <v>0.8</v>
      </c>
      <c r="E15">
        <v>0.8</v>
      </c>
      <c r="F15">
        <v>0.8</v>
      </c>
      <c r="G15">
        <v>0.8</v>
      </c>
      <c r="H15">
        <v>0.8</v>
      </c>
      <c r="I15">
        <v>0.8</v>
      </c>
      <c r="J15">
        <v>0</v>
      </c>
    </row>
    <row r="16" spans="1:10" x14ac:dyDescent="0.15">
      <c r="A16">
        <v>15</v>
      </c>
      <c r="B16" s="195" t="s">
        <v>206</v>
      </c>
      <c r="C16">
        <v>0.8</v>
      </c>
      <c r="D16">
        <v>0.8</v>
      </c>
      <c r="E16">
        <v>0</v>
      </c>
      <c r="F16">
        <v>0.8</v>
      </c>
      <c r="G16">
        <v>0</v>
      </c>
      <c r="H16">
        <v>0</v>
      </c>
      <c r="I16">
        <v>0.8</v>
      </c>
      <c r="J16">
        <v>0.8</v>
      </c>
    </row>
    <row r="17" spans="1:10" x14ac:dyDescent="0.15">
      <c r="A17">
        <v>16</v>
      </c>
      <c r="B17" s="195" t="s">
        <v>207</v>
      </c>
      <c r="C17">
        <v>0.8</v>
      </c>
      <c r="D17">
        <v>0.8</v>
      </c>
      <c r="E17">
        <v>0.8</v>
      </c>
      <c r="F17">
        <v>0.8</v>
      </c>
      <c r="G17">
        <v>0.8</v>
      </c>
      <c r="H17">
        <v>0</v>
      </c>
      <c r="I17">
        <v>0.8</v>
      </c>
      <c r="J17">
        <v>0</v>
      </c>
    </row>
    <row r="18" spans="1:10" x14ac:dyDescent="0.15">
      <c r="A18">
        <v>17</v>
      </c>
      <c r="B18" s="195" t="s">
        <v>208</v>
      </c>
      <c r="C18">
        <v>0.8</v>
      </c>
      <c r="D18">
        <v>0.8</v>
      </c>
      <c r="E18">
        <v>0.8</v>
      </c>
      <c r="F18">
        <v>0.8</v>
      </c>
      <c r="G18">
        <v>0.8</v>
      </c>
      <c r="H18">
        <v>0</v>
      </c>
      <c r="I18">
        <v>0.8</v>
      </c>
      <c r="J18">
        <v>0.8</v>
      </c>
    </row>
    <row r="19" spans="1:10" x14ac:dyDescent="0.15">
      <c r="A19">
        <v>18</v>
      </c>
      <c r="B19" s="195" t="s">
        <v>209</v>
      </c>
      <c r="C19">
        <v>0.8</v>
      </c>
      <c r="D19">
        <v>0.8</v>
      </c>
      <c r="E19">
        <v>0.8</v>
      </c>
      <c r="F19">
        <v>0</v>
      </c>
      <c r="G19">
        <v>0.8</v>
      </c>
      <c r="H19">
        <v>0</v>
      </c>
      <c r="I19">
        <v>0.8</v>
      </c>
      <c r="J19">
        <v>0.8</v>
      </c>
    </row>
    <row r="20" spans="1:10" x14ac:dyDescent="0.15">
      <c r="A20">
        <v>19</v>
      </c>
      <c r="B20" s="195" t="s">
        <v>210</v>
      </c>
      <c r="C20">
        <v>0.8</v>
      </c>
      <c r="D20">
        <v>0.8</v>
      </c>
      <c r="E20">
        <v>0.8</v>
      </c>
      <c r="F20">
        <v>0.8</v>
      </c>
      <c r="G20">
        <v>0.8</v>
      </c>
      <c r="H20">
        <v>0</v>
      </c>
      <c r="I20">
        <v>0.8</v>
      </c>
      <c r="J20">
        <v>0</v>
      </c>
    </row>
    <row r="21" spans="1:10" x14ac:dyDescent="0.15">
      <c r="A21">
        <v>20</v>
      </c>
      <c r="B21" s="195" t="s">
        <v>211</v>
      </c>
      <c r="C21">
        <v>0.8</v>
      </c>
      <c r="D21">
        <v>0.8</v>
      </c>
      <c r="E21">
        <v>0.8</v>
      </c>
      <c r="F21">
        <v>0.8</v>
      </c>
      <c r="G21">
        <v>0.8</v>
      </c>
      <c r="H21">
        <v>0.8</v>
      </c>
      <c r="I21">
        <v>0.8</v>
      </c>
      <c r="J21">
        <v>0</v>
      </c>
    </row>
    <row r="22" spans="1:10" x14ac:dyDescent="0.15">
      <c r="A22">
        <v>21</v>
      </c>
      <c r="B22" s="195" t="s">
        <v>212</v>
      </c>
      <c r="C22">
        <v>0.8</v>
      </c>
      <c r="D22">
        <v>0.8</v>
      </c>
      <c r="E22">
        <v>0</v>
      </c>
      <c r="F22">
        <v>0.8</v>
      </c>
      <c r="G22">
        <v>0.8</v>
      </c>
      <c r="H22">
        <v>0.8</v>
      </c>
      <c r="I22">
        <v>0.8</v>
      </c>
      <c r="J22">
        <v>0</v>
      </c>
    </row>
    <row r="23" spans="1:10" x14ac:dyDescent="0.15">
      <c r="A23">
        <v>22</v>
      </c>
      <c r="B23" s="195" t="s">
        <v>213</v>
      </c>
      <c r="C23">
        <v>0.8</v>
      </c>
      <c r="D23">
        <v>0.8</v>
      </c>
      <c r="E23">
        <v>0.8</v>
      </c>
      <c r="F23">
        <v>0.8</v>
      </c>
      <c r="G23">
        <v>0</v>
      </c>
      <c r="H23">
        <v>0</v>
      </c>
      <c r="I23">
        <v>0.8</v>
      </c>
      <c r="J23">
        <v>0.8</v>
      </c>
    </row>
    <row r="24" spans="1:10" x14ac:dyDescent="0.15">
      <c r="A24">
        <v>23</v>
      </c>
      <c r="B24" s="195" t="s">
        <v>214</v>
      </c>
      <c r="C24">
        <v>0.8</v>
      </c>
      <c r="D24">
        <v>0.8</v>
      </c>
      <c r="E24">
        <v>0.8</v>
      </c>
      <c r="F24">
        <v>0</v>
      </c>
      <c r="G24">
        <v>0.8</v>
      </c>
      <c r="H24">
        <v>0</v>
      </c>
      <c r="I24">
        <v>0.8</v>
      </c>
      <c r="J24">
        <v>0.8</v>
      </c>
    </row>
    <row r="25" spans="1:10" x14ac:dyDescent="0.15">
      <c r="A25">
        <v>24</v>
      </c>
      <c r="B25" s="195" t="s">
        <v>215</v>
      </c>
      <c r="C25">
        <v>0.8</v>
      </c>
      <c r="D25">
        <v>0</v>
      </c>
      <c r="E25">
        <v>0</v>
      </c>
      <c r="F25">
        <v>0</v>
      </c>
      <c r="G25">
        <v>0</v>
      </c>
      <c r="H25">
        <v>0</v>
      </c>
      <c r="I25">
        <v>0</v>
      </c>
      <c r="J25">
        <v>0</v>
      </c>
    </row>
    <row r="26" spans="1:10" x14ac:dyDescent="0.15">
      <c r="A26">
        <v>25</v>
      </c>
      <c r="B26" s="195" t="s">
        <v>216</v>
      </c>
      <c r="C26">
        <v>0.8</v>
      </c>
      <c r="D26">
        <v>0.8</v>
      </c>
      <c r="E26">
        <v>0</v>
      </c>
      <c r="F26">
        <v>0.8</v>
      </c>
      <c r="G26">
        <v>0</v>
      </c>
      <c r="H26">
        <v>0</v>
      </c>
      <c r="I26">
        <v>0.8</v>
      </c>
      <c r="J26">
        <v>0</v>
      </c>
    </row>
    <row r="27" spans="1:10" x14ac:dyDescent="0.15">
      <c r="A27">
        <v>26</v>
      </c>
      <c r="B27" s="195" t="s">
        <v>217</v>
      </c>
      <c r="C27">
        <v>0.8</v>
      </c>
      <c r="D27">
        <v>0.8</v>
      </c>
      <c r="E27">
        <v>0</v>
      </c>
      <c r="F27">
        <v>0</v>
      </c>
      <c r="G27">
        <v>0</v>
      </c>
      <c r="H27">
        <v>0</v>
      </c>
      <c r="I27">
        <v>0.8</v>
      </c>
      <c r="J27">
        <v>0.8</v>
      </c>
    </row>
    <row r="28" spans="1:10" x14ac:dyDescent="0.15">
      <c r="A28">
        <v>27</v>
      </c>
      <c r="B28" s="195" t="s">
        <v>218</v>
      </c>
      <c r="C28">
        <v>0.8</v>
      </c>
      <c r="D28">
        <v>0</v>
      </c>
      <c r="E28">
        <v>0</v>
      </c>
      <c r="F28">
        <v>0</v>
      </c>
      <c r="G28">
        <v>0.8</v>
      </c>
      <c r="H28">
        <v>0</v>
      </c>
      <c r="I28">
        <v>0.8</v>
      </c>
      <c r="J28">
        <v>0</v>
      </c>
    </row>
    <row r="29" spans="1:10" x14ac:dyDescent="0.15">
      <c r="A29">
        <v>28</v>
      </c>
      <c r="B29" s="195" t="s">
        <v>219</v>
      </c>
      <c r="C29">
        <v>0.8</v>
      </c>
      <c r="D29">
        <v>0</v>
      </c>
      <c r="E29">
        <v>0</v>
      </c>
      <c r="F29">
        <v>0</v>
      </c>
      <c r="G29">
        <v>0</v>
      </c>
      <c r="H29">
        <v>0</v>
      </c>
      <c r="I29">
        <v>0.8</v>
      </c>
      <c r="J29">
        <v>0</v>
      </c>
    </row>
    <row r="30" spans="1:10" x14ac:dyDescent="0.15">
      <c r="A30">
        <v>29</v>
      </c>
      <c r="B30" s="195" t="s">
        <v>220</v>
      </c>
      <c r="C30">
        <v>0</v>
      </c>
      <c r="D30">
        <v>0</v>
      </c>
      <c r="E30">
        <v>0</v>
      </c>
      <c r="F30">
        <v>0</v>
      </c>
      <c r="G30">
        <v>0</v>
      </c>
      <c r="H30">
        <v>0.8</v>
      </c>
      <c r="I30">
        <v>0.8</v>
      </c>
      <c r="J30">
        <v>0</v>
      </c>
    </row>
    <row r="31" spans="1:10" x14ac:dyDescent="0.15">
      <c r="A31">
        <v>30</v>
      </c>
      <c r="B31" s="195" t="s">
        <v>221</v>
      </c>
      <c r="C31">
        <v>0.8</v>
      </c>
      <c r="D31">
        <v>0</v>
      </c>
      <c r="E31">
        <v>0.8</v>
      </c>
      <c r="F31">
        <v>0.8</v>
      </c>
      <c r="G31">
        <v>0.8</v>
      </c>
      <c r="H31">
        <v>0.8</v>
      </c>
      <c r="I31">
        <v>0.8</v>
      </c>
      <c r="J31">
        <v>0.8</v>
      </c>
    </row>
    <row r="32" spans="1:10" x14ac:dyDescent="0.15">
      <c r="A32">
        <v>31</v>
      </c>
      <c r="B32" s="195" t="s">
        <v>222</v>
      </c>
      <c r="C32">
        <v>0</v>
      </c>
      <c r="D32">
        <v>0</v>
      </c>
      <c r="E32">
        <v>0.8</v>
      </c>
      <c r="F32">
        <v>0</v>
      </c>
      <c r="G32">
        <v>0.8</v>
      </c>
      <c r="H32">
        <v>0.8</v>
      </c>
      <c r="I32">
        <v>0.8</v>
      </c>
      <c r="J32">
        <v>0.8</v>
      </c>
    </row>
    <row r="33" spans="1:10" x14ac:dyDescent="0.15">
      <c r="A33">
        <v>32</v>
      </c>
      <c r="B33" s="195" t="s">
        <v>223</v>
      </c>
      <c r="C33">
        <v>0.8</v>
      </c>
      <c r="D33">
        <v>0</v>
      </c>
      <c r="E33">
        <v>0.8</v>
      </c>
      <c r="F33">
        <v>0.8</v>
      </c>
      <c r="G33">
        <v>0.8</v>
      </c>
      <c r="H33">
        <v>0.8</v>
      </c>
      <c r="I33">
        <v>0.8</v>
      </c>
      <c r="J33">
        <v>0.8</v>
      </c>
    </row>
    <row r="34" spans="1:10" x14ac:dyDescent="0.15">
      <c r="A34">
        <v>33</v>
      </c>
      <c r="B34" s="195" t="s">
        <v>224</v>
      </c>
      <c r="C34">
        <v>0</v>
      </c>
      <c r="D34">
        <v>0</v>
      </c>
      <c r="E34">
        <v>0</v>
      </c>
      <c r="F34">
        <v>0</v>
      </c>
      <c r="G34">
        <v>0.8</v>
      </c>
      <c r="H34">
        <v>0</v>
      </c>
      <c r="I34">
        <v>0</v>
      </c>
      <c r="J34">
        <v>0.8</v>
      </c>
    </row>
    <row r="35" spans="1:10" x14ac:dyDescent="0.15">
      <c r="A35">
        <v>34</v>
      </c>
      <c r="B35" s="195" t="s">
        <v>225</v>
      </c>
      <c r="C35">
        <v>0</v>
      </c>
      <c r="D35">
        <v>0.8</v>
      </c>
      <c r="E35">
        <v>0</v>
      </c>
      <c r="F35">
        <v>0</v>
      </c>
      <c r="G35">
        <v>0.8</v>
      </c>
      <c r="H35">
        <v>0</v>
      </c>
      <c r="I35">
        <v>0</v>
      </c>
      <c r="J35">
        <v>0</v>
      </c>
    </row>
    <row r="36" spans="1:10" x14ac:dyDescent="0.15">
      <c r="A36">
        <v>35</v>
      </c>
      <c r="B36" s="195" t="s">
        <v>226</v>
      </c>
      <c r="C36">
        <v>0.8</v>
      </c>
      <c r="D36">
        <v>0</v>
      </c>
      <c r="E36">
        <v>0</v>
      </c>
      <c r="F36">
        <v>0.8</v>
      </c>
      <c r="G36">
        <v>0</v>
      </c>
      <c r="H36">
        <v>0</v>
      </c>
      <c r="I36">
        <v>0.8</v>
      </c>
      <c r="J36">
        <v>0.8</v>
      </c>
    </row>
    <row r="37" spans="1:10" x14ac:dyDescent="0.15">
      <c r="A37">
        <v>36</v>
      </c>
      <c r="B37" s="195" t="s">
        <v>227</v>
      </c>
      <c r="C37">
        <v>0</v>
      </c>
      <c r="D37">
        <v>0</v>
      </c>
      <c r="E37">
        <v>0</v>
      </c>
      <c r="F37">
        <v>0</v>
      </c>
      <c r="G37">
        <v>0.8</v>
      </c>
      <c r="H37">
        <v>0.8</v>
      </c>
      <c r="I37">
        <v>0</v>
      </c>
      <c r="J37">
        <v>0.8</v>
      </c>
    </row>
    <row r="38" spans="1:10" x14ac:dyDescent="0.15">
      <c r="A38">
        <v>37</v>
      </c>
      <c r="B38" s="195" t="s">
        <v>228</v>
      </c>
      <c r="C38">
        <v>0</v>
      </c>
      <c r="D38">
        <v>0</v>
      </c>
      <c r="E38">
        <v>0</v>
      </c>
      <c r="F38">
        <v>0.8</v>
      </c>
      <c r="G38">
        <v>0.8</v>
      </c>
      <c r="H38">
        <v>0</v>
      </c>
      <c r="I38">
        <v>0.8</v>
      </c>
      <c r="J38">
        <v>0.8</v>
      </c>
    </row>
    <row r="39" spans="1:10" x14ac:dyDescent="0.15">
      <c r="A39">
        <v>38</v>
      </c>
      <c r="B39" s="195" t="s">
        <v>229</v>
      </c>
      <c r="C39">
        <v>0</v>
      </c>
      <c r="D39">
        <v>0.8</v>
      </c>
      <c r="E39">
        <v>0</v>
      </c>
      <c r="F39">
        <v>0</v>
      </c>
      <c r="G39">
        <v>0</v>
      </c>
      <c r="H39">
        <v>0</v>
      </c>
      <c r="I39">
        <v>0.8</v>
      </c>
      <c r="J39">
        <v>0</v>
      </c>
    </row>
    <row r="40" spans="1:10" x14ac:dyDescent="0.15">
      <c r="A40">
        <v>39</v>
      </c>
      <c r="B40" s="195" t="s">
        <v>230</v>
      </c>
      <c r="C40">
        <v>0</v>
      </c>
      <c r="D40">
        <v>0</v>
      </c>
      <c r="E40">
        <v>0</v>
      </c>
      <c r="F40">
        <v>0.8</v>
      </c>
      <c r="G40">
        <v>0</v>
      </c>
      <c r="H40">
        <v>0</v>
      </c>
      <c r="I40">
        <v>0.8</v>
      </c>
      <c r="J40">
        <v>0</v>
      </c>
    </row>
    <row r="41" spans="1:10" x14ac:dyDescent="0.15">
      <c r="A41">
        <v>40</v>
      </c>
      <c r="B41" s="195" t="s">
        <v>231</v>
      </c>
      <c r="C41">
        <v>0</v>
      </c>
      <c r="D41">
        <v>0</v>
      </c>
      <c r="E41">
        <v>0</v>
      </c>
      <c r="F41">
        <v>0.8</v>
      </c>
      <c r="G41">
        <v>0.8</v>
      </c>
      <c r="H41">
        <v>0</v>
      </c>
      <c r="I41">
        <v>0</v>
      </c>
      <c r="J41">
        <v>0.8</v>
      </c>
    </row>
    <row r="42" spans="1:10" x14ac:dyDescent="0.15">
      <c r="A42">
        <v>41</v>
      </c>
      <c r="B42" s="195" t="s">
        <v>232</v>
      </c>
      <c r="C42">
        <v>0.8</v>
      </c>
      <c r="D42">
        <v>0.8</v>
      </c>
      <c r="E42">
        <v>0</v>
      </c>
      <c r="F42">
        <v>0</v>
      </c>
      <c r="G42">
        <v>0</v>
      </c>
      <c r="H42">
        <v>0</v>
      </c>
      <c r="I42">
        <v>0</v>
      </c>
      <c r="J42">
        <v>0</v>
      </c>
    </row>
    <row r="43" spans="1:10" x14ac:dyDescent="0.15">
      <c r="A43">
        <v>42</v>
      </c>
      <c r="B43" s="195" t="s">
        <v>233</v>
      </c>
      <c r="C43">
        <v>0.8</v>
      </c>
      <c r="D43">
        <v>0.8</v>
      </c>
      <c r="E43">
        <v>0.8</v>
      </c>
      <c r="F43">
        <v>0</v>
      </c>
      <c r="G43">
        <v>0.8</v>
      </c>
      <c r="H43">
        <v>0</v>
      </c>
      <c r="I43">
        <v>0</v>
      </c>
      <c r="J43">
        <v>0</v>
      </c>
    </row>
    <row r="44" spans="1:10" x14ac:dyDescent="0.15">
      <c r="A44">
        <v>43</v>
      </c>
      <c r="B44" s="195" t="s">
        <v>234</v>
      </c>
      <c r="C44">
        <v>0.8</v>
      </c>
      <c r="D44">
        <v>0.8</v>
      </c>
      <c r="E44">
        <v>0</v>
      </c>
      <c r="F44">
        <v>0</v>
      </c>
      <c r="G44">
        <v>0</v>
      </c>
      <c r="H44">
        <v>0</v>
      </c>
      <c r="I44">
        <v>0</v>
      </c>
      <c r="J44">
        <v>0</v>
      </c>
    </row>
    <row r="45" spans="1:10" x14ac:dyDescent="0.15">
      <c r="A45">
        <v>44</v>
      </c>
      <c r="B45" s="195" t="s">
        <v>235</v>
      </c>
      <c r="C45">
        <v>0</v>
      </c>
      <c r="D45">
        <v>0</v>
      </c>
      <c r="E45">
        <v>0</v>
      </c>
      <c r="F45">
        <v>0</v>
      </c>
      <c r="G45">
        <v>0</v>
      </c>
      <c r="H45">
        <v>0</v>
      </c>
      <c r="I45">
        <v>0</v>
      </c>
      <c r="J45">
        <v>0.8</v>
      </c>
    </row>
    <row r="46" spans="1:10" x14ac:dyDescent="0.15">
      <c r="A46">
        <v>45</v>
      </c>
      <c r="B46" s="195" t="s">
        <v>236</v>
      </c>
      <c r="C46">
        <v>0</v>
      </c>
      <c r="D46">
        <v>0</v>
      </c>
      <c r="E46">
        <v>0</v>
      </c>
      <c r="F46">
        <v>0</v>
      </c>
      <c r="G46">
        <v>0</v>
      </c>
      <c r="H46">
        <v>0</v>
      </c>
      <c r="I46">
        <v>0</v>
      </c>
      <c r="J46">
        <v>0.8</v>
      </c>
    </row>
    <row r="47" spans="1:10" x14ac:dyDescent="0.15">
      <c r="A47">
        <v>46</v>
      </c>
      <c r="B47" s="195" t="s">
        <v>237</v>
      </c>
      <c r="C47">
        <v>0.8</v>
      </c>
      <c r="D47">
        <v>0</v>
      </c>
      <c r="E47">
        <v>0</v>
      </c>
      <c r="F47">
        <v>0</v>
      </c>
      <c r="G47">
        <v>0</v>
      </c>
      <c r="H47">
        <v>0</v>
      </c>
      <c r="I47">
        <v>0</v>
      </c>
      <c r="J47">
        <v>0</v>
      </c>
    </row>
    <row r="48" spans="1:10" x14ac:dyDescent="0.15">
      <c r="A48">
        <v>47</v>
      </c>
      <c r="B48" s="195" t="s">
        <v>238</v>
      </c>
      <c r="C48">
        <v>0</v>
      </c>
      <c r="D48">
        <v>0</v>
      </c>
      <c r="E48">
        <v>0</v>
      </c>
      <c r="F48">
        <v>0</v>
      </c>
      <c r="G48">
        <v>0</v>
      </c>
      <c r="H48">
        <v>0</v>
      </c>
      <c r="I48">
        <v>0</v>
      </c>
      <c r="J48">
        <v>0</v>
      </c>
    </row>
    <row r="49" spans="1:10" x14ac:dyDescent="0.15">
      <c r="A49">
        <v>48</v>
      </c>
      <c r="B49" s="195" t="s">
        <v>239</v>
      </c>
      <c r="C49">
        <v>0</v>
      </c>
      <c r="D49">
        <v>0</v>
      </c>
      <c r="E49">
        <v>0</v>
      </c>
      <c r="F49">
        <v>0</v>
      </c>
      <c r="G49">
        <v>0</v>
      </c>
      <c r="H49">
        <v>0</v>
      </c>
      <c r="I49">
        <v>0</v>
      </c>
      <c r="J49">
        <v>0</v>
      </c>
    </row>
    <row r="50" spans="1:10" x14ac:dyDescent="0.15">
      <c r="A50">
        <v>49</v>
      </c>
      <c r="B50" s="195" t="s">
        <v>240</v>
      </c>
      <c r="C50">
        <v>0</v>
      </c>
      <c r="D50">
        <v>0.8</v>
      </c>
      <c r="E50">
        <v>0</v>
      </c>
      <c r="F50">
        <v>0</v>
      </c>
      <c r="G50">
        <v>0</v>
      </c>
      <c r="H50">
        <v>0</v>
      </c>
      <c r="I50">
        <v>0</v>
      </c>
      <c r="J50">
        <v>0</v>
      </c>
    </row>
    <row r="51" spans="1:10" x14ac:dyDescent="0.15">
      <c r="A51">
        <v>50</v>
      </c>
      <c r="B51" s="195" t="s">
        <v>241</v>
      </c>
      <c r="C51">
        <v>0</v>
      </c>
      <c r="D51">
        <v>0.8</v>
      </c>
      <c r="E51">
        <v>0</v>
      </c>
      <c r="F51">
        <v>0</v>
      </c>
      <c r="G51">
        <v>0</v>
      </c>
      <c r="H51">
        <v>0</v>
      </c>
      <c r="I51">
        <v>0</v>
      </c>
      <c r="J51">
        <v>0</v>
      </c>
    </row>
    <row r="52" spans="1:10" x14ac:dyDescent="0.15">
      <c r="A52">
        <v>51</v>
      </c>
      <c r="B52" s="195" t="s">
        <v>242</v>
      </c>
      <c r="C52">
        <v>0</v>
      </c>
      <c r="D52">
        <v>0</v>
      </c>
      <c r="E52">
        <v>0</v>
      </c>
      <c r="F52">
        <v>0</v>
      </c>
      <c r="G52">
        <v>0</v>
      </c>
      <c r="H52">
        <v>0</v>
      </c>
      <c r="I52">
        <v>0</v>
      </c>
      <c r="J52">
        <v>0</v>
      </c>
    </row>
    <row r="53" spans="1:10" x14ac:dyDescent="0.15">
      <c r="A53">
        <v>52</v>
      </c>
      <c r="B53" s="195" t="s">
        <v>243</v>
      </c>
      <c r="C53">
        <v>0.8</v>
      </c>
      <c r="D53">
        <v>0.8</v>
      </c>
      <c r="E53">
        <v>0</v>
      </c>
      <c r="F53">
        <v>0</v>
      </c>
      <c r="G53">
        <v>0</v>
      </c>
      <c r="H53">
        <v>0</v>
      </c>
      <c r="I53">
        <v>0</v>
      </c>
      <c r="J53">
        <v>0</v>
      </c>
    </row>
    <row r="54" spans="1:10" x14ac:dyDescent="0.15">
      <c r="A54">
        <v>53</v>
      </c>
      <c r="B54" s="195" t="s">
        <v>244</v>
      </c>
      <c r="C54">
        <v>0</v>
      </c>
      <c r="D54">
        <v>0</v>
      </c>
      <c r="E54">
        <v>0</v>
      </c>
      <c r="F54">
        <v>0</v>
      </c>
      <c r="G54">
        <v>0</v>
      </c>
      <c r="H54">
        <v>0</v>
      </c>
      <c r="I54">
        <v>0</v>
      </c>
      <c r="J54">
        <v>0.8</v>
      </c>
    </row>
    <row r="55" spans="1:10" x14ac:dyDescent="0.15">
      <c r="A55">
        <v>54</v>
      </c>
      <c r="B55" s="195" t="s">
        <v>245</v>
      </c>
      <c r="C55">
        <v>0</v>
      </c>
      <c r="D55">
        <v>0</v>
      </c>
      <c r="E55">
        <v>0</v>
      </c>
      <c r="F55">
        <v>0</v>
      </c>
      <c r="G55">
        <v>0.8</v>
      </c>
      <c r="H55">
        <v>0.8</v>
      </c>
      <c r="I55">
        <v>0.8</v>
      </c>
      <c r="J55">
        <v>0.8</v>
      </c>
    </row>
    <row r="56" spans="1:10" x14ac:dyDescent="0.15">
      <c r="A56">
        <v>55</v>
      </c>
      <c r="B56" s="195" t="s">
        <v>246</v>
      </c>
      <c r="C56">
        <v>0</v>
      </c>
      <c r="D56">
        <v>0</v>
      </c>
      <c r="E56">
        <v>0</v>
      </c>
      <c r="F56">
        <v>0</v>
      </c>
      <c r="G56">
        <v>0</v>
      </c>
      <c r="H56">
        <v>0</v>
      </c>
      <c r="I56">
        <v>0</v>
      </c>
      <c r="J56">
        <v>0</v>
      </c>
    </row>
    <row r="57" spans="1:10" x14ac:dyDescent="0.15">
      <c r="A57">
        <v>56</v>
      </c>
      <c r="B57" s="195" t="s">
        <v>247</v>
      </c>
      <c r="C57">
        <v>0.8</v>
      </c>
      <c r="D57">
        <v>0.8</v>
      </c>
      <c r="E57">
        <v>0</v>
      </c>
      <c r="F57">
        <v>0</v>
      </c>
      <c r="G57">
        <v>0</v>
      </c>
      <c r="H57">
        <v>0.8</v>
      </c>
      <c r="I57">
        <v>0</v>
      </c>
      <c r="J57">
        <v>0.8</v>
      </c>
    </row>
    <row r="58" spans="1:10" x14ac:dyDescent="0.15">
      <c r="A58">
        <v>57</v>
      </c>
      <c r="B58" s="195" t="s">
        <v>248</v>
      </c>
      <c r="C58">
        <v>0.8</v>
      </c>
      <c r="D58">
        <v>0</v>
      </c>
      <c r="E58">
        <v>0</v>
      </c>
      <c r="F58">
        <v>0</v>
      </c>
      <c r="G58">
        <v>0</v>
      </c>
      <c r="H58">
        <v>0.8</v>
      </c>
      <c r="I58">
        <v>0</v>
      </c>
      <c r="J58">
        <v>0.8</v>
      </c>
    </row>
    <row r="59" spans="1:10" x14ac:dyDescent="0.15">
      <c r="A59">
        <v>58</v>
      </c>
      <c r="B59" s="195" t="s">
        <v>249</v>
      </c>
      <c r="C59">
        <v>0</v>
      </c>
      <c r="D59">
        <v>0</v>
      </c>
      <c r="E59">
        <v>0</v>
      </c>
      <c r="F59">
        <v>0</v>
      </c>
      <c r="G59">
        <v>0</v>
      </c>
      <c r="H59">
        <v>0</v>
      </c>
      <c r="I59">
        <v>0</v>
      </c>
      <c r="J59">
        <v>0</v>
      </c>
    </row>
    <row r="60" spans="1:10" x14ac:dyDescent="0.15">
      <c r="A60">
        <v>59</v>
      </c>
      <c r="B60" s="195" t="s">
        <v>250</v>
      </c>
      <c r="C60">
        <v>0.8</v>
      </c>
      <c r="D60">
        <v>0.8</v>
      </c>
      <c r="E60">
        <v>0</v>
      </c>
      <c r="F60">
        <v>0</v>
      </c>
      <c r="G60">
        <v>0</v>
      </c>
      <c r="H60">
        <v>0</v>
      </c>
      <c r="I60">
        <v>0</v>
      </c>
      <c r="J60">
        <v>0</v>
      </c>
    </row>
    <row r="61" spans="1:10" x14ac:dyDescent="0.15">
      <c r="A61">
        <v>60</v>
      </c>
      <c r="B61" s="195" t="s">
        <v>251</v>
      </c>
      <c r="C61">
        <v>0.8</v>
      </c>
      <c r="D61">
        <v>0</v>
      </c>
      <c r="E61">
        <v>0</v>
      </c>
      <c r="F61">
        <v>0</v>
      </c>
      <c r="G61">
        <v>0</v>
      </c>
      <c r="H61">
        <v>0</v>
      </c>
      <c r="I61">
        <v>0</v>
      </c>
      <c r="J61">
        <v>0</v>
      </c>
    </row>
    <row r="62" spans="1:10" x14ac:dyDescent="0.15">
      <c r="A62">
        <v>61</v>
      </c>
      <c r="B62" s="195" t="s">
        <v>252</v>
      </c>
      <c r="C62">
        <v>0.8</v>
      </c>
      <c r="D62">
        <v>0.8</v>
      </c>
      <c r="E62">
        <v>0</v>
      </c>
      <c r="F62">
        <v>0</v>
      </c>
      <c r="G62">
        <v>0</v>
      </c>
      <c r="H62">
        <v>0</v>
      </c>
      <c r="I62">
        <v>0</v>
      </c>
      <c r="J62">
        <v>0</v>
      </c>
    </row>
    <row r="63" spans="1:10" x14ac:dyDescent="0.15">
      <c r="A63">
        <v>62</v>
      </c>
      <c r="B63" s="195" t="s">
        <v>253</v>
      </c>
      <c r="C63">
        <v>0.8</v>
      </c>
      <c r="D63">
        <v>0.8</v>
      </c>
      <c r="E63">
        <v>0</v>
      </c>
      <c r="F63">
        <v>0</v>
      </c>
      <c r="G63">
        <v>0</v>
      </c>
      <c r="H63">
        <v>0</v>
      </c>
      <c r="I63">
        <v>0</v>
      </c>
      <c r="J63">
        <v>0</v>
      </c>
    </row>
    <row r="64" spans="1:10" x14ac:dyDescent="0.15">
      <c r="A64">
        <v>63</v>
      </c>
      <c r="B64" s="195" t="s">
        <v>254</v>
      </c>
      <c r="C64">
        <v>0.8</v>
      </c>
      <c r="D64">
        <v>0.8</v>
      </c>
      <c r="E64">
        <v>0</v>
      </c>
      <c r="F64">
        <v>0</v>
      </c>
      <c r="G64">
        <v>0</v>
      </c>
      <c r="H64">
        <v>0</v>
      </c>
      <c r="I64">
        <v>0</v>
      </c>
      <c r="J64">
        <v>0</v>
      </c>
    </row>
    <row r="65" spans="1:10" x14ac:dyDescent="0.15">
      <c r="A65">
        <v>64</v>
      </c>
      <c r="B65" s="195" t="s">
        <v>255</v>
      </c>
      <c r="C65">
        <v>0.8</v>
      </c>
      <c r="D65">
        <v>0.8</v>
      </c>
      <c r="E65">
        <v>0</v>
      </c>
      <c r="F65">
        <v>0</v>
      </c>
      <c r="G65">
        <v>0</v>
      </c>
      <c r="H65">
        <v>0</v>
      </c>
      <c r="I65">
        <v>0</v>
      </c>
      <c r="J65">
        <v>0</v>
      </c>
    </row>
    <row r="66" spans="1:10" x14ac:dyDescent="0.15">
      <c r="A66">
        <v>65</v>
      </c>
      <c r="B66" s="195" t="s">
        <v>256</v>
      </c>
      <c r="C66">
        <v>0.8</v>
      </c>
      <c r="D66">
        <v>0.8</v>
      </c>
      <c r="E66">
        <v>0</v>
      </c>
      <c r="F66">
        <v>0</v>
      </c>
      <c r="G66">
        <v>0</v>
      </c>
      <c r="H66">
        <v>0</v>
      </c>
      <c r="I66">
        <v>0</v>
      </c>
      <c r="J66">
        <v>0</v>
      </c>
    </row>
    <row r="67" spans="1:10" x14ac:dyDescent="0.15">
      <c r="A67">
        <v>66</v>
      </c>
      <c r="B67" s="195" t="s">
        <v>257</v>
      </c>
      <c r="C67">
        <v>0</v>
      </c>
      <c r="D67">
        <v>0</v>
      </c>
      <c r="E67">
        <v>0</v>
      </c>
      <c r="F67">
        <v>0</v>
      </c>
      <c r="G67">
        <v>0</v>
      </c>
      <c r="H67">
        <v>0</v>
      </c>
      <c r="I67">
        <v>0</v>
      </c>
      <c r="J67">
        <v>0.8</v>
      </c>
    </row>
    <row r="68" spans="1:10" x14ac:dyDescent="0.15">
      <c r="A68">
        <v>67</v>
      </c>
      <c r="B68" s="195" t="s">
        <v>258</v>
      </c>
      <c r="C68">
        <v>0.8</v>
      </c>
      <c r="D68">
        <v>0.8</v>
      </c>
      <c r="E68">
        <v>0</v>
      </c>
      <c r="F68">
        <v>0</v>
      </c>
      <c r="G68">
        <v>0</v>
      </c>
      <c r="H68">
        <v>0</v>
      </c>
      <c r="I68">
        <v>0</v>
      </c>
      <c r="J68">
        <v>0</v>
      </c>
    </row>
    <row r="69" spans="1:10" x14ac:dyDescent="0.15">
      <c r="A69">
        <v>68</v>
      </c>
      <c r="B69" s="195" t="s">
        <v>259</v>
      </c>
      <c r="C69">
        <v>0</v>
      </c>
      <c r="D69">
        <v>0</v>
      </c>
      <c r="E69">
        <v>0</v>
      </c>
      <c r="F69">
        <v>0</v>
      </c>
      <c r="G69">
        <v>0</v>
      </c>
      <c r="H69">
        <v>0.8</v>
      </c>
      <c r="I69">
        <v>0</v>
      </c>
      <c r="J69">
        <v>0</v>
      </c>
    </row>
    <row r="70" spans="1:10" x14ac:dyDescent="0.15">
      <c r="A70">
        <v>69</v>
      </c>
      <c r="B70" s="195" t="s">
        <v>260</v>
      </c>
      <c r="C70">
        <v>0</v>
      </c>
      <c r="D70">
        <v>0.8</v>
      </c>
      <c r="E70">
        <v>0</v>
      </c>
      <c r="F70">
        <v>0</v>
      </c>
      <c r="G70">
        <v>0</v>
      </c>
      <c r="H70">
        <v>0</v>
      </c>
      <c r="I70">
        <v>0</v>
      </c>
      <c r="J70">
        <v>0</v>
      </c>
    </row>
    <row r="71" spans="1:10" x14ac:dyDescent="0.15">
      <c r="A71">
        <v>70</v>
      </c>
      <c r="B71" s="195" t="s">
        <v>261</v>
      </c>
      <c r="C71">
        <v>0</v>
      </c>
      <c r="D71">
        <v>0</v>
      </c>
      <c r="E71">
        <v>0</v>
      </c>
      <c r="F71">
        <v>0</v>
      </c>
      <c r="G71">
        <v>0</v>
      </c>
      <c r="H71">
        <v>0</v>
      </c>
      <c r="I71">
        <v>0</v>
      </c>
      <c r="J71">
        <v>0</v>
      </c>
    </row>
    <row r="72" spans="1:10" x14ac:dyDescent="0.15">
      <c r="A72">
        <v>71</v>
      </c>
      <c r="B72" s="195" t="s">
        <v>262</v>
      </c>
      <c r="C72">
        <v>0.8</v>
      </c>
      <c r="D72">
        <v>0.8</v>
      </c>
      <c r="E72">
        <v>0</v>
      </c>
      <c r="F72">
        <v>0</v>
      </c>
      <c r="G72">
        <v>0</v>
      </c>
      <c r="H72">
        <v>0</v>
      </c>
      <c r="I72">
        <v>0</v>
      </c>
      <c r="J72">
        <v>0</v>
      </c>
    </row>
    <row r="73" spans="1:10" x14ac:dyDescent="0.15">
      <c r="A73">
        <v>72</v>
      </c>
      <c r="B73" s="195" t="s">
        <v>263</v>
      </c>
      <c r="C73">
        <v>0</v>
      </c>
      <c r="D73">
        <v>0</v>
      </c>
      <c r="E73">
        <v>0</v>
      </c>
      <c r="F73">
        <v>0</v>
      </c>
      <c r="G73">
        <v>0</v>
      </c>
      <c r="H73">
        <v>0.8</v>
      </c>
      <c r="I73">
        <v>0</v>
      </c>
      <c r="J73">
        <v>0</v>
      </c>
    </row>
    <row r="74" spans="1:10" x14ac:dyDescent="0.15">
      <c r="A74">
        <v>73</v>
      </c>
      <c r="B74" s="195" t="s">
        <v>264</v>
      </c>
      <c r="C74">
        <v>0</v>
      </c>
      <c r="D74">
        <v>0</v>
      </c>
      <c r="E74">
        <v>0</v>
      </c>
      <c r="F74">
        <v>0</v>
      </c>
      <c r="G74">
        <v>0</v>
      </c>
      <c r="H74">
        <v>0</v>
      </c>
      <c r="I74">
        <v>0</v>
      </c>
      <c r="J74">
        <v>0</v>
      </c>
    </row>
    <row r="75" spans="1:10" x14ac:dyDescent="0.15">
      <c r="A75">
        <v>74</v>
      </c>
      <c r="B75" s="195" t="s">
        <v>265</v>
      </c>
      <c r="C75">
        <v>0</v>
      </c>
      <c r="D75">
        <v>0</v>
      </c>
      <c r="E75">
        <v>0</v>
      </c>
      <c r="F75">
        <v>0</v>
      </c>
      <c r="G75">
        <v>0</v>
      </c>
      <c r="H75">
        <v>0</v>
      </c>
      <c r="I75">
        <v>0</v>
      </c>
      <c r="J75">
        <v>0</v>
      </c>
    </row>
    <row r="76" spans="1:10" x14ac:dyDescent="0.15">
      <c r="A76">
        <v>75</v>
      </c>
      <c r="B76" s="195" t="s">
        <v>266</v>
      </c>
      <c r="C76">
        <v>0</v>
      </c>
      <c r="D76">
        <v>0</v>
      </c>
      <c r="E76">
        <v>0</v>
      </c>
      <c r="F76">
        <v>0</v>
      </c>
      <c r="G76">
        <v>0</v>
      </c>
      <c r="H76">
        <v>0</v>
      </c>
      <c r="I76">
        <v>0</v>
      </c>
      <c r="J76">
        <v>0</v>
      </c>
    </row>
    <row r="77" spans="1:10" x14ac:dyDescent="0.15">
      <c r="A77">
        <v>76</v>
      </c>
      <c r="B77" s="195" t="s">
        <v>267</v>
      </c>
      <c r="C77">
        <v>0</v>
      </c>
      <c r="D77">
        <v>0</v>
      </c>
      <c r="E77">
        <v>0</v>
      </c>
      <c r="F77">
        <v>0</v>
      </c>
      <c r="G77">
        <v>0</v>
      </c>
      <c r="H77">
        <v>0</v>
      </c>
      <c r="I77">
        <v>0</v>
      </c>
      <c r="J77">
        <v>0</v>
      </c>
    </row>
    <row r="78" spans="1:10" x14ac:dyDescent="0.15">
      <c r="A78">
        <v>77</v>
      </c>
      <c r="B78" s="195" t="s">
        <v>268</v>
      </c>
      <c r="C78">
        <v>0.8</v>
      </c>
      <c r="D78">
        <v>0.8</v>
      </c>
      <c r="E78">
        <v>0</v>
      </c>
      <c r="F78">
        <v>0</v>
      </c>
      <c r="G78">
        <v>0</v>
      </c>
      <c r="H78">
        <v>0</v>
      </c>
      <c r="I78">
        <v>0</v>
      </c>
      <c r="J78">
        <v>0</v>
      </c>
    </row>
    <row r="79" spans="1:10" x14ac:dyDescent="0.15">
      <c r="A79">
        <v>78</v>
      </c>
      <c r="B79" s="195" t="s">
        <v>269</v>
      </c>
      <c r="C79">
        <v>0.8</v>
      </c>
      <c r="D79">
        <v>0.8</v>
      </c>
      <c r="E79">
        <v>0</v>
      </c>
      <c r="F79">
        <v>0</v>
      </c>
      <c r="G79">
        <v>0</v>
      </c>
      <c r="H79">
        <v>0</v>
      </c>
      <c r="I79">
        <v>0</v>
      </c>
      <c r="J79">
        <v>0</v>
      </c>
    </row>
    <row r="80" spans="1:10" x14ac:dyDescent="0.15">
      <c r="A80">
        <v>79</v>
      </c>
      <c r="B80" s="195" t="s">
        <v>270</v>
      </c>
      <c r="C80">
        <v>0</v>
      </c>
      <c r="D80">
        <v>0</v>
      </c>
      <c r="E80">
        <v>0</v>
      </c>
      <c r="F80">
        <v>0</v>
      </c>
      <c r="G80">
        <v>0</v>
      </c>
      <c r="H80">
        <v>0</v>
      </c>
      <c r="I80">
        <v>0</v>
      </c>
      <c r="J80">
        <v>0</v>
      </c>
    </row>
    <row r="81" spans="1:10" x14ac:dyDescent="0.15">
      <c r="A81">
        <v>80</v>
      </c>
      <c r="B81" s="195" t="s">
        <v>271</v>
      </c>
      <c r="C81">
        <v>0</v>
      </c>
      <c r="D81">
        <v>0</v>
      </c>
      <c r="E81">
        <v>0</v>
      </c>
      <c r="F81">
        <v>0</v>
      </c>
      <c r="G81">
        <v>0</v>
      </c>
      <c r="H81">
        <v>0</v>
      </c>
      <c r="I81">
        <v>0</v>
      </c>
      <c r="J81">
        <v>0</v>
      </c>
    </row>
    <row r="82" spans="1:10" x14ac:dyDescent="0.15">
      <c r="A82">
        <v>81</v>
      </c>
      <c r="B82" s="195" t="s">
        <v>272</v>
      </c>
      <c r="C82">
        <v>0</v>
      </c>
      <c r="D82">
        <v>0</v>
      </c>
      <c r="E82">
        <v>0</v>
      </c>
      <c r="F82">
        <v>0</v>
      </c>
      <c r="G82">
        <v>0</v>
      </c>
      <c r="H82">
        <v>0</v>
      </c>
      <c r="I82">
        <v>0</v>
      </c>
      <c r="J82">
        <v>0</v>
      </c>
    </row>
    <row r="83" spans="1:10" x14ac:dyDescent="0.15">
      <c r="A83">
        <v>82</v>
      </c>
      <c r="B83" s="195" t="s">
        <v>273</v>
      </c>
      <c r="C83">
        <v>0</v>
      </c>
      <c r="D83">
        <v>0</v>
      </c>
      <c r="E83">
        <v>0</v>
      </c>
      <c r="F83">
        <v>0</v>
      </c>
      <c r="G83">
        <v>0</v>
      </c>
      <c r="H83">
        <v>0</v>
      </c>
      <c r="I83">
        <v>0</v>
      </c>
      <c r="J83">
        <v>0</v>
      </c>
    </row>
    <row r="84" spans="1:10" x14ac:dyDescent="0.15">
      <c r="A84">
        <v>83</v>
      </c>
      <c r="B84" s="195" t="s">
        <v>274</v>
      </c>
      <c r="C84">
        <v>0</v>
      </c>
      <c r="D84">
        <v>0</v>
      </c>
      <c r="E84">
        <v>0</v>
      </c>
      <c r="F84">
        <v>0</v>
      </c>
      <c r="G84">
        <v>0</v>
      </c>
      <c r="H84">
        <v>0</v>
      </c>
      <c r="I84">
        <v>0</v>
      </c>
      <c r="J84">
        <v>0</v>
      </c>
    </row>
    <row r="85" spans="1:10" x14ac:dyDescent="0.15">
      <c r="A85">
        <v>84</v>
      </c>
      <c r="B85" s="195" t="s">
        <v>275</v>
      </c>
      <c r="C85">
        <v>0</v>
      </c>
      <c r="D85">
        <v>0</v>
      </c>
      <c r="E85">
        <v>0</v>
      </c>
      <c r="F85">
        <v>0</v>
      </c>
      <c r="G85">
        <v>0</v>
      </c>
      <c r="H85">
        <v>0</v>
      </c>
      <c r="I85">
        <v>0</v>
      </c>
      <c r="J85">
        <v>0</v>
      </c>
    </row>
    <row r="86" spans="1:10" x14ac:dyDescent="0.15">
      <c r="A86">
        <v>85</v>
      </c>
      <c r="B86" s="195" t="s">
        <v>276</v>
      </c>
      <c r="C86">
        <v>0</v>
      </c>
      <c r="D86">
        <v>0</v>
      </c>
      <c r="E86">
        <v>0</v>
      </c>
      <c r="F86">
        <v>0</v>
      </c>
      <c r="G86">
        <v>0</v>
      </c>
      <c r="H86">
        <v>0</v>
      </c>
      <c r="I86">
        <v>0</v>
      </c>
      <c r="J86">
        <v>0</v>
      </c>
    </row>
    <row r="87" spans="1:10" x14ac:dyDescent="0.15">
      <c r="A87">
        <v>86</v>
      </c>
      <c r="B87" s="195" t="s">
        <v>277</v>
      </c>
      <c r="C87">
        <v>0</v>
      </c>
      <c r="D87">
        <v>0</v>
      </c>
      <c r="E87">
        <v>0</v>
      </c>
      <c r="F87">
        <v>0</v>
      </c>
      <c r="G87">
        <v>0</v>
      </c>
      <c r="H87">
        <v>0</v>
      </c>
      <c r="I87">
        <v>0</v>
      </c>
      <c r="J87">
        <v>0</v>
      </c>
    </row>
    <row r="88" spans="1:10" x14ac:dyDescent="0.15">
      <c r="A88">
        <v>87</v>
      </c>
      <c r="B88" s="195" t="s">
        <v>278</v>
      </c>
      <c r="C88">
        <v>0</v>
      </c>
      <c r="D88">
        <v>0</v>
      </c>
      <c r="E88">
        <v>0</v>
      </c>
      <c r="F88">
        <v>0</v>
      </c>
      <c r="G88">
        <v>0</v>
      </c>
      <c r="H88">
        <v>0</v>
      </c>
      <c r="I88">
        <v>0</v>
      </c>
      <c r="J88">
        <v>0</v>
      </c>
    </row>
    <row r="89" spans="1:10" x14ac:dyDescent="0.15">
      <c r="A89">
        <v>88</v>
      </c>
      <c r="B89" s="195" t="s">
        <v>279</v>
      </c>
      <c r="C89">
        <v>0</v>
      </c>
      <c r="D89">
        <v>0</v>
      </c>
      <c r="E89">
        <v>0</v>
      </c>
      <c r="F89">
        <v>0</v>
      </c>
      <c r="G89">
        <v>0</v>
      </c>
      <c r="H89">
        <v>0</v>
      </c>
      <c r="I89">
        <v>0</v>
      </c>
      <c r="J89">
        <v>0</v>
      </c>
    </row>
    <row r="90" spans="1:10" x14ac:dyDescent="0.15">
      <c r="A90">
        <v>89</v>
      </c>
      <c r="B90" s="195" t="s">
        <v>280</v>
      </c>
      <c r="C90">
        <v>0</v>
      </c>
      <c r="D90">
        <v>0</v>
      </c>
      <c r="E90">
        <v>0</v>
      </c>
      <c r="F90">
        <v>0</v>
      </c>
      <c r="G90">
        <v>0</v>
      </c>
      <c r="H90">
        <v>0</v>
      </c>
      <c r="I90">
        <v>0</v>
      </c>
      <c r="J90">
        <v>0</v>
      </c>
    </row>
    <row r="91" spans="1:10" x14ac:dyDescent="0.15">
      <c r="A91">
        <v>90</v>
      </c>
      <c r="B91" s="195" t="s">
        <v>281</v>
      </c>
      <c r="C91">
        <v>0</v>
      </c>
      <c r="D91">
        <v>0</v>
      </c>
      <c r="E91">
        <v>0</v>
      </c>
      <c r="F91">
        <v>0</v>
      </c>
      <c r="G91">
        <v>0</v>
      </c>
      <c r="H91">
        <v>0</v>
      </c>
      <c r="I91">
        <v>0</v>
      </c>
      <c r="J91">
        <v>0</v>
      </c>
    </row>
    <row r="92" spans="1:10" x14ac:dyDescent="0.15">
      <c r="A92">
        <v>91</v>
      </c>
      <c r="B92" s="195" t="s">
        <v>282</v>
      </c>
      <c r="C92">
        <v>0</v>
      </c>
      <c r="D92">
        <v>0</v>
      </c>
      <c r="E92">
        <v>0</v>
      </c>
      <c r="F92">
        <v>0</v>
      </c>
      <c r="G92">
        <v>0</v>
      </c>
      <c r="H92">
        <v>0</v>
      </c>
      <c r="I92">
        <v>0</v>
      </c>
      <c r="J92">
        <v>0</v>
      </c>
    </row>
    <row r="93" spans="1:10" x14ac:dyDescent="0.15">
      <c r="A93">
        <v>92</v>
      </c>
      <c r="B93" s="195" t="s">
        <v>283</v>
      </c>
      <c r="C93">
        <v>0</v>
      </c>
      <c r="D93">
        <v>0</v>
      </c>
      <c r="E93">
        <v>0</v>
      </c>
      <c r="F93">
        <v>0</v>
      </c>
      <c r="G93">
        <v>0</v>
      </c>
      <c r="H93">
        <v>0</v>
      </c>
      <c r="I93">
        <v>0</v>
      </c>
      <c r="J93">
        <v>0</v>
      </c>
    </row>
    <row r="94" spans="1:10" x14ac:dyDescent="0.15">
      <c r="A94">
        <v>93</v>
      </c>
      <c r="B94" s="195" t="s">
        <v>284</v>
      </c>
      <c r="C94">
        <v>0</v>
      </c>
      <c r="D94">
        <v>0</v>
      </c>
      <c r="E94">
        <v>0</v>
      </c>
      <c r="F94">
        <v>0</v>
      </c>
      <c r="G94">
        <v>0</v>
      </c>
      <c r="H94">
        <v>0</v>
      </c>
      <c r="I94">
        <v>0</v>
      </c>
      <c r="J94">
        <v>0</v>
      </c>
    </row>
    <row r="95" spans="1:10" x14ac:dyDescent="0.15">
      <c r="A95">
        <v>94</v>
      </c>
      <c r="B95" s="195" t="s">
        <v>285</v>
      </c>
      <c r="C95">
        <v>0</v>
      </c>
      <c r="D95">
        <v>0</v>
      </c>
      <c r="E95">
        <v>0</v>
      </c>
      <c r="F95">
        <v>0</v>
      </c>
      <c r="G95">
        <v>0</v>
      </c>
      <c r="H95">
        <v>0</v>
      </c>
      <c r="I95">
        <v>0</v>
      </c>
      <c r="J95">
        <v>0</v>
      </c>
    </row>
    <row r="96" spans="1:10" x14ac:dyDescent="0.15">
      <c r="A96">
        <v>95</v>
      </c>
      <c r="B96" s="195" t="s">
        <v>286</v>
      </c>
      <c r="C96">
        <v>0</v>
      </c>
      <c r="D96">
        <v>0</v>
      </c>
      <c r="E96">
        <v>0</v>
      </c>
      <c r="F96">
        <v>0</v>
      </c>
      <c r="G96">
        <v>0</v>
      </c>
      <c r="H96">
        <v>0</v>
      </c>
      <c r="I96">
        <v>0</v>
      </c>
      <c r="J96">
        <v>0</v>
      </c>
    </row>
    <row r="97" spans="1:10" x14ac:dyDescent="0.15">
      <c r="A97">
        <v>96</v>
      </c>
      <c r="B97" s="195" t="s">
        <v>287</v>
      </c>
      <c r="C97">
        <v>0</v>
      </c>
      <c r="D97">
        <v>0</v>
      </c>
      <c r="E97">
        <v>0</v>
      </c>
      <c r="F97">
        <v>0</v>
      </c>
      <c r="G97">
        <v>0</v>
      </c>
      <c r="H97">
        <v>0</v>
      </c>
      <c r="I97">
        <v>0</v>
      </c>
      <c r="J97">
        <v>0</v>
      </c>
    </row>
    <row r="98" spans="1:10" x14ac:dyDescent="0.15">
      <c r="A98">
        <v>97</v>
      </c>
      <c r="B98" s="195" t="s">
        <v>288</v>
      </c>
      <c r="C98">
        <v>0</v>
      </c>
      <c r="D98">
        <v>0</v>
      </c>
      <c r="E98">
        <v>0</v>
      </c>
      <c r="F98">
        <v>0</v>
      </c>
      <c r="G98">
        <v>0</v>
      </c>
      <c r="H98">
        <v>0</v>
      </c>
      <c r="I98">
        <v>0</v>
      </c>
      <c r="J98">
        <v>0</v>
      </c>
    </row>
    <row r="99" spans="1:10" x14ac:dyDescent="0.15">
      <c r="A99">
        <v>98</v>
      </c>
      <c r="B99" s="195" t="s">
        <v>289</v>
      </c>
      <c r="C99">
        <v>0</v>
      </c>
      <c r="D99">
        <v>0</v>
      </c>
      <c r="E99">
        <v>0</v>
      </c>
      <c r="F99">
        <v>0</v>
      </c>
      <c r="G99">
        <v>0</v>
      </c>
      <c r="H99">
        <v>0</v>
      </c>
      <c r="I99">
        <v>0</v>
      </c>
      <c r="J99">
        <v>0</v>
      </c>
    </row>
    <row r="100" spans="1:10" x14ac:dyDescent="0.15">
      <c r="A100">
        <v>99</v>
      </c>
      <c r="B100" s="195" t="s">
        <v>290</v>
      </c>
      <c r="C100">
        <v>0</v>
      </c>
      <c r="D100">
        <v>0</v>
      </c>
      <c r="E100">
        <v>0</v>
      </c>
      <c r="F100">
        <v>0</v>
      </c>
      <c r="G100">
        <v>0</v>
      </c>
      <c r="H100">
        <v>0</v>
      </c>
      <c r="I100">
        <v>0</v>
      </c>
      <c r="J100">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indexed="15"/>
  </sheetPr>
  <dimension ref="A1:N500"/>
  <sheetViews>
    <sheetView workbookViewId="0">
      <pane xSplit="2" ySplit="1" topLeftCell="C2" activePane="bottomRight" state="frozen"/>
      <selection pane="topRight" activeCell="C1" sqref="C1"/>
      <selection pane="bottomLeft" activeCell="A3" sqref="A3"/>
      <selection pane="bottomRight" activeCell="K5" sqref="K5"/>
    </sheetView>
  </sheetViews>
  <sheetFormatPr baseColWidth="10" defaultColWidth="8.83203125" defaultRowHeight="15" customHeight="1" x14ac:dyDescent="0.15"/>
  <cols>
    <col min="1" max="1" width="8.83203125" style="83"/>
    <col min="2" max="2" width="41.83203125" style="83" bestFit="1" customWidth="1"/>
    <col min="3" max="3" width="9.33203125" style="83" bestFit="1" customWidth="1"/>
    <col min="4" max="4" width="13" style="83" bestFit="1" customWidth="1"/>
    <col min="5" max="6" width="9.33203125" style="83" bestFit="1" customWidth="1"/>
    <col min="7" max="7" width="9.33203125" style="97" bestFit="1" customWidth="1"/>
    <col min="8" max="8" width="9.33203125" style="83" bestFit="1" customWidth="1"/>
    <col min="9" max="9" width="11" style="83" customWidth="1"/>
    <col min="10" max="10" width="8.83203125" style="83"/>
    <col min="15" max="16384" width="8.83203125" style="83"/>
  </cols>
  <sheetData>
    <row r="1" spans="1:10" ht="15" customHeight="1" x14ac:dyDescent="0.15">
      <c r="A1" s="4" t="s">
        <v>25</v>
      </c>
      <c r="B1" s="1" t="s">
        <v>0</v>
      </c>
      <c r="C1" s="1" t="s">
        <v>12</v>
      </c>
      <c r="D1" s="1" t="s">
        <v>13</v>
      </c>
      <c r="E1" s="1" t="s">
        <v>1</v>
      </c>
      <c r="F1" s="1" t="s">
        <v>2</v>
      </c>
      <c r="G1" s="35" t="s">
        <v>14</v>
      </c>
      <c r="H1" s="1" t="s">
        <v>26</v>
      </c>
      <c r="I1" s="1" t="s">
        <v>24</v>
      </c>
    </row>
    <row r="2" spans="1:10" ht="15" customHeight="1" x14ac:dyDescent="0.15">
      <c r="A2" s="148">
        <v>1</v>
      </c>
      <c r="B2" s="148" t="s">
        <v>192</v>
      </c>
      <c r="C2" s="8">
        <v>4.6967182159423828</v>
      </c>
      <c r="D2" s="9">
        <v>3.0300000216811895E-3</v>
      </c>
      <c r="E2" s="9">
        <v>0.10000000149011612</v>
      </c>
      <c r="F2" s="9">
        <v>41.069999694824219</v>
      </c>
      <c r="G2" s="9">
        <v>1.1074752546846867E-3</v>
      </c>
      <c r="H2" s="9">
        <v>2.4348674342036247E-3</v>
      </c>
      <c r="I2">
        <v>3.3556500511622289E-7</v>
      </c>
      <c r="J2"/>
    </row>
    <row r="3" spans="1:10" ht="15" customHeight="1" x14ac:dyDescent="0.15">
      <c r="A3" s="149">
        <v>2</v>
      </c>
      <c r="B3" s="149" t="s">
        <v>193</v>
      </c>
      <c r="C3" s="8">
        <v>2</v>
      </c>
      <c r="D3" s="9">
        <v>5.000000074505806E-2</v>
      </c>
      <c r="E3" s="9">
        <v>7.9999998211860657E-2</v>
      </c>
      <c r="F3" s="9">
        <v>36.5</v>
      </c>
      <c r="G3" s="9">
        <v>2.500000037252903E-2</v>
      </c>
      <c r="H3" s="9">
        <v>2.1917808335274458E-3</v>
      </c>
      <c r="I3">
        <v>9.9999997473787516E-5</v>
      </c>
      <c r="J3"/>
    </row>
    <row r="4" spans="1:10" ht="15" customHeight="1" x14ac:dyDescent="0.15">
      <c r="A4" s="150">
        <v>3</v>
      </c>
      <c r="B4" s="150" t="s">
        <v>194</v>
      </c>
      <c r="C4" s="8">
        <v>4.0434393882751465</v>
      </c>
      <c r="D4" s="9">
        <v>6.891666998853907E-5</v>
      </c>
      <c r="E4" s="9">
        <v>0.31799998879432678</v>
      </c>
      <c r="F4" s="9">
        <v>2.0799999237060547</v>
      </c>
      <c r="G4" s="9">
        <v>0.80000001192092896</v>
      </c>
      <c r="H4" s="9">
        <v>0.15288461744785309</v>
      </c>
      <c r="I4">
        <v>1.7532400306663476E-5</v>
      </c>
      <c r="J4"/>
    </row>
    <row r="5" spans="1:10" ht="15" customHeight="1" x14ac:dyDescent="0.15">
      <c r="A5" s="151">
        <v>4</v>
      </c>
      <c r="B5" s="151" t="s">
        <v>195</v>
      </c>
      <c r="C5" s="8">
        <v>3.241840124130249</v>
      </c>
      <c r="D5" s="9">
        <v>3.5000000149011612E-2</v>
      </c>
      <c r="E5" s="9">
        <v>0.19200000166893005</v>
      </c>
      <c r="F5" s="9">
        <v>3.5</v>
      </c>
      <c r="G5" s="9">
        <v>0.95227903127670288</v>
      </c>
      <c r="H5" s="9">
        <v>5.4857142269611359E-2</v>
      </c>
      <c r="I5">
        <v>4.7898539341986179E-3</v>
      </c>
      <c r="J5"/>
    </row>
    <row r="6" spans="1:10" ht="15" customHeight="1" x14ac:dyDescent="0.15">
      <c r="A6" s="152">
        <v>5</v>
      </c>
      <c r="B6" s="152" t="s">
        <v>196</v>
      </c>
      <c r="C6" s="8">
        <v>4.9639968872070312</v>
      </c>
      <c r="D6" s="9">
        <v>2.7000000700354576E-3</v>
      </c>
      <c r="E6" s="9">
        <v>0.69999998807907104</v>
      </c>
      <c r="F6" s="9">
        <v>6.0999999046325684</v>
      </c>
      <c r="G6" s="9">
        <v>0.81148147583007812</v>
      </c>
      <c r="H6" s="9">
        <v>0.1147540956735611</v>
      </c>
      <c r="I6">
        <v>1.533700036816299E-3</v>
      </c>
      <c r="J6"/>
    </row>
    <row r="7" spans="1:10" ht="15" customHeight="1" x14ac:dyDescent="0.15">
      <c r="A7" s="153">
        <v>6</v>
      </c>
      <c r="B7" s="153" t="s">
        <v>197</v>
      </c>
      <c r="C7" s="8">
        <v>4.8166074752807617</v>
      </c>
      <c r="D7" s="9">
        <v>4.9999998736893758E-5</v>
      </c>
      <c r="E7" s="9">
        <v>7.9999998211860657E-2</v>
      </c>
      <c r="F7" s="9">
        <v>36.700000762939453</v>
      </c>
      <c r="G7" s="9">
        <v>7.4747703969478607E-2</v>
      </c>
      <c r="H7" s="9">
        <v>2.1798363886773586E-3</v>
      </c>
      <c r="I7">
        <v>0</v>
      </c>
      <c r="J7"/>
    </row>
    <row r="8" spans="1:10" ht="15" customHeight="1" x14ac:dyDescent="0.15">
      <c r="A8" s="154">
        <v>7</v>
      </c>
      <c r="B8" s="154" t="s">
        <v>198</v>
      </c>
      <c r="C8" s="8">
        <v>4.6078362464904785</v>
      </c>
      <c r="D8" s="9">
        <v>2.0200000144541264E-3</v>
      </c>
      <c r="E8" s="9">
        <v>7.9999998211860657E-2</v>
      </c>
      <c r="F8" s="9">
        <v>33.799999237060547</v>
      </c>
      <c r="G8" s="7">
        <v>0</v>
      </c>
      <c r="H8" s="9">
        <v>2.3668638896197081E-3</v>
      </c>
      <c r="I8">
        <v>0</v>
      </c>
      <c r="J8"/>
    </row>
    <row r="9" spans="1:10" ht="15" customHeight="1" x14ac:dyDescent="0.15">
      <c r="A9" s="155">
        <v>8</v>
      </c>
      <c r="B9" s="155" t="s">
        <v>199</v>
      </c>
      <c r="C9" s="8">
        <v>4.7181711196899414</v>
      </c>
      <c r="D9" s="9">
        <v>3.3999999868683517E-4</v>
      </c>
      <c r="E9" s="9">
        <v>0.20399999618530273</v>
      </c>
      <c r="F9" s="9">
        <v>47.5</v>
      </c>
      <c r="G9" s="7">
        <v>0</v>
      </c>
      <c r="H9" s="9">
        <v>4.2947367765009403E-3</v>
      </c>
      <c r="I9">
        <v>0</v>
      </c>
      <c r="J9"/>
    </row>
    <row r="10" spans="1:10" ht="15" customHeight="1" x14ac:dyDescent="0.15">
      <c r="A10" s="156">
        <v>9</v>
      </c>
      <c r="B10" s="156" t="s">
        <v>200</v>
      </c>
      <c r="C10" s="8">
        <v>4.2337713241577148</v>
      </c>
      <c r="D10" s="9">
        <v>3.6000000545755029E-4</v>
      </c>
      <c r="E10" s="9">
        <v>0.15999999642372131</v>
      </c>
      <c r="F10" s="9">
        <v>65.099998474121094</v>
      </c>
      <c r="G10" s="7">
        <v>0</v>
      </c>
      <c r="H10" s="9">
        <v>2.4577572476118803E-3</v>
      </c>
      <c r="I10">
        <v>0</v>
      </c>
      <c r="J10"/>
    </row>
    <row r="11" spans="1:10" ht="15" customHeight="1" x14ac:dyDescent="0.15">
      <c r="A11" s="157">
        <v>10</v>
      </c>
      <c r="B11" s="157" t="s">
        <v>201</v>
      </c>
      <c r="C11" s="8">
        <v>4.2772245407104492</v>
      </c>
      <c r="D11" s="9">
        <v>5.6500000937376171E-5</v>
      </c>
      <c r="E11" s="9">
        <v>0.5</v>
      </c>
      <c r="F11" s="9">
        <v>7.7666668891906738</v>
      </c>
      <c r="G11" s="9">
        <v>1.3803469017148018E-2</v>
      </c>
      <c r="H11" s="9">
        <v>6.4377680420875549E-2</v>
      </c>
      <c r="I11">
        <v>3.8994801343505969E-7</v>
      </c>
      <c r="J11"/>
    </row>
    <row r="12" spans="1:10" ht="15" customHeight="1" x14ac:dyDescent="0.15">
      <c r="A12" s="158">
        <v>11</v>
      </c>
      <c r="B12" s="158" t="s">
        <v>202</v>
      </c>
      <c r="C12" s="8">
        <v>4.1895112991333008</v>
      </c>
      <c r="D12" s="9">
        <v>1.2487100437283516E-2</v>
      </c>
      <c r="E12" s="9">
        <v>0.80000001192092896</v>
      </c>
      <c r="F12" s="9">
        <v>12.306666374206543</v>
      </c>
      <c r="G12" s="9">
        <v>0.84848707914352417</v>
      </c>
      <c r="H12" s="9">
        <v>6.500542163848877E-2</v>
      </c>
      <c r="I12">
        <v>5.8680344372987747E-3</v>
      </c>
      <c r="J12"/>
    </row>
    <row r="13" spans="1:10" ht="15" customHeight="1" x14ac:dyDescent="0.15">
      <c r="A13" s="159">
        <v>12</v>
      </c>
      <c r="B13" s="159" t="s">
        <v>203</v>
      </c>
      <c r="C13" s="8">
        <v>4.2971463203430176</v>
      </c>
      <c r="D13" s="9">
        <v>5.2900001406669617E-2</v>
      </c>
      <c r="E13" s="9">
        <v>0.83125001192092896</v>
      </c>
      <c r="F13" s="9">
        <v>14.399999618530273</v>
      </c>
      <c r="G13" s="9">
        <v>0.99820035696029663</v>
      </c>
      <c r="H13" s="9">
        <v>5.7725697755813599E-2</v>
      </c>
      <c r="I13">
        <v>9.6332951216027141E-5</v>
      </c>
      <c r="J13"/>
    </row>
    <row r="14" spans="1:10" ht="15" customHeight="1" x14ac:dyDescent="0.15">
      <c r="A14" s="160">
        <v>13</v>
      </c>
      <c r="B14" s="160" t="s">
        <v>204</v>
      </c>
      <c r="C14" s="8">
        <v>4.7134256362915039</v>
      </c>
      <c r="D14" s="9">
        <v>3.9999999105930328E-2</v>
      </c>
      <c r="E14" s="9">
        <v>0.20000000298023224</v>
      </c>
      <c r="F14" s="9">
        <v>2.5750000476837158</v>
      </c>
      <c r="G14" s="9">
        <v>0.11569539457559586</v>
      </c>
      <c r="H14" s="9">
        <v>7.7669903635978699E-2</v>
      </c>
      <c r="I14">
        <v>9.2556315939873457E-4</v>
      </c>
      <c r="J14"/>
    </row>
    <row r="15" spans="1:10" ht="15" customHeight="1" x14ac:dyDescent="0.15">
      <c r="A15" s="161">
        <v>14</v>
      </c>
      <c r="B15" s="161" t="s">
        <v>205</v>
      </c>
      <c r="C15" s="8">
        <v>4.1052408218383789</v>
      </c>
      <c r="D15" s="9">
        <v>9.1496504843235016E-2</v>
      </c>
      <c r="E15" s="9">
        <v>0.56599998474121094</v>
      </c>
      <c r="F15" s="9">
        <v>6.4600000381469727</v>
      </c>
      <c r="G15" s="9">
        <v>0.85000002384185791</v>
      </c>
      <c r="H15" s="9">
        <v>8.7616093456745148E-2</v>
      </c>
      <c r="I15">
        <v>1.8504086881875992E-2</v>
      </c>
      <c r="J15"/>
    </row>
    <row r="16" spans="1:10" ht="15" customHeight="1" x14ac:dyDescent="0.15">
      <c r="A16" s="162">
        <v>15</v>
      </c>
      <c r="B16" s="162" t="s">
        <v>206</v>
      </c>
      <c r="C16" s="8">
        <v>4.4068465232849121</v>
      </c>
      <c r="D16" s="9">
        <v>0.34622982144355774</v>
      </c>
      <c r="E16" s="9">
        <v>1.0420000553131104</v>
      </c>
      <c r="F16" s="9">
        <v>5.1680002212524414</v>
      </c>
      <c r="G16" s="9">
        <v>0.9500001072883606</v>
      </c>
      <c r="H16" s="9">
        <v>0.20162539184093475</v>
      </c>
      <c r="I16">
        <v>0.12617409229278564</v>
      </c>
      <c r="J16"/>
    </row>
    <row r="17" spans="1:10" ht="15" customHeight="1" x14ac:dyDescent="0.15">
      <c r="A17" s="163">
        <v>16</v>
      </c>
      <c r="B17" s="163" t="s">
        <v>207</v>
      </c>
      <c r="C17" s="8">
        <v>4.5250949859619141</v>
      </c>
      <c r="D17" s="9">
        <v>5.9999998658895493E-2</v>
      </c>
      <c r="E17" s="9">
        <v>0.5</v>
      </c>
      <c r="F17" s="9">
        <v>7.8559999465942383</v>
      </c>
      <c r="G17" s="9">
        <v>0.51946407556533813</v>
      </c>
      <c r="H17" s="9">
        <v>6.3645623624324799E-2</v>
      </c>
      <c r="I17">
        <v>1.5583922155201435E-2</v>
      </c>
      <c r="J17"/>
    </row>
    <row r="18" spans="1:10" ht="15" customHeight="1" x14ac:dyDescent="0.15">
      <c r="A18" s="164">
        <v>17</v>
      </c>
      <c r="B18" s="164" t="s">
        <v>208</v>
      </c>
      <c r="C18" s="8">
        <v>4.4234671592712402</v>
      </c>
      <c r="D18" s="9">
        <v>0.52259999513626099</v>
      </c>
      <c r="E18" s="9">
        <v>0.45100000500679016</v>
      </c>
      <c r="F18" s="9">
        <v>3.4207999706268311</v>
      </c>
      <c r="G18" s="9">
        <v>0.5363163948059082</v>
      </c>
      <c r="H18" s="9">
        <v>0.13184051215648651</v>
      </c>
      <c r="I18">
        <v>5.1983289420604706E-2</v>
      </c>
      <c r="J18"/>
    </row>
    <row r="19" spans="1:10" ht="15" customHeight="1" x14ac:dyDescent="0.15">
      <c r="A19" s="165">
        <v>18</v>
      </c>
      <c r="B19" s="165" t="s">
        <v>209</v>
      </c>
      <c r="C19" s="8">
        <v>4.1602206230163574</v>
      </c>
      <c r="D19" s="9">
        <v>0.18798857927322388</v>
      </c>
      <c r="E19" s="9">
        <v>0.86799997091293335</v>
      </c>
      <c r="F19" s="9">
        <v>8.1719999313354492</v>
      </c>
      <c r="G19" s="9">
        <v>0.94999998807907104</v>
      </c>
      <c r="H19" s="9">
        <v>0.10621634870767593</v>
      </c>
      <c r="I19">
        <v>7.2455503046512604E-2</v>
      </c>
      <c r="J19"/>
    </row>
    <row r="20" spans="1:10" ht="15" customHeight="1" x14ac:dyDescent="0.15">
      <c r="A20" s="166">
        <v>19</v>
      </c>
      <c r="B20" s="166" t="s">
        <v>210</v>
      </c>
      <c r="C20" s="8">
        <v>4.4663443565368652</v>
      </c>
      <c r="D20" s="9">
        <v>1.9000000320374966E-3</v>
      </c>
      <c r="E20" s="9">
        <v>0.54699999094009399</v>
      </c>
      <c r="F20" s="9">
        <v>7.7919998168945312</v>
      </c>
      <c r="G20" s="9">
        <v>0.25151604413986206</v>
      </c>
      <c r="H20" s="9">
        <v>7.0200204849243164E-2</v>
      </c>
      <c r="I20">
        <v>1.3439258327707648E-4</v>
      </c>
      <c r="J20"/>
    </row>
    <row r="21" spans="1:10" ht="15" customHeight="1" x14ac:dyDescent="0.15">
      <c r="A21" s="167">
        <v>20</v>
      </c>
      <c r="B21" s="167" t="s">
        <v>211</v>
      </c>
      <c r="C21" s="8">
        <v>3.8990914821624756</v>
      </c>
      <c r="D21" s="9">
        <v>1.734846830368042</v>
      </c>
      <c r="E21" s="9">
        <v>2</v>
      </c>
      <c r="F21" s="9">
        <v>4.8000001907348633</v>
      </c>
      <c r="G21" s="9">
        <v>0.94999986886978149</v>
      </c>
      <c r="H21" s="9">
        <v>0.4166666567325592</v>
      </c>
      <c r="I21">
        <v>0.8408355712890625</v>
      </c>
      <c r="J21"/>
    </row>
    <row r="22" spans="1:10" ht="15" customHeight="1" x14ac:dyDescent="0.15">
      <c r="A22" s="168">
        <v>21</v>
      </c>
      <c r="B22" s="168" t="s">
        <v>212</v>
      </c>
      <c r="C22" s="8">
        <v>4.128180980682373</v>
      </c>
      <c r="D22" s="9">
        <v>7.5199998915195465E-2</v>
      </c>
      <c r="E22" s="9">
        <v>0.31999999284744263</v>
      </c>
      <c r="F22" s="9">
        <v>9.9320001602172852</v>
      </c>
      <c r="G22" s="9">
        <v>0.53012263774871826</v>
      </c>
      <c r="H22" s="9">
        <v>3.2219089567661285E-2</v>
      </c>
      <c r="I22">
        <v>1.0328080505132675E-2</v>
      </c>
      <c r="J22"/>
    </row>
    <row r="23" spans="1:10" ht="15" customHeight="1" x14ac:dyDescent="0.15">
      <c r="A23" s="169">
        <v>22</v>
      </c>
      <c r="B23" s="169" t="s">
        <v>213</v>
      </c>
      <c r="C23" s="8">
        <v>4.2033977508544922</v>
      </c>
      <c r="D23" s="9">
        <v>7.4199996888637543E-2</v>
      </c>
      <c r="E23" s="9">
        <v>0.57700002193450928</v>
      </c>
      <c r="F23" s="9">
        <v>4.7136001586914062</v>
      </c>
      <c r="G23" s="9">
        <v>0.78665429353713989</v>
      </c>
      <c r="H23" s="9">
        <v>0.12241174280643463</v>
      </c>
      <c r="I23">
        <v>1.7514342442154884E-2</v>
      </c>
      <c r="J23"/>
    </row>
    <row r="24" spans="1:10" ht="15" customHeight="1" x14ac:dyDescent="0.15">
      <c r="A24" s="170">
        <v>23</v>
      </c>
      <c r="B24" s="170" t="s">
        <v>214</v>
      </c>
      <c r="C24" s="8">
        <v>3.672487735748291</v>
      </c>
      <c r="D24" s="9">
        <v>0.49300000071525574</v>
      </c>
      <c r="E24" s="9">
        <v>1.5</v>
      </c>
      <c r="F24" s="9">
        <v>5.026400089263916</v>
      </c>
      <c r="G24" s="9">
        <v>0.89653384685516357</v>
      </c>
      <c r="H24" s="9">
        <v>0.29842430353164673</v>
      </c>
      <c r="I24">
        <v>0.43815690279006958</v>
      </c>
      <c r="J24"/>
    </row>
    <row r="25" spans="1:10" ht="15" customHeight="1" x14ac:dyDescent="0.15">
      <c r="A25" s="171">
        <v>24</v>
      </c>
      <c r="B25" s="171" t="s">
        <v>215</v>
      </c>
      <c r="C25" s="8">
        <v>3.4350028038024902</v>
      </c>
      <c r="D25" s="9">
        <v>0.54641366004943848</v>
      </c>
      <c r="E25" s="9">
        <v>1.4500000476837158</v>
      </c>
      <c r="F25" s="9">
        <v>7.5543999671936035</v>
      </c>
      <c r="G25" s="9">
        <v>0.95000004768371582</v>
      </c>
      <c r="H25" s="9">
        <v>0.19194112718105316</v>
      </c>
      <c r="I25">
        <v>8.5840001702308655E-4</v>
      </c>
      <c r="J25"/>
    </row>
    <row r="26" spans="1:10" ht="15" customHeight="1" x14ac:dyDescent="0.15">
      <c r="A26" s="172">
        <v>25</v>
      </c>
      <c r="B26" s="172" t="s">
        <v>216</v>
      </c>
      <c r="C26" s="8">
        <v>4.1177892684936523</v>
      </c>
      <c r="D26" s="9">
        <v>1.8188264220952988E-2</v>
      </c>
      <c r="E26" s="9">
        <v>2.1875998973846436</v>
      </c>
      <c r="F26" s="9">
        <v>16.149999618530273</v>
      </c>
      <c r="G26" s="9">
        <v>0.96000009775161743</v>
      </c>
      <c r="H26" s="9">
        <v>0.13545510172843933</v>
      </c>
      <c r="I26">
        <v>1.1937987059354782E-2</v>
      </c>
      <c r="J26"/>
    </row>
    <row r="27" spans="1:10" ht="15" customHeight="1" x14ac:dyDescent="0.15">
      <c r="A27" s="173">
        <v>26</v>
      </c>
      <c r="B27" s="173" t="s">
        <v>217</v>
      </c>
      <c r="C27" s="8">
        <v>3.1987545490264893</v>
      </c>
      <c r="D27" s="9">
        <v>2.8805315494537354</v>
      </c>
      <c r="E27" s="9">
        <v>2.1888000965118408</v>
      </c>
      <c r="F27" s="9">
        <v>16.829999923706055</v>
      </c>
      <c r="G27" s="9">
        <v>0.9800000786781311</v>
      </c>
      <c r="H27" s="9">
        <v>0.13005347549915314</v>
      </c>
      <c r="I27">
        <v>0.15827636420726776</v>
      </c>
      <c r="J27"/>
    </row>
    <row r="28" spans="1:10" ht="15" customHeight="1" x14ac:dyDescent="0.15">
      <c r="A28" s="174">
        <v>27</v>
      </c>
      <c r="B28" s="174" t="s">
        <v>218</v>
      </c>
      <c r="C28" s="8">
        <v>2</v>
      </c>
      <c r="D28" s="9">
        <v>2.3600000888109207E-2</v>
      </c>
      <c r="E28" s="9">
        <v>1.5099999904632568</v>
      </c>
      <c r="F28" s="9">
        <v>35.166698455810547</v>
      </c>
      <c r="G28" s="9">
        <v>0.58649110794067383</v>
      </c>
      <c r="H28" s="9">
        <v>4.2938347905874252E-2</v>
      </c>
      <c r="I28">
        <v>2.9031347366981208E-4</v>
      </c>
      <c r="J28"/>
    </row>
    <row r="29" spans="1:10" ht="15" customHeight="1" x14ac:dyDescent="0.15">
      <c r="A29" s="175">
        <v>28</v>
      </c>
      <c r="B29" s="175" t="s">
        <v>219</v>
      </c>
      <c r="C29" s="8">
        <v>3.7328648567199707</v>
      </c>
      <c r="D29" s="9">
        <v>8.9999998454004526E-4</v>
      </c>
      <c r="E29" s="9">
        <v>0.44999998807907104</v>
      </c>
      <c r="F29" s="9">
        <v>6.0999999046325684</v>
      </c>
      <c r="G29" s="9">
        <v>0.3775784969329834</v>
      </c>
      <c r="H29" s="9">
        <v>7.3770493268966675E-2</v>
      </c>
      <c r="I29">
        <v>1.1791285942308605E-4</v>
      </c>
      <c r="J29"/>
    </row>
    <row r="30" spans="1:10" ht="15" customHeight="1" x14ac:dyDescent="0.15">
      <c r="A30" s="176">
        <v>29</v>
      </c>
      <c r="B30" s="176" t="s">
        <v>220</v>
      </c>
      <c r="C30" s="8">
        <v>3.7885622978210449</v>
      </c>
      <c r="D30" s="9">
        <v>0.31650000810623169</v>
      </c>
      <c r="E30" s="9">
        <v>0.35444444417953491</v>
      </c>
      <c r="F30" s="9">
        <v>4.4555554389953613</v>
      </c>
      <c r="G30" s="9">
        <v>0.15920840203762054</v>
      </c>
      <c r="H30" s="9">
        <v>7.9551123082637787E-2</v>
      </c>
      <c r="I30">
        <v>1.4038770359547925E-6</v>
      </c>
      <c r="J30"/>
    </row>
    <row r="31" spans="1:10" ht="15" customHeight="1" x14ac:dyDescent="0.15">
      <c r="A31" s="177">
        <v>30</v>
      </c>
      <c r="B31" s="177" t="s">
        <v>221</v>
      </c>
      <c r="C31" s="8">
        <v>3.7446765899658203</v>
      </c>
      <c r="D31" s="9">
        <v>0.31700000166893005</v>
      </c>
      <c r="E31" s="9">
        <v>0.43916666507720947</v>
      </c>
      <c r="F31" s="9">
        <v>8.3916664123535156</v>
      </c>
      <c r="G31" s="9">
        <v>0.15730933845043182</v>
      </c>
      <c r="H31" s="9">
        <v>5.2333664149045944E-2</v>
      </c>
      <c r="I31">
        <v>1.443004235625267E-2</v>
      </c>
      <c r="J31"/>
    </row>
    <row r="32" spans="1:10" ht="15" customHeight="1" x14ac:dyDescent="0.15">
      <c r="A32" s="205">
        <v>31</v>
      </c>
      <c r="B32" s="205" t="s">
        <v>222</v>
      </c>
      <c r="C32" s="8">
        <v>3.6923964023590088</v>
      </c>
      <c r="D32" s="9">
        <v>0.49649998545646667</v>
      </c>
      <c r="E32" s="9">
        <v>0.37000000476837158</v>
      </c>
      <c r="F32" s="9">
        <v>4.0666666030883789</v>
      </c>
      <c r="G32" s="9">
        <v>0.60710293054580688</v>
      </c>
      <c r="H32" s="9">
        <v>9.098360687494278E-2</v>
      </c>
      <c r="I32">
        <v>6.8192841717973351E-4</v>
      </c>
      <c r="J32"/>
    </row>
    <row r="33" spans="1:10" ht="15" customHeight="1" x14ac:dyDescent="0.15">
      <c r="A33" s="206">
        <v>32</v>
      </c>
      <c r="B33" s="206" t="s">
        <v>223</v>
      </c>
      <c r="C33" s="8">
        <v>3.6398606300354004</v>
      </c>
      <c r="D33" s="9">
        <v>7.3499999940395355E-2</v>
      </c>
      <c r="E33" s="9">
        <v>0.50625002384185791</v>
      </c>
      <c r="F33" s="9">
        <v>5.375</v>
      </c>
      <c r="G33" s="9">
        <v>7.9577155411243439E-2</v>
      </c>
      <c r="H33" s="9">
        <v>9.4186052680015564E-2</v>
      </c>
      <c r="I33">
        <v>1.4455259079113603E-3</v>
      </c>
      <c r="J33"/>
    </row>
    <row r="34" spans="1:10" ht="15" customHeight="1" x14ac:dyDescent="0.15">
      <c r="A34" s="207">
        <v>33</v>
      </c>
      <c r="B34" s="207" t="s">
        <v>224</v>
      </c>
      <c r="C34" s="8">
        <v>3.4993999004364014</v>
      </c>
      <c r="D34" s="9">
        <v>2.4439001083374023</v>
      </c>
      <c r="E34" s="9">
        <v>0.273333340883255</v>
      </c>
      <c r="F34" s="9">
        <v>6.8714284896850586</v>
      </c>
      <c r="G34" s="9">
        <v>3.3584830816835165E-4</v>
      </c>
      <c r="H34" s="9">
        <v>3.9778240025043488E-2</v>
      </c>
      <c r="I34">
        <v>2.1897096303291619E-4</v>
      </c>
      <c r="J34"/>
    </row>
    <row r="35" spans="1:10" ht="15" customHeight="1" x14ac:dyDescent="0.15">
      <c r="A35" s="208">
        <v>34</v>
      </c>
      <c r="B35" s="208" t="s">
        <v>225</v>
      </c>
      <c r="C35" s="8">
        <v>3.2954516410827637</v>
      </c>
      <c r="D35" s="9">
        <v>0.28580000996589661</v>
      </c>
      <c r="E35" s="9">
        <v>1.0433332920074463</v>
      </c>
      <c r="F35" s="9">
        <v>9.4333333969116211</v>
      </c>
      <c r="G35" s="9">
        <v>0.33430960774421692</v>
      </c>
      <c r="H35" s="9">
        <v>0.11060070246458054</v>
      </c>
      <c r="I35">
        <v>4.9794547259807587E-2</v>
      </c>
      <c r="J35"/>
    </row>
    <row r="36" spans="1:10" ht="15" customHeight="1" x14ac:dyDescent="0.15">
      <c r="A36" s="209">
        <v>35</v>
      </c>
      <c r="B36" s="209" t="s">
        <v>226</v>
      </c>
      <c r="C36" s="8">
        <v>3.5438437461853027</v>
      </c>
      <c r="D36" s="9">
        <v>0.30855002999305725</v>
      </c>
      <c r="E36" s="9">
        <v>1.2799999713897705</v>
      </c>
      <c r="F36" s="9">
        <v>11.100000381469727</v>
      </c>
      <c r="G36" s="9">
        <v>0.9800000786781311</v>
      </c>
      <c r="H36" s="9">
        <v>0.11531531065702438</v>
      </c>
      <c r="I36">
        <v>1.5673583839088678E-3</v>
      </c>
      <c r="J36"/>
    </row>
    <row r="37" spans="1:10" ht="15" customHeight="1" x14ac:dyDescent="0.15">
      <c r="A37" s="210">
        <v>36</v>
      </c>
      <c r="B37" s="210" t="s">
        <v>227</v>
      </c>
      <c r="C37" s="8">
        <v>3.4156029224395752</v>
      </c>
      <c r="D37" s="9">
        <v>0.32260867953300476</v>
      </c>
      <c r="E37" s="9">
        <v>2.3259999752044678</v>
      </c>
      <c r="F37" s="9">
        <v>16.420000076293945</v>
      </c>
      <c r="G37" s="9">
        <v>0.98000001907348633</v>
      </c>
      <c r="H37" s="9">
        <v>0.14165651798248291</v>
      </c>
      <c r="I37">
        <v>2.1421092242235318E-5</v>
      </c>
      <c r="J37"/>
    </row>
    <row r="38" spans="1:10" ht="15" customHeight="1" x14ac:dyDescent="0.15">
      <c r="A38" s="211">
        <v>37</v>
      </c>
      <c r="B38" s="211" t="s">
        <v>228</v>
      </c>
      <c r="C38" s="8">
        <v>2</v>
      </c>
      <c r="D38" s="9">
        <v>2.0988073348999023</v>
      </c>
      <c r="E38" s="9">
        <v>1.1749999523162842</v>
      </c>
      <c r="F38" s="9">
        <v>19.299999237060547</v>
      </c>
      <c r="G38" s="9">
        <v>0.80000007152557373</v>
      </c>
      <c r="H38" s="9">
        <v>6.0880828648805618E-2</v>
      </c>
      <c r="I38">
        <v>1.2572258710861206E-3</v>
      </c>
      <c r="J38"/>
    </row>
    <row r="39" spans="1:10" ht="15" customHeight="1" x14ac:dyDescent="0.15">
      <c r="A39" s="212">
        <v>38</v>
      </c>
      <c r="B39" s="212" t="s">
        <v>229</v>
      </c>
      <c r="C39" s="8">
        <v>2</v>
      </c>
      <c r="D39" s="9">
        <v>6.6681057214736938E-3</v>
      </c>
      <c r="E39" s="9">
        <v>1.8799999952316284</v>
      </c>
      <c r="F39" s="9">
        <v>45.75</v>
      </c>
      <c r="G39" s="9">
        <v>0.97999995946884155</v>
      </c>
      <c r="H39" s="9">
        <v>4.1092894971370697E-2</v>
      </c>
      <c r="I39">
        <v>4.6482420293614268E-4</v>
      </c>
      <c r="J39"/>
    </row>
    <row r="40" spans="1:10" ht="15" customHeight="1" x14ac:dyDescent="0.15">
      <c r="A40" s="213">
        <v>39</v>
      </c>
      <c r="B40" s="213" t="s">
        <v>230</v>
      </c>
      <c r="C40" s="8">
        <v>3.4141852855682373</v>
      </c>
      <c r="D40" s="9">
        <v>4.3161634355783463E-2</v>
      </c>
      <c r="E40" s="9">
        <v>0.68999999761581421</v>
      </c>
      <c r="F40" s="9">
        <v>9.5</v>
      </c>
      <c r="G40" s="9">
        <v>0.9800000786781311</v>
      </c>
      <c r="H40" s="9">
        <v>7.2631575167179108E-2</v>
      </c>
      <c r="I40">
        <v>2.9180523008108139E-2</v>
      </c>
      <c r="J40"/>
    </row>
    <row r="41" spans="1:10" ht="15" customHeight="1" x14ac:dyDescent="0.15">
      <c r="A41" s="214">
        <v>40</v>
      </c>
      <c r="B41" s="214" t="s">
        <v>231</v>
      </c>
      <c r="C41" s="8">
        <v>2.1000001430511475</v>
      </c>
      <c r="D41" s="9">
        <v>0.27223148941993713</v>
      </c>
      <c r="E41" s="9">
        <v>1.0833333730697632</v>
      </c>
      <c r="F41" s="9">
        <v>36.833332061767578</v>
      </c>
      <c r="G41" s="9">
        <v>0.90000003576278687</v>
      </c>
      <c r="H41" s="9">
        <v>2.9411766678094864E-2</v>
      </c>
      <c r="I41">
        <v>9.1618392616510391E-3</v>
      </c>
      <c r="J41"/>
    </row>
    <row r="42" spans="1:10" ht="15" customHeight="1" x14ac:dyDescent="0.15">
      <c r="A42" s="215">
        <v>41</v>
      </c>
      <c r="B42" s="215" t="s">
        <v>232</v>
      </c>
      <c r="C42" s="8">
        <v>3.8195526599884033</v>
      </c>
      <c r="D42" s="9">
        <v>8.572523295879364E-2</v>
      </c>
      <c r="E42" s="9">
        <v>2.369999885559082</v>
      </c>
      <c r="F42" s="9">
        <v>7.9000000953674316</v>
      </c>
      <c r="G42" s="9">
        <v>0.90000003576278687</v>
      </c>
      <c r="H42" s="9">
        <v>0.29999998211860657</v>
      </c>
      <c r="I42">
        <v>7.1310001658275723E-4</v>
      </c>
      <c r="J42"/>
    </row>
    <row r="43" spans="1:10" ht="15" customHeight="1" x14ac:dyDescent="0.15">
      <c r="A43" s="216">
        <v>42</v>
      </c>
      <c r="B43" s="216" t="s">
        <v>233</v>
      </c>
      <c r="C43" s="8">
        <v>3.6209280490875244</v>
      </c>
      <c r="D43" s="9">
        <v>0.90324044227600098</v>
      </c>
      <c r="E43" s="9">
        <v>2.369999885559082</v>
      </c>
      <c r="F43" s="9">
        <v>7.9000000953674316</v>
      </c>
      <c r="G43" s="9">
        <v>0.95000004768371582</v>
      </c>
      <c r="H43" s="9">
        <v>0.29999998211860657</v>
      </c>
      <c r="I43">
        <v>7.0514120161533356E-3</v>
      </c>
      <c r="J43"/>
    </row>
    <row r="44" spans="1:10" ht="15" customHeight="1" x14ac:dyDescent="0.15">
      <c r="A44" s="217">
        <v>43</v>
      </c>
      <c r="B44" s="217" t="s">
        <v>234</v>
      </c>
      <c r="C44" s="8">
        <v>3.4067192077636719</v>
      </c>
      <c r="D44" s="9">
        <v>0.35568904876708984</v>
      </c>
      <c r="E44" s="9">
        <v>3.5</v>
      </c>
      <c r="F44" s="9">
        <v>7.4320001602172852</v>
      </c>
      <c r="G44" s="9">
        <v>0.94999998807907104</v>
      </c>
      <c r="H44" s="9">
        <v>0.47093647718429565</v>
      </c>
      <c r="I44">
        <v>2.5563000235706568E-3</v>
      </c>
      <c r="J44"/>
    </row>
    <row r="45" spans="1:10" ht="15" customHeight="1" x14ac:dyDescent="0.15">
      <c r="A45" s="218">
        <v>44</v>
      </c>
      <c r="B45" s="218" t="s">
        <v>235</v>
      </c>
      <c r="C45" s="8">
        <v>3.027353048324585</v>
      </c>
      <c r="D45" s="9">
        <v>9.3589071184396744E-3</v>
      </c>
      <c r="E45" s="9">
        <v>3.7999999523162842</v>
      </c>
      <c r="F45" s="9">
        <v>43.942985534667969</v>
      </c>
      <c r="G45" s="9">
        <v>0.85191094875335693</v>
      </c>
      <c r="H45" s="9">
        <v>8.6475692689418793E-2</v>
      </c>
      <c r="I45">
        <v>4.9849099923449103E-6</v>
      </c>
      <c r="J45"/>
    </row>
    <row r="46" spans="1:10" ht="15" customHeight="1" x14ac:dyDescent="0.15">
      <c r="A46" s="219">
        <v>45</v>
      </c>
      <c r="B46" s="219" t="s">
        <v>236</v>
      </c>
      <c r="C46" s="8">
        <v>3.4402449131011963</v>
      </c>
      <c r="D46" s="9">
        <v>1.729644276201725E-2</v>
      </c>
      <c r="E46" s="9">
        <v>1.9500000476837158</v>
      </c>
      <c r="F46" s="9">
        <v>27.088878631591797</v>
      </c>
      <c r="G46" s="9">
        <v>0.8993985652923584</v>
      </c>
      <c r="H46" s="9">
        <v>7.1985259652137756E-2</v>
      </c>
      <c r="I46">
        <v>4.2727799154818058E-5</v>
      </c>
      <c r="J46"/>
    </row>
    <row r="47" spans="1:10" ht="15" customHeight="1" x14ac:dyDescent="0.15">
      <c r="A47" s="220">
        <v>46</v>
      </c>
      <c r="B47" s="220" t="s">
        <v>237</v>
      </c>
      <c r="C47" s="8">
        <v>3.3388435840606689</v>
      </c>
      <c r="D47" s="9">
        <v>7.9000003635883331E-2</v>
      </c>
      <c r="E47" s="9">
        <v>3.2000000476837158</v>
      </c>
      <c r="F47" s="9">
        <v>19.200000762939453</v>
      </c>
      <c r="G47" s="9">
        <v>0.9754146933555603</v>
      </c>
      <c r="H47" s="9">
        <v>0.1666666567325592</v>
      </c>
      <c r="I47">
        <v>0.10700000077486038</v>
      </c>
      <c r="J47"/>
    </row>
    <row r="48" spans="1:10" ht="15" customHeight="1" x14ac:dyDescent="0.15">
      <c r="A48" s="221">
        <v>47</v>
      </c>
      <c r="B48" s="221" t="s">
        <v>238</v>
      </c>
      <c r="C48" s="8">
        <v>3.4260215759277344</v>
      </c>
      <c r="D48" s="9">
        <v>1.1516490951180458E-2</v>
      </c>
      <c r="E48" s="9">
        <v>3.4000000953674316</v>
      </c>
      <c r="F48" s="9">
        <v>45.234455108642578</v>
      </c>
      <c r="G48" s="9">
        <v>0.13499581813812256</v>
      </c>
      <c r="H48" s="9">
        <v>7.5163945555686951E-2</v>
      </c>
      <c r="I48">
        <v>0</v>
      </c>
      <c r="J48"/>
    </row>
    <row r="49" spans="1:10" ht="15" customHeight="1" x14ac:dyDescent="0.15">
      <c r="A49" s="222">
        <v>48</v>
      </c>
      <c r="B49" s="222" t="s">
        <v>239</v>
      </c>
      <c r="C49" s="8">
        <v>3.3242590427398682</v>
      </c>
      <c r="D49" s="9">
        <v>2.10999995470047E-2</v>
      </c>
      <c r="E49" s="9">
        <v>3.2000000476837158</v>
      </c>
      <c r="F49" s="9">
        <v>28.160257339477539</v>
      </c>
      <c r="G49" s="9">
        <v>0.91230911016464233</v>
      </c>
      <c r="H49" s="9">
        <v>0.11363532394170761</v>
      </c>
      <c r="I49">
        <v>0</v>
      </c>
      <c r="J49"/>
    </row>
    <row r="50" spans="1:10" ht="15" customHeight="1" x14ac:dyDescent="0.15">
      <c r="A50" s="223">
        <v>49</v>
      </c>
      <c r="B50" s="223" t="s">
        <v>240</v>
      </c>
      <c r="C50" s="8">
        <v>3.3185195922851562</v>
      </c>
      <c r="D50" s="9">
        <v>0.12090323865413666</v>
      </c>
      <c r="E50" s="9">
        <v>2.3399999141693115</v>
      </c>
      <c r="F50" s="9">
        <v>19.200000762939453</v>
      </c>
      <c r="G50" s="9">
        <v>0.68114703893661499</v>
      </c>
      <c r="H50" s="9">
        <v>0.12187498807907104</v>
      </c>
      <c r="I50">
        <v>2.1400000900030136E-2</v>
      </c>
      <c r="J50"/>
    </row>
    <row r="51" spans="1:10" ht="15" customHeight="1" x14ac:dyDescent="0.15">
      <c r="A51" s="224">
        <v>50</v>
      </c>
      <c r="B51" s="224" t="s">
        <v>241</v>
      </c>
      <c r="C51" s="8">
        <v>3.2992827892303467</v>
      </c>
      <c r="D51" s="9">
        <v>0.10184447467327118</v>
      </c>
      <c r="E51" s="9">
        <v>3</v>
      </c>
      <c r="F51" s="9">
        <v>25</v>
      </c>
      <c r="G51" s="9">
        <v>0.89999991655349731</v>
      </c>
      <c r="H51" s="9">
        <v>0.11999999731779099</v>
      </c>
      <c r="I51">
        <v>1.080000028014183E-2</v>
      </c>
      <c r="J51"/>
    </row>
    <row r="52" spans="1:10" ht="15" customHeight="1" x14ac:dyDescent="0.15">
      <c r="A52" s="225">
        <v>51</v>
      </c>
      <c r="B52" s="225" t="s">
        <v>242</v>
      </c>
      <c r="C52" s="8">
        <v>3.172675609588623</v>
      </c>
      <c r="D52" s="9">
        <v>0.8345952033996582</v>
      </c>
      <c r="E52" s="9">
        <v>3</v>
      </c>
      <c r="F52" s="9">
        <v>25</v>
      </c>
      <c r="G52" s="9">
        <v>0.94999986886978149</v>
      </c>
      <c r="H52" s="9">
        <v>0.11999999731779099</v>
      </c>
      <c r="I52">
        <v>0</v>
      </c>
      <c r="J52"/>
    </row>
    <row r="53" spans="1:10" ht="15" customHeight="1" x14ac:dyDescent="0.15">
      <c r="A53" s="226">
        <v>52</v>
      </c>
      <c r="B53" s="226" t="s">
        <v>243</v>
      </c>
      <c r="C53" s="8">
        <v>3.1730191707611084</v>
      </c>
      <c r="D53" s="9">
        <v>9.1715536117553711</v>
      </c>
      <c r="E53" s="9">
        <v>3</v>
      </c>
      <c r="F53" s="9">
        <v>25</v>
      </c>
      <c r="G53" s="9">
        <v>0.94999998807907104</v>
      </c>
      <c r="H53" s="9">
        <v>0.11999999731779099</v>
      </c>
      <c r="I53">
        <v>5.2990000694990158E-3</v>
      </c>
      <c r="J53"/>
    </row>
    <row r="54" spans="1:10" ht="15" customHeight="1" x14ac:dyDescent="0.15">
      <c r="A54" s="227">
        <v>53</v>
      </c>
      <c r="B54" s="227" t="s">
        <v>244</v>
      </c>
      <c r="C54" s="8">
        <v>2.8730263710021973</v>
      </c>
      <c r="D54" s="9">
        <v>1.1735895648598671E-2</v>
      </c>
      <c r="E54" s="9">
        <v>3</v>
      </c>
      <c r="F54" s="9">
        <v>25</v>
      </c>
      <c r="G54" s="9">
        <v>0.95000004768371582</v>
      </c>
      <c r="H54" s="9">
        <v>0.11999999731779099</v>
      </c>
      <c r="I54">
        <v>3.5214101080782712E-4</v>
      </c>
      <c r="J54"/>
    </row>
    <row r="55" spans="1:10" ht="15" customHeight="1" x14ac:dyDescent="0.15">
      <c r="A55" s="228">
        <v>54</v>
      </c>
      <c r="B55" s="228" t="s">
        <v>245</v>
      </c>
      <c r="C55" s="8">
        <v>3.0656566619873047</v>
      </c>
      <c r="D55" s="9">
        <v>6.1636578291654587E-2</v>
      </c>
      <c r="E55" s="9">
        <v>2.7999999523162842</v>
      </c>
      <c r="F55" s="9">
        <v>8.5</v>
      </c>
      <c r="G55" s="9">
        <v>0.90000003576278687</v>
      </c>
      <c r="H55" s="9">
        <v>0.32941174507141113</v>
      </c>
      <c r="I55">
        <v>6.0326093807816505E-4</v>
      </c>
      <c r="J55"/>
    </row>
    <row r="56" spans="1:10" ht="15" customHeight="1" x14ac:dyDescent="0.15">
      <c r="A56" s="229">
        <v>55</v>
      </c>
      <c r="B56" s="229" t="s">
        <v>246</v>
      </c>
      <c r="C56" s="8">
        <v>3.0664618015289307</v>
      </c>
      <c r="D56" s="9">
        <v>5.0909284502267838E-2</v>
      </c>
      <c r="E56" s="9">
        <v>2.7999999523162842</v>
      </c>
      <c r="F56" s="9">
        <v>8.5</v>
      </c>
      <c r="G56" s="9">
        <v>0.90000003576278687</v>
      </c>
      <c r="H56" s="9">
        <v>0.32941174507141113</v>
      </c>
      <c r="I56">
        <v>0</v>
      </c>
      <c r="J56"/>
    </row>
    <row r="57" spans="1:10" ht="15" customHeight="1" x14ac:dyDescent="0.15">
      <c r="A57" s="230">
        <v>56</v>
      </c>
      <c r="B57" s="230" t="s">
        <v>247</v>
      </c>
      <c r="C57" s="8">
        <v>3.1152336597442627</v>
      </c>
      <c r="D57" s="9">
        <v>6.4437024295330048E-2</v>
      </c>
      <c r="E57" s="9">
        <v>2.7999999523162842</v>
      </c>
      <c r="F57" s="9">
        <v>8.5</v>
      </c>
      <c r="G57" s="9">
        <v>0.89999997615814209</v>
      </c>
      <c r="H57" s="9">
        <v>0.32941174507141113</v>
      </c>
      <c r="I57">
        <v>1.8233858048915863E-2</v>
      </c>
      <c r="J57"/>
    </row>
    <row r="58" spans="1:10" ht="15" customHeight="1" x14ac:dyDescent="0.15">
      <c r="A58" s="231">
        <v>57</v>
      </c>
      <c r="B58" s="231" t="s">
        <v>248</v>
      </c>
      <c r="C58" s="8">
        <v>2.977276086807251</v>
      </c>
      <c r="D58" s="9">
        <v>4.7227592468261719</v>
      </c>
      <c r="E58" s="9">
        <v>2.7999999523162842</v>
      </c>
      <c r="F58" s="9">
        <v>8.5</v>
      </c>
      <c r="G58" s="9">
        <v>0.89999997615814209</v>
      </c>
      <c r="H58" s="9">
        <v>0.32941174507141113</v>
      </c>
      <c r="I58">
        <v>2.8967406251467764E-4</v>
      </c>
      <c r="J58"/>
    </row>
    <row r="59" spans="1:10" ht="15" customHeight="1" x14ac:dyDescent="0.15">
      <c r="A59" s="232">
        <v>58</v>
      </c>
      <c r="B59" s="232" t="s">
        <v>249</v>
      </c>
      <c r="C59" s="8">
        <v>3.2830381393432617</v>
      </c>
      <c r="D59" s="9">
        <v>2.2800000384449959E-2</v>
      </c>
      <c r="E59" s="9">
        <v>2.7999999523162842</v>
      </c>
      <c r="F59" s="9">
        <v>14</v>
      </c>
      <c r="G59" s="9">
        <v>0.39515846967697144</v>
      </c>
      <c r="H59" s="9">
        <v>0.20000000298023224</v>
      </c>
      <c r="I59">
        <v>0</v>
      </c>
      <c r="J59"/>
    </row>
    <row r="60" spans="1:10" ht="15" customHeight="1" x14ac:dyDescent="0.15">
      <c r="A60" s="233">
        <v>59</v>
      </c>
      <c r="B60" s="233" t="s">
        <v>250</v>
      </c>
      <c r="C60" s="8">
        <v>2.1591582298278809</v>
      </c>
      <c r="D60" s="9">
        <v>6.4999997615814209E-2</v>
      </c>
      <c r="E60" s="9">
        <v>0.61000001430511475</v>
      </c>
      <c r="F60" s="9">
        <v>3.3599998950958252</v>
      </c>
      <c r="G60" s="9">
        <v>0.9799727201461792</v>
      </c>
      <c r="H60" s="9">
        <v>0.1815476268529892</v>
      </c>
      <c r="I60">
        <v>3.0180998146533966E-3</v>
      </c>
      <c r="J60"/>
    </row>
    <row r="61" spans="1:10" ht="15" customHeight="1" x14ac:dyDescent="0.15">
      <c r="A61" s="234">
        <v>60</v>
      </c>
      <c r="B61" s="234" t="s">
        <v>251</v>
      </c>
      <c r="C61" s="8">
        <v>2.9327712059020996</v>
      </c>
      <c r="D61" s="9">
        <v>2.1424999237060547</v>
      </c>
      <c r="E61" s="9">
        <v>1.3999999761581421</v>
      </c>
      <c r="F61" s="9">
        <v>2.809999942779541</v>
      </c>
      <c r="G61" s="9">
        <v>0.14408610761165619</v>
      </c>
      <c r="H61" s="9">
        <v>0.49822065234184265</v>
      </c>
      <c r="I61">
        <v>3.0000001061125658E-7</v>
      </c>
      <c r="J61"/>
    </row>
    <row r="62" spans="1:10" ht="15" customHeight="1" x14ac:dyDescent="0.15">
      <c r="A62" s="235">
        <v>61</v>
      </c>
      <c r="B62" s="235" t="s">
        <v>252</v>
      </c>
      <c r="C62" s="8">
        <v>2.0140957832336426</v>
      </c>
      <c r="D62" s="9">
        <v>8.489999920129776E-2</v>
      </c>
      <c r="E62" s="9">
        <v>1.6499999761581421</v>
      </c>
      <c r="F62" s="9">
        <v>2.809999942779541</v>
      </c>
      <c r="G62" s="9">
        <v>0.7075989842414856</v>
      </c>
      <c r="H62" s="9">
        <v>0.58718860149383545</v>
      </c>
      <c r="I62">
        <v>1.8119999731425196E-4</v>
      </c>
      <c r="J62"/>
    </row>
    <row r="63" spans="1:10" ht="15" customHeight="1" x14ac:dyDescent="0.15">
      <c r="A63" s="236">
        <v>62</v>
      </c>
      <c r="B63" s="236" t="s">
        <v>253</v>
      </c>
      <c r="C63" s="8">
        <v>2.1324489116668701</v>
      </c>
      <c r="D63" s="9">
        <v>10.562447547912598</v>
      </c>
      <c r="E63" s="9">
        <v>1.3999999761581421</v>
      </c>
      <c r="F63" s="9">
        <v>2.809999942779541</v>
      </c>
      <c r="G63" s="9">
        <v>0.94999998807907104</v>
      </c>
      <c r="H63" s="9">
        <v>0.49822065234184265</v>
      </c>
      <c r="I63">
        <v>2.9999999242136255E-5</v>
      </c>
      <c r="J63"/>
    </row>
    <row r="64" spans="1:10" ht="15" customHeight="1" x14ac:dyDescent="0.15">
      <c r="A64" s="237">
        <v>63</v>
      </c>
      <c r="B64" s="237" t="s">
        <v>254</v>
      </c>
      <c r="C64" s="8">
        <v>2.5412423610687256</v>
      </c>
      <c r="D64" s="9">
        <v>5.0799999386072159E-2</v>
      </c>
      <c r="E64" s="9">
        <v>0.49000000953674316</v>
      </c>
      <c r="F64" s="9">
        <v>3.2400000095367432</v>
      </c>
      <c r="G64" s="9">
        <v>0.13570359349250793</v>
      </c>
      <c r="H64" s="9">
        <v>0.15123456716537476</v>
      </c>
      <c r="I64">
        <v>2.8300000121816993E-4</v>
      </c>
      <c r="J64"/>
    </row>
    <row r="65" spans="1:10" ht="15" customHeight="1" x14ac:dyDescent="0.15">
      <c r="A65" s="238">
        <v>64</v>
      </c>
      <c r="B65" s="238" t="s">
        <v>255</v>
      </c>
      <c r="C65" s="8">
        <v>2.3990263938903809</v>
      </c>
      <c r="D65" s="9">
        <v>4.9851999282836914</v>
      </c>
      <c r="E65" s="9">
        <v>0.80000001192092896</v>
      </c>
      <c r="F65" s="9">
        <v>9</v>
      </c>
      <c r="G65" s="9">
        <v>0.62263178825378418</v>
      </c>
      <c r="H65" s="9">
        <v>8.8888891041278839E-2</v>
      </c>
      <c r="I65">
        <v>1.0572100058197975E-2</v>
      </c>
      <c r="J65"/>
    </row>
    <row r="66" spans="1:10" ht="15" customHeight="1" x14ac:dyDescent="0.15">
      <c r="A66" s="239">
        <v>65</v>
      </c>
      <c r="B66" s="239" t="s">
        <v>256</v>
      </c>
      <c r="C66" s="8">
        <v>2.1136362552642822</v>
      </c>
      <c r="D66" s="9">
        <v>42.557979583740234</v>
      </c>
      <c r="E66" s="9">
        <v>1.2089999914169312</v>
      </c>
      <c r="F66" s="9">
        <v>23</v>
      </c>
      <c r="G66" s="9">
        <v>0.90000003576278687</v>
      </c>
      <c r="H66" s="9">
        <v>5.2565217018127441E-2</v>
      </c>
      <c r="I66">
        <v>7.4538001790642738E-3</v>
      </c>
      <c r="J66"/>
    </row>
    <row r="67" spans="1:10" ht="15" customHeight="1" x14ac:dyDescent="0.15">
      <c r="A67" s="240">
        <v>66</v>
      </c>
      <c r="B67" s="240" t="s">
        <v>257</v>
      </c>
      <c r="C67" s="8">
        <v>2.1136362552642822</v>
      </c>
      <c r="D67" s="9">
        <v>12.016984939575195</v>
      </c>
      <c r="E67" s="9">
        <v>1.2089999914169312</v>
      </c>
      <c r="F67" s="9">
        <v>23</v>
      </c>
      <c r="G67" s="9">
        <v>0.89999991655349731</v>
      </c>
      <c r="H67" s="9">
        <v>5.2565217018127441E-2</v>
      </c>
      <c r="I67">
        <v>2.9786799132125452E-5</v>
      </c>
      <c r="J67"/>
    </row>
    <row r="68" spans="1:10" ht="15" customHeight="1" x14ac:dyDescent="0.15">
      <c r="A68" s="241">
        <v>67</v>
      </c>
      <c r="B68" s="241" t="s">
        <v>258</v>
      </c>
      <c r="C68" s="8">
        <v>2.351738452911377</v>
      </c>
      <c r="D68" s="9">
        <v>8.9599742889404297</v>
      </c>
      <c r="E68" s="9">
        <v>7.0100002288818359</v>
      </c>
      <c r="F68" s="9">
        <v>27.139999389648438</v>
      </c>
      <c r="G68" s="9">
        <v>0.98000001907348633</v>
      </c>
      <c r="H68" s="9">
        <v>0.25829035043716431</v>
      </c>
      <c r="I68">
        <v>7.7888998202979565E-3</v>
      </c>
      <c r="J68"/>
    </row>
    <row r="69" spans="1:10" ht="15" customHeight="1" x14ac:dyDescent="0.15">
      <c r="A69" s="242">
        <v>68</v>
      </c>
      <c r="B69" s="242" t="s">
        <v>259</v>
      </c>
      <c r="C69" s="8">
        <v>2.4020156860351562</v>
      </c>
      <c r="D69" s="9">
        <v>0.25404784083366394</v>
      </c>
      <c r="E69" s="9">
        <v>7.0100002288818359</v>
      </c>
      <c r="F69" s="9">
        <v>27.139999389648438</v>
      </c>
      <c r="G69" s="9">
        <v>0.9800000786781311</v>
      </c>
      <c r="H69" s="9">
        <v>0.25829035043716431</v>
      </c>
      <c r="I69">
        <v>4.6625800997901479E-9</v>
      </c>
      <c r="J69"/>
    </row>
    <row r="70" spans="1:10" ht="15" customHeight="1" x14ac:dyDescent="0.15">
      <c r="A70" s="243">
        <v>69</v>
      </c>
      <c r="B70" s="243" t="s">
        <v>260</v>
      </c>
      <c r="C70" s="8">
        <v>2.3130111694335938</v>
      </c>
      <c r="D70" s="9">
        <v>10.714075088500977</v>
      </c>
      <c r="E70" s="9">
        <v>6.8499999046325684</v>
      </c>
      <c r="F70" s="9">
        <v>27.399999618530273</v>
      </c>
      <c r="G70" s="9">
        <v>0.98000001907348633</v>
      </c>
      <c r="H70" s="9">
        <v>0.25</v>
      </c>
      <c r="I70">
        <v>3.299999889350147E-6</v>
      </c>
      <c r="J70"/>
    </row>
    <row r="71" spans="1:10" ht="15" customHeight="1" x14ac:dyDescent="0.15">
      <c r="A71" s="244">
        <v>70</v>
      </c>
      <c r="B71" s="244" t="s">
        <v>261</v>
      </c>
      <c r="C71" s="8">
        <v>2.3135190010070801</v>
      </c>
      <c r="D71" s="9">
        <v>0.79838091135025024</v>
      </c>
      <c r="E71" s="9">
        <v>4.5999999046325684</v>
      </c>
      <c r="F71" s="9">
        <v>15.899999618530273</v>
      </c>
      <c r="G71" s="9">
        <v>0.98000001907348633</v>
      </c>
      <c r="H71" s="9">
        <v>0.28930819034576416</v>
      </c>
      <c r="I71">
        <v>0</v>
      </c>
      <c r="J71"/>
    </row>
    <row r="72" spans="1:10" ht="15" customHeight="1" x14ac:dyDescent="0.15">
      <c r="A72" s="245">
        <v>71</v>
      </c>
      <c r="B72" s="245" t="s">
        <v>262</v>
      </c>
      <c r="C72" s="8">
        <v>2.5457918643951416</v>
      </c>
      <c r="D72" s="9">
        <v>26.86384391784668</v>
      </c>
      <c r="E72" s="9">
        <v>2.5</v>
      </c>
      <c r="F72" s="9">
        <v>14</v>
      </c>
      <c r="G72" s="9">
        <v>0.9800000786781311</v>
      </c>
      <c r="H72" s="9">
        <v>0.1785714328289032</v>
      </c>
      <c r="I72">
        <v>1.0889999975915998E-4</v>
      </c>
      <c r="J72"/>
    </row>
    <row r="73" spans="1:10" ht="15" customHeight="1" x14ac:dyDescent="0.15">
      <c r="A73" s="246">
        <v>72</v>
      </c>
      <c r="B73" s="246" t="s">
        <v>263</v>
      </c>
      <c r="C73" s="8">
        <v>2.5457918643951416</v>
      </c>
      <c r="D73" s="9">
        <v>0.20756183564662933</v>
      </c>
      <c r="E73" s="9">
        <v>2.5</v>
      </c>
      <c r="F73" s="9">
        <v>14</v>
      </c>
      <c r="G73" s="9">
        <v>0.98000001907348633</v>
      </c>
      <c r="H73" s="9">
        <v>0.1785714328289032</v>
      </c>
      <c r="I73">
        <v>1.3987699887252347E-9</v>
      </c>
      <c r="J73"/>
    </row>
    <row r="74" spans="1:10" ht="15" customHeight="1" x14ac:dyDescent="0.15">
      <c r="A74" s="247">
        <v>73</v>
      </c>
      <c r="B74" s="247" t="s">
        <v>264</v>
      </c>
      <c r="C74" s="8">
        <v>2.3636364936828613</v>
      </c>
      <c r="D74" s="9">
        <v>8.6114645004272461</v>
      </c>
      <c r="E74" s="9">
        <v>12.5</v>
      </c>
      <c r="F74" s="9">
        <v>25</v>
      </c>
      <c r="G74" s="9">
        <v>0.94999998807907104</v>
      </c>
      <c r="H74" s="9">
        <v>0.5</v>
      </c>
      <c r="I74">
        <v>0</v>
      </c>
      <c r="J74"/>
    </row>
    <row r="75" spans="1:10" ht="15" customHeight="1" x14ac:dyDescent="0.15">
      <c r="A75" s="248">
        <v>74</v>
      </c>
      <c r="B75" s="248" t="s">
        <v>265</v>
      </c>
      <c r="C75" s="8">
        <v>2.3636364936828613</v>
      </c>
      <c r="D75" s="9">
        <v>0.51023411750793457</v>
      </c>
      <c r="E75" s="9">
        <v>12.5</v>
      </c>
      <c r="F75" s="9">
        <v>25</v>
      </c>
      <c r="G75" s="9">
        <v>0.95000004768371582</v>
      </c>
      <c r="H75" s="9">
        <v>0.5</v>
      </c>
      <c r="I75">
        <v>0</v>
      </c>
      <c r="J75"/>
    </row>
    <row r="76" spans="1:10" ht="15" customHeight="1" x14ac:dyDescent="0.15">
      <c r="A76" s="249">
        <v>75</v>
      </c>
      <c r="B76" s="249" t="s">
        <v>266</v>
      </c>
      <c r="C76" s="8">
        <v>3.0942857265472412</v>
      </c>
      <c r="D76" s="9">
        <v>3.8498249053955078</v>
      </c>
      <c r="E76" s="9">
        <v>12.5</v>
      </c>
      <c r="F76" s="9">
        <v>25</v>
      </c>
      <c r="G76" s="9">
        <v>0.94999998807907104</v>
      </c>
      <c r="H76" s="9">
        <v>0.5</v>
      </c>
      <c r="I76">
        <v>0</v>
      </c>
      <c r="J76"/>
    </row>
    <row r="77" spans="1:10" ht="15" customHeight="1" x14ac:dyDescent="0.15">
      <c r="A77" s="250">
        <v>76</v>
      </c>
      <c r="B77" s="250" t="s">
        <v>267</v>
      </c>
      <c r="C77" s="8">
        <v>3.0942857265472412</v>
      </c>
      <c r="D77" s="9">
        <v>2.8540268540382385E-2</v>
      </c>
      <c r="E77" s="9">
        <v>12.5</v>
      </c>
      <c r="F77" s="9">
        <v>25</v>
      </c>
      <c r="G77" s="9">
        <v>0.95000004768371582</v>
      </c>
      <c r="H77" s="9">
        <v>0.5</v>
      </c>
      <c r="I77">
        <v>0</v>
      </c>
      <c r="J77"/>
    </row>
    <row r="78" spans="1:10" ht="15" customHeight="1" x14ac:dyDescent="0.15">
      <c r="A78" s="251">
        <v>77</v>
      </c>
      <c r="B78" s="251" t="s">
        <v>268</v>
      </c>
      <c r="C78" s="8">
        <v>2.7349240779876709</v>
      </c>
      <c r="D78" s="9">
        <v>1.5277396887540817E-2</v>
      </c>
      <c r="E78" s="9">
        <v>40</v>
      </c>
      <c r="F78" s="9">
        <v>80</v>
      </c>
      <c r="G78" s="9">
        <v>0.5</v>
      </c>
      <c r="H78" s="9">
        <v>0.5</v>
      </c>
      <c r="I78">
        <v>8.0429999798070639E-5</v>
      </c>
      <c r="J78"/>
    </row>
    <row r="79" spans="1:10" ht="15" customHeight="1" x14ac:dyDescent="0.15">
      <c r="A79" s="252">
        <v>78</v>
      </c>
      <c r="B79" s="252" t="s">
        <v>269</v>
      </c>
      <c r="C79" s="8">
        <v>2.4353957176208496</v>
      </c>
      <c r="D79" s="9">
        <v>2.71733608096838E-2</v>
      </c>
      <c r="E79" s="9">
        <v>40</v>
      </c>
      <c r="F79" s="9">
        <v>80</v>
      </c>
      <c r="G79" s="9">
        <v>0.5</v>
      </c>
      <c r="H79" s="9">
        <v>0.5</v>
      </c>
      <c r="I79">
        <v>8.9639995712786913E-4</v>
      </c>
      <c r="J79"/>
    </row>
    <row r="80" spans="1:10" ht="15" customHeight="1" x14ac:dyDescent="0.15">
      <c r="A80" s="253">
        <v>79</v>
      </c>
      <c r="B80" s="253" t="s">
        <v>270</v>
      </c>
      <c r="C80" s="8">
        <v>2.1224489212036133</v>
      </c>
      <c r="D80" s="9">
        <v>11.743499755859375</v>
      </c>
      <c r="E80" s="9">
        <v>52</v>
      </c>
      <c r="F80" s="9">
        <v>173.33332824707031</v>
      </c>
      <c r="G80" s="9">
        <v>0.20637285709381104</v>
      </c>
      <c r="H80" s="9">
        <v>0.30000001192092896</v>
      </c>
      <c r="I80">
        <v>0</v>
      </c>
      <c r="J80"/>
    </row>
    <row r="81" spans="1:10" ht="15" customHeight="1" x14ac:dyDescent="0.15">
      <c r="A81" s="254">
        <v>80</v>
      </c>
      <c r="B81" s="254" t="s">
        <v>271</v>
      </c>
      <c r="C81" s="8">
        <v>2.1224489212036133</v>
      </c>
      <c r="D81" s="9">
        <v>0.7565000057220459</v>
      </c>
      <c r="E81" s="9">
        <v>104</v>
      </c>
      <c r="F81" s="9">
        <v>346.66665649414062</v>
      </c>
      <c r="G81" s="9">
        <v>0.13635003566741943</v>
      </c>
      <c r="H81" s="9">
        <v>0.30000001192092896</v>
      </c>
      <c r="I81">
        <v>0</v>
      </c>
      <c r="J81"/>
    </row>
    <row r="82" spans="1:10" ht="15" customHeight="1" x14ac:dyDescent="0.15">
      <c r="A82" s="255">
        <v>81</v>
      </c>
      <c r="B82" s="255" t="s">
        <v>272</v>
      </c>
      <c r="C82" s="8">
        <v>2.6212244033813477</v>
      </c>
      <c r="D82" s="9">
        <v>2.1985399071127176E-3</v>
      </c>
      <c r="E82" s="9">
        <v>50.448001861572266</v>
      </c>
      <c r="F82" s="9">
        <v>132.1300048828125</v>
      </c>
      <c r="G82" s="9">
        <v>0.99000000953674316</v>
      </c>
      <c r="H82" s="9">
        <v>0.38180580735206604</v>
      </c>
      <c r="I82">
        <v>0</v>
      </c>
      <c r="J82"/>
    </row>
    <row r="83" spans="1:10" ht="15" customHeight="1" x14ac:dyDescent="0.15">
      <c r="A83" s="256">
        <v>82</v>
      </c>
      <c r="B83" s="256" t="s">
        <v>273</v>
      </c>
      <c r="C83" s="8">
        <v>2.411224365234375</v>
      </c>
      <c r="D83" s="9">
        <v>5.8745834394358099E-5</v>
      </c>
      <c r="E83" s="9">
        <v>50.448001861572266</v>
      </c>
      <c r="F83" s="9">
        <v>132.1300048828125</v>
      </c>
      <c r="G83" s="9">
        <v>0.99000000953674316</v>
      </c>
      <c r="H83" s="9">
        <v>0.38180580735206604</v>
      </c>
      <c r="I83">
        <v>0</v>
      </c>
      <c r="J83"/>
    </row>
    <row r="84" spans="1:10" ht="15" customHeight="1" x14ac:dyDescent="0.15">
      <c r="A84" s="257">
        <v>83</v>
      </c>
      <c r="B84" s="257" t="s">
        <v>274</v>
      </c>
      <c r="C84" s="8">
        <v>2</v>
      </c>
      <c r="D84" s="9">
        <v>1.3989811763167381E-2</v>
      </c>
      <c r="E84" s="9">
        <v>12.600000381469727</v>
      </c>
      <c r="F84" s="9">
        <v>51.930000305175781</v>
      </c>
      <c r="G84" s="9">
        <v>0.9800000786781311</v>
      </c>
      <c r="H84" s="9">
        <v>0.24263432621955872</v>
      </c>
      <c r="I84">
        <v>0</v>
      </c>
      <c r="J84"/>
    </row>
    <row r="85" spans="1:10" ht="15" customHeight="1" x14ac:dyDescent="0.15">
      <c r="A85" s="258">
        <v>84</v>
      </c>
      <c r="B85" s="258" t="s">
        <v>275</v>
      </c>
      <c r="C85" s="8">
        <v>2</v>
      </c>
      <c r="D85" s="9">
        <v>6.1493535041809082</v>
      </c>
      <c r="E85" s="9">
        <v>100</v>
      </c>
      <c r="F85" s="9">
        <v>215</v>
      </c>
      <c r="G85" s="9">
        <v>0.95000004768371582</v>
      </c>
      <c r="H85" s="9">
        <v>0.46511629223823547</v>
      </c>
      <c r="I85">
        <v>0</v>
      </c>
      <c r="J85"/>
    </row>
    <row r="86" spans="1:10" ht="15" customHeight="1" x14ac:dyDescent="0.15">
      <c r="A86" s="259">
        <v>85</v>
      </c>
      <c r="B86" s="259" t="s">
        <v>276</v>
      </c>
      <c r="C86" s="8">
        <v>2</v>
      </c>
      <c r="D86" s="9">
        <v>0.7195059061050415</v>
      </c>
      <c r="E86" s="9">
        <v>100</v>
      </c>
      <c r="F86" s="9">
        <v>215</v>
      </c>
      <c r="G86" s="9">
        <v>0.95000004768371582</v>
      </c>
      <c r="H86" s="9">
        <v>0.46511629223823547</v>
      </c>
      <c r="I86">
        <v>0</v>
      </c>
      <c r="J86"/>
    </row>
    <row r="87" spans="1:10" ht="15" customHeight="1" x14ac:dyDescent="0.15">
      <c r="A87" s="260">
        <v>86</v>
      </c>
      <c r="B87" s="260" t="s">
        <v>277</v>
      </c>
      <c r="C87" s="8">
        <v>1</v>
      </c>
      <c r="D87" s="9">
        <v>3.9047000408172607</v>
      </c>
      <c r="E87" s="9">
        <v>933.0830078125</v>
      </c>
      <c r="F87" s="10"/>
      <c r="G87" s="9">
        <v>0.44796490669250488</v>
      </c>
      <c r="H87" s="10"/>
      <c r="I87">
        <v>0</v>
      </c>
      <c r="J87"/>
    </row>
    <row r="88" spans="1:10" ht="15" customHeight="1" x14ac:dyDescent="0.15">
      <c r="A88" s="261">
        <v>87</v>
      </c>
      <c r="B88" s="261" t="s">
        <v>278</v>
      </c>
      <c r="C88" s="8">
        <v>1</v>
      </c>
      <c r="D88" s="9">
        <v>0.38920000195503235</v>
      </c>
      <c r="E88" s="9">
        <v>933.0830078125</v>
      </c>
      <c r="F88" s="10"/>
      <c r="G88" s="9">
        <v>0.68681216239929199</v>
      </c>
      <c r="H88" s="10"/>
      <c r="I88">
        <v>0</v>
      </c>
      <c r="J88"/>
    </row>
    <row r="89" spans="1:10" ht="15" customHeight="1" x14ac:dyDescent="0.15">
      <c r="A89" s="262">
        <v>88</v>
      </c>
      <c r="B89" s="262" t="s">
        <v>279</v>
      </c>
      <c r="C89" s="8">
        <v>1</v>
      </c>
      <c r="D89" s="9">
        <v>0.72904038429260254</v>
      </c>
      <c r="E89" s="9">
        <v>706.4959716796875</v>
      </c>
      <c r="F89" s="10"/>
      <c r="G89" s="9">
        <v>0.94999992847442627</v>
      </c>
      <c r="H89" s="10"/>
      <c r="I89">
        <v>0</v>
      </c>
      <c r="J89"/>
    </row>
    <row r="90" spans="1:10" ht="15" customHeight="1" x14ac:dyDescent="0.15">
      <c r="A90" s="263">
        <v>89</v>
      </c>
      <c r="B90" s="263" t="s">
        <v>280</v>
      </c>
      <c r="C90" s="8">
        <v>1</v>
      </c>
      <c r="D90" s="9">
        <v>2.1115140914916992</v>
      </c>
      <c r="E90" s="9">
        <v>2.1449999809265137</v>
      </c>
      <c r="F90" s="10"/>
      <c r="G90" s="9">
        <v>0.60000002384185791</v>
      </c>
      <c r="H90" s="10"/>
      <c r="I90">
        <v>0</v>
      </c>
      <c r="J90"/>
    </row>
    <row r="91" spans="1:10" ht="15" customHeight="1" x14ac:dyDescent="0.15">
      <c r="A91" s="264">
        <v>90</v>
      </c>
      <c r="B91" s="264" t="s">
        <v>281</v>
      </c>
      <c r="C91" s="8">
        <v>1</v>
      </c>
      <c r="D91" s="9">
        <v>1.1349989175796509</v>
      </c>
      <c r="E91" s="9">
        <v>12</v>
      </c>
      <c r="F91" s="10"/>
      <c r="G91" s="9">
        <v>0.49999997019767761</v>
      </c>
      <c r="H91" s="10"/>
      <c r="I91">
        <v>0</v>
      </c>
      <c r="J91"/>
    </row>
    <row r="92" spans="1:10" ht="15" customHeight="1" x14ac:dyDescent="0.15">
      <c r="A92" s="265">
        <v>91</v>
      </c>
      <c r="B92" s="265" t="s">
        <v>282</v>
      </c>
      <c r="C92" s="8">
        <v>1</v>
      </c>
      <c r="D92" s="9">
        <v>20.961643218994141</v>
      </c>
      <c r="E92" s="9">
        <v>12</v>
      </c>
      <c r="F92" s="10"/>
      <c r="G92" s="9">
        <v>0.50000005960464478</v>
      </c>
      <c r="H92" s="10"/>
      <c r="I92">
        <v>0</v>
      </c>
      <c r="J92"/>
    </row>
    <row r="93" spans="1:10" ht="15" customHeight="1" x14ac:dyDescent="0.15">
      <c r="A93" s="266">
        <v>92</v>
      </c>
      <c r="B93" s="266" t="s">
        <v>283</v>
      </c>
      <c r="C93" s="8">
        <v>1</v>
      </c>
      <c r="D93" s="9">
        <v>0.1813405305147171</v>
      </c>
      <c r="E93" s="9">
        <v>3.2999999523162842</v>
      </c>
      <c r="F93" s="10"/>
      <c r="G93" s="9">
        <v>0.40000003576278687</v>
      </c>
      <c r="H93" s="10"/>
      <c r="I93">
        <v>0</v>
      </c>
      <c r="J93"/>
    </row>
    <row r="94" spans="1:10" ht="15" customHeight="1" x14ac:dyDescent="0.15">
      <c r="A94" s="267">
        <v>93</v>
      </c>
      <c r="B94" s="267" t="s">
        <v>284</v>
      </c>
      <c r="C94" s="8">
        <v>1</v>
      </c>
      <c r="D94" s="9">
        <v>0.69999998807907104</v>
      </c>
      <c r="E94" s="10"/>
      <c r="F94" s="10"/>
      <c r="G94" s="9">
        <v>0.37426865100860596</v>
      </c>
      <c r="H94" s="10"/>
      <c r="I94">
        <v>0</v>
      </c>
      <c r="J94"/>
    </row>
    <row r="95" spans="1:10" ht="15" customHeight="1" x14ac:dyDescent="0.15">
      <c r="A95" s="268">
        <v>94</v>
      </c>
      <c r="B95" s="268" t="s">
        <v>285</v>
      </c>
      <c r="C95" s="8">
        <v>1</v>
      </c>
      <c r="D95" s="9">
        <v>5</v>
      </c>
      <c r="E95" s="10"/>
      <c r="F95" s="10"/>
      <c r="G95" s="9">
        <v>0.52840030193328857</v>
      </c>
      <c r="H95" s="10"/>
      <c r="I95">
        <v>0</v>
      </c>
      <c r="J95"/>
    </row>
    <row r="96" spans="1:10" ht="15" customHeight="1" x14ac:dyDescent="0.15">
      <c r="A96" s="269">
        <v>95</v>
      </c>
      <c r="B96" s="269" t="s">
        <v>286</v>
      </c>
      <c r="C96" s="8">
        <v>1</v>
      </c>
      <c r="D96" s="9">
        <v>5</v>
      </c>
      <c r="E96" s="10"/>
      <c r="F96" s="10"/>
      <c r="G96" s="9">
        <v>5.3319536149501801E-2</v>
      </c>
      <c r="H96" s="10"/>
      <c r="I96">
        <v>0</v>
      </c>
      <c r="J96"/>
    </row>
    <row r="97" spans="1:10" ht="15" customHeight="1" x14ac:dyDescent="0.15">
      <c r="A97" s="270">
        <v>96</v>
      </c>
      <c r="B97" s="270" t="s">
        <v>287</v>
      </c>
      <c r="C97" s="8">
        <v>1</v>
      </c>
      <c r="D97" s="9">
        <v>0.32229998707771301</v>
      </c>
      <c r="E97" s="10"/>
      <c r="F97" s="10"/>
      <c r="G97" s="9">
        <v>0.48051628470420837</v>
      </c>
      <c r="H97" s="10"/>
      <c r="I97">
        <v>0</v>
      </c>
      <c r="J97"/>
    </row>
    <row r="98" spans="1:10" ht="15" customHeight="1" x14ac:dyDescent="0.15">
      <c r="A98" s="271">
        <v>97</v>
      </c>
      <c r="B98" s="271" t="s">
        <v>288</v>
      </c>
      <c r="C98" s="8">
        <v>1</v>
      </c>
      <c r="D98" s="9">
        <v>250</v>
      </c>
      <c r="E98" s="10"/>
      <c r="F98" s="10"/>
      <c r="G98" s="9">
        <v>0.18871748447418213</v>
      </c>
      <c r="H98" s="10"/>
      <c r="I98">
        <v>0</v>
      </c>
      <c r="J98"/>
    </row>
    <row r="99" spans="1:10" ht="15" customHeight="1" x14ac:dyDescent="0.15">
      <c r="A99" s="272">
        <v>98</v>
      </c>
      <c r="B99" s="272" t="s">
        <v>289</v>
      </c>
      <c r="C99" s="8">
        <v>1</v>
      </c>
      <c r="D99" s="9">
        <v>33.351001739501953</v>
      </c>
      <c r="E99" s="10"/>
      <c r="F99" s="10"/>
      <c r="G99" s="9">
        <v>0.37435433268547058</v>
      </c>
      <c r="H99" s="10"/>
      <c r="I99">
        <v>0</v>
      </c>
      <c r="J99"/>
    </row>
    <row r="100" spans="1:10" ht="15" customHeight="1" x14ac:dyDescent="0.15">
      <c r="A100" s="273">
        <v>99</v>
      </c>
      <c r="B100" s="273" t="s">
        <v>290</v>
      </c>
      <c r="C100" s="8">
        <v>1</v>
      </c>
      <c r="D100" s="9">
        <v>250</v>
      </c>
      <c r="E100" s="10"/>
      <c r="F100" s="10"/>
      <c r="G100" s="7">
        <v>0.28713124990463257</v>
      </c>
      <c r="H100" s="10"/>
      <c r="I100">
        <v>0</v>
      </c>
      <c r="J100"/>
    </row>
    <row r="101" spans="1:10" ht="15" customHeight="1" x14ac:dyDescent="0.15">
      <c r="A101" s="274">
        <v>100</v>
      </c>
      <c r="B101" s="274" t="s">
        <v>291</v>
      </c>
      <c r="C101" s="8">
        <v>4.5884885787963867</v>
      </c>
      <c r="D101" s="10"/>
      <c r="E101" s="10"/>
      <c r="F101" s="10"/>
      <c r="G101" s="10"/>
      <c r="H101" s="10"/>
      <c r="I101">
        <v>0.28878733515739441</v>
      </c>
      <c r="J101"/>
    </row>
    <row r="102" spans="1:10" ht="15" customHeight="1" x14ac:dyDescent="0.15">
      <c r="A102" s="275">
        <v>101</v>
      </c>
      <c r="B102" s="275" t="s">
        <v>292</v>
      </c>
      <c r="C102" s="8">
        <v>4.802734375</v>
      </c>
      <c r="D102" s="10"/>
      <c r="E102" s="10"/>
      <c r="F102" s="10"/>
      <c r="G102" s="10"/>
      <c r="H102" s="10"/>
      <c r="I102">
        <v>1.7392610311508179</v>
      </c>
      <c r="J102"/>
    </row>
    <row r="103" spans="1:10" ht="15" customHeight="1" x14ac:dyDescent="0.15">
      <c r="A103" s="276">
        <v>102</v>
      </c>
      <c r="B103" s="276" t="s">
        <v>293</v>
      </c>
      <c r="C103" s="8">
        <v>5.1772394180297852</v>
      </c>
      <c r="D103" s="10"/>
      <c r="E103" s="10"/>
      <c r="F103" s="10"/>
      <c r="G103" s="10"/>
      <c r="H103" s="10"/>
      <c r="I103">
        <v>2.6157210231758654E-4</v>
      </c>
      <c r="J103"/>
    </row>
    <row r="104" spans="1:10" ht="15" customHeight="1" x14ac:dyDescent="0.15">
      <c r="A104" s="277">
        <v>103</v>
      </c>
      <c r="B104" s="277" t="s">
        <v>294</v>
      </c>
      <c r="C104" s="8">
        <v>4.1203622817993164</v>
      </c>
      <c r="D104" s="10"/>
      <c r="E104" s="10"/>
      <c r="F104" s="10"/>
      <c r="G104" s="10"/>
      <c r="H104" s="10"/>
      <c r="I104">
        <v>4.0061376988887787E-2</v>
      </c>
      <c r="J104"/>
    </row>
    <row r="105" spans="1:10" ht="15" customHeight="1" x14ac:dyDescent="0.15">
      <c r="A105" s="278">
        <v>104</v>
      </c>
      <c r="B105" s="278" t="s">
        <v>295</v>
      </c>
      <c r="C105" s="8">
        <v>5.1917972564697266</v>
      </c>
      <c r="D105" s="10"/>
      <c r="E105" s="10"/>
      <c r="F105" s="10"/>
      <c r="G105" s="10"/>
      <c r="H105" s="10"/>
      <c r="I105">
        <v>2.8812454547733068E-3</v>
      </c>
      <c r="J105"/>
    </row>
    <row r="106" spans="1:10" ht="15" customHeight="1" x14ac:dyDescent="0.15">
      <c r="A106" s="279">
        <v>105</v>
      </c>
      <c r="B106" s="279" t="s">
        <v>296</v>
      </c>
      <c r="C106" s="8">
        <v>4.088707447052002</v>
      </c>
      <c r="D106" s="10"/>
      <c r="E106" s="10"/>
      <c r="F106" s="10"/>
      <c r="G106" s="10"/>
      <c r="H106" s="10"/>
      <c r="I106">
        <v>5.0234299851581454E-4</v>
      </c>
      <c r="J106"/>
    </row>
    <row r="107" spans="1:10" ht="15" customHeight="1" x14ac:dyDescent="0.15">
      <c r="A107" s="280">
        <v>106</v>
      </c>
      <c r="B107" s="280" t="s">
        <v>297</v>
      </c>
      <c r="C107" s="8">
        <v>4.989372730255127</v>
      </c>
      <c r="D107" s="10"/>
      <c r="E107" s="10"/>
      <c r="F107" s="10"/>
      <c r="G107" s="10"/>
      <c r="H107" s="10"/>
      <c r="I107">
        <v>1.6405782662332058E-4</v>
      </c>
      <c r="J107"/>
    </row>
    <row r="108" spans="1:10" ht="15" customHeight="1" x14ac:dyDescent="0.15">
      <c r="A108" s="281">
        <v>107</v>
      </c>
      <c r="B108" s="281" t="s">
        <v>298</v>
      </c>
      <c r="C108" s="8">
        <v>4.5696759223937988</v>
      </c>
      <c r="D108" s="10"/>
      <c r="E108" s="10"/>
      <c r="F108" s="10"/>
      <c r="G108" s="10"/>
      <c r="H108" s="10"/>
      <c r="I108">
        <v>1.7582006752490997E-2</v>
      </c>
      <c r="J108"/>
    </row>
    <row r="109" spans="1:10" ht="15" customHeight="1" x14ac:dyDescent="0.15">
      <c r="A109"/>
      <c r="B109"/>
      <c r="C109"/>
      <c r="D109"/>
      <c r="E109"/>
      <c r="F109"/>
      <c r="G109"/>
      <c r="H109"/>
      <c r="I109"/>
      <c r="J109"/>
    </row>
    <row r="110" spans="1:10" ht="15" customHeight="1" x14ac:dyDescent="0.15">
      <c r="A110"/>
      <c r="B110"/>
      <c r="C110"/>
      <c r="D110"/>
      <c r="E110"/>
      <c r="F110"/>
      <c r="G110"/>
      <c r="H110"/>
      <c r="I110"/>
      <c r="J110"/>
    </row>
    <row r="111" spans="1:10" ht="15" customHeight="1" x14ac:dyDescent="0.15">
      <c r="A111"/>
      <c r="B111"/>
      <c r="C111"/>
      <c r="D111"/>
      <c r="E111"/>
      <c r="F111"/>
      <c r="G111"/>
      <c r="H111"/>
      <c r="I111"/>
      <c r="J111"/>
    </row>
    <row r="112" spans="1:10" ht="15" customHeight="1" x14ac:dyDescent="0.15">
      <c r="A112"/>
      <c r="B112"/>
      <c r="C112"/>
      <c r="D112"/>
      <c r="E112"/>
      <c r="F112"/>
      <c r="G112"/>
      <c r="H112"/>
      <c r="I112"/>
      <c r="J112"/>
    </row>
    <row r="113" spans="1:10" ht="15" customHeight="1" x14ac:dyDescent="0.15">
      <c r="A113"/>
      <c r="B113"/>
      <c r="C113"/>
      <c r="D113"/>
      <c r="E113"/>
      <c r="F113"/>
      <c r="G113"/>
      <c r="H113"/>
      <c r="I113"/>
      <c r="J113"/>
    </row>
    <row r="114" spans="1:10" ht="15" customHeight="1" x14ac:dyDescent="0.15">
      <c r="A114"/>
      <c r="B114"/>
      <c r="C114"/>
      <c r="D114"/>
      <c r="E114"/>
      <c r="F114"/>
      <c r="G114"/>
      <c r="H114"/>
      <c r="I114"/>
      <c r="J114"/>
    </row>
    <row r="115" spans="1:10" ht="15" customHeight="1" x14ac:dyDescent="0.15">
      <c r="A115"/>
      <c r="B115"/>
      <c r="C115"/>
      <c r="D115"/>
      <c r="E115"/>
      <c r="F115"/>
      <c r="G115"/>
      <c r="H115"/>
      <c r="I115"/>
      <c r="J115"/>
    </row>
    <row r="116" spans="1:10" ht="15" customHeight="1" x14ac:dyDescent="0.15">
      <c r="A116"/>
      <c r="B116"/>
      <c r="C116"/>
      <c r="D116"/>
      <c r="E116"/>
      <c r="F116"/>
      <c r="G116"/>
      <c r="H116"/>
      <c r="I116"/>
      <c r="J116"/>
    </row>
    <row r="117" spans="1:10" ht="15" customHeight="1" x14ac:dyDescent="0.15">
      <c r="A117"/>
      <c r="B117"/>
      <c r="C117"/>
      <c r="D117"/>
      <c r="E117"/>
      <c r="F117"/>
      <c r="G117"/>
      <c r="H117"/>
      <c r="I117"/>
      <c r="J117"/>
    </row>
    <row r="118" spans="1:10" ht="15" customHeight="1" x14ac:dyDescent="0.15">
      <c r="A118"/>
      <c r="B118"/>
      <c r="C118"/>
      <c r="D118"/>
      <c r="E118"/>
      <c r="F118"/>
      <c r="G118"/>
      <c r="H118"/>
      <c r="I118"/>
      <c r="J118"/>
    </row>
    <row r="119" spans="1:10" ht="15" customHeight="1" x14ac:dyDescent="0.15">
      <c r="A119"/>
      <c r="B119"/>
      <c r="C119"/>
      <c r="D119"/>
      <c r="E119"/>
      <c r="F119"/>
      <c r="G119"/>
      <c r="H119"/>
      <c r="I119"/>
      <c r="J119"/>
    </row>
    <row r="120" spans="1:10" ht="15" customHeight="1" x14ac:dyDescent="0.15">
      <c r="A120"/>
      <c r="B120"/>
      <c r="C120"/>
      <c r="D120"/>
      <c r="E120"/>
      <c r="F120"/>
      <c r="G120"/>
      <c r="H120"/>
      <c r="I120"/>
      <c r="J120"/>
    </row>
    <row r="121" spans="1:10" ht="15" customHeight="1" x14ac:dyDescent="0.15">
      <c r="A121"/>
      <c r="B121"/>
      <c r="C121"/>
      <c r="D121"/>
      <c r="E121"/>
      <c r="F121"/>
      <c r="G121"/>
      <c r="H121"/>
      <c r="I121"/>
      <c r="J121"/>
    </row>
    <row r="122" spans="1:10" ht="15" customHeight="1" x14ac:dyDescent="0.15">
      <c r="A122"/>
      <c r="B122"/>
      <c r="C122"/>
      <c r="D122"/>
      <c r="E122"/>
      <c r="F122"/>
      <c r="G122"/>
      <c r="H122"/>
      <c r="I122"/>
      <c r="J122"/>
    </row>
    <row r="123" spans="1:10" ht="15" customHeight="1" x14ac:dyDescent="0.15">
      <c r="A123"/>
      <c r="B123"/>
      <c r="C123"/>
      <c r="D123"/>
      <c r="E123"/>
      <c r="F123"/>
      <c r="G123"/>
      <c r="H123"/>
      <c r="I123"/>
      <c r="J123"/>
    </row>
    <row r="124" spans="1:10" ht="15" customHeight="1" x14ac:dyDescent="0.15">
      <c r="A124"/>
      <c r="B124"/>
      <c r="C124"/>
      <c r="D124"/>
      <c r="E124"/>
      <c r="F124"/>
      <c r="G124"/>
      <c r="H124"/>
      <c r="I124"/>
      <c r="J124"/>
    </row>
    <row r="125" spans="1:10" ht="15" customHeight="1" x14ac:dyDescent="0.15">
      <c r="A125"/>
      <c r="B125"/>
      <c r="C125"/>
      <c r="D125"/>
      <c r="E125"/>
      <c r="F125"/>
      <c r="G125"/>
      <c r="H125"/>
      <c r="I125"/>
      <c r="J125"/>
    </row>
    <row r="126" spans="1:10" ht="15" customHeight="1" x14ac:dyDescent="0.15">
      <c r="A126"/>
      <c r="B126"/>
      <c r="C126"/>
      <c r="D126"/>
      <c r="E126"/>
      <c r="F126"/>
      <c r="G126"/>
      <c r="H126"/>
      <c r="I126"/>
      <c r="J126"/>
    </row>
    <row r="127" spans="1:10" ht="15" customHeight="1" x14ac:dyDescent="0.15">
      <c r="A127"/>
      <c r="B127"/>
      <c r="C127"/>
      <c r="D127"/>
      <c r="E127"/>
      <c r="F127"/>
      <c r="G127"/>
      <c r="H127"/>
      <c r="I127"/>
      <c r="J127"/>
    </row>
    <row r="128" spans="1:10" ht="15" customHeight="1" x14ac:dyDescent="0.15">
      <c r="A128"/>
      <c r="B128"/>
      <c r="C128"/>
      <c r="D128"/>
      <c r="E128"/>
      <c r="F128"/>
      <c r="G128"/>
      <c r="H128"/>
      <c r="I128"/>
      <c r="J128"/>
    </row>
    <row r="129" spans="1:10" ht="15" customHeight="1" x14ac:dyDescent="0.15">
      <c r="A129"/>
      <c r="B129"/>
      <c r="C129"/>
      <c r="D129"/>
      <c r="E129"/>
      <c r="F129"/>
      <c r="G129"/>
      <c r="H129"/>
      <c r="I129"/>
      <c r="J129"/>
    </row>
    <row r="130" spans="1:10" ht="15" customHeight="1" x14ac:dyDescent="0.15">
      <c r="A130"/>
      <c r="B130"/>
      <c r="C130"/>
      <c r="D130"/>
      <c r="E130"/>
      <c r="F130"/>
      <c r="G130"/>
      <c r="H130"/>
      <c r="I130"/>
      <c r="J130"/>
    </row>
    <row r="131" spans="1:10" ht="15" customHeight="1" x14ac:dyDescent="0.15">
      <c r="A131"/>
      <c r="B131"/>
      <c r="C131"/>
      <c r="D131"/>
      <c r="E131"/>
      <c r="F131"/>
      <c r="G131"/>
      <c r="H131"/>
      <c r="I131"/>
      <c r="J131"/>
    </row>
    <row r="132" spans="1:10" ht="15" customHeight="1" x14ac:dyDescent="0.15">
      <c r="A132"/>
      <c r="B132"/>
      <c r="C132"/>
      <c r="D132"/>
      <c r="E132"/>
      <c r="F132"/>
      <c r="G132"/>
      <c r="H132"/>
      <c r="I132"/>
      <c r="J132"/>
    </row>
    <row r="133" spans="1:10" ht="15" customHeight="1" x14ac:dyDescent="0.15">
      <c r="A133"/>
      <c r="B133"/>
      <c r="C133"/>
      <c r="D133"/>
      <c r="E133"/>
      <c r="F133"/>
      <c r="G133"/>
      <c r="H133"/>
      <c r="I133"/>
      <c r="J133"/>
    </row>
    <row r="134" spans="1:10" ht="15" customHeight="1" x14ac:dyDescent="0.15">
      <c r="A134"/>
      <c r="B134"/>
      <c r="C134"/>
      <c r="D134"/>
      <c r="E134"/>
      <c r="F134"/>
      <c r="G134"/>
      <c r="H134"/>
      <c r="I134"/>
      <c r="J134"/>
    </row>
    <row r="135" spans="1:10" ht="15" customHeight="1" x14ac:dyDescent="0.15">
      <c r="A135"/>
      <c r="B135"/>
      <c r="C135"/>
      <c r="D135"/>
      <c r="E135"/>
      <c r="F135"/>
      <c r="G135"/>
      <c r="H135"/>
      <c r="I135"/>
      <c r="J135"/>
    </row>
    <row r="136" spans="1:10" ht="15" customHeight="1" x14ac:dyDescent="0.15">
      <c r="A136"/>
      <c r="B136"/>
      <c r="C136"/>
      <c r="D136"/>
      <c r="E136"/>
      <c r="F136"/>
      <c r="G136"/>
      <c r="H136"/>
      <c r="I136"/>
      <c r="J136"/>
    </row>
    <row r="137" spans="1:10" ht="15" customHeight="1" x14ac:dyDescent="0.15">
      <c r="A137"/>
      <c r="B137"/>
      <c r="C137"/>
      <c r="D137"/>
      <c r="E137"/>
      <c r="F137"/>
      <c r="G137"/>
      <c r="H137"/>
      <c r="I137"/>
      <c r="J137"/>
    </row>
    <row r="138" spans="1:10" ht="15" customHeight="1" x14ac:dyDescent="0.15">
      <c r="A138"/>
      <c r="B138"/>
      <c r="C138"/>
      <c r="D138"/>
      <c r="E138"/>
      <c r="F138"/>
      <c r="G138"/>
      <c r="H138"/>
      <c r="I138"/>
      <c r="J138"/>
    </row>
    <row r="139" spans="1:10" ht="15" customHeight="1" x14ac:dyDescent="0.15">
      <c r="A139"/>
      <c r="B139"/>
      <c r="C139"/>
      <c r="D139"/>
      <c r="E139"/>
      <c r="F139"/>
      <c r="G139"/>
      <c r="H139"/>
      <c r="I139"/>
      <c r="J139"/>
    </row>
    <row r="140" spans="1:10" ht="15" customHeight="1" x14ac:dyDescent="0.15">
      <c r="A140"/>
      <c r="B140"/>
      <c r="C140"/>
      <c r="D140"/>
      <c r="E140"/>
      <c r="F140"/>
      <c r="G140"/>
      <c r="H140"/>
      <c r="I140"/>
      <c r="J140"/>
    </row>
    <row r="141" spans="1:10" ht="15" customHeight="1" x14ac:dyDescent="0.15">
      <c r="A141"/>
      <c r="B141"/>
      <c r="C141"/>
      <c r="D141"/>
      <c r="E141"/>
      <c r="F141"/>
      <c r="G141"/>
      <c r="H141"/>
      <c r="I141"/>
      <c r="J141"/>
    </row>
    <row r="142" spans="1:10" ht="15" customHeight="1" x14ac:dyDescent="0.15">
      <c r="A142"/>
      <c r="B142"/>
      <c r="C142"/>
      <c r="D142"/>
      <c r="E142"/>
      <c r="F142"/>
      <c r="G142"/>
      <c r="H142"/>
      <c r="I142"/>
      <c r="J142"/>
    </row>
    <row r="143" spans="1:10" ht="15" customHeight="1" x14ac:dyDescent="0.15">
      <c r="A143"/>
      <c r="B143"/>
      <c r="C143"/>
      <c r="D143"/>
      <c r="E143"/>
      <c r="F143"/>
      <c r="G143"/>
      <c r="H143"/>
      <c r="I143"/>
      <c r="J143"/>
    </row>
    <row r="144" spans="1:10" ht="15" customHeight="1" x14ac:dyDescent="0.15">
      <c r="A144"/>
      <c r="B144"/>
      <c r="C144"/>
      <c r="D144"/>
      <c r="E144"/>
      <c r="F144"/>
      <c r="G144"/>
      <c r="H144"/>
      <c r="I144"/>
      <c r="J144"/>
    </row>
    <row r="145" spans="1:10" ht="15" customHeight="1" x14ac:dyDescent="0.15">
      <c r="A145"/>
      <c r="B145"/>
      <c r="C145"/>
      <c r="D145"/>
      <c r="E145"/>
      <c r="F145"/>
      <c r="G145"/>
      <c r="H145"/>
      <c r="I145"/>
      <c r="J145"/>
    </row>
    <row r="146" spans="1:10" ht="15" customHeight="1" x14ac:dyDescent="0.15">
      <c r="A146"/>
      <c r="B146"/>
      <c r="C146"/>
      <c r="D146"/>
      <c r="E146"/>
      <c r="F146"/>
      <c r="G146"/>
      <c r="H146"/>
      <c r="I146"/>
      <c r="J146"/>
    </row>
    <row r="147" spans="1:10" ht="15" customHeight="1" x14ac:dyDescent="0.15">
      <c r="A147"/>
      <c r="B147"/>
      <c r="C147"/>
      <c r="D147"/>
      <c r="E147"/>
      <c r="F147"/>
      <c r="G147"/>
      <c r="H147"/>
      <c r="I147"/>
      <c r="J147"/>
    </row>
    <row r="148" spans="1:10" ht="15" customHeight="1" x14ac:dyDescent="0.15">
      <c r="A148"/>
      <c r="B148"/>
      <c r="C148"/>
      <c r="D148"/>
      <c r="E148"/>
      <c r="F148"/>
      <c r="G148"/>
      <c r="H148"/>
      <c r="I148"/>
      <c r="J148"/>
    </row>
    <row r="149" spans="1:10" ht="15" customHeight="1" x14ac:dyDescent="0.15">
      <c r="A149"/>
      <c r="B149"/>
      <c r="C149"/>
      <c r="D149"/>
      <c r="E149"/>
      <c r="F149"/>
      <c r="G149"/>
      <c r="H149"/>
      <c r="I149"/>
      <c r="J149"/>
    </row>
    <row r="150" spans="1:10" ht="15" customHeight="1" x14ac:dyDescent="0.15">
      <c r="A150"/>
      <c r="B150"/>
      <c r="C150"/>
      <c r="D150"/>
      <c r="E150"/>
      <c r="F150"/>
      <c r="G150"/>
      <c r="H150"/>
      <c r="I150"/>
      <c r="J150"/>
    </row>
    <row r="151" spans="1:10" ht="15" customHeight="1" x14ac:dyDescent="0.15">
      <c r="A151"/>
      <c r="B151"/>
      <c r="C151"/>
      <c r="D151"/>
      <c r="E151"/>
      <c r="F151"/>
      <c r="G151"/>
      <c r="H151"/>
      <c r="I151"/>
      <c r="J151"/>
    </row>
    <row r="152" spans="1:10" ht="15" customHeight="1" x14ac:dyDescent="0.15">
      <c r="A152"/>
      <c r="B152"/>
      <c r="C152"/>
      <c r="D152"/>
      <c r="E152"/>
      <c r="F152"/>
      <c r="G152"/>
      <c r="H152"/>
      <c r="I152"/>
      <c r="J152"/>
    </row>
    <row r="153" spans="1:10" ht="15" customHeight="1" x14ac:dyDescent="0.15">
      <c r="A153"/>
      <c r="B153"/>
      <c r="C153"/>
      <c r="D153"/>
      <c r="E153"/>
      <c r="F153"/>
      <c r="G153"/>
      <c r="H153"/>
      <c r="I153"/>
      <c r="J153"/>
    </row>
    <row r="154" spans="1:10" ht="15" customHeight="1" x14ac:dyDescent="0.15">
      <c r="A154"/>
      <c r="B154"/>
      <c r="C154"/>
      <c r="D154"/>
      <c r="E154"/>
      <c r="F154"/>
      <c r="G154"/>
      <c r="H154"/>
      <c r="I154"/>
      <c r="J154"/>
    </row>
    <row r="155" spans="1:10" ht="15" customHeight="1" x14ac:dyDescent="0.15">
      <c r="A155"/>
      <c r="B155"/>
      <c r="C155"/>
      <c r="D155"/>
      <c r="E155"/>
      <c r="F155"/>
      <c r="G155"/>
      <c r="H155"/>
      <c r="I155"/>
      <c r="J155"/>
    </row>
    <row r="156" spans="1:10" ht="15" customHeight="1" x14ac:dyDescent="0.15">
      <c r="A156"/>
      <c r="B156"/>
      <c r="C156"/>
      <c r="D156"/>
      <c r="E156"/>
      <c r="F156"/>
      <c r="G156"/>
      <c r="H156"/>
      <c r="I156"/>
      <c r="J156"/>
    </row>
    <row r="157" spans="1:10" ht="15" customHeight="1" x14ac:dyDescent="0.15">
      <c r="A157"/>
      <c r="B157"/>
      <c r="C157"/>
      <c r="D157"/>
      <c r="E157"/>
      <c r="F157"/>
      <c r="G157"/>
      <c r="H157"/>
      <c r="I157"/>
      <c r="J157"/>
    </row>
    <row r="158" spans="1:10" ht="15" customHeight="1" x14ac:dyDescent="0.15">
      <c r="A158"/>
      <c r="B158"/>
      <c r="C158"/>
      <c r="D158"/>
      <c r="E158"/>
      <c r="F158"/>
      <c r="G158"/>
      <c r="H158"/>
      <c r="I158"/>
      <c r="J158"/>
    </row>
    <row r="159" spans="1:10" ht="15" customHeight="1" x14ac:dyDescent="0.15">
      <c r="A159"/>
      <c r="B159"/>
      <c r="C159"/>
      <c r="D159"/>
      <c r="E159"/>
      <c r="F159"/>
      <c r="G159"/>
      <c r="H159"/>
      <c r="I159"/>
      <c r="J159"/>
    </row>
    <row r="160" spans="1:10" ht="15" customHeight="1" x14ac:dyDescent="0.15">
      <c r="A160"/>
      <c r="B160"/>
      <c r="C160"/>
      <c r="D160"/>
      <c r="E160"/>
      <c r="F160"/>
      <c r="G160"/>
      <c r="H160"/>
      <c r="I160"/>
      <c r="J160"/>
    </row>
    <row r="161" spans="1:10" ht="15" customHeight="1" x14ac:dyDescent="0.15">
      <c r="A161"/>
      <c r="B161"/>
      <c r="C161"/>
      <c r="D161"/>
      <c r="E161"/>
      <c r="F161"/>
      <c r="G161"/>
      <c r="H161"/>
      <c r="I161"/>
      <c r="J161"/>
    </row>
    <row r="162" spans="1:10" ht="15" customHeight="1" x14ac:dyDescent="0.15">
      <c r="A162"/>
      <c r="B162"/>
      <c r="C162"/>
      <c r="D162"/>
      <c r="E162"/>
      <c r="F162"/>
      <c r="G162"/>
      <c r="H162"/>
      <c r="I162"/>
      <c r="J162"/>
    </row>
    <row r="163" spans="1:10" ht="15" customHeight="1" x14ac:dyDescent="0.15">
      <c r="A163"/>
      <c r="B163"/>
      <c r="C163"/>
      <c r="D163"/>
      <c r="E163"/>
      <c r="F163"/>
      <c r="G163"/>
      <c r="H163"/>
      <c r="I163"/>
      <c r="J163"/>
    </row>
    <row r="164" spans="1:10" ht="15" customHeight="1" x14ac:dyDescent="0.15">
      <c r="A164"/>
      <c r="B164"/>
      <c r="C164"/>
      <c r="D164"/>
      <c r="E164"/>
      <c r="F164"/>
      <c r="G164"/>
      <c r="H164"/>
      <c r="I164"/>
      <c r="J164"/>
    </row>
    <row r="165" spans="1:10" ht="15" customHeight="1" x14ac:dyDescent="0.15">
      <c r="A165"/>
      <c r="B165"/>
      <c r="C165"/>
      <c r="D165"/>
      <c r="E165"/>
      <c r="F165"/>
      <c r="G165"/>
      <c r="H165"/>
      <c r="I165"/>
      <c r="J165"/>
    </row>
    <row r="166" spans="1:10" ht="15" customHeight="1" x14ac:dyDescent="0.15">
      <c r="A166"/>
      <c r="B166"/>
      <c r="C166"/>
      <c r="D166"/>
      <c r="E166"/>
      <c r="F166"/>
      <c r="G166"/>
      <c r="H166"/>
      <c r="I166"/>
      <c r="J166"/>
    </row>
    <row r="167" spans="1:10" ht="15" customHeight="1" x14ac:dyDescent="0.15">
      <c r="A167"/>
      <c r="B167"/>
      <c r="C167"/>
      <c r="D167"/>
      <c r="E167"/>
      <c r="F167"/>
      <c r="G167"/>
      <c r="H167"/>
      <c r="I167"/>
      <c r="J167"/>
    </row>
    <row r="168" spans="1:10" ht="15" customHeight="1" x14ac:dyDescent="0.15">
      <c r="A168"/>
      <c r="B168"/>
      <c r="C168"/>
      <c r="D168"/>
      <c r="E168"/>
      <c r="F168"/>
      <c r="G168"/>
      <c r="H168"/>
      <c r="I168"/>
      <c r="J168"/>
    </row>
    <row r="169" spans="1:10" ht="15" customHeight="1" x14ac:dyDescent="0.15">
      <c r="A169"/>
      <c r="B169"/>
      <c r="C169"/>
      <c r="D169"/>
      <c r="E169"/>
      <c r="F169"/>
      <c r="G169"/>
      <c r="H169"/>
      <c r="I169"/>
      <c r="J169"/>
    </row>
    <row r="170" spans="1:10" ht="15" customHeight="1" x14ac:dyDescent="0.15">
      <c r="A170"/>
      <c r="B170"/>
      <c r="C170"/>
      <c r="D170"/>
      <c r="E170"/>
      <c r="F170"/>
      <c r="G170"/>
      <c r="H170"/>
      <c r="I170"/>
      <c r="J170"/>
    </row>
    <row r="171" spans="1:10" ht="15" customHeight="1" x14ac:dyDescent="0.15">
      <c r="A171"/>
      <c r="B171"/>
      <c r="C171"/>
      <c r="D171"/>
      <c r="E171"/>
      <c r="F171"/>
      <c r="G171"/>
      <c r="H171"/>
      <c r="I171"/>
      <c r="J171"/>
    </row>
    <row r="172" spans="1:10" ht="15" customHeight="1" x14ac:dyDescent="0.15">
      <c r="A172"/>
      <c r="B172"/>
      <c r="C172"/>
      <c r="D172"/>
      <c r="E172"/>
      <c r="F172"/>
      <c r="G172"/>
      <c r="H172"/>
      <c r="I172"/>
      <c r="J172"/>
    </row>
    <row r="173" spans="1:10" ht="15" customHeight="1" x14ac:dyDescent="0.15">
      <c r="A173"/>
      <c r="B173"/>
      <c r="C173"/>
      <c r="D173"/>
      <c r="E173"/>
      <c r="F173"/>
      <c r="G173"/>
      <c r="H173"/>
      <c r="I173"/>
      <c r="J173"/>
    </row>
    <row r="174" spans="1:10" ht="15" customHeight="1" x14ac:dyDescent="0.15">
      <c r="A174"/>
      <c r="B174"/>
      <c r="C174"/>
      <c r="D174"/>
      <c r="E174"/>
      <c r="F174"/>
      <c r="G174"/>
      <c r="H174"/>
      <c r="I174"/>
      <c r="J174"/>
    </row>
    <row r="175" spans="1:10" ht="15" customHeight="1" x14ac:dyDescent="0.15">
      <c r="A175"/>
      <c r="B175"/>
      <c r="C175"/>
      <c r="D175"/>
      <c r="E175"/>
      <c r="F175"/>
      <c r="G175"/>
      <c r="H175"/>
      <c r="I175"/>
      <c r="J175"/>
    </row>
    <row r="176" spans="1:10" ht="15" customHeight="1" x14ac:dyDescent="0.15">
      <c r="A176"/>
      <c r="B176"/>
      <c r="C176"/>
      <c r="D176"/>
      <c r="E176"/>
      <c r="F176"/>
      <c r="G176"/>
      <c r="H176"/>
      <c r="I176"/>
      <c r="J176"/>
    </row>
    <row r="177" spans="1:10" ht="15" customHeight="1" x14ac:dyDescent="0.15">
      <c r="A177"/>
      <c r="B177"/>
      <c r="C177"/>
      <c r="D177"/>
      <c r="E177"/>
      <c r="F177"/>
      <c r="G177"/>
      <c r="H177"/>
      <c r="I177"/>
      <c r="J177"/>
    </row>
    <row r="178" spans="1:10" ht="15" customHeight="1" x14ac:dyDescent="0.15">
      <c r="A178"/>
      <c r="B178"/>
      <c r="C178"/>
      <c r="D178"/>
      <c r="E178"/>
      <c r="F178"/>
      <c r="G178"/>
      <c r="H178"/>
      <c r="I178"/>
      <c r="J178"/>
    </row>
    <row r="179" spans="1:10" ht="15" customHeight="1" x14ac:dyDescent="0.15">
      <c r="A179"/>
      <c r="B179"/>
      <c r="C179"/>
      <c r="D179"/>
      <c r="E179"/>
      <c r="F179"/>
      <c r="G179"/>
      <c r="H179"/>
      <c r="I179"/>
      <c r="J179"/>
    </row>
    <row r="180" spans="1:10" ht="15" customHeight="1" x14ac:dyDescent="0.15">
      <c r="A180"/>
      <c r="B180"/>
      <c r="C180"/>
      <c r="D180"/>
      <c r="E180"/>
      <c r="F180"/>
      <c r="G180"/>
      <c r="H180"/>
      <c r="I180"/>
      <c r="J180"/>
    </row>
    <row r="181" spans="1:10" ht="15" customHeight="1" x14ac:dyDescent="0.15">
      <c r="A181"/>
      <c r="B181"/>
      <c r="C181"/>
      <c r="D181"/>
      <c r="E181"/>
      <c r="F181"/>
      <c r="G181"/>
      <c r="H181"/>
      <c r="I181"/>
      <c r="J181"/>
    </row>
    <row r="182" spans="1:10" ht="15" customHeight="1" x14ac:dyDescent="0.15">
      <c r="A182"/>
      <c r="B182"/>
      <c r="C182"/>
      <c r="D182"/>
      <c r="E182"/>
      <c r="F182"/>
      <c r="G182"/>
      <c r="H182"/>
      <c r="I182"/>
      <c r="J182"/>
    </row>
    <row r="183" spans="1:10" ht="15" customHeight="1" x14ac:dyDescent="0.15">
      <c r="A183"/>
      <c r="B183"/>
      <c r="C183"/>
      <c r="D183"/>
      <c r="E183"/>
      <c r="F183"/>
      <c r="G183"/>
      <c r="H183"/>
      <c r="I183"/>
      <c r="J183"/>
    </row>
    <row r="184" spans="1:10" ht="15" customHeight="1" x14ac:dyDescent="0.15">
      <c r="A184"/>
      <c r="B184"/>
      <c r="C184"/>
      <c r="D184"/>
      <c r="E184"/>
      <c r="F184"/>
      <c r="G184"/>
      <c r="H184"/>
      <c r="I184"/>
      <c r="J184"/>
    </row>
    <row r="185" spans="1:10" ht="15" customHeight="1" x14ac:dyDescent="0.15">
      <c r="A185"/>
      <c r="B185"/>
      <c r="C185"/>
      <c r="D185"/>
      <c r="E185"/>
      <c r="F185"/>
      <c r="G185"/>
      <c r="H185"/>
      <c r="I185"/>
      <c r="J185"/>
    </row>
    <row r="186" spans="1:10" ht="15" customHeight="1" x14ac:dyDescent="0.15">
      <c r="A186"/>
      <c r="B186"/>
      <c r="C186"/>
      <c r="D186"/>
      <c r="E186"/>
      <c r="F186"/>
      <c r="G186"/>
      <c r="H186"/>
      <c r="I186"/>
      <c r="J186"/>
    </row>
    <row r="187" spans="1:10" ht="15" customHeight="1" x14ac:dyDescent="0.15">
      <c r="A187"/>
      <c r="B187"/>
      <c r="C187"/>
      <c r="D187"/>
      <c r="E187"/>
      <c r="F187"/>
      <c r="G187"/>
      <c r="H187"/>
      <c r="I187"/>
      <c r="J187"/>
    </row>
    <row r="188" spans="1:10" ht="15" customHeight="1" x14ac:dyDescent="0.15">
      <c r="A188"/>
      <c r="B188"/>
      <c r="C188"/>
      <c r="D188"/>
      <c r="E188"/>
      <c r="F188"/>
      <c r="G188"/>
      <c r="H188"/>
      <c r="I188"/>
      <c r="J188"/>
    </row>
    <row r="189" spans="1:10" ht="15" customHeight="1" x14ac:dyDescent="0.15">
      <c r="A189"/>
      <c r="B189"/>
      <c r="C189"/>
      <c r="D189"/>
      <c r="E189"/>
      <c r="F189"/>
      <c r="G189"/>
      <c r="H189"/>
      <c r="I189"/>
      <c r="J189"/>
    </row>
    <row r="190" spans="1:10" ht="15" customHeight="1" x14ac:dyDescent="0.15">
      <c r="A190"/>
      <c r="B190"/>
      <c r="C190"/>
      <c r="D190"/>
      <c r="E190"/>
      <c r="F190"/>
      <c r="G190"/>
      <c r="H190"/>
      <c r="I190"/>
      <c r="J190"/>
    </row>
    <row r="191" spans="1:10" ht="15" customHeight="1" x14ac:dyDescent="0.15">
      <c r="A191"/>
      <c r="B191"/>
      <c r="C191"/>
      <c r="D191"/>
      <c r="E191"/>
      <c r="F191"/>
      <c r="G191"/>
      <c r="H191"/>
      <c r="I191"/>
      <c r="J191"/>
    </row>
    <row r="192" spans="1:10" ht="15" customHeight="1" x14ac:dyDescent="0.15">
      <c r="A192"/>
      <c r="B192"/>
      <c r="C192"/>
      <c r="D192"/>
      <c r="E192"/>
      <c r="F192"/>
      <c r="G192"/>
      <c r="H192"/>
      <c r="I192"/>
      <c r="J192"/>
    </row>
    <row r="193" spans="1:10" ht="15" customHeight="1" x14ac:dyDescent="0.15">
      <c r="A193"/>
      <c r="B193"/>
      <c r="C193"/>
      <c r="D193"/>
      <c r="E193"/>
      <c r="F193"/>
      <c r="G193"/>
      <c r="H193"/>
      <c r="I193"/>
      <c r="J193"/>
    </row>
    <row r="194" spans="1:10" ht="15" customHeight="1" x14ac:dyDescent="0.15">
      <c r="A194"/>
      <c r="B194"/>
      <c r="C194"/>
      <c r="D194"/>
      <c r="E194"/>
      <c r="F194"/>
      <c r="G194"/>
      <c r="H194"/>
      <c r="I194"/>
      <c r="J194"/>
    </row>
    <row r="195" spans="1:10" ht="15" customHeight="1" x14ac:dyDescent="0.15">
      <c r="A195"/>
      <c r="B195"/>
      <c r="C195"/>
      <c r="D195"/>
      <c r="E195"/>
      <c r="F195"/>
      <c r="G195"/>
      <c r="H195"/>
      <c r="I195"/>
      <c r="J195"/>
    </row>
    <row r="196" spans="1:10" ht="15" customHeight="1" x14ac:dyDescent="0.15">
      <c r="A196"/>
      <c r="B196"/>
      <c r="C196"/>
      <c r="D196"/>
      <c r="E196"/>
      <c r="F196"/>
      <c r="G196"/>
      <c r="H196"/>
      <c r="I196"/>
      <c r="J196"/>
    </row>
    <row r="197" spans="1:10" ht="15" customHeight="1" x14ac:dyDescent="0.15">
      <c r="A197"/>
      <c r="B197"/>
      <c r="C197"/>
      <c r="D197"/>
      <c r="E197"/>
      <c r="F197"/>
      <c r="G197"/>
      <c r="H197"/>
      <c r="I197"/>
      <c r="J197"/>
    </row>
    <row r="198" spans="1:10" ht="15" customHeight="1" x14ac:dyDescent="0.15">
      <c r="A198"/>
      <c r="B198"/>
      <c r="C198"/>
      <c r="D198"/>
      <c r="E198"/>
      <c r="F198"/>
      <c r="G198"/>
      <c r="H198"/>
      <c r="I198"/>
      <c r="J198"/>
    </row>
    <row r="199" spans="1:10" ht="15" customHeight="1" x14ac:dyDescent="0.15">
      <c r="A199"/>
      <c r="B199"/>
      <c r="C199"/>
      <c r="D199"/>
      <c r="E199"/>
      <c r="F199"/>
      <c r="G199"/>
      <c r="H199"/>
      <c r="I199"/>
      <c r="J199"/>
    </row>
    <row r="200" spans="1:10" ht="15" customHeight="1" x14ac:dyDescent="0.15">
      <c r="A200"/>
      <c r="B200"/>
      <c r="C200"/>
      <c r="D200"/>
      <c r="E200"/>
      <c r="F200"/>
      <c r="G200"/>
      <c r="H200"/>
      <c r="I200"/>
      <c r="J200"/>
    </row>
    <row r="201" spans="1:10" ht="15" customHeight="1" x14ac:dyDescent="0.15">
      <c r="A201"/>
      <c r="B201"/>
      <c r="C201"/>
      <c r="D201"/>
      <c r="E201"/>
      <c r="F201"/>
      <c r="G201"/>
      <c r="H201"/>
      <c r="I201"/>
      <c r="J201"/>
    </row>
    <row r="202" spans="1:10" ht="15" customHeight="1" x14ac:dyDescent="0.15">
      <c r="A202"/>
      <c r="B202"/>
      <c r="C202"/>
      <c r="D202"/>
      <c r="E202"/>
      <c r="F202"/>
      <c r="G202"/>
      <c r="H202"/>
      <c r="I202"/>
      <c r="J202"/>
    </row>
    <row r="203" spans="1:10" ht="15" customHeight="1" x14ac:dyDescent="0.15">
      <c r="A203"/>
      <c r="B203"/>
      <c r="C203"/>
      <c r="D203"/>
      <c r="E203"/>
      <c r="F203"/>
      <c r="G203"/>
      <c r="H203"/>
      <c r="I203"/>
      <c r="J203"/>
    </row>
    <row r="204" spans="1:10" ht="15" customHeight="1" x14ac:dyDescent="0.15">
      <c r="A204"/>
      <c r="B204"/>
      <c r="C204"/>
      <c r="D204"/>
      <c r="E204"/>
      <c r="F204"/>
      <c r="G204"/>
      <c r="H204"/>
      <c r="I204"/>
      <c r="J204"/>
    </row>
    <row r="205" spans="1:10" ht="15" customHeight="1" x14ac:dyDescent="0.15">
      <c r="A205"/>
      <c r="B205"/>
      <c r="C205"/>
      <c r="D205"/>
      <c r="E205"/>
      <c r="F205"/>
      <c r="G205"/>
      <c r="H205"/>
      <c r="I205"/>
      <c r="J205"/>
    </row>
    <row r="206" spans="1:10" ht="15" customHeight="1" x14ac:dyDescent="0.15">
      <c r="A206"/>
      <c r="B206"/>
      <c r="C206"/>
      <c r="D206"/>
      <c r="E206"/>
      <c r="F206"/>
      <c r="G206"/>
      <c r="H206"/>
      <c r="I206"/>
      <c r="J206"/>
    </row>
    <row r="207" spans="1:10" ht="15" customHeight="1" x14ac:dyDescent="0.15">
      <c r="A207"/>
      <c r="B207"/>
      <c r="C207"/>
      <c r="D207"/>
      <c r="E207"/>
      <c r="F207"/>
      <c r="G207"/>
      <c r="H207"/>
      <c r="I207"/>
      <c r="J207"/>
    </row>
    <row r="208" spans="1:10" ht="15" customHeight="1" x14ac:dyDescent="0.15">
      <c r="A208"/>
      <c r="B208"/>
      <c r="C208"/>
      <c r="D208"/>
      <c r="E208"/>
      <c r="F208"/>
      <c r="G208"/>
      <c r="H208"/>
      <c r="I208"/>
      <c r="J208"/>
    </row>
    <row r="209" spans="1:10" ht="15" customHeight="1" x14ac:dyDescent="0.15">
      <c r="A209"/>
      <c r="B209"/>
      <c r="C209"/>
      <c r="D209"/>
      <c r="E209"/>
      <c r="F209"/>
      <c r="G209"/>
      <c r="H209"/>
      <c r="I209"/>
      <c r="J209"/>
    </row>
    <row r="210" spans="1:10" ht="15" customHeight="1" x14ac:dyDescent="0.15">
      <c r="A210"/>
      <c r="B210"/>
      <c r="C210"/>
      <c r="D210"/>
      <c r="E210"/>
      <c r="F210"/>
      <c r="G210"/>
      <c r="H210"/>
      <c r="I210"/>
      <c r="J210"/>
    </row>
    <row r="211" spans="1:10" ht="15" customHeight="1" x14ac:dyDescent="0.15">
      <c r="A211"/>
      <c r="B211"/>
      <c r="C211"/>
      <c r="D211"/>
      <c r="E211"/>
      <c r="F211"/>
      <c r="G211"/>
      <c r="H211"/>
      <c r="I211"/>
      <c r="J211"/>
    </row>
    <row r="212" spans="1:10" ht="15" customHeight="1" x14ac:dyDescent="0.15">
      <c r="A212"/>
      <c r="B212"/>
      <c r="C212"/>
      <c r="D212"/>
      <c r="E212"/>
      <c r="F212"/>
      <c r="G212"/>
      <c r="H212"/>
      <c r="I212"/>
      <c r="J212"/>
    </row>
    <row r="213" spans="1:10" ht="15" customHeight="1" x14ac:dyDescent="0.15">
      <c r="A213"/>
      <c r="B213"/>
      <c r="C213"/>
      <c r="D213"/>
      <c r="E213"/>
      <c r="F213"/>
      <c r="G213"/>
      <c r="H213"/>
      <c r="I213"/>
      <c r="J213"/>
    </row>
    <row r="214" spans="1:10" ht="15" customHeight="1" x14ac:dyDescent="0.15">
      <c r="A214"/>
      <c r="B214"/>
      <c r="C214"/>
      <c r="D214"/>
      <c r="E214"/>
      <c r="F214"/>
      <c r="G214"/>
      <c r="H214"/>
      <c r="I214"/>
      <c r="J214"/>
    </row>
    <row r="215" spans="1:10" ht="15" customHeight="1" x14ac:dyDescent="0.15">
      <c r="A215"/>
      <c r="B215"/>
      <c r="C215"/>
      <c r="D215"/>
      <c r="E215"/>
      <c r="F215"/>
      <c r="G215"/>
      <c r="H215"/>
      <c r="I215"/>
      <c r="J215"/>
    </row>
    <row r="216" spans="1:10" ht="15" customHeight="1" x14ac:dyDescent="0.15">
      <c r="A216"/>
      <c r="B216"/>
      <c r="C216"/>
      <c r="D216"/>
      <c r="E216"/>
      <c r="F216"/>
      <c r="G216"/>
      <c r="H216"/>
      <c r="I216"/>
      <c r="J216"/>
    </row>
    <row r="217" spans="1:10" ht="15" customHeight="1" x14ac:dyDescent="0.15">
      <c r="A217"/>
      <c r="B217"/>
      <c r="C217"/>
      <c r="D217"/>
      <c r="E217"/>
      <c r="F217"/>
      <c r="G217"/>
      <c r="H217"/>
      <c r="I217"/>
      <c r="J217"/>
    </row>
    <row r="218" spans="1:10" ht="15" customHeight="1" x14ac:dyDescent="0.15">
      <c r="A218"/>
      <c r="B218"/>
      <c r="C218"/>
      <c r="D218"/>
      <c r="E218"/>
      <c r="F218"/>
      <c r="G218"/>
      <c r="H218"/>
      <c r="I218"/>
      <c r="J218"/>
    </row>
    <row r="219" spans="1:10" ht="15" customHeight="1" x14ac:dyDescent="0.15">
      <c r="A219"/>
      <c r="B219"/>
      <c r="C219"/>
      <c r="D219"/>
      <c r="E219"/>
      <c r="F219"/>
      <c r="G219"/>
      <c r="H219"/>
      <c r="I219"/>
      <c r="J219"/>
    </row>
    <row r="220" spans="1:10" ht="15" customHeight="1" x14ac:dyDescent="0.15">
      <c r="A220"/>
      <c r="B220"/>
      <c r="C220"/>
      <c r="D220"/>
      <c r="E220"/>
      <c r="F220"/>
      <c r="G220"/>
      <c r="H220"/>
      <c r="I220"/>
      <c r="J220"/>
    </row>
    <row r="221" spans="1:10" ht="15" customHeight="1" x14ac:dyDescent="0.15">
      <c r="A221"/>
      <c r="B221"/>
      <c r="C221"/>
      <c r="D221"/>
      <c r="E221"/>
      <c r="F221"/>
      <c r="G221"/>
      <c r="H221"/>
      <c r="I221"/>
      <c r="J221"/>
    </row>
    <row r="222" spans="1:10" ht="15" customHeight="1" x14ac:dyDescent="0.15">
      <c r="A222"/>
      <c r="B222"/>
      <c r="C222"/>
      <c r="D222"/>
      <c r="E222"/>
      <c r="F222"/>
      <c r="G222"/>
      <c r="H222"/>
      <c r="I222"/>
      <c r="J222"/>
    </row>
    <row r="223" spans="1:10" ht="15" customHeight="1" x14ac:dyDescent="0.15">
      <c r="A223"/>
      <c r="B223"/>
      <c r="C223"/>
      <c r="D223"/>
      <c r="E223"/>
      <c r="F223"/>
      <c r="G223"/>
      <c r="H223"/>
      <c r="I223"/>
      <c r="J223"/>
    </row>
    <row r="224" spans="1:10" ht="15" customHeight="1" x14ac:dyDescent="0.15">
      <c r="A224"/>
      <c r="B224"/>
      <c r="C224"/>
      <c r="D224"/>
      <c r="E224"/>
      <c r="F224"/>
      <c r="G224"/>
      <c r="H224"/>
      <c r="I224"/>
      <c r="J224"/>
    </row>
    <row r="225" spans="1:10" ht="15" customHeight="1" x14ac:dyDescent="0.15">
      <c r="A225"/>
      <c r="B225"/>
      <c r="C225"/>
      <c r="D225"/>
      <c r="E225"/>
      <c r="F225"/>
      <c r="G225"/>
      <c r="H225"/>
      <c r="I225"/>
      <c r="J225"/>
    </row>
    <row r="226" spans="1:10" ht="15" customHeight="1" x14ac:dyDescent="0.15">
      <c r="A226"/>
      <c r="B226"/>
      <c r="C226"/>
      <c r="D226"/>
      <c r="E226"/>
      <c r="F226"/>
      <c r="G226"/>
      <c r="H226"/>
      <c r="I226"/>
      <c r="J226"/>
    </row>
    <row r="227" spans="1:10" ht="15" customHeight="1" x14ac:dyDescent="0.15">
      <c r="A227"/>
      <c r="B227"/>
      <c r="C227"/>
      <c r="D227"/>
      <c r="E227"/>
      <c r="F227"/>
      <c r="G227"/>
      <c r="H227"/>
      <c r="I227"/>
      <c r="J227"/>
    </row>
    <row r="228" spans="1:10" ht="15" customHeight="1" x14ac:dyDescent="0.15">
      <c r="A228"/>
      <c r="B228"/>
      <c r="C228"/>
      <c r="D228"/>
      <c r="E228"/>
      <c r="F228"/>
      <c r="G228"/>
      <c r="H228"/>
      <c r="I228"/>
      <c r="J228"/>
    </row>
    <row r="229" spans="1:10" ht="15" customHeight="1" x14ac:dyDescent="0.15">
      <c r="A229"/>
      <c r="B229"/>
      <c r="C229"/>
      <c r="D229"/>
      <c r="E229"/>
      <c r="F229"/>
      <c r="G229"/>
      <c r="H229"/>
      <c r="I229"/>
      <c r="J229"/>
    </row>
    <row r="230" spans="1:10" ht="15" customHeight="1" x14ac:dyDescent="0.15">
      <c r="A230"/>
      <c r="B230"/>
      <c r="C230"/>
      <c r="D230"/>
      <c r="E230"/>
      <c r="F230"/>
      <c r="G230"/>
      <c r="H230"/>
      <c r="I230"/>
      <c r="J230"/>
    </row>
    <row r="231" spans="1:10" ht="15" customHeight="1" x14ac:dyDescent="0.15">
      <c r="A231"/>
      <c r="B231"/>
      <c r="C231"/>
      <c r="D231"/>
      <c r="E231"/>
      <c r="F231"/>
      <c r="G231"/>
      <c r="H231"/>
      <c r="I231"/>
      <c r="J231"/>
    </row>
    <row r="232" spans="1:10" ht="15" customHeight="1" x14ac:dyDescent="0.15">
      <c r="A232"/>
      <c r="B232"/>
      <c r="C232"/>
      <c r="D232"/>
      <c r="E232"/>
      <c r="F232"/>
      <c r="G232"/>
      <c r="H232"/>
      <c r="I232"/>
      <c r="J232"/>
    </row>
    <row r="233" spans="1:10" ht="15" customHeight="1" x14ac:dyDescent="0.15">
      <c r="A233"/>
      <c r="B233"/>
      <c r="C233"/>
      <c r="D233"/>
      <c r="E233"/>
      <c r="F233"/>
      <c r="G233"/>
      <c r="H233"/>
      <c r="I233"/>
      <c r="J233"/>
    </row>
    <row r="234" spans="1:10" ht="15" customHeight="1" x14ac:dyDescent="0.15">
      <c r="A234"/>
      <c r="B234"/>
      <c r="C234"/>
      <c r="D234"/>
      <c r="E234"/>
      <c r="F234"/>
      <c r="G234"/>
      <c r="H234"/>
      <c r="I234"/>
      <c r="J234"/>
    </row>
    <row r="235" spans="1:10" ht="15" customHeight="1" x14ac:dyDescent="0.15">
      <c r="A235"/>
      <c r="B235"/>
      <c r="C235"/>
      <c r="D235"/>
      <c r="E235"/>
      <c r="F235"/>
      <c r="G235"/>
      <c r="H235"/>
      <c r="I235"/>
      <c r="J235"/>
    </row>
    <row r="236" spans="1:10" ht="15" customHeight="1" x14ac:dyDescent="0.15">
      <c r="A236"/>
      <c r="B236"/>
      <c r="C236"/>
      <c r="D236"/>
      <c r="E236"/>
      <c r="F236"/>
      <c r="G236"/>
      <c r="H236"/>
      <c r="I236"/>
      <c r="J236"/>
    </row>
    <row r="237" spans="1:10" ht="15" customHeight="1" x14ac:dyDescent="0.15">
      <c r="A237"/>
      <c r="B237"/>
      <c r="C237"/>
      <c r="D237"/>
      <c r="E237"/>
      <c r="F237"/>
      <c r="G237"/>
      <c r="H237"/>
      <c r="I237"/>
      <c r="J237"/>
    </row>
    <row r="238" spans="1:10" ht="15" customHeight="1" x14ac:dyDescent="0.15">
      <c r="A238"/>
      <c r="B238"/>
      <c r="C238"/>
      <c r="D238"/>
      <c r="E238"/>
      <c r="F238"/>
      <c r="G238"/>
      <c r="H238"/>
      <c r="I238"/>
      <c r="J238"/>
    </row>
    <row r="239" spans="1:10" ht="15" customHeight="1" x14ac:dyDescent="0.15">
      <c r="A239"/>
      <c r="B239"/>
      <c r="C239"/>
      <c r="D239"/>
      <c r="E239"/>
      <c r="F239"/>
      <c r="G239"/>
      <c r="H239"/>
      <c r="I239"/>
      <c r="J239"/>
    </row>
    <row r="240" spans="1:10" ht="15" customHeight="1" x14ac:dyDescent="0.15">
      <c r="A240"/>
      <c r="B240"/>
      <c r="C240"/>
      <c r="D240"/>
      <c r="E240"/>
      <c r="F240"/>
      <c r="G240"/>
      <c r="H240"/>
      <c r="I240"/>
      <c r="J240"/>
    </row>
    <row r="241" spans="1:10" ht="15" customHeight="1" x14ac:dyDescent="0.15">
      <c r="A241"/>
      <c r="B241"/>
      <c r="C241"/>
      <c r="D241"/>
      <c r="E241"/>
      <c r="F241"/>
      <c r="G241"/>
      <c r="H241"/>
      <c r="I241"/>
      <c r="J241"/>
    </row>
    <row r="242" spans="1:10" ht="15" customHeight="1" x14ac:dyDescent="0.15">
      <c r="A242"/>
      <c r="B242"/>
      <c r="C242"/>
      <c r="D242"/>
      <c r="E242"/>
      <c r="F242"/>
      <c r="G242"/>
      <c r="H242"/>
      <c r="I242"/>
      <c r="J242"/>
    </row>
    <row r="243" spans="1:10" ht="15" customHeight="1" x14ac:dyDescent="0.15">
      <c r="A243"/>
      <c r="B243"/>
      <c r="C243"/>
      <c r="D243"/>
      <c r="E243"/>
      <c r="F243"/>
      <c r="G243"/>
      <c r="H243"/>
      <c r="I243"/>
      <c r="J243"/>
    </row>
    <row r="244" spans="1:10" ht="15" customHeight="1" x14ac:dyDescent="0.15">
      <c r="A244"/>
      <c r="B244"/>
      <c r="C244"/>
      <c r="D244"/>
      <c r="E244"/>
      <c r="F244"/>
      <c r="G244"/>
      <c r="H244"/>
      <c r="I244"/>
      <c r="J244"/>
    </row>
    <row r="245" spans="1:10" ht="15" customHeight="1" x14ac:dyDescent="0.15">
      <c r="A245"/>
      <c r="B245"/>
      <c r="C245"/>
      <c r="D245"/>
      <c r="E245"/>
      <c r="F245"/>
      <c r="G245"/>
      <c r="H245"/>
      <c r="I245"/>
      <c r="J245"/>
    </row>
    <row r="246" spans="1:10" ht="15" customHeight="1" x14ac:dyDescent="0.15">
      <c r="A246"/>
      <c r="B246"/>
      <c r="C246"/>
      <c r="D246"/>
      <c r="E246"/>
      <c r="F246"/>
      <c r="G246"/>
      <c r="H246"/>
      <c r="I246"/>
      <c r="J246"/>
    </row>
    <row r="247" spans="1:10" ht="15" customHeight="1" x14ac:dyDescent="0.15">
      <c r="A247"/>
      <c r="B247"/>
      <c r="C247"/>
      <c r="D247"/>
      <c r="E247"/>
      <c r="F247"/>
      <c r="G247"/>
      <c r="H247"/>
      <c r="I247"/>
      <c r="J247"/>
    </row>
    <row r="248" spans="1:10" ht="15" customHeight="1" x14ac:dyDescent="0.15">
      <c r="A248"/>
      <c r="B248"/>
      <c r="C248"/>
      <c r="D248"/>
      <c r="E248"/>
      <c r="F248"/>
      <c r="G248"/>
      <c r="H248"/>
      <c r="I248"/>
      <c r="J248"/>
    </row>
    <row r="249" spans="1:10" ht="15" customHeight="1" x14ac:dyDescent="0.15">
      <c r="A249"/>
      <c r="B249"/>
      <c r="C249"/>
      <c r="D249"/>
      <c r="E249"/>
      <c r="F249"/>
      <c r="G249"/>
      <c r="H249"/>
      <c r="I249"/>
      <c r="J249"/>
    </row>
    <row r="250" spans="1:10" ht="15" customHeight="1" x14ac:dyDescent="0.15">
      <c r="A250"/>
      <c r="B250"/>
      <c r="C250"/>
      <c r="D250"/>
      <c r="E250"/>
      <c r="F250"/>
      <c r="G250"/>
      <c r="H250"/>
      <c r="I250"/>
      <c r="J250"/>
    </row>
    <row r="251" spans="1:10" ht="15" customHeight="1" x14ac:dyDescent="0.15">
      <c r="A251"/>
      <c r="B251"/>
      <c r="C251"/>
      <c r="D251"/>
      <c r="E251"/>
      <c r="F251"/>
      <c r="G251"/>
      <c r="H251"/>
      <c r="I251"/>
      <c r="J251"/>
    </row>
    <row r="252" spans="1:10" ht="15" customHeight="1" x14ac:dyDescent="0.15">
      <c r="A252"/>
      <c r="B252"/>
      <c r="C252"/>
      <c r="D252"/>
      <c r="E252"/>
      <c r="F252"/>
      <c r="G252"/>
      <c r="H252"/>
      <c r="I252"/>
      <c r="J252"/>
    </row>
    <row r="253" spans="1:10" ht="15" customHeight="1" x14ac:dyDescent="0.15">
      <c r="A253"/>
      <c r="B253"/>
      <c r="C253"/>
      <c r="D253"/>
      <c r="E253"/>
      <c r="F253"/>
      <c r="G253"/>
      <c r="H253"/>
      <c r="I253"/>
      <c r="J253"/>
    </row>
    <row r="254" spans="1:10" ht="15" customHeight="1" x14ac:dyDescent="0.15">
      <c r="A254"/>
      <c r="B254"/>
      <c r="C254"/>
      <c r="D254"/>
      <c r="E254"/>
      <c r="F254"/>
      <c r="G254"/>
      <c r="H254"/>
      <c r="I254"/>
      <c r="J254"/>
    </row>
    <row r="255" spans="1:10" ht="15" customHeight="1" x14ac:dyDescent="0.15">
      <c r="A255"/>
      <c r="B255"/>
      <c r="C255"/>
      <c r="D255"/>
      <c r="E255"/>
      <c r="F255"/>
      <c r="G255"/>
      <c r="H255"/>
      <c r="I255"/>
      <c r="J255"/>
    </row>
    <row r="256" spans="1:10" ht="15" customHeight="1" x14ac:dyDescent="0.15">
      <c r="A256"/>
      <c r="B256"/>
      <c r="C256"/>
      <c r="D256"/>
      <c r="E256"/>
      <c r="F256"/>
      <c r="G256"/>
      <c r="H256"/>
      <c r="I256"/>
      <c r="J256"/>
    </row>
    <row r="257" spans="1:10" ht="15" customHeight="1" x14ac:dyDescent="0.15">
      <c r="A257"/>
      <c r="B257"/>
      <c r="C257"/>
      <c r="D257"/>
      <c r="E257"/>
      <c r="F257"/>
      <c r="G257"/>
      <c r="H257"/>
      <c r="I257"/>
      <c r="J257"/>
    </row>
    <row r="258" spans="1:10" ht="15" customHeight="1" x14ac:dyDescent="0.15">
      <c r="A258"/>
      <c r="B258"/>
      <c r="C258"/>
      <c r="D258"/>
      <c r="E258"/>
      <c r="F258"/>
      <c r="G258"/>
      <c r="H258"/>
      <c r="I258"/>
      <c r="J258"/>
    </row>
    <row r="259" spans="1:10" ht="15" customHeight="1" x14ac:dyDescent="0.15">
      <c r="A259"/>
      <c r="B259"/>
      <c r="C259"/>
      <c r="D259"/>
      <c r="E259"/>
      <c r="F259"/>
      <c r="G259"/>
      <c r="H259"/>
      <c r="I259"/>
      <c r="J259"/>
    </row>
    <row r="260" spans="1:10" ht="15" customHeight="1" x14ac:dyDescent="0.15">
      <c r="A260"/>
      <c r="B260"/>
      <c r="C260"/>
      <c r="D260"/>
      <c r="E260"/>
      <c r="F260"/>
      <c r="G260"/>
      <c r="H260"/>
      <c r="I260"/>
      <c r="J260"/>
    </row>
    <row r="261" spans="1:10" ht="15" customHeight="1" x14ac:dyDescent="0.15">
      <c r="A261"/>
      <c r="B261"/>
      <c r="C261"/>
      <c r="D261"/>
      <c r="E261"/>
      <c r="F261"/>
      <c r="G261"/>
      <c r="H261"/>
      <c r="I261"/>
      <c r="J261"/>
    </row>
    <row r="262" spans="1:10" ht="15" customHeight="1" x14ac:dyDescent="0.15">
      <c r="A262"/>
      <c r="B262"/>
      <c r="C262"/>
      <c r="D262"/>
      <c r="E262"/>
      <c r="F262"/>
      <c r="G262"/>
      <c r="H262"/>
      <c r="I262"/>
      <c r="J262"/>
    </row>
    <row r="263" spans="1:10" ht="15" customHeight="1" x14ac:dyDescent="0.15">
      <c r="A263"/>
      <c r="B263"/>
      <c r="C263"/>
      <c r="D263"/>
      <c r="E263"/>
      <c r="F263"/>
      <c r="G263"/>
      <c r="H263"/>
      <c r="I263"/>
      <c r="J263"/>
    </row>
    <row r="264" spans="1:10" ht="15" customHeight="1" x14ac:dyDescent="0.15">
      <c r="A264"/>
      <c r="B264"/>
      <c r="C264"/>
      <c r="D264"/>
      <c r="E264"/>
      <c r="F264"/>
      <c r="G264"/>
      <c r="H264"/>
      <c r="I264"/>
      <c r="J264"/>
    </row>
    <row r="265" spans="1:10" ht="15" customHeight="1" x14ac:dyDescent="0.15">
      <c r="A265"/>
      <c r="B265"/>
      <c r="C265"/>
      <c r="D265"/>
      <c r="E265"/>
      <c r="F265"/>
      <c r="G265"/>
      <c r="H265"/>
      <c r="I265"/>
      <c r="J265"/>
    </row>
    <row r="266" spans="1:10" ht="15" customHeight="1" x14ac:dyDescent="0.15">
      <c r="A266"/>
      <c r="B266"/>
      <c r="C266"/>
      <c r="D266"/>
      <c r="E266"/>
      <c r="F266"/>
      <c r="G266"/>
      <c r="H266"/>
      <c r="I266"/>
      <c r="J266"/>
    </row>
    <row r="267" spans="1:10" ht="15" customHeight="1" x14ac:dyDescent="0.15">
      <c r="A267"/>
      <c r="B267"/>
      <c r="C267"/>
      <c r="D267"/>
      <c r="E267"/>
      <c r="F267"/>
      <c r="G267"/>
      <c r="H267"/>
      <c r="I267"/>
      <c r="J267"/>
    </row>
    <row r="268" spans="1:10" ht="15" customHeight="1" x14ac:dyDescent="0.15">
      <c r="A268"/>
      <c r="B268"/>
      <c r="C268"/>
      <c r="D268"/>
      <c r="E268"/>
      <c r="F268"/>
      <c r="G268"/>
      <c r="H268"/>
      <c r="I268"/>
      <c r="J268"/>
    </row>
    <row r="269" spans="1:10" ht="15" customHeight="1" x14ac:dyDescent="0.15">
      <c r="A269"/>
      <c r="B269"/>
      <c r="C269"/>
      <c r="D269"/>
      <c r="E269"/>
      <c r="F269"/>
      <c r="G269"/>
      <c r="H269"/>
      <c r="I269"/>
      <c r="J269"/>
    </row>
    <row r="270" spans="1:10" ht="15" customHeight="1" x14ac:dyDescent="0.15">
      <c r="A270"/>
      <c r="B270"/>
      <c r="C270"/>
      <c r="D270"/>
      <c r="E270"/>
      <c r="F270"/>
      <c r="G270"/>
      <c r="H270"/>
      <c r="I270"/>
      <c r="J270"/>
    </row>
    <row r="271" spans="1:10" ht="15" customHeight="1" x14ac:dyDescent="0.15">
      <c r="A271"/>
      <c r="B271"/>
      <c r="C271"/>
      <c r="D271"/>
      <c r="E271"/>
      <c r="F271"/>
      <c r="G271"/>
      <c r="H271"/>
      <c r="I271"/>
      <c r="J271"/>
    </row>
    <row r="272" spans="1:10" ht="15" customHeight="1" x14ac:dyDescent="0.15">
      <c r="A272"/>
      <c r="B272"/>
      <c r="C272"/>
      <c r="D272"/>
      <c r="E272"/>
      <c r="F272"/>
      <c r="G272"/>
      <c r="H272"/>
      <c r="I272"/>
      <c r="J272"/>
    </row>
    <row r="273" spans="1:10" ht="15" customHeight="1" x14ac:dyDescent="0.15">
      <c r="A273"/>
      <c r="B273"/>
      <c r="C273"/>
      <c r="D273"/>
      <c r="E273"/>
      <c r="F273"/>
      <c r="G273"/>
      <c r="H273"/>
      <c r="I273"/>
      <c r="J273"/>
    </row>
    <row r="274" spans="1:10" ht="15" customHeight="1" x14ac:dyDescent="0.15">
      <c r="A274"/>
      <c r="B274"/>
      <c r="C274"/>
      <c r="D274"/>
      <c r="E274"/>
      <c r="F274"/>
      <c r="G274"/>
      <c r="H274"/>
      <c r="I274"/>
      <c r="J274"/>
    </row>
    <row r="275" spans="1:10" ht="15" customHeight="1" x14ac:dyDescent="0.15">
      <c r="A275"/>
      <c r="B275"/>
      <c r="C275"/>
      <c r="D275"/>
      <c r="E275"/>
      <c r="F275"/>
      <c r="G275"/>
      <c r="H275"/>
      <c r="I275"/>
      <c r="J275"/>
    </row>
    <row r="276" spans="1:10" ht="15" customHeight="1" x14ac:dyDescent="0.15">
      <c r="A276"/>
      <c r="B276"/>
      <c r="C276"/>
      <c r="D276"/>
      <c r="E276"/>
      <c r="F276"/>
      <c r="G276"/>
      <c r="H276"/>
      <c r="I276"/>
      <c r="J276"/>
    </row>
    <row r="277" spans="1:10" ht="15" customHeight="1" x14ac:dyDescent="0.15">
      <c r="A277"/>
      <c r="B277"/>
      <c r="C277"/>
      <c r="D277"/>
      <c r="E277"/>
      <c r="F277"/>
      <c r="G277"/>
      <c r="H277"/>
      <c r="I277"/>
      <c r="J277"/>
    </row>
    <row r="278" spans="1:10" ht="15" customHeight="1" x14ac:dyDescent="0.15">
      <c r="A278"/>
      <c r="B278"/>
      <c r="C278"/>
      <c r="D278"/>
      <c r="E278"/>
      <c r="F278"/>
      <c r="G278"/>
      <c r="H278"/>
      <c r="I278"/>
      <c r="J278"/>
    </row>
    <row r="279" spans="1:10" ht="15" customHeight="1" x14ac:dyDescent="0.15">
      <c r="A279"/>
      <c r="B279"/>
      <c r="C279"/>
      <c r="D279"/>
      <c r="E279"/>
      <c r="F279"/>
      <c r="G279"/>
      <c r="H279"/>
      <c r="I279"/>
      <c r="J279"/>
    </row>
    <row r="280" spans="1:10" ht="15" customHeight="1" x14ac:dyDescent="0.15">
      <c r="A280"/>
      <c r="B280"/>
      <c r="C280"/>
      <c r="D280"/>
      <c r="E280"/>
      <c r="F280"/>
      <c r="G280"/>
      <c r="H280"/>
      <c r="I280"/>
      <c r="J280"/>
    </row>
    <row r="281" spans="1:10" ht="15" customHeight="1" x14ac:dyDescent="0.15">
      <c r="A281"/>
      <c r="B281"/>
      <c r="C281"/>
      <c r="D281"/>
      <c r="E281"/>
      <c r="F281"/>
      <c r="G281"/>
      <c r="H281"/>
      <c r="I281"/>
      <c r="J281"/>
    </row>
    <row r="282" spans="1:10" ht="15" customHeight="1" x14ac:dyDescent="0.15">
      <c r="A282"/>
      <c r="B282"/>
      <c r="C282"/>
      <c r="D282"/>
      <c r="E282"/>
      <c r="F282"/>
      <c r="G282"/>
      <c r="H282"/>
      <c r="I282"/>
      <c r="J282"/>
    </row>
    <row r="283" spans="1:10" ht="15" customHeight="1" x14ac:dyDescent="0.15">
      <c r="A283"/>
      <c r="B283"/>
      <c r="C283"/>
      <c r="D283"/>
      <c r="E283"/>
      <c r="F283"/>
      <c r="G283"/>
      <c r="H283"/>
      <c r="I283"/>
      <c r="J283"/>
    </row>
    <row r="284" spans="1:10" ht="15" customHeight="1" x14ac:dyDescent="0.15">
      <c r="A284"/>
      <c r="B284"/>
      <c r="C284"/>
      <c r="D284"/>
      <c r="E284"/>
      <c r="F284"/>
      <c r="G284"/>
      <c r="H284"/>
      <c r="I284"/>
      <c r="J284"/>
    </row>
    <row r="285" spans="1:10" ht="15" customHeight="1" x14ac:dyDescent="0.15">
      <c r="A285"/>
      <c r="B285"/>
      <c r="C285"/>
      <c r="D285"/>
      <c r="E285"/>
      <c r="F285"/>
      <c r="G285"/>
      <c r="H285"/>
      <c r="I285"/>
      <c r="J285"/>
    </row>
    <row r="286" spans="1:10" ht="15" customHeight="1" x14ac:dyDescent="0.15">
      <c r="A286"/>
      <c r="B286"/>
      <c r="C286"/>
      <c r="D286"/>
      <c r="E286"/>
      <c r="F286"/>
      <c r="G286"/>
      <c r="H286"/>
      <c r="I286"/>
      <c r="J286"/>
    </row>
    <row r="287" spans="1:10" ht="15" customHeight="1" x14ac:dyDescent="0.15">
      <c r="A287"/>
      <c r="B287"/>
      <c r="C287"/>
      <c r="D287"/>
      <c r="E287"/>
      <c r="F287"/>
      <c r="G287"/>
      <c r="H287"/>
      <c r="I287"/>
      <c r="J287"/>
    </row>
    <row r="288" spans="1:10" ht="15" customHeight="1" x14ac:dyDescent="0.15">
      <c r="A288"/>
      <c r="B288"/>
      <c r="C288"/>
      <c r="D288"/>
      <c r="E288"/>
      <c r="F288"/>
      <c r="G288"/>
      <c r="H288"/>
      <c r="I288"/>
      <c r="J288"/>
    </row>
    <row r="289" spans="1:10" ht="15" customHeight="1" x14ac:dyDescent="0.15">
      <c r="A289"/>
      <c r="B289"/>
      <c r="C289"/>
      <c r="D289"/>
      <c r="E289"/>
      <c r="F289"/>
      <c r="G289"/>
      <c r="H289"/>
      <c r="I289"/>
      <c r="J289"/>
    </row>
    <row r="290" spans="1:10" ht="15" customHeight="1" x14ac:dyDescent="0.15">
      <c r="A290"/>
      <c r="B290"/>
      <c r="C290"/>
      <c r="D290"/>
      <c r="E290"/>
      <c r="F290"/>
      <c r="G290"/>
      <c r="H290"/>
      <c r="I290"/>
      <c r="J290"/>
    </row>
    <row r="291" spans="1:10" ht="15" customHeight="1" x14ac:dyDescent="0.15">
      <c r="A291"/>
      <c r="B291"/>
      <c r="C291"/>
      <c r="D291"/>
      <c r="E291"/>
      <c r="F291"/>
      <c r="G291"/>
      <c r="H291"/>
      <c r="I291"/>
      <c r="J291"/>
    </row>
    <row r="292" spans="1:10" ht="15" customHeight="1" x14ac:dyDescent="0.15">
      <c r="A292"/>
      <c r="B292"/>
      <c r="C292"/>
      <c r="D292"/>
      <c r="E292"/>
      <c r="F292"/>
      <c r="G292"/>
      <c r="H292"/>
      <c r="I292"/>
      <c r="J292"/>
    </row>
    <row r="293" spans="1:10" ht="15" customHeight="1" x14ac:dyDescent="0.15">
      <c r="A293"/>
      <c r="B293"/>
      <c r="C293"/>
      <c r="D293"/>
      <c r="E293"/>
      <c r="F293"/>
      <c r="G293"/>
      <c r="H293"/>
      <c r="I293"/>
      <c r="J293"/>
    </row>
    <row r="294" spans="1:10" ht="15" customHeight="1" x14ac:dyDescent="0.15">
      <c r="A294"/>
      <c r="B294"/>
      <c r="C294"/>
      <c r="D294"/>
      <c r="E294"/>
      <c r="F294"/>
      <c r="G294"/>
      <c r="H294"/>
      <c r="I294"/>
      <c r="J294"/>
    </row>
    <row r="295" spans="1:10" ht="15" customHeight="1" x14ac:dyDescent="0.15">
      <c r="A295"/>
      <c r="B295"/>
      <c r="C295"/>
      <c r="D295"/>
      <c r="E295"/>
      <c r="F295"/>
      <c r="G295"/>
      <c r="H295"/>
      <c r="I295"/>
      <c r="J295"/>
    </row>
    <row r="296" spans="1:10" ht="15" customHeight="1" x14ac:dyDescent="0.15">
      <c r="A296"/>
      <c r="B296"/>
      <c r="C296"/>
      <c r="D296"/>
      <c r="E296"/>
      <c r="F296"/>
      <c r="G296"/>
      <c r="H296"/>
      <c r="I296"/>
      <c r="J296"/>
    </row>
    <row r="297" spans="1:10" ht="15" customHeight="1" x14ac:dyDescent="0.15">
      <c r="A297"/>
      <c r="B297"/>
      <c r="C297"/>
      <c r="D297"/>
      <c r="E297"/>
      <c r="F297"/>
      <c r="G297"/>
      <c r="H297"/>
      <c r="I297"/>
      <c r="J297"/>
    </row>
    <row r="298" spans="1:10" ht="15" customHeight="1" x14ac:dyDescent="0.15">
      <c r="A298"/>
      <c r="B298"/>
      <c r="C298"/>
      <c r="D298"/>
      <c r="E298"/>
      <c r="F298"/>
      <c r="G298"/>
      <c r="H298"/>
      <c r="I298"/>
      <c r="J298"/>
    </row>
    <row r="299" spans="1:10" ht="15" customHeight="1" x14ac:dyDescent="0.15">
      <c r="A299"/>
      <c r="B299"/>
      <c r="C299"/>
      <c r="D299"/>
      <c r="E299"/>
      <c r="F299"/>
      <c r="G299"/>
      <c r="H299"/>
      <c r="I299"/>
      <c r="J299"/>
    </row>
    <row r="300" spans="1:10" ht="15" customHeight="1" x14ac:dyDescent="0.15">
      <c r="A300"/>
      <c r="B300"/>
      <c r="C300"/>
      <c r="D300"/>
      <c r="E300"/>
      <c r="F300"/>
      <c r="G300"/>
      <c r="H300"/>
      <c r="I300"/>
      <c r="J300"/>
    </row>
    <row r="301" spans="1:10" ht="15" customHeight="1" x14ac:dyDescent="0.15">
      <c r="A301"/>
      <c r="B301"/>
      <c r="C301"/>
      <c r="D301"/>
      <c r="E301"/>
      <c r="F301"/>
      <c r="G301"/>
      <c r="H301"/>
      <c r="I301"/>
      <c r="J301"/>
    </row>
    <row r="302" spans="1:10" ht="15" customHeight="1" x14ac:dyDescent="0.15">
      <c r="A302"/>
      <c r="B302"/>
      <c r="C302"/>
      <c r="D302"/>
      <c r="E302"/>
      <c r="F302"/>
      <c r="G302"/>
      <c r="H302"/>
      <c r="I302"/>
      <c r="J302"/>
    </row>
    <row r="303" spans="1:10" ht="15" customHeight="1" x14ac:dyDescent="0.15">
      <c r="A303"/>
      <c r="B303"/>
      <c r="C303"/>
      <c r="D303"/>
      <c r="E303"/>
      <c r="F303"/>
      <c r="G303"/>
      <c r="H303"/>
      <c r="I303"/>
      <c r="J303"/>
    </row>
    <row r="304" spans="1:10" ht="15" customHeight="1" x14ac:dyDescent="0.15">
      <c r="A304"/>
      <c r="B304"/>
      <c r="C304"/>
      <c r="D304"/>
      <c r="E304"/>
      <c r="F304"/>
      <c r="G304"/>
      <c r="H304"/>
      <c r="I304"/>
      <c r="J304"/>
    </row>
    <row r="305" spans="1:10" ht="15" customHeight="1" x14ac:dyDescent="0.15">
      <c r="A305"/>
      <c r="B305"/>
      <c r="C305"/>
      <c r="D305"/>
      <c r="E305"/>
      <c r="F305"/>
      <c r="G305"/>
      <c r="H305"/>
      <c r="I305"/>
      <c r="J305"/>
    </row>
    <row r="306" spans="1:10" ht="15" customHeight="1" x14ac:dyDescent="0.15">
      <c r="A306"/>
      <c r="B306"/>
      <c r="C306"/>
      <c r="D306"/>
      <c r="E306"/>
      <c r="F306"/>
      <c r="G306"/>
      <c r="H306"/>
      <c r="I306"/>
      <c r="J306"/>
    </row>
    <row r="307" spans="1:10" ht="15" customHeight="1" x14ac:dyDescent="0.15">
      <c r="A307"/>
      <c r="B307"/>
      <c r="C307"/>
      <c r="D307"/>
      <c r="E307"/>
      <c r="F307"/>
      <c r="G307"/>
      <c r="H307"/>
      <c r="I307"/>
      <c r="J307"/>
    </row>
    <row r="308" spans="1:10" ht="15" customHeight="1" x14ac:dyDescent="0.15">
      <c r="A308"/>
      <c r="B308"/>
      <c r="C308"/>
      <c r="D308"/>
      <c r="E308"/>
      <c r="F308"/>
      <c r="G308"/>
      <c r="H308"/>
      <c r="I308"/>
      <c r="J308"/>
    </row>
    <row r="309" spans="1:10" ht="15" customHeight="1" x14ac:dyDescent="0.15">
      <c r="A309"/>
      <c r="B309"/>
      <c r="C309"/>
      <c r="D309"/>
      <c r="E309"/>
      <c r="F309"/>
      <c r="G309"/>
      <c r="H309"/>
      <c r="I309"/>
      <c r="J309"/>
    </row>
    <row r="310" spans="1:10" ht="15" customHeight="1" x14ac:dyDescent="0.15">
      <c r="A310"/>
      <c r="B310"/>
      <c r="C310"/>
      <c r="D310"/>
      <c r="E310"/>
      <c r="F310"/>
      <c r="G310"/>
      <c r="H310"/>
      <c r="I310"/>
      <c r="J310"/>
    </row>
    <row r="311" spans="1:10" ht="15" customHeight="1" x14ac:dyDescent="0.15">
      <c r="A311"/>
      <c r="B311"/>
      <c r="C311"/>
      <c r="D311"/>
      <c r="E311"/>
      <c r="F311"/>
      <c r="G311"/>
      <c r="H311"/>
      <c r="I311"/>
      <c r="J311"/>
    </row>
    <row r="312" spans="1:10" ht="15" customHeight="1" x14ac:dyDescent="0.15">
      <c r="A312"/>
      <c r="B312"/>
      <c r="C312"/>
      <c r="D312"/>
      <c r="E312"/>
      <c r="F312"/>
      <c r="G312"/>
      <c r="H312"/>
      <c r="I312"/>
      <c r="J312"/>
    </row>
    <row r="313" spans="1:10" ht="15" customHeight="1" x14ac:dyDescent="0.15">
      <c r="A313"/>
      <c r="B313"/>
      <c r="C313"/>
      <c r="D313"/>
      <c r="E313"/>
      <c r="F313"/>
      <c r="G313"/>
      <c r="H313"/>
      <c r="I313"/>
      <c r="J313"/>
    </row>
    <row r="314" spans="1:10" ht="15" customHeight="1" x14ac:dyDescent="0.15">
      <c r="A314"/>
      <c r="B314"/>
      <c r="C314"/>
      <c r="D314"/>
      <c r="E314"/>
      <c r="F314"/>
      <c r="G314"/>
      <c r="H314"/>
      <c r="I314"/>
      <c r="J314"/>
    </row>
    <row r="315" spans="1:10" ht="15" customHeight="1" x14ac:dyDescent="0.15">
      <c r="A315"/>
      <c r="B315"/>
      <c r="C315"/>
      <c r="D315"/>
      <c r="E315"/>
      <c r="F315"/>
      <c r="G315"/>
      <c r="H315"/>
      <c r="I315"/>
      <c r="J315"/>
    </row>
    <row r="316" spans="1:10" ht="15" customHeight="1" x14ac:dyDescent="0.15">
      <c r="A316"/>
      <c r="B316"/>
      <c r="C316"/>
      <c r="D316"/>
      <c r="E316"/>
      <c r="F316"/>
      <c r="G316"/>
      <c r="H316"/>
      <c r="I316"/>
      <c r="J316"/>
    </row>
    <row r="317" spans="1:10" ht="15" customHeight="1" x14ac:dyDescent="0.15">
      <c r="A317"/>
      <c r="B317"/>
      <c r="C317"/>
      <c r="D317"/>
      <c r="E317"/>
      <c r="F317"/>
      <c r="G317"/>
      <c r="H317"/>
      <c r="I317"/>
      <c r="J317"/>
    </row>
    <row r="318" spans="1:10" ht="15" customHeight="1" x14ac:dyDescent="0.15">
      <c r="A318"/>
      <c r="B318"/>
      <c r="C318"/>
      <c r="D318"/>
      <c r="E318"/>
      <c r="F318"/>
      <c r="G318"/>
      <c r="H318"/>
      <c r="I318"/>
      <c r="J318"/>
    </row>
    <row r="319" spans="1:10" ht="15" customHeight="1" x14ac:dyDescent="0.15">
      <c r="A319"/>
      <c r="B319"/>
      <c r="C319"/>
      <c r="D319"/>
      <c r="E319"/>
      <c r="F319"/>
      <c r="G319"/>
      <c r="H319"/>
      <c r="I319"/>
      <c r="J319"/>
    </row>
    <row r="320" spans="1:10" ht="15" customHeight="1" x14ac:dyDescent="0.15">
      <c r="A320"/>
      <c r="B320"/>
      <c r="C320"/>
      <c r="D320"/>
      <c r="E320"/>
      <c r="F320"/>
      <c r="G320"/>
      <c r="H320"/>
      <c r="I320"/>
      <c r="J320"/>
    </row>
    <row r="321" spans="1:10" ht="15" customHeight="1" x14ac:dyDescent="0.15">
      <c r="A321"/>
      <c r="B321"/>
      <c r="C321"/>
      <c r="D321"/>
      <c r="E321"/>
      <c r="F321"/>
      <c r="G321"/>
      <c r="H321"/>
      <c r="I321"/>
      <c r="J321"/>
    </row>
    <row r="322" spans="1:10" ht="15" customHeight="1" x14ac:dyDescent="0.15">
      <c r="A322"/>
      <c r="B322"/>
      <c r="C322"/>
      <c r="D322"/>
      <c r="E322"/>
      <c r="F322"/>
      <c r="G322"/>
      <c r="H322"/>
      <c r="I322"/>
      <c r="J322"/>
    </row>
    <row r="323" spans="1:10" ht="15" customHeight="1" x14ac:dyDescent="0.15">
      <c r="A323"/>
      <c r="B323"/>
      <c r="C323"/>
      <c r="D323"/>
      <c r="E323"/>
      <c r="F323"/>
      <c r="G323"/>
      <c r="H323"/>
      <c r="I323"/>
      <c r="J323"/>
    </row>
    <row r="324" spans="1:10" ht="15" customHeight="1" x14ac:dyDescent="0.15">
      <c r="A324"/>
      <c r="B324"/>
      <c r="C324"/>
      <c r="D324"/>
      <c r="E324"/>
      <c r="F324"/>
      <c r="G324"/>
      <c r="H324"/>
      <c r="I324"/>
      <c r="J324"/>
    </row>
    <row r="325" spans="1:10" ht="15" customHeight="1" x14ac:dyDescent="0.15">
      <c r="A325"/>
      <c r="B325"/>
      <c r="C325"/>
      <c r="D325"/>
      <c r="E325"/>
      <c r="F325"/>
      <c r="G325"/>
      <c r="H325"/>
      <c r="I325"/>
      <c r="J325"/>
    </row>
    <row r="326" spans="1:10" ht="15" customHeight="1" x14ac:dyDescent="0.15">
      <c r="A326"/>
      <c r="B326"/>
      <c r="C326"/>
      <c r="D326"/>
      <c r="E326"/>
      <c r="F326"/>
      <c r="G326"/>
      <c r="H326"/>
      <c r="I326"/>
      <c r="J326"/>
    </row>
    <row r="327" spans="1:10" ht="15" customHeight="1" x14ac:dyDescent="0.15">
      <c r="A327"/>
      <c r="B327"/>
      <c r="C327"/>
      <c r="D327"/>
      <c r="E327"/>
      <c r="F327"/>
      <c r="G327"/>
      <c r="H327"/>
      <c r="I327"/>
      <c r="J327"/>
    </row>
    <row r="328" spans="1:10" ht="15" customHeight="1" x14ac:dyDescent="0.15">
      <c r="A328"/>
      <c r="B328"/>
      <c r="C328"/>
      <c r="D328"/>
      <c r="E328"/>
      <c r="F328"/>
      <c r="G328"/>
      <c r="H328"/>
      <c r="I328"/>
      <c r="J328"/>
    </row>
    <row r="329" spans="1:10" ht="15" customHeight="1" x14ac:dyDescent="0.15">
      <c r="A329"/>
      <c r="B329"/>
      <c r="C329"/>
      <c r="D329"/>
      <c r="E329"/>
      <c r="F329"/>
      <c r="G329"/>
      <c r="H329"/>
      <c r="I329"/>
      <c r="J329"/>
    </row>
    <row r="330" spans="1:10" ht="15" customHeight="1" x14ac:dyDescent="0.15">
      <c r="A330"/>
      <c r="B330"/>
      <c r="C330"/>
      <c r="D330"/>
      <c r="E330"/>
      <c r="F330"/>
      <c r="G330"/>
      <c r="H330"/>
      <c r="I330"/>
      <c r="J330"/>
    </row>
    <row r="331" spans="1:10" ht="15" customHeight="1" x14ac:dyDescent="0.15">
      <c r="A331"/>
      <c r="B331"/>
      <c r="C331"/>
      <c r="D331"/>
      <c r="E331"/>
      <c r="F331"/>
      <c r="G331"/>
      <c r="H331"/>
      <c r="I331"/>
      <c r="J331"/>
    </row>
    <row r="332" spans="1:10" ht="15" customHeight="1" x14ac:dyDescent="0.15">
      <c r="A332"/>
      <c r="B332"/>
      <c r="C332"/>
      <c r="D332"/>
      <c r="E332"/>
      <c r="F332"/>
      <c r="G332"/>
      <c r="H332"/>
      <c r="I332"/>
      <c r="J332"/>
    </row>
    <row r="333" spans="1:10" ht="15" customHeight="1" x14ac:dyDescent="0.15">
      <c r="A333"/>
      <c r="B333"/>
      <c r="C333"/>
      <c r="D333"/>
      <c r="E333"/>
      <c r="F333"/>
      <c r="G333"/>
      <c r="H333"/>
      <c r="I333"/>
      <c r="J333"/>
    </row>
    <row r="334" spans="1:10" ht="15" customHeight="1" x14ac:dyDescent="0.15">
      <c r="A334"/>
      <c r="B334"/>
      <c r="C334"/>
      <c r="D334"/>
      <c r="E334"/>
      <c r="F334"/>
      <c r="G334"/>
      <c r="H334"/>
      <c r="I334"/>
      <c r="J334"/>
    </row>
    <row r="335" spans="1:10" ht="15" customHeight="1" x14ac:dyDescent="0.15">
      <c r="A335"/>
      <c r="B335"/>
      <c r="C335"/>
      <c r="D335"/>
      <c r="E335"/>
      <c r="F335"/>
      <c r="G335"/>
      <c r="H335"/>
      <c r="I335"/>
      <c r="J335"/>
    </row>
    <row r="336" spans="1:10" ht="15" customHeight="1" x14ac:dyDescent="0.15">
      <c r="A336"/>
      <c r="B336"/>
      <c r="C336"/>
      <c r="D336"/>
      <c r="E336"/>
      <c r="F336"/>
      <c r="G336"/>
      <c r="H336"/>
      <c r="I336"/>
      <c r="J336"/>
    </row>
    <row r="337" spans="1:10" ht="15" customHeight="1" x14ac:dyDescent="0.15">
      <c r="A337"/>
      <c r="B337"/>
      <c r="C337"/>
      <c r="D337"/>
      <c r="E337"/>
      <c r="F337"/>
      <c r="G337"/>
      <c r="H337"/>
      <c r="I337"/>
      <c r="J337"/>
    </row>
    <row r="338" spans="1:10" ht="15" customHeight="1" x14ac:dyDescent="0.15">
      <c r="A338"/>
      <c r="B338"/>
      <c r="C338"/>
      <c r="D338"/>
      <c r="E338"/>
      <c r="F338"/>
      <c r="G338"/>
      <c r="H338"/>
      <c r="I338"/>
      <c r="J338"/>
    </row>
    <row r="339" spans="1:10" ht="15" customHeight="1" x14ac:dyDescent="0.15">
      <c r="A339"/>
      <c r="B339"/>
      <c r="C339"/>
      <c r="D339"/>
      <c r="E339"/>
      <c r="F339"/>
      <c r="G339"/>
      <c r="H339"/>
      <c r="I339"/>
      <c r="J339"/>
    </row>
    <row r="340" spans="1:10" ht="15" customHeight="1" x14ac:dyDescent="0.15">
      <c r="A340"/>
      <c r="B340"/>
      <c r="C340"/>
      <c r="D340"/>
      <c r="E340"/>
      <c r="F340"/>
      <c r="G340"/>
      <c r="H340"/>
      <c r="I340"/>
      <c r="J340"/>
    </row>
    <row r="341" spans="1:10" ht="15" customHeight="1" x14ac:dyDescent="0.15">
      <c r="A341"/>
      <c r="B341"/>
      <c r="C341"/>
      <c r="D341"/>
      <c r="E341"/>
      <c r="F341"/>
      <c r="G341"/>
      <c r="H341"/>
      <c r="I341"/>
      <c r="J341"/>
    </row>
    <row r="342" spans="1:10" ht="15" customHeight="1" x14ac:dyDescent="0.15">
      <c r="A342"/>
      <c r="B342"/>
      <c r="C342"/>
      <c r="D342"/>
      <c r="E342"/>
      <c r="F342"/>
      <c r="G342"/>
      <c r="H342"/>
      <c r="I342"/>
      <c r="J342"/>
    </row>
    <row r="343" spans="1:10" ht="15" customHeight="1" x14ac:dyDescent="0.15">
      <c r="A343"/>
      <c r="B343"/>
      <c r="C343"/>
      <c r="D343"/>
      <c r="E343"/>
      <c r="F343"/>
      <c r="G343"/>
      <c r="H343"/>
      <c r="I343"/>
      <c r="J343"/>
    </row>
    <row r="344" spans="1:10" ht="15" customHeight="1" x14ac:dyDescent="0.15">
      <c r="A344"/>
      <c r="B344"/>
      <c r="C344"/>
      <c r="D344"/>
      <c r="E344"/>
      <c r="F344"/>
      <c r="G344"/>
      <c r="H344"/>
      <c r="I344"/>
      <c r="J344"/>
    </row>
    <row r="345" spans="1:10" ht="15" customHeight="1" x14ac:dyDescent="0.15">
      <c r="A345"/>
      <c r="B345"/>
      <c r="C345"/>
      <c r="D345"/>
      <c r="E345"/>
      <c r="F345"/>
      <c r="G345"/>
      <c r="H345"/>
      <c r="I345"/>
      <c r="J345"/>
    </row>
    <row r="346" spans="1:10" ht="15" customHeight="1" x14ac:dyDescent="0.15">
      <c r="A346"/>
      <c r="B346"/>
      <c r="C346"/>
      <c r="D346"/>
      <c r="E346"/>
      <c r="F346"/>
      <c r="G346"/>
      <c r="H346"/>
      <c r="I346"/>
      <c r="J346"/>
    </row>
    <row r="347" spans="1:10" ht="15" customHeight="1" x14ac:dyDescent="0.15">
      <c r="A347"/>
      <c r="B347"/>
      <c r="C347"/>
      <c r="D347"/>
      <c r="E347"/>
      <c r="F347"/>
      <c r="G347"/>
      <c r="H347"/>
      <c r="I347"/>
      <c r="J347"/>
    </row>
    <row r="348" spans="1:10" ht="15" customHeight="1" x14ac:dyDescent="0.15">
      <c r="A348"/>
      <c r="B348"/>
      <c r="C348"/>
      <c r="D348"/>
      <c r="E348"/>
      <c r="F348"/>
      <c r="G348"/>
      <c r="H348"/>
      <c r="I348"/>
      <c r="J348"/>
    </row>
    <row r="349" spans="1:10" ht="15" customHeight="1" x14ac:dyDescent="0.15">
      <c r="A349"/>
      <c r="B349"/>
      <c r="C349"/>
      <c r="D349"/>
      <c r="E349"/>
      <c r="F349"/>
      <c r="G349"/>
      <c r="H349"/>
      <c r="I349"/>
      <c r="J349"/>
    </row>
    <row r="350" spans="1:10" ht="15" customHeight="1" x14ac:dyDescent="0.15">
      <c r="A350"/>
      <c r="B350"/>
      <c r="C350"/>
      <c r="D350"/>
      <c r="E350"/>
      <c r="F350"/>
      <c r="G350"/>
      <c r="H350"/>
      <c r="I350"/>
      <c r="J350"/>
    </row>
    <row r="351" spans="1:10" ht="15" customHeight="1" x14ac:dyDescent="0.15">
      <c r="A351"/>
      <c r="B351"/>
      <c r="C351"/>
      <c r="D351"/>
      <c r="E351"/>
      <c r="F351"/>
      <c r="G351"/>
      <c r="H351"/>
      <c r="I351"/>
      <c r="J351"/>
    </row>
    <row r="352" spans="1:10" ht="15" customHeight="1" x14ac:dyDescent="0.15">
      <c r="A352"/>
      <c r="B352"/>
      <c r="C352"/>
      <c r="D352"/>
      <c r="E352"/>
      <c r="F352"/>
      <c r="G352"/>
      <c r="H352"/>
      <c r="I352"/>
      <c r="J352"/>
    </row>
    <row r="353" spans="1:10" ht="15" customHeight="1" x14ac:dyDescent="0.15">
      <c r="A353"/>
      <c r="B353"/>
      <c r="C353"/>
      <c r="D353"/>
      <c r="E353"/>
      <c r="F353"/>
      <c r="G353"/>
      <c r="H353"/>
      <c r="I353"/>
      <c r="J353"/>
    </row>
    <row r="354" spans="1:10" ht="15" customHeight="1" x14ac:dyDescent="0.15">
      <c r="A354"/>
      <c r="B354"/>
      <c r="C354"/>
      <c r="D354"/>
      <c r="E354"/>
      <c r="F354"/>
      <c r="G354"/>
      <c r="H354"/>
      <c r="I354"/>
      <c r="J354"/>
    </row>
    <row r="355" spans="1:10" ht="15" customHeight="1" x14ac:dyDescent="0.15">
      <c r="A355"/>
      <c r="B355"/>
      <c r="C355"/>
      <c r="D355"/>
      <c r="E355"/>
      <c r="F355"/>
      <c r="G355"/>
      <c r="H355"/>
      <c r="I355"/>
      <c r="J355"/>
    </row>
    <row r="356" spans="1:10" ht="15" customHeight="1" x14ac:dyDescent="0.15">
      <c r="A356"/>
      <c r="B356"/>
      <c r="C356"/>
      <c r="D356"/>
      <c r="E356"/>
      <c r="F356"/>
      <c r="G356"/>
      <c r="H356"/>
      <c r="I356"/>
      <c r="J356"/>
    </row>
    <row r="357" spans="1:10" ht="15" customHeight="1" x14ac:dyDescent="0.15">
      <c r="A357"/>
      <c r="B357"/>
      <c r="C357"/>
      <c r="D357"/>
      <c r="E357"/>
      <c r="F357"/>
      <c r="G357"/>
      <c r="H357"/>
      <c r="I357"/>
      <c r="J357"/>
    </row>
    <row r="358" spans="1:10" ht="15" customHeight="1" x14ac:dyDescent="0.15">
      <c r="A358"/>
      <c r="B358"/>
      <c r="C358"/>
      <c r="D358"/>
      <c r="E358"/>
      <c r="F358"/>
      <c r="G358"/>
      <c r="H358"/>
      <c r="I358"/>
      <c r="J358"/>
    </row>
    <row r="359" spans="1:10" ht="15" customHeight="1" x14ac:dyDescent="0.15">
      <c r="A359"/>
      <c r="B359"/>
      <c r="C359"/>
      <c r="D359"/>
      <c r="E359"/>
      <c r="F359"/>
      <c r="G359"/>
      <c r="H359"/>
      <c r="I359"/>
      <c r="J359"/>
    </row>
    <row r="360" spans="1:10" ht="15" customHeight="1" x14ac:dyDescent="0.15">
      <c r="A360"/>
      <c r="B360"/>
      <c r="C360"/>
      <c r="D360"/>
      <c r="E360"/>
      <c r="F360"/>
      <c r="G360"/>
      <c r="H360"/>
      <c r="I360"/>
      <c r="J360"/>
    </row>
    <row r="361" spans="1:10" ht="15" customHeight="1" x14ac:dyDescent="0.15">
      <c r="A361"/>
      <c r="B361"/>
      <c r="C361"/>
      <c r="D361"/>
      <c r="E361"/>
      <c r="F361"/>
      <c r="G361"/>
      <c r="H361"/>
      <c r="I361"/>
      <c r="J361"/>
    </row>
    <row r="362" spans="1:10" ht="15" customHeight="1" x14ac:dyDescent="0.15">
      <c r="A362"/>
      <c r="B362"/>
      <c r="C362"/>
      <c r="D362"/>
      <c r="E362"/>
      <c r="F362"/>
      <c r="G362"/>
      <c r="H362"/>
      <c r="I362"/>
      <c r="J362"/>
    </row>
    <row r="363" spans="1:10" ht="15" customHeight="1" x14ac:dyDescent="0.15">
      <c r="A363"/>
      <c r="B363"/>
      <c r="C363"/>
      <c r="D363"/>
      <c r="E363"/>
      <c r="F363"/>
      <c r="G363"/>
      <c r="H363"/>
      <c r="I363"/>
      <c r="J363"/>
    </row>
    <row r="364" spans="1:10" ht="15" customHeight="1" x14ac:dyDescent="0.15">
      <c r="A364"/>
      <c r="B364"/>
      <c r="C364"/>
      <c r="D364"/>
      <c r="E364"/>
      <c r="F364"/>
      <c r="G364"/>
      <c r="H364"/>
      <c r="I364"/>
      <c r="J364"/>
    </row>
    <row r="365" spans="1:10" ht="15" customHeight="1" x14ac:dyDescent="0.15">
      <c r="A365"/>
      <c r="B365"/>
      <c r="C365"/>
      <c r="D365"/>
      <c r="E365"/>
      <c r="F365"/>
      <c r="G365"/>
      <c r="H365"/>
      <c r="I365"/>
      <c r="J365"/>
    </row>
    <row r="366" spans="1:10" ht="15" customHeight="1" x14ac:dyDescent="0.15">
      <c r="A366"/>
      <c r="B366"/>
      <c r="C366"/>
      <c r="D366"/>
      <c r="E366"/>
      <c r="F366"/>
      <c r="G366"/>
      <c r="H366"/>
      <c r="I366"/>
      <c r="J366"/>
    </row>
    <row r="367" spans="1:10" ht="15" customHeight="1" x14ac:dyDescent="0.15">
      <c r="A367"/>
      <c r="B367"/>
      <c r="C367"/>
      <c r="D367"/>
      <c r="E367"/>
      <c r="F367"/>
      <c r="G367"/>
      <c r="H367"/>
      <c r="I367"/>
      <c r="J367"/>
    </row>
    <row r="368" spans="1:10" ht="15" customHeight="1" x14ac:dyDescent="0.15">
      <c r="A368"/>
      <c r="B368"/>
      <c r="C368"/>
      <c r="D368"/>
      <c r="E368"/>
      <c r="F368"/>
      <c r="G368"/>
      <c r="H368"/>
      <c r="I368"/>
      <c r="J368"/>
    </row>
    <row r="369" spans="1:10" ht="15" customHeight="1" x14ac:dyDescent="0.15">
      <c r="A369"/>
      <c r="B369"/>
      <c r="C369"/>
      <c r="D369"/>
      <c r="E369"/>
      <c r="F369"/>
      <c r="G369"/>
      <c r="H369"/>
      <c r="I369"/>
      <c r="J369"/>
    </row>
    <row r="370" spans="1:10" ht="15" customHeight="1" x14ac:dyDescent="0.15">
      <c r="A370"/>
      <c r="B370"/>
      <c r="C370"/>
      <c r="D370"/>
      <c r="E370"/>
      <c r="F370"/>
      <c r="G370"/>
      <c r="H370"/>
      <c r="I370"/>
      <c r="J370"/>
    </row>
    <row r="371" spans="1:10" ht="15" customHeight="1" x14ac:dyDescent="0.15">
      <c r="A371"/>
      <c r="B371"/>
      <c r="C371"/>
      <c r="D371"/>
      <c r="E371"/>
      <c r="F371"/>
      <c r="G371"/>
      <c r="H371"/>
      <c r="I371"/>
      <c r="J371"/>
    </row>
    <row r="372" spans="1:10" ht="15" customHeight="1" x14ac:dyDescent="0.15">
      <c r="A372"/>
      <c r="B372"/>
      <c r="C372"/>
      <c r="D372"/>
      <c r="E372"/>
      <c r="F372"/>
      <c r="G372"/>
      <c r="H372"/>
      <c r="I372"/>
      <c r="J372"/>
    </row>
    <row r="373" spans="1:10" ht="15" customHeight="1" x14ac:dyDescent="0.15">
      <c r="A373"/>
      <c r="B373"/>
      <c r="C373"/>
      <c r="D373"/>
      <c r="E373"/>
      <c r="F373"/>
      <c r="G373"/>
      <c r="H373"/>
      <c r="I373"/>
      <c r="J373"/>
    </row>
    <row r="374" spans="1:10" ht="15" customHeight="1" x14ac:dyDescent="0.15">
      <c r="A374"/>
      <c r="B374"/>
      <c r="C374"/>
      <c r="D374"/>
      <c r="E374"/>
      <c r="F374"/>
      <c r="G374"/>
      <c r="H374"/>
      <c r="I374"/>
      <c r="J374"/>
    </row>
    <row r="375" spans="1:10" ht="15" customHeight="1" x14ac:dyDescent="0.15">
      <c r="A375"/>
      <c r="B375"/>
      <c r="C375"/>
      <c r="D375"/>
      <c r="E375"/>
      <c r="F375"/>
      <c r="G375"/>
      <c r="H375"/>
      <c r="I375"/>
      <c r="J375"/>
    </row>
    <row r="376" spans="1:10" ht="15" customHeight="1" x14ac:dyDescent="0.15">
      <c r="A376"/>
      <c r="B376"/>
      <c r="C376"/>
      <c r="D376"/>
      <c r="E376"/>
      <c r="F376"/>
      <c r="G376"/>
      <c r="H376"/>
      <c r="I376"/>
      <c r="J376"/>
    </row>
    <row r="377" spans="1:10" ht="15" customHeight="1" x14ac:dyDescent="0.15">
      <c r="A377"/>
      <c r="B377"/>
      <c r="C377"/>
      <c r="D377"/>
      <c r="E377"/>
      <c r="F377"/>
      <c r="G377"/>
      <c r="H377"/>
      <c r="I377"/>
      <c r="J377"/>
    </row>
    <row r="378" spans="1:10" ht="15" customHeight="1" x14ac:dyDescent="0.15">
      <c r="A378"/>
      <c r="B378"/>
      <c r="C378"/>
      <c r="D378"/>
      <c r="E378"/>
      <c r="F378"/>
      <c r="G378"/>
      <c r="H378"/>
      <c r="I378"/>
      <c r="J378"/>
    </row>
    <row r="379" spans="1:10" ht="15" customHeight="1" x14ac:dyDescent="0.15">
      <c r="A379"/>
      <c r="B379"/>
      <c r="C379"/>
      <c r="D379"/>
      <c r="E379"/>
      <c r="F379"/>
      <c r="G379"/>
      <c r="H379"/>
      <c r="I379"/>
      <c r="J379"/>
    </row>
    <row r="380" spans="1:10" ht="15" customHeight="1" x14ac:dyDescent="0.15">
      <c r="A380"/>
      <c r="B380"/>
      <c r="C380"/>
      <c r="D380"/>
      <c r="E380"/>
      <c r="F380"/>
      <c r="G380"/>
      <c r="H380"/>
      <c r="I380"/>
      <c r="J380"/>
    </row>
    <row r="381" spans="1:10" ht="15" customHeight="1" x14ac:dyDescent="0.15">
      <c r="A381"/>
      <c r="B381"/>
      <c r="C381"/>
      <c r="D381"/>
      <c r="E381"/>
      <c r="F381"/>
      <c r="G381"/>
      <c r="H381"/>
      <c r="I381"/>
      <c r="J381"/>
    </row>
    <row r="382" spans="1:10" ht="15" customHeight="1" x14ac:dyDescent="0.15">
      <c r="A382"/>
      <c r="B382"/>
      <c r="C382"/>
      <c r="D382"/>
      <c r="E382"/>
      <c r="F382"/>
      <c r="G382"/>
      <c r="H382"/>
      <c r="I382"/>
      <c r="J382"/>
    </row>
    <row r="383" spans="1:10" ht="15" customHeight="1" x14ac:dyDescent="0.15">
      <c r="A383"/>
      <c r="B383"/>
      <c r="C383"/>
      <c r="D383"/>
      <c r="E383"/>
      <c r="F383"/>
      <c r="G383"/>
      <c r="H383"/>
      <c r="I383"/>
      <c r="J383"/>
    </row>
    <row r="384" spans="1:10" ht="15" customHeight="1" x14ac:dyDescent="0.15">
      <c r="A384"/>
      <c r="B384"/>
      <c r="C384"/>
      <c r="D384"/>
      <c r="E384"/>
      <c r="F384"/>
      <c r="G384"/>
      <c r="H384"/>
      <c r="I384"/>
      <c r="J384"/>
    </row>
    <row r="385" spans="1:10" ht="15" customHeight="1" x14ac:dyDescent="0.15">
      <c r="A385"/>
      <c r="B385"/>
      <c r="C385"/>
      <c r="D385"/>
      <c r="E385"/>
      <c r="F385"/>
      <c r="G385"/>
      <c r="H385"/>
      <c r="I385"/>
      <c r="J385"/>
    </row>
    <row r="386" spans="1:10" ht="15" customHeight="1" x14ac:dyDescent="0.15">
      <c r="A386"/>
      <c r="B386"/>
      <c r="C386"/>
      <c r="D386"/>
      <c r="E386"/>
      <c r="F386"/>
      <c r="G386"/>
      <c r="H386"/>
      <c r="I386"/>
      <c r="J386"/>
    </row>
    <row r="387" spans="1:10" ht="15" customHeight="1" x14ac:dyDescent="0.15">
      <c r="A387"/>
      <c r="B387"/>
      <c r="C387"/>
      <c r="D387"/>
      <c r="E387"/>
      <c r="F387"/>
      <c r="G387"/>
      <c r="H387"/>
      <c r="I387"/>
      <c r="J387"/>
    </row>
    <row r="388" spans="1:10" ht="15" customHeight="1" x14ac:dyDescent="0.15">
      <c r="A388"/>
      <c r="B388"/>
      <c r="C388"/>
      <c r="D388"/>
      <c r="E388"/>
      <c r="F388"/>
      <c r="G388"/>
      <c r="H388"/>
      <c r="I388"/>
      <c r="J388"/>
    </row>
    <row r="389" spans="1:10" ht="15" customHeight="1" x14ac:dyDescent="0.15">
      <c r="A389"/>
      <c r="B389"/>
      <c r="C389"/>
      <c r="D389"/>
      <c r="E389"/>
      <c r="F389"/>
      <c r="G389"/>
      <c r="H389"/>
      <c r="I389"/>
      <c r="J389"/>
    </row>
    <row r="390" spans="1:10" ht="15" customHeight="1" x14ac:dyDescent="0.15">
      <c r="A390"/>
      <c r="B390"/>
      <c r="C390"/>
      <c r="D390"/>
      <c r="E390"/>
      <c r="F390"/>
      <c r="G390"/>
      <c r="H390"/>
      <c r="I390"/>
      <c r="J390"/>
    </row>
    <row r="391" spans="1:10" ht="15" customHeight="1" x14ac:dyDescent="0.15">
      <c r="A391"/>
      <c r="B391"/>
      <c r="C391"/>
      <c r="D391"/>
      <c r="E391"/>
      <c r="F391"/>
      <c r="G391"/>
      <c r="H391"/>
      <c r="I391"/>
      <c r="J391"/>
    </row>
    <row r="392" spans="1:10" ht="15" customHeight="1" x14ac:dyDescent="0.15">
      <c r="A392"/>
      <c r="B392"/>
      <c r="C392"/>
      <c r="D392"/>
      <c r="E392"/>
      <c r="F392"/>
      <c r="G392"/>
      <c r="H392"/>
      <c r="I392"/>
      <c r="J392"/>
    </row>
    <row r="393" spans="1:10" ht="15" customHeight="1" x14ac:dyDescent="0.15">
      <c r="A393"/>
      <c r="B393"/>
      <c r="C393"/>
      <c r="D393"/>
      <c r="E393"/>
      <c r="F393"/>
      <c r="G393"/>
      <c r="H393"/>
      <c r="I393"/>
      <c r="J393"/>
    </row>
    <row r="394" spans="1:10" ht="15" customHeight="1" x14ac:dyDescent="0.15">
      <c r="A394"/>
      <c r="B394"/>
      <c r="C394"/>
      <c r="D394"/>
      <c r="E394"/>
      <c r="F394"/>
      <c r="G394"/>
      <c r="H394"/>
      <c r="I394"/>
      <c r="J394"/>
    </row>
    <row r="395" spans="1:10" ht="15" customHeight="1" x14ac:dyDescent="0.15">
      <c r="A395"/>
      <c r="B395"/>
      <c r="C395"/>
      <c r="D395"/>
      <c r="E395"/>
      <c r="F395"/>
      <c r="G395"/>
      <c r="H395"/>
      <c r="I395"/>
      <c r="J395"/>
    </row>
    <row r="396" spans="1:10" ht="15" customHeight="1" x14ac:dyDescent="0.15">
      <c r="A396"/>
      <c r="B396"/>
      <c r="C396"/>
      <c r="D396"/>
      <c r="E396"/>
      <c r="F396"/>
      <c r="G396"/>
      <c r="H396"/>
      <c r="I396"/>
      <c r="J396"/>
    </row>
    <row r="397" spans="1:10" ht="15" customHeight="1" x14ac:dyDescent="0.15">
      <c r="A397"/>
      <c r="B397"/>
      <c r="C397"/>
      <c r="D397"/>
      <c r="E397"/>
      <c r="F397"/>
      <c r="G397"/>
      <c r="H397"/>
      <c r="I397"/>
      <c r="J397"/>
    </row>
    <row r="398" spans="1:10" ht="15" customHeight="1" x14ac:dyDescent="0.15">
      <c r="A398"/>
      <c r="B398"/>
      <c r="C398"/>
      <c r="D398"/>
      <c r="E398"/>
      <c r="F398"/>
      <c r="G398"/>
      <c r="H398"/>
      <c r="I398"/>
      <c r="J398"/>
    </row>
    <row r="399" spans="1:10" ht="15" customHeight="1" x14ac:dyDescent="0.15">
      <c r="A399"/>
      <c r="B399"/>
      <c r="C399"/>
      <c r="D399"/>
      <c r="E399"/>
      <c r="F399"/>
      <c r="G399"/>
      <c r="H399"/>
      <c r="I399"/>
      <c r="J399"/>
    </row>
    <row r="400" spans="1:10" ht="15" customHeight="1" x14ac:dyDescent="0.15">
      <c r="A400"/>
      <c r="B400"/>
      <c r="C400"/>
      <c r="D400"/>
      <c r="E400"/>
      <c r="F400"/>
      <c r="G400"/>
      <c r="H400"/>
      <c r="I400"/>
      <c r="J400"/>
    </row>
    <row r="401" spans="1:10" ht="15" customHeight="1" x14ac:dyDescent="0.15">
      <c r="A401"/>
      <c r="B401"/>
      <c r="C401"/>
      <c r="D401"/>
      <c r="E401"/>
      <c r="F401"/>
      <c r="G401"/>
      <c r="H401"/>
      <c r="I401"/>
      <c r="J401"/>
    </row>
    <row r="402" spans="1:10" ht="15" customHeight="1" x14ac:dyDescent="0.15">
      <c r="A402"/>
      <c r="B402"/>
      <c r="C402"/>
      <c r="D402"/>
      <c r="E402"/>
      <c r="F402"/>
      <c r="G402"/>
      <c r="H402"/>
      <c r="I402"/>
      <c r="J402"/>
    </row>
    <row r="403" spans="1:10" ht="15" customHeight="1" x14ac:dyDescent="0.15">
      <c r="A403"/>
      <c r="B403"/>
      <c r="C403"/>
      <c r="D403"/>
      <c r="E403"/>
      <c r="F403"/>
      <c r="G403"/>
      <c r="H403"/>
      <c r="I403"/>
      <c r="J403"/>
    </row>
    <row r="404" spans="1:10" ht="15" customHeight="1" x14ac:dyDescent="0.15">
      <c r="A404"/>
      <c r="B404"/>
      <c r="C404"/>
      <c r="D404"/>
      <c r="E404"/>
      <c r="F404"/>
      <c r="G404"/>
      <c r="H404"/>
      <c r="I404"/>
      <c r="J404"/>
    </row>
    <row r="405" spans="1:10" ht="15" customHeight="1" x14ac:dyDescent="0.15">
      <c r="A405"/>
      <c r="B405"/>
      <c r="C405"/>
      <c r="D405"/>
      <c r="E405"/>
      <c r="F405"/>
      <c r="G405"/>
      <c r="H405"/>
      <c r="I405"/>
      <c r="J405"/>
    </row>
    <row r="406" spans="1:10" ht="15" customHeight="1" x14ac:dyDescent="0.15">
      <c r="A406"/>
      <c r="B406"/>
      <c r="C406"/>
      <c r="D406"/>
      <c r="E406"/>
      <c r="F406"/>
      <c r="G406"/>
      <c r="H406"/>
      <c r="I406"/>
      <c r="J406"/>
    </row>
    <row r="407" spans="1:10" ht="15" customHeight="1" x14ac:dyDescent="0.15">
      <c r="A407"/>
      <c r="B407"/>
      <c r="C407"/>
      <c r="D407"/>
      <c r="E407"/>
      <c r="F407"/>
      <c r="G407"/>
      <c r="H407"/>
      <c r="I407"/>
      <c r="J407"/>
    </row>
    <row r="408" spans="1:10" ht="15" customHeight="1" x14ac:dyDescent="0.15">
      <c r="A408"/>
      <c r="B408"/>
      <c r="C408"/>
      <c r="D408"/>
      <c r="E408"/>
      <c r="F408"/>
      <c r="G408"/>
      <c r="H408"/>
      <c r="I408"/>
      <c r="J408"/>
    </row>
    <row r="409" spans="1:10" ht="15" customHeight="1" x14ac:dyDescent="0.15">
      <c r="A409"/>
      <c r="B409"/>
      <c r="C409"/>
      <c r="D409"/>
      <c r="E409"/>
      <c r="F409"/>
      <c r="G409"/>
      <c r="H409"/>
      <c r="I409"/>
      <c r="J409"/>
    </row>
    <row r="410" spans="1:10" ht="15" customHeight="1" x14ac:dyDescent="0.15">
      <c r="A410"/>
      <c r="B410"/>
      <c r="C410"/>
      <c r="D410"/>
      <c r="E410"/>
      <c r="F410"/>
      <c r="G410"/>
      <c r="H410"/>
      <c r="I410"/>
      <c r="J410"/>
    </row>
    <row r="411" spans="1:10" ht="15" customHeight="1" x14ac:dyDescent="0.15">
      <c r="A411"/>
      <c r="B411"/>
      <c r="C411"/>
      <c r="D411"/>
      <c r="E411"/>
      <c r="F411"/>
      <c r="G411"/>
      <c r="H411"/>
      <c r="I411"/>
      <c r="J411"/>
    </row>
    <row r="412" spans="1:10" ht="15" customHeight="1" x14ac:dyDescent="0.15">
      <c r="A412"/>
      <c r="B412"/>
      <c r="C412"/>
      <c r="D412"/>
      <c r="E412"/>
      <c r="F412"/>
      <c r="G412"/>
      <c r="H412"/>
      <c r="I412"/>
      <c r="J412"/>
    </row>
    <row r="413" spans="1:10" ht="15" customHeight="1" x14ac:dyDescent="0.15">
      <c r="A413"/>
      <c r="B413"/>
      <c r="C413"/>
      <c r="D413"/>
      <c r="E413"/>
      <c r="F413"/>
      <c r="G413"/>
      <c r="H413"/>
      <c r="I413"/>
      <c r="J413"/>
    </row>
    <row r="414" spans="1:10" ht="15" customHeight="1" x14ac:dyDescent="0.15">
      <c r="A414"/>
      <c r="B414"/>
      <c r="C414"/>
      <c r="D414"/>
      <c r="E414"/>
      <c r="F414"/>
      <c r="G414"/>
      <c r="H414"/>
      <c r="I414"/>
      <c r="J414"/>
    </row>
    <row r="415" spans="1:10" ht="15" customHeight="1" x14ac:dyDescent="0.15">
      <c r="A415"/>
      <c r="B415"/>
      <c r="C415"/>
      <c r="D415"/>
      <c r="E415"/>
      <c r="F415"/>
      <c r="G415"/>
      <c r="H415"/>
      <c r="I415"/>
      <c r="J415"/>
    </row>
    <row r="416" spans="1:10" ht="15" customHeight="1" x14ac:dyDescent="0.15">
      <c r="A416"/>
      <c r="B416"/>
      <c r="C416"/>
      <c r="D416"/>
      <c r="E416"/>
      <c r="F416"/>
      <c r="G416"/>
      <c r="H416"/>
      <c r="I416"/>
      <c r="J416"/>
    </row>
    <row r="417" spans="1:10" ht="15" customHeight="1" x14ac:dyDescent="0.15">
      <c r="A417"/>
      <c r="B417"/>
      <c r="C417"/>
      <c r="D417"/>
      <c r="E417"/>
      <c r="F417"/>
      <c r="G417"/>
      <c r="H417"/>
      <c r="I417"/>
      <c r="J417"/>
    </row>
    <row r="418" spans="1:10" ht="15" customHeight="1" x14ac:dyDescent="0.15">
      <c r="A418"/>
      <c r="B418"/>
      <c r="C418"/>
      <c r="D418"/>
      <c r="E418"/>
      <c r="F418"/>
      <c r="G418"/>
      <c r="H418"/>
      <c r="I418"/>
      <c r="J418"/>
    </row>
    <row r="419" spans="1:10" ht="15" customHeight="1" x14ac:dyDescent="0.15">
      <c r="A419"/>
      <c r="B419"/>
      <c r="C419"/>
      <c r="D419"/>
      <c r="E419"/>
      <c r="F419"/>
      <c r="G419"/>
      <c r="H419"/>
      <c r="I419"/>
      <c r="J419"/>
    </row>
    <row r="420" spans="1:10" ht="15" customHeight="1" x14ac:dyDescent="0.15">
      <c r="A420"/>
      <c r="B420"/>
      <c r="C420"/>
      <c r="D420"/>
      <c r="E420"/>
      <c r="F420"/>
      <c r="G420"/>
      <c r="H420"/>
      <c r="I420"/>
      <c r="J420"/>
    </row>
    <row r="421" spans="1:10" ht="15" customHeight="1" x14ac:dyDescent="0.15">
      <c r="A421"/>
      <c r="B421"/>
      <c r="C421"/>
      <c r="D421"/>
      <c r="E421"/>
      <c r="F421"/>
      <c r="G421"/>
      <c r="H421"/>
      <c r="I421"/>
      <c r="J421"/>
    </row>
    <row r="422" spans="1:10" ht="15" customHeight="1" x14ac:dyDescent="0.15">
      <c r="A422"/>
      <c r="B422"/>
      <c r="C422"/>
      <c r="D422"/>
      <c r="E422"/>
      <c r="F422"/>
      <c r="G422"/>
      <c r="H422"/>
      <c r="I422"/>
      <c r="J422"/>
    </row>
    <row r="423" spans="1:10" ht="15" customHeight="1" x14ac:dyDescent="0.15">
      <c r="A423"/>
      <c r="B423"/>
      <c r="C423"/>
      <c r="D423"/>
      <c r="E423"/>
      <c r="F423"/>
      <c r="G423"/>
      <c r="H423"/>
      <c r="I423"/>
      <c r="J423"/>
    </row>
    <row r="424" spans="1:10" ht="15" customHeight="1" x14ac:dyDescent="0.15">
      <c r="A424"/>
      <c r="B424"/>
      <c r="C424"/>
      <c r="D424"/>
      <c r="E424"/>
      <c r="F424"/>
      <c r="G424"/>
      <c r="H424"/>
      <c r="I424"/>
      <c r="J424"/>
    </row>
    <row r="425" spans="1:10" ht="15" customHeight="1" x14ac:dyDescent="0.15">
      <c r="A425"/>
      <c r="B425"/>
      <c r="C425"/>
      <c r="D425"/>
      <c r="E425"/>
      <c r="F425"/>
      <c r="G425"/>
      <c r="H425"/>
      <c r="I425"/>
      <c r="J425"/>
    </row>
    <row r="426" spans="1:10" ht="15" customHeight="1" x14ac:dyDescent="0.15">
      <c r="A426"/>
      <c r="B426"/>
      <c r="C426"/>
      <c r="D426"/>
      <c r="E426"/>
      <c r="F426"/>
      <c r="G426"/>
      <c r="H426"/>
      <c r="I426"/>
      <c r="J426"/>
    </row>
    <row r="427" spans="1:10" ht="15" customHeight="1" x14ac:dyDescent="0.15">
      <c r="A427"/>
      <c r="B427"/>
      <c r="C427"/>
      <c r="D427"/>
      <c r="E427"/>
      <c r="F427"/>
      <c r="G427"/>
      <c r="H427"/>
      <c r="I427"/>
      <c r="J427"/>
    </row>
    <row r="428" spans="1:10" ht="15" customHeight="1" x14ac:dyDescent="0.15">
      <c r="A428"/>
      <c r="B428"/>
      <c r="C428"/>
      <c r="D428"/>
      <c r="E428"/>
      <c r="F428"/>
      <c r="G428"/>
      <c r="H428"/>
      <c r="I428"/>
      <c r="J428"/>
    </row>
    <row r="429" spans="1:10" ht="15" customHeight="1" x14ac:dyDescent="0.15">
      <c r="A429"/>
      <c r="B429"/>
      <c r="C429"/>
      <c r="D429"/>
      <c r="E429"/>
      <c r="F429"/>
      <c r="G429"/>
      <c r="H429"/>
      <c r="I429"/>
      <c r="J429"/>
    </row>
    <row r="430" spans="1:10" ht="15" customHeight="1" x14ac:dyDescent="0.15">
      <c r="A430"/>
      <c r="B430"/>
      <c r="C430"/>
      <c r="D430"/>
      <c r="E430"/>
      <c r="F430"/>
      <c r="G430"/>
      <c r="H430"/>
      <c r="I430"/>
      <c r="J430"/>
    </row>
    <row r="431" spans="1:10" ht="15" customHeight="1" x14ac:dyDescent="0.15">
      <c r="A431"/>
      <c r="B431"/>
      <c r="C431"/>
      <c r="D431"/>
      <c r="E431"/>
      <c r="F431"/>
      <c r="G431"/>
      <c r="H431"/>
      <c r="I431"/>
      <c r="J431"/>
    </row>
    <row r="432" spans="1:10" ht="15" customHeight="1" x14ac:dyDescent="0.15">
      <c r="A432"/>
      <c r="B432"/>
      <c r="C432"/>
      <c r="D432"/>
      <c r="E432"/>
      <c r="F432"/>
      <c r="G432"/>
      <c r="H432"/>
      <c r="I432"/>
      <c r="J432"/>
    </row>
    <row r="433" spans="1:10" ht="15" customHeight="1" x14ac:dyDescent="0.15">
      <c r="A433"/>
      <c r="B433"/>
      <c r="C433"/>
      <c r="D433"/>
      <c r="E433"/>
      <c r="F433"/>
      <c r="G433"/>
      <c r="H433"/>
      <c r="I433"/>
      <c r="J433"/>
    </row>
    <row r="434" spans="1:10" ht="15" customHeight="1" x14ac:dyDescent="0.15">
      <c r="A434"/>
      <c r="B434"/>
      <c r="C434"/>
      <c r="D434"/>
      <c r="E434"/>
      <c r="F434"/>
      <c r="G434"/>
      <c r="H434"/>
      <c r="I434"/>
      <c r="J434"/>
    </row>
    <row r="435" spans="1:10" ht="15" customHeight="1" x14ac:dyDescent="0.15">
      <c r="A435"/>
      <c r="B435"/>
      <c r="C435"/>
      <c r="D435"/>
      <c r="E435"/>
      <c r="F435"/>
      <c r="G435"/>
      <c r="H435"/>
      <c r="I435"/>
      <c r="J435"/>
    </row>
    <row r="436" spans="1:10" ht="15" customHeight="1" x14ac:dyDescent="0.15">
      <c r="A436"/>
      <c r="B436"/>
      <c r="C436"/>
      <c r="D436"/>
      <c r="E436"/>
      <c r="F436"/>
      <c r="G436"/>
      <c r="H436"/>
      <c r="I436"/>
      <c r="J436"/>
    </row>
    <row r="437" spans="1:10" ht="15" customHeight="1" x14ac:dyDescent="0.15">
      <c r="A437"/>
      <c r="B437"/>
      <c r="C437"/>
      <c r="D437"/>
      <c r="E437"/>
      <c r="F437"/>
      <c r="G437"/>
      <c r="H437"/>
      <c r="I437"/>
      <c r="J437"/>
    </row>
    <row r="438" spans="1:10" ht="15" customHeight="1" x14ac:dyDescent="0.15">
      <c r="A438"/>
      <c r="B438"/>
      <c r="C438"/>
      <c r="D438"/>
      <c r="E438"/>
      <c r="F438"/>
      <c r="G438"/>
      <c r="H438"/>
      <c r="I438"/>
      <c r="J438"/>
    </row>
    <row r="439" spans="1:10" ht="15" customHeight="1" x14ac:dyDescent="0.15">
      <c r="A439"/>
      <c r="B439"/>
      <c r="C439"/>
      <c r="D439"/>
      <c r="E439"/>
      <c r="F439"/>
      <c r="G439"/>
      <c r="H439"/>
      <c r="I439"/>
      <c r="J439"/>
    </row>
    <row r="440" spans="1:10" ht="15" customHeight="1" x14ac:dyDescent="0.15">
      <c r="A440"/>
      <c r="B440"/>
      <c r="C440"/>
      <c r="D440"/>
      <c r="E440"/>
      <c r="F440"/>
      <c r="G440"/>
      <c r="H440"/>
      <c r="I440"/>
      <c r="J440"/>
    </row>
    <row r="441" spans="1:10" ht="15" customHeight="1" x14ac:dyDescent="0.15">
      <c r="A441"/>
      <c r="B441"/>
      <c r="C441"/>
      <c r="D441"/>
      <c r="E441"/>
      <c r="F441"/>
      <c r="G441"/>
      <c r="H441"/>
      <c r="I441"/>
      <c r="J441"/>
    </row>
    <row r="442" spans="1:10" ht="15" customHeight="1" x14ac:dyDescent="0.15">
      <c r="A442"/>
      <c r="B442"/>
      <c r="C442"/>
      <c r="D442"/>
      <c r="E442"/>
      <c r="F442"/>
      <c r="G442"/>
      <c r="H442"/>
      <c r="I442"/>
      <c r="J442"/>
    </row>
    <row r="443" spans="1:10" ht="15" customHeight="1" x14ac:dyDescent="0.15">
      <c r="A443"/>
      <c r="B443"/>
      <c r="C443"/>
      <c r="D443"/>
      <c r="E443"/>
      <c r="F443"/>
      <c r="G443"/>
      <c r="H443"/>
      <c r="I443"/>
      <c r="J443"/>
    </row>
    <row r="444" spans="1:10" ht="15" customHeight="1" x14ac:dyDescent="0.15">
      <c r="A444"/>
      <c r="B444"/>
      <c r="C444"/>
      <c r="D444"/>
      <c r="E444"/>
      <c r="F444"/>
      <c r="G444"/>
      <c r="H444"/>
      <c r="I444"/>
      <c r="J444"/>
    </row>
    <row r="445" spans="1:10" ht="15" customHeight="1" x14ac:dyDescent="0.15">
      <c r="A445"/>
      <c r="B445"/>
      <c r="C445"/>
      <c r="D445"/>
      <c r="E445"/>
      <c r="F445"/>
      <c r="G445"/>
      <c r="H445"/>
      <c r="I445"/>
      <c r="J445"/>
    </row>
    <row r="446" spans="1:10" ht="15" customHeight="1" x14ac:dyDescent="0.15">
      <c r="A446"/>
      <c r="B446"/>
      <c r="C446"/>
      <c r="D446"/>
      <c r="E446"/>
      <c r="F446"/>
      <c r="G446"/>
      <c r="H446"/>
      <c r="I446"/>
      <c r="J446"/>
    </row>
    <row r="447" spans="1:10" ht="15" customHeight="1" x14ac:dyDescent="0.15">
      <c r="A447"/>
      <c r="B447"/>
      <c r="C447"/>
      <c r="D447"/>
      <c r="E447"/>
      <c r="F447"/>
      <c r="G447"/>
      <c r="H447"/>
      <c r="I447"/>
      <c r="J447"/>
    </row>
    <row r="448" spans="1:10" ht="15" customHeight="1" x14ac:dyDescent="0.15">
      <c r="A448"/>
      <c r="B448"/>
      <c r="C448"/>
      <c r="D448"/>
      <c r="E448"/>
      <c r="F448"/>
      <c r="G448"/>
      <c r="H448"/>
      <c r="I448"/>
      <c r="J448"/>
    </row>
    <row r="449" spans="1:10" ht="15" customHeight="1" x14ac:dyDescent="0.15">
      <c r="A449"/>
      <c r="B449"/>
      <c r="C449"/>
      <c r="D449"/>
      <c r="E449"/>
      <c r="F449"/>
      <c r="G449"/>
      <c r="H449"/>
      <c r="I449"/>
      <c r="J449"/>
    </row>
    <row r="450" spans="1:10" ht="15" customHeight="1" x14ac:dyDescent="0.15">
      <c r="A450"/>
      <c r="B450"/>
      <c r="C450"/>
      <c r="D450"/>
      <c r="E450"/>
      <c r="F450"/>
      <c r="G450"/>
      <c r="H450"/>
      <c r="I450"/>
      <c r="J450"/>
    </row>
    <row r="451" spans="1:10" ht="15" customHeight="1" x14ac:dyDescent="0.15">
      <c r="A451"/>
      <c r="B451"/>
      <c r="C451"/>
      <c r="D451"/>
      <c r="E451"/>
      <c r="F451"/>
      <c r="G451"/>
      <c r="H451"/>
      <c r="I451"/>
      <c r="J451"/>
    </row>
    <row r="452" spans="1:10" ht="15" customHeight="1" x14ac:dyDescent="0.15">
      <c r="A452"/>
      <c r="B452"/>
      <c r="C452"/>
      <c r="D452"/>
      <c r="E452"/>
      <c r="F452"/>
      <c r="G452"/>
      <c r="H452"/>
      <c r="I452"/>
      <c r="J452"/>
    </row>
    <row r="453" spans="1:10" ht="15" customHeight="1" x14ac:dyDescent="0.15">
      <c r="A453"/>
      <c r="B453"/>
      <c r="C453"/>
      <c r="D453"/>
      <c r="E453"/>
      <c r="F453"/>
      <c r="G453"/>
      <c r="H453"/>
      <c r="I453"/>
      <c r="J453"/>
    </row>
    <row r="454" spans="1:10" ht="15" customHeight="1" x14ac:dyDescent="0.15">
      <c r="A454"/>
      <c r="B454"/>
      <c r="C454"/>
      <c r="D454"/>
      <c r="E454"/>
      <c r="F454"/>
      <c r="G454"/>
      <c r="H454"/>
      <c r="I454"/>
      <c r="J454"/>
    </row>
    <row r="455" spans="1:10" ht="15" customHeight="1" x14ac:dyDescent="0.15">
      <c r="A455"/>
      <c r="B455"/>
      <c r="C455"/>
      <c r="D455"/>
      <c r="E455"/>
      <c r="F455"/>
      <c r="G455"/>
      <c r="H455"/>
      <c r="I455"/>
      <c r="J455"/>
    </row>
    <row r="456" spans="1:10" ht="15" customHeight="1" x14ac:dyDescent="0.15">
      <c r="A456"/>
      <c r="B456"/>
      <c r="C456"/>
      <c r="D456"/>
      <c r="E456"/>
      <c r="F456"/>
      <c r="G456"/>
      <c r="H456"/>
      <c r="I456"/>
      <c r="J456"/>
    </row>
    <row r="457" spans="1:10" ht="15" customHeight="1" x14ac:dyDescent="0.15">
      <c r="A457"/>
      <c r="B457"/>
      <c r="C457"/>
      <c r="D457"/>
      <c r="E457"/>
      <c r="F457"/>
      <c r="G457"/>
      <c r="H457"/>
      <c r="I457"/>
      <c r="J457"/>
    </row>
    <row r="458" spans="1:10" ht="15" customHeight="1" x14ac:dyDescent="0.15">
      <c r="A458"/>
      <c r="B458"/>
      <c r="C458"/>
      <c r="D458"/>
      <c r="E458"/>
      <c r="F458"/>
      <c r="G458"/>
      <c r="H458"/>
      <c r="I458"/>
      <c r="J458"/>
    </row>
    <row r="459" spans="1:10" ht="15" customHeight="1" x14ac:dyDescent="0.15">
      <c r="A459"/>
      <c r="B459"/>
      <c r="C459"/>
      <c r="D459"/>
      <c r="E459"/>
      <c r="F459"/>
      <c r="G459"/>
      <c r="H459"/>
      <c r="I459"/>
      <c r="J459"/>
    </row>
    <row r="460" spans="1:10" ht="15" customHeight="1" x14ac:dyDescent="0.15">
      <c r="A460"/>
      <c r="B460"/>
      <c r="C460"/>
      <c r="D460"/>
      <c r="E460"/>
      <c r="F460"/>
      <c r="G460"/>
      <c r="H460"/>
      <c r="I460"/>
      <c r="J460"/>
    </row>
    <row r="461" spans="1:10" ht="15" customHeight="1" x14ac:dyDescent="0.15">
      <c r="A461"/>
      <c r="B461"/>
      <c r="C461"/>
      <c r="D461"/>
      <c r="E461"/>
      <c r="F461"/>
      <c r="G461"/>
      <c r="H461"/>
      <c r="I461"/>
      <c r="J461"/>
    </row>
    <row r="462" spans="1:10" ht="15" customHeight="1" x14ac:dyDescent="0.15">
      <c r="A462"/>
      <c r="B462"/>
      <c r="C462"/>
      <c r="D462"/>
      <c r="E462"/>
      <c r="F462"/>
      <c r="G462"/>
      <c r="H462"/>
      <c r="I462"/>
      <c r="J462"/>
    </row>
    <row r="463" spans="1:10" ht="15" customHeight="1" x14ac:dyDescent="0.15">
      <c r="A463"/>
      <c r="B463"/>
      <c r="C463"/>
      <c r="D463"/>
      <c r="E463"/>
      <c r="F463"/>
      <c r="G463"/>
      <c r="H463"/>
      <c r="I463"/>
      <c r="J463"/>
    </row>
    <row r="464" spans="1:10" ht="15" customHeight="1" x14ac:dyDescent="0.15">
      <c r="A464"/>
      <c r="B464"/>
      <c r="C464"/>
      <c r="D464"/>
      <c r="E464"/>
      <c r="F464"/>
      <c r="G464"/>
      <c r="H464"/>
      <c r="I464"/>
      <c r="J464"/>
    </row>
    <row r="465" spans="1:10" ht="15" customHeight="1" x14ac:dyDescent="0.15">
      <c r="A465"/>
      <c r="B465"/>
      <c r="C465"/>
      <c r="D465"/>
      <c r="E465"/>
      <c r="F465"/>
      <c r="G465"/>
      <c r="H465"/>
      <c r="I465"/>
      <c r="J465"/>
    </row>
    <row r="466" spans="1:10" ht="15" customHeight="1" x14ac:dyDescent="0.15">
      <c r="A466"/>
      <c r="B466"/>
      <c r="C466"/>
      <c r="D466"/>
      <c r="E466"/>
      <c r="F466"/>
      <c r="G466"/>
      <c r="H466"/>
      <c r="I466"/>
      <c r="J466"/>
    </row>
    <row r="467" spans="1:10" ht="15" customHeight="1" x14ac:dyDescent="0.15">
      <c r="A467"/>
      <c r="B467"/>
      <c r="C467"/>
      <c r="D467"/>
      <c r="E467"/>
      <c r="F467"/>
      <c r="G467"/>
      <c r="H467"/>
      <c r="I467"/>
      <c r="J467"/>
    </row>
    <row r="468" spans="1:10" ht="15" customHeight="1" x14ac:dyDescent="0.15">
      <c r="A468"/>
      <c r="B468"/>
      <c r="C468"/>
      <c r="D468"/>
      <c r="E468"/>
      <c r="F468"/>
      <c r="G468"/>
      <c r="H468"/>
      <c r="I468"/>
      <c r="J468"/>
    </row>
    <row r="469" spans="1:10" ht="15" customHeight="1" x14ac:dyDescent="0.15">
      <c r="A469"/>
      <c r="B469"/>
      <c r="C469"/>
      <c r="D469"/>
      <c r="E469"/>
      <c r="F469"/>
      <c r="G469"/>
      <c r="H469"/>
      <c r="I469"/>
      <c r="J469"/>
    </row>
    <row r="470" spans="1:10" ht="15" customHeight="1" x14ac:dyDescent="0.15">
      <c r="A470"/>
      <c r="B470"/>
      <c r="C470"/>
      <c r="D470"/>
      <c r="E470"/>
      <c r="F470"/>
      <c r="G470"/>
      <c r="H470"/>
      <c r="I470"/>
      <c r="J470"/>
    </row>
    <row r="471" spans="1:10" ht="15" customHeight="1" x14ac:dyDescent="0.15">
      <c r="A471"/>
      <c r="B471"/>
      <c r="C471"/>
      <c r="D471"/>
      <c r="E471"/>
      <c r="F471"/>
      <c r="G471"/>
      <c r="H471"/>
      <c r="I471"/>
      <c r="J471"/>
    </row>
    <row r="472" spans="1:10" ht="15" customHeight="1" x14ac:dyDescent="0.15">
      <c r="A472"/>
      <c r="B472"/>
      <c r="C472"/>
      <c r="D472"/>
      <c r="E472"/>
      <c r="F472"/>
      <c r="G472"/>
      <c r="H472"/>
      <c r="I472"/>
      <c r="J472"/>
    </row>
    <row r="473" spans="1:10" ht="15" customHeight="1" x14ac:dyDescent="0.15">
      <c r="A473"/>
      <c r="B473"/>
      <c r="C473"/>
      <c r="D473"/>
      <c r="E473"/>
      <c r="F473"/>
      <c r="G473"/>
      <c r="H473"/>
      <c r="I473"/>
      <c r="J473"/>
    </row>
    <row r="474" spans="1:10" ht="15" customHeight="1" x14ac:dyDescent="0.15">
      <c r="A474"/>
      <c r="B474"/>
      <c r="C474"/>
      <c r="D474"/>
      <c r="E474"/>
      <c r="F474"/>
      <c r="G474"/>
      <c r="H474"/>
      <c r="I474"/>
      <c r="J474"/>
    </row>
    <row r="475" spans="1:10" ht="15" customHeight="1" x14ac:dyDescent="0.15">
      <c r="A475"/>
      <c r="B475"/>
      <c r="C475"/>
      <c r="D475"/>
      <c r="E475"/>
      <c r="F475"/>
      <c r="G475"/>
      <c r="H475"/>
      <c r="I475"/>
      <c r="J475"/>
    </row>
    <row r="476" spans="1:10" ht="15" customHeight="1" x14ac:dyDescent="0.15">
      <c r="A476"/>
      <c r="B476"/>
      <c r="C476"/>
      <c r="D476"/>
      <c r="E476"/>
      <c r="F476"/>
      <c r="G476"/>
      <c r="H476"/>
      <c r="I476"/>
      <c r="J476"/>
    </row>
    <row r="477" spans="1:10" ht="15" customHeight="1" x14ac:dyDescent="0.15">
      <c r="A477"/>
      <c r="B477"/>
      <c r="C477"/>
      <c r="D477"/>
      <c r="E477"/>
      <c r="F477"/>
      <c r="G477"/>
      <c r="H477"/>
      <c r="I477"/>
      <c r="J477"/>
    </row>
    <row r="478" spans="1:10" ht="15" customHeight="1" x14ac:dyDescent="0.15">
      <c r="A478"/>
      <c r="B478"/>
      <c r="C478"/>
      <c r="D478"/>
      <c r="E478"/>
      <c r="F478"/>
      <c r="G478"/>
      <c r="H478"/>
      <c r="I478"/>
      <c r="J478"/>
    </row>
    <row r="479" spans="1:10" ht="15" customHeight="1" x14ac:dyDescent="0.15">
      <c r="A479"/>
      <c r="B479"/>
      <c r="C479"/>
      <c r="D479"/>
      <c r="E479"/>
      <c r="F479"/>
      <c r="G479"/>
      <c r="H479"/>
      <c r="I479"/>
      <c r="J479"/>
    </row>
    <row r="480" spans="1:10" ht="15" customHeight="1" x14ac:dyDescent="0.15">
      <c r="A480"/>
      <c r="B480"/>
      <c r="C480"/>
      <c r="D480"/>
      <c r="E480"/>
      <c r="F480"/>
      <c r="G480"/>
      <c r="H480"/>
      <c r="I480"/>
      <c r="J480"/>
    </row>
    <row r="481" spans="1:10" ht="15" customHeight="1" x14ac:dyDescent="0.15">
      <c r="A481"/>
      <c r="B481"/>
      <c r="C481"/>
      <c r="D481"/>
      <c r="E481"/>
      <c r="F481"/>
      <c r="G481"/>
      <c r="H481"/>
      <c r="I481"/>
      <c r="J481"/>
    </row>
    <row r="482" spans="1:10" ht="15" customHeight="1" x14ac:dyDescent="0.15">
      <c r="A482"/>
      <c r="B482"/>
      <c r="C482"/>
      <c r="D482"/>
      <c r="E482"/>
      <c r="F482"/>
      <c r="G482"/>
      <c r="H482"/>
      <c r="I482"/>
      <c r="J482"/>
    </row>
    <row r="483" spans="1:10" ht="15" customHeight="1" x14ac:dyDescent="0.15">
      <c r="A483"/>
      <c r="B483"/>
      <c r="C483"/>
      <c r="D483"/>
      <c r="E483"/>
      <c r="F483"/>
      <c r="G483"/>
      <c r="H483"/>
      <c r="I483"/>
      <c r="J483"/>
    </row>
    <row r="484" spans="1:10" ht="15" customHeight="1" x14ac:dyDescent="0.15">
      <c r="A484"/>
      <c r="B484"/>
      <c r="C484"/>
      <c r="D484"/>
      <c r="E484"/>
      <c r="F484"/>
      <c r="G484"/>
      <c r="H484"/>
      <c r="I484"/>
      <c r="J484"/>
    </row>
    <row r="485" spans="1:10" ht="15" customHeight="1" x14ac:dyDescent="0.15">
      <c r="A485"/>
      <c r="B485"/>
      <c r="C485"/>
      <c r="D485"/>
      <c r="E485"/>
      <c r="F485"/>
      <c r="G485"/>
      <c r="H485"/>
      <c r="I485"/>
      <c r="J485"/>
    </row>
    <row r="486" spans="1:10" ht="15" customHeight="1" x14ac:dyDescent="0.15">
      <c r="A486"/>
      <c r="B486"/>
      <c r="C486"/>
      <c r="D486"/>
      <c r="E486"/>
      <c r="F486"/>
      <c r="G486"/>
      <c r="H486"/>
      <c r="I486"/>
      <c r="J486"/>
    </row>
    <row r="487" spans="1:10" ht="15" customHeight="1" x14ac:dyDescent="0.15">
      <c r="A487"/>
      <c r="B487"/>
      <c r="C487"/>
      <c r="D487"/>
      <c r="E487"/>
      <c r="F487"/>
      <c r="G487"/>
      <c r="H487"/>
      <c r="I487"/>
      <c r="J487"/>
    </row>
    <row r="488" spans="1:10" ht="15" customHeight="1" x14ac:dyDescent="0.15">
      <c r="A488"/>
      <c r="B488"/>
      <c r="C488"/>
      <c r="D488"/>
      <c r="E488"/>
      <c r="F488"/>
      <c r="G488"/>
      <c r="H488"/>
      <c r="I488"/>
      <c r="J488"/>
    </row>
    <row r="489" spans="1:10" ht="15" customHeight="1" x14ac:dyDescent="0.15">
      <c r="A489"/>
      <c r="B489"/>
      <c r="C489"/>
      <c r="D489"/>
      <c r="E489"/>
      <c r="F489"/>
      <c r="G489"/>
      <c r="H489"/>
      <c r="I489"/>
      <c r="J489"/>
    </row>
    <row r="490" spans="1:10" ht="15" customHeight="1" x14ac:dyDescent="0.15">
      <c r="A490"/>
      <c r="B490"/>
      <c r="C490"/>
      <c r="D490"/>
      <c r="E490"/>
      <c r="F490"/>
      <c r="G490"/>
      <c r="H490"/>
      <c r="I490"/>
      <c r="J490"/>
    </row>
    <row r="491" spans="1:10" ht="15" customHeight="1" x14ac:dyDescent="0.15">
      <c r="A491"/>
      <c r="B491"/>
      <c r="C491"/>
      <c r="D491"/>
      <c r="E491"/>
      <c r="F491"/>
      <c r="G491"/>
      <c r="H491"/>
      <c r="I491"/>
      <c r="J491"/>
    </row>
    <row r="492" spans="1:10" ht="15" customHeight="1" x14ac:dyDescent="0.15">
      <c r="A492"/>
      <c r="B492"/>
      <c r="C492"/>
      <c r="D492"/>
      <c r="E492"/>
      <c r="F492"/>
      <c r="G492"/>
      <c r="H492"/>
      <c r="I492"/>
      <c r="J492"/>
    </row>
    <row r="493" spans="1:10" ht="15" customHeight="1" x14ac:dyDescent="0.15">
      <c r="A493"/>
      <c r="B493"/>
      <c r="C493"/>
      <c r="D493"/>
      <c r="E493"/>
      <c r="F493"/>
      <c r="G493"/>
      <c r="H493"/>
      <c r="I493"/>
      <c r="J493"/>
    </row>
    <row r="494" spans="1:10" ht="15" customHeight="1" x14ac:dyDescent="0.15">
      <c r="A494"/>
      <c r="B494"/>
      <c r="C494"/>
      <c r="D494"/>
      <c r="E494"/>
      <c r="F494"/>
      <c r="G494"/>
      <c r="H494"/>
      <c r="I494"/>
      <c r="J494"/>
    </row>
    <row r="495" spans="1:10" ht="15" customHeight="1" x14ac:dyDescent="0.15">
      <c r="A495"/>
      <c r="B495"/>
      <c r="C495"/>
      <c r="D495"/>
      <c r="E495"/>
      <c r="F495"/>
      <c r="G495"/>
      <c r="H495"/>
      <c r="I495"/>
      <c r="J495"/>
    </row>
    <row r="496" spans="1:10" ht="15" customHeight="1" x14ac:dyDescent="0.15">
      <c r="A496"/>
      <c r="B496"/>
      <c r="C496"/>
      <c r="D496"/>
      <c r="E496"/>
      <c r="F496"/>
      <c r="G496"/>
      <c r="H496"/>
      <c r="I496"/>
      <c r="J496"/>
    </row>
    <row r="497" spans="1:10" ht="15" customHeight="1" x14ac:dyDescent="0.15">
      <c r="A497"/>
      <c r="B497"/>
      <c r="C497"/>
      <c r="D497"/>
      <c r="E497"/>
      <c r="F497"/>
      <c r="G497"/>
      <c r="H497"/>
      <c r="I497"/>
      <c r="J497"/>
    </row>
    <row r="498" spans="1:10" ht="15" customHeight="1" x14ac:dyDescent="0.15">
      <c r="A498"/>
      <c r="B498"/>
      <c r="C498"/>
      <c r="D498"/>
      <c r="E498"/>
      <c r="F498"/>
      <c r="G498"/>
      <c r="H498"/>
      <c r="I498"/>
      <c r="J498"/>
    </row>
    <row r="499" spans="1:10" ht="15" customHeight="1" x14ac:dyDescent="0.15">
      <c r="A499"/>
      <c r="B499"/>
      <c r="C499"/>
      <c r="D499"/>
      <c r="E499"/>
      <c r="F499"/>
      <c r="G499"/>
      <c r="H499"/>
      <c r="I499"/>
      <c r="J499"/>
    </row>
    <row r="500" spans="1:10" ht="15" customHeight="1" x14ac:dyDescent="0.15">
      <c r="A500"/>
      <c r="B500"/>
      <c r="C500"/>
      <c r="D500"/>
      <c r="E500"/>
      <c r="F500"/>
      <c r="G500"/>
      <c r="H500"/>
      <c r="I500"/>
      <c r="J500"/>
    </row>
  </sheetData>
  <dataConsolidate/>
  <phoneticPr fontId="2" type="noConversion"/>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indexed="15"/>
  </sheetPr>
  <dimension ref="A1:HA500"/>
  <sheetViews>
    <sheetView zoomScale="125" zoomScaleNormal="125" zoomScalePageLayoutView="125" workbookViewId="0">
      <pane xSplit="3" ySplit="1" topLeftCell="D2" activePane="bottomRight" state="frozen"/>
      <selection pane="topRight" activeCell="D1" sqref="D1"/>
      <selection pane="bottomLeft" activeCell="A2" sqref="A2"/>
      <selection pane="bottomRight" activeCell="AX21" sqref="AX21"/>
    </sheetView>
  </sheetViews>
  <sheetFormatPr baseColWidth="10" defaultColWidth="8.83203125" defaultRowHeight="15" customHeight="1" x14ac:dyDescent="0.15"/>
  <cols>
    <col min="1" max="1" width="40.33203125" style="83" bestFit="1" customWidth="1"/>
    <col min="2" max="4" width="9.5" style="83" bestFit="1" customWidth="1"/>
    <col min="5" max="7" width="9" style="83" bestFit="1" customWidth="1"/>
    <col min="8" max="16" width="12.6640625" style="83" bestFit="1" customWidth="1"/>
    <col min="17" max="17" width="12.33203125" style="83" bestFit="1" customWidth="1"/>
    <col min="18" max="18" width="8.83203125" style="83"/>
    <col min="19" max="21" width="9.33203125" style="83" bestFit="1" customWidth="1"/>
    <col min="22" max="23" width="8.83203125" style="83"/>
    <col min="24" max="24" width="9.33203125" style="83" bestFit="1" customWidth="1"/>
    <col min="25" max="27" width="8.83203125" style="83"/>
    <col min="28" max="58" width="9" style="83" bestFit="1" customWidth="1"/>
    <col min="59" max="59" width="12.33203125" style="83" bestFit="1" customWidth="1"/>
    <col min="60" max="60" width="9" style="83" bestFit="1" customWidth="1"/>
    <col min="61" max="61" width="11.33203125" style="83" bestFit="1" customWidth="1"/>
    <col min="62" max="77" width="9" style="83" bestFit="1" customWidth="1"/>
    <col min="78" max="78" width="12.33203125" style="83" bestFit="1" customWidth="1"/>
    <col min="79" max="79" width="9" style="83" bestFit="1" customWidth="1"/>
    <col min="80" max="80" width="12.33203125" style="83" bestFit="1" customWidth="1"/>
    <col min="81" max="107" width="9" style="83" bestFit="1" customWidth="1"/>
    <col min="108" max="108" width="11.33203125" style="83" bestFit="1" customWidth="1"/>
    <col min="109" max="124" width="9" style="83" bestFit="1" customWidth="1"/>
    <col min="125" max="125" width="10.33203125" style="83" bestFit="1" customWidth="1"/>
    <col min="126" max="129" width="9.33203125" style="83" bestFit="1" customWidth="1"/>
    <col min="130" max="130" width="9" style="83" bestFit="1" customWidth="1"/>
    <col min="131" max="134" width="9.33203125" style="83" bestFit="1" customWidth="1"/>
    <col min="135" max="165" width="9" style="83" bestFit="1" customWidth="1"/>
    <col min="166" max="166" width="12.33203125" style="83" bestFit="1" customWidth="1"/>
    <col min="167" max="170" width="9" style="83" bestFit="1" customWidth="1"/>
    <col min="171" max="176" width="8.83203125" style="83"/>
    <col min="177" max="177" width="13.83203125" style="83" bestFit="1" customWidth="1"/>
    <col min="178" max="16384" width="8.83203125" style="83"/>
  </cols>
  <sheetData>
    <row r="1" spans="1:209" ht="15" customHeight="1" x14ac:dyDescent="0.15">
      <c r="A1" t="s">
        <v>15</v>
      </c>
      <c r="B1" t="s">
        <v>1</v>
      </c>
      <c r="C1" t="s">
        <v>16</v>
      </c>
      <c r="D1" t="s">
        <v>303</v>
      </c>
      <c r="E1" t="s">
        <v>304</v>
      </c>
      <c r="F1" t="s">
        <v>305</v>
      </c>
      <c r="G1" t="s">
        <v>306</v>
      </c>
      <c r="H1" t="s">
        <v>307</v>
      </c>
      <c r="I1" t="s">
        <v>308</v>
      </c>
      <c r="J1" t="s">
        <v>309</v>
      </c>
      <c r="K1" t="s">
        <v>310</v>
      </c>
      <c r="L1" t="s">
        <v>192</v>
      </c>
      <c r="M1" t="s">
        <v>193</v>
      </c>
      <c r="N1" t="s">
        <v>194</v>
      </c>
      <c r="O1" t="s">
        <v>195</v>
      </c>
      <c r="P1" t="s">
        <v>196</v>
      </c>
      <c r="Q1" t="s">
        <v>197</v>
      </c>
      <c r="R1" t="s">
        <v>198</v>
      </c>
      <c r="S1" t="s">
        <v>199</v>
      </c>
      <c r="T1" t="s">
        <v>200</v>
      </c>
      <c r="U1" t="s">
        <v>201</v>
      </c>
      <c r="V1" t="s">
        <v>202</v>
      </c>
      <c r="W1" t="s">
        <v>203</v>
      </c>
      <c r="X1" t="s">
        <v>204</v>
      </c>
      <c r="Y1" t="s">
        <v>205</v>
      </c>
      <c r="Z1" t="s">
        <v>206</v>
      </c>
      <c r="AA1" t="s">
        <v>207</v>
      </c>
      <c r="AB1" t="s">
        <v>208</v>
      </c>
      <c r="AC1" t="s">
        <v>209</v>
      </c>
      <c r="AD1" t="s">
        <v>210</v>
      </c>
      <c r="AE1" t="s">
        <v>211</v>
      </c>
      <c r="AF1" t="s">
        <v>212</v>
      </c>
      <c r="AG1" t="s">
        <v>213</v>
      </c>
      <c r="AH1" t="s">
        <v>214</v>
      </c>
      <c r="AI1" t="s">
        <v>215</v>
      </c>
      <c r="AJ1" t="s">
        <v>216</v>
      </c>
      <c r="AK1" t="s">
        <v>217</v>
      </c>
      <c r="AL1" t="s">
        <v>218</v>
      </c>
      <c r="AM1" t="s">
        <v>219</v>
      </c>
      <c r="AN1" t="s">
        <v>220</v>
      </c>
      <c r="AO1" t="s">
        <v>221</v>
      </c>
      <c r="AP1" t="s">
        <v>222</v>
      </c>
      <c r="AQ1" t="s">
        <v>223</v>
      </c>
      <c r="AR1" t="s">
        <v>224</v>
      </c>
      <c r="AS1" t="s">
        <v>225</v>
      </c>
      <c r="AT1" t="s">
        <v>226</v>
      </c>
      <c r="AU1" t="s">
        <v>227</v>
      </c>
      <c r="AV1" t="s">
        <v>228</v>
      </c>
      <c r="AW1" t="s">
        <v>229</v>
      </c>
      <c r="AX1" t="s">
        <v>230</v>
      </c>
      <c r="AY1" t="s">
        <v>231</v>
      </c>
      <c r="AZ1" t="s">
        <v>232</v>
      </c>
      <c r="BA1" t="s">
        <v>233</v>
      </c>
      <c r="BB1" t="s">
        <v>234</v>
      </c>
      <c r="BC1" t="s">
        <v>235</v>
      </c>
      <c r="BD1" t="s">
        <v>236</v>
      </c>
      <c r="BE1" t="s">
        <v>237</v>
      </c>
      <c r="BF1" t="s">
        <v>238</v>
      </c>
      <c r="BG1" t="s">
        <v>239</v>
      </c>
      <c r="BH1" t="s">
        <v>240</v>
      </c>
      <c r="BI1" t="s">
        <v>241</v>
      </c>
      <c r="BJ1" t="s">
        <v>242</v>
      </c>
      <c r="BK1" t="s">
        <v>243</v>
      </c>
      <c r="BL1" t="s">
        <v>244</v>
      </c>
      <c r="BM1" t="s">
        <v>245</v>
      </c>
      <c r="BN1" t="s">
        <v>246</v>
      </c>
      <c r="BO1" t="s">
        <v>247</v>
      </c>
      <c r="BP1" t="s">
        <v>248</v>
      </c>
      <c r="BQ1" t="s">
        <v>249</v>
      </c>
      <c r="BR1" t="s">
        <v>250</v>
      </c>
      <c r="BS1" t="s">
        <v>251</v>
      </c>
      <c r="BT1" t="s">
        <v>252</v>
      </c>
      <c r="BU1" t="s">
        <v>253</v>
      </c>
      <c r="BV1" t="s">
        <v>254</v>
      </c>
      <c r="BW1" t="s">
        <v>255</v>
      </c>
      <c r="BX1" t="s">
        <v>256</v>
      </c>
      <c r="BY1" t="s">
        <v>257</v>
      </c>
      <c r="BZ1" t="s">
        <v>258</v>
      </c>
      <c r="CA1" t="s">
        <v>259</v>
      </c>
      <c r="CB1" t="s">
        <v>260</v>
      </c>
      <c r="CC1" t="s">
        <v>261</v>
      </c>
      <c r="CD1" t="s">
        <v>262</v>
      </c>
      <c r="CE1" t="s">
        <v>263</v>
      </c>
      <c r="CF1" t="s">
        <v>264</v>
      </c>
      <c r="CG1" t="s">
        <v>265</v>
      </c>
      <c r="CH1" t="s">
        <v>266</v>
      </c>
      <c r="CI1" t="s">
        <v>267</v>
      </c>
      <c r="CJ1" t="s">
        <v>268</v>
      </c>
      <c r="CK1" t="s">
        <v>269</v>
      </c>
      <c r="CL1" t="s">
        <v>270</v>
      </c>
      <c r="CM1" t="s">
        <v>271</v>
      </c>
      <c r="CN1" t="s">
        <v>272</v>
      </c>
      <c r="CO1" t="s">
        <v>273</v>
      </c>
      <c r="CP1" t="s">
        <v>274</v>
      </c>
      <c r="CQ1" t="s">
        <v>275</v>
      </c>
      <c r="CR1" t="s">
        <v>276</v>
      </c>
      <c r="CS1" t="s">
        <v>277</v>
      </c>
      <c r="CT1" t="s">
        <v>278</v>
      </c>
      <c r="CU1" t="s">
        <v>279</v>
      </c>
      <c r="CV1" t="s">
        <v>280</v>
      </c>
      <c r="CW1" t="s">
        <v>281</v>
      </c>
      <c r="CX1" t="s">
        <v>282</v>
      </c>
      <c r="CY1" t="s">
        <v>283</v>
      </c>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row>
    <row r="2" spans="1:209" ht="15" customHeight="1" x14ac:dyDescent="0.15">
      <c r="A2" t="s">
        <v>192</v>
      </c>
      <c r="B2">
        <v>0.10000000149011612</v>
      </c>
      <c r="C2">
        <v>9.9889256060123444E-2</v>
      </c>
      <c r="D2"/>
      <c r="E2"/>
      <c r="F2"/>
      <c r="G2" s="14">
        <v>1.1074752546846867E-4</v>
      </c>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row>
    <row r="3" spans="1:209" ht="15" customHeight="1" x14ac:dyDescent="0.15">
      <c r="A3" t="s">
        <v>193</v>
      </c>
      <c r="B3">
        <v>7.9999998211860657E-2</v>
      </c>
      <c r="C3">
        <v>7.8000001609325409E-2</v>
      </c>
      <c r="D3"/>
      <c r="E3"/>
      <c r="F3"/>
      <c r="G3"/>
      <c r="H3"/>
      <c r="I3"/>
      <c r="J3"/>
      <c r="K3" s="26">
        <v>1.999999862164259E-3</v>
      </c>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row>
    <row r="4" spans="1:209" ht="15" customHeight="1" x14ac:dyDescent="0.15">
      <c r="A4" t="s">
        <v>194</v>
      </c>
      <c r="B4">
        <v>0.31799998879432678</v>
      </c>
      <c r="C4">
        <v>6.3599996268749237E-2</v>
      </c>
      <c r="D4"/>
      <c r="E4"/>
      <c r="F4"/>
      <c r="G4"/>
      <c r="H4" s="302">
        <v>0.25439998507499695</v>
      </c>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row>
    <row r="5" spans="1:209" ht="15" customHeight="1" x14ac:dyDescent="0.15">
      <c r="A5" t="s">
        <v>195</v>
      </c>
      <c r="B5">
        <v>0.19200000166893005</v>
      </c>
      <c r="C5">
        <v>9.1624259948730469E-3</v>
      </c>
      <c r="D5"/>
      <c r="E5"/>
      <c r="F5"/>
      <c r="G5"/>
      <c r="H5"/>
      <c r="I5"/>
      <c r="J5"/>
      <c r="K5" s="304">
        <v>0.13685296475887299</v>
      </c>
      <c r="L5"/>
      <c r="M5"/>
      <c r="N5" s="11">
        <v>3.0717143090441823E-5</v>
      </c>
      <c r="O5"/>
      <c r="P5"/>
      <c r="Q5"/>
      <c r="R5" s="312">
        <v>4.5953892171382904E-2</v>
      </c>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row>
    <row r="6" spans="1:209" ht="15" customHeight="1" x14ac:dyDescent="0.15">
      <c r="A6" t="s">
        <v>196</v>
      </c>
      <c r="B6">
        <v>0.69999998807907104</v>
      </c>
      <c r="C6">
        <v>0.13196296989917755</v>
      </c>
      <c r="D6" s="282">
        <v>9.5407411456108093E-2</v>
      </c>
      <c r="E6" s="287">
        <v>0.47262963652610779</v>
      </c>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row>
    <row r="7" spans="1:209" ht="15" customHeight="1" x14ac:dyDescent="0.15">
      <c r="A7" t="s">
        <v>197</v>
      </c>
      <c r="B7">
        <v>7.9999998211860657E-2</v>
      </c>
      <c r="C7">
        <v>7.4020184576511383E-2</v>
      </c>
      <c r="D7"/>
      <c r="E7"/>
      <c r="F7"/>
      <c r="G7"/>
      <c r="H7"/>
      <c r="I7"/>
      <c r="J7"/>
      <c r="K7"/>
      <c r="L7"/>
      <c r="M7"/>
      <c r="N7"/>
      <c r="O7"/>
      <c r="P7"/>
      <c r="Q7"/>
      <c r="R7"/>
      <c r="S7"/>
      <c r="T7"/>
      <c r="U7"/>
      <c r="V7" s="305">
        <v>5.9798164293169975E-3</v>
      </c>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row>
    <row r="8" spans="1:209" ht="15" customHeight="1" x14ac:dyDescent="0.15">
      <c r="A8" t="s">
        <v>198</v>
      </c>
      <c r="B8">
        <v>7.9999998211860657E-2</v>
      </c>
      <c r="C8">
        <v>7.9999998211860657E-2</v>
      </c>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row>
    <row r="9" spans="1:209" ht="15" customHeight="1" x14ac:dyDescent="0.15">
      <c r="A9" t="s">
        <v>199</v>
      </c>
      <c r="B9">
        <v>0.20399999618530273</v>
      </c>
      <c r="C9">
        <v>0.20399999618530273</v>
      </c>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row>
    <row r="10" spans="1:209" ht="15" customHeight="1" x14ac:dyDescent="0.15">
      <c r="A10" t="s">
        <v>200</v>
      </c>
      <c r="B10">
        <v>0.15999999642372131</v>
      </c>
      <c r="C10">
        <v>0.15999999642372131</v>
      </c>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row>
    <row r="11" spans="1:209" ht="15" customHeight="1" x14ac:dyDescent="0.15">
      <c r="A11" t="s">
        <v>201</v>
      </c>
      <c r="B11">
        <v>0.5</v>
      </c>
      <c r="C11">
        <v>0.49309825897216797</v>
      </c>
      <c r="D11"/>
      <c r="E11"/>
      <c r="F11"/>
      <c r="G11" s="22">
        <v>3.583079669624567E-3</v>
      </c>
      <c r="H11"/>
      <c r="I11"/>
      <c r="J11" s="23">
        <v>3.3186548389494419E-3</v>
      </c>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row>
    <row r="12" spans="1:209" ht="15" customHeight="1" x14ac:dyDescent="0.15">
      <c r="A12" t="s">
        <v>202</v>
      </c>
      <c r="B12">
        <v>0.80000001192092896</v>
      </c>
      <c r="C12">
        <v>0.12121033668518066</v>
      </c>
      <c r="D12" s="139">
        <v>9.5106139779090881E-2</v>
      </c>
      <c r="E12" s="288">
        <v>0.26179817318916321</v>
      </c>
      <c r="F12" s="15">
        <v>8.0082640051841736E-3</v>
      </c>
      <c r="G12" s="14">
        <v>2.2046591620892286E-3</v>
      </c>
      <c r="H12" s="303">
        <v>8.4096468985080719E-2</v>
      </c>
      <c r="I12"/>
      <c r="J12" s="14">
        <v>2.31973547488451E-3</v>
      </c>
      <c r="K12" s="21">
        <v>1.6394278034567833E-2</v>
      </c>
      <c r="L12" s="14">
        <v>1.0171141475439072E-3</v>
      </c>
      <c r="M12"/>
      <c r="N12"/>
      <c r="O12"/>
      <c r="P12"/>
      <c r="Q12"/>
      <c r="R12"/>
      <c r="S12"/>
      <c r="T12"/>
      <c r="U12"/>
      <c r="V12" s="17">
        <v>1.090786699205637E-2</v>
      </c>
      <c r="W12"/>
      <c r="X12"/>
      <c r="Y12"/>
      <c r="Z12"/>
      <c r="AA12" s="78">
        <v>5.2412867546081543E-2</v>
      </c>
      <c r="AB12"/>
      <c r="AC12"/>
      <c r="AD12"/>
      <c r="AE12"/>
      <c r="AF12"/>
      <c r="AG12"/>
      <c r="AH12"/>
      <c r="AI12"/>
      <c r="AJ12"/>
      <c r="AK12"/>
      <c r="AL12"/>
      <c r="AM12"/>
      <c r="AN12" s="310">
        <v>0.12216566503047943</v>
      </c>
      <c r="AO12" s="24">
        <v>2.235843800008297E-2</v>
      </c>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row>
    <row r="13" spans="1:209" ht="15" customHeight="1" x14ac:dyDescent="0.15">
      <c r="A13" t="s">
        <v>203</v>
      </c>
      <c r="B13">
        <v>0.83125001192092896</v>
      </c>
      <c r="C13">
        <v>1.49595330003649E-3</v>
      </c>
      <c r="D13" s="14">
        <v>1.6975424950942397E-3</v>
      </c>
      <c r="E13" s="11">
        <v>1.1909262684639543E-4</v>
      </c>
      <c r="F13"/>
      <c r="G13" s="11">
        <v>2.4306236809934489E-6</v>
      </c>
      <c r="H13"/>
      <c r="I13"/>
      <c r="J13" s="11">
        <v>1.9730080111912685E-6</v>
      </c>
      <c r="K13"/>
      <c r="L13" s="316">
        <v>4.8018168658018112E-2</v>
      </c>
      <c r="M13"/>
      <c r="N13"/>
      <c r="O13"/>
      <c r="P13" s="12">
        <v>4.04744828119874E-3</v>
      </c>
      <c r="Q13" s="21">
        <v>1.6303401440382004E-2</v>
      </c>
      <c r="R13" s="337">
        <v>0.22803209722042084</v>
      </c>
      <c r="S13"/>
      <c r="T13"/>
      <c r="U13"/>
      <c r="V13" s="308">
        <v>2.7545426040887833E-2</v>
      </c>
      <c r="W13"/>
      <c r="X13"/>
      <c r="Y13"/>
      <c r="Z13"/>
      <c r="AA13" s="70">
        <v>4.2909596115350723E-2</v>
      </c>
      <c r="AB13" s="11">
        <v>4.9551227129995823E-4</v>
      </c>
      <c r="AC13"/>
      <c r="AD13" s="14">
        <v>1.8209603149443865E-3</v>
      </c>
      <c r="AE13" s="321">
        <v>0.11076787859201431</v>
      </c>
      <c r="AF13"/>
      <c r="AG13"/>
      <c r="AH13"/>
      <c r="AI13"/>
      <c r="AJ13"/>
      <c r="AK13"/>
      <c r="AL13"/>
      <c r="AM13"/>
      <c r="AN13" s="320">
        <v>8.6511537432670593E-2</v>
      </c>
      <c r="AO13" s="339">
        <v>0.26148095726966858</v>
      </c>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row>
    <row r="14" spans="1:209" ht="15" customHeight="1" x14ac:dyDescent="0.15">
      <c r="A14" t="s">
        <v>204</v>
      </c>
      <c r="B14">
        <v>0.20000000298023224</v>
      </c>
      <c r="C14">
        <v>0.17686092853546143</v>
      </c>
      <c r="D14" s="18">
        <v>2.4999999441206455E-3</v>
      </c>
      <c r="E14" s="142">
        <v>1.9999999552965164E-2</v>
      </c>
      <c r="F14"/>
      <c r="G14" s="11">
        <v>6.4772748373798095E-6</v>
      </c>
      <c r="H14" s="12">
        <v>6.3260248862206936E-4</v>
      </c>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row>
    <row r="15" spans="1:209" ht="15" customHeight="1" x14ac:dyDescent="0.15">
      <c r="A15" t="s">
        <v>205</v>
      </c>
      <c r="B15">
        <v>0.56599998474121094</v>
      </c>
      <c r="C15">
        <v>8.4899984300136566E-2</v>
      </c>
      <c r="D15" s="23">
        <v>3.7269184831529856E-3</v>
      </c>
      <c r="E15" s="289">
        <v>0.19788624346256256</v>
      </c>
      <c r="F15" s="11">
        <v>4.0499033639207482E-4</v>
      </c>
      <c r="G15" s="11">
        <v>2.1958982188152731E-7</v>
      </c>
      <c r="H15" s="11">
        <v>2.1118838049005717E-5</v>
      </c>
      <c r="I15" s="11">
        <v>2.5948313123080879E-5</v>
      </c>
      <c r="J15" s="11">
        <v>1.7274364654440433E-4</v>
      </c>
      <c r="K15"/>
      <c r="L15" s="315">
        <v>2.7762385085225105E-2</v>
      </c>
      <c r="M15"/>
      <c r="N15"/>
      <c r="O15"/>
      <c r="P15"/>
      <c r="Q15"/>
      <c r="R15"/>
      <c r="S15"/>
      <c r="T15"/>
      <c r="U15"/>
      <c r="V15" s="11">
        <v>1.7642349121160805E-5</v>
      </c>
      <c r="W15"/>
      <c r="X15"/>
      <c r="Y15"/>
      <c r="Z15" s="307">
        <v>6.8435095250606537E-2</v>
      </c>
      <c r="AA15" s="315">
        <v>2.7409104630351067E-2</v>
      </c>
      <c r="AB15" s="20">
        <v>2.4717176333069801E-2</v>
      </c>
      <c r="AC15"/>
      <c r="AD15" s="12">
        <v>2.6402310468256474E-3</v>
      </c>
      <c r="AE15"/>
      <c r="AF15"/>
      <c r="AG15"/>
      <c r="AH15" s="28">
        <v>1.9563719630241394E-2</v>
      </c>
      <c r="AI15"/>
      <c r="AJ15"/>
      <c r="AK15"/>
      <c r="AL15"/>
      <c r="AM15"/>
      <c r="AN15" s="332">
        <v>0.10003628581762314</v>
      </c>
      <c r="AO15" s="17">
        <v>8.2801813259720802E-3</v>
      </c>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row>
    <row r="16" spans="1:209" ht="15" customHeight="1" x14ac:dyDescent="0.15">
      <c r="A16" t="s">
        <v>206</v>
      </c>
      <c r="B16">
        <v>1.0420000553131104</v>
      </c>
      <c r="C16">
        <v>5.2099891006946564E-2</v>
      </c>
      <c r="D16" s="22">
        <v>8.9117111638188362E-3</v>
      </c>
      <c r="E16" s="290">
        <v>0.35535329580307007</v>
      </c>
      <c r="F16"/>
      <c r="G16" s="11">
        <v>2.3921249425740143E-9</v>
      </c>
      <c r="H16"/>
      <c r="I16"/>
      <c r="J16" s="11">
        <v>1.4457680208579404E-7</v>
      </c>
      <c r="K16" s="11">
        <v>1.578058727318421E-4</v>
      </c>
      <c r="L16" s="22">
        <v>7.336632814258337E-3</v>
      </c>
      <c r="M16"/>
      <c r="N16"/>
      <c r="O16"/>
      <c r="P16" s="17">
        <v>1.427086815237999E-2</v>
      </c>
      <c r="Q16"/>
      <c r="R16"/>
      <c r="S16"/>
      <c r="T16"/>
      <c r="U16"/>
      <c r="V16"/>
      <c r="W16"/>
      <c r="X16"/>
      <c r="Y16" s="12">
        <v>4.4055101461708546E-3</v>
      </c>
      <c r="Z16"/>
      <c r="AA16" s="353">
        <v>0.12295066565275192</v>
      </c>
      <c r="AB16" s="364">
        <v>0.25348538160324097</v>
      </c>
      <c r="AC16" s="13">
        <v>3.8218751549720764E-2</v>
      </c>
      <c r="AD16" s="11">
        <v>8.5602980107069016E-4</v>
      </c>
      <c r="AE16" s="29">
        <v>4.835355281829834E-2</v>
      </c>
      <c r="AF16" s="18">
        <v>1.1653095483779907E-2</v>
      </c>
      <c r="AG16" s="15">
        <v>1.1196923442184925E-2</v>
      </c>
      <c r="AH16" s="28">
        <v>3.5784367471933365E-2</v>
      </c>
      <c r="AI16"/>
      <c r="AJ16"/>
      <c r="AK16"/>
      <c r="AL16"/>
      <c r="AM16"/>
      <c r="AN16" s="145">
        <v>3.084213100373745E-2</v>
      </c>
      <c r="AO16" s="13">
        <v>3.8847517222166061E-2</v>
      </c>
      <c r="AP16" s="11">
        <v>2.8455548090278171E-5</v>
      </c>
      <c r="AQ16" s="22">
        <v>7.2472989559173584E-3</v>
      </c>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row>
    <row r="17" spans="1:209" ht="15" customHeight="1" x14ac:dyDescent="0.15">
      <c r="A17" t="s">
        <v>207</v>
      </c>
      <c r="B17">
        <v>0.5</v>
      </c>
      <c r="C17">
        <v>0.24026796221733093</v>
      </c>
      <c r="D17" s="24">
        <v>1.3333333656191826E-2</v>
      </c>
      <c r="E17" s="110">
        <v>0.23014833033084869</v>
      </c>
      <c r="F17" s="14">
        <v>7.1020331233739853E-4</v>
      </c>
      <c r="G17" s="11">
        <v>2.4007816682569683E-4</v>
      </c>
      <c r="H17" s="25">
        <v>1.5238217078149319E-2</v>
      </c>
      <c r="I17"/>
      <c r="J17" s="11">
        <v>6.1884515162091702E-5</v>
      </c>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row>
    <row r="18" spans="1:209" ht="15" customHeight="1" x14ac:dyDescent="0.15">
      <c r="A18" t="s">
        <v>208</v>
      </c>
      <c r="B18">
        <v>0.45100000500679016</v>
      </c>
      <c r="C18">
        <v>0.20912130177021027</v>
      </c>
      <c r="D18" s="146">
        <v>2.7799656614661217E-2</v>
      </c>
      <c r="E18" s="291">
        <v>6.6496744751930237E-2</v>
      </c>
      <c r="F18" s="11">
        <v>4.1399733163416386E-5</v>
      </c>
      <c r="G18" s="11">
        <v>2.5200276922987541E-6</v>
      </c>
      <c r="H18" s="11">
        <v>1.4719958016939927E-6</v>
      </c>
      <c r="I18"/>
      <c r="J18" s="11">
        <v>4.0417031414108351E-5</v>
      </c>
      <c r="K18" s="18">
        <v>5.0883027724921703E-3</v>
      </c>
      <c r="L18" s="23">
        <v>2.4303111713379622E-3</v>
      </c>
      <c r="M18"/>
      <c r="N18"/>
      <c r="O18"/>
      <c r="P18"/>
      <c r="Q18"/>
      <c r="R18"/>
      <c r="S18"/>
      <c r="T18"/>
      <c r="U18"/>
      <c r="V18"/>
      <c r="W18"/>
      <c r="X18"/>
      <c r="Y18"/>
      <c r="Z18"/>
      <c r="AA18" s="11">
        <v>1.2676310143433511E-4</v>
      </c>
      <c r="AB18" s="21">
        <v>9.1084856539964676E-3</v>
      </c>
      <c r="AC18"/>
      <c r="AD18"/>
      <c r="AE18"/>
      <c r="AF18"/>
      <c r="AG18"/>
      <c r="AH18"/>
      <c r="AI18"/>
      <c r="AJ18"/>
      <c r="AK18"/>
      <c r="AL18"/>
      <c r="AM18"/>
      <c r="AN18" s="111">
        <v>8.7571471929550171E-2</v>
      </c>
      <c r="AO18" s="15">
        <v>4.5277192257344723E-3</v>
      </c>
      <c r="AP18" s="306">
        <v>3.8643430918455124E-2</v>
      </c>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row>
    <row r="19" spans="1:209" ht="15" customHeight="1" x14ac:dyDescent="0.15">
      <c r="A19" t="s">
        <v>209</v>
      </c>
      <c r="B19">
        <v>0.86799997091293335</v>
      </c>
      <c r="C19">
        <v>4.3400008231401443E-2</v>
      </c>
      <c r="D19" s="22">
        <v>6.5748672932386398E-3</v>
      </c>
      <c r="E19" s="292">
        <v>0.37833735346794128</v>
      </c>
      <c r="F19" s="11">
        <v>1.0856723747565411E-5</v>
      </c>
      <c r="G19"/>
      <c r="H19" s="11">
        <v>3.9436694351024926E-4</v>
      </c>
      <c r="I19"/>
      <c r="J19" s="11">
        <v>6.3163890445139259E-5</v>
      </c>
      <c r="K19" s="11">
        <v>4.4437270844355226E-5</v>
      </c>
      <c r="L19" s="16">
        <v>1.3512316159904003E-2</v>
      </c>
      <c r="M19"/>
      <c r="N19"/>
      <c r="O19"/>
      <c r="P19"/>
      <c r="Q19"/>
      <c r="R19"/>
      <c r="S19"/>
      <c r="T19"/>
      <c r="U19"/>
      <c r="V19"/>
      <c r="W19"/>
      <c r="X19"/>
      <c r="Y19" s="325">
        <v>3.456704318523407E-2</v>
      </c>
      <c r="Z19" s="343">
        <v>0.10092062503099442</v>
      </c>
      <c r="AA19" s="145">
        <v>2.5063537061214447E-2</v>
      </c>
      <c r="AB19" s="147">
        <v>0.21724264323711395</v>
      </c>
      <c r="AC19"/>
      <c r="AD19" s="11">
        <v>3.016759583260864E-4</v>
      </c>
      <c r="AE19"/>
      <c r="AF19"/>
      <c r="AG19"/>
      <c r="AH19" s="145">
        <v>2.636248804628849E-2</v>
      </c>
      <c r="AI19"/>
      <c r="AJ19"/>
      <c r="AK19"/>
      <c r="AL19"/>
      <c r="AM19"/>
      <c r="AN19" s="21">
        <v>1.6229655593633652E-2</v>
      </c>
      <c r="AO19" s="23">
        <v>4.9749906174838543E-3</v>
      </c>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row>
    <row r="20" spans="1:209" ht="15" customHeight="1" x14ac:dyDescent="0.15">
      <c r="A20" t="s">
        <v>210</v>
      </c>
      <c r="B20">
        <v>0.54699999094009399</v>
      </c>
      <c r="C20">
        <v>0.40942072868347168</v>
      </c>
      <c r="D20" s="65">
        <v>1.2000000104308128E-2</v>
      </c>
      <c r="E20" s="293">
        <v>5.2631575614213943E-2</v>
      </c>
      <c r="F20" s="23">
        <v>3.4529841504991055E-3</v>
      </c>
      <c r="G20" s="11">
        <v>1.565284219395835E-5</v>
      </c>
      <c r="H20" s="12">
        <v>2.2147158160805702E-3</v>
      </c>
      <c r="I20"/>
      <c r="J20" s="11">
        <v>4.1799788596108556E-4</v>
      </c>
      <c r="K20"/>
      <c r="L20" s="307">
        <v>6.6846340894699097E-2</v>
      </c>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row>
    <row r="21" spans="1:209" ht="15" customHeight="1" x14ac:dyDescent="0.15">
      <c r="A21" t="s">
        <v>211</v>
      </c>
      <c r="B21">
        <v>2</v>
      </c>
      <c r="C21">
        <v>0.10000026226043701</v>
      </c>
      <c r="D21" s="23">
        <v>1.0185625404119492E-2</v>
      </c>
      <c r="E21" s="294">
        <v>0.47448635101318359</v>
      </c>
      <c r="F21" s="11">
        <v>3.3906277963069442E-7</v>
      </c>
      <c r="G21" s="11">
        <v>4.8965187460225934E-8</v>
      </c>
      <c r="H21" s="11">
        <v>1.2095707688786206E-6</v>
      </c>
      <c r="I21" s="11">
        <v>6.7189795949218478E-9</v>
      </c>
      <c r="J21" s="11">
        <v>7.0086878167785471E-7</v>
      </c>
      <c r="K21"/>
      <c r="L21" s="11">
        <v>7.3209950642194599E-5</v>
      </c>
      <c r="M21"/>
      <c r="N21"/>
      <c r="O21"/>
      <c r="P21" s="11">
        <v>1.6993604367598891E-3</v>
      </c>
      <c r="Q21" s="11">
        <v>9.8368924227543175E-5</v>
      </c>
      <c r="R21" s="14">
        <v>3.152159508317709E-3</v>
      </c>
      <c r="S21" s="14">
        <v>4.9711014144122601E-3</v>
      </c>
      <c r="T21" s="11">
        <v>6.7544868215918541E-4</v>
      </c>
      <c r="U21"/>
      <c r="V21" s="12">
        <v>6.0265231877565384E-3</v>
      </c>
      <c r="W21" s="12">
        <v>9.189271368086338E-3</v>
      </c>
      <c r="X21" s="311">
        <v>4.7556780278682709E-2</v>
      </c>
      <c r="Y21" s="21">
        <v>3.9033692330121994E-2</v>
      </c>
      <c r="Z21" s="353">
        <v>0.23587894439697266</v>
      </c>
      <c r="AA21" s="145">
        <v>5.9897661209106445E-2</v>
      </c>
      <c r="AB21" s="282">
        <v>0.27301645278930664</v>
      </c>
      <c r="AC21" s="303">
        <v>0.21303972601890564</v>
      </c>
      <c r="AD21" s="11">
        <v>7.6072011142969131E-4</v>
      </c>
      <c r="AE21"/>
      <c r="AF21" s="14">
        <v>2.0999959670007229E-3</v>
      </c>
      <c r="AG21" s="145">
        <v>5.7535730302333832E-2</v>
      </c>
      <c r="AH21" s="28">
        <v>7.1416191756725311E-2</v>
      </c>
      <c r="AI21"/>
      <c r="AJ21"/>
      <c r="AK21"/>
      <c r="AL21"/>
      <c r="AM21"/>
      <c r="AN21" s="19">
        <v>3.5173021256923676E-2</v>
      </c>
      <c r="AO21" s="309">
        <v>8.9080154895782471E-2</v>
      </c>
      <c r="AP21" s="23">
        <v>1.0315278545022011E-2</v>
      </c>
      <c r="AQ21" s="15">
        <v>2.0613981410861015E-2</v>
      </c>
      <c r="AR21"/>
      <c r="AS21"/>
      <c r="AT21"/>
      <c r="AU21" s="303">
        <v>0.21059973537921906</v>
      </c>
      <c r="AV21"/>
      <c r="AW21"/>
      <c r="AX21"/>
      <c r="AY21"/>
      <c r="AZ21" s="18">
        <v>2.3422105237841606E-2</v>
      </c>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row>
    <row r="22" spans="1:209" ht="15" customHeight="1" x14ac:dyDescent="0.15">
      <c r="A22" t="s">
        <v>212</v>
      </c>
      <c r="B22">
        <v>0.31999999284744263</v>
      </c>
      <c r="C22">
        <v>0.15036074817180634</v>
      </c>
      <c r="D22" s="283">
        <v>7.1542553603649139E-2</v>
      </c>
      <c r="E22" s="295">
        <v>6.2732711434364319E-2</v>
      </c>
      <c r="F22"/>
      <c r="G22" s="11">
        <v>2.7550267844844711E-8</v>
      </c>
      <c r="H22" s="15">
        <v>3.0195212457329035E-3</v>
      </c>
      <c r="I22" s="11">
        <v>3.1001197839941597E-6</v>
      </c>
      <c r="J22" s="11">
        <v>4.3599069613264874E-5</v>
      </c>
      <c r="K22"/>
      <c r="L22"/>
      <c r="M22"/>
      <c r="N22"/>
      <c r="O22"/>
      <c r="P22"/>
      <c r="Q22"/>
      <c r="R22"/>
      <c r="S22"/>
      <c r="T22"/>
      <c r="U22"/>
      <c r="V22"/>
      <c r="W22"/>
      <c r="X22"/>
      <c r="Y22"/>
      <c r="Z22"/>
      <c r="AA22"/>
      <c r="AB22"/>
      <c r="AC22"/>
      <c r="AD22" s="142">
        <v>3.2297737896442413E-2</v>
      </c>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row>
    <row r="23" spans="1:209" ht="15" customHeight="1" x14ac:dyDescent="0.15">
      <c r="A23" t="s">
        <v>213</v>
      </c>
      <c r="B23">
        <v>0.57700002193450928</v>
      </c>
      <c r="C23">
        <v>0.12310047447681427</v>
      </c>
      <c r="D23" s="14">
        <v>7.6954177347943187E-4</v>
      </c>
      <c r="E23" s="296">
        <v>0.22174258530139923</v>
      </c>
      <c r="F23" s="11">
        <v>1.1335121234878898E-4</v>
      </c>
      <c r="G23" s="18">
        <v>6.2333294190466404E-3</v>
      </c>
      <c r="H23"/>
      <c r="I23"/>
      <c r="J23" s="11">
        <v>2.7005971787730232E-5</v>
      </c>
      <c r="K23" s="18">
        <v>7.1565499529242516E-3</v>
      </c>
      <c r="L23" s="319">
        <v>5.1350966095924377E-2</v>
      </c>
      <c r="M23"/>
      <c r="N23"/>
      <c r="O23"/>
      <c r="P23"/>
      <c r="Q23"/>
      <c r="R23"/>
      <c r="S23"/>
      <c r="T23"/>
      <c r="U23"/>
      <c r="V23"/>
      <c r="W23"/>
      <c r="X23"/>
      <c r="Y23"/>
      <c r="Z23" s="65">
        <v>1.2784232385456562E-2</v>
      </c>
      <c r="AA23" s="72">
        <v>4.1151683777570724E-2</v>
      </c>
      <c r="AB23"/>
      <c r="AC23"/>
      <c r="AD23"/>
      <c r="AE23"/>
      <c r="AF23"/>
      <c r="AG23"/>
      <c r="AH23"/>
      <c r="AI23"/>
      <c r="AJ23"/>
      <c r="AK23"/>
      <c r="AL23"/>
      <c r="AM23"/>
      <c r="AN23" s="19">
        <v>9.9608935415744781E-3</v>
      </c>
      <c r="AO23" s="138">
        <v>7.5228191912174225E-2</v>
      </c>
      <c r="AP23"/>
      <c r="AQ23"/>
      <c r="AR23"/>
      <c r="AS23"/>
      <c r="AT23"/>
      <c r="AU23"/>
      <c r="AV23"/>
      <c r="AW23"/>
      <c r="AX23"/>
      <c r="AY23"/>
      <c r="AZ23" s="29">
        <v>2.738124318420887E-2</v>
      </c>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row>
    <row r="24" spans="1:209" ht="15" customHeight="1" x14ac:dyDescent="0.15">
      <c r="A24" t="s">
        <v>214</v>
      </c>
      <c r="B24">
        <v>1.5</v>
      </c>
      <c r="C24">
        <v>0.15519922971725464</v>
      </c>
      <c r="D24" s="284">
        <v>0.18690405786037445</v>
      </c>
      <c r="E24" s="297">
        <v>0.70177161693572998</v>
      </c>
      <c r="F24" s="11">
        <v>3.7088233511894941E-5</v>
      </c>
      <c r="G24"/>
      <c r="H24" s="11">
        <v>2.2754969108973455E-7</v>
      </c>
      <c r="I24"/>
      <c r="J24" s="11">
        <v>2.033588316407986E-5</v>
      </c>
      <c r="K24" s="11">
        <v>2.3098378733266145E-5</v>
      </c>
      <c r="L24" s="12">
        <v>5.1524564623832703E-3</v>
      </c>
      <c r="M24"/>
      <c r="N24"/>
      <c r="O24"/>
      <c r="P24" s="22">
        <v>1.3162637129426003E-2</v>
      </c>
      <c r="Q24" s="11">
        <v>2.8660241514444351E-4</v>
      </c>
      <c r="R24" s="25">
        <v>4.6163618564605713E-2</v>
      </c>
      <c r="S24" s="23">
        <v>1.0056897066533566E-2</v>
      </c>
      <c r="T24"/>
      <c r="U24"/>
      <c r="V24" s="14">
        <v>3.5632033832371235E-3</v>
      </c>
      <c r="W24"/>
      <c r="X24"/>
      <c r="Y24" s="15">
        <v>1.3525977730751038E-2</v>
      </c>
      <c r="Z24" s="23">
        <v>7.6618362218141556E-3</v>
      </c>
      <c r="AA24" s="70">
        <v>7.6191224157810211E-2</v>
      </c>
      <c r="AB24" s="23">
        <v>7.6667442917823792E-3</v>
      </c>
      <c r="AC24" s="16">
        <v>2.2501595318317413E-2</v>
      </c>
      <c r="AD24" s="14">
        <v>2.7230058331042528E-3</v>
      </c>
      <c r="AE24" s="316">
        <v>8.4895744919776917E-2</v>
      </c>
      <c r="AF24" s="19">
        <v>2.7754988521337509E-2</v>
      </c>
      <c r="AG24" s="14">
        <v>2.3747934028506279E-3</v>
      </c>
      <c r="AH24"/>
      <c r="AI24"/>
      <c r="AJ24"/>
      <c r="AK24"/>
      <c r="AL24"/>
      <c r="AM24"/>
      <c r="AN24" s="29">
        <v>7.1169145405292511E-2</v>
      </c>
      <c r="AO24" s="22">
        <v>1.1109169572591782E-2</v>
      </c>
      <c r="AP24" s="18">
        <v>1.8476743251085281E-2</v>
      </c>
      <c r="AQ24"/>
      <c r="AR24"/>
      <c r="AS24"/>
      <c r="AT24" s="12">
        <v>7.1491803973913193E-3</v>
      </c>
      <c r="AU24"/>
      <c r="AV24"/>
      <c r="AW24"/>
      <c r="AX24"/>
      <c r="AY24"/>
      <c r="AZ24" s="15">
        <v>1.3736904598772526E-2</v>
      </c>
      <c r="BA24"/>
      <c r="BB24" s="22">
        <v>1.0721918195486069E-2</v>
      </c>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row>
    <row r="25" spans="1:209" ht="15" customHeight="1" x14ac:dyDescent="0.15">
      <c r="A25" t="s">
        <v>215</v>
      </c>
      <c r="B25">
        <v>1.4500000476837158</v>
      </c>
      <c r="C25">
        <v>7.2499930858612061E-2</v>
      </c>
      <c r="D25" s="14">
        <v>1.5709709841758013E-3</v>
      </c>
      <c r="E25"/>
      <c r="F25"/>
      <c r="G25"/>
      <c r="H25"/>
      <c r="I25"/>
      <c r="J25"/>
      <c r="K25"/>
      <c r="L25"/>
      <c r="M25"/>
      <c r="N25"/>
      <c r="O25"/>
      <c r="P25"/>
      <c r="Q25"/>
      <c r="R25"/>
      <c r="S25"/>
      <c r="T25"/>
      <c r="U25"/>
      <c r="V25"/>
      <c r="W25"/>
      <c r="X25"/>
      <c r="Y25"/>
      <c r="Z25" s="358">
        <v>0.10416243225336075</v>
      </c>
      <c r="AA25" s="311">
        <v>3.4491512924432755E-2</v>
      </c>
      <c r="AB25" s="365">
        <v>0.16127705574035645</v>
      </c>
      <c r="AC25"/>
      <c r="AD25" s="11">
        <v>1.1325984814902768E-4</v>
      </c>
      <c r="AE25" s="371">
        <v>0.52085906267166138</v>
      </c>
      <c r="AF25" s="363">
        <v>0.15580096840858459</v>
      </c>
      <c r="AG25" s="308">
        <v>4.7861691564321518E-2</v>
      </c>
      <c r="AH25"/>
      <c r="AI25"/>
      <c r="AJ25"/>
      <c r="AK25"/>
      <c r="AL25"/>
      <c r="AM25"/>
      <c r="AN25" s="21">
        <v>2.7918320149183273E-2</v>
      </c>
      <c r="AO25" s="26">
        <v>3.6267552524805069E-2</v>
      </c>
      <c r="AP25" s="70">
        <v>7.3918566107749939E-2</v>
      </c>
      <c r="AQ25"/>
      <c r="AR25"/>
      <c r="AS25"/>
      <c r="AT25" s="105">
        <v>0.17879670858383179</v>
      </c>
      <c r="AU25"/>
      <c r="AV25"/>
      <c r="AW25"/>
      <c r="AX25"/>
      <c r="AY25"/>
      <c r="AZ25" s="19">
        <v>2.4788158014416695E-2</v>
      </c>
      <c r="BA25"/>
      <c r="BB25" s="23">
        <v>9.6738170832395554E-3</v>
      </c>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row>
    <row r="26" spans="1:209" ht="15" customHeight="1" x14ac:dyDescent="0.15">
      <c r="A26" t="s">
        <v>216</v>
      </c>
      <c r="B26">
        <v>2.1875998973846436</v>
      </c>
      <c r="C26">
        <v>8.7503783404827118E-2</v>
      </c>
      <c r="D26" s="285">
        <v>0.33944416046142578</v>
      </c>
      <c r="E26" s="298">
        <v>0.31688565015792847</v>
      </c>
      <c r="F26"/>
      <c r="G26" s="11">
        <v>1.0859364465432009E-6</v>
      </c>
      <c r="H26"/>
      <c r="I26"/>
      <c r="J26" s="11">
        <v>2.569320349721238E-5</v>
      </c>
      <c r="K26"/>
      <c r="L26" s="345">
        <v>1.3965936899185181</v>
      </c>
      <c r="M26"/>
      <c r="N26"/>
      <c r="O26" s="65">
        <v>4.7145787626504898E-2</v>
      </c>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row>
    <row r="27" spans="1:209" ht="15" customHeight="1" x14ac:dyDescent="0.15">
      <c r="A27" t="s">
        <v>217</v>
      </c>
      <c r="B27">
        <v>2.1888000965118408</v>
      </c>
      <c r="C27">
        <v>4.3775830417871475E-2</v>
      </c>
      <c r="D27" s="12">
        <v>9.1892415657639503E-3</v>
      </c>
      <c r="E27" s="65">
        <v>4.5685213059186935E-2</v>
      </c>
      <c r="F27"/>
      <c r="G27"/>
      <c r="H27"/>
      <c r="I27"/>
      <c r="J27" s="11">
        <v>8.8667938769049215E-8</v>
      </c>
      <c r="K27" s="11">
        <v>7.2386639658361673E-5</v>
      </c>
      <c r="L27" s="12">
        <v>8.2451840862631798E-3</v>
      </c>
      <c r="M27"/>
      <c r="N27"/>
      <c r="O27" s="11">
        <v>2.9768812237307429E-4</v>
      </c>
      <c r="P27" s="11">
        <v>8.0047728260979056E-5</v>
      </c>
      <c r="Q27" s="11">
        <v>2.2933268337510526E-4</v>
      </c>
      <c r="R27" s="12">
        <v>9.1571761295199394E-3</v>
      </c>
      <c r="S27" s="11">
        <v>8.9144997764378786E-4</v>
      </c>
      <c r="T27" s="12">
        <v>7.7291983179748058E-3</v>
      </c>
      <c r="U27" s="11">
        <v>1.0756514529930428E-4</v>
      </c>
      <c r="V27" s="19">
        <v>3.845156729221344E-2</v>
      </c>
      <c r="W27" s="72">
        <v>0.15410089492797852</v>
      </c>
      <c r="X27"/>
      <c r="Y27" s="14">
        <v>6.1565493233501911E-3</v>
      </c>
      <c r="Z27" s="319">
        <v>0.1929774135351181</v>
      </c>
      <c r="AA27" s="23">
        <v>1.1371534317731857E-2</v>
      </c>
      <c r="AB27" s="24">
        <v>6.0186430811882019E-2</v>
      </c>
      <c r="AC27" s="66">
        <v>9.0862169861793518E-2</v>
      </c>
      <c r="AD27" s="11">
        <v>8.6505839135497808E-4</v>
      </c>
      <c r="AE27" s="22">
        <v>1.6632391139864922E-2</v>
      </c>
      <c r="AF27" s="11">
        <v>3.8005136957508512E-6</v>
      </c>
      <c r="AG27" s="11">
        <v>1.5031303046271205E-3</v>
      </c>
      <c r="AH27" s="22">
        <v>1.720462366938591E-2</v>
      </c>
      <c r="AI27"/>
      <c r="AJ27" s="24">
        <v>6.1574302613735199E-2</v>
      </c>
      <c r="AK27"/>
      <c r="AL27"/>
      <c r="AM27"/>
      <c r="AN27" s="325">
        <v>8.473408967256546E-2</v>
      </c>
      <c r="AO27" s="69">
        <v>0.19959473609924316</v>
      </c>
      <c r="AP27" s="17">
        <v>2.9445692896842957E-2</v>
      </c>
      <c r="AQ27" s="11">
        <v>1.8474576063454151E-3</v>
      </c>
      <c r="AR27"/>
      <c r="AS27"/>
      <c r="AT27"/>
      <c r="AU27" s="75">
        <v>0.20404231548309326</v>
      </c>
      <c r="AV27"/>
      <c r="AW27"/>
      <c r="AX27"/>
      <c r="AY27"/>
      <c r="AZ27"/>
      <c r="BA27" s="340">
        <v>0.8917853832244873</v>
      </c>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row>
    <row r="28" spans="1:209" ht="15" customHeight="1" x14ac:dyDescent="0.15">
      <c r="A28" t="s">
        <v>218</v>
      </c>
      <c r="B28">
        <v>1.5099999904632568</v>
      </c>
      <c r="C28">
        <v>0.62439841032028198</v>
      </c>
      <c r="D28" s="22">
        <v>1.224999874830246E-2</v>
      </c>
      <c r="E28"/>
      <c r="F28"/>
      <c r="G28"/>
      <c r="H28" s="11">
        <v>4.1290466469945386E-5</v>
      </c>
      <c r="I28"/>
      <c r="J28" s="11">
        <v>1.0128555004484951E-5</v>
      </c>
      <c r="K28"/>
      <c r="L28"/>
      <c r="M28"/>
      <c r="N28"/>
      <c r="O28"/>
      <c r="P28"/>
      <c r="Q28"/>
      <c r="R28"/>
      <c r="S28"/>
      <c r="T28"/>
      <c r="U28"/>
      <c r="V28"/>
      <c r="W28"/>
      <c r="X28"/>
      <c r="Y28"/>
      <c r="Z28" s="324">
        <v>0.24116849899291992</v>
      </c>
      <c r="AA28"/>
      <c r="AB28" s="70">
        <v>7.6474778354167938E-2</v>
      </c>
      <c r="AC28"/>
      <c r="AD28"/>
      <c r="AE28"/>
      <c r="AF28"/>
      <c r="AG28"/>
      <c r="AH28"/>
      <c r="AI28"/>
      <c r="AJ28"/>
      <c r="AK28"/>
      <c r="AL28"/>
      <c r="AM28"/>
      <c r="AN28"/>
      <c r="AO28" s="331">
        <v>0.35478377342224121</v>
      </c>
      <c r="AP28"/>
      <c r="AQ28"/>
      <c r="AR28"/>
      <c r="AS28"/>
      <c r="AT28"/>
      <c r="AU28"/>
      <c r="AV28"/>
      <c r="AW28"/>
      <c r="AX28"/>
      <c r="AY28"/>
      <c r="AZ28" s="321">
        <v>0.20087313652038574</v>
      </c>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row>
    <row r="29" spans="1:209" ht="15" customHeight="1" x14ac:dyDescent="0.15">
      <c r="A29" t="s">
        <v>219</v>
      </c>
      <c r="B29">
        <v>0.44999998807907104</v>
      </c>
      <c r="C29">
        <v>0.28008967638015747</v>
      </c>
      <c r="D29" s="106">
        <v>0.13100001215934753</v>
      </c>
      <c r="E29"/>
      <c r="F29"/>
      <c r="G29"/>
      <c r="H29"/>
      <c r="I29"/>
      <c r="J29" s="11">
        <v>1.4285999895946588E-5</v>
      </c>
      <c r="K29"/>
      <c r="L29"/>
      <c r="M29"/>
      <c r="N29"/>
      <c r="O29"/>
      <c r="P29"/>
      <c r="Q29"/>
      <c r="R29"/>
      <c r="S29"/>
      <c r="T29"/>
      <c r="U29"/>
      <c r="V29"/>
      <c r="W29"/>
      <c r="X29"/>
      <c r="Y29"/>
      <c r="Z29"/>
      <c r="AA29"/>
      <c r="AB29"/>
      <c r="AC29"/>
      <c r="AD29"/>
      <c r="AE29"/>
      <c r="AF29"/>
      <c r="AG29" s="306">
        <v>3.8896031677722931E-2</v>
      </c>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row>
    <row r="30" spans="1:209" ht="15" customHeight="1" x14ac:dyDescent="0.15">
      <c r="A30" t="s">
        <v>220</v>
      </c>
      <c r="B30">
        <v>0.35444444417953491</v>
      </c>
      <c r="C30">
        <v>0.29801389575004578</v>
      </c>
      <c r="D30"/>
      <c r="E30"/>
      <c r="F30"/>
      <c r="G30"/>
      <c r="H30"/>
      <c r="I30" s="11">
        <v>1.4731690498592798E-6</v>
      </c>
      <c r="J30" s="11">
        <v>2.9624611670442391E-6</v>
      </c>
      <c r="K30"/>
      <c r="L30"/>
      <c r="M30"/>
      <c r="N30"/>
      <c r="O30"/>
      <c r="P30"/>
      <c r="Q30"/>
      <c r="R30"/>
      <c r="S30"/>
      <c r="T30"/>
      <c r="U30"/>
      <c r="V30"/>
      <c r="W30"/>
      <c r="X30"/>
      <c r="Y30"/>
      <c r="Z30" s="333">
        <v>2.9971444979310036E-2</v>
      </c>
      <c r="AA30"/>
      <c r="AB30"/>
      <c r="AC30"/>
      <c r="AD30"/>
      <c r="AE30"/>
      <c r="AF30"/>
      <c r="AG30"/>
      <c r="AH30"/>
      <c r="AI30"/>
      <c r="AJ30"/>
      <c r="AK30"/>
      <c r="AL30"/>
      <c r="AM30"/>
      <c r="AN30"/>
      <c r="AO30" s="305">
        <v>2.6454651728272438E-2</v>
      </c>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row>
    <row r="31" spans="1:209" ht="15" customHeight="1" x14ac:dyDescent="0.15">
      <c r="A31" t="s">
        <v>221</v>
      </c>
      <c r="B31">
        <v>0.43916666507720947</v>
      </c>
      <c r="C31">
        <v>0.37008163332939148</v>
      </c>
      <c r="D31" s="78">
        <v>2.8075708076357841E-2</v>
      </c>
      <c r="E31"/>
      <c r="F31" s="11">
        <v>4.6049841330386698E-5</v>
      </c>
      <c r="G31" s="11">
        <v>1.205526814374025E-6</v>
      </c>
      <c r="H31" s="12">
        <v>1.5400315169245005E-3</v>
      </c>
      <c r="I31" s="11">
        <v>2.0694762952189194E-6</v>
      </c>
      <c r="J31" s="11">
        <v>1.3687956379726529E-4</v>
      </c>
      <c r="K31" s="28">
        <v>1.5718692913651466E-2</v>
      </c>
      <c r="L31"/>
      <c r="M31"/>
      <c r="N31" s="11">
        <v>3.459312574705109E-5</v>
      </c>
      <c r="O31"/>
      <c r="P31"/>
      <c r="Q31"/>
      <c r="R31"/>
      <c r="S31"/>
      <c r="T31"/>
      <c r="U31"/>
      <c r="V31" s="23">
        <v>2.6373735163360834E-3</v>
      </c>
      <c r="W31"/>
      <c r="X31"/>
      <c r="Y31"/>
      <c r="Z31" s="15">
        <v>3.9693755097687244E-3</v>
      </c>
      <c r="AA31" s="24">
        <v>1.2441896833479404E-2</v>
      </c>
      <c r="AB31"/>
      <c r="AC31"/>
      <c r="AD31"/>
      <c r="AE31"/>
      <c r="AF31"/>
      <c r="AG31"/>
      <c r="AH31"/>
      <c r="AI31"/>
      <c r="AJ31"/>
      <c r="AK31"/>
      <c r="AL31"/>
      <c r="AM31"/>
      <c r="AN31" s="15">
        <v>4.4811391271650791E-3</v>
      </c>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row>
    <row r="32" spans="1:209" ht="15" customHeight="1" x14ac:dyDescent="0.15">
      <c r="A32" t="s">
        <v>222</v>
      </c>
      <c r="B32">
        <v>0.37000000476837158</v>
      </c>
      <c r="C32">
        <v>0.14537191390991211</v>
      </c>
      <c r="D32"/>
      <c r="E32"/>
      <c r="F32" s="11">
        <v>6.8323060986585915E-6</v>
      </c>
      <c r="G32"/>
      <c r="H32" s="11">
        <v>3.5518510230758693E-6</v>
      </c>
      <c r="I32" s="11">
        <v>1.1749406439776067E-5</v>
      </c>
      <c r="J32" s="11">
        <v>2.6205473204754526E-6</v>
      </c>
      <c r="K32" s="12">
        <v>1.3487170217558742E-3</v>
      </c>
      <c r="L32"/>
      <c r="M32"/>
      <c r="N32" s="11">
        <v>2.2086649551056325E-5</v>
      </c>
      <c r="O32"/>
      <c r="P32"/>
      <c r="Q32"/>
      <c r="R32"/>
      <c r="S32"/>
      <c r="T32"/>
      <c r="U32"/>
      <c r="V32" s="12">
        <v>1.2892204103991389E-3</v>
      </c>
      <c r="W32"/>
      <c r="X32"/>
      <c r="Y32"/>
      <c r="Z32" s="14">
        <v>7.9416524386033416E-4</v>
      </c>
      <c r="AA32" s="25">
        <v>1.1281674727797508E-2</v>
      </c>
      <c r="AB32" s="348">
        <v>7.6166905462741852E-2</v>
      </c>
      <c r="AC32"/>
      <c r="AD32" s="11">
        <v>7.7437427535187453E-5</v>
      </c>
      <c r="AE32" s="309">
        <v>1.6859458759427071E-2</v>
      </c>
      <c r="AF32"/>
      <c r="AG32"/>
      <c r="AH32" s="17">
        <v>4.9356883391737938E-3</v>
      </c>
      <c r="AI32"/>
      <c r="AJ32" s="65">
        <v>7.7493959106504917E-3</v>
      </c>
      <c r="AK32"/>
      <c r="AL32"/>
      <c r="AM32"/>
      <c r="AN32" s="342">
        <v>9.2174932360649109E-2</v>
      </c>
      <c r="AO32" s="25">
        <v>1.1903632432222366E-2</v>
      </c>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row>
    <row r="33" spans="1:209" ht="15" customHeight="1" x14ac:dyDescent="0.15">
      <c r="A33" t="s">
        <v>223</v>
      </c>
      <c r="B33">
        <v>0.50625002384185791</v>
      </c>
      <c r="C33">
        <v>0.46596407890319824</v>
      </c>
      <c r="D33" s="11">
        <v>4.2312926962040365E-4</v>
      </c>
      <c r="E33"/>
      <c r="F33" s="11">
        <v>8.4426530520431697E-5</v>
      </c>
      <c r="G33" s="11">
        <v>9.7963535949929792E-8</v>
      </c>
      <c r="H33" s="11">
        <v>3.9471019408665597E-4</v>
      </c>
      <c r="I33" s="11">
        <v>1.0816856956807896E-4</v>
      </c>
      <c r="J33" s="11">
        <v>2.2505823289975524E-4</v>
      </c>
      <c r="K33" s="13">
        <v>1.8431428819894791E-2</v>
      </c>
      <c r="L33"/>
      <c r="M33"/>
      <c r="N33" s="11">
        <v>1.4919757086317986E-4</v>
      </c>
      <c r="O33"/>
      <c r="P33"/>
      <c r="Q33"/>
      <c r="R33"/>
      <c r="S33"/>
      <c r="T33"/>
      <c r="U33"/>
      <c r="V33"/>
      <c r="W33"/>
      <c r="X33"/>
      <c r="Y33"/>
      <c r="Z33"/>
      <c r="AA33" s="16">
        <v>7.8613664954900742E-3</v>
      </c>
      <c r="AB33"/>
      <c r="AC33"/>
      <c r="AD33" s="12">
        <v>1.8588438397273421E-3</v>
      </c>
      <c r="AE33"/>
      <c r="AF33"/>
      <c r="AG33"/>
      <c r="AH33"/>
      <c r="AI33"/>
      <c r="AJ33"/>
      <c r="AK33"/>
      <c r="AL33"/>
      <c r="AM33"/>
      <c r="AN33"/>
      <c r="AO33" s="65">
        <v>1.0749508626759052E-2</v>
      </c>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row>
    <row r="34" spans="1:209" ht="15" customHeight="1" x14ac:dyDescent="0.15">
      <c r="A34" t="s">
        <v>224</v>
      </c>
      <c r="B34">
        <v>0.273333340883255</v>
      </c>
      <c r="C34">
        <v>0.2732415497303009</v>
      </c>
      <c r="D34"/>
      <c r="E34"/>
      <c r="F34"/>
      <c r="G34"/>
      <c r="H34" s="11">
        <v>6.504438943011337E-8</v>
      </c>
      <c r="I34"/>
      <c r="J34"/>
      <c r="K34" s="11">
        <v>8.9533939899411052E-5</v>
      </c>
      <c r="L34"/>
      <c r="M34"/>
      <c r="N34" s="11">
        <v>2.1995583665557206E-6</v>
      </c>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row>
    <row r="35" spans="1:209" ht="15" customHeight="1" x14ac:dyDescent="0.15">
      <c r="A35" t="s">
        <v>225</v>
      </c>
      <c r="B35">
        <v>1.0433332920074463</v>
      </c>
      <c r="C35">
        <v>0.69453692436218262</v>
      </c>
      <c r="D35"/>
      <c r="E35" s="299">
        <v>0.17418403923511505</v>
      </c>
      <c r="F35"/>
      <c r="G35"/>
      <c r="H35" s="11">
        <v>4.4601467379834503E-5</v>
      </c>
      <c r="I35"/>
      <c r="J35"/>
      <c r="K35"/>
      <c r="L35"/>
      <c r="M35"/>
      <c r="N35" s="11">
        <v>1.8808608729159459E-5</v>
      </c>
      <c r="O35"/>
      <c r="P35"/>
      <c r="Q35"/>
      <c r="R35"/>
      <c r="S35"/>
      <c r="T35"/>
      <c r="U35"/>
      <c r="V35"/>
      <c r="W35"/>
      <c r="X35"/>
      <c r="Y35"/>
      <c r="Z35" s="72">
        <v>7.3020011186599731E-2</v>
      </c>
      <c r="AA35" s="23">
        <v>7.0508797653019428E-3</v>
      </c>
      <c r="AB35" s="325">
        <v>4.0239959955215454E-2</v>
      </c>
      <c r="AC35"/>
      <c r="AD35" s="11">
        <v>5.5572448763996363E-4</v>
      </c>
      <c r="AE35"/>
      <c r="AF35"/>
      <c r="AG35"/>
      <c r="AH35"/>
      <c r="AI35"/>
      <c r="AJ35"/>
      <c r="AK35"/>
      <c r="AL35"/>
      <c r="AM35"/>
      <c r="AN35" s="15">
        <v>1.0675261728465557E-2</v>
      </c>
      <c r="AO35" s="17">
        <v>1.5264364890754223E-2</v>
      </c>
      <c r="AP35"/>
      <c r="AQ35"/>
      <c r="AR35"/>
      <c r="AS35"/>
      <c r="AT35"/>
      <c r="AU35"/>
      <c r="AV35"/>
      <c r="AW35"/>
      <c r="AX35"/>
      <c r="AY35"/>
      <c r="AZ35"/>
      <c r="BA35"/>
      <c r="BB35" s="24">
        <v>2.7742680162191391E-2</v>
      </c>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row>
    <row r="36" spans="1:209" ht="15" customHeight="1" x14ac:dyDescent="0.15">
      <c r="A36" t="s">
        <v>226</v>
      </c>
      <c r="B36">
        <v>1.2799999713897705</v>
      </c>
      <c r="C36">
        <v>2.5599898770451546E-2</v>
      </c>
      <c r="D36" s="11">
        <v>1.1926753213629127E-3</v>
      </c>
      <c r="E36"/>
      <c r="F36"/>
      <c r="G36" s="14">
        <v>3.3293692395091057E-3</v>
      </c>
      <c r="H36"/>
      <c r="I36"/>
      <c r="J36" s="11">
        <v>4.000596163677983E-6</v>
      </c>
      <c r="K36" s="11">
        <v>5.5370922200381756E-4</v>
      </c>
      <c r="L36"/>
      <c r="M36"/>
      <c r="N36" s="11">
        <v>3.5192060749977827E-5</v>
      </c>
      <c r="O36"/>
      <c r="P36"/>
      <c r="Q36"/>
      <c r="R36"/>
      <c r="S36"/>
      <c r="T36"/>
      <c r="U36"/>
      <c r="V36" s="11">
        <v>1.2145387008786201E-3</v>
      </c>
      <c r="W36"/>
      <c r="X36"/>
      <c r="Y36"/>
      <c r="Z36" s="300">
        <v>0.12432178109884262</v>
      </c>
      <c r="AA36" s="24">
        <v>3.4627184271812439E-2</v>
      </c>
      <c r="AB36" s="26">
        <v>3.3555891364812851E-2</v>
      </c>
      <c r="AC36" s="22">
        <v>9.1711012646555901E-3</v>
      </c>
      <c r="AD36" s="11">
        <v>4.1016438626684248E-4</v>
      </c>
      <c r="AE36" s="65">
        <v>2.7129217982292175E-2</v>
      </c>
      <c r="AF36" s="11">
        <v>7.6730335422325879E-5</v>
      </c>
      <c r="AG36" s="18">
        <v>1.5847891569137573E-2</v>
      </c>
      <c r="AH36" s="22">
        <v>9.1161457821726799E-3</v>
      </c>
      <c r="AI36"/>
      <c r="AJ36" s="14">
        <v>1.4784850645810366E-3</v>
      </c>
      <c r="AK36"/>
      <c r="AL36"/>
      <c r="AM36"/>
      <c r="AN36" s="312">
        <v>0.30653274059295654</v>
      </c>
      <c r="AO36" s="28">
        <v>4.5227110385894775E-2</v>
      </c>
      <c r="AP36" s="26">
        <v>3.27257439494133E-2</v>
      </c>
      <c r="AQ36" s="14">
        <v>3.2098966185003519E-3</v>
      </c>
      <c r="AR36" s="368">
        <v>0.49659073352813721</v>
      </c>
      <c r="AS36"/>
      <c r="AT36" s="76">
        <v>9.9483892321586609E-2</v>
      </c>
      <c r="AU36"/>
      <c r="AV36"/>
      <c r="AW36"/>
      <c r="AX36"/>
      <c r="AY36"/>
      <c r="AZ36"/>
      <c r="BA36"/>
      <c r="BB36" s="23">
        <v>8.5657192394137383E-3</v>
      </c>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row>
    <row r="37" spans="1:209" ht="15" customHeight="1" x14ac:dyDescent="0.15">
      <c r="A37" t="s">
        <v>227</v>
      </c>
      <c r="B37">
        <v>2.3259999752044678</v>
      </c>
      <c r="C37">
        <v>4.651995375752449E-2</v>
      </c>
      <c r="D37"/>
      <c r="E37"/>
      <c r="F37"/>
      <c r="G37"/>
      <c r="H37" s="11">
        <v>2.7515565307112411E-5</v>
      </c>
      <c r="I37" s="11">
        <v>7.2263710571007778E-9</v>
      </c>
      <c r="J37"/>
      <c r="K37" s="11">
        <v>3.8876820326549932E-5</v>
      </c>
      <c r="L37" s="12">
        <v>7.8738154843449593E-3</v>
      </c>
      <c r="M37"/>
      <c r="N37"/>
      <c r="O37"/>
      <c r="P37"/>
      <c r="Q37"/>
      <c r="R37"/>
      <c r="S37"/>
      <c r="T37"/>
      <c r="U37" s="11">
        <v>3.0215870356187224E-4</v>
      </c>
      <c r="V37" s="17">
        <v>3.300020843744278E-2</v>
      </c>
      <c r="W37" s="373">
        <v>0.92962074279785156</v>
      </c>
      <c r="X37"/>
      <c r="Y37" s="22">
        <v>1.8323682248592377E-2</v>
      </c>
      <c r="Z37" s="64">
        <v>0.12663766741752625</v>
      </c>
      <c r="AA37" s="11">
        <v>1.0042237117886543E-3</v>
      </c>
      <c r="AB37" s="21">
        <v>4.7465547919273376E-2</v>
      </c>
      <c r="AC37" s="349">
        <v>0.12193288654088974</v>
      </c>
      <c r="AD37"/>
      <c r="AE37" s="72">
        <v>0.16388799250125885</v>
      </c>
      <c r="AF37"/>
      <c r="AG37"/>
      <c r="AH37"/>
      <c r="AI37"/>
      <c r="AJ37" s="72">
        <v>0.16439719498157501</v>
      </c>
      <c r="AK37"/>
      <c r="AL37"/>
      <c r="AM37"/>
      <c r="AN37" s="18">
        <v>2.8371741995215416E-2</v>
      </c>
      <c r="AO37" s="107">
        <v>0.3625984787940979</v>
      </c>
      <c r="AP37" s="24">
        <v>6.2599241733551025E-2</v>
      </c>
      <c r="AQ37"/>
      <c r="AR37"/>
      <c r="AS37"/>
      <c r="AT37" s="359">
        <v>0.21139785647392273</v>
      </c>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row>
    <row r="38" spans="1:209" ht="15" customHeight="1" x14ac:dyDescent="0.15">
      <c r="A38" t="s">
        <v>228</v>
      </c>
      <c r="B38">
        <v>1.1749999523162842</v>
      </c>
      <c r="C38">
        <v>0.23499990999698639</v>
      </c>
      <c r="D38"/>
      <c r="E38"/>
      <c r="F38"/>
      <c r="G38" s="11">
        <v>1.2511343811638653E-4</v>
      </c>
      <c r="H38" s="11">
        <v>5.8997793530579656E-6</v>
      </c>
      <c r="I38"/>
      <c r="J38" s="11">
        <v>1.021008433355064E-8</v>
      </c>
      <c r="K38" s="11">
        <v>4.6799579286016524E-4</v>
      </c>
      <c r="L38"/>
      <c r="M38"/>
      <c r="N38" s="11">
        <v>5.173657882551197E-6</v>
      </c>
      <c r="O38"/>
      <c r="P38"/>
      <c r="Q38"/>
      <c r="R38"/>
      <c r="S38"/>
      <c r="T38"/>
      <c r="U38"/>
      <c r="V38" s="12">
        <v>4.0323291905224323E-3</v>
      </c>
      <c r="W38"/>
      <c r="X38"/>
      <c r="Y38"/>
      <c r="Z38" s="21">
        <v>2.4065341800451279E-2</v>
      </c>
      <c r="AA38" s="15">
        <v>1.2199356220662594E-2</v>
      </c>
      <c r="AB38" s="16">
        <v>1.835373230278492E-2</v>
      </c>
      <c r="AC38"/>
      <c r="AD38" s="11">
        <v>2.6575467927614227E-5</v>
      </c>
      <c r="AE38" s="325">
        <v>4.6974755823612213E-2</v>
      </c>
      <c r="AF38" s="12">
        <v>3.6279209889471531E-3</v>
      </c>
      <c r="AG38"/>
      <c r="AH38"/>
      <c r="AI38"/>
      <c r="AJ38"/>
      <c r="AK38"/>
      <c r="AL38"/>
      <c r="AM38"/>
      <c r="AN38" s="331">
        <v>0.27692568302154541</v>
      </c>
      <c r="AO38" s="376">
        <v>0.4867018461227417</v>
      </c>
      <c r="AP38" s="316">
        <v>6.6392898559570312E-2</v>
      </c>
      <c r="AQ38" s="11">
        <v>9.5415998657699674E-5</v>
      </c>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row>
    <row r="39" spans="1:209" ht="15" customHeight="1" x14ac:dyDescent="0.15">
      <c r="A39" t="s">
        <v>229</v>
      </c>
      <c r="B39">
        <v>1.8799999952316284</v>
      </c>
      <c r="C39">
        <v>3.7600077688694E-2</v>
      </c>
      <c r="D39"/>
      <c r="E39" s="13">
        <v>6.9674961268901825E-2</v>
      </c>
      <c r="F39"/>
      <c r="G39"/>
      <c r="H39"/>
      <c r="I39"/>
      <c r="J39" s="11">
        <v>3.3626220101723447E-5</v>
      </c>
      <c r="K39"/>
      <c r="L39"/>
      <c r="M39"/>
      <c r="N39" s="11">
        <v>1.6284250887110829E-3</v>
      </c>
      <c r="O39"/>
      <c r="P39"/>
      <c r="Q39"/>
      <c r="R39"/>
      <c r="S39"/>
      <c r="T39"/>
      <c r="U39"/>
      <c r="V39" s="18">
        <v>2.2720919921994209E-2</v>
      </c>
      <c r="W39"/>
      <c r="X39"/>
      <c r="Y39"/>
      <c r="Z39"/>
      <c r="AA39" s="313">
        <v>0.24787940084934235</v>
      </c>
      <c r="AB39"/>
      <c r="AC39"/>
      <c r="AD39" s="14">
        <v>2.7164157945662737E-3</v>
      </c>
      <c r="AE39"/>
      <c r="AF39"/>
      <c r="AG39"/>
      <c r="AH39"/>
      <c r="AI39"/>
      <c r="AJ39"/>
      <c r="AK39"/>
      <c r="AL39"/>
      <c r="AM39"/>
      <c r="AN39"/>
      <c r="AO39" s="334">
        <v>1.4977462291717529</v>
      </c>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row>
    <row r="40" spans="1:209" ht="15" customHeight="1" x14ac:dyDescent="0.15">
      <c r="A40" t="s">
        <v>230</v>
      </c>
      <c r="B40">
        <v>0.68999999761581421</v>
      </c>
      <c r="C40">
        <v>1.3799945823848248E-2</v>
      </c>
      <c r="D40"/>
      <c r="E40"/>
      <c r="F40"/>
      <c r="G40" s="301">
        <v>0.676075279712677</v>
      </c>
      <c r="H40"/>
      <c r="I40"/>
      <c r="J40" s="11">
        <v>2.02471724719544E-7</v>
      </c>
      <c r="K40"/>
      <c r="L40"/>
      <c r="M40"/>
      <c r="N40" s="11">
        <v>1.2454349780455232E-4</v>
      </c>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row>
    <row r="41" spans="1:209" ht="15" customHeight="1" x14ac:dyDescent="0.15">
      <c r="A41" t="s">
        <v>231</v>
      </c>
      <c r="B41">
        <v>1.0833333730697632</v>
      </c>
      <c r="C41">
        <v>0.10833329707384109</v>
      </c>
      <c r="D41"/>
      <c r="E41"/>
      <c r="F41"/>
      <c r="G41" s="25">
        <v>3.336777538061142E-2</v>
      </c>
      <c r="H41" s="11">
        <v>1.142821474786615E-5</v>
      </c>
      <c r="I41"/>
      <c r="J41"/>
      <c r="K41" s="11">
        <v>2.7538510039448738E-4</v>
      </c>
      <c r="L41"/>
      <c r="M41"/>
      <c r="N41" s="11">
        <v>3.988705066149123E-5</v>
      </c>
      <c r="O41"/>
      <c r="P41"/>
      <c r="Q41"/>
      <c r="R41"/>
      <c r="S41"/>
      <c r="T41"/>
      <c r="U41"/>
      <c r="V41" s="16">
        <v>1.6818977892398834E-2</v>
      </c>
      <c r="W41"/>
      <c r="X41"/>
      <c r="Y41"/>
      <c r="Z41" s="12">
        <v>4.583253525197506E-3</v>
      </c>
      <c r="AA41" s="14">
        <v>1.7648952780291438E-3</v>
      </c>
      <c r="AB41"/>
      <c r="AC41"/>
      <c r="AD41" s="11">
        <v>3.1334895174950361E-4</v>
      </c>
      <c r="AE41"/>
      <c r="AF41"/>
      <c r="AG41"/>
      <c r="AH41"/>
      <c r="AI41"/>
      <c r="AJ41"/>
      <c r="AK41"/>
      <c r="AL41"/>
      <c r="AM41"/>
      <c r="AN41" s="360">
        <v>0.28578707575798035</v>
      </c>
      <c r="AO41" s="141">
        <v>0.40948784351348877</v>
      </c>
      <c r="AP41" s="348">
        <v>0.22255021333694458</v>
      </c>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row>
    <row r="42" spans="1:209" ht="15" customHeight="1" x14ac:dyDescent="0.15">
      <c r="A42" t="s">
        <v>232</v>
      </c>
      <c r="B42">
        <v>2.369999885559082</v>
      </c>
      <c r="C42">
        <v>0.23699989914894104</v>
      </c>
      <c r="D42" s="11">
        <v>2.2513791918754578E-3</v>
      </c>
      <c r="E42" s="14">
        <v>6.0670585371553898E-3</v>
      </c>
      <c r="F42"/>
      <c r="G42"/>
      <c r="H42"/>
      <c r="I42"/>
      <c r="J42"/>
      <c r="K42"/>
      <c r="L42" s="11">
        <v>1.4815713511779904E-3</v>
      </c>
      <c r="M42"/>
      <c r="N42"/>
      <c r="O42"/>
      <c r="P42"/>
      <c r="Q42"/>
      <c r="R42"/>
      <c r="S42"/>
      <c r="T42"/>
      <c r="U42"/>
      <c r="V42"/>
      <c r="W42" s="11">
        <v>3.2962326076813042E-4</v>
      </c>
      <c r="X42"/>
      <c r="Y42" s="15">
        <v>2.4729270488023758E-2</v>
      </c>
      <c r="Z42" s="11">
        <v>2.5967732653953135E-4</v>
      </c>
      <c r="AA42" s="70">
        <v>0.1213487908244133</v>
      </c>
      <c r="AB42" s="72">
        <v>0.16547681391239166</v>
      </c>
      <c r="AC42" s="22">
        <v>1.7472939565777779E-2</v>
      </c>
      <c r="AD42" s="14">
        <v>3.2841721549630165E-3</v>
      </c>
      <c r="AE42" s="366">
        <v>1.2394877672195435</v>
      </c>
      <c r="AF42" s="347">
        <v>0.39135575294494629</v>
      </c>
      <c r="AG42" s="17">
        <v>3.2930571585893631E-2</v>
      </c>
      <c r="AH42" s="308">
        <v>7.7622823417186737E-2</v>
      </c>
      <c r="AI42"/>
      <c r="AJ42"/>
      <c r="AK42"/>
      <c r="AL42"/>
      <c r="AM42"/>
      <c r="AN42"/>
      <c r="AO42"/>
      <c r="AP42" s="16">
        <v>3.9492614567279816E-2</v>
      </c>
      <c r="AQ42" s="14">
        <v>4.5881443656980991E-3</v>
      </c>
      <c r="AR42"/>
      <c r="AS42"/>
      <c r="AT42" s="14">
        <v>4.8210369423031807E-3</v>
      </c>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row>
    <row r="43" spans="1:209" ht="15" customHeight="1" x14ac:dyDescent="0.15">
      <c r="A43" t="s">
        <v>233</v>
      </c>
      <c r="B43">
        <v>2.369999885559082</v>
      </c>
      <c r="C43">
        <v>0.11849988251924515</v>
      </c>
      <c r="D43" s="11">
        <v>2.4279249191749841E-4</v>
      </c>
      <c r="E43" s="12">
        <v>7.5637670233845711E-3</v>
      </c>
      <c r="F43" s="11">
        <v>2.0907611997245112E-7</v>
      </c>
      <c r="G43"/>
      <c r="H43" s="11">
        <v>2.5141588366750511E-8</v>
      </c>
      <c r="I43"/>
      <c r="J43"/>
      <c r="K43"/>
      <c r="L43" s="311">
        <v>5.6245520710945129E-2</v>
      </c>
      <c r="M43"/>
      <c r="N43"/>
      <c r="O43"/>
      <c r="P43"/>
      <c r="Q43"/>
      <c r="R43"/>
      <c r="S43"/>
      <c r="T43"/>
      <c r="U43" s="11">
        <v>3.486655987217091E-5</v>
      </c>
      <c r="V43" s="14">
        <v>2.7440935373306274E-3</v>
      </c>
      <c r="W43"/>
      <c r="X43"/>
      <c r="Y43" s="19">
        <v>3.9843201637268066E-2</v>
      </c>
      <c r="Z43" s="327">
        <v>0.4557931125164032</v>
      </c>
      <c r="AA43" s="26">
        <v>5.9466898441314697E-2</v>
      </c>
      <c r="AB43" s="303">
        <v>0.2510887086391449</v>
      </c>
      <c r="AC43" s="325">
        <v>9.089873731136322E-2</v>
      </c>
      <c r="AD43" s="11">
        <v>1.5893290401436388E-4</v>
      </c>
      <c r="AE43" s="375">
        <v>0.76447570323944092</v>
      </c>
      <c r="AF43" s="14">
        <v>4.9028964713215828E-3</v>
      </c>
      <c r="AG43" s="15">
        <v>2.1505717188119888E-2</v>
      </c>
      <c r="AH43" s="11">
        <v>3.2400028430856764E-4</v>
      </c>
      <c r="AI43"/>
      <c r="AJ43" s="11">
        <v>2.2273290960583836E-4</v>
      </c>
      <c r="AK43"/>
      <c r="AL43"/>
      <c r="AM43"/>
      <c r="AN43" s="17">
        <v>3.0400441959500313E-2</v>
      </c>
      <c r="AO43" s="28">
        <v>8.2096658647060394E-2</v>
      </c>
      <c r="AP43" s="12">
        <v>7.129766047000885E-3</v>
      </c>
      <c r="AQ43" s="14">
        <v>4.7413776628673077E-3</v>
      </c>
      <c r="AR43"/>
      <c r="AS43"/>
      <c r="AT43"/>
      <c r="AU43"/>
      <c r="AV43"/>
      <c r="AW43"/>
      <c r="AX43" s="11">
        <v>1.1930163054785226E-5</v>
      </c>
      <c r="AY43"/>
      <c r="AZ43"/>
      <c r="BA43" s="308">
        <v>7.8999996185302734E-2</v>
      </c>
      <c r="BB43" s="105">
        <v>0.29260790348052979</v>
      </c>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row>
    <row r="44" spans="1:209" ht="15" customHeight="1" x14ac:dyDescent="0.15">
      <c r="A44" t="s">
        <v>234</v>
      </c>
      <c r="B44">
        <v>3.5</v>
      </c>
      <c r="C44">
        <v>0.17500004172325134</v>
      </c>
      <c r="D44" s="11">
        <v>7.8720448072999716E-5</v>
      </c>
      <c r="E44" s="14">
        <v>7.1081751957535744E-3</v>
      </c>
      <c r="F44"/>
      <c r="G44"/>
      <c r="H44"/>
      <c r="I44"/>
      <c r="J44"/>
      <c r="K44"/>
      <c r="L44"/>
      <c r="M44"/>
      <c r="N44"/>
      <c r="O44"/>
      <c r="P44"/>
      <c r="Q44"/>
      <c r="R44"/>
      <c r="S44"/>
      <c r="T44"/>
      <c r="U44"/>
      <c r="V44" s="11">
        <v>5.8411277132108808E-4</v>
      </c>
      <c r="W44" s="11">
        <v>2.6392788277007639E-4</v>
      </c>
      <c r="X44"/>
      <c r="Y44" s="24">
        <v>9.3181900680065155E-2</v>
      </c>
      <c r="Z44" s="23">
        <v>2.3850798606872559E-2</v>
      </c>
      <c r="AA44" s="24">
        <v>9.5936335623264313E-2</v>
      </c>
      <c r="AB44" s="13">
        <v>0.12752345204353333</v>
      </c>
      <c r="AC44" s="12">
        <v>1.3948298059403896E-2</v>
      </c>
      <c r="AD44" s="11">
        <v>1.158321276307106E-3</v>
      </c>
      <c r="AE44" s="331">
        <v>0.82636851072311401</v>
      </c>
      <c r="AF44" s="306">
        <v>0.30341500043869019</v>
      </c>
      <c r="AG44" s="23">
        <v>2.1701574325561523E-2</v>
      </c>
      <c r="AH44" s="64">
        <v>0.19168506562709808</v>
      </c>
      <c r="AI44"/>
      <c r="AJ44" s="11">
        <v>3.2973990309983492E-3</v>
      </c>
      <c r="AK44"/>
      <c r="AL44"/>
      <c r="AM44"/>
      <c r="AN44" s="309">
        <v>0.15868724882602692</v>
      </c>
      <c r="AO44" s="18">
        <v>4.3303642421960831E-2</v>
      </c>
      <c r="AP44" s="72">
        <v>0.24574820697307587</v>
      </c>
      <c r="AQ44" s="12">
        <v>1.2509009800851345E-2</v>
      </c>
      <c r="AR44"/>
      <c r="AS44" s="145">
        <v>0.10533572733402252</v>
      </c>
      <c r="AT44" s="22">
        <v>3.0002374202013016E-2</v>
      </c>
      <c r="AU44"/>
      <c r="AV44"/>
      <c r="AW44"/>
      <c r="AX44" s="14">
        <v>3.4506926313042641E-3</v>
      </c>
      <c r="AY44"/>
      <c r="AZ44"/>
      <c r="BA44" s="351">
        <v>1.0030671358108521</v>
      </c>
      <c r="BB44"/>
      <c r="BC44"/>
      <c r="BD44"/>
      <c r="BE44" s="12">
        <v>1.2794476002454758E-2</v>
      </c>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row>
    <row r="45" spans="1:209" ht="15" customHeight="1" x14ac:dyDescent="0.15">
      <c r="A45" t="s">
        <v>235</v>
      </c>
      <c r="B45">
        <v>3.7999999523162842</v>
      </c>
      <c r="C45">
        <v>0.56273835897445679</v>
      </c>
      <c r="D45"/>
      <c r="E45"/>
      <c r="F45"/>
      <c r="G45"/>
      <c r="H45"/>
      <c r="I45"/>
      <c r="J45"/>
      <c r="K45" s="11">
        <v>5.3263804875314236E-4</v>
      </c>
      <c r="L45"/>
      <c r="M45"/>
      <c r="N45"/>
      <c r="O45"/>
      <c r="P45"/>
      <c r="Q45"/>
      <c r="R45"/>
      <c r="S45"/>
      <c r="T45"/>
      <c r="U45"/>
      <c r="V45"/>
      <c r="W45"/>
      <c r="X45"/>
      <c r="Y45"/>
      <c r="Z45"/>
      <c r="AA45"/>
      <c r="AB45"/>
      <c r="AC45"/>
      <c r="AD45"/>
      <c r="AE45"/>
      <c r="AF45"/>
      <c r="AG45"/>
      <c r="AH45"/>
      <c r="AI45"/>
      <c r="AJ45"/>
      <c r="AK45"/>
      <c r="AL45"/>
      <c r="AM45"/>
      <c r="AN45" s="20">
        <v>0.16299925744533539</v>
      </c>
      <c r="AO45" s="295">
        <v>0.7455371618270874</v>
      </c>
      <c r="AP45" s="336">
        <v>1.0789217948913574</v>
      </c>
      <c r="AQ45"/>
      <c r="AR45"/>
      <c r="AS45"/>
      <c r="AT45" s="26">
        <v>9.4149462878704071E-2</v>
      </c>
      <c r="AU45" s="15">
        <v>3.9604339748620987E-2</v>
      </c>
      <c r="AV45"/>
      <c r="AW45"/>
      <c r="AX45" s="145">
        <v>0.10949698090553284</v>
      </c>
      <c r="AY45"/>
      <c r="AZ45" s="326">
        <v>0.72362017631530762</v>
      </c>
      <c r="BA45"/>
      <c r="BB45" s="305">
        <v>0.2823997437953949</v>
      </c>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row>
    <row r="46" spans="1:209" ht="15" customHeight="1" x14ac:dyDescent="0.15">
      <c r="A46" t="s">
        <v>236</v>
      </c>
      <c r="B46">
        <v>1.9500000476837158</v>
      </c>
      <c r="C46">
        <v>0.1961728036403656</v>
      </c>
      <c r="D46"/>
      <c r="E46"/>
      <c r="F46"/>
      <c r="G46"/>
      <c r="H46"/>
      <c r="I46"/>
      <c r="J46"/>
      <c r="K46" s="14">
        <v>2.470322884619236E-3</v>
      </c>
      <c r="L46"/>
      <c r="M46"/>
      <c r="N46"/>
      <c r="O46"/>
      <c r="P46"/>
      <c r="Q46"/>
      <c r="R46"/>
      <c r="S46"/>
      <c r="T46"/>
      <c r="U46"/>
      <c r="V46"/>
      <c r="W46"/>
      <c r="X46"/>
      <c r="Y46"/>
      <c r="Z46"/>
      <c r="AA46"/>
      <c r="AB46"/>
      <c r="AC46"/>
      <c r="AD46"/>
      <c r="AE46"/>
      <c r="AF46"/>
      <c r="AG46"/>
      <c r="AH46"/>
      <c r="AI46"/>
      <c r="AJ46"/>
      <c r="AK46"/>
      <c r="AL46"/>
      <c r="AM46"/>
      <c r="AN46" s="309">
        <v>8.8197037577629089E-2</v>
      </c>
      <c r="AO46" s="329">
        <v>0.40340164303779602</v>
      </c>
      <c r="AP46" s="335">
        <v>0.58379220962524414</v>
      </c>
      <c r="AQ46"/>
      <c r="AR46"/>
      <c r="AS46"/>
      <c r="AT46" s="26">
        <v>5.0943199545145035E-2</v>
      </c>
      <c r="AU46" s="18">
        <v>2.1429454907774925E-2</v>
      </c>
      <c r="AV46"/>
      <c r="AW46"/>
      <c r="AX46" s="145">
        <v>5.9247560799121857E-2</v>
      </c>
      <c r="AY46"/>
      <c r="AZ46" s="328">
        <v>0.39154261350631714</v>
      </c>
      <c r="BA46"/>
      <c r="BB46" s="76">
        <v>0.15280325710773468</v>
      </c>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row>
    <row r="47" spans="1:209" ht="15" customHeight="1" x14ac:dyDescent="0.15">
      <c r="A47" t="s">
        <v>237</v>
      </c>
      <c r="B47">
        <v>3.2000000476837158</v>
      </c>
      <c r="C47">
        <v>7.8672982752323151E-2</v>
      </c>
      <c r="D47" s="286">
        <v>1.3544303178787231</v>
      </c>
      <c r="E47"/>
      <c r="F47"/>
      <c r="G47"/>
      <c r="H47"/>
      <c r="I47"/>
      <c r="J47"/>
      <c r="K47"/>
      <c r="L47" s="11">
        <v>1.6076967585831881E-3</v>
      </c>
      <c r="M47"/>
      <c r="N47"/>
      <c r="O47"/>
      <c r="P47"/>
      <c r="Q47"/>
      <c r="R47"/>
      <c r="S47"/>
      <c r="T47"/>
      <c r="U47"/>
      <c r="V47" s="11">
        <v>2.3214160464704037E-3</v>
      </c>
      <c r="W47"/>
      <c r="X47" s="316">
        <v>0.18050740659236908</v>
      </c>
      <c r="Y47"/>
      <c r="Z47" s="316">
        <v>0.18295246362686157</v>
      </c>
      <c r="AA47" s="309">
        <v>0.14343424141407013</v>
      </c>
      <c r="AB47" s="72">
        <v>0.22524669766426086</v>
      </c>
      <c r="AC47"/>
      <c r="AD47" s="11">
        <v>2.1634697914123535E-3</v>
      </c>
      <c r="AE47" s="347">
        <v>0.5297924280166626</v>
      </c>
      <c r="AF47" s="12">
        <v>1.5118415467441082E-2</v>
      </c>
      <c r="AG47"/>
      <c r="AH47"/>
      <c r="AI47"/>
      <c r="AJ47"/>
      <c r="AK47"/>
      <c r="AL47"/>
      <c r="AM47"/>
      <c r="AN47"/>
      <c r="AO47" s="64">
        <v>0.17664337158203125</v>
      </c>
      <c r="AP47"/>
      <c r="AQ47"/>
      <c r="AR47"/>
      <c r="AS47"/>
      <c r="AT47"/>
      <c r="AU47"/>
      <c r="AV47"/>
      <c r="AW47"/>
      <c r="AX47"/>
      <c r="AY47"/>
      <c r="AZ47" s="319">
        <v>0.28289330005645752</v>
      </c>
      <c r="BA47"/>
      <c r="BB47"/>
      <c r="BC47"/>
      <c r="BD47"/>
      <c r="BE47"/>
      <c r="BF47"/>
      <c r="BG47"/>
      <c r="BH47"/>
      <c r="BI47"/>
      <c r="BJ47"/>
      <c r="BK47"/>
      <c r="BL47"/>
      <c r="BM47" s="12">
        <v>1.3263565488159657E-2</v>
      </c>
      <c r="BN47" s="12">
        <v>1.0952392593026161E-2</v>
      </c>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row>
    <row r="48" spans="1:209" ht="15" customHeight="1" x14ac:dyDescent="0.15">
      <c r="A48" t="s">
        <v>238</v>
      </c>
      <c r="B48">
        <v>3.4000000953674316</v>
      </c>
      <c r="C48">
        <v>2.941014289855957</v>
      </c>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s="323">
        <v>0.45898577570915222</v>
      </c>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row>
    <row r="49" spans="1:209" ht="15" customHeight="1" x14ac:dyDescent="0.15">
      <c r="A49" t="s">
        <v>239</v>
      </c>
      <c r="B49">
        <v>3.2000000476837158</v>
      </c>
      <c r="C49">
        <v>0.28061085939407349</v>
      </c>
      <c r="D49"/>
      <c r="E49"/>
      <c r="F49"/>
      <c r="G49"/>
      <c r="H49"/>
      <c r="I49"/>
      <c r="J49"/>
      <c r="K49"/>
      <c r="L49"/>
      <c r="M49"/>
      <c r="N49"/>
      <c r="O49"/>
      <c r="P49"/>
      <c r="Q49"/>
      <c r="R49"/>
      <c r="S49"/>
      <c r="T49"/>
      <c r="U49"/>
      <c r="V49"/>
      <c r="W49"/>
      <c r="X49"/>
      <c r="Y49"/>
      <c r="Z49"/>
      <c r="AA49"/>
      <c r="AB49"/>
      <c r="AC49"/>
      <c r="AD49"/>
      <c r="AE49"/>
      <c r="AF49"/>
      <c r="AG49"/>
      <c r="AH49"/>
      <c r="AI49"/>
      <c r="AJ49"/>
      <c r="AK49"/>
      <c r="AL49"/>
      <c r="AM49"/>
      <c r="AN49" s="309">
        <v>0.14459668099880219</v>
      </c>
      <c r="AO49" s="344">
        <v>1.0581861734390259</v>
      </c>
      <c r="AP49" s="146">
        <v>0.19142237305641174</v>
      </c>
      <c r="AQ49" s="311">
        <v>7.4924960732460022E-2</v>
      </c>
      <c r="AR49" s="342">
        <v>0.79580950736999512</v>
      </c>
      <c r="AS49"/>
      <c r="AT49"/>
      <c r="AU49"/>
      <c r="AV49"/>
      <c r="AW49"/>
      <c r="AX49"/>
      <c r="AY49"/>
      <c r="AZ49" s="328">
        <v>0.64192360639572144</v>
      </c>
      <c r="BA49"/>
      <c r="BB49" s="12">
        <v>1.2525841593742371E-2</v>
      </c>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row>
    <row r="50" spans="1:209" ht="15" customHeight="1" x14ac:dyDescent="0.15">
      <c r="A50" t="s">
        <v>240</v>
      </c>
      <c r="B50">
        <v>2.3399999141693115</v>
      </c>
      <c r="C50">
        <v>0.74611592292785645</v>
      </c>
      <c r="D50"/>
      <c r="E50" s="27">
        <v>0.17700105905532837</v>
      </c>
      <c r="F50"/>
      <c r="G50"/>
      <c r="H50"/>
      <c r="I50"/>
      <c r="J50"/>
      <c r="K50"/>
      <c r="L50" s="11">
        <v>1.0504934471100569E-3</v>
      </c>
      <c r="M50"/>
      <c r="N50"/>
      <c r="O50"/>
      <c r="P50"/>
      <c r="Q50"/>
      <c r="R50"/>
      <c r="S50"/>
      <c r="T50"/>
      <c r="U50"/>
      <c r="V50" s="11">
        <v>4.867680836468935E-4</v>
      </c>
      <c r="W50"/>
      <c r="X50"/>
      <c r="Y50" s="11">
        <v>3.5686753108166158E-5</v>
      </c>
      <c r="Z50"/>
      <c r="AA50" s="21">
        <v>4.6163652092218399E-2</v>
      </c>
      <c r="AB50" s="305">
        <v>0.17621029913425446</v>
      </c>
      <c r="AC50"/>
      <c r="AD50" s="11">
        <v>5.8050663210451603E-4</v>
      </c>
      <c r="AE50" s="16">
        <v>3.8238208740949631E-2</v>
      </c>
      <c r="AF50" s="26">
        <v>6.1114128679037094E-2</v>
      </c>
      <c r="AG50"/>
      <c r="AH50"/>
      <c r="AI50"/>
      <c r="AJ50"/>
      <c r="AK50"/>
      <c r="AL50"/>
      <c r="AM50"/>
      <c r="AN50"/>
      <c r="AO50"/>
      <c r="AP50"/>
      <c r="AQ50"/>
      <c r="AR50"/>
      <c r="AS50"/>
      <c r="AT50"/>
      <c r="AU50"/>
      <c r="AV50"/>
      <c r="AW50"/>
      <c r="AX50"/>
      <c r="AY50"/>
      <c r="AZ50"/>
      <c r="BA50"/>
      <c r="BB50" s="367">
        <v>1.0930032730102539</v>
      </c>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row>
    <row r="51" spans="1:209" ht="15" customHeight="1" x14ac:dyDescent="0.15">
      <c r="A51" t="s">
        <v>241</v>
      </c>
      <c r="B51">
        <v>3</v>
      </c>
      <c r="C51">
        <v>0.30000025033950806</v>
      </c>
      <c r="D51"/>
      <c r="E51" s="28">
        <v>0.10604404658079147</v>
      </c>
      <c r="F51"/>
      <c r="G51"/>
      <c r="H51"/>
      <c r="I51"/>
      <c r="J51"/>
      <c r="K51"/>
      <c r="L51"/>
      <c r="M51"/>
      <c r="N51"/>
      <c r="O51"/>
      <c r="P51"/>
      <c r="Q51"/>
      <c r="R51"/>
      <c r="S51"/>
      <c r="T51"/>
      <c r="U51"/>
      <c r="V51" s="11">
        <v>8.641355816507712E-5</v>
      </c>
      <c r="W51"/>
      <c r="X51"/>
      <c r="Y51" s="22">
        <v>2.1190982311964035E-2</v>
      </c>
      <c r="Z51" s="12">
        <v>9.9955732002854347E-3</v>
      </c>
      <c r="AA51" s="308">
        <v>9.8615124821662903E-2</v>
      </c>
      <c r="AB51" s="142">
        <v>0.29964908957481384</v>
      </c>
      <c r="AC51"/>
      <c r="AD51" s="11">
        <v>2.9173999791964889E-4</v>
      </c>
      <c r="AE51" s="64">
        <v>0.16208828985691071</v>
      </c>
      <c r="AF51" s="28">
        <v>0.1058499813079834</v>
      </c>
      <c r="AG51"/>
      <c r="AH51" s="315">
        <v>0.1459827721118927</v>
      </c>
      <c r="AI51"/>
      <c r="AJ51"/>
      <c r="AK51"/>
      <c r="AL51"/>
      <c r="AM51"/>
      <c r="AN51" s="15">
        <v>2.9957342892885208E-2</v>
      </c>
      <c r="AO51" s="64">
        <v>0.16565783321857452</v>
      </c>
      <c r="AP51" s="12">
        <v>1.0205432772636414E-2</v>
      </c>
      <c r="AQ51" s="12">
        <v>9.2033306136727333E-3</v>
      </c>
      <c r="AR51"/>
      <c r="AS51" s="18">
        <v>3.7320025265216827E-2</v>
      </c>
      <c r="AT51" s="28">
        <v>0.10503707826137543</v>
      </c>
      <c r="AU51"/>
      <c r="AV51"/>
      <c r="AW51"/>
      <c r="AX51"/>
      <c r="AY51"/>
      <c r="AZ51" s="65">
        <v>6.6496431827545166E-2</v>
      </c>
      <c r="BA51"/>
      <c r="BB51" s="109">
        <v>0.51901739835739136</v>
      </c>
      <c r="BC51"/>
      <c r="BD51"/>
      <c r="BE51"/>
      <c r="BF51"/>
      <c r="BG51"/>
      <c r="BH51"/>
      <c r="BI51"/>
      <c r="BJ51"/>
      <c r="BK51"/>
      <c r="BL51"/>
      <c r="BM51" s="12">
        <v>1.0288449004292488E-2</v>
      </c>
      <c r="BN51" s="14">
        <v>8.495689369738102E-3</v>
      </c>
      <c r="BO51"/>
      <c r="BP51" s="362">
        <v>0.78852695226669312</v>
      </c>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row>
    <row r="52" spans="1:209" ht="15" customHeight="1" x14ac:dyDescent="0.15">
      <c r="A52" t="s">
        <v>242</v>
      </c>
      <c r="B52">
        <v>3</v>
      </c>
      <c r="C52">
        <v>0.15000039339065552</v>
      </c>
      <c r="D52"/>
      <c r="E52"/>
      <c r="F52"/>
      <c r="G52"/>
      <c r="H52"/>
      <c r="I52"/>
      <c r="J52"/>
      <c r="K52"/>
      <c r="L52"/>
      <c r="M52"/>
      <c r="N52" s="11">
        <v>1.2881694146926748E-6</v>
      </c>
      <c r="O52"/>
      <c r="P52"/>
      <c r="Q52"/>
      <c r="R52"/>
      <c r="S52"/>
      <c r="T52"/>
      <c r="U52"/>
      <c r="V52"/>
      <c r="W52"/>
      <c r="X52"/>
      <c r="Y52" s="22">
        <v>2.1248785778880119E-2</v>
      </c>
      <c r="Z52" s="11">
        <v>4.1098342626355588E-4</v>
      </c>
      <c r="AA52" s="11">
        <v>5.39382454007864E-4</v>
      </c>
      <c r="AB52" s="12">
        <v>1.3278366066515446E-2</v>
      </c>
      <c r="AC52" s="142">
        <v>0.29712626338005066</v>
      </c>
      <c r="AD52" s="11">
        <v>2.1061428924440406E-5</v>
      </c>
      <c r="AE52" s="377">
        <v>2.0059354305267334</v>
      </c>
      <c r="AF52" s="65">
        <v>6.565316766500473E-2</v>
      </c>
      <c r="AG52" s="22">
        <v>2.4303648620843887E-2</v>
      </c>
      <c r="AH52" s="145">
        <v>8.9752741158008575E-2</v>
      </c>
      <c r="AI52"/>
      <c r="AJ52" s="11">
        <v>3.1224446138367057E-4</v>
      </c>
      <c r="AK52"/>
      <c r="AL52"/>
      <c r="AM52"/>
      <c r="AN52" s="11">
        <v>8.5907831089571118E-4</v>
      </c>
      <c r="AO52" s="19">
        <v>5.016142874956131E-2</v>
      </c>
      <c r="AP52" s="25">
        <v>9.4379447400569916E-2</v>
      </c>
      <c r="AQ52" s="14">
        <v>4.4304942712187767E-3</v>
      </c>
      <c r="AR52"/>
      <c r="AS52" s="15">
        <v>2.7768200263381004E-2</v>
      </c>
      <c r="AT52"/>
      <c r="AU52"/>
      <c r="AV52"/>
      <c r="AW52"/>
      <c r="AX52" s="23">
        <v>1.5520869754254818E-2</v>
      </c>
      <c r="AY52"/>
      <c r="AZ52" s="14">
        <v>8.1144655123353004E-3</v>
      </c>
      <c r="BA52"/>
      <c r="BB52" s="15">
        <v>3.1667478382587433E-2</v>
      </c>
      <c r="BC52"/>
      <c r="BD52"/>
      <c r="BE52"/>
      <c r="BF52"/>
      <c r="BG52"/>
      <c r="BH52"/>
      <c r="BI52"/>
      <c r="BJ52"/>
      <c r="BK52"/>
      <c r="BL52"/>
      <c r="BM52" s="11">
        <v>1.2554849963635206E-3</v>
      </c>
      <c r="BN52" s="11">
        <v>1.0367170907557011E-3</v>
      </c>
      <c r="BO52"/>
      <c r="BP52" s="25">
        <v>9.6222825348377228E-2</v>
      </c>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row>
    <row r="53" spans="1:209" ht="15" customHeight="1" x14ac:dyDescent="0.15">
      <c r="A53" t="s">
        <v>243</v>
      </c>
      <c r="B53">
        <v>3</v>
      </c>
      <c r="C53">
        <v>0.15000003576278687</v>
      </c>
      <c r="D53" s="11">
        <v>2.1806556560477475E-7</v>
      </c>
      <c r="E53" s="11">
        <v>5.7754665613174438E-4</v>
      </c>
      <c r="F53"/>
      <c r="G53"/>
      <c r="H53"/>
      <c r="I53"/>
      <c r="J53"/>
      <c r="K53"/>
      <c r="L53"/>
      <c r="M53"/>
      <c r="N53" s="11">
        <v>1.1722114834356034E-7</v>
      </c>
      <c r="O53"/>
      <c r="P53"/>
      <c r="Q53"/>
      <c r="R53"/>
      <c r="S53"/>
      <c r="T53"/>
      <c r="U53"/>
      <c r="V53" s="11">
        <v>1.4628230019297916E-5</v>
      </c>
      <c r="W53"/>
      <c r="X53"/>
      <c r="Y53" s="11">
        <v>1.9336020341143012E-3</v>
      </c>
      <c r="Z53" s="11">
        <v>2.9395273886620998E-3</v>
      </c>
      <c r="AA53" s="11">
        <v>1.7629102803766727E-3</v>
      </c>
      <c r="AB53" s="14">
        <v>6.1158351600170135E-3</v>
      </c>
      <c r="AC53" s="12">
        <v>1.2917842715978622E-2</v>
      </c>
      <c r="AD53" s="11">
        <v>1.3796527582599083E-6</v>
      </c>
      <c r="AE53" s="19">
        <v>5.1813732832670212E-2</v>
      </c>
      <c r="AF53" s="12">
        <v>1.107344776391983E-2</v>
      </c>
      <c r="AG53" s="11">
        <v>1.8451119831297547E-4</v>
      </c>
      <c r="AH53" s="12">
        <v>1.4395215548574924E-2</v>
      </c>
      <c r="AI53"/>
      <c r="AJ53" s="11">
        <v>1.6669493561494164E-5</v>
      </c>
      <c r="AK53" s="386">
        <v>2.6429190635681152</v>
      </c>
      <c r="AL53"/>
      <c r="AM53" s="11">
        <v>5.9844805946340784E-5</v>
      </c>
      <c r="AN53" s="11">
        <v>8.3164486568421125E-4</v>
      </c>
      <c r="AO53" s="15">
        <v>2.7387607842683792E-2</v>
      </c>
      <c r="AP53" s="11">
        <v>2.1679173223674297E-3</v>
      </c>
      <c r="AQ53" s="11">
        <v>2.6504523702897131E-4</v>
      </c>
      <c r="AR53"/>
      <c r="AS53" s="11">
        <v>2.5797486305236816E-3</v>
      </c>
      <c r="AT53" s="18">
        <v>3.7030674517154694E-2</v>
      </c>
      <c r="AU53"/>
      <c r="AV53"/>
      <c r="AW53"/>
      <c r="AX53" s="11">
        <v>1.5283464745152742E-4</v>
      </c>
      <c r="AY53"/>
      <c r="AZ53" s="11">
        <v>7.3840207187458873E-4</v>
      </c>
      <c r="BA53"/>
      <c r="BB53" s="11">
        <v>2.8816848061978817E-3</v>
      </c>
      <c r="BC53" s="14">
        <v>6.1438428238034248E-3</v>
      </c>
      <c r="BD53" s="14">
        <v>5.1086358726024628E-3</v>
      </c>
      <c r="BE53"/>
      <c r="BF53"/>
      <c r="BG53"/>
      <c r="BH53" s="11">
        <v>1.7722485063131899E-4</v>
      </c>
      <c r="BI53" s="11">
        <v>9.721235983306542E-5</v>
      </c>
      <c r="BJ53"/>
      <c r="BK53" s="14">
        <v>8.7469154968857765E-3</v>
      </c>
      <c r="BL53"/>
      <c r="BM53" s="11">
        <v>1.1424691911088303E-4</v>
      </c>
      <c r="BN53" s="11">
        <v>9.4339418865274638E-5</v>
      </c>
      <c r="BO53"/>
      <c r="BP53" s="14">
        <v>8.7561076506972313E-3</v>
      </c>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row>
    <row r="54" spans="1:209" ht="15" customHeight="1" x14ac:dyDescent="0.15">
      <c r="A54" t="s">
        <v>244</v>
      </c>
      <c r="B54">
        <v>3</v>
      </c>
      <c r="C54">
        <v>0.14999985694885254</v>
      </c>
      <c r="D54"/>
      <c r="E54"/>
      <c r="F54"/>
      <c r="G54"/>
      <c r="H54"/>
      <c r="I54"/>
      <c r="J54"/>
      <c r="K54" s="15">
        <v>3.0005466192960739E-2</v>
      </c>
      <c r="L54"/>
      <c r="M54"/>
      <c r="N54" s="11">
        <v>4.5803922694176435E-4</v>
      </c>
      <c r="O54"/>
      <c r="P54"/>
      <c r="Q54"/>
      <c r="R54"/>
      <c r="S54"/>
      <c r="T54"/>
      <c r="U54"/>
      <c r="V54" s="11">
        <v>1.6058718028943986E-4</v>
      </c>
      <c r="W54"/>
      <c r="X54"/>
      <c r="Y54" s="340">
        <v>1.2214635610580444</v>
      </c>
      <c r="Z54"/>
      <c r="AA54" s="14">
        <v>2.9614979866892099E-3</v>
      </c>
      <c r="AB54" s="72">
        <v>0.21131958067417145</v>
      </c>
      <c r="AC54" s="314">
        <v>0.20668759942054749</v>
      </c>
      <c r="AD54"/>
      <c r="AE54" s="322">
        <v>0.43065086007118225</v>
      </c>
      <c r="AF54" s="64">
        <v>0.16365930438041687</v>
      </c>
      <c r="AG54" s="14">
        <v>5.007399246096611E-3</v>
      </c>
      <c r="AH54"/>
      <c r="AI54"/>
      <c r="AJ54" s="11">
        <v>5.6810607202351093E-4</v>
      </c>
      <c r="AK54"/>
      <c r="AL54"/>
      <c r="AM54"/>
      <c r="AN54"/>
      <c r="AO54"/>
      <c r="AP54"/>
      <c r="AQ54"/>
      <c r="AR54"/>
      <c r="AS54"/>
      <c r="AT54"/>
      <c r="AU54"/>
      <c r="AV54"/>
      <c r="AW54"/>
      <c r="AX54"/>
      <c r="AY54"/>
      <c r="AZ54" s="327">
        <v>0.57705813646316528</v>
      </c>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row>
    <row r="55" spans="1:209" ht="15" customHeight="1" x14ac:dyDescent="0.15">
      <c r="A55" t="s">
        <v>245</v>
      </c>
      <c r="B55">
        <v>2.7999999523162842</v>
      </c>
      <c r="C55">
        <v>0.27999988198280334</v>
      </c>
      <c r="D55"/>
      <c r="E55"/>
      <c r="F55"/>
      <c r="G55"/>
      <c r="H55" s="11">
        <v>1.0435833974042907E-4</v>
      </c>
      <c r="I55" s="14">
        <v>7.8355912119150162E-3</v>
      </c>
      <c r="J55" s="11">
        <v>4.5701713133894373E-6</v>
      </c>
      <c r="K55" s="11">
        <v>1.8428667681291699E-3</v>
      </c>
      <c r="L55" s="11">
        <v>2.0605954341590405E-3</v>
      </c>
      <c r="M55"/>
      <c r="N55" s="11">
        <v>1.7442565876990557E-5</v>
      </c>
      <c r="O55" s="66">
        <v>0.11527246236801147</v>
      </c>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s="107">
        <v>0.43949839472770691</v>
      </c>
      <c r="BA55"/>
      <c r="BB55" s="361">
        <v>1.2863882780075073</v>
      </c>
      <c r="BC55"/>
      <c r="BD55"/>
      <c r="BE55"/>
      <c r="BF55"/>
      <c r="BG55"/>
      <c r="BH55"/>
      <c r="BI55"/>
      <c r="BJ55"/>
      <c r="BK55"/>
      <c r="BL55"/>
      <c r="BM55" s="12">
        <v>8.4999985992908478E-3</v>
      </c>
      <c r="BN55" s="14">
        <v>7.0188767276704311E-3</v>
      </c>
      <c r="BO55"/>
      <c r="BP55" s="350">
        <v>0.65145659446716309</v>
      </c>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row>
    <row r="56" spans="1:209" ht="15" customHeight="1" x14ac:dyDescent="0.15">
      <c r="A56" t="s">
        <v>246</v>
      </c>
      <c r="B56">
        <v>2.7999999523162842</v>
      </c>
      <c r="C56">
        <v>0.27999988198280334</v>
      </c>
      <c r="D56"/>
      <c r="E56"/>
      <c r="F56"/>
      <c r="G56"/>
      <c r="H56"/>
      <c r="I56"/>
      <c r="J56"/>
      <c r="K56"/>
      <c r="L56" s="11">
        <v>2.4947915226221085E-3</v>
      </c>
      <c r="M56"/>
      <c r="N56" s="11">
        <v>2.1117955839144997E-5</v>
      </c>
      <c r="O56" s="315">
        <v>0.1395619809627533</v>
      </c>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s="326">
        <v>0.53210681676864624</v>
      </c>
      <c r="BA56"/>
      <c r="BB56" s="356">
        <v>1.0382988452911377</v>
      </c>
      <c r="BC56"/>
      <c r="BD56"/>
      <c r="BE56"/>
      <c r="BF56"/>
      <c r="BG56"/>
      <c r="BH56"/>
      <c r="BI56"/>
      <c r="BJ56"/>
      <c r="BK56"/>
      <c r="BL56"/>
      <c r="BM56" s="12">
        <v>1.0291066952049732E-2</v>
      </c>
      <c r="BN56" s="12">
        <v>8.4978509694337845E-3</v>
      </c>
      <c r="BO56"/>
      <c r="BP56" s="352">
        <v>0.78872758150100708</v>
      </c>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row>
    <row r="57" spans="1:209" ht="15" customHeight="1" x14ac:dyDescent="0.15">
      <c r="A57" t="s">
        <v>247</v>
      </c>
      <c r="B57">
        <v>2.7999999523162842</v>
      </c>
      <c r="C57">
        <v>0.28000006079673767</v>
      </c>
      <c r="D57" s="12">
        <v>1.100454293191433E-2</v>
      </c>
      <c r="E57" s="300">
        <v>0.27193370461463928</v>
      </c>
      <c r="F57"/>
      <c r="G57"/>
      <c r="H57"/>
      <c r="I57" s="11">
        <v>1.9049202819587663E-6</v>
      </c>
      <c r="J57"/>
      <c r="K57" s="11">
        <v>3.1585412216372788E-5</v>
      </c>
      <c r="L57" s="11">
        <v>1.9710415508598089E-3</v>
      </c>
      <c r="M57"/>
      <c r="N57"/>
      <c r="O57" s="325">
        <v>0.11026269942522049</v>
      </c>
      <c r="P57"/>
      <c r="Q57"/>
      <c r="R57"/>
      <c r="S57"/>
      <c r="T57"/>
      <c r="U57"/>
      <c r="V57" s="11">
        <v>7.4256589869037271E-5</v>
      </c>
      <c r="W57"/>
      <c r="X57"/>
      <c r="Y57"/>
      <c r="Z57"/>
      <c r="AA57" s="12">
        <v>9.5528168603777885E-3</v>
      </c>
      <c r="AB57"/>
      <c r="AC57" s="22">
        <v>2.2090371698141098E-2</v>
      </c>
      <c r="AD57" s="17">
        <v>3.7082049995660782E-2</v>
      </c>
      <c r="AE57"/>
      <c r="AF57"/>
      <c r="AG57"/>
      <c r="AH57"/>
      <c r="AI57"/>
      <c r="AJ57"/>
      <c r="AK57"/>
      <c r="AL57"/>
      <c r="AM57"/>
      <c r="AN57" s="19">
        <v>4.7348398715257645E-2</v>
      </c>
      <c r="AO57" s="29">
        <v>0.12993922829627991</v>
      </c>
      <c r="AP57"/>
      <c r="AQ57"/>
      <c r="AR57"/>
      <c r="AS57"/>
      <c r="AT57"/>
      <c r="AU57"/>
      <c r="AV57"/>
      <c r="AW57"/>
      <c r="AX57"/>
      <c r="AY57"/>
      <c r="AZ57" s="346">
        <v>0.42039769887924194</v>
      </c>
      <c r="BA57"/>
      <c r="BB57" s="357">
        <v>0.82032114267349243</v>
      </c>
      <c r="BC57"/>
      <c r="BD57"/>
      <c r="BE57"/>
      <c r="BF57"/>
      <c r="BG57"/>
      <c r="BH57"/>
      <c r="BI57"/>
      <c r="BJ57"/>
      <c r="BK57"/>
      <c r="BL57"/>
      <c r="BM57" s="14">
        <v>8.130587637424469E-3</v>
      </c>
      <c r="BN57" s="14">
        <v>6.7138345912098885E-3</v>
      </c>
      <c r="BO57"/>
      <c r="BP57" s="283">
        <v>0.62314414978027344</v>
      </c>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row>
    <row r="58" spans="1:209" ht="15" customHeight="1" x14ac:dyDescent="0.15">
      <c r="A58" t="s">
        <v>248</v>
      </c>
      <c r="B58">
        <v>2.7999999523162842</v>
      </c>
      <c r="C58">
        <v>0.28000006079673767</v>
      </c>
      <c r="D58" s="11">
        <v>6.043077155482024E-5</v>
      </c>
      <c r="E58"/>
      <c r="F58"/>
      <c r="G58"/>
      <c r="H58"/>
      <c r="I58" s="11">
        <v>3.6580649975803681E-7</v>
      </c>
      <c r="J58"/>
      <c r="K58" s="11">
        <v>5.3918904541205848E-7</v>
      </c>
      <c r="L58" s="11">
        <v>2.6892765163211152E-5</v>
      </c>
      <c r="M58"/>
      <c r="N58" s="11">
        <v>2.2764236007333238E-7</v>
      </c>
      <c r="O58" s="11">
        <v>1.5044171595945954E-3</v>
      </c>
      <c r="P58"/>
      <c r="Q58"/>
      <c r="R58"/>
      <c r="S58"/>
      <c r="T58"/>
      <c r="U58"/>
      <c r="V58" s="11">
        <v>3.3817814255598933E-5</v>
      </c>
      <c r="W58" s="11">
        <v>1.3962452067062259E-4</v>
      </c>
      <c r="X58"/>
      <c r="Y58" s="65">
        <v>6.2333613634109497E-2</v>
      </c>
      <c r="Z58" s="11">
        <v>5.0068553537130356E-4</v>
      </c>
      <c r="AA58" s="11">
        <v>2.3136083036661148E-3</v>
      </c>
      <c r="AB58" s="16">
        <v>4.1651714593172073E-2</v>
      </c>
      <c r="AC58" s="14">
        <v>3.4540391061455011E-3</v>
      </c>
      <c r="AD58" s="11">
        <v>4.2032159399241209E-4</v>
      </c>
      <c r="AE58" s="138">
        <v>0.36334642767906189</v>
      </c>
      <c r="AF58" s="19">
        <v>5.0489690154790878E-2</v>
      </c>
      <c r="AG58" s="23">
        <v>1.7869448289275169E-2</v>
      </c>
      <c r="AH58" s="24">
        <v>7.8701555728912354E-2</v>
      </c>
      <c r="AI58" s="24">
        <v>7.7204570174217224E-2</v>
      </c>
      <c r="AJ58" s="14">
        <v>5.6289695203304291E-3</v>
      </c>
      <c r="AK58"/>
      <c r="AL58"/>
      <c r="AM58" s="11">
        <v>5.6393310660496354E-4</v>
      </c>
      <c r="AN58" s="12">
        <v>9.3672676011919975E-3</v>
      </c>
      <c r="AO58" s="12">
        <v>1.2410175986588001E-2</v>
      </c>
      <c r="AP58" s="315">
        <v>0.13940134644508362</v>
      </c>
      <c r="AQ58" s="22">
        <v>2.433338388800621E-2</v>
      </c>
      <c r="AR58" s="383">
        <v>1.2344541549682617</v>
      </c>
      <c r="AS58" s="23">
        <v>1.8752215430140495E-2</v>
      </c>
      <c r="AT58" s="68">
        <v>0.1759808212518692</v>
      </c>
      <c r="AU58" s="26">
        <v>7.3997661471366882E-2</v>
      </c>
      <c r="AV58"/>
      <c r="AW58"/>
      <c r="AX58" s="19">
        <v>5.1963448524475098E-2</v>
      </c>
      <c r="AY58"/>
      <c r="AZ58" s="17">
        <v>3.5849243402481079E-2</v>
      </c>
      <c r="BA58"/>
      <c r="BB58" s="15">
        <v>2.8540642932057381E-2</v>
      </c>
      <c r="BC58"/>
      <c r="BD58"/>
      <c r="BE58"/>
      <c r="BF58"/>
      <c r="BG58"/>
      <c r="BH58"/>
      <c r="BI58"/>
      <c r="BJ58"/>
      <c r="BK58"/>
      <c r="BL58"/>
      <c r="BM58" s="11">
        <v>1.1093321518274024E-4</v>
      </c>
      <c r="BN58" s="11">
        <v>9.1603127657435834E-5</v>
      </c>
      <c r="BO58"/>
      <c r="BP58" s="12">
        <v>8.5021387785673141E-3</v>
      </c>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row>
    <row r="59" spans="1:209" ht="15" customHeight="1" x14ac:dyDescent="0.15">
      <c r="A59" t="s">
        <v>249</v>
      </c>
      <c r="B59">
        <v>2.7999999523162842</v>
      </c>
      <c r="C59">
        <v>1.6935563087463379</v>
      </c>
      <c r="D59"/>
      <c r="E59"/>
      <c r="F59"/>
      <c r="G59"/>
      <c r="H59"/>
      <c r="I59"/>
      <c r="J59"/>
      <c r="K59"/>
      <c r="L59" s="14">
        <v>5.5705285631120205E-3</v>
      </c>
      <c r="M59"/>
      <c r="N59" s="11">
        <v>1.4146053581498563E-4</v>
      </c>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s="68">
        <v>0.17821824550628662</v>
      </c>
      <c r="BA59"/>
      <c r="BB59"/>
      <c r="BC59"/>
      <c r="BD59"/>
      <c r="BE59"/>
      <c r="BF59"/>
      <c r="BG59"/>
      <c r="BH59"/>
      <c r="BI59"/>
      <c r="BJ59"/>
      <c r="BK59"/>
      <c r="BL59"/>
      <c r="BM59" s="22">
        <v>2.2978546097874641E-2</v>
      </c>
      <c r="BN59" s="23">
        <v>1.8974540755152702E-2</v>
      </c>
      <c r="BO59"/>
      <c r="BP59" s="339">
        <v>0.88056039810180664</v>
      </c>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row>
    <row r="60" spans="1:209" ht="15" customHeight="1" x14ac:dyDescent="0.15">
      <c r="A60" t="s">
        <v>250</v>
      </c>
      <c r="B60">
        <v>0.61000001430511475</v>
      </c>
      <c r="C60">
        <v>1.2216640636324883E-2</v>
      </c>
      <c r="D60" s="11">
        <v>2.3076925572240725E-5</v>
      </c>
      <c r="E60" s="27">
        <v>4.6409230679273605E-2</v>
      </c>
      <c r="F60"/>
      <c r="G60"/>
      <c r="H60"/>
      <c r="I60"/>
      <c r="J60"/>
      <c r="K60"/>
      <c r="L60"/>
      <c r="M60"/>
      <c r="N60"/>
      <c r="O60"/>
      <c r="P60"/>
      <c r="Q60"/>
      <c r="R60"/>
      <c r="S60"/>
      <c r="T60"/>
      <c r="U60"/>
      <c r="V60"/>
      <c r="W60"/>
      <c r="X60"/>
      <c r="Y60" s="341">
        <v>0.22736072540283203</v>
      </c>
      <c r="Z60"/>
      <c r="AA60"/>
      <c r="AB60" s="65">
        <v>1.3257882557809353E-2</v>
      </c>
      <c r="AC60"/>
      <c r="AD60"/>
      <c r="AE60" s="330">
        <v>0.12878032028675079</v>
      </c>
      <c r="AF60" s="318">
        <v>4.9341596662998199E-2</v>
      </c>
      <c r="AG60" s="22">
        <v>4.7472347505390644E-3</v>
      </c>
      <c r="AH60" s="284">
        <v>7.6346449553966522E-2</v>
      </c>
      <c r="AI60"/>
      <c r="AJ60"/>
      <c r="AK60"/>
      <c r="AL60"/>
      <c r="AM60"/>
      <c r="AN60" s="18">
        <v>7.0407469756901264E-3</v>
      </c>
      <c r="AO60"/>
      <c r="AP60" s="70">
        <v>3.1069323420524597E-2</v>
      </c>
      <c r="AQ60"/>
      <c r="AR60"/>
      <c r="AS60" s="18">
        <v>6.808555219322443E-3</v>
      </c>
      <c r="AT60"/>
      <c r="AU60"/>
      <c r="AV60"/>
      <c r="AW60"/>
      <c r="AX60"/>
      <c r="AY60"/>
      <c r="AZ60"/>
      <c r="BA60"/>
      <c r="BB60" s="23">
        <v>4.0660812519490719E-3</v>
      </c>
      <c r="BC60"/>
      <c r="BD60"/>
      <c r="BE60"/>
      <c r="BF60"/>
      <c r="BG60"/>
      <c r="BH60"/>
      <c r="BI60"/>
      <c r="BJ60"/>
      <c r="BK60"/>
      <c r="BL60"/>
      <c r="BM60"/>
      <c r="BN60"/>
      <c r="BO60"/>
      <c r="BP60"/>
      <c r="BQ60"/>
      <c r="BR60"/>
      <c r="BS60"/>
      <c r="BT60"/>
      <c r="BU60"/>
      <c r="BV60" s="12">
        <v>2.5321848224848509E-3</v>
      </c>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row>
    <row r="61" spans="1:209" ht="15" customHeight="1" x14ac:dyDescent="0.15">
      <c r="A61" t="s">
        <v>251</v>
      </c>
      <c r="B61">
        <v>1.3999999761581421</v>
      </c>
      <c r="C61">
        <v>1.1982793807983398</v>
      </c>
      <c r="D61" s="11">
        <v>1.400233458070943E-7</v>
      </c>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s="14">
        <v>3.1609309371560812E-3</v>
      </c>
      <c r="BA61"/>
      <c r="BB61" s="14">
        <v>3.7007508799433708E-3</v>
      </c>
      <c r="BC61"/>
      <c r="BD61"/>
      <c r="BE61"/>
      <c r="BF61"/>
      <c r="BG61"/>
      <c r="BH61"/>
      <c r="BI61"/>
      <c r="BJ61"/>
      <c r="BK61"/>
      <c r="BL61"/>
      <c r="BM61" s="14">
        <v>2.4453250225633383E-3</v>
      </c>
      <c r="BN61" s="14">
        <v>2.0192277152091265E-3</v>
      </c>
      <c r="BO61"/>
      <c r="BP61" s="321">
        <v>0.18741448223590851</v>
      </c>
      <c r="BQ61" s="14">
        <v>2.979696961119771E-3</v>
      </c>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row>
    <row r="62" spans="1:209" ht="15" customHeight="1" x14ac:dyDescent="0.15">
      <c r="A62" t="s">
        <v>252</v>
      </c>
      <c r="B62">
        <v>1.6499999761581421</v>
      </c>
      <c r="C62">
        <v>0.48246166110038757</v>
      </c>
      <c r="D62" s="11">
        <v>6.1248530982993543E-5</v>
      </c>
      <c r="E62" s="14">
        <v>2.0730271935462952E-3</v>
      </c>
      <c r="F62"/>
      <c r="G62"/>
      <c r="H62"/>
      <c r="I62"/>
      <c r="J62"/>
      <c r="K62"/>
      <c r="L62"/>
      <c r="M62"/>
      <c r="N62"/>
      <c r="O62"/>
      <c r="P62"/>
      <c r="Q62"/>
      <c r="R62"/>
      <c r="S62"/>
      <c r="T62"/>
      <c r="U62"/>
      <c r="V62"/>
      <c r="W62"/>
      <c r="X62"/>
      <c r="Y62" s="14">
        <v>4.5719603076577187E-3</v>
      </c>
      <c r="Z62" s="22">
        <v>1.2074705213308334E-2</v>
      </c>
      <c r="AA62" s="11">
        <v>9.3546678544953465E-4</v>
      </c>
      <c r="AB62" s="11">
        <v>1.1513018980622292E-3</v>
      </c>
      <c r="AC62"/>
      <c r="AD62"/>
      <c r="AE62" s="139">
        <v>0.19719012081623077</v>
      </c>
      <c r="AF62" s="11">
        <v>4.6077996375970542E-4</v>
      </c>
      <c r="AG62" s="68">
        <v>0.10336240381002426</v>
      </c>
      <c r="AH62" s="22">
        <v>1.2746797874569893E-2</v>
      </c>
      <c r="AI62"/>
      <c r="AJ62" s="11">
        <v>1.8729535440797918E-5</v>
      </c>
      <c r="AK62"/>
      <c r="AL62"/>
      <c r="AM62"/>
      <c r="AN62" s="22">
        <v>1.3655786402523518E-2</v>
      </c>
      <c r="AO62"/>
      <c r="AP62"/>
      <c r="AQ62" s="18">
        <v>2.0518157631158829E-2</v>
      </c>
      <c r="AR62"/>
      <c r="AS62"/>
      <c r="AT62" s="319">
        <v>0.14437375962734222</v>
      </c>
      <c r="AU62"/>
      <c r="AV62"/>
      <c r="AW62"/>
      <c r="AX62"/>
      <c r="AY62"/>
      <c r="AZ62"/>
      <c r="BA62"/>
      <c r="BB62" s="21">
        <v>3.1130187213420868E-2</v>
      </c>
      <c r="BC62"/>
      <c r="BD62"/>
      <c r="BE62"/>
      <c r="BF62"/>
      <c r="BG62"/>
      <c r="BH62"/>
      <c r="BI62"/>
      <c r="BJ62"/>
      <c r="BK62"/>
      <c r="BL62"/>
      <c r="BM62" s="13">
        <v>6.1709169298410416E-2</v>
      </c>
      <c r="BN62" s="25">
        <v>5.0956360995769501E-2</v>
      </c>
      <c r="BO62"/>
      <c r="BP62" s="351">
        <v>0.47295120358467102</v>
      </c>
      <c r="BQ62" s="311">
        <v>3.7597175687551498E-2</v>
      </c>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row>
    <row r="63" spans="1:209" ht="15" customHeight="1" x14ac:dyDescent="0.15">
      <c r="A63" t="s">
        <v>253</v>
      </c>
      <c r="B63">
        <v>1.3999999761581421</v>
      </c>
      <c r="C63">
        <v>7.0000015199184418E-2</v>
      </c>
      <c r="D63" s="11">
        <v>5.680501757865386E-8</v>
      </c>
      <c r="E63" s="11">
        <v>2.7834457796416245E-6</v>
      </c>
      <c r="F63"/>
      <c r="G63"/>
      <c r="H63"/>
      <c r="I63"/>
      <c r="J63"/>
      <c r="K63"/>
      <c r="L63"/>
      <c r="M63"/>
      <c r="N63"/>
      <c r="O63"/>
      <c r="P63"/>
      <c r="Q63"/>
      <c r="R63"/>
      <c r="S63"/>
      <c r="T63"/>
      <c r="U63"/>
      <c r="V63"/>
      <c r="W63"/>
      <c r="X63"/>
      <c r="Y63" s="11">
        <v>5.9922781474597286E-6</v>
      </c>
      <c r="Z63"/>
      <c r="AA63" s="11">
        <v>4.0949504182208329E-5</v>
      </c>
      <c r="AB63" s="11">
        <v>4.4181002886034548E-4</v>
      </c>
      <c r="AC63"/>
      <c r="AD63" s="11">
        <v>1.4690358796087821E-7</v>
      </c>
      <c r="AE63" s="12">
        <v>4.6200179494917393E-3</v>
      </c>
      <c r="AF63" s="11">
        <v>3.1380404834635556E-5</v>
      </c>
      <c r="AG63" s="11">
        <v>2.1345065033528954E-4</v>
      </c>
      <c r="AH63" s="23">
        <v>7.037922739982605E-3</v>
      </c>
      <c r="AI63"/>
      <c r="AJ63" s="11">
        <v>3.6295239169703564E-7</v>
      </c>
      <c r="AK63"/>
      <c r="AL63"/>
      <c r="AM63"/>
      <c r="AN63"/>
      <c r="AO63"/>
      <c r="AP63" s="11">
        <v>5.2885025070281699E-6</v>
      </c>
      <c r="AQ63" s="11">
        <v>1.3157105968275573E-5</v>
      </c>
      <c r="AR63"/>
      <c r="AS63"/>
      <c r="AT63" s="12">
        <v>4.6330024488270283E-3</v>
      </c>
      <c r="AU63"/>
      <c r="AV63"/>
      <c r="AW63"/>
      <c r="AX63"/>
      <c r="AY63"/>
      <c r="AZ63"/>
      <c r="BA63"/>
      <c r="BB63" s="11">
        <v>5.0044327508658171E-4</v>
      </c>
      <c r="BC63"/>
      <c r="BD63"/>
      <c r="BE63" s="22">
        <v>1.0613329708576202E-2</v>
      </c>
      <c r="BF63" s="11">
        <v>1.4797545190958772E-5</v>
      </c>
      <c r="BG63" s="23">
        <v>9.563203901052475E-3</v>
      </c>
      <c r="BH63" s="24">
        <v>3.8317952305078506E-2</v>
      </c>
      <c r="BI63" s="65">
        <v>2.9905665665864944E-2</v>
      </c>
      <c r="BJ63" s="72">
        <v>9.8769165575504303E-2</v>
      </c>
      <c r="BK63" s="385">
        <v>1.0850138664245605</v>
      </c>
      <c r="BL63"/>
      <c r="BM63" s="11">
        <v>4.9601274076849222E-4</v>
      </c>
      <c r="BN63" s="11">
        <v>4.0958262979984283E-4</v>
      </c>
      <c r="BO63" s="11">
        <v>1.1784764938056469E-3</v>
      </c>
      <c r="BP63" s="24">
        <v>3.801538422703743E-2</v>
      </c>
      <c r="BQ63"/>
      <c r="BR63"/>
      <c r="BS63"/>
      <c r="BT63"/>
      <c r="BU63"/>
      <c r="BV63" s="11">
        <v>1.5582751075271517E-4</v>
      </c>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row>
    <row r="64" spans="1:209" ht="15" customHeight="1" x14ac:dyDescent="0.15">
      <c r="A64" t="s">
        <v>254</v>
      </c>
      <c r="B64">
        <v>0.49000000953674316</v>
      </c>
      <c r="C64">
        <v>0.42350524663925171</v>
      </c>
      <c r="D64" s="11">
        <v>2.4803151609376073E-4</v>
      </c>
      <c r="E64" s="18">
        <v>5.3228344768285751E-3</v>
      </c>
      <c r="F64"/>
      <c r="G64"/>
      <c r="H64"/>
      <c r="I64"/>
      <c r="J64"/>
      <c r="K64"/>
      <c r="L64"/>
      <c r="M64"/>
      <c r="N64"/>
      <c r="O64"/>
      <c r="P64"/>
      <c r="Q64"/>
      <c r="R64"/>
      <c r="S64"/>
      <c r="T64"/>
      <c r="U64"/>
      <c r="V64"/>
      <c r="W64"/>
      <c r="X64"/>
      <c r="Y64"/>
      <c r="Z64"/>
      <c r="AA64"/>
      <c r="AB64"/>
      <c r="AC64"/>
      <c r="AD64"/>
      <c r="AE64" s="17">
        <v>6.9282045587897301E-3</v>
      </c>
      <c r="AF64"/>
      <c r="AG64"/>
      <c r="AH64"/>
      <c r="AI64"/>
      <c r="AJ64"/>
      <c r="AK64"/>
      <c r="AL64"/>
      <c r="AM64"/>
      <c r="AN64"/>
      <c r="AO64"/>
      <c r="AP64" s="12">
        <v>1.9690580666065216E-3</v>
      </c>
      <c r="AQ64"/>
      <c r="AR64"/>
      <c r="AS64"/>
      <c r="AT64"/>
      <c r="AU64"/>
      <c r="AV64"/>
      <c r="AW64"/>
      <c r="AX64"/>
      <c r="AY64"/>
      <c r="AZ64"/>
      <c r="BA64"/>
      <c r="BB64" s="303">
        <v>5.2026629447937012E-2</v>
      </c>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row>
    <row r="65" spans="1:209" ht="15" customHeight="1" x14ac:dyDescent="0.15">
      <c r="A65" t="s">
        <v>255</v>
      </c>
      <c r="B65">
        <v>0.80000001192092896</v>
      </c>
      <c r="C65">
        <v>0.30189457535743713</v>
      </c>
      <c r="D65" s="11">
        <v>1.4382572771864943E-5</v>
      </c>
      <c r="E65" s="14">
        <v>2.1063147578388453E-3</v>
      </c>
      <c r="F65"/>
      <c r="G65"/>
      <c r="H65"/>
      <c r="I65"/>
      <c r="J65"/>
      <c r="K65"/>
      <c r="L65"/>
      <c r="M65"/>
      <c r="N65"/>
      <c r="O65" s="22">
        <v>5.6517296470701694E-3</v>
      </c>
      <c r="P65"/>
      <c r="Q65"/>
      <c r="R65"/>
      <c r="S65"/>
      <c r="T65"/>
      <c r="U65"/>
      <c r="V65"/>
      <c r="W65"/>
      <c r="X65"/>
      <c r="Y65" s="11">
        <v>2.6142448768950999E-4</v>
      </c>
      <c r="Z65" s="11">
        <v>3.7823672300874023E-6</v>
      </c>
      <c r="AA65" s="11">
        <v>6.952078024369257E-7</v>
      </c>
      <c r="AB65" s="11">
        <v>2.2813137547927909E-5</v>
      </c>
      <c r="AC65" s="11">
        <v>2.1555869898293167E-4</v>
      </c>
      <c r="AD65" s="11">
        <v>9.9634533512471535E-8</v>
      </c>
      <c r="AE65" s="14">
        <v>2.059506019577384E-3</v>
      </c>
      <c r="AF65" s="11">
        <v>7.5919866503681988E-5</v>
      </c>
      <c r="AG65" s="11">
        <v>6.3460244564339519E-4</v>
      </c>
      <c r="AH65" s="11">
        <v>4.2319935164414346E-4</v>
      </c>
      <c r="AI65"/>
      <c r="AJ65" s="11">
        <v>4.1753191908355802E-6</v>
      </c>
      <c r="AK65"/>
      <c r="AL65"/>
      <c r="AM65"/>
      <c r="AN65" s="11">
        <v>1.4076219940761803E-6</v>
      </c>
      <c r="AO65" s="11">
        <v>1.1179594366694801E-5</v>
      </c>
      <c r="AP65" s="12">
        <v>3.5690667573362589E-3</v>
      </c>
      <c r="AQ65"/>
      <c r="AR65"/>
      <c r="AS65"/>
      <c r="AT65"/>
      <c r="AU65" s="11">
        <v>4.4610449549509212E-5</v>
      </c>
      <c r="AV65"/>
      <c r="AW65"/>
      <c r="AX65"/>
      <c r="AY65"/>
      <c r="AZ65" s="21">
        <v>1.4943279325962067E-2</v>
      </c>
      <c r="BA65"/>
      <c r="BB65"/>
      <c r="BC65" s="14">
        <v>1.3118284987285733E-3</v>
      </c>
      <c r="BD65"/>
      <c r="BE65"/>
      <c r="BF65"/>
      <c r="BG65" s="12">
        <v>3.5756723955273628E-3</v>
      </c>
      <c r="BH65"/>
      <c r="BI65"/>
      <c r="BJ65"/>
      <c r="BK65"/>
      <c r="BL65"/>
      <c r="BM65" s="21">
        <v>1.6079267486929893E-2</v>
      </c>
      <c r="BN65" s="16">
        <v>1.327745895832777E-2</v>
      </c>
      <c r="BO65"/>
      <c r="BP65" s="379">
        <v>0.40272760391235352</v>
      </c>
      <c r="BQ65" s="145">
        <v>2.3050634190440178E-2</v>
      </c>
      <c r="BR65"/>
      <c r="BS65"/>
      <c r="BT65" s="11">
        <v>4.7855440061539412E-4</v>
      </c>
      <c r="BU65"/>
      <c r="BV65" s="15">
        <v>7.5606931932270527E-3</v>
      </c>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row>
    <row r="66" spans="1:209" ht="15" customHeight="1" x14ac:dyDescent="0.15">
      <c r="A66" t="s">
        <v>256</v>
      </c>
      <c r="B66">
        <v>1.2089999914169312</v>
      </c>
      <c r="C66">
        <v>0.12089995294809341</v>
      </c>
      <c r="D66" s="11">
        <v>1.0738291393863619E-6</v>
      </c>
      <c r="E66" s="11">
        <v>1.7407076666131616E-4</v>
      </c>
      <c r="F66"/>
      <c r="G66"/>
      <c r="H66"/>
      <c r="I66"/>
      <c r="J66"/>
      <c r="K66"/>
      <c r="L66" s="11">
        <v>2.9843533866369398E-6</v>
      </c>
      <c r="M66"/>
      <c r="N66"/>
      <c r="O66" s="11">
        <v>6.1598321190103889E-4</v>
      </c>
      <c r="P66"/>
      <c r="Q66"/>
      <c r="R66"/>
      <c r="S66"/>
      <c r="T66"/>
      <c r="U66"/>
      <c r="V66"/>
      <c r="W66"/>
      <c r="X66"/>
      <c r="Y66"/>
      <c r="Z66"/>
      <c r="AA66"/>
      <c r="AB66"/>
      <c r="AC66"/>
      <c r="AD66"/>
      <c r="AE66"/>
      <c r="AF66"/>
      <c r="AG66"/>
      <c r="AH66" s="14">
        <v>3.4934782888740301E-3</v>
      </c>
      <c r="AI66"/>
      <c r="AJ66"/>
      <c r="AK66"/>
      <c r="AL66"/>
      <c r="AM66" s="11">
        <v>1.2896989574073814E-5</v>
      </c>
      <c r="AN66"/>
      <c r="AO66"/>
      <c r="AP66"/>
      <c r="AQ66"/>
      <c r="AR66"/>
      <c r="AS66"/>
      <c r="AT66"/>
      <c r="AU66"/>
      <c r="AV66"/>
      <c r="AW66"/>
      <c r="AX66"/>
      <c r="AY66"/>
      <c r="AZ66" s="14">
        <v>1.5913100214675069E-3</v>
      </c>
      <c r="BA66"/>
      <c r="BB66" s="23">
        <v>6.2102400697767735E-3</v>
      </c>
      <c r="BC66"/>
      <c r="BD66" s="14">
        <v>1.871611806564033E-3</v>
      </c>
      <c r="BE66" s="23">
        <v>6.6298502497375011E-3</v>
      </c>
      <c r="BF66"/>
      <c r="BG66" s="14">
        <v>3.490423085168004E-3</v>
      </c>
      <c r="BH66" s="18">
        <v>1.488445233553648E-2</v>
      </c>
      <c r="BI66" s="18">
        <v>1.3527693226933479E-2</v>
      </c>
      <c r="BJ66" s="146">
        <v>7.3540434241294861E-2</v>
      </c>
      <c r="BK66" s="377">
        <v>0.80786746740341187</v>
      </c>
      <c r="BL66"/>
      <c r="BM66" s="14">
        <v>2.2897568996995687E-3</v>
      </c>
      <c r="BN66" s="14">
        <v>1.8907672492787242E-3</v>
      </c>
      <c r="BO66" s="23">
        <v>6.0801543295383453E-3</v>
      </c>
      <c r="BP66" s="353">
        <v>0.14152534306049347</v>
      </c>
      <c r="BQ66" s="14">
        <v>2.4001142010092735E-3</v>
      </c>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row>
    <row r="67" spans="1:209" ht="15" customHeight="1" x14ac:dyDescent="0.15">
      <c r="A67" t="s">
        <v>257</v>
      </c>
      <c r="B67">
        <v>1.2089999914169312</v>
      </c>
      <c r="C67">
        <v>0.12090010195970535</v>
      </c>
      <c r="D67"/>
      <c r="E67"/>
      <c r="F67"/>
      <c r="G67"/>
      <c r="H67"/>
      <c r="I67"/>
      <c r="J67"/>
      <c r="K67" s="11">
        <v>2.4787248094071401E-6</v>
      </c>
      <c r="L67" s="11">
        <v>1.0569045116426423E-5</v>
      </c>
      <c r="M67"/>
      <c r="N67"/>
      <c r="O67"/>
      <c r="P67"/>
      <c r="Q67"/>
      <c r="R67"/>
      <c r="S67"/>
      <c r="T67"/>
      <c r="U67"/>
      <c r="V67"/>
      <c r="W67"/>
      <c r="X67" s="11">
        <v>5.1894760690629482E-4</v>
      </c>
      <c r="Y67" s="11">
        <v>1.1242264008615166E-4</v>
      </c>
      <c r="Z67" s="11">
        <v>1.7910077076521702E-5</v>
      </c>
      <c r="AA67" s="11">
        <v>4.585185888572596E-5</v>
      </c>
      <c r="AB67" s="11">
        <v>9.5267477445304394E-4</v>
      </c>
      <c r="AC67" s="11">
        <v>6.3194782705977559E-4</v>
      </c>
      <c r="AD67" s="11">
        <v>3.2318930607289076E-6</v>
      </c>
      <c r="AE67" s="18">
        <v>1.3823940418660641E-2</v>
      </c>
      <c r="AF67" s="11">
        <v>9.6198593382723629E-5</v>
      </c>
      <c r="AG67" s="11">
        <v>9.7345333779230714E-4</v>
      </c>
      <c r="AH67" s="23">
        <v>6.1860517598688602E-3</v>
      </c>
      <c r="AI67"/>
      <c r="AJ67" s="11">
        <v>4.6033248509047553E-5</v>
      </c>
      <c r="AK67"/>
      <c r="AL67"/>
      <c r="AM67"/>
      <c r="AN67" s="11">
        <v>3.8083475374151021E-5</v>
      </c>
      <c r="AO67" s="11">
        <v>2.7744512772187591E-4</v>
      </c>
      <c r="AP67" s="12">
        <v>5.041628610342741E-3</v>
      </c>
      <c r="AQ67" s="18">
        <v>1.4249963685870171E-2</v>
      </c>
      <c r="AR67" s="344">
        <v>0.39963367581367493</v>
      </c>
      <c r="AS67" s="11">
        <v>1.060460926964879E-3</v>
      </c>
      <c r="AT67" s="22">
        <v>1.0625746101140976E-2</v>
      </c>
      <c r="AU67" s="14">
        <v>2.2031513508409262E-3</v>
      </c>
      <c r="AV67"/>
      <c r="AW67"/>
      <c r="AX67"/>
      <c r="AY67"/>
      <c r="AZ67" s="11">
        <v>1.1271203402429819E-3</v>
      </c>
      <c r="BA67"/>
      <c r="BB67" s="22">
        <v>8.7973903864622116E-3</v>
      </c>
      <c r="BC67"/>
      <c r="BD67"/>
      <c r="BE67"/>
      <c r="BF67" s="14">
        <v>3.2949664164334536E-3</v>
      </c>
      <c r="BG67"/>
      <c r="BH67"/>
      <c r="BI67"/>
      <c r="BJ67"/>
      <c r="BK67"/>
      <c r="BL67" s="14">
        <v>1.2207613326609135E-3</v>
      </c>
      <c r="BM67" s="23">
        <v>7.8475559130311012E-3</v>
      </c>
      <c r="BN67" s="23">
        <v>6.4801215194165707E-3</v>
      </c>
      <c r="BO67"/>
      <c r="BP67" s="384">
        <v>0.60145199298858643</v>
      </c>
      <c r="BQ67" s="14">
        <v>1.3281203573569655E-3</v>
      </c>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row>
    <row r="68" spans="1:209" ht="15" customHeight="1" x14ac:dyDescent="0.15">
      <c r="A68" t="s">
        <v>258</v>
      </c>
      <c r="B68">
        <v>7.0100002288818359</v>
      </c>
      <c r="C68">
        <v>0.14019986987113953</v>
      </c>
      <c r="D68" s="11">
        <v>8.20314835436875E-6</v>
      </c>
      <c r="E68" s="11">
        <v>8.6109619587659836E-4</v>
      </c>
      <c r="F68"/>
      <c r="G68"/>
      <c r="H68"/>
      <c r="I68"/>
      <c r="J68"/>
      <c r="K68"/>
      <c r="L68"/>
      <c r="M68"/>
      <c r="N68"/>
      <c r="O68"/>
      <c r="P68"/>
      <c r="Q68"/>
      <c r="R68"/>
      <c r="S68"/>
      <c r="T68"/>
      <c r="U68"/>
      <c r="V68"/>
      <c r="W68"/>
      <c r="X68"/>
      <c r="Y68" s="11">
        <v>2.2021353652235121E-4</v>
      </c>
      <c r="Z68"/>
      <c r="AA68" s="11">
        <v>3.668094450404169E-7</v>
      </c>
      <c r="AB68" s="11">
        <v>1.0454297444084659E-4</v>
      </c>
      <c r="AC68" s="11">
        <v>1.9991786757600494E-5</v>
      </c>
      <c r="AD68" s="11">
        <v>2.3346542832314299E-7</v>
      </c>
      <c r="AE68" s="23">
        <v>4.1106335818767548E-2</v>
      </c>
      <c r="AF68" s="11">
        <v>6.1420173551596235E-6</v>
      </c>
      <c r="AG68" s="11">
        <v>1.0726286564022303E-4</v>
      </c>
      <c r="AH68" s="23">
        <v>3.8717661052942276E-2</v>
      </c>
      <c r="AI68" s="28">
        <v>0.24416492879390717</v>
      </c>
      <c r="AJ68" s="11">
        <v>3.527236549416557E-5</v>
      </c>
      <c r="AK68"/>
      <c r="AL68"/>
      <c r="AM68" s="11">
        <v>6.1257967900019139E-5</v>
      </c>
      <c r="AN68"/>
      <c r="AO68"/>
      <c r="AP68"/>
      <c r="AQ68"/>
      <c r="AR68"/>
      <c r="AS68"/>
      <c r="AT68"/>
      <c r="AU68"/>
      <c r="AV68"/>
      <c r="AW68"/>
      <c r="AX68"/>
      <c r="AY68"/>
      <c r="AZ68" s="11">
        <v>1.5116771683096886E-3</v>
      </c>
      <c r="BA68" s="23">
        <v>4.7783169895410538E-2</v>
      </c>
      <c r="BB68" s="12">
        <v>2.713753841817379E-2</v>
      </c>
      <c r="BC68"/>
      <c r="BD68" s="14">
        <v>1.0981467552483082E-2</v>
      </c>
      <c r="BE68" s="23">
        <v>3.8093205541372299E-2</v>
      </c>
      <c r="BF68"/>
      <c r="BG68" s="14">
        <v>1.0610411874949932E-2</v>
      </c>
      <c r="BH68" s="23">
        <v>4.3071869760751724E-2</v>
      </c>
      <c r="BI68" s="22">
        <v>5.4302886128425598E-2</v>
      </c>
      <c r="BJ68" s="108">
        <v>0.46573531627655029</v>
      </c>
      <c r="BK68" s="392">
        <v>5.1162652969360352</v>
      </c>
      <c r="BL68"/>
      <c r="BM68" s="11">
        <v>5.84723602514714E-4</v>
      </c>
      <c r="BN68" s="11">
        <v>4.8283566138707101E-4</v>
      </c>
      <c r="BO68" s="14">
        <v>8.6830873042345047E-3</v>
      </c>
      <c r="BP68" s="23">
        <v>4.4814359396696091E-2</v>
      </c>
      <c r="BQ68"/>
      <c r="BR68"/>
      <c r="BS68"/>
      <c r="BT68"/>
      <c r="BU68"/>
      <c r="BV68" s="11">
        <v>1.8369696044828743E-4</v>
      </c>
      <c r="BW68" s="15">
        <v>7.5104519724845886E-2</v>
      </c>
      <c r="BX68"/>
      <c r="BY68"/>
      <c r="BZ68" s="325">
        <v>0.27140000462532043</v>
      </c>
      <c r="CA68"/>
      <c r="CB68" s="29">
        <v>0.32764118909835815</v>
      </c>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row>
    <row r="69" spans="1:209" ht="15" customHeight="1" x14ac:dyDescent="0.15">
      <c r="A69" t="s">
        <v>259</v>
      </c>
      <c r="B69">
        <v>7.0100002288818359</v>
      </c>
      <c r="C69">
        <v>0.1401994526386261</v>
      </c>
      <c r="D69"/>
      <c r="E69"/>
      <c r="F69"/>
      <c r="G69"/>
      <c r="H69"/>
      <c r="I69" s="11">
        <v>1.8353157216211002E-8</v>
      </c>
      <c r="J69"/>
      <c r="K69"/>
      <c r="L69"/>
      <c r="M69"/>
      <c r="N69"/>
      <c r="O69"/>
      <c r="P69"/>
      <c r="Q69"/>
      <c r="R69"/>
      <c r="S69"/>
      <c r="T69"/>
      <c r="U69"/>
      <c r="V69" s="11">
        <v>1.9698642427101731E-4</v>
      </c>
      <c r="W69" s="11">
        <v>1.9233275670558214E-3</v>
      </c>
      <c r="X69"/>
      <c r="Y69" s="12">
        <v>2.7892325073480606E-2</v>
      </c>
      <c r="Z69" s="14">
        <v>8.2790367305278778E-3</v>
      </c>
      <c r="AA69" s="11">
        <v>6.4771343022584915E-3</v>
      </c>
      <c r="AB69" s="22">
        <v>5.1644172519445419E-2</v>
      </c>
      <c r="AC69" s="311">
        <v>0.16340816020965576</v>
      </c>
      <c r="AD69" s="11">
        <v>1.1190357618033886E-3</v>
      </c>
      <c r="AE69" s="338">
        <v>0.77540194988250732</v>
      </c>
      <c r="AF69" s="18">
        <v>8.2940168678760529E-2</v>
      </c>
      <c r="AG69" s="14">
        <v>9.8538389429450035E-3</v>
      </c>
      <c r="AH69" s="333">
        <v>0.58522593975067139</v>
      </c>
      <c r="AI69"/>
      <c r="AJ69" s="23">
        <v>3.9665769785642624E-2</v>
      </c>
      <c r="AK69"/>
      <c r="AL69"/>
      <c r="AM69"/>
      <c r="AN69" s="11">
        <v>2.8222347609698772E-3</v>
      </c>
      <c r="AO69" s="22">
        <v>5.2184823900461197E-2</v>
      </c>
      <c r="AP69" s="22">
        <v>5.0535906106233597E-2</v>
      </c>
      <c r="AQ69" s="19">
        <v>0.12036179006099701</v>
      </c>
      <c r="AR69" s="26">
        <v>0.18487569689750671</v>
      </c>
      <c r="AS69" s="25">
        <v>0.22552968561649323</v>
      </c>
      <c r="AT69" s="308">
        <v>0.23361901938915253</v>
      </c>
      <c r="AU69" s="24">
        <v>0.18758448958396912</v>
      </c>
      <c r="AV69"/>
      <c r="AW69"/>
      <c r="AX69" s="11">
        <v>3.6400307435542345E-3</v>
      </c>
      <c r="AY69"/>
      <c r="AZ69" s="12">
        <v>2.6657555252313614E-2</v>
      </c>
      <c r="BA69"/>
      <c r="BB69" s="70">
        <v>0.364117830991745</v>
      </c>
      <c r="BC69" s="14">
        <v>1.2790102511644363E-2</v>
      </c>
      <c r="BD69"/>
      <c r="BE69"/>
      <c r="BF69" s="66">
        <v>0.29120966792106628</v>
      </c>
      <c r="BG69" s="12">
        <v>2.3388562723994255E-2</v>
      </c>
      <c r="BH69"/>
      <c r="BI69"/>
      <c r="BJ69"/>
      <c r="BK69"/>
      <c r="BL69" s="22">
        <v>5.7744517922401428E-2</v>
      </c>
      <c r="BM69" s="12">
        <v>2.0622527226805687E-2</v>
      </c>
      <c r="BN69" s="14">
        <v>1.7029056325554848E-2</v>
      </c>
      <c r="BO69"/>
      <c r="BP69" s="370">
        <v>1.5805507898330688</v>
      </c>
      <c r="BQ69"/>
      <c r="BR69"/>
      <c r="BS69"/>
      <c r="BT69"/>
      <c r="BU69"/>
      <c r="BV69" s="11">
        <v>6.4787794835865498E-3</v>
      </c>
      <c r="BW69" s="284">
        <v>0.88294994831085205</v>
      </c>
      <c r="BX69"/>
      <c r="BY69"/>
      <c r="BZ69"/>
      <c r="CA69" s="325">
        <v>0.27140000462532043</v>
      </c>
      <c r="CB69"/>
      <c r="CC69" s="72">
        <v>0.49967974424362183</v>
      </c>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row>
    <row r="70" spans="1:209" ht="15" customHeight="1" x14ac:dyDescent="0.15">
      <c r="A70" t="s">
        <v>260</v>
      </c>
      <c r="B70">
        <v>6.8499999046325684</v>
      </c>
      <c r="C70">
        <v>0.13699986040592194</v>
      </c>
      <c r="D70"/>
      <c r="E70" s="11">
        <v>3.080060366755788E-7</v>
      </c>
      <c r="F70"/>
      <c r="G70"/>
      <c r="H70"/>
      <c r="I70"/>
      <c r="J70"/>
      <c r="K70"/>
      <c r="L70"/>
      <c r="M70"/>
      <c r="N70"/>
      <c r="O70"/>
      <c r="P70"/>
      <c r="Q70"/>
      <c r="R70"/>
      <c r="S70"/>
      <c r="T70"/>
      <c r="U70"/>
      <c r="V70"/>
      <c r="W70" s="11">
        <v>2.9044653274468146E-5</v>
      </c>
      <c r="X70"/>
      <c r="Y70" s="11">
        <v>9.1065629385411739E-4</v>
      </c>
      <c r="Z70" s="14">
        <v>8.8537391275167465E-3</v>
      </c>
      <c r="AA70" s="11">
        <v>4.3976344750262797E-4</v>
      </c>
      <c r="AB70" s="14">
        <v>1.1919634416699409E-2</v>
      </c>
      <c r="AC70" s="11">
        <v>3.7176967598497868E-3</v>
      </c>
      <c r="AD70" s="11">
        <v>6.048838230299225E-8</v>
      </c>
      <c r="AE70" s="65">
        <v>0.14297470450401306</v>
      </c>
      <c r="AF70" s="11">
        <v>9.7905925940722227E-4</v>
      </c>
      <c r="AG70" s="11">
        <v>1.6545773250982165E-3</v>
      </c>
      <c r="AH70" s="12">
        <v>2.7753284201025963E-2</v>
      </c>
      <c r="AI70" s="18">
        <v>7.6226487755775452E-2</v>
      </c>
      <c r="AJ70" s="11">
        <v>8.3819904830306768E-6</v>
      </c>
      <c r="AK70"/>
      <c r="AL70"/>
      <c r="AM70" s="11">
        <v>5.122885704622604E-5</v>
      </c>
      <c r="AN70" s="11">
        <v>2.8476465377025306E-4</v>
      </c>
      <c r="AO70" s="11">
        <v>2.8730175108648837E-4</v>
      </c>
      <c r="AP70" s="23">
        <v>3.8640636950731277E-2</v>
      </c>
      <c r="AQ70" s="11">
        <v>5.9744575992226601E-4</v>
      </c>
      <c r="AR70" s="305">
        <v>0.51442545652389526</v>
      </c>
      <c r="AS70" s="65">
        <v>0.15073227882385254</v>
      </c>
      <c r="AT70" s="21">
        <v>0.13564124703407288</v>
      </c>
      <c r="AU70" s="11">
        <v>3.459499217569828E-3</v>
      </c>
      <c r="AV70"/>
      <c r="AW70"/>
      <c r="AX70"/>
      <c r="AY70"/>
      <c r="AZ70" s="11">
        <v>3.7925592623651028E-3</v>
      </c>
      <c r="BA70" s="14">
        <v>1.3320046477019787E-2</v>
      </c>
      <c r="BB70" s="14">
        <v>1.973443478345871E-2</v>
      </c>
      <c r="BC70"/>
      <c r="BD70" s="14">
        <v>9.183589369058609E-3</v>
      </c>
      <c r="BE70" s="23">
        <v>3.4829895943403244E-2</v>
      </c>
      <c r="BF70"/>
      <c r="BG70" s="11">
        <v>2.7729012072086334E-3</v>
      </c>
      <c r="BH70" s="14">
        <v>9.6227182075381279E-3</v>
      </c>
      <c r="BI70" s="12">
        <v>3.3286616206169128E-2</v>
      </c>
      <c r="BJ70" s="20">
        <v>0.29211410880088806</v>
      </c>
      <c r="BK70" s="297">
        <v>3.2089757919311523</v>
      </c>
      <c r="BL70"/>
      <c r="BM70" s="11">
        <v>3.8630454801023006E-3</v>
      </c>
      <c r="BN70" s="11">
        <v>3.1899106688797474E-3</v>
      </c>
      <c r="BO70" s="14">
        <v>1.3561354018747807E-2</v>
      </c>
      <c r="BP70" s="75">
        <v>0.64461100101470947</v>
      </c>
      <c r="BQ70" s="11">
        <v>2.3834072053432465E-3</v>
      </c>
      <c r="BR70"/>
      <c r="BS70" s="16">
        <v>0.11238347738981247</v>
      </c>
      <c r="BT70"/>
      <c r="BU70"/>
      <c r="BV70" s="11">
        <v>1.5362221165560186E-4</v>
      </c>
      <c r="BW70" s="11">
        <v>3.7685080897063017E-3</v>
      </c>
      <c r="BX70"/>
      <c r="BY70"/>
      <c r="BZ70" s="321">
        <v>0.90786641836166382</v>
      </c>
      <c r="CA70"/>
      <c r="CB70" s="325">
        <v>0.27399998903274536</v>
      </c>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row>
    <row r="71" spans="1:209" ht="15" customHeight="1" x14ac:dyDescent="0.15">
      <c r="A71" t="s">
        <v>261</v>
      </c>
      <c r="B71">
        <v>4.5999999046325684</v>
      </c>
      <c r="C71">
        <v>9.1999910771846771E-2</v>
      </c>
      <c r="D71"/>
      <c r="E71"/>
      <c r="F71"/>
      <c r="G71"/>
      <c r="H71"/>
      <c r="I71"/>
      <c r="J71"/>
      <c r="K71"/>
      <c r="L71"/>
      <c r="M71"/>
      <c r="N71"/>
      <c r="O71"/>
      <c r="P71"/>
      <c r="Q71"/>
      <c r="R71"/>
      <c r="S71"/>
      <c r="T71"/>
      <c r="U71"/>
      <c r="V71"/>
      <c r="W71"/>
      <c r="X71"/>
      <c r="Y71" s="11">
        <v>1.8132980039808899E-4</v>
      </c>
      <c r="Z71"/>
      <c r="AA71" s="11">
        <v>3.0831648473395035E-5</v>
      </c>
      <c r="AB71" s="11">
        <v>5.2609393605962396E-5</v>
      </c>
      <c r="AC71"/>
      <c r="AD71"/>
      <c r="AE71" s="15">
        <v>4.1938479989767075E-2</v>
      </c>
      <c r="AF71" s="11">
        <v>1.0485990060260519E-4</v>
      </c>
      <c r="AG71"/>
      <c r="AH71" s="23">
        <v>3.1036851927638054E-2</v>
      </c>
      <c r="AI71"/>
      <c r="AJ71"/>
      <c r="AK71"/>
      <c r="AL71"/>
      <c r="AM71"/>
      <c r="AN71"/>
      <c r="AO71"/>
      <c r="AP71"/>
      <c r="AQ71"/>
      <c r="AR71"/>
      <c r="AS71"/>
      <c r="AT71"/>
      <c r="AU71"/>
      <c r="AV71"/>
      <c r="AW71"/>
      <c r="AX71"/>
      <c r="AY71"/>
      <c r="AZ71" s="14">
        <v>8.4825353696942329E-3</v>
      </c>
      <c r="BA71"/>
      <c r="BB71" s="65">
        <v>9.9311709403991699E-2</v>
      </c>
      <c r="BC71" s="28">
        <v>0.16537024080753326</v>
      </c>
      <c r="BD71"/>
      <c r="BE71"/>
      <c r="BF71" s="11">
        <v>1.9576908380258828E-4</v>
      </c>
      <c r="BG71"/>
      <c r="BH71"/>
      <c r="BI71"/>
      <c r="BJ71"/>
      <c r="BK71"/>
      <c r="BL71" s="22">
        <v>3.674905002117157E-2</v>
      </c>
      <c r="BM71" s="15">
        <v>4.5935168862342834E-2</v>
      </c>
      <c r="BN71" s="22">
        <v>3.7930972874164581E-2</v>
      </c>
      <c r="BO71"/>
      <c r="BP71" s="381">
        <v>3.5205607414245605</v>
      </c>
      <c r="BQ71" s="14">
        <v>7.9961838200688362E-3</v>
      </c>
      <c r="BR71"/>
      <c r="BS71"/>
      <c r="BT71"/>
      <c r="BU71"/>
      <c r="BV71" s="11">
        <v>2.0615723915398121E-3</v>
      </c>
      <c r="BW71" s="14">
        <v>5.6191612966358662E-3</v>
      </c>
      <c r="BX71"/>
      <c r="BY71"/>
      <c r="BZ71"/>
      <c r="CA71" s="305">
        <v>0.3454420268535614</v>
      </c>
      <c r="CB71"/>
      <c r="CC71" s="28">
        <v>0.15899999439716339</v>
      </c>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row>
    <row r="72" spans="1:209" ht="15" customHeight="1" x14ac:dyDescent="0.15">
      <c r="A72" t="s">
        <v>262</v>
      </c>
      <c r="B72">
        <v>2.5</v>
      </c>
      <c r="C72">
        <v>4.9999803304672241E-2</v>
      </c>
      <c r="D72" s="11">
        <v>3.7224754390052794E-9</v>
      </c>
      <c r="E72" s="11">
        <v>4.0500531213183422E-6</v>
      </c>
      <c r="F72"/>
      <c r="G72"/>
      <c r="H72"/>
      <c r="I72"/>
      <c r="J72"/>
      <c r="K72"/>
      <c r="L72"/>
      <c r="M72"/>
      <c r="N72"/>
      <c r="O72"/>
      <c r="P72"/>
      <c r="Q72"/>
      <c r="R72"/>
      <c r="S72"/>
      <c r="T72"/>
      <c r="U72"/>
      <c r="V72"/>
      <c r="W72"/>
      <c r="X72"/>
      <c r="Y72" s="11">
        <v>7.282497244887054E-5</v>
      </c>
      <c r="Z72" s="11">
        <v>1.6997782950056717E-6</v>
      </c>
      <c r="AA72" s="11">
        <v>3.4500681067584082E-6</v>
      </c>
      <c r="AB72" s="11">
        <v>4.9576821766095236E-5</v>
      </c>
      <c r="AC72" s="11">
        <v>1.127867290051654E-5</v>
      </c>
      <c r="AD72" s="11">
        <v>2.1453196552556619E-7</v>
      </c>
      <c r="AE72" s="11">
        <v>8.9352758368477225E-4</v>
      </c>
      <c r="AF72" s="11">
        <v>5.4361273214453831E-5</v>
      </c>
      <c r="AG72" s="11">
        <v>7.3427079769317061E-5</v>
      </c>
      <c r="AH72" s="14">
        <v>4.6120039187371731E-3</v>
      </c>
      <c r="AI72" s="18">
        <v>2.8246175497770309E-2</v>
      </c>
      <c r="AJ72" s="11">
        <v>3.0377559596672654E-6</v>
      </c>
      <c r="AK72"/>
      <c r="AL72"/>
      <c r="AM72" s="11">
        <v>2.043154563580174E-5</v>
      </c>
      <c r="AN72" s="11">
        <v>1.5332268958445638E-5</v>
      </c>
      <c r="AO72" s="11">
        <v>1.3291054347064346E-4</v>
      </c>
      <c r="AP72" s="11">
        <v>7.8064750414341688E-4</v>
      </c>
      <c r="AQ72" s="11">
        <v>9.1277237515896559E-5</v>
      </c>
      <c r="AR72" s="12">
        <v>7.9349605366587639E-3</v>
      </c>
      <c r="AS72" s="11">
        <v>1.0518356430111453E-4</v>
      </c>
      <c r="AT72" s="11">
        <v>5.038935923948884E-4</v>
      </c>
      <c r="AU72" s="11">
        <v>3.9421367546310648E-5</v>
      </c>
      <c r="AV72"/>
      <c r="AW72"/>
      <c r="AX72" s="11">
        <v>1.7581289739609929E-6</v>
      </c>
      <c r="AY72"/>
      <c r="AZ72" s="11">
        <v>5.0419400213286281E-4</v>
      </c>
      <c r="BA72"/>
      <c r="BB72" s="14">
        <v>2.9514976777136326E-3</v>
      </c>
      <c r="BC72"/>
      <c r="BD72" s="14">
        <v>3.3138534054160118E-3</v>
      </c>
      <c r="BE72" s="12">
        <v>1.0898353531956673E-2</v>
      </c>
      <c r="BF72"/>
      <c r="BG72" s="14">
        <v>7.0557240396738052E-3</v>
      </c>
      <c r="BH72" s="18">
        <v>2.8697190806269646E-2</v>
      </c>
      <c r="BI72" s="15">
        <v>2.4370322003960609E-2</v>
      </c>
      <c r="BJ72" s="76">
        <v>0.19417254626750946</v>
      </c>
      <c r="BK72" s="394">
        <v>2.1330530643463135</v>
      </c>
      <c r="BL72"/>
      <c r="BM72"/>
      <c r="BN72"/>
      <c r="BO72" s="11">
        <v>1.9376816635485739E-4</v>
      </c>
      <c r="BP72"/>
      <c r="BQ72" s="11">
        <v>8.3174998871982098E-4</v>
      </c>
      <c r="BR72"/>
      <c r="BS72"/>
      <c r="BT72"/>
      <c r="BU72"/>
      <c r="BV72" s="11">
        <v>3.0634485301561654E-4</v>
      </c>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row>
    <row r="73" spans="1:209" ht="15" customHeight="1" x14ac:dyDescent="0.15">
      <c r="A73" t="s">
        <v>263</v>
      </c>
      <c r="B73">
        <v>2.5</v>
      </c>
      <c r="C73">
        <v>4.999995231628418E-2</v>
      </c>
      <c r="D73"/>
      <c r="E73"/>
      <c r="F73"/>
      <c r="G73"/>
      <c r="H73"/>
      <c r="I73" s="11">
        <v>6.7390519831178608E-9</v>
      </c>
      <c r="J73"/>
      <c r="K73"/>
      <c r="L73"/>
      <c r="M73"/>
      <c r="N73"/>
      <c r="O73"/>
      <c r="P73"/>
      <c r="Q73"/>
      <c r="R73"/>
      <c r="S73"/>
      <c r="T73"/>
      <c r="U73"/>
      <c r="V73"/>
      <c r="W73"/>
      <c r="X73"/>
      <c r="Y73"/>
      <c r="Z73"/>
      <c r="AA73"/>
      <c r="AB73"/>
      <c r="AC73"/>
      <c r="AD73"/>
      <c r="AE73"/>
      <c r="AF73"/>
      <c r="AG73"/>
      <c r="AH73" s="145">
        <v>7.1629442274570465E-2</v>
      </c>
      <c r="AI73"/>
      <c r="AJ73"/>
      <c r="AK73"/>
      <c r="AL73"/>
      <c r="AM73"/>
      <c r="AN73"/>
      <c r="AO73"/>
      <c r="AP73"/>
      <c r="AQ73"/>
      <c r="AR73"/>
      <c r="AS73"/>
      <c r="AT73"/>
      <c r="AU73"/>
      <c r="AV73"/>
      <c r="AW73"/>
      <c r="AX73"/>
      <c r="AY73"/>
      <c r="AZ73" s="17">
        <v>3.2627839595079422E-2</v>
      </c>
      <c r="BA73"/>
      <c r="BB73" s="316">
        <v>0.14006659388542175</v>
      </c>
      <c r="BC73" s="316">
        <v>0.14148589968681335</v>
      </c>
      <c r="BD73"/>
      <c r="BE73"/>
      <c r="BF73" s="374">
        <v>1.8524301052093506</v>
      </c>
      <c r="BG73"/>
      <c r="BH73"/>
      <c r="BI73"/>
      <c r="BJ73"/>
      <c r="BK73"/>
      <c r="BL73" s="316">
        <v>0.14135421812534332</v>
      </c>
      <c r="BM73"/>
      <c r="BN73"/>
      <c r="BO73"/>
      <c r="BP73"/>
      <c r="BQ73" s="18">
        <v>3.0757103115320206E-2</v>
      </c>
      <c r="BR73"/>
      <c r="BS73"/>
      <c r="BT73"/>
      <c r="BU73"/>
      <c r="BV73" s="16">
        <v>3.9648909121751785E-2</v>
      </c>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row>
    <row r="74" spans="1:209" ht="15" customHeight="1" x14ac:dyDescent="0.15">
      <c r="A74" t="s">
        <v>264</v>
      </c>
      <c r="B74">
        <v>12.5</v>
      </c>
      <c r="C74">
        <v>0.62500011920928955</v>
      </c>
      <c r="D74"/>
      <c r="E74"/>
      <c r="F74"/>
      <c r="G74"/>
      <c r="H74"/>
      <c r="I74"/>
      <c r="J74"/>
      <c r="K74"/>
      <c r="L74"/>
      <c r="M74"/>
      <c r="N74"/>
      <c r="O74"/>
      <c r="P74"/>
      <c r="Q74"/>
      <c r="R74"/>
      <c r="S74"/>
      <c r="T74"/>
      <c r="U74"/>
      <c r="V74"/>
      <c r="W74"/>
      <c r="X74"/>
      <c r="Y74"/>
      <c r="Z74"/>
      <c r="AA74"/>
      <c r="AB74"/>
      <c r="AC74"/>
      <c r="AD74"/>
      <c r="AE74"/>
      <c r="AF74"/>
      <c r="AG74"/>
      <c r="AH74" s="11">
        <v>1.1509879492223263E-2</v>
      </c>
      <c r="AI74"/>
      <c r="AJ74"/>
      <c r="AK74"/>
      <c r="AL74"/>
      <c r="AM74" s="11">
        <v>6.3737102209415752E-6</v>
      </c>
      <c r="AN74"/>
      <c r="AO74"/>
      <c r="AP74"/>
      <c r="AQ74"/>
      <c r="AR74"/>
      <c r="AS74"/>
      <c r="AT74"/>
      <c r="AU74"/>
      <c r="AV74"/>
      <c r="AW74"/>
      <c r="AX74"/>
      <c r="AY74"/>
      <c r="AZ74" s="11">
        <v>7.8642769949510694E-4</v>
      </c>
      <c r="BA74"/>
      <c r="BB74"/>
      <c r="BC74"/>
      <c r="BD74"/>
      <c r="BE74"/>
      <c r="BF74"/>
      <c r="BG74" s="11">
        <v>6.8998888309579343E-5</v>
      </c>
      <c r="BH74" s="11">
        <v>8.0893521953839809E-5</v>
      </c>
      <c r="BI74" s="11">
        <v>4.4372161937644705E-5</v>
      </c>
      <c r="BJ74" s="14">
        <v>2.4229191243648529E-2</v>
      </c>
      <c r="BK74" s="65">
        <v>0.26616615056991577</v>
      </c>
      <c r="BL74"/>
      <c r="BM74" s="11">
        <v>9.1258145403116941E-4</v>
      </c>
      <c r="BN74" s="11">
        <v>7.5356429442763329E-4</v>
      </c>
      <c r="BO74"/>
      <c r="BP74" s="12">
        <v>4.6628016978502274E-2</v>
      </c>
      <c r="BQ74"/>
      <c r="BR74" s="11">
        <v>2.5361537700518966E-4</v>
      </c>
      <c r="BS74" s="65">
        <v>0.27964696288108826</v>
      </c>
      <c r="BT74"/>
      <c r="BU74"/>
      <c r="BV74"/>
      <c r="BW74" s="22">
        <v>0.10419204831123352</v>
      </c>
      <c r="BX74" s="359">
        <v>1.1366631984710693</v>
      </c>
      <c r="BY74"/>
      <c r="BZ74" s="324">
        <v>1.9766860008239746</v>
      </c>
      <c r="CA74"/>
      <c r="CB74" s="388">
        <v>3.4090096950531006</v>
      </c>
      <c r="CC74"/>
      <c r="CD74" s="289">
        <v>4.3673620223999023</v>
      </c>
      <c r="CE74"/>
      <c r="CF74" s="21">
        <v>0.25</v>
      </c>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row>
    <row r="75" spans="1:209" ht="15" customHeight="1" x14ac:dyDescent="0.15">
      <c r="A75" t="s">
        <v>265</v>
      </c>
      <c r="B75">
        <v>12.5</v>
      </c>
      <c r="C75">
        <v>0.62499940395355225</v>
      </c>
      <c r="D75"/>
      <c r="E75"/>
      <c r="F75"/>
      <c r="G75"/>
      <c r="H75"/>
      <c r="I75"/>
      <c r="J75"/>
      <c r="K75"/>
      <c r="L75"/>
      <c r="M75"/>
      <c r="N75"/>
      <c r="O75"/>
      <c r="P75"/>
      <c r="Q75"/>
      <c r="R75"/>
      <c r="S75"/>
      <c r="T75"/>
      <c r="U75"/>
      <c r="V75"/>
      <c r="W75"/>
      <c r="X75"/>
      <c r="Y75"/>
      <c r="Z75"/>
      <c r="AA75"/>
      <c r="AB75"/>
      <c r="AC75"/>
      <c r="AD75"/>
      <c r="AE75"/>
      <c r="AF75"/>
      <c r="AG75"/>
      <c r="AH75" s="14">
        <v>2.4282217025756836E-2</v>
      </c>
      <c r="AI75"/>
      <c r="AJ75"/>
      <c r="AK75"/>
      <c r="AL75"/>
      <c r="AM75"/>
      <c r="AN75"/>
      <c r="AO75"/>
      <c r="AP75"/>
      <c r="AQ75"/>
      <c r="AR75"/>
      <c r="AS75"/>
      <c r="AT75"/>
      <c r="AU75"/>
      <c r="AV75"/>
      <c r="AW75"/>
      <c r="AX75"/>
      <c r="AY75"/>
      <c r="AZ75" s="11">
        <v>6.6364575177431107E-3</v>
      </c>
      <c r="BA75"/>
      <c r="BB75"/>
      <c r="BC75" s="14">
        <v>2.4183224886655807E-2</v>
      </c>
      <c r="BD75"/>
      <c r="BE75"/>
      <c r="BF75"/>
      <c r="BG75"/>
      <c r="BH75"/>
      <c r="BI75"/>
      <c r="BJ75"/>
      <c r="BK75"/>
      <c r="BL75" s="12">
        <v>5.750250443816185E-2</v>
      </c>
      <c r="BM75" s="14">
        <v>1.5402072109282017E-2</v>
      </c>
      <c r="BN75" s="14">
        <v>1.2718264013528824E-2</v>
      </c>
      <c r="BO75"/>
      <c r="BP75" s="75">
        <v>1.1804449558258057</v>
      </c>
      <c r="BQ75"/>
      <c r="BR75" s="11">
        <v>4.2803878895938396E-3</v>
      </c>
      <c r="BS75"/>
      <c r="BT75"/>
      <c r="BU75"/>
      <c r="BV75"/>
      <c r="BW75" s="72">
        <v>0.87924957275390625</v>
      </c>
      <c r="BX75"/>
      <c r="BY75" s="380">
        <v>5.4169378280639648</v>
      </c>
      <c r="BZ75"/>
      <c r="CA75" s="27">
        <v>0.94591885805130005</v>
      </c>
      <c r="CB75"/>
      <c r="CC75" s="328">
        <v>2.4879276752471924</v>
      </c>
      <c r="CD75"/>
      <c r="CE75" s="309">
        <v>0.56951612234115601</v>
      </c>
      <c r="CF75"/>
      <c r="CG75" s="21">
        <v>0.25</v>
      </c>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row>
    <row r="76" spans="1:209" ht="15" customHeight="1" x14ac:dyDescent="0.15">
      <c r="A76" t="s">
        <v>266</v>
      </c>
      <c r="B76">
        <v>12.5</v>
      </c>
      <c r="C76">
        <v>0.62500011920928955</v>
      </c>
      <c r="D76"/>
      <c r="E76"/>
      <c r="F76"/>
      <c r="G76"/>
      <c r="H76"/>
      <c r="I76"/>
      <c r="J76"/>
      <c r="K76"/>
      <c r="L76"/>
      <c r="M76"/>
      <c r="N76"/>
      <c r="O76"/>
      <c r="P76"/>
      <c r="Q76"/>
      <c r="R76"/>
      <c r="S76"/>
      <c r="T76"/>
      <c r="U76"/>
      <c r="V76"/>
      <c r="W76"/>
      <c r="X76"/>
      <c r="Y76"/>
      <c r="Z76"/>
      <c r="AA76"/>
      <c r="AB76"/>
      <c r="AC76"/>
      <c r="AD76"/>
      <c r="AE76" s="11">
        <v>1.7826988596425508E-6</v>
      </c>
      <c r="AF76"/>
      <c r="AG76"/>
      <c r="AH76" s="14">
        <v>2.5745825842022896E-2</v>
      </c>
      <c r="AI76"/>
      <c r="AJ76" s="11">
        <v>1.5279777016985463E-6</v>
      </c>
      <c r="AK76"/>
      <c r="AL76"/>
      <c r="AM76" s="11">
        <v>7.1285035119217355E-6</v>
      </c>
      <c r="AN76"/>
      <c r="AO76"/>
      <c r="AP76"/>
      <c r="AQ76"/>
      <c r="AR76"/>
      <c r="AS76"/>
      <c r="AT76" s="11">
        <v>6.7129774834029377E-5</v>
      </c>
      <c r="AU76"/>
      <c r="AV76"/>
      <c r="AW76"/>
      <c r="AX76"/>
      <c r="AY76"/>
      <c r="AZ76"/>
      <c r="BA76"/>
      <c r="BB76"/>
      <c r="BC76"/>
      <c r="BD76" s="11">
        <v>6.0852281749248505E-3</v>
      </c>
      <c r="BE76" s="14">
        <v>2.1671725437045097E-2</v>
      </c>
      <c r="BF76"/>
      <c r="BG76" s="11">
        <v>1.5433984808623791E-3</v>
      </c>
      <c r="BH76" s="11">
        <v>5.4283896461129189E-3</v>
      </c>
      <c r="BI76" s="14">
        <v>1.7865661531686783E-2</v>
      </c>
      <c r="BJ76" s="17">
        <v>0.1625908762216568</v>
      </c>
      <c r="BK76" s="322">
        <v>1.7861177921295166</v>
      </c>
      <c r="BL76"/>
      <c r="BM76"/>
      <c r="BN76"/>
      <c r="BO76"/>
      <c r="BP76"/>
      <c r="BQ76"/>
      <c r="BR76" s="11">
        <v>5.6729849893599749E-4</v>
      </c>
      <c r="BS76" s="23">
        <v>7.8190892934799194E-2</v>
      </c>
      <c r="BT76"/>
      <c r="BU76"/>
      <c r="BV76"/>
      <c r="BW76"/>
      <c r="BX76"/>
      <c r="BY76"/>
      <c r="BZ76"/>
      <c r="CA76"/>
      <c r="CB76"/>
      <c r="CC76"/>
      <c r="CD76" s="390">
        <v>9.7691154479980469</v>
      </c>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row>
    <row r="77" spans="1:209" ht="15" customHeight="1" x14ac:dyDescent="0.15">
      <c r="A77" t="s">
        <v>267</v>
      </c>
      <c r="B77">
        <v>12.5</v>
      </c>
      <c r="C77">
        <v>0.62499940395355225</v>
      </c>
      <c r="D77"/>
      <c r="E77"/>
      <c r="F77"/>
      <c r="G77"/>
      <c r="H77"/>
      <c r="I77"/>
      <c r="J77"/>
      <c r="K77"/>
      <c r="L77"/>
      <c r="M77"/>
      <c r="N77"/>
      <c r="O77"/>
      <c r="P77"/>
      <c r="Q77"/>
      <c r="R77"/>
      <c r="S77"/>
      <c r="T77"/>
      <c r="U77"/>
      <c r="V77"/>
      <c r="W77"/>
      <c r="X77"/>
      <c r="Y77"/>
      <c r="Z77"/>
      <c r="AA77"/>
      <c r="AB77"/>
      <c r="AC77"/>
      <c r="AD77"/>
      <c r="AE77"/>
      <c r="AF77"/>
      <c r="AG77"/>
      <c r="AH77" s="314">
        <v>0.86821997165679932</v>
      </c>
      <c r="AI77"/>
      <c r="AJ77"/>
      <c r="AK77"/>
      <c r="AL77"/>
      <c r="AM77"/>
      <c r="AN77"/>
      <c r="AO77"/>
      <c r="AP77"/>
      <c r="AQ77"/>
      <c r="AR77"/>
      <c r="AS77"/>
      <c r="AT77"/>
      <c r="AU77"/>
      <c r="AV77"/>
      <c r="AW77"/>
      <c r="AX77"/>
      <c r="AY77"/>
      <c r="AZ77"/>
      <c r="BA77"/>
      <c r="BB77"/>
      <c r="BC77" s="19">
        <v>0.22914035618305206</v>
      </c>
      <c r="BD77"/>
      <c r="BE77"/>
      <c r="BF77" s="11">
        <v>5.4764128290116787E-3</v>
      </c>
      <c r="BG77"/>
      <c r="BH77"/>
      <c r="BI77"/>
      <c r="BJ77"/>
      <c r="BK77"/>
      <c r="BL77" s="66">
        <v>0.51400601863861084</v>
      </c>
      <c r="BM77"/>
      <c r="BN77"/>
      <c r="BO77"/>
      <c r="BP77"/>
      <c r="BQ77"/>
      <c r="BR77" s="23">
        <v>7.6523452997207642E-2</v>
      </c>
      <c r="BS77"/>
      <c r="BT77"/>
      <c r="BU77"/>
      <c r="BV77"/>
      <c r="BW77"/>
      <c r="BX77"/>
      <c r="BY77"/>
      <c r="BZ77"/>
      <c r="CA77"/>
      <c r="CB77"/>
      <c r="CC77"/>
      <c r="CD77"/>
      <c r="CE77" s="372">
        <v>10.181633949279785</v>
      </c>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row>
    <row r="78" spans="1:209" ht="15" customHeight="1" x14ac:dyDescent="0.15">
      <c r="A78" t="s">
        <v>268</v>
      </c>
      <c r="B78">
        <v>40</v>
      </c>
      <c r="C78">
        <v>20</v>
      </c>
      <c r="D78" s="11">
        <v>1.8020085990428925E-3</v>
      </c>
      <c r="E78" s="11">
        <v>3.4626317210495472E-3</v>
      </c>
      <c r="F78"/>
      <c r="G78"/>
      <c r="H78"/>
      <c r="I78"/>
      <c r="J78"/>
      <c r="K78"/>
      <c r="L78"/>
      <c r="M78"/>
      <c r="N78"/>
      <c r="O78" s="16">
        <v>0.64147061109542847</v>
      </c>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s="353">
        <v>4.6706905364990234</v>
      </c>
      <c r="BB78"/>
      <c r="BC78"/>
      <c r="BD78"/>
      <c r="BE78"/>
      <c r="BF78"/>
      <c r="BG78"/>
      <c r="BH78"/>
      <c r="BI78"/>
      <c r="BJ78"/>
      <c r="BK78"/>
      <c r="BL78"/>
      <c r="BM78"/>
      <c r="BN78"/>
      <c r="BO78"/>
      <c r="BP78"/>
      <c r="BQ78"/>
      <c r="BR78"/>
      <c r="BS78"/>
      <c r="BT78"/>
      <c r="BU78"/>
      <c r="BV78"/>
      <c r="BW78" s="369">
        <v>14.682575225830078</v>
      </c>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row>
    <row r="79" spans="1:209" ht="15" customHeight="1" x14ac:dyDescent="0.15">
      <c r="A79" t="s">
        <v>269</v>
      </c>
      <c r="B79">
        <v>40</v>
      </c>
      <c r="C79">
        <v>20</v>
      </c>
      <c r="D79" s="11">
        <v>1.4352292055264115E-4</v>
      </c>
      <c r="E79" s="11">
        <v>3.2844666391611099E-2</v>
      </c>
      <c r="F79"/>
      <c r="G79"/>
      <c r="H79"/>
      <c r="I79"/>
      <c r="J79"/>
      <c r="K79"/>
      <c r="L79"/>
      <c r="M79"/>
      <c r="N79"/>
      <c r="O79" s="14">
        <v>9.0161845088005066E-2</v>
      </c>
      <c r="P79"/>
      <c r="Q79"/>
      <c r="R79"/>
      <c r="S79"/>
      <c r="T79"/>
      <c r="U79"/>
      <c r="V79"/>
      <c r="W79"/>
      <c r="X79"/>
      <c r="Y79"/>
      <c r="Z79"/>
      <c r="AA79"/>
      <c r="AB79"/>
      <c r="AC79"/>
      <c r="AD79"/>
      <c r="AE79" s="11">
        <v>5.5046466877683997E-4</v>
      </c>
      <c r="AF79"/>
      <c r="AG79"/>
      <c r="AH79"/>
      <c r="AI79"/>
      <c r="AJ79"/>
      <c r="AK79"/>
      <c r="AL79"/>
      <c r="AM79"/>
      <c r="AN79"/>
      <c r="AO79"/>
      <c r="AP79"/>
      <c r="AQ79"/>
      <c r="AR79"/>
      <c r="AS79"/>
      <c r="AT79"/>
      <c r="AU79"/>
      <c r="AV79"/>
      <c r="AW79"/>
      <c r="AX79"/>
      <c r="AY79"/>
      <c r="AZ79"/>
      <c r="BA79" s="78">
        <v>2.6259539127349854</v>
      </c>
      <c r="BB79"/>
      <c r="BC79"/>
      <c r="BD79"/>
      <c r="BE79"/>
      <c r="BF79"/>
      <c r="BG79"/>
      <c r="BH79"/>
      <c r="BI79"/>
      <c r="BJ79"/>
      <c r="BK79"/>
      <c r="BL79"/>
      <c r="BM79"/>
      <c r="BN79"/>
      <c r="BO79"/>
      <c r="BP79"/>
      <c r="BQ79"/>
      <c r="BR79"/>
      <c r="BS79"/>
      <c r="BT79"/>
      <c r="BU79"/>
      <c r="BV79"/>
      <c r="BW79" s="348">
        <v>8.2548322677612305</v>
      </c>
      <c r="BX79"/>
      <c r="BY79"/>
      <c r="BZ79"/>
      <c r="CA79"/>
      <c r="CB79"/>
      <c r="CC79"/>
      <c r="CD79"/>
      <c r="CE79"/>
      <c r="CF79"/>
      <c r="CG79"/>
      <c r="CH79"/>
      <c r="CI79"/>
      <c r="CJ79" s="370">
        <v>8.995513916015625</v>
      </c>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row>
    <row r="80" spans="1:209" ht="15" customHeight="1" x14ac:dyDescent="0.15">
      <c r="A80" t="s">
        <v>270</v>
      </c>
      <c r="B80">
        <v>52</v>
      </c>
      <c r="C80">
        <v>41.268611907958984</v>
      </c>
      <c r="D80"/>
      <c r="E80"/>
      <c r="F80"/>
      <c r="G80"/>
      <c r="H80"/>
      <c r="I80"/>
      <c r="J80"/>
      <c r="K80"/>
      <c r="L80" s="11">
        <v>1.0815178939083125E-5</v>
      </c>
      <c r="M80"/>
      <c r="N80"/>
      <c r="O80"/>
      <c r="P80"/>
      <c r="Q80"/>
      <c r="R80"/>
      <c r="S80"/>
      <c r="T80"/>
      <c r="U80"/>
      <c r="V80" s="11">
        <v>5.5858326959423721E-6</v>
      </c>
      <c r="W80" s="11">
        <v>3.7505433283513412E-5</v>
      </c>
      <c r="X80"/>
      <c r="Y80" s="11">
        <v>1.5727572608739138E-3</v>
      </c>
      <c r="Z80" s="11">
        <v>4.2993342503905296E-4</v>
      </c>
      <c r="AA80" s="11">
        <v>8.6321000708267093E-4</v>
      </c>
      <c r="AB80" s="11">
        <v>1.293279230594635E-3</v>
      </c>
      <c r="AC80" s="11">
        <v>2.3225212469696999E-2</v>
      </c>
      <c r="AD80" s="11">
        <v>2.5078588805627078E-7</v>
      </c>
      <c r="AE80" s="11">
        <v>2.8284395113587379E-2</v>
      </c>
      <c r="AF80" s="11">
        <v>2.7661679778248072E-3</v>
      </c>
      <c r="AG80" s="11">
        <v>2.0193678792566061E-3</v>
      </c>
      <c r="AH80" s="11">
        <v>9.7119743004441261E-3</v>
      </c>
      <c r="AI80"/>
      <c r="AJ80" s="11">
        <v>4.5958952978253365E-4</v>
      </c>
      <c r="AK80" s="23">
        <v>0.33025485277175903</v>
      </c>
      <c r="AL80"/>
      <c r="AM80"/>
      <c r="AN80" s="11">
        <v>9.0930861188098788E-4</v>
      </c>
      <c r="AO80" s="11">
        <v>1.6901768976822495E-3</v>
      </c>
      <c r="AP80" s="11">
        <v>1.5585090033710003E-2</v>
      </c>
      <c r="AQ80" s="11">
        <v>3.0859277467243373E-4</v>
      </c>
      <c r="AR80" s="11">
        <v>1.8428200855851173E-2</v>
      </c>
      <c r="AS80" s="14">
        <v>6.4490474760532379E-2</v>
      </c>
      <c r="AT80" s="11">
        <v>1.0450476780533791E-2</v>
      </c>
      <c r="AU80" s="11">
        <v>2.0741023123264313E-2</v>
      </c>
      <c r="AV80"/>
      <c r="AW80"/>
      <c r="AX80" s="11">
        <v>6.5891549456864595E-4</v>
      </c>
      <c r="AY80"/>
      <c r="AZ80"/>
      <c r="BA80" s="23">
        <v>0.28558197617530823</v>
      </c>
      <c r="BB80"/>
      <c r="BC80"/>
      <c r="BD80"/>
      <c r="BE80"/>
      <c r="BF80"/>
      <c r="BG80"/>
      <c r="BH80"/>
      <c r="BI80"/>
      <c r="BJ80"/>
      <c r="BK80"/>
      <c r="BL80"/>
      <c r="BM80"/>
      <c r="BN80"/>
      <c r="BO80"/>
      <c r="BP80"/>
      <c r="BQ80"/>
      <c r="BR80"/>
      <c r="BS80"/>
      <c r="BT80"/>
      <c r="BU80" s="11">
        <v>2.5273961946368217E-2</v>
      </c>
      <c r="BV80"/>
      <c r="BW80" s="11">
        <v>5.7302741333842278E-3</v>
      </c>
      <c r="BX80"/>
      <c r="BY80"/>
      <c r="BZ80"/>
      <c r="CA80"/>
      <c r="CB80"/>
      <c r="CC80"/>
      <c r="CD80"/>
      <c r="CE80"/>
      <c r="CF80"/>
      <c r="CG80"/>
      <c r="CH80" s="307">
        <v>6.3106513023376465</v>
      </c>
      <c r="CI80"/>
      <c r="CJ80" s="11">
        <v>3.5385124385356903E-2</v>
      </c>
      <c r="CK80" s="14">
        <v>5.5533759295940399E-2</v>
      </c>
      <c r="CL80" s="108">
        <v>3.4666664600372314</v>
      </c>
      <c r="CM80"/>
      <c r="CN80" s="11">
        <v>1.2368250638246536E-2</v>
      </c>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row>
    <row r="81" spans="1:209" ht="15" customHeight="1" x14ac:dyDescent="0.15">
      <c r="A81" t="s">
        <v>271</v>
      </c>
      <c r="B81">
        <v>104</v>
      </c>
      <c r="C81">
        <v>89.819595336914062</v>
      </c>
      <c r="D81"/>
      <c r="E81"/>
      <c r="F81"/>
      <c r="G81"/>
      <c r="H81"/>
      <c r="I81"/>
      <c r="J81"/>
      <c r="K81"/>
      <c r="L81"/>
      <c r="M81"/>
      <c r="N81"/>
      <c r="O81"/>
      <c r="P81"/>
      <c r="Q81"/>
      <c r="R81"/>
      <c r="S81"/>
      <c r="T81"/>
      <c r="U81"/>
      <c r="V81"/>
      <c r="W81"/>
      <c r="X81"/>
      <c r="Y81"/>
      <c r="Z81"/>
      <c r="AA81"/>
      <c r="AB81"/>
      <c r="AC81"/>
      <c r="AD81" s="9">
        <v>3.7590101698015133E-8</v>
      </c>
      <c r="AE81" s="11">
        <v>6.1541778268292546E-4</v>
      </c>
      <c r="AF81"/>
      <c r="AG81"/>
      <c r="AH81"/>
      <c r="AI81"/>
      <c r="AJ81" s="11">
        <v>6.4337116782553494E-5</v>
      </c>
      <c r="AK81" s="18">
        <v>1.2816747426986694</v>
      </c>
      <c r="AL81"/>
      <c r="AM81"/>
      <c r="AN81"/>
      <c r="AO81"/>
      <c r="AP81"/>
      <c r="AQ81"/>
      <c r="AR81"/>
      <c r="AS81"/>
      <c r="AT81"/>
      <c r="AU81" s="309">
        <v>4.7385950088500977</v>
      </c>
      <c r="AV81"/>
      <c r="AW81"/>
      <c r="AX81"/>
      <c r="AY81"/>
      <c r="AZ81"/>
      <c r="BA81"/>
      <c r="BB81"/>
      <c r="BC81" s="11">
        <v>9.2427764320746064E-4</v>
      </c>
      <c r="BD81"/>
      <c r="BE81"/>
      <c r="BF81"/>
      <c r="BG81"/>
      <c r="BH81"/>
      <c r="BI81"/>
      <c r="BJ81"/>
      <c r="BK81"/>
      <c r="BL81" s="11">
        <v>1.9391763955354691E-2</v>
      </c>
      <c r="BM81"/>
      <c r="BN81"/>
      <c r="BO81"/>
      <c r="BP81"/>
      <c r="BQ81"/>
      <c r="BR81"/>
      <c r="BS81"/>
      <c r="BT81"/>
      <c r="BU81" s="12">
        <v>0.39233940839767456</v>
      </c>
      <c r="BV81"/>
      <c r="BW81" s="11">
        <v>2.9651230201125145E-2</v>
      </c>
      <c r="BX81"/>
      <c r="BY81"/>
      <c r="BZ81"/>
      <c r="CA81"/>
      <c r="CB81"/>
      <c r="CC81"/>
      <c r="CD81"/>
      <c r="CE81"/>
      <c r="CF81"/>
      <c r="CG81"/>
      <c r="CH81"/>
      <c r="CI81" s="22">
        <v>0.72623944282531738</v>
      </c>
      <c r="CJ81"/>
      <c r="CK81" s="11">
        <v>5.747174471616745E-2</v>
      </c>
      <c r="CL81"/>
      <c r="CM81" s="108">
        <v>6.9333333969116211</v>
      </c>
      <c r="CN81"/>
      <c r="CO81" s="11">
        <v>1.0260524868499488E-4</v>
      </c>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row>
    <row r="82" spans="1:209" ht="15" customHeight="1" x14ac:dyDescent="0.15">
      <c r="A82" t="s">
        <v>272</v>
      </c>
      <c r="B82">
        <v>50.448001861572266</v>
      </c>
      <c r="C82">
        <v>0.50447952747344971</v>
      </c>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s="140">
        <v>32.456081390380859</v>
      </c>
      <c r="BB82"/>
      <c r="BC82"/>
      <c r="BD82"/>
      <c r="BE82"/>
      <c r="BF82"/>
      <c r="BG82"/>
      <c r="BH82"/>
      <c r="BI82"/>
      <c r="BJ82"/>
      <c r="BK82"/>
      <c r="BL82"/>
      <c r="BM82"/>
      <c r="BN82"/>
      <c r="BO82"/>
      <c r="BP82"/>
      <c r="BQ82"/>
      <c r="BR82"/>
      <c r="BS82"/>
      <c r="BT82"/>
      <c r="BU82"/>
      <c r="BV82"/>
      <c r="BW82" s="66">
        <v>2.0405502319335938</v>
      </c>
      <c r="BX82"/>
      <c r="BY82"/>
      <c r="BZ82"/>
      <c r="CA82"/>
      <c r="CB82"/>
      <c r="CC82"/>
      <c r="CD82"/>
      <c r="CE82"/>
      <c r="CF82"/>
      <c r="CG82"/>
      <c r="CH82"/>
      <c r="CI82"/>
      <c r="CJ82" s="338">
        <v>5.5591063499450684</v>
      </c>
      <c r="CK82" s="295">
        <v>9.8877840042114258</v>
      </c>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row>
    <row r="83" spans="1:209" ht="15" customHeight="1" x14ac:dyDescent="0.15">
      <c r="A83" t="s">
        <v>273</v>
      </c>
      <c r="B83">
        <v>50.448001861572266</v>
      </c>
      <c r="C83">
        <v>0.50447952747344971</v>
      </c>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s="317">
        <v>49.943523406982422</v>
      </c>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row>
    <row r="84" spans="1:209" ht="15" customHeight="1" x14ac:dyDescent="0.15">
      <c r="A84" t="s">
        <v>274</v>
      </c>
      <c r="B84">
        <v>12.600000381469727</v>
      </c>
      <c r="C84">
        <v>0.25199902057647705</v>
      </c>
      <c r="D84"/>
      <c r="E84"/>
      <c r="F84"/>
      <c r="G84"/>
      <c r="H84"/>
      <c r="I84"/>
      <c r="J84"/>
      <c r="K84"/>
      <c r="L84"/>
      <c r="M84"/>
      <c r="N84"/>
      <c r="O84"/>
      <c r="P84"/>
      <c r="Q84"/>
      <c r="R84"/>
      <c r="S84"/>
      <c r="T84"/>
      <c r="U84"/>
      <c r="V84" s="11">
        <v>1.2246789083292242E-5</v>
      </c>
      <c r="W84"/>
      <c r="X84"/>
      <c r="Y84" s="316">
        <v>0.70569509267807007</v>
      </c>
      <c r="Z84"/>
      <c r="AA84" s="14">
        <v>3.5228993743658066E-2</v>
      </c>
      <c r="AB84"/>
      <c r="AC84" s="11">
        <v>3.9758472121320665E-4</v>
      </c>
      <c r="AD84"/>
      <c r="AE84" s="11">
        <v>2.012625802308321E-3</v>
      </c>
      <c r="AF84"/>
      <c r="AG84"/>
      <c r="AH84"/>
      <c r="AI84"/>
      <c r="AJ84"/>
      <c r="AK84"/>
      <c r="AL84"/>
      <c r="AM84"/>
      <c r="AN84"/>
      <c r="AO84" s="11">
        <v>2.5759820709936321E-4</v>
      </c>
      <c r="AP84" s="17">
        <v>0.16247178614139557</v>
      </c>
      <c r="AQ84" s="11">
        <v>1.8031756626442075E-3</v>
      </c>
      <c r="AR84"/>
      <c r="AS84" s="355">
        <v>3.3502738475799561</v>
      </c>
      <c r="AT84"/>
      <c r="AU84" s="146">
        <v>0.75698632001876831</v>
      </c>
      <c r="AV84"/>
      <c r="AW84"/>
      <c r="AX84" s="354">
        <v>3.2749412059783936</v>
      </c>
      <c r="AY84"/>
      <c r="AZ84"/>
      <c r="BA84"/>
      <c r="BB84"/>
      <c r="BC84" s="348">
        <v>2.5898656845092773</v>
      </c>
      <c r="BD84"/>
      <c r="BE84"/>
      <c r="BF84"/>
      <c r="BG84"/>
      <c r="BH84"/>
      <c r="BI84"/>
      <c r="BJ84"/>
      <c r="BK84"/>
      <c r="BL84" s="343">
        <v>1.4680553674697876</v>
      </c>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row>
    <row r="85" spans="1:209" ht="15" customHeight="1" x14ac:dyDescent="0.15">
      <c r="A85" t="s">
        <v>275</v>
      </c>
      <c r="B85">
        <v>100</v>
      </c>
      <c r="C85">
        <v>4.999995231628418</v>
      </c>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s="11">
        <v>4.1260186582803726E-2</v>
      </c>
      <c r="BC85"/>
      <c r="BD85"/>
      <c r="BE85"/>
      <c r="BF85"/>
      <c r="BG85"/>
      <c r="BH85"/>
      <c r="BI85"/>
      <c r="BJ85" s="11">
        <v>3.3930204808712006E-2</v>
      </c>
      <c r="BK85" s="12">
        <v>0.37273517251014709</v>
      </c>
      <c r="BL85"/>
      <c r="BM85" s="11">
        <v>4.2598857544362545E-3</v>
      </c>
      <c r="BN85" s="11">
        <v>3.5176011733710766E-3</v>
      </c>
      <c r="BO85"/>
      <c r="BP85" s="12">
        <v>0.32648596167564392</v>
      </c>
      <c r="BQ85"/>
      <c r="BR85" s="11">
        <v>2.1309556905180216E-3</v>
      </c>
      <c r="BS85" s="11">
        <v>1.9580675289034843E-2</v>
      </c>
      <c r="BT85"/>
      <c r="BU85" s="12">
        <v>0.48266014456748962</v>
      </c>
      <c r="BV85"/>
      <c r="BW85" s="21">
        <v>1.9041128158569336</v>
      </c>
      <c r="BX85" s="324">
        <v>15.917665481567383</v>
      </c>
      <c r="BY85"/>
      <c r="BZ85" s="305">
        <v>7.5134739875793457</v>
      </c>
      <c r="CA85"/>
      <c r="CB85" s="358">
        <v>7.160891056060791</v>
      </c>
      <c r="CC85"/>
      <c r="CD85" s="307">
        <v>12.231979370117188</v>
      </c>
      <c r="CE85"/>
      <c r="CF85" s="307">
        <v>12.253371238708496</v>
      </c>
      <c r="CG85"/>
      <c r="CH85" s="28">
        <v>3.5998082160949707</v>
      </c>
      <c r="CI85"/>
      <c r="CJ85" s="11">
        <v>9.9375629797577858E-3</v>
      </c>
      <c r="CK85" s="11">
        <v>1.767558790743351E-2</v>
      </c>
      <c r="CL85" s="344">
        <v>33.101688385009766</v>
      </c>
      <c r="CM85"/>
      <c r="CN85" s="11">
        <v>2.8343766462057829E-3</v>
      </c>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row>
    <row r="86" spans="1:209" ht="15" customHeight="1" x14ac:dyDescent="0.15">
      <c r="A86" t="s">
        <v>276</v>
      </c>
      <c r="B86">
        <v>100</v>
      </c>
      <c r="C86">
        <v>4.999995231628418</v>
      </c>
      <c r="D86"/>
      <c r="E86"/>
      <c r="F86"/>
      <c r="G86"/>
      <c r="H86"/>
      <c r="I86"/>
      <c r="J86"/>
      <c r="K86"/>
      <c r="L86"/>
      <c r="M86"/>
      <c r="N86"/>
      <c r="O86"/>
      <c r="P86"/>
      <c r="Q86"/>
      <c r="R86"/>
      <c r="S86"/>
      <c r="T86"/>
      <c r="U86"/>
      <c r="V86"/>
      <c r="W86"/>
      <c r="X86"/>
      <c r="Y86"/>
      <c r="Z86"/>
      <c r="AA86"/>
      <c r="AB86"/>
      <c r="AC86"/>
      <c r="AD86"/>
      <c r="AE86"/>
      <c r="AF86"/>
      <c r="AG86"/>
      <c r="AH86"/>
      <c r="AI86"/>
      <c r="AJ86" s="11">
        <v>1.9541114568710327E-2</v>
      </c>
      <c r="AK86"/>
      <c r="AL86"/>
      <c r="AM86"/>
      <c r="AN86"/>
      <c r="AO86"/>
      <c r="AP86"/>
      <c r="AQ86"/>
      <c r="AR86"/>
      <c r="AS86"/>
      <c r="AT86"/>
      <c r="AU86"/>
      <c r="AV86"/>
      <c r="AW86"/>
      <c r="AX86"/>
      <c r="AY86" s="17">
        <v>1.3936220407485962</v>
      </c>
      <c r="AZ86"/>
      <c r="BA86"/>
      <c r="BB86" s="11">
        <v>7.346576452255249E-2</v>
      </c>
      <c r="BC86"/>
      <c r="BD86"/>
      <c r="BE86"/>
      <c r="BF86"/>
      <c r="BG86"/>
      <c r="BH86"/>
      <c r="BI86"/>
      <c r="BJ86"/>
      <c r="BK86"/>
      <c r="BL86" s="11">
        <v>3.2622095197439194E-2</v>
      </c>
      <c r="BM86" s="11">
        <v>3.6407683044672012E-2</v>
      </c>
      <c r="BN86" s="11">
        <v>3.0063647776842117E-2</v>
      </c>
      <c r="BO86"/>
      <c r="BP86" s="24">
        <v>2.790355920791626</v>
      </c>
      <c r="BQ86"/>
      <c r="BR86" s="11">
        <v>9.1062486171722412E-3</v>
      </c>
      <c r="BS86"/>
      <c r="BT86"/>
      <c r="BU86" s="12">
        <v>0.4125119149684906</v>
      </c>
      <c r="BV86"/>
      <c r="BW86" s="25">
        <v>3.1175775527954102</v>
      </c>
      <c r="BX86"/>
      <c r="BY86" s="296">
        <v>38.413955688476562</v>
      </c>
      <c r="BZ86"/>
      <c r="CA86" s="311">
        <v>2.2998642921447754</v>
      </c>
      <c r="CB86"/>
      <c r="CC86" s="26">
        <v>2.6464529037475586</v>
      </c>
      <c r="CD86"/>
      <c r="CE86" s="22">
        <v>0.80773919820785522</v>
      </c>
      <c r="CF86"/>
      <c r="CG86" s="68">
        <v>6.2050199508666992</v>
      </c>
      <c r="CH86"/>
      <c r="CI86" s="14">
        <v>0.22808228433132172</v>
      </c>
      <c r="CJ86"/>
      <c r="CK86" s="11">
        <v>3.0213356018066406E-2</v>
      </c>
      <c r="CL86"/>
      <c r="CM86" s="387">
        <v>36.449085235595703</v>
      </c>
      <c r="CN86"/>
      <c r="CO86" s="11">
        <v>4.3152323924005032E-3</v>
      </c>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row>
    <row r="87" spans="1:209" ht="15" customHeight="1" x14ac:dyDescent="0.15">
      <c r="A87" t="s">
        <v>277</v>
      </c>
      <c r="B87">
        <v>933.0830078125</v>
      </c>
      <c r="C87">
        <v>515.09454345703125</v>
      </c>
      <c r="D87"/>
      <c r="E87"/>
      <c r="F87"/>
      <c r="G87"/>
      <c r="H87"/>
      <c r="I87"/>
      <c r="J87"/>
      <c r="K87"/>
      <c r="L87"/>
      <c r="M87"/>
      <c r="N87"/>
      <c r="O87"/>
      <c r="P87"/>
      <c r="Q87"/>
      <c r="R87"/>
      <c r="S87"/>
      <c r="T87"/>
      <c r="U87"/>
      <c r="V87"/>
      <c r="W87"/>
      <c r="X87"/>
      <c r="Y87"/>
      <c r="Z87"/>
      <c r="AA87"/>
      <c r="AB87"/>
      <c r="AC87"/>
      <c r="AD87"/>
      <c r="AE87"/>
      <c r="AF87"/>
      <c r="AG87"/>
      <c r="AH87"/>
      <c r="AI87"/>
      <c r="AJ87"/>
      <c r="AK87" s="12">
        <v>3.7246918678283691</v>
      </c>
      <c r="AL87"/>
      <c r="AM87"/>
      <c r="AN87"/>
      <c r="AO87"/>
      <c r="AP87"/>
      <c r="AQ87"/>
      <c r="AR87"/>
      <c r="AS87"/>
      <c r="AT87"/>
      <c r="AU87"/>
      <c r="AV87"/>
      <c r="AW87"/>
      <c r="AX87"/>
      <c r="AY87"/>
      <c r="AZ87"/>
      <c r="BA87"/>
      <c r="BB87"/>
      <c r="BC87"/>
      <c r="BD87"/>
      <c r="BE87"/>
      <c r="BF87"/>
      <c r="BG87"/>
      <c r="BH87"/>
      <c r="BI87"/>
      <c r="BJ87" s="11">
        <v>5.3435299545526505E-2</v>
      </c>
      <c r="BK87" s="11">
        <v>0.58700549602508545</v>
      </c>
      <c r="BL87"/>
      <c r="BM87"/>
      <c r="BN87"/>
      <c r="BO87"/>
      <c r="BP87"/>
      <c r="BQ87"/>
      <c r="BR87"/>
      <c r="BS87"/>
      <c r="BT87"/>
      <c r="BU87" s="11">
        <v>0.38006094098091125</v>
      </c>
      <c r="BV87"/>
      <c r="BW87" s="14">
        <v>2.4242444038391113</v>
      </c>
      <c r="BX87" s="68">
        <v>57.656597137451172</v>
      </c>
      <c r="BY87"/>
      <c r="BZ87" s="23">
        <v>6.2277183532714844</v>
      </c>
      <c r="CA87"/>
      <c r="CB87" s="19">
        <v>16.540180206298828</v>
      </c>
      <c r="CC87"/>
      <c r="CD87"/>
      <c r="CE87"/>
      <c r="CF87"/>
      <c r="CG87"/>
      <c r="CH87"/>
      <c r="CI87"/>
      <c r="CJ87" s="11">
        <v>9.3901582062244415E-2</v>
      </c>
      <c r="CK87" s="11">
        <v>0.16701941192150116</v>
      </c>
      <c r="CL87" s="400">
        <v>328.42218017578125</v>
      </c>
      <c r="CM87"/>
      <c r="CN87" s="11">
        <v>1.859893836081028E-2</v>
      </c>
      <c r="CO87"/>
      <c r="CP87"/>
      <c r="CQ87" s="14">
        <v>1.6928045749664307</v>
      </c>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row>
    <row r="88" spans="1:209" ht="15" customHeight="1" x14ac:dyDescent="0.15">
      <c r="A88" t="s">
        <v>278</v>
      </c>
      <c r="B88">
        <v>933.0830078125</v>
      </c>
      <c r="C88">
        <v>292.23025512695312</v>
      </c>
      <c r="D88"/>
      <c r="E88"/>
      <c r="F88"/>
      <c r="G88"/>
      <c r="H88"/>
      <c r="I88"/>
      <c r="J88"/>
      <c r="K88"/>
      <c r="L88"/>
      <c r="M88"/>
      <c r="N88"/>
      <c r="O88"/>
      <c r="P88"/>
      <c r="Q88"/>
      <c r="R88"/>
      <c r="S88"/>
      <c r="T88"/>
      <c r="U88"/>
      <c r="V88"/>
      <c r="W88"/>
      <c r="X88"/>
      <c r="Y88"/>
      <c r="Z88"/>
      <c r="AA88"/>
      <c r="AB88"/>
      <c r="AC88"/>
      <c r="AD88"/>
      <c r="AE88"/>
      <c r="AF88"/>
      <c r="AG88"/>
      <c r="AH88"/>
      <c r="AI88"/>
      <c r="AJ88"/>
      <c r="AK88" s="17">
        <v>12.45615291595459</v>
      </c>
      <c r="AL88"/>
      <c r="AM88"/>
      <c r="AN88"/>
      <c r="AO88"/>
      <c r="AP88"/>
      <c r="AQ88"/>
      <c r="AR88"/>
      <c r="AS88"/>
      <c r="AT88"/>
      <c r="AU88"/>
      <c r="AV88"/>
      <c r="AW88"/>
      <c r="AX88"/>
      <c r="AY88" s="21">
        <v>18.034519195556641</v>
      </c>
      <c r="AZ88"/>
      <c r="BA88"/>
      <c r="BB88"/>
      <c r="BC88"/>
      <c r="BD88"/>
      <c r="BE88"/>
      <c r="BF88"/>
      <c r="BG88"/>
      <c r="BH88"/>
      <c r="BI88"/>
      <c r="BJ88" s="11">
        <v>0.53609663248062134</v>
      </c>
      <c r="BK88" s="23">
        <v>5.8892097473144531</v>
      </c>
      <c r="BL88" s="11">
        <v>3.7692368030548096E-2</v>
      </c>
      <c r="BM88"/>
      <c r="BN88"/>
      <c r="BO88"/>
      <c r="BP88"/>
      <c r="BQ88"/>
      <c r="BR88"/>
      <c r="BS88"/>
      <c r="BT88"/>
      <c r="BU88" s="14">
        <v>1.5252043008804321</v>
      </c>
      <c r="BV88"/>
      <c r="BW88" s="12">
        <v>3.4580399990081787</v>
      </c>
      <c r="BX88"/>
      <c r="BY88" s="395">
        <v>163.33465576171875</v>
      </c>
      <c r="BZ88"/>
      <c r="CA88" s="14">
        <v>1.7715463638305664</v>
      </c>
      <c r="CB88"/>
      <c r="CC88" s="22">
        <v>7.1755814552307129</v>
      </c>
      <c r="CD88"/>
      <c r="CE88"/>
      <c r="CF88"/>
      <c r="CG88"/>
      <c r="CH88"/>
      <c r="CI88"/>
      <c r="CJ88"/>
      <c r="CK88" s="11">
        <v>0.1117095947265625</v>
      </c>
      <c r="CL88"/>
      <c r="CM88" s="399">
        <v>424.51077270507812</v>
      </c>
      <c r="CN88"/>
      <c r="CO88" s="11">
        <v>5.5842353031039238E-3</v>
      </c>
      <c r="CP88" s="11">
        <v>1.8666261807084084E-2</v>
      </c>
      <c r="CQ88"/>
      <c r="CR88" s="14">
        <v>1.9873300790786743</v>
      </c>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row>
    <row r="89" spans="1:209" ht="15" customHeight="1" x14ac:dyDescent="0.15">
      <c r="A89" t="s">
        <v>279</v>
      </c>
      <c r="B89">
        <v>706.4959716796875</v>
      </c>
      <c r="C89">
        <v>35.324848175048828</v>
      </c>
      <c r="D89"/>
      <c r="E89"/>
      <c r="F89"/>
      <c r="G89"/>
      <c r="H89"/>
      <c r="I89"/>
      <c r="J89"/>
      <c r="K89"/>
      <c r="L89"/>
      <c r="M89"/>
      <c r="N89"/>
      <c r="O89" s="11">
        <v>8.4014562889933586E-3</v>
      </c>
      <c r="P89"/>
      <c r="Q89"/>
      <c r="R89"/>
      <c r="S89"/>
      <c r="T89"/>
      <c r="U89"/>
      <c r="V89"/>
      <c r="W89"/>
      <c r="X89"/>
      <c r="Y89"/>
      <c r="Z89"/>
      <c r="AA89"/>
      <c r="AB89"/>
      <c r="AC89"/>
      <c r="AD89"/>
      <c r="AE89"/>
      <c r="AF89"/>
      <c r="AG89"/>
      <c r="AH89"/>
      <c r="AI89"/>
      <c r="AJ89"/>
      <c r="AK89"/>
      <c r="AL89" s="11">
        <v>0.11383924633264542</v>
      </c>
      <c r="AM89"/>
      <c r="AN89"/>
      <c r="AO89"/>
      <c r="AP89"/>
      <c r="AQ89"/>
      <c r="AR89"/>
      <c r="AS89"/>
      <c r="AT89"/>
      <c r="AU89"/>
      <c r="AV89" s="18">
        <v>8.3343086242675781</v>
      </c>
      <c r="AW89"/>
      <c r="AX89"/>
      <c r="AY89"/>
      <c r="AZ89"/>
      <c r="BA89"/>
      <c r="BB89" s="11">
        <v>0.43865507841110229</v>
      </c>
      <c r="BC89" s="11">
        <v>6.3751339912414551E-2</v>
      </c>
      <c r="BD89"/>
      <c r="BE89"/>
      <c r="BF89"/>
      <c r="BG89"/>
      <c r="BH89"/>
      <c r="BI89"/>
      <c r="BJ89" s="14">
        <v>1.4309825897216797</v>
      </c>
      <c r="BK89" s="65">
        <v>15.719844818115234</v>
      </c>
      <c r="BL89" s="11">
        <v>3.2195460051298141E-2</v>
      </c>
      <c r="BM89" s="11">
        <v>2.8745230287313461E-2</v>
      </c>
      <c r="BN89" s="11">
        <v>2.3736380040645599E-2</v>
      </c>
      <c r="BO89"/>
      <c r="BP89" s="12">
        <v>2.2030906677246094</v>
      </c>
      <c r="BQ89"/>
      <c r="BR89" s="11">
        <v>2.0970029756426811E-2</v>
      </c>
      <c r="BS89"/>
      <c r="BT89" s="11">
        <v>6.5447397530078888E-2</v>
      </c>
      <c r="BU89"/>
      <c r="BV89" s="11">
        <v>6.7729584872722626E-2</v>
      </c>
      <c r="BW89" s="12">
        <v>2.4614441394805908</v>
      </c>
      <c r="BX89" s="398">
        <v>161.11593627929688</v>
      </c>
      <c r="BY89" s="78">
        <v>45.493881225585938</v>
      </c>
      <c r="BZ89" s="13">
        <v>26.68425178527832</v>
      </c>
      <c r="CA89" s="14">
        <v>0.75659549236297607</v>
      </c>
      <c r="CB89" s="70">
        <v>36.240665435791016</v>
      </c>
      <c r="CC89" s="14">
        <v>1.5671054124832153</v>
      </c>
      <c r="CD89" s="397">
        <v>154.76254272460938</v>
      </c>
      <c r="CE89" s="14">
        <v>1.1957633495330811</v>
      </c>
      <c r="CF89" s="333">
        <v>59.060272216796875</v>
      </c>
      <c r="CG89" s="23">
        <v>3.499354362487793</v>
      </c>
      <c r="CH89"/>
      <c r="CI89"/>
      <c r="CJ89"/>
      <c r="CK89"/>
      <c r="CL89" s="396">
        <v>139.60404968261719</v>
      </c>
      <c r="CM89"/>
      <c r="CN89" s="11">
        <v>2.7892166748642921E-2</v>
      </c>
      <c r="CO89" s="11">
        <v>2.2358682472258806E-3</v>
      </c>
      <c r="CP89" s="11">
        <v>1.993006095290184E-2</v>
      </c>
      <c r="CQ89" s="17">
        <v>9.0665683746337891</v>
      </c>
      <c r="CR89" s="14">
        <v>1.0609409809112549</v>
      </c>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row>
    <row r="90" spans="1:209" ht="15" customHeight="1" x14ac:dyDescent="0.15">
      <c r="A90" t="s">
        <v>280</v>
      </c>
      <c r="B90">
        <v>2.1449999809265137</v>
      </c>
      <c r="C90">
        <v>0.85799992084503174</v>
      </c>
      <c r="D90"/>
      <c r="E90"/>
      <c r="F90"/>
      <c r="G90"/>
      <c r="H90"/>
      <c r="I90"/>
      <c r="J90"/>
      <c r="K90"/>
      <c r="L90"/>
      <c r="M90" s="378">
        <v>0.86430871486663818</v>
      </c>
      <c r="N90"/>
      <c r="O90"/>
      <c r="P90"/>
      <c r="Q90"/>
      <c r="R90"/>
      <c r="S90"/>
      <c r="T90"/>
      <c r="U90"/>
      <c r="V90" s="11">
        <v>9.2363534349715337E-6</v>
      </c>
      <c r="W90"/>
      <c r="X90"/>
      <c r="Y90" s="11">
        <v>8.2396756624802947E-5</v>
      </c>
      <c r="Z90"/>
      <c r="AA90"/>
      <c r="AB90" s="11">
        <v>7.7884305937914178E-7</v>
      </c>
      <c r="AC90"/>
      <c r="AD90" s="11">
        <v>5.0043745147831942E-8</v>
      </c>
      <c r="AE90"/>
      <c r="AF90"/>
      <c r="AG90"/>
      <c r="AH90"/>
      <c r="AI90"/>
      <c r="AJ90"/>
      <c r="AK90"/>
      <c r="AL90"/>
      <c r="AM90"/>
      <c r="AN90" s="11">
        <v>1.5894230455160141E-4</v>
      </c>
      <c r="AO90" s="11">
        <v>1.3026354135945439E-3</v>
      </c>
      <c r="AP90" s="11">
        <v>3.217262274120003E-4</v>
      </c>
      <c r="AQ90" s="11">
        <v>5.4793304298073053E-4</v>
      </c>
      <c r="AR90" s="11">
        <v>3.8815522566437721E-4</v>
      </c>
      <c r="AS90"/>
      <c r="AT90"/>
      <c r="AU90"/>
      <c r="AV90"/>
      <c r="AW90"/>
      <c r="AX90"/>
      <c r="AY90"/>
      <c r="AZ90"/>
      <c r="BA90"/>
      <c r="BB90"/>
      <c r="BC90"/>
      <c r="BD90"/>
      <c r="BE90"/>
      <c r="BF90" s="12">
        <v>1.036306656897068E-2</v>
      </c>
      <c r="BG90"/>
      <c r="BH90"/>
      <c r="BI90"/>
      <c r="BJ90"/>
      <c r="BK90"/>
      <c r="BL90"/>
      <c r="BM90"/>
      <c r="BN90"/>
      <c r="BO90"/>
      <c r="BP90"/>
      <c r="BQ90"/>
      <c r="BR90"/>
      <c r="BS90"/>
      <c r="BT90"/>
      <c r="BU90"/>
      <c r="BV90"/>
      <c r="BW90"/>
      <c r="BX90"/>
      <c r="BY90"/>
      <c r="BZ90" s="349">
        <v>0.11516557633876801</v>
      </c>
      <c r="CA90" s="27">
        <v>0.16326811909675598</v>
      </c>
      <c r="CB90"/>
      <c r="CC90"/>
      <c r="CD90"/>
      <c r="CE90"/>
      <c r="CF90"/>
      <c r="CG90"/>
      <c r="CH90"/>
      <c r="CI90"/>
      <c r="CJ90"/>
      <c r="CK90"/>
      <c r="CL90"/>
      <c r="CM90" s="67">
        <v>0.12420155853033066</v>
      </c>
      <c r="CN90"/>
      <c r="CO90"/>
      <c r="CP90" s="12">
        <v>6.8812323734164238E-3</v>
      </c>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row>
    <row r="91" spans="1:209" ht="15" customHeight="1" x14ac:dyDescent="0.15">
      <c r="A91" t="s">
        <v>281</v>
      </c>
      <c r="B91">
        <v>12</v>
      </c>
      <c r="C91">
        <v>6.0000004768371582</v>
      </c>
      <c r="D91"/>
      <c r="E91"/>
      <c r="F91"/>
      <c r="G91"/>
      <c r="H91"/>
      <c r="I91"/>
      <c r="J91"/>
      <c r="K91"/>
      <c r="L91"/>
      <c r="M91"/>
      <c r="N91"/>
      <c r="O91" s="11">
        <v>8.6343707516789436E-3</v>
      </c>
      <c r="P91"/>
      <c r="Q91"/>
      <c r="R91"/>
      <c r="S91"/>
      <c r="T91"/>
      <c r="U91"/>
      <c r="V91"/>
      <c r="W91"/>
      <c r="X91"/>
      <c r="Y91"/>
      <c r="Z91"/>
      <c r="AA91"/>
      <c r="AB91"/>
      <c r="AC91"/>
      <c r="AD91" s="11">
        <v>4.3351363387955644E-8</v>
      </c>
      <c r="AE91" s="11">
        <v>2.3251890524988994E-5</v>
      </c>
      <c r="AF91"/>
      <c r="AG91"/>
      <c r="AH91"/>
      <c r="AI91"/>
      <c r="AJ91"/>
      <c r="AK91"/>
      <c r="AL91"/>
      <c r="AM91"/>
      <c r="AN91"/>
      <c r="AO91" s="11">
        <v>1.1066447477787733E-3</v>
      </c>
      <c r="AP91" s="11">
        <v>4.4922571396455169E-4</v>
      </c>
      <c r="AQ91" s="11">
        <v>1.5637646356481127E-5</v>
      </c>
      <c r="AR91"/>
      <c r="AS91"/>
      <c r="AT91" s="15">
        <v>0.11443983018398285</v>
      </c>
      <c r="AU91" s="11">
        <v>1.4462257968261838E-4</v>
      </c>
      <c r="AV91"/>
      <c r="AW91"/>
      <c r="AX91"/>
      <c r="AY91"/>
      <c r="AZ91"/>
      <c r="BA91"/>
      <c r="BB91" s="11">
        <v>1.1642973870038986E-2</v>
      </c>
      <c r="BC91" s="23">
        <v>7.1751706302165985E-2</v>
      </c>
      <c r="BD91"/>
      <c r="BE91"/>
      <c r="BF91" s="11">
        <v>4.5902625424787402E-4</v>
      </c>
      <c r="BG91"/>
      <c r="BH91"/>
      <c r="BI91"/>
      <c r="BJ91"/>
      <c r="BK91"/>
      <c r="BL91" s="11">
        <v>2.5850015226751566E-3</v>
      </c>
      <c r="BM91"/>
      <c r="BN91"/>
      <c r="BO91"/>
      <c r="BP91"/>
      <c r="BQ91"/>
      <c r="BR91"/>
      <c r="BS91"/>
      <c r="BT91"/>
      <c r="BU91"/>
      <c r="BV91" s="11">
        <v>1.4501512050628662E-3</v>
      </c>
      <c r="BW91"/>
      <c r="BX91"/>
      <c r="BY91"/>
      <c r="BZ91"/>
      <c r="CA91" s="146">
        <v>0.72897249460220337</v>
      </c>
      <c r="CB91"/>
      <c r="CC91"/>
      <c r="CD91"/>
      <c r="CE91" s="65">
        <v>0.25602364540100098</v>
      </c>
      <c r="CF91"/>
      <c r="CG91"/>
      <c r="CH91"/>
      <c r="CI91"/>
      <c r="CJ91"/>
      <c r="CK91"/>
      <c r="CL91"/>
      <c r="CM91"/>
      <c r="CN91"/>
      <c r="CO91"/>
      <c r="CP91" s="14">
        <v>3.2004036009311676E-2</v>
      </c>
      <c r="CQ91"/>
      <c r="CR91" s="382">
        <v>4.7702970504760742</v>
      </c>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row>
    <row r="92" spans="1:209" ht="15" customHeight="1" x14ac:dyDescent="0.15">
      <c r="A92" t="s">
        <v>282</v>
      </c>
      <c r="B92">
        <v>12</v>
      </c>
      <c r="C92">
        <v>5.9999990463256836</v>
      </c>
      <c r="D92"/>
      <c r="E92"/>
      <c r="F92"/>
      <c r="G92"/>
      <c r="H92"/>
      <c r="I92"/>
      <c r="J92"/>
      <c r="K92"/>
      <c r="L92"/>
      <c r="M92"/>
      <c r="N92"/>
      <c r="O92" s="11">
        <v>4.675206437241286E-4</v>
      </c>
      <c r="P92"/>
      <c r="Q92"/>
      <c r="R92"/>
      <c r="S92"/>
      <c r="T92"/>
      <c r="U92"/>
      <c r="V92" s="11">
        <v>1.719796216548275E-7</v>
      </c>
      <c r="W92"/>
      <c r="X92"/>
      <c r="Y92"/>
      <c r="Z92"/>
      <c r="AA92"/>
      <c r="AB92"/>
      <c r="AC92"/>
      <c r="AD92"/>
      <c r="AE92"/>
      <c r="AF92"/>
      <c r="AG92"/>
      <c r="AH92"/>
      <c r="AI92"/>
      <c r="AJ92"/>
      <c r="AK92"/>
      <c r="AL92" s="14">
        <v>3.1674392521381378E-2</v>
      </c>
      <c r="AM92"/>
      <c r="AN92"/>
      <c r="AO92"/>
      <c r="AP92"/>
      <c r="AQ92"/>
      <c r="AR92"/>
      <c r="AS92"/>
      <c r="AT92"/>
      <c r="AU92"/>
      <c r="AV92"/>
      <c r="AW92"/>
      <c r="AX92"/>
      <c r="AY92"/>
      <c r="AZ92"/>
      <c r="BA92"/>
      <c r="BB92" s="11">
        <v>1.2608518591150641E-3</v>
      </c>
      <c r="BC92"/>
      <c r="BD92"/>
      <c r="BE92"/>
      <c r="BF92"/>
      <c r="BG92"/>
      <c r="BH92"/>
      <c r="BI92"/>
      <c r="BJ92"/>
      <c r="BK92"/>
      <c r="BL92"/>
      <c r="BM92"/>
      <c r="BN92"/>
      <c r="BO92"/>
      <c r="BP92"/>
      <c r="BQ92"/>
      <c r="BR92"/>
      <c r="BS92"/>
      <c r="BT92" s="11">
        <v>4.4386736117303371E-3</v>
      </c>
      <c r="BU92"/>
      <c r="BV92" s="11">
        <v>7.8520562965422869E-5</v>
      </c>
      <c r="BW92"/>
      <c r="BX92"/>
      <c r="BY92"/>
      <c r="BZ92" s="391">
        <v>1.9605504274368286</v>
      </c>
      <c r="CA92"/>
      <c r="CB92"/>
      <c r="CC92"/>
      <c r="CD92" s="389">
        <v>1.79420006275177</v>
      </c>
      <c r="CE92"/>
      <c r="CF92"/>
      <c r="CG92"/>
      <c r="CH92"/>
      <c r="CI92"/>
      <c r="CJ92"/>
      <c r="CK92"/>
      <c r="CL92"/>
      <c r="CM92"/>
      <c r="CN92"/>
      <c r="CO92"/>
      <c r="CP92"/>
      <c r="CQ92" s="393">
        <v>2.2073297500610352</v>
      </c>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row>
    <row r="93" spans="1:209" ht="15" customHeight="1" x14ac:dyDescent="0.15">
      <c r="A93" t="s">
        <v>283</v>
      </c>
      <c r="B93">
        <v>3.2999999523162842</v>
      </c>
      <c r="C93">
        <v>1.9799998998641968</v>
      </c>
      <c r="D93"/>
      <c r="E93"/>
      <c r="F93"/>
      <c r="G93"/>
      <c r="H93"/>
      <c r="I93"/>
      <c r="J93"/>
      <c r="K93"/>
      <c r="L93"/>
      <c r="M93"/>
      <c r="N93"/>
      <c r="O93"/>
      <c r="P93"/>
      <c r="Q93"/>
      <c r="R93"/>
      <c r="S93"/>
      <c r="T93"/>
      <c r="U93"/>
      <c r="V93"/>
      <c r="W93"/>
      <c r="X93"/>
      <c r="Y93" s="11">
        <v>5.027101724408567E-4</v>
      </c>
      <c r="Z93" s="11">
        <v>1.5419274859596044E-4</v>
      </c>
      <c r="AA93"/>
      <c r="AB93"/>
      <c r="AC93"/>
      <c r="AD93"/>
      <c r="AE93" s="11">
        <v>1.4876610657665879E-4</v>
      </c>
      <c r="AF93"/>
      <c r="AG93" s="11">
        <v>3.0181838155840524E-5</v>
      </c>
      <c r="AH93" s="11">
        <v>5.8523856569081545E-4</v>
      </c>
      <c r="AI93"/>
      <c r="AJ93"/>
      <c r="AK93"/>
      <c r="AL93"/>
      <c r="AM93"/>
      <c r="AN93" s="11">
        <v>1.6824644990265369E-3</v>
      </c>
      <c r="AO93" s="12">
        <v>1.3807220384478569E-2</v>
      </c>
      <c r="AP93" s="19">
        <v>5.565701425075531E-2</v>
      </c>
      <c r="AQ93" s="11">
        <v>1.1517666280269623E-3</v>
      </c>
      <c r="AR93" s="14">
        <v>9.3356231227517128E-3</v>
      </c>
      <c r="AS93" s="309">
        <v>0.14836019277572632</v>
      </c>
      <c r="AT93" s="320">
        <v>0.34514227509498596</v>
      </c>
      <c r="AU93" s="72">
        <v>0.23359578847885132</v>
      </c>
      <c r="AV93"/>
      <c r="AW93"/>
      <c r="AX93" s="285">
        <v>0.50984668731689453</v>
      </c>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row>
    <row r="94" spans="1:209" ht="15" customHeight="1" x14ac:dyDescent="0.15">
      <c r="A94" t="s">
        <v>284</v>
      </c>
      <c r="B94"/>
      <c r="C94">
        <v>0.37426865100860596</v>
      </c>
      <c r="D94"/>
      <c r="E94"/>
      <c r="F94"/>
      <c r="G94"/>
      <c r="H94"/>
      <c r="I94"/>
      <c r="J94"/>
      <c r="K94"/>
      <c r="L94" s="9">
        <v>6.3504028366878629E-4</v>
      </c>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s="9">
        <v>4.40199114382267E-3</v>
      </c>
      <c r="BA94"/>
      <c r="BB94"/>
      <c r="BC94"/>
      <c r="BD94" s="9">
        <v>8.1994729116559029E-3</v>
      </c>
      <c r="BE94" s="9">
        <v>2.7305129915475845E-2</v>
      </c>
      <c r="BF94"/>
      <c r="BG94"/>
      <c r="BH94"/>
      <c r="BI94" s="9">
        <v>6.3684871420264244E-3</v>
      </c>
      <c r="BJ94" s="9">
        <v>5.2162203937768936E-2</v>
      </c>
      <c r="BK94" s="9">
        <v>0.57302010059356689</v>
      </c>
      <c r="BL94"/>
      <c r="BM94" s="9">
        <v>5.2391085773706436E-4</v>
      </c>
      <c r="BN94" s="9">
        <v>1.0815488349180669E-4</v>
      </c>
      <c r="BO94" s="9">
        <v>1.3694780645892024E-3</v>
      </c>
      <c r="BP94" s="9">
        <v>1.0038388893008232E-2</v>
      </c>
      <c r="BQ94" s="9">
        <v>3.9900005795061588E-3</v>
      </c>
      <c r="BR94"/>
      <c r="BS94"/>
      <c r="BT94" s="9">
        <v>5.9642235282808542E-4</v>
      </c>
      <c r="BU94"/>
      <c r="BV94" s="9">
        <v>1.6459200531244278E-2</v>
      </c>
      <c r="BW94" s="9">
        <v>1.1215577833354473E-2</v>
      </c>
      <c r="BX94"/>
      <c r="BY94"/>
      <c r="BZ94" s="9">
        <v>6.0793433338403702E-2</v>
      </c>
      <c r="CA94"/>
      <c r="CB94"/>
      <c r="CC94"/>
      <c r="CD94"/>
      <c r="CE94"/>
      <c r="CF94"/>
      <c r="CG94"/>
      <c r="CH94"/>
      <c r="CI94"/>
      <c r="CJ94"/>
      <c r="CK94"/>
      <c r="CL94"/>
      <c r="CM94"/>
      <c r="CN94"/>
      <c r="CO94"/>
      <c r="CP94"/>
      <c r="CQ94" s="9">
        <v>0.13219788670539856</v>
      </c>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row>
    <row r="95" spans="1:209" ht="15" customHeight="1" x14ac:dyDescent="0.15">
      <c r="A95" t="s">
        <v>285</v>
      </c>
      <c r="B95"/>
      <c r="C95">
        <v>0.52840030193328857</v>
      </c>
      <c r="D95"/>
      <c r="E95"/>
      <c r="F95"/>
      <c r="G95"/>
      <c r="H95"/>
      <c r="I95"/>
      <c r="J95"/>
      <c r="K95"/>
      <c r="L95"/>
      <c r="M95"/>
      <c r="N95"/>
      <c r="O95"/>
      <c r="P95"/>
      <c r="Q95"/>
      <c r="R95"/>
      <c r="S95"/>
      <c r="T95"/>
      <c r="U95"/>
      <c r="V95"/>
      <c r="W95"/>
      <c r="X95"/>
      <c r="Y95"/>
      <c r="Z95"/>
      <c r="AA95"/>
      <c r="AB95"/>
      <c r="AC95"/>
      <c r="AD95"/>
      <c r="AE95"/>
      <c r="AF95"/>
      <c r="AG95"/>
      <c r="AH95"/>
      <c r="AI95"/>
      <c r="AJ95"/>
      <c r="AK95"/>
      <c r="AL95" s="9">
        <v>4.1496705263853073E-2</v>
      </c>
      <c r="AM95"/>
      <c r="AN95"/>
      <c r="AO95"/>
      <c r="AP95"/>
      <c r="AQ95"/>
      <c r="AR95"/>
      <c r="AS95"/>
      <c r="AT95"/>
      <c r="AU95"/>
      <c r="AV95"/>
      <c r="AW95" s="9">
        <v>0.30506584048271179</v>
      </c>
      <c r="AX95"/>
      <c r="AY95"/>
      <c r="AZ95"/>
      <c r="BA95"/>
      <c r="BB95"/>
      <c r="BC95"/>
      <c r="BD95"/>
      <c r="BE95"/>
      <c r="BF95"/>
      <c r="BG95"/>
      <c r="BH95"/>
      <c r="BI95"/>
      <c r="BJ95" s="9">
        <v>0.83459526300430298</v>
      </c>
      <c r="BK95" s="9">
        <v>9.1683216094970703</v>
      </c>
      <c r="BL95"/>
      <c r="BM95" s="9">
        <v>2.0956434309482574E-3</v>
      </c>
      <c r="BN95" s="9">
        <v>1.730478135868907E-3</v>
      </c>
      <c r="BO95"/>
      <c r="BP95" s="9">
        <v>0.36138197779655457</v>
      </c>
      <c r="BQ95"/>
      <c r="BR95"/>
      <c r="BS95"/>
      <c r="BT95" s="9">
        <v>7.1570686995983124E-3</v>
      </c>
      <c r="BU95"/>
      <c r="BV95" s="9">
        <v>1.6459199832752347E-3</v>
      </c>
      <c r="BW95"/>
      <c r="BX95"/>
      <c r="BY95"/>
      <c r="BZ95" s="9">
        <v>48.391571044921875</v>
      </c>
      <c r="CA95"/>
      <c r="CB95" s="9">
        <v>14.678282737731934</v>
      </c>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row>
    <row r="96" spans="1:209" ht="15" customHeight="1" x14ac:dyDescent="0.15">
      <c r="A96" t="s">
        <v>286</v>
      </c>
      <c r="B96"/>
      <c r="C96">
        <v>5.3319536149501801E-2</v>
      </c>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s="9">
        <v>1.4669870026409626E-2</v>
      </c>
      <c r="BM96" s="9">
        <v>2.0956434309482574E-3</v>
      </c>
      <c r="BN96" s="9">
        <v>1.730478135868907E-3</v>
      </c>
      <c r="BO96"/>
      <c r="BP96" s="9">
        <v>0.16061422228813171</v>
      </c>
      <c r="BQ96"/>
      <c r="BR96"/>
      <c r="BS96"/>
      <c r="BT96" s="9">
        <v>7.1570686995983124E-3</v>
      </c>
      <c r="BU96"/>
      <c r="BV96" s="9">
        <v>1.6459199832752347E-3</v>
      </c>
      <c r="BW96"/>
      <c r="BX96"/>
      <c r="BY96"/>
      <c r="BZ96"/>
      <c r="CA96" s="9">
        <v>1.0342288017272949</v>
      </c>
      <c r="CB96"/>
      <c r="CC96" s="9">
        <v>0.634712815284729</v>
      </c>
      <c r="CD96"/>
      <c r="CE96"/>
      <c r="CF96"/>
      <c r="CG96"/>
      <c r="CH96"/>
      <c r="CI96"/>
      <c r="CJ96"/>
      <c r="CK96"/>
      <c r="CL96"/>
      <c r="CM96"/>
      <c r="CN96"/>
      <c r="CO96"/>
      <c r="CP96" s="9">
        <v>7.2649091482162476E-2</v>
      </c>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row>
    <row r="97" spans="1:209" ht="15" customHeight="1" x14ac:dyDescent="0.15">
      <c r="A97" t="s">
        <v>287</v>
      </c>
      <c r="B97"/>
      <c r="C97">
        <v>0.48051628470420837</v>
      </c>
      <c r="D97"/>
      <c r="E97"/>
      <c r="F97"/>
      <c r="G97"/>
      <c r="H97"/>
      <c r="I97"/>
      <c r="J97"/>
      <c r="K97"/>
      <c r="L97"/>
      <c r="M97"/>
      <c r="N97"/>
      <c r="O97"/>
      <c r="P97"/>
      <c r="Q97"/>
      <c r="R97"/>
      <c r="S97"/>
      <c r="T97"/>
      <c r="U97"/>
      <c r="V97" s="9">
        <v>3.9466711314162239E-5</v>
      </c>
      <c r="W97"/>
      <c r="X97"/>
      <c r="Y97"/>
      <c r="Z97"/>
      <c r="AA97"/>
      <c r="AB97"/>
      <c r="AC97"/>
      <c r="AD97"/>
      <c r="AE97"/>
      <c r="AF97"/>
      <c r="AG97"/>
      <c r="AH97"/>
      <c r="AI97"/>
      <c r="AJ97"/>
      <c r="AK97"/>
      <c r="AL97"/>
      <c r="AM97"/>
      <c r="AN97"/>
      <c r="AO97" s="9">
        <v>1.2807796883862466E-4</v>
      </c>
      <c r="AP97" s="9">
        <v>2.4419260444119573E-4</v>
      </c>
      <c r="AQ97"/>
      <c r="AR97"/>
      <c r="AS97"/>
      <c r="AT97"/>
      <c r="AU97"/>
      <c r="AV97" s="9">
        <v>4.0506982803344727</v>
      </c>
      <c r="AW97"/>
      <c r="AX97"/>
      <c r="AY97" s="9">
        <v>2.0054385662078857</v>
      </c>
      <c r="AZ97"/>
      <c r="BA97"/>
      <c r="BB97"/>
      <c r="BC97"/>
      <c r="BD97"/>
      <c r="BE97"/>
      <c r="BF97"/>
      <c r="BG97"/>
      <c r="BH97"/>
      <c r="BI97"/>
      <c r="BJ97" s="9">
        <v>0.20864881575107574</v>
      </c>
      <c r="BK97" s="9">
        <v>2.2920804023742676</v>
      </c>
      <c r="BL97"/>
      <c r="BM97"/>
      <c r="BN97"/>
      <c r="BO97"/>
      <c r="BP97"/>
      <c r="BQ97"/>
      <c r="BR97"/>
      <c r="BS97"/>
      <c r="BT97"/>
      <c r="BU97" s="9">
        <v>0.5936095118522644</v>
      </c>
      <c r="BV97"/>
      <c r="BW97" s="9">
        <v>3.140362024307251</v>
      </c>
      <c r="BX97"/>
      <c r="BY97"/>
      <c r="BZ97"/>
      <c r="CA97" s="9">
        <v>0.48264008760452271</v>
      </c>
      <c r="CB97"/>
      <c r="CC97" s="9">
        <v>0.634712815284729</v>
      </c>
      <c r="CD97"/>
      <c r="CE97"/>
      <c r="CF97"/>
      <c r="CG97"/>
      <c r="CH97"/>
      <c r="CI97"/>
      <c r="CJ97"/>
      <c r="CK97" s="9">
        <v>0.19564820826053619</v>
      </c>
      <c r="CL97"/>
      <c r="CM97" s="9">
        <v>65.301078796386719</v>
      </c>
      <c r="CN97"/>
      <c r="CO97" s="9">
        <v>3.881043812725693E-4</v>
      </c>
      <c r="CP97" s="9">
        <v>7.2649091482162476E-2</v>
      </c>
      <c r="CQ97"/>
      <c r="CR97" s="9">
        <v>77.346885681152344</v>
      </c>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row>
    <row r="98" spans="1:209" ht="15" customHeight="1" x14ac:dyDescent="0.15">
      <c r="A98" t="s">
        <v>288</v>
      </c>
      <c r="B98"/>
      <c r="C98">
        <v>0.18871748447418213</v>
      </c>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s="9">
        <v>30.38023567199707</v>
      </c>
      <c r="AW98"/>
      <c r="AX98"/>
      <c r="AY98"/>
      <c r="AZ98"/>
      <c r="BA98"/>
      <c r="BB98"/>
      <c r="BC98"/>
      <c r="BD98"/>
      <c r="BE98"/>
      <c r="BF98"/>
      <c r="BG98"/>
      <c r="BH98"/>
      <c r="BI98"/>
      <c r="BJ98"/>
      <c r="BK98"/>
      <c r="BL98" s="9">
        <v>4.4009611010551453E-2</v>
      </c>
      <c r="BM98" s="9">
        <v>2.0956434309482574E-2</v>
      </c>
      <c r="BN98" s="9">
        <v>1.7304779961705208E-2</v>
      </c>
      <c r="BO98"/>
      <c r="BP98" s="9">
        <v>1.6061420440673828</v>
      </c>
      <c r="BQ98"/>
      <c r="BR98" s="9">
        <v>4.3679997324943542E-2</v>
      </c>
      <c r="BS98"/>
      <c r="BT98" s="9">
        <v>7.1570686995983124E-3</v>
      </c>
      <c r="BU98" s="9">
        <v>0.89041429758071899</v>
      </c>
      <c r="BV98" s="9">
        <v>1.4813280664384365E-2</v>
      </c>
      <c r="BW98" s="9">
        <v>3.140362024307251</v>
      </c>
      <c r="BX98"/>
      <c r="BY98" s="9">
        <v>35.930782318115234</v>
      </c>
      <c r="BZ98"/>
      <c r="CA98" s="9">
        <v>0.48264008760452271</v>
      </c>
      <c r="CB98"/>
      <c r="CC98" s="9">
        <v>4.062161922454834</v>
      </c>
      <c r="CD98"/>
      <c r="CE98" s="9">
        <v>0.5811731219291687</v>
      </c>
      <c r="CF98"/>
      <c r="CG98" s="9">
        <v>5.6125750541687012</v>
      </c>
      <c r="CH98"/>
      <c r="CI98"/>
      <c r="CJ98"/>
      <c r="CK98"/>
      <c r="CL98"/>
      <c r="CM98"/>
      <c r="CN98"/>
      <c r="CO98" s="9">
        <v>3.881043812725693E-4</v>
      </c>
      <c r="CP98" s="9">
        <v>0.50854367017745972</v>
      </c>
      <c r="CQ98"/>
      <c r="CR98" s="9">
        <v>70.230972290039062</v>
      </c>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row>
    <row r="99" spans="1:209" ht="15" customHeight="1" x14ac:dyDescent="0.15">
      <c r="A99" t="s">
        <v>289</v>
      </c>
      <c r="B99"/>
      <c r="C99">
        <v>0.37435433268547058</v>
      </c>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s="9">
        <v>1.1753524653613567E-2</v>
      </c>
      <c r="AQ99"/>
      <c r="AR99"/>
      <c r="AS99"/>
      <c r="AT99"/>
      <c r="AU99"/>
      <c r="AV99"/>
      <c r="AW99"/>
      <c r="AX99"/>
      <c r="AY99"/>
      <c r="AZ99"/>
      <c r="BA99"/>
      <c r="BB99"/>
      <c r="BC99"/>
      <c r="BD99"/>
      <c r="BE99"/>
      <c r="BF99"/>
      <c r="BG99"/>
      <c r="BH99"/>
      <c r="BI99"/>
      <c r="BJ99" s="9">
        <v>0.20864881575107574</v>
      </c>
      <c r="BK99" s="9">
        <v>2.2920804023742676</v>
      </c>
      <c r="BL99"/>
      <c r="BM99"/>
      <c r="BN99"/>
      <c r="BO99"/>
      <c r="BP99"/>
      <c r="BQ99"/>
      <c r="BR99"/>
      <c r="BS99"/>
      <c r="BT99"/>
      <c r="BU99" s="9">
        <v>7.4201192855834961</v>
      </c>
      <c r="BV99"/>
      <c r="BW99" s="9">
        <v>4.4862308502197266</v>
      </c>
      <c r="BX99" s="9">
        <v>127.24835205078125</v>
      </c>
      <c r="BY99" s="9">
        <v>113.32016754150391</v>
      </c>
      <c r="BZ99" s="9">
        <v>17.022161483764648</v>
      </c>
      <c r="CA99"/>
      <c r="CB99" s="9">
        <v>14.678282737731934</v>
      </c>
      <c r="CC99"/>
      <c r="CD99"/>
      <c r="CE99"/>
      <c r="CF99"/>
      <c r="CG99"/>
      <c r="CH99"/>
      <c r="CI99"/>
      <c r="CJ99" s="9">
        <v>0.12221917510032654</v>
      </c>
      <c r="CK99" s="9">
        <v>0.4347737729549408</v>
      </c>
      <c r="CL99" s="9">
        <v>407.10797119140625</v>
      </c>
      <c r="CM99"/>
      <c r="CN99" s="9">
        <v>1.7429584637284279E-2</v>
      </c>
      <c r="CO99"/>
      <c r="CP99"/>
      <c r="CQ99" s="9">
        <v>660.9893798828125</v>
      </c>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row>
    <row r="100" spans="1:209" ht="15" customHeight="1" x14ac:dyDescent="0.15">
      <c r="A100" t="s">
        <v>290</v>
      </c>
      <c r="B100"/>
      <c r="C100">
        <v>0.28713124990463257</v>
      </c>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s="9">
        <v>4.1496705263853073E-2</v>
      </c>
      <c r="AM100"/>
      <c r="AN100"/>
      <c r="AO100"/>
      <c r="AP100"/>
      <c r="AQ100"/>
      <c r="AR100"/>
      <c r="AS100"/>
      <c r="AT100"/>
      <c r="AU100"/>
      <c r="AV100"/>
      <c r="AW100"/>
      <c r="AX100"/>
      <c r="AY100"/>
      <c r="AZ100"/>
      <c r="BA100"/>
      <c r="BB100"/>
      <c r="BC100"/>
      <c r="BD100"/>
      <c r="BE100"/>
      <c r="BF100"/>
      <c r="BG100"/>
      <c r="BH100"/>
      <c r="BI100" s="9">
        <v>6.1137482523918152E-2</v>
      </c>
      <c r="BJ100" s="9">
        <v>0.20864881575107574</v>
      </c>
      <c r="BK100" s="9">
        <v>2.2920804023742676</v>
      </c>
      <c r="BL100"/>
      <c r="BM100" s="9">
        <v>2.0956434309482574E-2</v>
      </c>
      <c r="BN100" s="9">
        <v>1.7304779961705208E-2</v>
      </c>
      <c r="BO100" s="9">
        <v>4.2727719992399216E-2</v>
      </c>
      <c r="BP100" s="9">
        <v>4.0956621170043945</v>
      </c>
      <c r="BQ100"/>
      <c r="BR100" s="9">
        <v>0.13103999197483063</v>
      </c>
      <c r="BS100" s="9">
        <v>1.9867402315139771</v>
      </c>
      <c r="BT100" s="9">
        <v>7.1570694446563721E-2</v>
      </c>
      <c r="BU100" s="9">
        <v>14.840238571166992</v>
      </c>
      <c r="BV100" s="9">
        <v>1.4813280664384365E-2</v>
      </c>
      <c r="BW100" s="9">
        <v>4.6656804084777832</v>
      </c>
      <c r="BX100" s="9">
        <v>401.32174682617188</v>
      </c>
      <c r="BY100"/>
      <c r="BZ100" s="9">
        <v>17.022161483764648</v>
      </c>
      <c r="CA100"/>
      <c r="CB100" s="9">
        <v>93.941009521484375</v>
      </c>
      <c r="CC100"/>
      <c r="CD100" s="9">
        <v>75.218765258789062</v>
      </c>
      <c r="CE100"/>
      <c r="CF100" s="9">
        <v>94.726112365722656</v>
      </c>
      <c r="CG100"/>
      <c r="CH100"/>
      <c r="CI100"/>
      <c r="CJ100"/>
      <c r="CK100"/>
      <c r="CL100"/>
      <c r="CM100"/>
      <c r="CN100" s="9">
        <v>1.7429584637284279E-2</v>
      </c>
      <c r="CO100"/>
      <c r="CP100"/>
      <c r="CQ100" s="9">
        <v>601.5003662109375</v>
      </c>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row>
    <row r="101" spans="1:209" ht="15" customHeight="1" x14ac:dyDescent="0.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row>
    <row r="102" spans="1:209" ht="15" customHeight="1" x14ac:dyDescent="0.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row>
    <row r="103" spans="1:209" ht="15" customHeight="1" x14ac:dyDescent="0.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row>
    <row r="104" spans="1:209" ht="15" customHeight="1" x14ac:dyDescent="0.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row>
    <row r="105" spans="1:209" ht="15" customHeight="1" x14ac:dyDescent="0.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row>
    <row r="106" spans="1:209" ht="15" customHeight="1" x14ac:dyDescent="0.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row>
    <row r="107" spans="1:209" ht="15" customHeight="1" x14ac:dyDescent="0.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row>
    <row r="108" spans="1:209" ht="15" customHeight="1" x14ac:dyDescent="0.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row>
    <row r="109" spans="1:209" ht="15" customHeight="1" x14ac:dyDescent="0.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row>
    <row r="110" spans="1:209" ht="15" customHeight="1" x14ac:dyDescent="0.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row>
    <row r="111" spans="1:209" ht="15" customHeight="1" x14ac:dyDescent="0.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row>
    <row r="112" spans="1:209" ht="15" customHeight="1" x14ac:dyDescent="0.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row>
    <row r="113" spans="1:209" ht="15" customHeight="1" x14ac:dyDescent="0.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row>
    <row r="114" spans="1:209" ht="15" customHeight="1" x14ac:dyDescent="0.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row>
    <row r="115" spans="1:209" ht="15" customHeight="1" x14ac:dyDescent="0.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row>
    <row r="116" spans="1:209" ht="15" customHeight="1" x14ac:dyDescent="0.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row>
    <row r="117" spans="1:209" ht="15" customHeight="1" x14ac:dyDescent="0.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row>
    <row r="118" spans="1:209" ht="15" customHeight="1" x14ac:dyDescent="0.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row>
    <row r="119" spans="1:209" ht="15" customHeight="1" x14ac:dyDescent="0.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row>
    <row r="120" spans="1:209" ht="15" customHeight="1" x14ac:dyDescent="0.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row>
    <row r="121" spans="1:209" ht="15" customHeight="1" x14ac:dyDescent="0.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row>
    <row r="122" spans="1:209" ht="15" customHeight="1" x14ac:dyDescent="0.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row>
    <row r="123" spans="1:209" ht="15" customHeight="1" x14ac:dyDescent="0.1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row>
    <row r="124" spans="1:209" ht="15" customHeight="1" x14ac:dyDescent="0.1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row>
    <row r="125" spans="1:209" ht="15" customHeight="1" x14ac:dyDescent="0.1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row>
    <row r="126" spans="1:209" ht="15" customHeight="1" x14ac:dyDescent="0.1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row>
    <row r="127" spans="1:209" ht="15" customHeight="1" x14ac:dyDescent="0.1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row>
    <row r="128" spans="1:209" ht="15" customHeight="1" x14ac:dyDescent="0.1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row>
    <row r="129" spans="1:209" ht="15" customHeight="1" x14ac:dyDescent="0.1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row>
    <row r="130" spans="1:209" ht="15" customHeight="1" x14ac:dyDescent="0.1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row>
    <row r="131" spans="1:209" ht="15" customHeight="1" x14ac:dyDescent="0.1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row>
    <row r="132" spans="1:209" ht="15" customHeight="1" x14ac:dyDescent="0.1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row>
    <row r="133" spans="1:209" ht="15" customHeight="1" x14ac:dyDescent="0.1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row>
    <row r="134" spans="1:209" ht="15" customHeight="1" x14ac:dyDescent="0.1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row>
    <row r="135" spans="1:209" ht="15" customHeight="1" x14ac:dyDescent="0.1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row>
    <row r="136" spans="1:209" ht="15" customHeight="1" x14ac:dyDescent="0.1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row>
    <row r="137" spans="1:209" ht="15" customHeight="1" x14ac:dyDescent="0.1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row>
    <row r="138" spans="1:209" ht="15" customHeight="1" x14ac:dyDescent="0.1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row>
    <row r="139" spans="1:209" ht="15" customHeight="1" x14ac:dyDescent="0.1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row>
    <row r="140" spans="1:209" ht="15" customHeight="1" x14ac:dyDescent="0.1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row>
    <row r="141" spans="1:209" ht="15" customHeight="1" x14ac:dyDescent="0.1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row>
    <row r="142" spans="1:209" ht="15" customHeight="1" x14ac:dyDescent="0.1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row>
    <row r="143" spans="1:209" ht="15" customHeight="1" x14ac:dyDescent="0.1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row>
    <row r="144" spans="1:209" ht="15" customHeight="1" x14ac:dyDescent="0.1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row>
    <row r="145" spans="1:209" ht="15" customHeight="1" x14ac:dyDescent="0.1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row>
    <row r="146" spans="1:209" ht="15" customHeight="1" x14ac:dyDescent="0.1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row>
    <row r="147" spans="1:209" ht="15" customHeight="1" x14ac:dyDescent="0.1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row>
    <row r="148" spans="1:209" ht="15" customHeight="1" x14ac:dyDescent="0.1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row>
    <row r="149" spans="1:209" ht="15" customHeight="1" x14ac:dyDescent="0.1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row>
    <row r="150" spans="1:209" ht="15" customHeight="1" x14ac:dyDescent="0.1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row>
    <row r="151" spans="1:209" ht="15" customHeight="1" x14ac:dyDescent="0.1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row>
    <row r="152" spans="1:209" ht="15" customHeight="1" x14ac:dyDescent="0.1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row>
    <row r="153" spans="1:209" ht="15" customHeight="1" x14ac:dyDescent="0.1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row>
    <row r="154" spans="1:209" ht="15" customHeight="1" x14ac:dyDescent="0.1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row>
    <row r="155" spans="1:209" ht="15" customHeight="1" x14ac:dyDescent="0.1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row>
    <row r="156" spans="1:209" ht="15" customHeight="1" x14ac:dyDescent="0.1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row>
    <row r="157" spans="1:209" ht="15" customHeight="1" x14ac:dyDescent="0.1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row>
    <row r="158" spans="1:209" ht="15" customHeight="1" x14ac:dyDescent="0.1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row>
    <row r="159" spans="1:209" ht="15" customHeight="1" x14ac:dyDescent="0.1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row>
    <row r="160" spans="1:209" ht="15" customHeight="1" x14ac:dyDescent="0.1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row>
    <row r="161" spans="1:209" ht="15" customHeight="1" x14ac:dyDescent="0.1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row>
    <row r="162" spans="1:209" ht="15" customHeight="1" x14ac:dyDescent="0.1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row>
    <row r="163" spans="1:209" ht="15" customHeight="1" x14ac:dyDescent="0.1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row>
    <row r="164" spans="1:209" ht="15" customHeight="1" x14ac:dyDescent="0.1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row>
    <row r="165" spans="1:209" ht="15" customHeight="1" x14ac:dyDescent="0.1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row>
    <row r="166" spans="1:209" ht="15" customHeight="1" x14ac:dyDescent="0.1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row>
    <row r="167" spans="1:209" ht="15" customHeight="1" x14ac:dyDescent="0.1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row>
    <row r="168" spans="1:209" ht="15" customHeight="1" x14ac:dyDescent="0.1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row>
    <row r="169" spans="1:209" ht="15" customHeight="1" x14ac:dyDescent="0.1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row>
    <row r="170" spans="1:209" ht="15" customHeight="1" x14ac:dyDescent="0.1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row>
    <row r="171" spans="1:209" ht="15" customHeight="1" x14ac:dyDescent="0.1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row>
    <row r="172" spans="1:209" ht="15" customHeight="1" x14ac:dyDescent="0.1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row>
    <row r="173" spans="1:209" ht="15" customHeight="1" x14ac:dyDescent="0.1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row>
    <row r="174" spans="1:209" ht="15" customHeight="1" x14ac:dyDescent="0.1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row>
    <row r="175" spans="1:209" ht="15" customHeight="1" x14ac:dyDescent="0.1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row>
    <row r="176" spans="1:209" ht="15" customHeight="1" x14ac:dyDescent="0.1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row>
    <row r="177" spans="1:209" ht="15" customHeight="1" x14ac:dyDescent="0.1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row>
    <row r="178" spans="1:209" ht="15" customHeight="1" x14ac:dyDescent="0.1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row>
    <row r="179" spans="1:209" ht="15" customHeight="1" x14ac:dyDescent="0.1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row>
    <row r="180" spans="1:209" ht="15" customHeight="1" x14ac:dyDescent="0.1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row>
    <row r="181" spans="1:209" ht="15" customHeight="1" x14ac:dyDescent="0.1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row>
    <row r="182" spans="1:209" ht="15" customHeight="1" x14ac:dyDescent="0.1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row>
    <row r="183" spans="1:209" ht="15" customHeight="1" x14ac:dyDescent="0.1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row>
    <row r="184" spans="1:209" ht="15" customHeight="1" x14ac:dyDescent="0.1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row>
    <row r="185" spans="1:209" ht="15" customHeight="1" x14ac:dyDescent="0.1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row>
    <row r="186" spans="1:209" ht="15" customHeight="1" x14ac:dyDescent="0.1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row>
    <row r="187" spans="1:209" ht="15" customHeight="1" x14ac:dyDescent="0.1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row>
    <row r="188" spans="1:209" ht="15" customHeight="1" x14ac:dyDescent="0.1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row>
    <row r="189" spans="1:209" ht="15" customHeight="1" x14ac:dyDescent="0.1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row>
    <row r="190" spans="1:209" ht="15" customHeight="1" x14ac:dyDescent="0.1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row>
    <row r="191" spans="1:209" ht="15" customHeight="1" x14ac:dyDescent="0.1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row>
    <row r="192" spans="1:209" ht="15" customHeight="1" x14ac:dyDescent="0.1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row>
    <row r="193" spans="1:209" ht="15" customHeight="1" x14ac:dyDescent="0.1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row>
    <row r="194" spans="1:209" ht="15" customHeight="1" x14ac:dyDescent="0.1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row>
    <row r="195" spans="1:209" ht="15" customHeight="1" x14ac:dyDescent="0.1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row>
    <row r="196" spans="1:209" ht="15" customHeight="1" x14ac:dyDescent="0.1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row>
    <row r="197" spans="1:209" ht="15" customHeight="1" x14ac:dyDescent="0.1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row>
    <row r="198" spans="1:209" ht="15" customHeight="1" x14ac:dyDescent="0.1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row>
    <row r="199" spans="1:209" ht="15" customHeight="1" x14ac:dyDescent="0.1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row>
    <row r="200" spans="1:209" ht="15" customHeight="1" x14ac:dyDescent="0.1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row>
    <row r="201" spans="1:209" ht="15" customHeight="1" x14ac:dyDescent="0.1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row>
    <row r="202" spans="1:209" ht="15" customHeight="1" x14ac:dyDescent="0.1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row>
    <row r="203" spans="1:209" ht="15" customHeight="1" x14ac:dyDescent="0.1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row>
    <row r="204" spans="1:209" ht="15" customHeight="1" x14ac:dyDescent="0.1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row>
    <row r="205" spans="1:209" ht="15" customHeight="1" x14ac:dyDescent="0.1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row>
    <row r="206" spans="1:209" ht="15" customHeight="1" x14ac:dyDescent="0.1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row>
    <row r="207" spans="1:209" ht="15" customHeight="1" x14ac:dyDescent="0.1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row>
    <row r="208" spans="1:209" ht="15" customHeight="1" x14ac:dyDescent="0.1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row>
    <row r="209" spans="1:209" ht="15" customHeight="1" x14ac:dyDescent="0.1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row>
    <row r="210" spans="1:209" ht="15" customHeight="1" x14ac:dyDescent="0.1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row>
    <row r="211" spans="1:209" ht="15" customHeight="1" x14ac:dyDescent="0.1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row>
    <row r="212" spans="1:209" ht="15" customHeight="1" x14ac:dyDescent="0.1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row>
    <row r="213" spans="1:209" ht="15" customHeight="1" x14ac:dyDescent="0.1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row>
    <row r="214" spans="1:209" ht="15" customHeight="1" x14ac:dyDescent="0.1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row>
    <row r="215" spans="1:209" ht="15" customHeight="1" x14ac:dyDescent="0.1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row>
    <row r="216" spans="1:209" ht="15" customHeight="1" x14ac:dyDescent="0.1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row>
    <row r="217" spans="1:209" ht="15" customHeight="1" x14ac:dyDescent="0.1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row>
    <row r="218" spans="1:209" ht="15" customHeight="1" x14ac:dyDescent="0.1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row>
    <row r="219" spans="1:209" ht="15" customHeight="1" x14ac:dyDescent="0.1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row>
    <row r="220" spans="1:209" ht="15" customHeight="1" x14ac:dyDescent="0.1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row>
    <row r="221" spans="1:209" ht="15" customHeight="1" x14ac:dyDescent="0.1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row>
    <row r="222" spans="1:209" ht="15" customHeight="1" x14ac:dyDescent="0.1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row>
    <row r="223" spans="1:209" ht="15" customHeight="1" x14ac:dyDescent="0.1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row>
    <row r="224" spans="1:209" ht="15" customHeight="1" x14ac:dyDescent="0.1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row>
    <row r="225" spans="1:209" ht="15" customHeight="1" x14ac:dyDescent="0.1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row>
    <row r="226" spans="1:209" ht="15" customHeight="1" x14ac:dyDescent="0.1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row>
    <row r="227" spans="1:209" ht="15" customHeight="1" x14ac:dyDescent="0.1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row>
    <row r="228" spans="1:209" ht="15" customHeight="1" x14ac:dyDescent="0.1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row>
    <row r="229" spans="1:209" ht="15" customHeight="1" x14ac:dyDescent="0.1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row>
    <row r="230" spans="1:209" ht="15" customHeight="1" x14ac:dyDescent="0.1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row>
    <row r="231" spans="1:209" ht="15" customHeight="1" x14ac:dyDescent="0.1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row>
    <row r="232" spans="1:209" ht="15" customHeight="1" x14ac:dyDescent="0.1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row>
    <row r="233" spans="1:209" ht="15" customHeight="1" x14ac:dyDescent="0.1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row>
    <row r="234" spans="1:209" ht="15" customHeight="1" x14ac:dyDescent="0.1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row>
    <row r="235" spans="1:209" ht="15" customHeight="1" x14ac:dyDescent="0.1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row>
    <row r="236" spans="1:209" ht="15" customHeight="1" x14ac:dyDescent="0.1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row>
    <row r="237" spans="1:209" ht="15" customHeight="1" x14ac:dyDescent="0.1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row>
    <row r="238" spans="1:209" ht="15" customHeight="1" x14ac:dyDescent="0.1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row>
    <row r="239" spans="1:209" ht="15" customHeight="1" x14ac:dyDescent="0.1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row>
    <row r="240" spans="1:209" ht="15" customHeight="1" x14ac:dyDescent="0.1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row>
    <row r="241" spans="1:209" ht="15" customHeight="1" x14ac:dyDescent="0.1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row>
    <row r="242" spans="1:209" ht="15" customHeight="1" x14ac:dyDescent="0.1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row>
    <row r="243" spans="1:209" ht="15" customHeight="1" x14ac:dyDescent="0.1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row>
    <row r="244" spans="1:209" ht="15" customHeight="1" x14ac:dyDescent="0.1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row>
    <row r="245" spans="1:209" ht="15" customHeight="1" x14ac:dyDescent="0.1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row>
    <row r="246" spans="1:209" ht="15" customHeight="1" x14ac:dyDescent="0.1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row>
    <row r="247" spans="1:209" ht="15" customHeight="1" x14ac:dyDescent="0.1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row>
    <row r="248" spans="1:209" ht="15" customHeight="1" x14ac:dyDescent="0.1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row>
    <row r="249" spans="1:209" ht="15" customHeight="1" x14ac:dyDescent="0.1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row>
    <row r="250" spans="1:209" ht="15" customHeight="1" x14ac:dyDescent="0.1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row>
    <row r="251" spans="1:209" ht="15" customHeight="1" x14ac:dyDescent="0.1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row>
    <row r="252" spans="1:209" ht="15" customHeight="1" x14ac:dyDescent="0.1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row>
    <row r="253" spans="1:209" ht="15" customHeight="1" x14ac:dyDescent="0.1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row>
    <row r="254" spans="1:209" ht="15" customHeight="1" x14ac:dyDescent="0.1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row>
    <row r="255" spans="1:209" ht="15" customHeight="1" x14ac:dyDescent="0.1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row>
    <row r="256" spans="1:209" ht="15" customHeight="1" x14ac:dyDescent="0.1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row>
    <row r="257" spans="1:209" ht="15" customHeight="1" x14ac:dyDescent="0.1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row>
    <row r="258" spans="1:209" ht="15" customHeight="1" x14ac:dyDescent="0.1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row>
    <row r="259" spans="1:209" ht="15" customHeight="1" x14ac:dyDescent="0.1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row>
    <row r="260" spans="1:209" ht="15" customHeight="1" x14ac:dyDescent="0.1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row>
    <row r="261" spans="1:209" ht="15" customHeight="1" x14ac:dyDescent="0.1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row>
    <row r="262" spans="1:209" ht="15" customHeight="1" x14ac:dyDescent="0.1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row>
    <row r="263" spans="1:209" ht="15" customHeight="1" x14ac:dyDescent="0.1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row>
    <row r="264" spans="1:209" ht="15" customHeight="1" x14ac:dyDescent="0.1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row>
    <row r="265" spans="1:209" ht="15" customHeight="1" x14ac:dyDescent="0.1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row>
    <row r="266" spans="1:209" ht="15" customHeight="1" x14ac:dyDescent="0.1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row>
    <row r="267" spans="1:209" ht="15" customHeight="1" x14ac:dyDescent="0.1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row>
    <row r="268" spans="1:209" ht="15" customHeight="1" x14ac:dyDescent="0.1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row>
    <row r="269" spans="1:209" ht="15" customHeight="1" x14ac:dyDescent="0.1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row>
    <row r="270" spans="1:209" ht="15" customHeight="1" x14ac:dyDescent="0.1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row>
    <row r="271" spans="1:209" ht="15" customHeight="1" x14ac:dyDescent="0.1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row>
    <row r="272" spans="1:209" ht="15" customHeight="1" x14ac:dyDescent="0.1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row>
    <row r="273" spans="1:209" ht="15" customHeight="1" x14ac:dyDescent="0.1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row>
    <row r="274" spans="1:209" ht="15" customHeight="1" x14ac:dyDescent="0.1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row>
    <row r="275" spans="1:209" ht="15" customHeight="1" x14ac:dyDescent="0.1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row>
    <row r="276" spans="1:209" ht="15" customHeight="1" x14ac:dyDescent="0.1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row>
    <row r="277" spans="1:209" ht="15" customHeight="1" x14ac:dyDescent="0.1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row>
    <row r="278" spans="1:209" ht="15" customHeight="1" x14ac:dyDescent="0.1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row>
    <row r="279" spans="1:209" ht="15" customHeight="1" x14ac:dyDescent="0.1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row>
    <row r="280" spans="1:209" ht="15" customHeight="1" x14ac:dyDescent="0.1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row>
    <row r="281" spans="1:209" ht="15" customHeight="1" x14ac:dyDescent="0.1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row>
    <row r="282" spans="1:209" ht="15" customHeight="1" x14ac:dyDescent="0.1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row>
    <row r="283" spans="1:209" ht="15" customHeight="1" x14ac:dyDescent="0.1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row>
    <row r="284" spans="1:209" ht="15" customHeight="1" x14ac:dyDescent="0.1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row>
    <row r="285" spans="1:209" ht="15" customHeight="1" x14ac:dyDescent="0.1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row>
    <row r="286" spans="1:209" ht="15" customHeight="1" x14ac:dyDescent="0.1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row>
    <row r="287" spans="1:209" ht="15" customHeight="1" x14ac:dyDescent="0.1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row>
    <row r="288" spans="1:209" ht="15" customHeight="1" x14ac:dyDescent="0.1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row>
    <row r="289" spans="1:209" ht="15" customHeight="1" x14ac:dyDescent="0.1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row>
    <row r="290" spans="1:209" ht="15" customHeight="1" x14ac:dyDescent="0.1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row>
    <row r="291" spans="1:209" ht="15" customHeight="1" x14ac:dyDescent="0.1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row>
    <row r="292" spans="1:209" ht="15" customHeight="1" x14ac:dyDescent="0.1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row>
    <row r="293" spans="1:209" ht="15" customHeight="1" x14ac:dyDescent="0.1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row>
    <row r="294" spans="1:209" ht="15" customHeight="1" x14ac:dyDescent="0.1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row>
    <row r="295" spans="1:209" ht="15" customHeight="1" x14ac:dyDescent="0.1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row>
    <row r="296" spans="1:209" ht="15" customHeight="1" x14ac:dyDescent="0.1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row>
    <row r="297" spans="1:209" ht="15" customHeight="1" x14ac:dyDescent="0.1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row>
    <row r="298" spans="1:209" ht="15" customHeight="1" x14ac:dyDescent="0.1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row>
    <row r="299" spans="1:209" ht="15" customHeight="1" x14ac:dyDescent="0.1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row>
    <row r="300" spans="1:209" ht="15" customHeight="1" x14ac:dyDescent="0.1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row>
    <row r="301" spans="1:209" ht="15" customHeight="1" x14ac:dyDescent="0.1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row>
    <row r="302" spans="1:209" ht="15" customHeight="1" x14ac:dyDescent="0.1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row>
    <row r="303" spans="1:209" ht="15" customHeight="1" x14ac:dyDescent="0.1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row>
    <row r="304" spans="1:209" ht="15" customHeight="1" x14ac:dyDescent="0.1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row>
    <row r="305" spans="1:209" ht="15" customHeight="1" x14ac:dyDescent="0.1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row>
    <row r="306" spans="1:209" ht="15" customHeight="1" x14ac:dyDescent="0.1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row>
    <row r="307" spans="1:209" ht="15" customHeight="1" x14ac:dyDescent="0.1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row>
    <row r="308" spans="1:209" ht="15" customHeight="1" x14ac:dyDescent="0.1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row>
    <row r="309" spans="1:209" ht="15" customHeight="1" x14ac:dyDescent="0.1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row>
    <row r="310" spans="1:209" ht="15" customHeight="1" x14ac:dyDescent="0.1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row>
    <row r="311" spans="1:209" ht="15" customHeight="1" x14ac:dyDescent="0.1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row>
    <row r="312" spans="1:209" ht="15" customHeight="1" x14ac:dyDescent="0.1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row>
    <row r="313" spans="1:209" ht="15" customHeight="1" x14ac:dyDescent="0.1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row>
    <row r="314" spans="1:209" ht="15" customHeight="1" x14ac:dyDescent="0.1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row>
    <row r="315" spans="1:209" ht="15" customHeight="1" x14ac:dyDescent="0.1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row>
    <row r="316" spans="1:209" ht="15" customHeight="1" x14ac:dyDescent="0.1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row>
    <row r="317" spans="1:209" ht="15" customHeight="1" x14ac:dyDescent="0.1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row>
    <row r="318" spans="1:209" ht="15" customHeight="1" x14ac:dyDescent="0.1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row>
    <row r="319" spans="1:209" ht="15" customHeight="1" x14ac:dyDescent="0.1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row>
    <row r="320" spans="1:209" ht="15" customHeight="1" x14ac:dyDescent="0.1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row>
    <row r="321" spans="1:209" ht="15" customHeight="1" x14ac:dyDescent="0.1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row>
    <row r="322" spans="1:209" ht="15" customHeight="1" x14ac:dyDescent="0.1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row>
    <row r="323" spans="1:209" ht="15" customHeight="1" x14ac:dyDescent="0.1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row>
    <row r="324" spans="1:209" ht="15" customHeight="1" x14ac:dyDescent="0.1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row>
    <row r="325" spans="1:209" ht="15" customHeight="1" x14ac:dyDescent="0.1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row>
    <row r="326" spans="1:209" ht="15" customHeight="1" x14ac:dyDescent="0.1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row>
    <row r="327" spans="1:209" ht="15" customHeight="1" x14ac:dyDescent="0.1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row>
    <row r="328" spans="1:209" ht="15" customHeight="1" x14ac:dyDescent="0.1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row>
    <row r="329" spans="1:209" ht="15" customHeight="1" x14ac:dyDescent="0.1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row>
    <row r="330" spans="1:209" ht="15" customHeight="1" x14ac:dyDescent="0.1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row>
    <row r="331" spans="1:209" ht="15" customHeight="1" x14ac:dyDescent="0.1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row>
    <row r="332" spans="1:209" ht="15" customHeight="1" x14ac:dyDescent="0.1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row>
    <row r="333" spans="1:209" ht="15" customHeight="1" x14ac:dyDescent="0.1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row>
    <row r="334" spans="1:209" ht="15" customHeight="1" x14ac:dyDescent="0.1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row>
    <row r="335" spans="1:209" ht="15" customHeight="1" x14ac:dyDescent="0.1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row>
    <row r="336" spans="1:209" ht="15" customHeight="1" x14ac:dyDescent="0.1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row>
    <row r="337" spans="1:209" ht="15" customHeight="1" x14ac:dyDescent="0.1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row>
    <row r="338" spans="1:209" ht="15" customHeight="1" x14ac:dyDescent="0.1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row>
    <row r="339" spans="1:209" ht="15" customHeight="1" x14ac:dyDescent="0.1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row>
    <row r="340" spans="1:209" ht="15" customHeight="1" x14ac:dyDescent="0.1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row>
    <row r="341" spans="1:209" ht="15" customHeight="1" x14ac:dyDescent="0.1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row>
    <row r="342" spans="1:209" ht="15" customHeight="1" x14ac:dyDescent="0.1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row>
    <row r="343" spans="1:209" ht="15" customHeight="1" x14ac:dyDescent="0.1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row>
    <row r="344" spans="1:209" ht="15" customHeight="1" x14ac:dyDescent="0.1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row>
    <row r="345" spans="1:209" ht="15" customHeight="1" x14ac:dyDescent="0.1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row>
    <row r="346" spans="1:209" ht="15" customHeight="1" x14ac:dyDescent="0.1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row>
    <row r="347" spans="1:209" ht="15" customHeight="1" x14ac:dyDescent="0.1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row>
    <row r="348" spans="1:209" ht="15" customHeight="1" x14ac:dyDescent="0.1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row>
    <row r="349" spans="1:209" ht="15" customHeight="1" x14ac:dyDescent="0.1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row>
    <row r="350" spans="1:209" ht="15" customHeight="1" x14ac:dyDescent="0.1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row>
    <row r="351" spans="1:209" ht="15" customHeight="1" x14ac:dyDescent="0.1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row>
    <row r="352" spans="1:209" ht="15" customHeight="1" x14ac:dyDescent="0.1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row>
    <row r="353" spans="1:209" ht="15" customHeight="1" x14ac:dyDescent="0.1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row>
    <row r="354" spans="1:209" ht="15" customHeight="1" x14ac:dyDescent="0.1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row>
    <row r="355" spans="1:209" ht="15" customHeight="1" x14ac:dyDescent="0.1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row>
    <row r="356" spans="1:209" ht="15" customHeight="1" x14ac:dyDescent="0.1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row>
    <row r="357" spans="1:209" ht="15" customHeight="1" x14ac:dyDescent="0.1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row>
    <row r="358" spans="1:209" ht="15" customHeight="1" x14ac:dyDescent="0.1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row>
    <row r="359" spans="1:209" ht="15" customHeight="1" x14ac:dyDescent="0.1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row>
    <row r="360" spans="1:209" ht="15" customHeight="1" x14ac:dyDescent="0.1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row>
    <row r="361" spans="1:209" ht="15" customHeight="1" x14ac:dyDescent="0.1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row>
    <row r="362" spans="1:209" ht="15" customHeight="1" x14ac:dyDescent="0.1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row>
    <row r="363" spans="1:209" ht="15" customHeight="1" x14ac:dyDescent="0.1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row>
    <row r="364" spans="1:209" ht="15" customHeight="1" x14ac:dyDescent="0.1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row>
    <row r="365" spans="1:209" ht="15" customHeight="1" x14ac:dyDescent="0.1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row>
    <row r="366" spans="1:209" ht="15" customHeight="1" x14ac:dyDescent="0.1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row>
    <row r="367" spans="1:209" ht="15" customHeight="1" x14ac:dyDescent="0.1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row>
    <row r="368" spans="1:209" ht="15" customHeight="1" x14ac:dyDescent="0.1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row>
    <row r="369" spans="1:209" ht="15" customHeight="1" x14ac:dyDescent="0.1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row>
    <row r="370" spans="1:209" ht="15" customHeight="1" x14ac:dyDescent="0.1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row>
    <row r="371" spans="1:209" ht="15" customHeight="1" x14ac:dyDescent="0.1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row>
    <row r="372" spans="1:209" ht="15" customHeight="1" x14ac:dyDescent="0.1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row>
    <row r="373" spans="1:209" ht="15" customHeight="1" x14ac:dyDescent="0.1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row>
    <row r="374" spans="1:209" ht="15" customHeight="1" x14ac:dyDescent="0.1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row>
    <row r="375" spans="1:209" ht="15" customHeight="1" x14ac:dyDescent="0.1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row>
    <row r="376" spans="1:209" ht="15" customHeight="1" x14ac:dyDescent="0.1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row>
    <row r="377" spans="1:209" ht="15" customHeight="1" x14ac:dyDescent="0.1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row>
    <row r="378" spans="1:209" ht="15" customHeight="1" x14ac:dyDescent="0.1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row>
    <row r="379" spans="1:209" ht="15" customHeight="1" x14ac:dyDescent="0.1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row>
    <row r="380" spans="1:209" ht="15" customHeight="1" x14ac:dyDescent="0.1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row>
    <row r="381" spans="1:209" ht="15" customHeight="1" x14ac:dyDescent="0.1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row>
    <row r="382" spans="1:209" ht="15" customHeight="1" x14ac:dyDescent="0.1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row>
    <row r="383" spans="1:209" ht="15" customHeight="1" x14ac:dyDescent="0.1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row>
    <row r="384" spans="1:209" ht="15" customHeight="1" x14ac:dyDescent="0.1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row>
    <row r="385" spans="1:209" ht="15" customHeight="1" x14ac:dyDescent="0.1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row>
    <row r="386" spans="1:209" ht="15" customHeight="1" x14ac:dyDescent="0.1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row>
    <row r="387" spans="1:209" ht="15" customHeight="1" x14ac:dyDescent="0.1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row>
    <row r="388" spans="1:209" ht="15" customHeight="1" x14ac:dyDescent="0.1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row>
    <row r="389" spans="1:209" ht="15" customHeight="1" x14ac:dyDescent="0.1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row>
    <row r="390" spans="1:209" ht="15" customHeight="1" x14ac:dyDescent="0.1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row>
    <row r="391" spans="1:209" ht="15" customHeight="1" x14ac:dyDescent="0.1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row>
    <row r="392" spans="1:209" ht="15" customHeight="1" x14ac:dyDescent="0.1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row>
    <row r="393" spans="1:209" ht="15" customHeight="1" x14ac:dyDescent="0.1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row>
    <row r="394" spans="1:209" ht="15" customHeight="1" x14ac:dyDescent="0.1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row>
    <row r="395" spans="1:209" ht="15" customHeight="1" x14ac:dyDescent="0.1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row>
    <row r="396" spans="1:209" ht="15" customHeight="1" x14ac:dyDescent="0.1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row>
    <row r="397" spans="1:209" ht="15" customHeight="1" x14ac:dyDescent="0.1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row>
    <row r="398" spans="1:209" ht="15" customHeight="1" x14ac:dyDescent="0.1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row>
    <row r="399" spans="1:209" ht="15" customHeight="1" x14ac:dyDescent="0.1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row>
    <row r="400" spans="1:209" ht="15" customHeight="1" x14ac:dyDescent="0.1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row>
    <row r="401" spans="1:209" ht="15" customHeight="1" x14ac:dyDescent="0.1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row>
    <row r="402" spans="1:209" ht="15" customHeight="1" x14ac:dyDescent="0.1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row>
    <row r="403" spans="1:209" ht="15" customHeight="1" x14ac:dyDescent="0.1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row>
    <row r="404" spans="1:209" ht="15" customHeight="1" x14ac:dyDescent="0.1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row>
    <row r="405" spans="1:209" ht="15" customHeight="1" x14ac:dyDescent="0.1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row>
    <row r="406" spans="1:209" ht="15" customHeight="1" x14ac:dyDescent="0.1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row>
    <row r="407" spans="1:209" ht="15" customHeight="1" x14ac:dyDescent="0.1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row>
    <row r="408" spans="1:209" ht="15" customHeight="1" x14ac:dyDescent="0.1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row>
    <row r="409" spans="1:209" ht="15" customHeight="1" x14ac:dyDescent="0.1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row>
    <row r="410" spans="1:209" ht="15" customHeight="1" x14ac:dyDescent="0.1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row>
    <row r="411" spans="1:209" ht="15" customHeight="1" x14ac:dyDescent="0.1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row>
    <row r="412" spans="1:209" ht="15" customHeight="1" x14ac:dyDescent="0.1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row>
    <row r="413" spans="1:209" ht="15" customHeight="1" x14ac:dyDescent="0.1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row>
    <row r="414" spans="1:209" ht="15" customHeight="1" x14ac:dyDescent="0.1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row>
    <row r="415" spans="1:209" ht="15" customHeight="1" x14ac:dyDescent="0.1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row>
    <row r="416" spans="1:209" ht="15" customHeight="1" x14ac:dyDescent="0.1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row>
    <row r="417" spans="1:209" ht="15" customHeight="1" x14ac:dyDescent="0.1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row>
    <row r="418" spans="1:209" ht="15" customHeight="1" x14ac:dyDescent="0.1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row>
    <row r="419" spans="1:209" ht="15" customHeight="1" x14ac:dyDescent="0.1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row>
    <row r="420" spans="1:209" ht="15" customHeight="1" x14ac:dyDescent="0.1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row>
    <row r="421" spans="1:209" ht="15" customHeight="1" x14ac:dyDescent="0.1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row>
    <row r="422" spans="1:209" ht="15" customHeight="1" x14ac:dyDescent="0.1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row>
    <row r="423" spans="1:209" ht="15" customHeight="1" x14ac:dyDescent="0.1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row>
    <row r="424" spans="1:209" ht="15" customHeight="1" x14ac:dyDescent="0.1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row>
    <row r="425" spans="1:209" ht="15" customHeight="1" x14ac:dyDescent="0.1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row>
    <row r="426" spans="1:209" ht="15" customHeight="1" x14ac:dyDescent="0.1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row>
    <row r="427" spans="1:209" ht="15" customHeight="1" x14ac:dyDescent="0.1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row>
    <row r="428" spans="1:209" ht="15" customHeight="1" x14ac:dyDescent="0.1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row>
    <row r="429" spans="1:209" ht="15" customHeight="1" x14ac:dyDescent="0.1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row>
    <row r="430" spans="1:209" ht="15" customHeight="1" x14ac:dyDescent="0.1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row>
    <row r="431" spans="1:209" ht="15" customHeight="1" x14ac:dyDescent="0.1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row>
    <row r="432" spans="1:209" ht="15" customHeight="1" x14ac:dyDescent="0.1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row>
    <row r="433" spans="1:209" ht="15" customHeight="1" x14ac:dyDescent="0.1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row>
    <row r="434" spans="1:209" ht="15" customHeight="1" x14ac:dyDescent="0.1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row>
    <row r="435" spans="1:209" ht="15" customHeight="1" x14ac:dyDescent="0.1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row>
    <row r="436" spans="1:209" ht="15" customHeight="1" x14ac:dyDescent="0.1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row>
    <row r="437" spans="1:209" ht="15" customHeight="1" x14ac:dyDescent="0.1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row>
    <row r="438" spans="1:209" ht="15" customHeight="1" x14ac:dyDescent="0.1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row>
    <row r="439" spans="1:209" ht="15" customHeight="1" x14ac:dyDescent="0.1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row>
    <row r="440" spans="1:209" ht="15" customHeight="1" x14ac:dyDescent="0.1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row>
    <row r="441" spans="1:209" ht="15" customHeight="1" x14ac:dyDescent="0.1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row>
    <row r="442" spans="1:209" ht="15" customHeight="1" x14ac:dyDescent="0.1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row>
    <row r="443" spans="1:209" ht="15" customHeight="1" x14ac:dyDescent="0.1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row>
    <row r="444" spans="1:209" ht="15" customHeight="1" x14ac:dyDescent="0.1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row>
    <row r="445" spans="1:209" ht="15" customHeight="1" x14ac:dyDescent="0.1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row>
    <row r="446" spans="1:209" ht="15" customHeight="1" x14ac:dyDescent="0.1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row>
    <row r="447" spans="1:209" ht="15" customHeight="1" x14ac:dyDescent="0.1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row>
    <row r="448" spans="1:209" ht="15" customHeight="1" x14ac:dyDescent="0.1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row>
    <row r="449" spans="1:209" ht="15" customHeight="1" x14ac:dyDescent="0.1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row>
    <row r="450" spans="1:209" ht="15" customHeight="1" x14ac:dyDescent="0.1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row>
    <row r="451" spans="1:209" ht="15" customHeight="1" x14ac:dyDescent="0.1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row>
    <row r="452" spans="1:209" ht="15" customHeight="1" x14ac:dyDescent="0.1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row>
    <row r="453" spans="1:209" ht="15" customHeight="1" x14ac:dyDescent="0.1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row>
    <row r="454" spans="1:209" ht="15" customHeight="1" x14ac:dyDescent="0.1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row>
    <row r="455" spans="1:209" ht="15" customHeight="1" x14ac:dyDescent="0.1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row>
    <row r="456" spans="1:209" ht="15" customHeight="1" x14ac:dyDescent="0.1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row>
    <row r="457" spans="1:209" ht="15" customHeight="1" x14ac:dyDescent="0.1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row>
    <row r="458" spans="1:209" ht="15" customHeight="1" x14ac:dyDescent="0.1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row>
    <row r="459" spans="1:209" ht="15" customHeight="1" x14ac:dyDescent="0.1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row>
    <row r="460" spans="1:209" ht="15" customHeight="1" x14ac:dyDescent="0.1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row>
    <row r="461" spans="1:209" ht="15" customHeight="1" x14ac:dyDescent="0.1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row>
    <row r="462" spans="1:209" ht="15" customHeight="1" x14ac:dyDescent="0.1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row>
    <row r="463" spans="1:209" ht="15" customHeight="1" x14ac:dyDescent="0.1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row>
    <row r="464" spans="1:209" ht="15" customHeight="1" x14ac:dyDescent="0.1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row>
    <row r="465" spans="1:209" ht="15" customHeight="1" x14ac:dyDescent="0.1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row>
    <row r="466" spans="1:209" ht="15" customHeight="1" x14ac:dyDescent="0.1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row>
    <row r="467" spans="1:209" ht="15" customHeight="1" x14ac:dyDescent="0.1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row>
    <row r="468" spans="1:209" ht="15" customHeight="1" x14ac:dyDescent="0.1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row>
    <row r="469" spans="1:209" ht="15" customHeight="1" x14ac:dyDescent="0.1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row>
    <row r="470" spans="1:209" ht="15" customHeight="1" x14ac:dyDescent="0.1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row>
    <row r="471" spans="1:209" ht="15" customHeight="1" x14ac:dyDescent="0.1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row>
    <row r="472" spans="1:209" ht="15" customHeight="1" x14ac:dyDescent="0.1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row>
    <row r="473" spans="1:209" ht="15" customHeight="1" x14ac:dyDescent="0.1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row>
    <row r="474" spans="1:209" ht="15" customHeight="1" x14ac:dyDescent="0.1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row>
    <row r="475" spans="1:209" ht="15" customHeight="1" x14ac:dyDescent="0.1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row>
    <row r="476" spans="1:209" ht="15" customHeight="1" x14ac:dyDescent="0.1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row>
    <row r="477" spans="1:209" ht="15" customHeight="1" x14ac:dyDescent="0.1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row>
    <row r="478" spans="1:209" ht="15" customHeight="1" x14ac:dyDescent="0.1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row>
    <row r="479" spans="1:209" ht="15" customHeight="1" x14ac:dyDescent="0.1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row>
    <row r="480" spans="1:209" ht="15" customHeight="1" x14ac:dyDescent="0.1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row>
    <row r="481" spans="1:209" ht="15" customHeight="1" x14ac:dyDescent="0.1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row>
    <row r="482" spans="1:209" ht="15" customHeight="1" x14ac:dyDescent="0.1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row>
    <row r="483" spans="1:209" ht="15" customHeight="1" x14ac:dyDescent="0.1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row>
    <row r="484" spans="1:209" ht="15" customHeight="1" x14ac:dyDescent="0.1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row>
    <row r="485" spans="1:209" ht="15" customHeight="1" x14ac:dyDescent="0.1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row>
    <row r="486" spans="1:209" ht="15" customHeight="1" x14ac:dyDescent="0.1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row>
    <row r="487" spans="1:209" ht="15" customHeight="1" x14ac:dyDescent="0.1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row>
    <row r="488" spans="1:209" ht="15" customHeight="1" x14ac:dyDescent="0.1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row>
    <row r="489" spans="1:209" ht="15" customHeight="1" x14ac:dyDescent="0.1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row>
    <row r="490" spans="1:209" ht="15" customHeight="1" x14ac:dyDescent="0.1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row>
    <row r="491" spans="1:209" ht="15" customHeight="1" x14ac:dyDescent="0.1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row>
    <row r="492" spans="1:209" ht="15" customHeight="1" x14ac:dyDescent="0.1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row>
    <row r="493" spans="1:209" ht="15" customHeight="1" x14ac:dyDescent="0.1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row>
    <row r="494" spans="1:209" ht="15" customHeight="1" x14ac:dyDescent="0.1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row>
    <row r="495" spans="1:209" ht="15" customHeight="1" x14ac:dyDescent="0.1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row>
    <row r="496" spans="1:209" ht="15" customHeight="1" x14ac:dyDescent="0.1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row>
    <row r="497" spans="1:209" ht="15" customHeight="1" x14ac:dyDescent="0.1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row>
    <row r="498" spans="1:209" ht="15" customHeight="1" x14ac:dyDescent="0.1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row>
    <row r="499" spans="1:209" ht="15" customHeight="1" x14ac:dyDescent="0.1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row>
    <row r="500" spans="1:209" ht="15" customHeight="1" x14ac:dyDescent="0.1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L187"/>
  <sheetViews>
    <sheetView tabSelected="1" workbookViewId="0">
      <selection activeCell="I4" sqref="I4"/>
    </sheetView>
  </sheetViews>
  <sheetFormatPr baseColWidth="10" defaultRowHeight="13" x14ac:dyDescent="0.15"/>
  <cols>
    <col min="1" max="1" width="33.6640625" bestFit="1" customWidth="1"/>
    <col min="2" max="2" width="9" customWidth="1"/>
    <col min="3" max="3" width="9" style="6" customWidth="1"/>
    <col min="4" max="4" width="44.33203125" bestFit="1" customWidth="1"/>
    <col min="5" max="5" width="4.33203125" bestFit="1" customWidth="1"/>
    <col min="6" max="6" width="4.83203125" bestFit="1" customWidth="1"/>
    <col min="7" max="7" width="4.33203125" bestFit="1" customWidth="1"/>
    <col min="8" max="8" width="44.33203125" bestFit="1" customWidth="1"/>
    <col min="10" max="10" width="18" bestFit="1" customWidth="1"/>
    <col min="11" max="11" width="14" bestFit="1" customWidth="1"/>
    <col min="15" max="15" width="14.33203125" bestFit="1" customWidth="1"/>
    <col min="16" max="16" width="39.83203125" bestFit="1" customWidth="1"/>
  </cols>
  <sheetData>
    <row r="1" spans="1:12" s="1" customFormat="1" ht="14" thickBot="1" x14ac:dyDescent="0.2">
      <c r="C1" s="54"/>
      <c r="D1" s="1" t="s">
        <v>32</v>
      </c>
      <c r="E1" s="1" t="s">
        <v>33</v>
      </c>
      <c r="F1" s="1" t="s">
        <v>34</v>
      </c>
      <c r="G1" s="1" t="s">
        <v>35</v>
      </c>
      <c r="H1" s="1" t="s">
        <v>36</v>
      </c>
      <c r="J1" s="1" t="s">
        <v>130</v>
      </c>
      <c r="K1" s="1" t="s">
        <v>131</v>
      </c>
      <c r="L1" s="62" t="s">
        <v>166</v>
      </c>
    </row>
    <row r="2" spans="1:12" x14ac:dyDescent="0.15">
      <c r="A2" s="1" t="s">
        <v>37</v>
      </c>
      <c r="B2" s="39">
        <v>3</v>
      </c>
      <c r="C2" s="37"/>
      <c r="D2" t="s">
        <v>38</v>
      </c>
      <c r="E2">
        <v>1</v>
      </c>
      <c r="F2">
        <v>1</v>
      </c>
      <c r="G2">
        <v>1</v>
      </c>
      <c r="H2" t="s">
        <v>38</v>
      </c>
      <c r="J2" s="55"/>
      <c r="K2" s="56"/>
      <c r="L2" s="62" t="s">
        <v>167</v>
      </c>
    </row>
    <row r="3" spans="1:12" ht="14" thickBot="1" x14ac:dyDescent="0.2">
      <c r="A3" s="1" t="s">
        <v>39</v>
      </c>
      <c r="B3" s="40">
        <v>0</v>
      </c>
      <c r="C3" s="37"/>
      <c r="D3" t="s">
        <v>40</v>
      </c>
      <c r="E3">
        <v>2</v>
      </c>
      <c r="F3">
        <v>1.1000000000000001</v>
      </c>
      <c r="G3">
        <v>2</v>
      </c>
      <c r="H3" t="s">
        <v>40</v>
      </c>
      <c r="J3" s="57"/>
      <c r="K3" s="58"/>
    </row>
    <row r="4" spans="1:12" x14ac:dyDescent="0.15">
      <c r="D4" t="s">
        <v>41</v>
      </c>
      <c r="E4">
        <v>3</v>
      </c>
      <c r="F4">
        <v>1.2</v>
      </c>
      <c r="G4">
        <v>3</v>
      </c>
      <c r="H4" t="s">
        <v>41</v>
      </c>
      <c r="J4" s="57"/>
      <c r="K4" s="58"/>
    </row>
    <row r="5" spans="1:12" x14ac:dyDescent="0.15">
      <c r="D5" s="197" t="s">
        <v>192</v>
      </c>
      <c r="E5">
        <v>4</v>
      </c>
      <c r="F5">
        <v>3.13</v>
      </c>
      <c r="G5">
        <v>4</v>
      </c>
      <c r="H5" s="198" t="s">
        <v>192</v>
      </c>
      <c r="J5" s="57"/>
      <c r="K5" s="58"/>
    </row>
    <row r="6" spans="1:12" ht="14" thickBot="1" x14ac:dyDescent="0.2">
      <c r="A6" s="41" t="s">
        <v>121</v>
      </c>
      <c r="D6" s="197" t="s">
        <v>193</v>
      </c>
      <c r="E6">
        <v>5</v>
      </c>
      <c r="F6">
        <v>3.13</v>
      </c>
      <c r="G6">
        <v>5</v>
      </c>
      <c r="H6" s="198" t="s">
        <v>193</v>
      </c>
      <c r="J6" s="57"/>
      <c r="K6" s="58"/>
    </row>
    <row r="7" spans="1:12" x14ac:dyDescent="0.15">
      <c r="A7" s="36" t="s">
        <v>126</v>
      </c>
      <c r="B7" s="43">
        <v>1</v>
      </c>
      <c r="C7" s="38"/>
      <c r="D7" s="197" t="s">
        <v>194</v>
      </c>
      <c r="E7">
        <v>6</v>
      </c>
      <c r="F7">
        <v>3.12</v>
      </c>
      <c r="G7">
        <v>6</v>
      </c>
      <c r="H7" s="198" t="s">
        <v>194</v>
      </c>
      <c r="J7" s="57"/>
      <c r="K7" s="58"/>
    </row>
    <row r="8" spans="1:12" x14ac:dyDescent="0.15">
      <c r="A8" s="36" t="s">
        <v>38</v>
      </c>
      <c r="B8" s="44">
        <v>1</v>
      </c>
      <c r="C8" s="38"/>
      <c r="D8" s="197" t="s">
        <v>195</v>
      </c>
      <c r="E8">
        <v>7</v>
      </c>
      <c r="F8">
        <v>3.12</v>
      </c>
      <c r="G8">
        <v>7</v>
      </c>
      <c r="H8" s="198" t="s">
        <v>195</v>
      </c>
      <c r="J8" s="57"/>
      <c r="K8" s="58"/>
    </row>
    <row r="9" spans="1:12" x14ac:dyDescent="0.15">
      <c r="A9" s="36" t="s">
        <v>40</v>
      </c>
      <c r="B9" s="44">
        <v>1.1000000000000001</v>
      </c>
      <c r="C9" s="38"/>
      <c r="D9" s="197" t="s">
        <v>196</v>
      </c>
      <c r="E9">
        <v>8</v>
      </c>
      <c r="F9">
        <v>3.12</v>
      </c>
      <c r="G9">
        <v>8</v>
      </c>
      <c r="H9" s="198" t="s">
        <v>196</v>
      </c>
      <c r="J9" s="57"/>
      <c r="K9" s="58"/>
    </row>
    <row r="10" spans="1:12" x14ac:dyDescent="0.15">
      <c r="A10" s="36" t="s">
        <v>41</v>
      </c>
      <c r="B10" s="44">
        <v>1.2</v>
      </c>
      <c r="C10" s="38"/>
      <c r="D10" s="197" t="s">
        <v>197</v>
      </c>
      <c r="E10">
        <v>9</v>
      </c>
      <c r="F10">
        <v>3.13</v>
      </c>
      <c r="G10">
        <v>9</v>
      </c>
      <c r="H10" s="198" t="s">
        <v>197</v>
      </c>
      <c r="J10" s="57"/>
      <c r="K10" s="58"/>
    </row>
    <row r="11" spans="1:12" ht="12" customHeight="1" x14ac:dyDescent="0.15">
      <c r="A11" s="42" t="s">
        <v>127</v>
      </c>
      <c r="B11" s="44">
        <v>2</v>
      </c>
      <c r="C11" s="38"/>
      <c r="D11" s="197" t="s">
        <v>198</v>
      </c>
      <c r="E11">
        <v>10</v>
      </c>
      <c r="F11">
        <v>3.13</v>
      </c>
      <c r="G11">
        <v>10</v>
      </c>
      <c r="H11" s="198" t="s">
        <v>198</v>
      </c>
      <c r="J11" s="57"/>
      <c r="K11" s="58"/>
    </row>
    <row r="12" spans="1:12" x14ac:dyDescent="0.15">
      <c r="A12" s="36" t="s">
        <v>42</v>
      </c>
      <c r="B12" s="44">
        <v>2.1</v>
      </c>
      <c r="C12" s="38"/>
      <c r="D12" s="197" t="s">
        <v>199</v>
      </c>
      <c r="E12">
        <v>11</v>
      </c>
      <c r="F12">
        <v>3.13</v>
      </c>
      <c r="G12">
        <v>11</v>
      </c>
      <c r="H12" s="198" t="s">
        <v>199</v>
      </c>
      <c r="J12" s="57"/>
      <c r="K12" s="58"/>
    </row>
    <row r="13" spans="1:12" x14ac:dyDescent="0.15">
      <c r="A13" s="36" t="s">
        <v>43</v>
      </c>
      <c r="B13" s="44">
        <v>2.2000000000000002</v>
      </c>
      <c r="C13" s="38"/>
      <c r="D13" s="197" t="s">
        <v>200</v>
      </c>
      <c r="E13">
        <v>12</v>
      </c>
      <c r="F13">
        <v>3.13</v>
      </c>
      <c r="G13">
        <v>12</v>
      </c>
      <c r="H13" s="198" t="s">
        <v>200</v>
      </c>
      <c r="J13" s="57"/>
      <c r="K13" s="58"/>
    </row>
    <row r="14" spans="1:12" x14ac:dyDescent="0.15">
      <c r="A14" s="36" t="s">
        <v>67</v>
      </c>
      <c r="B14" s="44">
        <v>2.2999999999999998</v>
      </c>
      <c r="C14" s="38"/>
      <c r="D14" s="197" t="s">
        <v>201</v>
      </c>
      <c r="E14">
        <v>13</v>
      </c>
      <c r="F14">
        <v>3.1</v>
      </c>
      <c r="G14">
        <v>13</v>
      </c>
      <c r="H14" s="198" t="s">
        <v>201</v>
      </c>
      <c r="J14" s="57"/>
      <c r="K14" s="58"/>
    </row>
    <row r="15" spans="1:12" x14ac:dyDescent="0.15">
      <c r="A15" s="42" t="s">
        <v>128</v>
      </c>
      <c r="B15" s="44">
        <v>3</v>
      </c>
      <c r="C15" s="38"/>
      <c r="D15" s="197" t="s">
        <v>202</v>
      </c>
      <c r="E15">
        <v>14</v>
      </c>
      <c r="F15">
        <v>3.1</v>
      </c>
      <c r="G15">
        <v>14</v>
      </c>
      <c r="H15" s="198" t="s">
        <v>202</v>
      </c>
      <c r="J15" s="57"/>
      <c r="K15" s="58"/>
    </row>
    <row r="16" spans="1:12" x14ac:dyDescent="0.15">
      <c r="A16" s="36" t="s">
        <v>62</v>
      </c>
      <c r="B16" s="44">
        <v>3.11</v>
      </c>
      <c r="C16" s="38"/>
      <c r="D16" s="197" t="s">
        <v>203</v>
      </c>
      <c r="E16">
        <v>15</v>
      </c>
      <c r="F16">
        <v>3.12</v>
      </c>
      <c r="G16">
        <v>15</v>
      </c>
      <c r="H16" s="198" t="s">
        <v>203</v>
      </c>
      <c r="J16" s="57"/>
      <c r="K16" s="58"/>
    </row>
    <row r="17" spans="1:12" x14ac:dyDescent="0.15">
      <c r="A17" s="36" t="s">
        <v>61</v>
      </c>
      <c r="B17" s="44">
        <v>3.12</v>
      </c>
      <c r="C17" s="38"/>
      <c r="D17" s="197" t="s">
        <v>204</v>
      </c>
      <c r="E17">
        <v>16</v>
      </c>
      <c r="F17">
        <v>3.22</v>
      </c>
      <c r="G17">
        <v>16</v>
      </c>
      <c r="H17" s="198" t="s">
        <v>204</v>
      </c>
      <c r="J17" s="57"/>
      <c r="K17" s="58"/>
    </row>
    <row r="18" spans="1:12" x14ac:dyDescent="0.15">
      <c r="A18" s="36" t="s">
        <v>68</v>
      </c>
      <c r="B18" s="44">
        <v>3.13</v>
      </c>
      <c r="C18" s="38"/>
      <c r="D18" s="197" t="s">
        <v>205</v>
      </c>
      <c r="E18">
        <v>17</v>
      </c>
      <c r="F18">
        <v>3.2</v>
      </c>
      <c r="G18">
        <v>17</v>
      </c>
      <c r="H18" s="198" t="s">
        <v>205</v>
      </c>
      <c r="J18" s="57"/>
      <c r="K18" s="58"/>
    </row>
    <row r="19" spans="1:12" x14ac:dyDescent="0.15">
      <c r="A19" s="36" t="s">
        <v>66</v>
      </c>
      <c r="B19" s="44">
        <v>3.21</v>
      </c>
      <c r="C19" s="38"/>
      <c r="D19" s="197" t="s">
        <v>206</v>
      </c>
      <c r="E19">
        <v>18</v>
      </c>
      <c r="F19">
        <v>3.2</v>
      </c>
      <c r="G19">
        <v>18</v>
      </c>
      <c r="H19" s="198" t="s">
        <v>206</v>
      </c>
      <c r="J19" s="57"/>
      <c r="K19" s="58"/>
    </row>
    <row r="20" spans="1:12" x14ac:dyDescent="0.15">
      <c r="A20" s="36" t="s">
        <v>63</v>
      </c>
      <c r="B20" s="44">
        <v>3.22</v>
      </c>
      <c r="C20" s="38"/>
      <c r="D20" s="197" t="s">
        <v>207</v>
      </c>
      <c r="E20">
        <v>19</v>
      </c>
      <c r="F20">
        <v>3.2</v>
      </c>
      <c r="G20">
        <v>19</v>
      </c>
      <c r="H20" s="198" t="s">
        <v>207</v>
      </c>
      <c r="J20" s="57"/>
      <c r="K20" s="58"/>
    </row>
    <row r="21" spans="1:12" ht="14" thickBot="1" x14ac:dyDescent="0.2">
      <c r="A21" s="36" t="s">
        <v>69</v>
      </c>
      <c r="B21" s="44">
        <v>3.23</v>
      </c>
      <c r="C21" s="38"/>
      <c r="D21" s="197" t="s">
        <v>208</v>
      </c>
      <c r="E21">
        <v>20</v>
      </c>
      <c r="F21">
        <v>3.22</v>
      </c>
      <c r="G21">
        <v>20</v>
      </c>
      <c r="H21" s="198" t="s">
        <v>208</v>
      </c>
      <c r="J21" s="59"/>
      <c r="K21" s="60"/>
      <c r="L21" s="62" t="s">
        <v>152</v>
      </c>
    </row>
    <row r="22" spans="1:12" x14ac:dyDescent="0.15">
      <c r="A22" s="36" t="s">
        <v>64</v>
      </c>
      <c r="B22" s="44">
        <v>8</v>
      </c>
      <c r="C22" s="38"/>
      <c r="D22" s="197" t="s">
        <v>209</v>
      </c>
      <c r="E22">
        <v>21</v>
      </c>
      <c r="F22">
        <v>3.2</v>
      </c>
      <c r="G22">
        <v>21</v>
      </c>
      <c r="H22" s="198" t="s">
        <v>209</v>
      </c>
    </row>
    <row r="23" spans="1:12" x14ac:dyDescent="0.15">
      <c r="A23" s="36" t="s">
        <v>129</v>
      </c>
      <c r="B23" s="44">
        <v>4</v>
      </c>
      <c r="C23" s="38"/>
      <c r="D23" s="197" t="s">
        <v>210</v>
      </c>
      <c r="E23">
        <v>22</v>
      </c>
      <c r="F23">
        <v>3.2</v>
      </c>
      <c r="G23">
        <v>22</v>
      </c>
      <c r="H23" s="198" t="s">
        <v>210</v>
      </c>
    </row>
    <row r="24" spans="1:12" x14ac:dyDescent="0.15">
      <c r="A24" s="36" t="s">
        <v>122</v>
      </c>
      <c r="B24" s="44">
        <v>4.0999999999999996</v>
      </c>
      <c r="C24" s="38"/>
      <c r="D24" s="197" t="s">
        <v>211</v>
      </c>
      <c r="E24">
        <v>23</v>
      </c>
      <c r="F24">
        <v>3.2</v>
      </c>
      <c r="G24">
        <v>23</v>
      </c>
      <c r="H24" s="198" t="s">
        <v>211</v>
      </c>
    </row>
    <row r="25" spans="1:12" x14ac:dyDescent="0.15">
      <c r="A25" s="36" t="s">
        <v>70</v>
      </c>
      <c r="B25" s="44">
        <v>4.2</v>
      </c>
      <c r="C25" s="38"/>
      <c r="D25" s="197" t="s">
        <v>212</v>
      </c>
      <c r="E25">
        <v>24</v>
      </c>
      <c r="F25">
        <v>3.2</v>
      </c>
      <c r="G25">
        <v>24</v>
      </c>
      <c r="H25" s="198" t="s">
        <v>212</v>
      </c>
    </row>
    <row r="26" spans="1:12" x14ac:dyDescent="0.15">
      <c r="A26" s="36" t="s">
        <v>123</v>
      </c>
      <c r="B26" s="44">
        <v>4.3</v>
      </c>
      <c r="C26" s="38"/>
      <c r="D26" s="197" t="s">
        <v>213</v>
      </c>
      <c r="E26">
        <v>25</v>
      </c>
      <c r="F26">
        <v>3.2</v>
      </c>
      <c r="G26">
        <v>25</v>
      </c>
      <c r="H26" s="198" t="s">
        <v>213</v>
      </c>
    </row>
    <row r="27" spans="1:12" x14ac:dyDescent="0.15">
      <c r="A27" s="36" t="s">
        <v>125</v>
      </c>
      <c r="B27" s="44">
        <v>6.1</v>
      </c>
      <c r="D27" s="197" t="s">
        <v>214</v>
      </c>
      <c r="E27">
        <v>26</v>
      </c>
      <c r="F27">
        <v>3.2</v>
      </c>
      <c r="G27">
        <v>26</v>
      </c>
      <c r="H27" s="198" t="s">
        <v>214</v>
      </c>
    </row>
    <row r="28" spans="1:12" x14ac:dyDescent="0.15">
      <c r="A28" s="36" t="s">
        <v>124</v>
      </c>
      <c r="B28" s="44">
        <v>6.2</v>
      </c>
      <c r="D28" s="197" t="s">
        <v>215</v>
      </c>
      <c r="E28">
        <v>27</v>
      </c>
      <c r="F28">
        <v>3</v>
      </c>
      <c r="G28">
        <v>27</v>
      </c>
      <c r="H28" s="198" t="s">
        <v>215</v>
      </c>
    </row>
    <row r="29" spans="1:12" x14ac:dyDescent="0.15">
      <c r="A29" s="36" t="s">
        <v>44</v>
      </c>
      <c r="B29" s="44">
        <v>5</v>
      </c>
      <c r="D29" s="197" t="s">
        <v>216</v>
      </c>
      <c r="E29">
        <v>28</v>
      </c>
      <c r="F29">
        <v>3.1</v>
      </c>
      <c r="G29">
        <v>28</v>
      </c>
      <c r="H29" s="198" t="s">
        <v>216</v>
      </c>
    </row>
    <row r="30" spans="1:12" x14ac:dyDescent="0.15">
      <c r="A30" s="36" t="s">
        <v>73</v>
      </c>
      <c r="B30" s="44">
        <v>7</v>
      </c>
      <c r="D30" s="197" t="s">
        <v>217</v>
      </c>
      <c r="E30">
        <v>29</v>
      </c>
      <c r="F30">
        <v>3.12</v>
      </c>
      <c r="G30">
        <v>29</v>
      </c>
      <c r="H30" s="198" t="s">
        <v>217</v>
      </c>
    </row>
    <row r="31" spans="1:12" x14ac:dyDescent="0.15">
      <c r="A31" s="36" t="s">
        <v>169</v>
      </c>
      <c r="B31" s="44">
        <v>3.14</v>
      </c>
      <c r="D31" s="197" t="s">
        <v>218</v>
      </c>
      <c r="E31">
        <v>30</v>
      </c>
      <c r="F31">
        <v>3.2</v>
      </c>
      <c r="G31">
        <v>30</v>
      </c>
      <c r="H31" s="198" t="s">
        <v>218</v>
      </c>
    </row>
    <row r="32" spans="1:12" ht="12" customHeight="1" thickBot="1" x14ac:dyDescent="0.2">
      <c r="A32" s="42" t="s">
        <v>170</v>
      </c>
      <c r="B32" s="45">
        <v>9</v>
      </c>
      <c r="D32" s="197" t="s">
        <v>219</v>
      </c>
      <c r="E32">
        <v>31</v>
      </c>
      <c r="F32">
        <v>3</v>
      </c>
      <c r="G32">
        <v>31</v>
      </c>
      <c r="H32" s="198" t="s">
        <v>219</v>
      </c>
    </row>
    <row r="33" spans="4:8" customFormat="1" ht="12" customHeight="1" x14ac:dyDescent="0.15">
      <c r="D33" s="197" t="s">
        <v>220</v>
      </c>
      <c r="E33">
        <v>32</v>
      </c>
      <c r="F33">
        <v>3.22</v>
      </c>
      <c r="G33">
        <v>32</v>
      </c>
      <c r="H33" s="198" t="s">
        <v>220</v>
      </c>
    </row>
    <row r="34" spans="4:8" customFormat="1" ht="12" customHeight="1" x14ac:dyDescent="0.15">
      <c r="D34" s="197" t="s">
        <v>221</v>
      </c>
      <c r="E34">
        <v>33</v>
      </c>
      <c r="F34">
        <v>3.22</v>
      </c>
      <c r="G34">
        <v>33</v>
      </c>
      <c r="H34" s="198" t="s">
        <v>221</v>
      </c>
    </row>
    <row r="35" spans="4:8" customFormat="1" x14ac:dyDescent="0.15">
      <c r="D35" s="197" t="s">
        <v>222</v>
      </c>
      <c r="E35">
        <v>34</v>
      </c>
      <c r="F35">
        <v>3.2</v>
      </c>
      <c r="G35">
        <v>34</v>
      </c>
      <c r="H35" s="198" t="s">
        <v>222</v>
      </c>
    </row>
    <row r="36" spans="4:8" customFormat="1" x14ac:dyDescent="0.15">
      <c r="D36" s="197" t="s">
        <v>223</v>
      </c>
      <c r="E36">
        <v>35</v>
      </c>
      <c r="F36">
        <v>3.2</v>
      </c>
      <c r="G36">
        <v>35</v>
      </c>
      <c r="H36" s="198" t="s">
        <v>223</v>
      </c>
    </row>
    <row r="37" spans="4:8" customFormat="1" ht="12" customHeight="1" x14ac:dyDescent="0.15">
      <c r="D37" s="197" t="s">
        <v>224</v>
      </c>
      <c r="E37">
        <v>36</v>
      </c>
      <c r="F37">
        <v>3.22</v>
      </c>
      <c r="G37">
        <v>36</v>
      </c>
      <c r="H37" s="198" t="s">
        <v>224</v>
      </c>
    </row>
    <row r="38" spans="4:8" customFormat="1" x14ac:dyDescent="0.15">
      <c r="D38" s="197" t="s">
        <v>225</v>
      </c>
      <c r="E38">
        <v>37</v>
      </c>
      <c r="F38">
        <v>3.2</v>
      </c>
      <c r="G38">
        <v>37</v>
      </c>
      <c r="H38" s="198" t="s">
        <v>225</v>
      </c>
    </row>
    <row r="39" spans="4:8" customFormat="1" x14ac:dyDescent="0.15">
      <c r="D39" s="197" t="s">
        <v>226</v>
      </c>
      <c r="E39">
        <v>38</v>
      </c>
      <c r="F39">
        <v>3.2</v>
      </c>
      <c r="G39">
        <v>38</v>
      </c>
      <c r="H39" s="198" t="s">
        <v>226</v>
      </c>
    </row>
    <row r="40" spans="4:8" customFormat="1" x14ac:dyDescent="0.15">
      <c r="D40" s="197" t="s">
        <v>227</v>
      </c>
      <c r="E40">
        <v>39</v>
      </c>
      <c r="F40">
        <v>3</v>
      </c>
      <c r="G40">
        <v>39</v>
      </c>
      <c r="H40" s="198" t="s">
        <v>227</v>
      </c>
    </row>
    <row r="41" spans="4:8" customFormat="1" x14ac:dyDescent="0.15">
      <c r="D41" s="197" t="s">
        <v>228</v>
      </c>
      <c r="E41">
        <v>40</v>
      </c>
      <c r="F41">
        <v>3.2</v>
      </c>
      <c r="G41">
        <v>40</v>
      </c>
      <c r="H41" s="198" t="s">
        <v>228</v>
      </c>
    </row>
    <row r="42" spans="4:8" customFormat="1" x14ac:dyDescent="0.15">
      <c r="D42" s="197" t="s">
        <v>229</v>
      </c>
      <c r="E42">
        <v>41</v>
      </c>
      <c r="F42">
        <v>3.2</v>
      </c>
      <c r="G42">
        <v>41</v>
      </c>
      <c r="H42" s="198" t="s">
        <v>229</v>
      </c>
    </row>
    <row r="43" spans="4:8" customFormat="1" x14ac:dyDescent="0.15">
      <c r="D43" s="197" t="s">
        <v>230</v>
      </c>
      <c r="E43">
        <v>42</v>
      </c>
      <c r="F43">
        <v>3</v>
      </c>
      <c r="G43">
        <v>42</v>
      </c>
      <c r="H43" s="198" t="s">
        <v>230</v>
      </c>
    </row>
    <row r="44" spans="4:8" customFormat="1" x14ac:dyDescent="0.15">
      <c r="D44" s="197" t="s">
        <v>231</v>
      </c>
      <c r="E44">
        <v>43</v>
      </c>
      <c r="F44">
        <v>3.1</v>
      </c>
      <c r="G44">
        <v>43</v>
      </c>
      <c r="H44" s="198" t="s">
        <v>231</v>
      </c>
    </row>
    <row r="45" spans="4:8" customFormat="1" x14ac:dyDescent="0.15">
      <c r="D45" s="197" t="s">
        <v>232</v>
      </c>
      <c r="E45">
        <v>44</v>
      </c>
      <c r="F45">
        <v>3.21</v>
      </c>
      <c r="G45">
        <v>44</v>
      </c>
      <c r="H45" s="198" t="s">
        <v>232</v>
      </c>
    </row>
    <row r="46" spans="4:8" customFormat="1" x14ac:dyDescent="0.15">
      <c r="D46" s="197" t="s">
        <v>233</v>
      </c>
      <c r="E46">
        <v>45</v>
      </c>
      <c r="F46">
        <v>3.12</v>
      </c>
      <c r="G46">
        <v>45</v>
      </c>
      <c r="H46" s="198" t="s">
        <v>233</v>
      </c>
    </row>
    <row r="47" spans="4:8" customFormat="1" x14ac:dyDescent="0.15">
      <c r="D47" s="197" t="s">
        <v>234</v>
      </c>
      <c r="E47">
        <v>46</v>
      </c>
      <c r="F47">
        <v>3.21</v>
      </c>
      <c r="G47">
        <v>46</v>
      </c>
      <c r="H47" s="198" t="s">
        <v>234</v>
      </c>
    </row>
    <row r="48" spans="4:8" customFormat="1" x14ac:dyDescent="0.15">
      <c r="D48" s="197" t="s">
        <v>235</v>
      </c>
      <c r="E48">
        <v>47</v>
      </c>
      <c r="F48">
        <v>3</v>
      </c>
      <c r="G48">
        <v>47</v>
      </c>
      <c r="H48" s="198" t="s">
        <v>235</v>
      </c>
    </row>
    <row r="49" spans="4:8" customFormat="1" x14ac:dyDescent="0.15">
      <c r="D49" s="197" t="s">
        <v>236</v>
      </c>
      <c r="E49">
        <v>48</v>
      </c>
      <c r="F49">
        <v>3</v>
      </c>
      <c r="G49">
        <v>48</v>
      </c>
      <c r="H49" s="198" t="s">
        <v>236</v>
      </c>
    </row>
    <row r="50" spans="4:8" customFormat="1" ht="12" customHeight="1" x14ac:dyDescent="0.15">
      <c r="D50" s="197" t="s">
        <v>237</v>
      </c>
      <c r="E50">
        <v>49</v>
      </c>
      <c r="F50">
        <v>3</v>
      </c>
      <c r="G50">
        <v>49</v>
      </c>
      <c r="H50" s="198" t="s">
        <v>237</v>
      </c>
    </row>
    <row r="51" spans="4:8" customFormat="1" x14ac:dyDescent="0.15">
      <c r="D51" s="197" t="s">
        <v>238</v>
      </c>
      <c r="E51">
        <v>50</v>
      </c>
      <c r="F51">
        <v>3</v>
      </c>
      <c r="G51">
        <v>50</v>
      </c>
      <c r="H51" s="198" t="s">
        <v>238</v>
      </c>
    </row>
    <row r="52" spans="4:8" customFormat="1" ht="12" customHeight="1" x14ac:dyDescent="0.15">
      <c r="D52" s="197" t="s">
        <v>239</v>
      </c>
      <c r="E52">
        <v>51</v>
      </c>
      <c r="F52">
        <v>3</v>
      </c>
      <c r="G52">
        <v>51</v>
      </c>
      <c r="H52" s="198" t="s">
        <v>239</v>
      </c>
    </row>
    <row r="53" spans="4:8" customFormat="1" x14ac:dyDescent="0.15">
      <c r="D53" s="197" t="s">
        <v>240</v>
      </c>
      <c r="E53">
        <v>52</v>
      </c>
      <c r="F53">
        <v>3</v>
      </c>
      <c r="G53">
        <v>52</v>
      </c>
      <c r="H53" s="198" t="s">
        <v>240</v>
      </c>
    </row>
    <row r="54" spans="4:8" customFormat="1" ht="12" customHeight="1" x14ac:dyDescent="0.15">
      <c r="D54" s="197" t="s">
        <v>241</v>
      </c>
      <c r="E54">
        <v>53</v>
      </c>
      <c r="F54">
        <v>3</v>
      </c>
      <c r="G54">
        <v>53</v>
      </c>
      <c r="H54" s="198" t="s">
        <v>241</v>
      </c>
    </row>
    <row r="55" spans="4:8" customFormat="1" ht="12" customHeight="1" x14ac:dyDescent="0.15">
      <c r="D55" s="197" t="s">
        <v>242</v>
      </c>
      <c r="E55">
        <v>54</v>
      </c>
      <c r="F55">
        <v>3</v>
      </c>
      <c r="G55">
        <v>54</v>
      </c>
      <c r="H55" s="198" t="s">
        <v>242</v>
      </c>
    </row>
    <row r="56" spans="4:8" customFormat="1" x14ac:dyDescent="0.15">
      <c r="D56" s="197" t="s">
        <v>243</v>
      </c>
      <c r="E56">
        <v>55</v>
      </c>
      <c r="F56">
        <v>3</v>
      </c>
      <c r="G56">
        <v>55</v>
      </c>
      <c r="H56" s="198" t="s">
        <v>243</v>
      </c>
    </row>
    <row r="57" spans="4:8" customFormat="1" x14ac:dyDescent="0.15">
      <c r="D57" s="197" t="s">
        <v>244</v>
      </c>
      <c r="E57">
        <v>56</v>
      </c>
      <c r="F57">
        <v>3.21</v>
      </c>
      <c r="G57">
        <v>56</v>
      </c>
      <c r="H57" s="198" t="s">
        <v>244</v>
      </c>
    </row>
    <row r="58" spans="4:8" customFormat="1" x14ac:dyDescent="0.15">
      <c r="D58" s="197" t="s">
        <v>245</v>
      </c>
      <c r="E58">
        <v>57</v>
      </c>
      <c r="F58">
        <v>3.21</v>
      </c>
      <c r="G58">
        <v>57</v>
      </c>
      <c r="H58" s="198" t="s">
        <v>245</v>
      </c>
    </row>
    <row r="59" spans="4:8" customFormat="1" x14ac:dyDescent="0.15">
      <c r="D59" s="197" t="s">
        <v>246</v>
      </c>
      <c r="E59">
        <v>58</v>
      </c>
      <c r="F59">
        <v>3.21</v>
      </c>
      <c r="G59">
        <v>58</v>
      </c>
      <c r="H59" s="198" t="s">
        <v>246</v>
      </c>
    </row>
    <row r="60" spans="4:8" customFormat="1" x14ac:dyDescent="0.15">
      <c r="D60" s="197" t="s">
        <v>247</v>
      </c>
      <c r="E60">
        <v>59</v>
      </c>
      <c r="F60">
        <v>3.21</v>
      </c>
      <c r="G60">
        <v>59</v>
      </c>
      <c r="H60" s="198" t="s">
        <v>247</v>
      </c>
    </row>
    <row r="61" spans="4:8" customFormat="1" x14ac:dyDescent="0.15">
      <c r="D61" s="197" t="s">
        <v>248</v>
      </c>
      <c r="E61">
        <v>60</v>
      </c>
      <c r="F61">
        <v>3.21</v>
      </c>
      <c r="G61">
        <v>60</v>
      </c>
      <c r="H61" s="198" t="s">
        <v>248</v>
      </c>
    </row>
    <row r="62" spans="4:8" customFormat="1" x14ac:dyDescent="0.15">
      <c r="D62" s="197" t="s">
        <v>249</v>
      </c>
      <c r="E62">
        <v>61</v>
      </c>
      <c r="F62">
        <v>3.21</v>
      </c>
      <c r="G62">
        <v>61</v>
      </c>
      <c r="H62" s="198" t="s">
        <v>249</v>
      </c>
    </row>
    <row r="63" spans="4:8" customFormat="1" x14ac:dyDescent="0.15">
      <c r="D63" s="197" t="s">
        <v>250</v>
      </c>
      <c r="E63">
        <v>62</v>
      </c>
      <c r="F63">
        <v>3.21</v>
      </c>
      <c r="G63">
        <v>62</v>
      </c>
      <c r="H63" s="198" t="s">
        <v>250</v>
      </c>
    </row>
    <row r="64" spans="4:8" customFormat="1" x14ac:dyDescent="0.15">
      <c r="D64" s="197" t="s">
        <v>251</v>
      </c>
      <c r="E64">
        <v>63</v>
      </c>
      <c r="F64">
        <v>3.21</v>
      </c>
      <c r="G64">
        <v>63</v>
      </c>
      <c r="H64" s="198" t="s">
        <v>251</v>
      </c>
    </row>
    <row r="65" spans="4:8" customFormat="1" x14ac:dyDescent="0.15">
      <c r="D65" s="197" t="s">
        <v>252</v>
      </c>
      <c r="E65">
        <v>64</v>
      </c>
      <c r="F65">
        <v>3.21</v>
      </c>
      <c r="G65">
        <v>64</v>
      </c>
      <c r="H65" s="198" t="s">
        <v>252</v>
      </c>
    </row>
    <row r="66" spans="4:8" customFormat="1" x14ac:dyDescent="0.15">
      <c r="D66" s="197" t="s">
        <v>253</v>
      </c>
      <c r="E66">
        <v>65</v>
      </c>
      <c r="F66">
        <v>3.21</v>
      </c>
      <c r="G66">
        <v>65</v>
      </c>
      <c r="H66" s="198" t="s">
        <v>253</v>
      </c>
    </row>
    <row r="67" spans="4:8" customFormat="1" x14ac:dyDescent="0.15">
      <c r="D67" s="197" t="s">
        <v>254</v>
      </c>
      <c r="E67">
        <v>66</v>
      </c>
      <c r="F67">
        <v>3.21</v>
      </c>
      <c r="G67">
        <v>66</v>
      </c>
      <c r="H67" s="198" t="s">
        <v>254</v>
      </c>
    </row>
    <row r="68" spans="4:8" customFormat="1" x14ac:dyDescent="0.15">
      <c r="D68" s="197" t="s">
        <v>255</v>
      </c>
      <c r="E68">
        <v>67</v>
      </c>
      <c r="F68">
        <v>3.2</v>
      </c>
      <c r="G68">
        <v>67</v>
      </c>
      <c r="H68" s="198" t="s">
        <v>255</v>
      </c>
    </row>
    <row r="69" spans="4:8" customFormat="1" x14ac:dyDescent="0.15">
      <c r="D69" s="197" t="s">
        <v>256</v>
      </c>
      <c r="E69">
        <v>68</v>
      </c>
      <c r="F69">
        <v>3.21</v>
      </c>
      <c r="G69">
        <v>68</v>
      </c>
      <c r="H69" s="198" t="s">
        <v>256</v>
      </c>
    </row>
    <row r="70" spans="4:8" customFormat="1" x14ac:dyDescent="0.15">
      <c r="D70" s="197" t="s">
        <v>257</v>
      </c>
      <c r="E70">
        <v>69</v>
      </c>
      <c r="F70">
        <v>3.21</v>
      </c>
      <c r="G70">
        <v>69</v>
      </c>
      <c r="H70" s="198" t="s">
        <v>257</v>
      </c>
    </row>
    <row r="71" spans="4:8" customFormat="1" x14ac:dyDescent="0.15">
      <c r="D71" s="197" t="s">
        <v>258</v>
      </c>
      <c r="E71">
        <v>70</v>
      </c>
      <c r="F71">
        <v>3</v>
      </c>
      <c r="G71">
        <v>70</v>
      </c>
      <c r="H71" s="198" t="s">
        <v>258</v>
      </c>
    </row>
    <row r="72" spans="4:8" customFormat="1" x14ac:dyDescent="0.15">
      <c r="D72" s="197" t="s">
        <v>259</v>
      </c>
      <c r="E72">
        <v>71</v>
      </c>
      <c r="F72">
        <v>3.21</v>
      </c>
      <c r="G72">
        <v>71</v>
      </c>
      <c r="H72" s="198" t="s">
        <v>259</v>
      </c>
    </row>
    <row r="73" spans="4:8" customFormat="1" x14ac:dyDescent="0.15">
      <c r="D73" s="197" t="s">
        <v>260</v>
      </c>
      <c r="E73">
        <v>72</v>
      </c>
      <c r="F73">
        <v>3</v>
      </c>
      <c r="G73">
        <v>72</v>
      </c>
      <c r="H73" s="198" t="s">
        <v>260</v>
      </c>
    </row>
    <row r="74" spans="4:8" customFormat="1" x14ac:dyDescent="0.15">
      <c r="D74" s="197" t="s">
        <v>261</v>
      </c>
      <c r="E74">
        <v>73</v>
      </c>
      <c r="F74">
        <v>3.21</v>
      </c>
      <c r="G74">
        <v>73</v>
      </c>
      <c r="H74" s="198" t="s">
        <v>261</v>
      </c>
    </row>
    <row r="75" spans="4:8" customFormat="1" x14ac:dyDescent="0.15">
      <c r="D75" s="197" t="s">
        <v>262</v>
      </c>
      <c r="E75">
        <v>74</v>
      </c>
      <c r="F75">
        <v>3.21</v>
      </c>
      <c r="G75">
        <v>74</v>
      </c>
      <c r="H75" s="198" t="s">
        <v>262</v>
      </c>
    </row>
    <row r="76" spans="4:8" customFormat="1" x14ac:dyDescent="0.15">
      <c r="D76" s="197" t="s">
        <v>263</v>
      </c>
      <c r="E76">
        <v>75</v>
      </c>
      <c r="F76">
        <v>3.21</v>
      </c>
      <c r="G76">
        <v>75</v>
      </c>
      <c r="H76" s="198" t="s">
        <v>263</v>
      </c>
    </row>
    <row r="77" spans="4:8" customFormat="1" x14ac:dyDescent="0.15">
      <c r="D77" s="197" t="s">
        <v>264</v>
      </c>
      <c r="E77">
        <v>76</v>
      </c>
      <c r="F77">
        <v>3.2</v>
      </c>
      <c r="G77">
        <v>76</v>
      </c>
      <c r="H77" s="198" t="s">
        <v>264</v>
      </c>
    </row>
    <row r="78" spans="4:8" customFormat="1" x14ac:dyDescent="0.15">
      <c r="D78" s="197" t="s">
        <v>265</v>
      </c>
      <c r="E78">
        <v>77</v>
      </c>
      <c r="F78">
        <v>3.21</v>
      </c>
      <c r="G78">
        <v>77</v>
      </c>
      <c r="H78" s="198" t="s">
        <v>265</v>
      </c>
    </row>
    <row r="79" spans="4:8" customFormat="1" x14ac:dyDescent="0.15">
      <c r="D79" s="197" t="s">
        <v>266</v>
      </c>
      <c r="E79">
        <v>78</v>
      </c>
      <c r="F79">
        <v>3</v>
      </c>
      <c r="G79">
        <v>78</v>
      </c>
      <c r="H79" s="198" t="s">
        <v>266</v>
      </c>
    </row>
    <row r="80" spans="4:8" customFormat="1" x14ac:dyDescent="0.15">
      <c r="D80" s="197" t="s">
        <v>267</v>
      </c>
      <c r="E80">
        <v>79</v>
      </c>
      <c r="F80">
        <v>3</v>
      </c>
      <c r="G80">
        <v>79</v>
      </c>
      <c r="H80" s="198" t="s">
        <v>267</v>
      </c>
    </row>
    <row r="81" spans="4:8" customFormat="1" x14ac:dyDescent="0.15">
      <c r="D81" s="197" t="s">
        <v>268</v>
      </c>
      <c r="E81">
        <v>80</v>
      </c>
      <c r="F81">
        <v>3.11</v>
      </c>
      <c r="G81">
        <v>80</v>
      </c>
      <c r="H81" s="198" t="s">
        <v>268</v>
      </c>
    </row>
    <row r="82" spans="4:8" customFormat="1" x14ac:dyDescent="0.15">
      <c r="D82" s="197" t="s">
        <v>269</v>
      </c>
      <c r="E82">
        <v>81</v>
      </c>
      <c r="F82">
        <v>3.11</v>
      </c>
      <c r="G82">
        <v>81</v>
      </c>
      <c r="H82" s="198" t="s">
        <v>269</v>
      </c>
    </row>
    <row r="83" spans="4:8" customFormat="1" x14ac:dyDescent="0.15">
      <c r="D83" s="197" t="s">
        <v>270</v>
      </c>
      <c r="E83">
        <v>82</v>
      </c>
      <c r="F83">
        <v>3.11</v>
      </c>
      <c r="G83">
        <v>82</v>
      </c>
      <c r="H83" s="198" t="s">
        <v>270</v>
      </c>
    </row>
    <row r="84" spans="4:8" customFormat="1" x14ac:dyDescent="0.15">
      <c r="D84" s="197" t="s">
        <v>271</v>
      </c>
      <c r="E84">
        <v>83</v>
      </c>
      <c r="F84">
        <v>3.11</v>
      </c>
      <c r="G84">
        <v>83</v>
      </c>
      <c r="H84" s="198" t="s">
        <v>271</v>
      </c>
    </row>
    <row r="85" spans="4:8" customFormat="1" x14ac:dyDescent="0.15">
      <c r="D85" s="197" t="s">
        <v>272</v>
      </c>
      <c r="E85">
        <v>84</v>
      </c>
      <c r="F85">
        <v>3.11</v>
      </c>
      <c r="G85">
        <v>84</v>
      </c>
      <c r="H85" s="198" t="s">
        <v>272</v>
      </c>
    </row>
    <row r="86" spans="4:8" customFormat="1" x14ac:dyDescent="0.15">
      <c r="D86" s="197" t="s">
        <v>273</v>
      </c>
      <c r="E86">
        <v>85</v>
      </c>
      <c r="F86">
        <v>3.11</v>
      </c>
      <c r="G86">
        <v>85</v>
      </c>
      <c r="H86" s="198" t="s">
        <v>273</v>
      </c>
    </row>
    <row r="87" spans="4:8" customFormat="1" x14ac:dyDescent="0.15">
      <c r="D87" s="197" t="s">
        <v>274</v>
      </c>
      <c r="E87">
        <v>86</v>
      </c>
      <c r="F87">
        <v>3</v>
      </c>
      <c r="G87">
        <v>86</v>
      </c>
      <c r="H87" s="198" t="s">
        <v>274</v>
      </c>
    </row>
    <row r="88" spans="4:8" customFormat="1" x14ac:dyDescent="0.15">
      <c r="D88" s="197" t="s">
        <v>275</v>
      </c>
      <c r="E88">
        <v>87</v>
      </c>
      <c r="F88">
        <v>3.14</v>
      </c>
      <c r="G88">
        <v>87</v>
      </c>
      <c r="H88" s="198" t="s">
        <v>275</v>
      </c>
    </row>
    <row r="89" spans="4:8" customFormat="1" x14ac:dyDescent="0.15">
      <c r="D89" s="197" t="s">
        <v>276</v>
      </c>
      <c r="E89">
        <v>88</v>
      </c>
      <c r="F89">
        <v>3.14</v>
      </c>
      <c r="G89">
        <v>88</v>
      </c>
      <c r="H89" s="198" t="s">
        <v>276</v>
      </c>
    </row>
    <row r="90" spans="4:8" customFormat="1" x14ac:dyDescent="0.15">
      <c r="D90" s="197" t="s">
        <v>277</v>
      </c>
      <c r="E90">
        <v>89</v>
      </c>
      <c r="F90">
        <v>2</v>
      </c>
      <c r="G90">
        <v>89</v>
      </c>
      <c r="H90" s="198" t="s">
        <v>277</v>
      </c>
    </row>
    <row r="91" spans="4:8" customFormat="1" x14ac:dyDescent="0.15">
      <c r="D91" s="197" t="s">
        <v>278</v>
      </c>
      <c r="E91">
        <v>90</v>
      </c>
      <c r="F91">
        <v>2</v>
      </c>
      <c r="G91">
        <v>90</v>
      </c>
      <c r="H91" s="198" t="s">
        <v>278</v>
      </c>
    </row>
    <row r="92" spans="4:8" customFormat="1" x14ac:dyDescent="0.15">
      <c r="D92" s="197" t="s">
        <v>279</v>
      </c>
      <c r="E92">
        <v>91</v>
      </c>
      <c r="F92">
        <v>2</v>
      </c>
      <c r="G92">
        <v>91</v>
      </c>
      <c r="H92" s="198" t="s">
        <v>279</v>
      </c>
    </row>
    <row r="93" spans="4:8" customFormat="1" x14ac:dyDescent="0.15">
      <c r="D93" s="197" t="s">
        <v>280</v>
      </c>
      <c r="E93">
        <v>92</v>
      </c>
      <c r="F93">
        <v>2.2999999999999998</v>
      </c>
      <c r="G93">
        <v>92</v>
      </c>
      <c r="H93" s="198" t="s">
        <v>280</v>
      </c>
    </row>
    <row r="94" spans="4:8" customFormat="1" x14ac:dyDescent="0.15">
      <c r="D94" s="197" t="s">
        <v>281</v>
      </c>
      <c r="E94">
        <v>93</v>
      </c>
      <c r="F94">
        <v>2.2999999999999998</v>
      </c>
      <c r="G94">
        <v>93</v>
      </c>
      <c r="H94" s="198" t="s">
        <v>281</v>
      </c>
    </row>
    <row r="95" spans="4:8" customFormat="1" x14ac:dyDescent="0.15">
      <c r="D95" s="197" t="s">
        <v>282</v>
      </c>
      <c r="E95">
        <v>94</v>
      </c>
      <c r="F95">
        <v>2.2999999999999998</v>
      </c>
      <c r="G95">
        <v>94</v>
      </c>
      <c r="H95" s="198" t="s">
        <v>282</v>
      </c>
    </row>
    <row r="96" spans="4:8" customFormat="1" x14ac:dyDescent="0.15">
      <c r="D96" s="197" t="s">
        <v>283</v>
      </c>
      <c r="E96">
        <v>95</v>
      </c>
      <c r="F96">
        <v>2</v>
      </c>
      <c r="G96">
        <v>95</v>
      </c>
      <c r="H96" s="198" t="s">
        <v>283</v>
      </c>
    </row>
    <row r="97" spans="4:8" customFormat="1" x14ac:dyDescent="0.15">
      <c r="D97" s="197" t="s">
        <v>284</v>
      </c>
      <c r="E97">
        <v>96</v>
      </c>
      <c r="F97">
        <v>4.2</v>
      </c>
      <c r="G97">
        <v>96</v>
      </c>
      <c r="H97" s="198" t="s">
        <v>284</v>
      </c>
    </row>
    <row r="98" spans="4:8" customFormat="1" x14ac:dyDescent="0.15">
      <c r="D98" s="197" t="s">
        <v>285</v>
      </c>
      <c r="E98">
        <v>97</v>
      </c>
      <c r="F98">
        <v>4</v>
      </c>
      <c r="G98">
        <v>97</v>
      </c>
      <c r="H98" s="198" t="s">
        <v>285</v>
      </c>
    </row>
    <row r="99" spans="4:8" customFormat="1" x14ac:dyDescent="0.15">
      <c r="D99" s="197" t="s">
        <v>286</v>
      </c>
      <c r="E99">
        <v>98</v>
      </c>
      <c r="F99">
        <v>4</v>
      </c>
      <c r="G99">
        <v>98</v>
      </c>
      <c r="H99" s="198" t="s">
        <v>286</v>
      </c>
    </row>
    <row r="100" spans="4:8" customFormat="1" x14ac:dyDescent="0.15">
      <c r="D100" s="197" t="s">
        <v>287</v>
      </c>
      <c r="E100">
        <v>99</v>
      </c>
      <c r="F100">
        <v>4</v>
      </c>
      <c r="G100">
        <v>99</v>
      </c>
      <c r="H100" s="198" t="s">
        <v>287</v>
      </c>
    </row>
    <row r="101" spans="4:8" customFormat="1" x14ac:dyDescent="0.15">
      <c r="D101" s="197" t="s">
        <v>288</v>
      </c>
      <c r="E101">
        <v>100</v>
      </c>
      <c r="F101">
        <v>4</v>
      </c>
      <c r="G101">
        <v>100</v>
      </c>
      <c r="H101" s="198" t="s">
        <v>288</v>
      </c>
    </row>
    <row r="102" spans="4:8" customFormat="1" x14ac:dyDescent="0.15">
      <c r="D102" s="197" t="s">
        <v>289</v>
      </c>
      <c r="E102">
        <v>101</v>
      </c>
      <c r="F102">
        <v>4.0999999999999996</v>
      </c>
      <c r="G102">
        <v>101</v>
      </c>
      <c r="H102" s="198" t="s">
        <v>289</v>
      </c>
    </row>
    <row r="103" spans="4:8" customFormat="1" x14ac:dyDescent="0.15">
      <c r="D103" s="197" t="s">
        <v>290</v>
      </c>
      <c r="E103">
        <v>102</v>
      </c>
      <c r="F103">
        <v>4.3</v>
      </c>
      <c r="G103">
        <v>102</v>
      </c>
      <c r="H103" s="198" t="s">
        <v>290</v>
      </c>
    </row>
    <row r="104" spans="4:8" customFormat="1" x14ac:dyDescent="0.15">
      <c r="D104" s="197" t="s">
        <v>291</v>
      </c>
      <c r="E104">
        <v>103</v>
      </c>
      <c r="F104">
        <v>5</v>
      </c>
      <c r="G104">
        <v>103</v>
      </c>
      <c r="H104" s="198" t="s">
        <v>291</v>
      </c>
    </row>
    <row r="105" spans="4:8" customFormat="1" x14ac:dyDescent="0.15">
      <c r="D105" s="197" t="s">
        <v>292</v>
      </c>
      <c r="E105">
        <v>104</v>
      </c>
      <c r="F105">
        <v>5</v>
      </c>
      <c r="G105">
        <v>104</v>
      </c>
      <c r="H105" s="198" t="s">
        <v>292</v>
      </c>
    </row>
    <row r="106" spans="4:8" customFormat="1" x14ac:dyDescent="0.15">
      <c r="D106" s="197" t="s">
        <v>293</v>
      </c>
      <c r="E106">
        <v>105</v>
      </c>
      <c r="F106">
        <v>5</v>
      </c>
      <c r="G106">
        <v>105</v>
      </c>
      <c r="H106" s="198" t="s">
        <v>293</v>
      </c>
    </row>
    <row r="107" spans="4:8" customFormat="1" x14ac:dyDescent="0.15">
      <c r="D107" s="197" t="s">
        <v>294</v>
      </c>
      <c r="E107">
        <v>106</v>
      </c>
      <c r="F107">
        <v>5</v>
      </c>
      <c r="G107">
        <v>106</v>
      </c>
      <c r="H107" s="198" t="s">
        <v>294</v>
      </c>
    </row>
    <row r="108" spans="4:8" customFormat="1" x14ac:dyDescent="0.15">
      <c r="D108" s="197" t="s">
        <v>295</v>
      </c>
      <c r="E108">
        <v>107</v>
      </c>
      <c r="F108">
        <v>5</v>
      </c>
      <c r="G108">
        <v>107</v>
      </c>
      <c r="H108" s="198" t="s">
        <v>295</v>
      </c>
    </row>
    <row r="109" spans="4:8" customFormat="1" x14ac:dyDescent="0.15">
      <c r="D109" s="197" t="s">
        <v>296</v>
      </c>
      <c r="E109">
        <v>108</v>
      </c>
      <c r="F109">
        <v>5</v>
      </c>
      <c r="G109">
        <v>108</v>
      </c>
      <c r="H109" s="198" t="s">
        <v>296</v>
      </c>
    </row>
    <row r="110" spans="4:8" customFormat="1" x14ac:dyDescent="0.15">
      <c r="D110" s="197" t="s">
        <v>297</v>
      </c>
      <c r="E110">
        <v>109</v>
      </c>
      <c r="F110">
        <v>5</v>
      </c>
      <c r="G110">
        <v>109</v>
      </c>
      <c r="H110" s="198" t="s">
        <v>297</v>
      </c>
    </row>
    <row r="111" spans="4:8" customFormat="1" x14ac:dyDescent="0.15">
      <c r="D111" s="197" t="s">
        <v>298</v>
      </c>
      <c r="E111">
        <v>110</v>
      </c>
      <c r="F111">
        <v>5</v>
      </c>
      <c r="G111">
        <v>110</v>
      </c>
      <c r="H111" s="198" t="s">
        <v>298</v>
      </c>
    </row>
    <row r="112" spans="4:8" customFormat="1" x14ac:dyDescent="0.15">
      <c r="D112" s="197" t="s">
        <v>138</v>
      </c>
      <c r="E112">
        <v>111</v>
      </c>
      <c r="F112">
        <v>6.1</v>
      </c>
      <c r="G112">
        <v>111</v>
      </c>
      <c r="H112" s="198" t="s">
        <v>138</v>
      </c>
    </row>
    <row r="113" spans="4:8" customFormat="1" x14ac:dyDescent="0.15">
      <c r="D113" s="197" t="s">
        <v>45</v>
      </c>
      <c r="E113">
        <v>112</v>
      </c>
      <c r="F113">
        <v>6.2</v>
      </c>
      <c r="G113">
        <v>112</v>
      </c>
      <c r="H113" s="198" t="s">
        <v>45</v>
      </c>
    </row>
    <row r="114" spans="4:8" customFormat="1" x14ac:dyDescent="0.15"/>
    <row r="115" spans="4:8" customFormat="1" x14ac:dyDescent="0.15"/>
    <row r="116" spans="4:8" customFormat="1" x14ac:dyDescent="0.15"/>
    <row r="117" spans="4:8" customFormat="1" x14ac:dyDescent="0.15"/>
    <row r="118" spans="4:8" customFormat="1" x14ac:dyDescent="0.15"/>
    <row r="119" spans="4:8" customFormat="1" x14ac:dyDescent="0.15"/>
    <row r="120" spans="4:8" customFormat="1" x14ac:dyDescent="0.15"/>
    <row r="121" spans="4:8" customFormat="1" x14ac:dyDescent="0.15"/>
    <row r="122" spans="4:8" customFormat="1" x14ac:dyDescent="0.15"/>
    <row r="123" spans="4:8" customFormat="1" x14ac:dyDescent="0.15"/>
    <row r="124" spans="4:8" customFormat="1" x14ac:dyDescent="0.15"/>
    <row r="125" spans="4:8" customFormat="1" x14ac:dyDescent="0.15"/>
    <row r="126" spans="4:8" customFormat="1" x14ac:dyDescent="0.15"/>
    <row r="127" spans="4:8" customFormat="1" x14ac:dyDescent="0.15"/>
    <row r="128" spans="4:8" customFormat="1" x14ac:dyDescent="0.15"/>
    <row r="129" customFormat="1" x14ac:dyDescent="0.15"/>
    <row r="130" customFormat="1" x14ac:dyDescent="0.15"/>
    <row r="131" customFormat="1" x14ac:dyDescent="0.15"/>
    <row r="132" customFormat="1" x14ac:dyDescent="0.15"/>
    <row r="133" customFormat="1" x14ac:dyDescent="0.15"/>
    <row r="134" customFormat="1" x14ac:dyDescent="0.15"/>
    <row r="135" customFormat="1" x14ac:dyDescent="0.15"/>
    <row r="136" customFormat="1" x14ac:dyDescent="0.15"/>
    <row r="137" customFormat="1" x14ac:dyDescent="0.15"/>
    <row r="138" customFormat="1" x14ac:dyDescent="0.15"/>
    <row r="139" customFormat="1" x14ac:dyDescent="0.15"/>
    <row r="140" customFormat="1" x14ac:dyDescent="0.15"/>
    <row r="141" customFormat="1" x14ac:dyDescent="0.15"/>
    <row r="142" customFormat="1" x14ac:dyDescent="0.15"/>
    <row r="143" customFormat="1" x14ac:dyDescent="0.15"/>
    <row r="144" customFormat="1" x14ac:dyDescent="0.15"/>
    <row r="145" customFormat="1" x14ac:dyDescent="0.15"/>
    <row r="146" customFormat="1" x14ac:dyDescent="0.15"/>
    <row r="147" customFormat="1" x14ac:dyDescent="0.15"/>
    <row r="148" customFormat="1" x14ac:dyDescent="0.15"/>
    <row r="149" customFormat="1" x14ac:dyDescent="0.15"/>
    <row r="150" customFormat="1" x14ac:dyDescent="0.15"/>
    <row r="151" customFormat="1" x14ac:dyDescent="0.15"/>
    <row r="152" customFormat="1" x14ac:dyDescent="0.15"/>
    <row r="153" customFormat="1" x14ac:dyDescent="0.15"/>
    <row r="154" customFormat="1" x14ac:dyDescent="0.15"/>
    <row r="155" customFormat="1" x14ac:dyDescent="0.15"/>
    <row r="156" customFormat="1" x14ac:dyDescent="0.15"/>
    <row r="157" customFormat="1" x14ac:dyDescent="0.15"/>
    <row r="158" customFormat="1" x14ac:dyDescent="0.15"/>
    <row r="159" customFormat="1" x14ac:dyDescent="0.15"/>
    <row r="160" customFormat="1" x14ac:dyDescent="0.15"/>
    <row r="161" customFormat="1" x14ac:dyDescent="0.15"/>
    <row r="162" customFormat="1" x14ac:dyDescent="0.15"/>
    <row r="163" customFormat="1" x14ac:dyDescent="0.15"/>
    <row r="164" customFormat="1" x14ac:dyDescent="0.15"/>
    <row r="165" customFormat="1" x14ac:dyDescent="0.15"/>
    <row r="166" customFormat="1" x14ac:dyDescent="0.15"/>
    <row r="167" customFormat="1" x14ac:dyDescent="0.15"/>
    <row r="168" customFormat="1" x14ac:dyDescent="0.15"/>
    <row r="169" customFormat="1" x14ac:dyDescent="0.15"/>
    <row r="170" customFormat="1" x14ac:dyDescent="0.15"/>
    <row r="171" customFormat="1" x14ac:dyDescent="0.15"/>
    <row r="172" customFormat="1" x14ac:dyDescent="0.15"/>
    <row r="173" customFormat="1" x14ac:dyDescent="0.15"/>
    <row r="174" customFormat="1" x14ac:dyDescent="0.15"/>
    <row r="175" customFormat="1" x14ac:dyDescent="0.15"/>
    <row r="176" customFormat="1" x14ac:dyDescent="0.15"/>
    <row r="177" customFormat="1" x14ac:dyDescent="0.15"/>
    <row r="178" customFormat="1" x14ac:dyDescent="0.15"/>
    <row r="179" customFormat="1" x14ac:dyDescent="0.15"/>
    <row r="180" customFormat="1" x14ac:dyDescent="0.15"/>
    <row r="181" customFormat="1" x14ac:dyDescent="0.15"/>
    <row r="182" customFormat="1" x14ac:dyDescent="0.15"/>
    <row r="183" customFormat="1" x14ac:dyDescent="0.15"/>
    <row r="184" customFormat="1" x14ac:dyDescent="0.15"/>
    <row r="185" customFormat="1" x14ac:dyDescent="0.15"/>
    <row r="186" customFormat="1" x14ac:dyDescent="0.15"/>
    <row r="187" customForma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W188"/>
  <sheetViews>
    <sheetView workbookViewId="0">
      <pane ySplit="2" topLeftCell="A3" activePane="bottomLeft" state="frozen"/>
      <selection pane="bottomLeft" activeCell="D4" sqref="D4"/>
    </sheetView>
  </sheetViews>
  <sheetFormatPr baseColWidth="10" defaultColWidth="11.5" defaultRowHeight="15" customHeight="1" x14ac:dyDescent="0.15"/>
  <cols>
    <col min="1" max="1" width="21.33203125" style="84" bestFit="1" customWidth="1"/>
    <col min="2" max="2" width="15.83203125" style="83" customWidth="1"/>
    <col min="3" max="3" width="21.33203125" style="83" customWidth="1"/>
    <col min="4" max="4" width="11.83203125" style="83" customWidth="1"/>
    <col min="5" max="5" width="15.83203125" style="83" customWidth="1"/>
    <col min="6" max="6" width="44.33203125" style="83" bestFit="1" customWidth="1"/>
    <col min="7" max="9" width="2.33203125" style="83" customWidth="1"/>
    <col min="10" max="10" width="2.33203125" style="83" bestFit="1" customWidth="1"/>
    <col min="11" max="15" width="3.83203125" style="83" customWidth="1"/>
    <col min="16" max="16" width="3.83203125" style="73" customWidth="1"/>
    <col min="17" max="17" width="2.33203125" style="83" customWidth="1"/>
    <col min="18" max="18" width="2.33203125" style="74" customWidth="1"/>
    <col min="19" max="16384" width="11.5" style="83"/>
  </cols>
  <sheetData>
    <row r="1" spans="1:23" ht="15" customHeight="1" thickBot="1" x14ac:dyDescent="0.2">
      <c r="F1" s="1"/>
      <c r="G1" s="71" t="s">
        <v>46</v>
      </c>
      <c r="H1" s="71" t="s">
        <v>47</v>
      </c>
      <c r="I1" s="71" t="s">
        <v>120</v>
      </c>
      <c r="J1" s="71" t="s">
        <v>132</v>
      </c>
      <c r="K1" s="85" t="s">
        <v>48</v>
      </c>
      <c r="L1" s="74"/>
      <c r="M1" s="85" t="s">
        <v>119</v>
      </c>
      <c r="N1" s="74"/>
      <c r="O1" s="85" t="s">
        <v>49</v>
      </c>
      <c r="P1" s="77"/>
      <c r="Q1" s="85" t="s">
        <v>50</v>
      </c>
      <c r="R1" s="71" t="s">
        <v>154</v>
      </c>
    </row>
    <row r="2" spans="1:23" ht="15" customHeight="1" x14ac:dyDescent="0.15">
      <c r="A2" s="85" t="s">
        <v>51</v>
      </c>
      <c r="B2" s="86">
        <v>0.5</v>
      </c>
      <c r="C2" s="84" t="s">
        <v>52</v>
      </c>
      <c r="D2" s="87"/>
      <c r="F2" s="1"/>
      <c r="G2" s="88"/>
      <c r="H2" s="88"/>
      <c r="I2" s="88" t="s">
        <v>133</v>
      </c>
      <c r="J2" s="88" t="s">
        <v>133</v>
      </c>
      <c r="K2" s="88" t="s">
        <v>52</v>
      </c>
      <c r="L2" s="88" t="s">
        <v>53</v>
      </c>
      <c r="M2" s="88" t="s">
        <v>52</v>
      </c>
      <c r="N2" s="88" t="s">
        <v>53</v>
      </c>
      <c r="O2" s="88" t="s">
        <v>52</v>
      </c>
      <c r="P2" s="89" t="s">
        <v>53</v>
      </c>
      <c r="Q2" s="88"/>
      <c r="R2" s="90" t="s">
        <v>155</v>
      </c>
    </row>
    <row r="3" spans="1:23" ht="15" customHeight="1" thickBot="1" x14ac:dyDescent="0.2">
      <c r="A3" s="85" t="s">
        <v>54</v>
      </c>
      <c r="B3" s="91">
        <v>0.5</v>
      </c>
      <c r="C3" s="84" t="s">
        <v>53</v>
      </c>
      <c r="D3" s="87"/>
      <c r="F3" t="s">
        <v>38</v>
      </c>
      <c r="G3">
        <v>0</v>
      </c>
      <c r="H3">
        <v>0</v>
      </c>
      <c r="I3">
        <v>0</v>
      </c>
      <c r="J3">
        <v>0</v>
      </c>
      <c r="K3">
        <v>0</v>
      </c>
      <c r="L3">
        <v>0</v>
      </c>
      <c r="M3">
        <v>0</v>
      </c>
      <c r="N3">
        <v>0</v>
      </c>
      <c r="O3">
        <v>0</v>
      </c>
      <c r="P3">
        <v>0</v>
      </c>
      <c r="Q3" s="137">
        <v>0</v>
      </c>
      <c r="R3" s="38">
        <v>0</v>
      </c>
    </row>
    <row r="4" spans="1:23" ht="15" customHeight="1" thickBot="1" x14ac:dyDescent="0.2">
      <c r="F4" t="s">
        <v>40</v>
      </c>
      <c r="G4">
        <v>0</v>
      </c>
      <c r="H4">
        <v>0</v>
      </c>
      <c r="I4">
        <v>0</v>
      </c>
      <c r="J4">
        <v>0</v>
      </c>
      <c r="K4">
        <v>0</v>
      </c>
      <c r="L4">
        <v>0</v>
      </c>
      <c r="M4">
        <v>0</v>
      </c>
      <c r="N4">
        <v>0</v>
      </c>
      <c r="O4">
        <v>0</v>
      </c>
      <c r="P4">
        <v>0</v>
      </c>
      <c r="Q4" s="137">
        <v>0</v>
      </c>
      <c r="R4" s="113">
        <v>0</v>
      </c>
    </row>
    <row r="5" spans="1:23" ht="15" customHeight="1" x14ac:dyDescent="0.15">
      <c r="A5" s="85" t="s">
        <v>55</v>
      </c>
      <c r="B5" s="92">
        <v>0.5</v>
      </c>
      <c r="C5" s="84" t="s">
        <v>52</v>
      </c>
      <c r="D5" s="87"/>
      <c r="F5" t="s">
        <v>41</v>
      </c>
      <c r="G5">
        <v>0</v>
      </c>
      <c r="H5">
        <v>0</v>
      </c>
      <c r="I5">
        <v>0</v>
      </c>
      <c r="J5">
        <v>0</v>
      </c>
      <c r="K5">
        <v>0</v>
      </c>
      <c r="L5">
        <v>0</v>
      </c>
      <c r="M5">
        <v>0</v>
      </c>
      <c r="N5">
        <v>0</v>
      </c>
      <c r="O5">
        <v>0</v>
      </c>
      <c r="P5">
        <v>0</v>
      </c>
      <c r="Q5" s="137">
        <v>0</v>
      </c>
      <c r="R5" s="113">
        <v>0</v>
      </c>
    </row>
    <row r="6" spans="1:23" ht="15" customHeight="1" thickBot="1" x14ac:dyDescent="0.2">
      <c r="A6" s="85"/>
      <c r="B6" s="93">
        <v>0.5</v>
      </c>
      <c r="C6" s="84" t="s">
        <v>53</v>
      </c>
      <c r="D6" s="87"/>
      <c r="F6" s="199" t="s">
        <v>192</v>
      </c>
      <c r="G6" s="83">
        <v>0</v>
      </c>
      <c r="H6" s="83">
        <v>0</v>
      </c>
      <c r="I6" s="83">
        <v>0</v>
      </c>
      <c r="J6" s="83">
        <v>0</v>
      </c>
      <c r="K6" s="83">
        <v>0.2</v>
      </c>
      <c r="L6" s="83">
        <v>0.8</v>
      </c>
      <c r="M6" s="83">
        <v>0.2</v>
      </c>
      <c r="N6" s="83">
        <v>0.8</v>
      </c>
      <c r="O6" s="83">
        <v>0.2</v>
      </c>
      <c r="P6" s="73">
        <v>0.8</v>
      </c>
      <c r="Q6" s="83">
        <v>0</v>
      </c>
      <c r="R6" s="74">
        <v>1</v>
      </c>
      <c r="S6"/>
      <c r="T6"/>
    </row>
    <row r="7" spans="1:23" ht="15" customHeight="1" thickBot="1" x14ac:dyDescent="0.2">
      <c r="F7" s="199" t="s">
        <v>193</v>
      </c>
      <c r="G7" s="83">
        <v>0</v>
      </c>
      <c r="H7" s="83">
        <v>0</v>
      </c>
      <c r="I7" s="83">
        <v>0</v>
      </c>
      <c r="J7" s="83">
        <v>0</v>
      </c>
      <c r="K7" s="83">
        <v>0.2</v>
      </c>
      <c r="L7" s="83">
        <v>0.8</v>
      </c>
      <c r="M7" s="83">
        <v>0.2</v>
      </c>
      <c r="N7" s="83">
        <v>0.8</v>
      </c>
      <c r="O7" s="83">
        <v>0.2</v>
      </c>
      <c r="P7" s="73">
        <v>0.8</v>
      </c>
      <c r="Q7" s="83">
        <v>0</v>
      </c>
      <c r="R7" s="74">
        <v>1</v>
      </c>
      <c r="S7"/>
      <c r="T7"/>
    </row>
    <row r="8" spans="1:23" ht="15" customHeight="1" x14ac:dyDescent="0.15">
      <c r="A8" s="85" t="s">
        <v>56</v>
      </c>
      <c r="B8" s="92">
        <v>0.76032400699609126</v>
      </c>
      <c r="C8" s="200" t="s">
        <v>277</v>
      </c>
      <c r="D8" s="87" t="s">
        <v>160</v>
      </c>
      <c r="F8" s="199" t="s">
        <v>194</v>
      </c>
      <c r="G8" s="83">
        <v>0</v>
      </c>
      <c r="H8" s="83">
        <v>0</v>
      </c>
      <c r="I8" s="83">
        <v>0</v>
      </c>
      <c r="J8" s="83">
        <v>0</v>
      </c>
      <c r="K8" s="83">
        <v>0</v>
      </c>
      <c r="L8" s="83">
        <v>1</v>
      </c>
      <c r="M8" s="83">
        <v>0</v>
      </c>
      <c r="N8" s="83">
        <v>1</v>
      </c>
      <c r="O8" s="83">
        <v>0</v>
      </c>
      <c r="P8" s="73">
        <v>1</v>
      </c>
      <c r="Q8" s="83">
        <v>0</v>
      </c>
      <c r="R8" s="74">
        <v>1</v>
      </c>
      <c r="S8"/>
      <c r="T8"/>
      <c r="W8"/>
    </row>
    <row r="9" spans="1:23" ht="15" customHeight="1" x14ac:dyDescent="0.15">
      <c r="A9" s="127" t="s">
        <v>168</v>
      </c>
      <c r="B9" s="94">
        <v>7.5785106031930421E-2</v>
      </c>
      <c r="C9" s="200" t="s">
        <v>278</v>
      </c>
      <c r="D9" s="87" t="s">
        <v>160</v>
      </c>
      <c r="F9" s="199" t="s">
        <v>195</v>
      </c>
      <c r="G9" s="83">
        <v>0</v>
      </c>
      <c r="H9" s="83">
        <v>0</v>
      </c>
      <c r="I9" s="83">
        <v>0</v>
      </c>
      <c r="J9" s="83">
        <v>0</v>
      </c>
      <c r="K9" s="83">
        <v>0.6</v>
      </c>
      <c r="L9" s="83">
        <v>0.4</v>
      </c>
      <c r="M9" s="83">
        <v>0.6</v>
      </c>
      <c r="N9" s="83">
        <v>0.4</v>
      </c>
      <c r="O9" s="83">
        <v>0.6</v>
      </c>
      <c r="P9" s="73">
        <v>0.4</v>
      </c>
      <c r="Q9" s="83">
        <v>0</v>
      </c>
      <c r="R9" s="74">
        <v>1</v>
      </c>
      <c r="S9"/>
      <c r="T9"/>
      <c r="W9"/>
    </row>
    <row r="10" spans="1:23" ht="15" customHeight="1" x14ac:dyDescent="0.15">
      <c r="B10" s="94">
        <v>0.10748603849869441</v>
      </c>
      <c r="C10" s="200" t="s">
        <v>279</v>
      </c>
      <c r="D10" s="87" t="s">
        <v>160</v>
      </c>
      <c r="F10" s="199" t="s">
        <v>196</v>
      </c>
      <c r="G10" s="83">
        <v>0</v>
      </c>
      <c r="H10" s="83">
        <v>0</v>
      </c>
      <c r="I10" s="83">
        <v>0</v>
      </c>
      <c r="J10" s="83">
        <v>0</v>
      </c>
      <c r="K10" s="83">
        <v>0.8</v>
      </c>
      <c r="L10" s="83">
        <v>0.19999999999999996</v>
      </c>
      <c r="M10" s="83">
        <v>0.8</v>
      </c>
      <c r="N10" s="83">
        <v>0.19999999999999996</v>
      </c>
      <c r="O10" s="83">
        <v>0.8</v>
      </c>
      <c r="P10" s="73">
        <v>0.19999999999999996</v>
      </c>
      <c r="Q10" s="83">
        <v>0</v>
      </c>
      <c r="R10" s="74">
        <v>1</v>
      </c>
      <c r="S10"/>
      <c r="T10"/>
      <c r="W10"/>
    </row>
    <row r="11" spans="1:23" ht="15" customHeight="1" x14ac:dyDescent="0.15">
      <c r="A11" s="85"/>
      <c r="B11" s="94">
        <v>9.4517454252561787E-4</v>
      </c>
      <c r="C11" s="200" t="s">
        <v>280</v>
      </c>
      <c r="D11" s="87" t="s">
        <v>160</v>
      </c>
      <c r="F11" s="199" t="s">
        <v>197</v>
      </c>
      <c r="G11" s="83">
        <v>0</v>
      </c>
      <c r="H11" s="83">
        <v>0</v>
      </c>
      <c r="I11" s="83">
        <v>0</v>
      </c>
      <c r="J11" s="83">
        <v>0</v>
      </c>
      <c r="K11" s="83">
        <v>0.9</v>
      </c>
      <c r="L11" s="83">
        <v>9.9999999999999978E-2</v>
      </c>
      <c r="M11" s="83">
        <v>0.9</v>
      </c>
      <c r="N11" s="83">
        <v>9.9999999999999978E-2</v>
      </c>
      <c r="O11" s="83">
        <v>0.9</v>
      </c>
      <c r="P11" s="73">
        <v>9.9999999999999978E-2</v>
      </c>
      <c r="Q11" s="83">
        <v>0</v>
      </c>
      <c r="R11" s="74">
        <v>1</v>
      </c>
      <c r="S11"/>
      <c r="T11"/>
      <c r="W11"/>
    </row>
    <row r="12" spans="1:23" ht="15" customHeight="1" x14ac:dyDescent="0.15">
      <c r="B12" s="94">
        <v>2.842283855907879E-3</v>
      </c>
      <c r="C12" s="200" t="s">
        <v>281</v>
      </c>
      <c r="D12" s="87" t="s">
        <v>160</v>
      </c>
      <c r="F12" s="199" t="s">
        <v>198</v>
      </c>
      <c r="G12" s="83">
        <v>0</v>
      </c>
      <c r="H12" s="83">
        <v>0</v>
      </c>
      <c r="I12" s="83">
        <v>0</v>
      </c>
      <c r="J12" s="83">
        <v>0</v>
      </c>
      <c r="K12" s="83">
        <v>0.8</v>
      </c>
      <c r="L12" s="83">
        <v>0.19999999999999996</v>
      </c>
      <c r="M12" s="83">
        <v>0.8</v>
      </c>
      <c r="N12" s="83">
        <v>0.19999999999999996</v>
      </c>
      <c r="O12" s="83">
        <v>0.8</v>
      </c>
      <c r="P12" s="73">
        <v>0.19999999999999996</v>
      </c>
      <c r="Q12" s="83">
        <v>0</v>
      </c>
      <c r="R12" s="74">
        <v>1</v>
      </c>
      <c r="S12"/>
      <c r="T12"/>
      <c r="W12"/>
    </row>
    <row r="13" spans="1:23" ht="15" customHeight="1" x14ac:dyDescent="0.15">
      <c r="B13" s="94">
        <v>5.2492508152044044E-2</v>
      </c>
      <c r="C13" s="200" t="s">
        <v>282</v>
      </c>
      <c r="D13" s="87" t="s">
        <v>160</v>
      </c>
      <c r="F13" s="199" t="s">
        <v>199</v>
      </c>
      <c r="G13" s="83">
        <v>0</v>
      </c>
      <c r="H13" s="83">
        <v>0</v>
      </c>
      <c r="I13" s="83">
        <v>0</v>
      </c>
      <c r="J13" s="83">
        <v>0</v>
      </c>
      <c r="K13" s="83">
        <v>0.9</v>
      </c>
      <c r="L13" s="83">
        <v>9.9999999999999978E-2</v>
      </c>
      <c r="M13" s="83">
        <v>0.9</v>
      </c>
      <c r="N13" s="83">
        <v>9.9999999999999978E-2</v>
      </c>
      <c r="O13" s="83">
        <v>0.9</v>
      </c>
      <c r="P13" s="73">
        <v>9.9999999999999978E-2</v>
      </c>
      <c r="Q13" s="83">
        <v>0</v>
      </c>
      <c r="R13" s="74">
        <v>1</v>
      </c>
      <c r="S13"/>
      <c r="T13"/>
      <c r="W13"/>
    </row>
    <row r="14" spans="1:23" ht="15" customHeight="1" x14ac:dyDescent="0.15">
      <c r="B14" s="94">
        <v>1.2488192280644825E-4</v>
      </c>
      <c r="C14" s="200" t="s">
        <v>283</v>
      </c>
      <c r="D14" s="87" t="s">
        <v>160</v>
      </c>
      <c r="F14" s="199" t="s">
        <v>200</v>
      </c>
      <c r="G14" s="83">
        <v>0</v>
      </c>
      <c r="H14" s="83">
        <v>0</v>
      </c>
      <c r="I14" s="83">
        <v>0</v>
      </c>
      <c r="J14" s="83">
        <v>0</v>
      </c>
      <c r="K14" s="83">
        <v>0.9</v>
      </c>
      <c r="L14" s="83">
        <v>9.9999999999999978E-2</v>
      </c>
      <c r="M14" s="83">
        <v>0.9</v>
      </c>
      <c r="N14" s="83">
        <v>9.9999999999999978E-2</v>
      </c>
      <c r="O14" s="83">
        <v>0.9</v>
      </c>
      <c r="P14" s="73">
        <v>9.9999999999999978E-2</v>
      </c>
      <c r="Q14" s="83">
        <v>0</v>
      </c>
      <c r="R14" s="74">
        <v>1</v>
      </c>
      <c r="S14"/>
      <c r="T14"/>
      <c r="W14"/>
    </row>
    <row r="15" spans="1:23" ht="15" customHeight="1" x14ac:dyDescent="0.15">
      <c r="B15" s="94"/>
      <c r="C15" s="82"/>
      <c r="D15" s="87" t="s">
        <v>160</v>
      </c>
      <c r="F15" s="199" t="s">
        <v>201</v>
      </c>
      <c r="G15" s="83">
        <v>0</v>
      </c>
      <c r="H15" s="83">
        <v>0</v>
      </c>
      <c r="I15" s="83">
        <v>0</v>
      </c>
      <c r="J15" s="83">
        <v>0</v>
      </c>
      <c r="K15" s="83">
        <v>0.6</v>
      </c>
      <c r="L15" s="83">
        <v>0.4</v>
      </c>
      <c r="M15" s="83">
        <v>0.6</v>
      </c>
      <c r="N15" s="83">
        <v>0.4</v>
      </c>
      <c r="O15" s="83">
        <v>0.6</v>
      </c>
      <c r="P15" s="73">
        <v>0.4</v>
      </c>
      <c r="Q15" s="83">
        <v>0</v>
      </c>
      <c r="R15" s="74">
        <v>1</v>
      </c>
      <c r="S15"/>
      <c r="T15"/>
      <c r="W15"/>
    </row>
    <row r="16" spans="1:23" ht="15" customHeight="1" x14ac:dyDescent="0.15">
      <c r="B16" s="94"/>
      <c r="C16" s="82"/>
      <c r="D16" s="87" t="s">
        <v>160</v>
      </c>
      <c r="F16" s="199" t="s">
        <v>202</v>
      </c>
      <c r="G16" s="83">
        <v>0</v>
      </c>
      <c r="H16" s="83">
        <v>0</v>
      </c>
      <c r="I16" s="83">
        <v>0</v>
      </c>
      <c r="J16" s="83">
        <v>0</v>
      </c>
      <c r="K16" s="83">
        <v>0.7</v>
      </c>
      <c r="L16" s="83">
        <v>0.30000000000000004</v>
      </c>
      <c r="M16" s="83">
        <v>0.7</v>
      </c>
      <c r="N16" s="83">
        <v>0.30000000000000004</v>
      </c>
      <c r="O16" s="83">
        <v>0.7</v>
      </c>
      <c r="P16" s="73">
        <v>0.30000000000000004</v>
      </c>
      <c r="Q16" s="83">
        <v>0</v>
      </c>
      <c r="R16" s="74">
        <v>1</v>
      </c>
      <c r="S16"/>
      <c r="T16"/>
    </row>
    <row r="17" spans="1:20" ht="15" customHeight="1" thickBot="1" x14ac:dyDescent="0.2">
      <c r="B17" s="93"/>
      <c r="C17" s="82"/>
      <c r="D17" s="87" t="s">
        <v>160</v>
      </c>
      <c r="F17" s="199" t="s">
        <v>203</v>
      </c>
      <c r="G17" s="83">
        <v>0</v>
      </c>
      <c r="H17" s="83">
        <v>0</v>
      </c>
      <c r="I17" s="83">
        <v>0</v>
      </c>
      <c r="J17" s="83">
        <v>0</v>
      </c>
      <c r="K17" s="83">
        <v>0.8</v>
      </c>
      <c r="L17" s="83">
        <v>0.19999999999999996</v>
      </c>
      <c r="M17" s="83">
        <v>0.8</v>
      </c>
      <c r="N17" s="83">
        <v>0.19999999999999996</v>
      </c>
      <c r="O17" s="83">
        <v>0.8</v>
      </c>
      <c r="P17" s="73">
        <v>0.19999999999999996</v>
      </c>
      <c r="Q17" s="83">
        <v>0</v>
      </c>
      <c r="R17" s="74">
        <v>1</v>
      </c>
      <c r="S17"/>
      <c r="T17"/>
    </row>
    <row r="18" spans="1:20" ht="15" customHeight="1" thickBot="1" x14ac:dyDescent="0.2">
      <c r="B18" s="95"/>
      <c r="F18" s="199" t="s">
        <v>204</v>
      </c>
      <c r="G18" s="83">
        <v>0</v>
      </c>
      <c r="H18" s="83">
        <v>0</v>
      </c>
      <c r="I18" s="83">
        <v>0</v>
      </c>
      <c r="J18" s="83">
        <v>0</v>
      </c>
      <c r="K18" s="83">
        <v>0.2</v>
      </c>
      <c r="L18" s="83">
        <v>0.8</v>
      </c>
      <c r="M18" s="83">
        <v>0.2</v>
      </c>
      <c r="N18" s="83">
        <v>0.8</v>
      </c>
      <c r="O18" s="83">
        <v>0.2</v>
      </c>
      <c r="P18" s="73">
        <v>0.8</v>
      </c>
      <c r="Q18" s="83">
        <v>0</v>
      </c>
      <c r="R18" s="74">
        <v>1</v>
      </c>
      <c r="S18"/>
      <c r="T18"/>
    </row>
    <row r="19" spans="1:20" ht="15" customHeight="1" x14ac:dyDescent="0.15">
      <c r="A19" s="85" t="s">
        <v>57</v>
      </c>
      <c r="B19" s="92">
        <v>0.76032400699609126</v>
      </c>
      <c r="C19" s="201" t="s">
        <v>277</v>
      </c>
      <c r="D19" s="87" t="s">
        <v>160</v>
      </c>
      <c r="F19" s="199" t="s">
        <v>205</v>
      </c>
      <c r="G19" s="83">
        <v>0</v>
      </c>
      <c r="H19" s="83">
        <v>0</v>
      </c>
      <c r="I19" s="83">
        <v>0</v>
      </c>
      <c r="J19" s="83">
        <v>0</v>
      </c>
      <c r="K19" s="83">
        <v>0.3</v>
      </c>
      <c r="L19" s="83">
        <v>0.7</v>
      </c>
      <c r="M19" s="83">
        <v>0.3</v>
      </c>
      <c r="N19" s="83">
        <v>0.7</v>
      </c>
      <c r="O19" s="83">
        <v>0.3</v>
      </c>
      <c r="P19" s="73">
        <v>0.7</v>
      </c>
      <c r="Q19" s="83">
        <v>0</v>
      </c>
      <c r="R19" s="74">
        <v>1</v>
      </c>
      <c r="S19"/>
      <c r="T19"/>
    </row>
    <row r="20" spans="1:20" ht="15" customHeight="1" x14ac:dyDescent="0.15">
      <c r="A20" s="127" t="s">
        <v>168</v>
      </c>
      <c r="B20" s="94">
        <v>7.5785106031930421E-2</v>
      </c>
      <c r="C20" s="201" t="s">
        <v>278</v>
      </c>
      <c r="D20" s="87" t="s">
        <v>160</v>
      </c>
      <c r="F20" s="199" t="s">
        <v>206</v>
      </c>
      <c r="G20" s="83">
        <v>0</v>
      </c>
      <c r="H20" s="83">
        <v>0</v>
      </c>
      <c r="I20" s="83">
        <v>0</v>
      </c>
      <c r="J20" s="83">
        <v>0</v>
      </c>
      <c r="K20" s="83">
        <v>0.3</v>
      </c>
      <c r="L20" s="83">
        <v>0.7</v>
      </c>
      <c r="M20" s="83">
        <v>0.3</v>
      </c>
      <c r="N20" s="83">
        <v>0.7</v>
      </c>
      <c r="O20" s="83">
        <v>0.3</v>
      </c>
      <c r="P20" s="73">
        <v>0.7</v>
      </c>
      <c r="Q20" s="83">
        <v>0</v>
      </c>
      <c r="R20" s="74">
        <v>1</v>
      </c>
      <c r="S20"/>
      <c r="T20"/>
    </row>
    <row r="21" spans="1:20" ht="15" customHeight="1" x14ac:dyDescent="0.15">
      <c r="B21" s="94">
        <v>0.10748603849869441</v>
      </c>
      <c r="C21" s="201" t="s">
        <v>279</v>
      </c>
      <c r="D21" s="87" t="s">
        <v>160</v>
      </c>
      <c r="F21" s="199" t="s">
        <v>207</v>
      </c>
      <c r="G21" s="83">
        <v>0</v>
      </c>
      <c r="H21" s="83">
        <v>0</v>
      </c>
      <c r="I21" s="83">
        <v>0</v>
      </c>
      <c r="J21" s="83">
        <v>0</v>
      </c>
      <c r="K21" s="83">
        <v>0.3</v>
      </c>
      <c r="L21" s="83">
        <v>0.7</v>
      </c>
      <c r="M21" s="83">
        <v>0.3</v>
      </c>
      <c r="N21" s="83">
        <v>0.7</v>
      </c>
      <c r="O21" s="83">
        <v>0.3</v>
      </c>
      <c r="P21" s="73">
        <v>0.7</v>
      </c>
      <c r="Q21" s="83">
        <v>0</v>
      </c>
      <c r="R21" s="74">
        <v>1</v>
      </c>
      <c r="S21"/>
      <c r="T21"/>
    </row>
    <row r="22" spans="1:20" ht="15" customHeight="1" x14ac:dyDescent="0.15">
      <c r="A22" s="83"/>
      <c r="B22" s="94">
        <v>9.4517454252561787E-4</v>
      </c>
      <c r="C22" s="201" t="s">
        <v>280</v>
      </c>
      <c r="D22" s="87" t="s">
        <v>160</v>
      </c>
      <c r="F22" s="199" t="s">
        <v>208</v>
      </c>
      <c r="G22" s="83">
        <v>0</v>
      </c>
      <c r="H22" s="83">
        <v>0</v>
      </c>
      <c r="I22" s="83">
        <v>0</v>
      </c>
      <c r="J22" s="83">
        <v>0</v>
      </c>
      <c r="K22" s="83">
        <v>0.3</v>
      </c>
      <c r="L22" s="83">
        <v>0.7</v>
      </c>
      <c r="M22" s="83">
        <v>0.3</v>
      </c>
      <c r="N22" s="83">
        <v>0.7</v>
      </c>
      <c r="O22" s="83">
        <v>0.3</v>
      </c>
      <c r="P22" s="73">
        <v>0.7</v>
      </c>
      <c r="Q22" s="83">
        <v>0</v>
      </c>
      <c r="R22" s="74">
        <v>1</v>
      </c>
      <c r="S22"/>
      <c r="T22"/>
    </row>
    <row r="23" spans="1:20" ht="15" customHeight="1" x14ac:dyDescent="0.15">
      <c r="A23" s="83"/>
      <c r="B23" s="94">
        <v>2.842283855907879E-3</v>
      </c>
      <c r="C23" s="201" t="s">
        <v>281</v>
      </c>
      <c r="D23" s="87" t="s">
        <v>160</v>
      </c>
      <c r="F23" s="199" t="s">
        <v>209</v>
      </c>
      <c r="G23" s="83">
        <v>0</v>
      </c>
      <c r="H23" s="83">
        <v>0</v>
      </c>
      <c r="I23" s="83">
        <v>0</v>
      </c>
      <c r="J23" s="83">
        <v>0</v>
      </c>
      <c r="K23" s="83">
        <v>0.4</v>
      </c>
      <c r="L23" s="83">
        <v>0.6</v>
      </c>
      <c r="M23" s="83">
        <v>0.4</v>
      </c>
      <c r="N23" s="83">
        <v>0.6</v>
      </c>
      <c r="O23" s="83">
        <v>0.4</v>
      </c>
      <c r="P23" s="73">
        <v>0.6</v>
      </c>
      <c r="Q23" s="83">
        <v>0</v>
      </c>
      <c r="R23" s="74">
        <v>1</v>
      </c>
      <c r="S23"/>
      <c r="T23"/>
    </row>
    <row r="24" spans="1:20" ht="15" customHeight="1" x14ac:dyDescent="0.15">
      <c r="A24" s="83"/>
      <c r="B24" s="94">
        <v>5.2492508152044044E-2</v>
      </c>
      <c r="C24" s="201" t="s">
        <v>282</v>
      </c>
      <c r="D24" s="87" t="s">
        <v>160</v>
      </c>
      <c r="F24" s="199" t="s">
        <v>210</v>
      </c>
      <c r="G24" s="83">
        <v>0</v>
      </c>
      <c r="H24" s="83">
        <v>0</v>
      </c>
      <c r="I24" s="83">
        <v>0</v>
      </c>
      <c r="J24" s="83">
        <v>0</v>
      </c>
      <c r="K24" s="83">
        <v>0.3</v>
      </c>
      <c r="L24" s="83">
        <v>0.7</v>
      </c>
      <c r="M24" s="83">
        <v>0.3</v>
      </c>
      <c r="N24" s="83">
        <v>0.7</v>
      </c>
      <c r="O24" s="83">
        <v>0.3</v>
      </c>
      <c r="P24" s="73">
        <v>0.7</v>
      </c>
      <c r="Q24" s="83">
        <v>0</v>
      </c>
      <c r="R24" s="74">
        <v>1</v>
      </c>
      <c r="S24"/>
      <c r="T24"/>
    </row>
    <row r="25" spans="1:20" ht="15" customHeight="1" x14ac:dyDescent="0.15">
      <c r="A25" s="83"/>
      <c r="B25" s="94">
        <v>1.2488192280644825E-4</v>
      </c>
      <c r="C25" s="201" t="s">
        <v>283</v>
      </c>
      <c r="D25" s="87" t="s">
        <v>160</v>
      </c>
      <c r="F25" s="199" t="s">
        <v>211</v>
      </c>
      <c r="G25" s="83">
        <v>0</v>
      </c>
      <c r="H25" s="83">
        <v>0</v>
      </c>
      <c r="I25" s="83">
        <v>0</v>
      </c>
      <c r="J25" s="83">
        <v>0</v>
      </c>
      <c r="K25" s="83">
        <v>0.3</v>
      </c>
      <c r="L25" s="83">
        <v>0.7</v>
      </c>
      <c r="M25" s="83">
        <v>0.3</v>
      </c>
      <c r="N25" s="83">
        <v>0.7</v>
      </c>
      <c r="O25" s="83">
        <v>0.3</v>
      </c>
      <c r="P25" s="73">
        <v>0.7</v>
      </c>
      <c r="Q25" s="83">
        <v>0</v>
      </c>
      <c r="R25" s="74">
        <v>1</v>
      </c>
      <c r="S25"/>
      <c r="T25"/>
    </row>
    <row r="26" spans="1:20" ht="15" customHeight="1" x14ac:dyDescent="0.15">
      <c r="B26" s="94"/>
      <c r="C26" s="82"/>
      <c r="D26" s="87" t="s">
        <v>160</v>
      </c>
      <c r="F26" s="199" t="s">
        <v>212</v>
      </c>
      <c r="G26" s="83">
        <v>0</v>
      </c>
      <c r="H26" s="83">
        <v>0</v>
      </c>
      <c r="I26" s="83">
        <v>0</v>
      </c>
      <c r="J26" s="83">
        <v>0</v>
      </c>
      <c r="K26" s="83">
        <v>0.2</v>
      </c>
      <c r="L26" s="83">
        <v>0.8</v>
      </c>
      <c r="M26" s="83">
        <v>0.2</v>
      </c>
      <c r="N26" s="83">
        <v>0.8</v>
      </c>
      <c r="O26" s="83">
        <v>0.2</v>
      </c>
      <c r="P26" s="73">
        <v>0.8</v>
      </c>
      <c r="Q26" s="83">
        <v>0</v>
      </c>
      <c r="R26" s="74">
        <v>1</v>
      </c>
      <c r="S26"/>
      <c r="T26"/>
    </row>
    <row r="27" spans="1:20" ht="15" customHeight="1" x14ac:dyDescent="0.15">
      <c r="B27" s="94"/>
      <c r="C27" s="82"/>
      <c r="D27" s="87" t="s">
        <v>160</v>
      </c>
      <c r="F27" s="199" t="s">
        <v>213</v>
      </c>
      <c r="G27" s="83">
        <v>0</v>
      </c>
      <c r="H27" s="83">
        <v>0</v>
      </c>
      <c r="I27" s="83">
        <v>0</v>
      </c>
      <c r="J27" s="83">
        <v>0</v>
      </c>
      <c r="K27" s="83">
        <v>0.3</v>
      </c>
      <c r="L27" s="83">
        <v>0.7</v>
      </c>
      <c r="M27" s="83">
        <v>0.3</v>
      </c>
      <c r="N27" s="83">
        <v>0.7</v>
      </c>
      <c r="O27" s="83">
        <v>0.3</v>
      </c>
      <c r="P27" s="73">
        <v>0.7</v>
      </c>
      <c r="Q27" s="83">
        <v>0</v>
      </c>
      <c r="R27" s="74">
        <v>1</v>
      </c>
      <c r="S27"/>
      <c r="T27"/>
    </row>
    <row r="28" spans="1:20" ht="15" customHeight="1" thickBot="1" x14ac:dyDescent="0.2">
      <c r="B28" s="93"/>
      <c r="C28" s="82"/>
      <c r="D28" s="87" t="s">
        <v>160</v>
      </c>
      <c r="F28" s="199" t="s">
        <v>214</v>
      </c>
      <c r="G28" s="83">
        <v>0</v>
      </c>
      <c r="H28" s="83">
        <v>0</v>
      </c>
      <c r="I28" s="83">
        <v>0</v>
      </c>
      <c r="J28" s="83">
        <v>0</v>
      </c>
      <c r="K28" s="83">
        <v>0.3</v>
      </c>
      <c r="L28" s="83">
        <v>0.7</v>
      </c>
      <c r="M28" s="83">
        <v>0.3</v>
      </c>
      <c r="N28" s="83">
        <v>0.7</v>
      </c>
      <c r="O28" s="83">
        <v>0.3</v>
      </c>
      <c r="P28" s="73">
        <v>0.7</v>
      </c>
      <c r="Q28" s="83">
        <v>0</v>
      </c>
      <c r="R28" s="74">
        <v>1</v>
      </c>
      <c r="S28"/>
      <c r="T28"/>
    </row>
    <row r="29" spans="1:20" ht="15" customHeight="1" x14ac:dyDescent="0.15">
      <c r="F29" s="199" t="s">
        <v>215</v>
      </c>
      <c r="G29" s="83">
        <v>0</v>
      </c>
      <c r="H29" s="83">
        <v>0</v>
      </c>
      <c r="I29" s="83">
        <v>0</v>
      </c>
      <c r="J29" s="83">
        <v>0</v>
      </c>
      <c r="K29" s="83">
        <v>0.3</v>
      </c>
      <c r="L29" s="83">
        <v>0.7</v>
      </c>
      <c r="M29" s="83">
        <v>0.3</v>
      </c>
      <c r="N29" s="83">
        <v>0.7</v>
      </c>
      <c r="O29" s="83">
        <v>0.3</v>
      </c>
      <c r="P29" s="73">
        <v>0.7</v>
      </c>
      <c r="Q29" s="83">
        <v>0</v>
      </c>
      <c r="R29" s="74">
        <v>1</v>
      </c>
      <c r="S29"/>
      <c r="T29"/>
    </row>
    <row r="30" spans="1:20" ht="15" customHeight="1" x14ac:dyDescent="0.15">
      <c r="F30" s="199" t="s">
        <v>216</v>
      </c>
      <c r="G30" s="83">
        <v>0</v>
      </c>
      <c r="H30" s="83">
        <v>0</v>
      </c>
      <c r="I30" s="83">
        <v>0</v>
      </c>
      <c r="J30" s="83">
        <v>0</v>
      </c>
      <c r="K30" s="83">
        <v>0.7</v>
      </c>
      <c r="L30" s="83">
        <v>0.30000000000000004</v>
      </c>
      <c r="M30" s="83">
        <v>0.7</v>
      </c>
      <c r="N30" s="83">
        <v>0.30000000000000004</v>
      </c>
      <c r="O30" s="83">
        <v>0.7</v>
      </c>
      <c r="P30" s="73">
        <v>0.30000000000000004</v>
      </c>
      <c r="Q30" s="83">
        <v>0</v>
      </c>
      <c r="R30" s="74">
        <v>1</v>
      </c>
      <c r="S30"/>
      <c r="T30"/>
    </row>
    <row r="31" spans="1:20" ht="15" customHeight="1" x14ac:dyDescent="0.15">
      <c r="A31" s="128"/>
      <c r="B31" s="135" t="s">
        <v>17</v>
      </c>
      <c r="C31" s="135" t="s">
        <v>1</v>
      </c>
      <c r="D31" s="135" t="s">
        <v>161</v>
      </c>
      <c r="E31" s="136" t="s">
        <v>163</v>
      </c>
      <c r="F31" s="199" t="s">
        <v>217</v>
      </c>
      <c r="G31" s="83">
        <v>0</v>
      </c>
      <c r="H31" s="83">
        <v>0</v>
      </c>
      <c r="I31" s="83">
        <v>0</v>
      </c>
      <c r="J31" s="83">
        <v>0</v>
      </c>
      <c r="K31" s="83">
        <v>0.9</v>
      </c>
      <c r="L31" s="83">
        <v>9.9999999999999978E-2</v>
      </c>
      <c r="M31" s="83">
        <v>0.9</v>
      </c>
      <c r="N31" s="83">
        <v>9.9999999999999978E-2</v>
      </c>
      <c r="O31" s="83">
        <v>0.9</v>
      </c>
      <c r="P31" s="73">
        <v>9.9999999999999978E-2</v>
      </c>
      <c r="Q31" s="83">
        <v>0</v>
      </c>
      <c r="R31" s="74">
        <v>1</v>
      </c>
      <c r="S31"/>
      <c r="T31"/>
    </row>
    <row r="32" spans="1:20" ht="15" customHeight="1" x14ac:dyDescent="0.15">
      <c r="A32" s="202" t="s">
        <v>277</v>
      </c>
      <c r="B32" s="95">
        <v>3.9047000000000001</v>
      </c>
      <c r="C32" s="95">
        <v>933.08299999999997</v>
      </c>
      <c r="D32" s="95">
        <v>3643.4091901000002</v>
      </c>
      <c r="E32" s="129">
        <v>0.76032400699609126</v>
      </c>
      <c r="F32" s="199" t="s">
        <v>218</v>
      </c>
      <c r="G32" s="83">
        <v>0</v>
      </c>
      <c r="H32" s="83">
        <v>0</v>
      </c>
      <c r="I32" s="83">
        <v>0</v>
      </c>
      <c r="J32" s="83">
        <v>0</v>
      </c>
      <c r="K32" s="83">
        <v>0.2</v>
      </c>
      <c r="L32" s="83">
        <v>0.8</v>
      </c>
      <c r="M32" s="83">
        <v>0.2</v>
      </c>
      <c r="N32" s="83">
        <v>0.8</v>
      </c>
      <c r="O32" s="83">
        <v>0.2</v>
      </c>
      <c r="P32" s="73">
        <v>0.8</v>
      </c>
      <c r="Q32" s="83">
        <v>0</v>
      </c>
      <c r="R32" s="74">
        <v>1</v>
      </c>
      <c r="S32"/>
      <c r="T32"/>
    </row>
    <row r="33" spans="1:20" ht="15" customHeight="1" x14ac:dyDescent="0.15">
      <c r="A33" s="202" t="s">
        <v>278</v>
      </c>
      <c r="B33" s="95">
        <v>0.38919999999999999</v>
      </c>
      <c r="C33" s="95">
        <v>933.08299999999997</v>
      </c>
      <c r="D33" s="95">
        <v>363.15590359999999</v>
      </c>
      <c r="E33" s="129">
        <v>7.5785106031930421E-2</v>
      </c>
      <c r="F33" s="199" t="s">
        <v>219</v>
      </c>
      <c r="G33" s="83">
        <v>0</v>
      </c>
      <c r="H33" s="83">
        <v>0</v>
      </c>
      <c r="I33" s="83">
        <v>0</v>
      </c>
      <c r="J33" s="83">
        <v>0</v>
      </c>
      <c r="K33" s="83">
        <v>0.3</v>
      </c>
      <c r="L33" s="83">
        <v>0.7</v>
      </c>
      <c r="M33" s="83">
        <v>0.3</v>
      </c>
      <c r="N33" s="83">
        <v>0.7</v>
      </c>
      <c r="O33" s="83">
        <v>0.3</v>
      </c>
      <c r="P33" s="73">
        <v>0.7</v>
      </c>
      <c r="Q33" s="83">
        <v>0</v>
      </c>
      <c r="R33" s="74">
        <v>1</v>
      </c>
      <c r="S33"/>
      <c r="T33"/>
    </row>
    <row r="34" spans="1:20" ht="15" customHeight="1" x14ac:dyDescent="0.15">
      <c r="A34" s="202" t="s">
        <v>279</v>
      </c>
      <c r="B34" s="95">
        <v>0.72904040000000003</v>
      </c>
      <c r="C34" s="95">
        <v>706.49599999999998</v>
      </c>
      <c r="D34" s="95">
        <v>515.06412643839997</v>
      </c>
      <c r="E34" s="129">
        <v>0.10748603849869441</v>
      </c>
      <c r="F34" s="199" t="s">
        <v>220</v>
      </c>
      <c r="G34" s="83">
        <v>0</v>
      </c>
      <c r="H34" s="83">
        <v>0</v>
      </c>
      <c r="I34" s="83">
        <v>0</v>
      </c>
      <c r="J34" s="83">
        <v>0</v>
      </c>
      <c r="K34" s="83">
        <v>0</v>
      </c>
      <c r="L34" s="83">
        <v>1</v>
      </c>
      <c r="M34" s="83">
        <v>0</v>
      </c>
      <c r="N34" s="83">
        <v>1</v>
      </c>
      <c r="O34" s="83">
        <v>0</v>
      </c>
      <c r="P34" s="73">
        <v>1</v>
      </c>
      <c r="Q34" s="83">
        <v>0</v>
      </c>
      <c r="R34" s="74">
        <v>1</v>
      </c>
      <c r="S34"/>
      <c r="T34"/>
    </row>
    <row r="35" spans="1:20" ht="15" customHeight="1" x14ac:dyDescent="0.15">
      <c r="A35" s="202" t="s">
        <v>280</v>
      </c>
      <c r="B35" s="95">
        <v>2.1115140000000001</v>
      </c>
      <c r="C35" s="95">
        <v>2.145</v>
      </c>
      <c r="D35" s="95">
        <v>4.5291975300000002</v>
      </c>
      <c r="E35" s="129">
        <v>9.4517454252561787E-4</v>
      </c>
      <c r="F35" s="199" t="s">
        <v>221</v>
      </c>
      <c r="G35" s="83">
        <v>0</v>
      </c>
      <c r="H35" s="83">
        <v>0</v>
      </c>
      <c r="I35" s="83">
        <v>0</v>
      </c>
      <c r="J35" s="83">
        <v>0</v>
      </c>
      <c r="K35" s="83">
        <v>0</v>
      </c>
      <c r="L35" s="83">
        <v>1</v>
      </c>
      <c r="M35" s="83">
        <v>0</v>
      </c>
      <c r="N35" s="83">
        <v>1</v>
      </c>
      <c r="O35" s="83">
        <v>0</v>
      </c>
      <c r="P35" s="73">
        <v>1</v>
      </c>
      <c r="Q35" s="83">
        <v>0</v>
      </c>
      <c r="R35" s="74">
        <v>1</v>
      </c>
      <c r="S35"/>
      <c r="T35"/>
    </row>
    <row r="36" spans="1:20" ht="15" customHeight="1" x14ac:dyDescent="0.15">
      <c r="A36" s="202" t="s">
        <v>281</v>
      </c>
      <c r="B36" s="95">
        <v>1.1349989199999999</v>
      </c>
      <c r="C36" s="95">
        <v>12</v>
      </c>
      <c r="D36" s="95">
        <v>13.619987039999998</v>
      </c>
      <c r="E36" s="129">
        <v>2.842283855907879E-3</v>
      </c>
      <c r="F36" s="199" t="s">
        <v>222</v>
      </c>
      <c r="G36" s="83">
        <v>0</v>
      </c>
      <c r="H36" s="83">
        <v>0</v>
      </c>
      <c r="I36" s="83">
        <v>0</v>
      </c>
      <c r="J36" s="83">
        <v>0</v>
      </c>
      <c r="K36" s="83">
        <v>0</v>
      </c>
      <c r="L36" s="83">
        <v>1</v>
      </c>
      <c r="M36" s="83">
        <v>0</v>
      </c>
      <c r="N36" s="83">
        <v>1</v>
      </c>
      <c r="O36" s="83">
        <v>0</v>
      </c>
      <c r="P36" s="73">
        <v>1</v>
      </c>
      <c r="Q36" s="83">
        <v>0</v>
      </c>
      <c r="R36" s="74">
        <v>1</v>
      </c>
      <c r="S36"/>
      <c r="T36"/>
    </row>
    <row r="37" spans="1:20" ht="15" customHeight="1" x14ac:dyDescent="0.15">
      <c r="A37" s="202" t="s">
        <v>282</v>
      </c>
      <c r="B37" s="95">
        <v>20.961643200000001</v>
      </c>
      <c r="C37" s="95">
        <v>12</v>
      </c>
      <c r="D37" s="95">
        <v>251.53971840000003</v>
      </c>
      <c r="E37" s="129">
        <v>5.2492508152044044E-2</v>
      </c>
      <c r="F37" s="199" t="s">
        <v>223</v>
      </c>
      <c r="G37" s="83">
        <v>0</v>
      </c>
      <c r="H37" s="83">
        <v>0</v>
      </c>
      <c r="I37" s="83">
        <v>0</v>
      </c>
      <c r="J37" s="83">
        <v>0</v>
      </c>
      <c r="K37" s="83">
        <v>0</v>
      </c>
      <c r="L37" s="83">
        <v>1</v>
      </c>
      <c r="M37" s="83">
        <v>0</v>
      </c>
      <c r="N37" s="83">
        <v>1</v>
      </c>
      <c r="O37" s="83">
        <v>0</v>
      </c>
      <c r="P37" s="73">
        <v>1</v>
      </c>
      <c r="Q37" s="83">
        <v>0</v>
      </c>
      <c r="R37" s="74">
        <v>1</v>
      </c>
      <c r="S37"/>
      <c r="T37"/>
    </row>
    <row r="38" spans="1:20" ht="15" customHeight="1" x14ac:dyDescent="0.15">
      <c r="A38" s="202" t="s">
        <v>283</v>
      </c>
      <c r="B38" s="95">
        <v>0.181340531</v>
      </c>
      <c r="C38" s="95">
        <v>3.3</v>
      </c>
      <c r="D38" s="95">
        <v>0.5984237523</v>
      </c>
      <c r="E38" s="129">
        <v>1.2488192280644825E-4</v>
      </c>
      <c r="F38" s="199" t="s">
        <v>224</v>
      </c>
      <c r="G38" s="83">
        <v>0</v>
      </c>
      <c r="H38" s="83">
        <v>0</v>
      </c>
      <c r="I38" s="83">
        <v>0</v>
      </c>
      <c r="J38" s="83">
        <v>0</v>
      </c>
      <c r="K38" s="83">
        <v>0</v>
      </c>
      <c r="L38" s="83">
        <v>1</v>
      </c>
      <c r="M38" s="83">
        <v>0</v>
      </c>
      <c r="N38" s="83">
        <v>1</v>
      </c>
      <c r="O38" s="83">
        <v>0</v>
      </c>
      <c r="P38" s="73">
        <v>1</v>
      </c>
      <c r="Q38" s="83">
        <v>0</v>
      </c>
      <c r="R38" s="74">
        <v>1</v>
      </c>
      <c r="S38"/>
      <c r="T38"/>
    </row>
    <row r="39" spans="1:20" ht="15" customHeight="1" x14ac:dyDescent="0.15">
      <c r="A39" s="130"/>
      <c r="B39" s="95"/>
      <c r="C39" s="95"/>
      <c r="D39" s="95"/>
      <c r="E39" s="129"/>
      <c r="F39" s="199" t="s">
        <v>225</v>
      </c>
      <c r="G39" s="83">
        <v>0</v>
      </c>
      <c r="H39" s="83">
        <v>0</v>
      </c>
      <c r="I39" s="83">
        <v>0</v>
      </c>
      <c r="J39" s="83">
        <v>0</v>
      </c>
      <c r="K39" s="83">
        <v>0</v>
      </c>
      <c r="L39" s="83">
        <v>1</v>
      </c>
      <c r="M39" s="83">
        <v>0</v>
      </c>
      <c r="N39" s="83">
        <v>1</v>
      </c>
      <c r="O39" s="83">
        <v>0</v>
      </c>
      <c r="P39" s="73">
        <v>1</v>
      </c>
      <c r="Q39" s="83">
        <v>0</v>
      </c>
      <c r="R39" s="74">
        <v>1</v>
      </c>
      <c r="S39"/>
      <c r="T39"/>
    </row>
    <row r="40" spans="1:20" ht="15" customHeight="1" x14ac:dyDescent="0.15">
      <c r="A40" s="130"/>
      <c r="B40" s="95"/>
      <c r="C40" s="95"/>
      <c r="D40" s="95"/>
      <c r="E40" s="129"/>
      <c r="F40" s="199" t="s">
        <v>226</v>
      </c>
      <c r="G40" s="83">
        <v>0</v>
      </c>
      <c r="H40" s="83">
        <v>0</v>
      </c>
      <c r="I40" s="83">
        <v>0</v>
      </c>
      <c r="J40" s="83">
        <v>0</v>
      </c>
      <c r="K40" s="83">
        <v>0</v>
      </c>
      <c r="L40" s="83">
        <v>1</v>
      </c>
      <c r="M40" s="83">
        <v>0</v>
      </c>
      <c r="N40" s="83">
        <v>1</v>
      </c>
      <c r="O40" s="83">
        <v>0</v>
      </c>
      <c r="P40" s="73">
        <v>1</v>
      </c>
      <c r="Q40" s="83">
        <v>0</v>
      </c>
      <c r="R40" s="74">
        <v>1</v>
      </c>
      <c r="S40"/>
      <c r="T40"/>
    </row>
    <row r="41" spans="1:20" ht="15" customHeight="1" thickBot="1" x14ac:dyDescent="0.2">
      <c r="A41" s="130"/>
      <c r="B41" s="95"/>
      <c r="C41" s="95"/>
      <c r="D41" s="96"/>
      <c r="E41" s="131"/>
      <c r="F41" s="199" t="s">
        <v>227</v>
      </c>
      <c r="G41" s="83">
        <v>0</v>
      </c>
      <c r="H41" s="83">
        <v>0</v>
      </c>
      <c r="I41" s="83">
        <v>0</v>
      </c>
      <c r="J41" s="83">
        <v>0</v>
      </c>
      <c r="K41" s="83">
        <v>0</v>
      </c>
      <c r="L41" s="83">
        <v>1</v>
      </c>
      <c r="M41" s="83">
        <v>0</v>
      </c>
      <c r="N41" s="83">
        <v>1</v>
      </c>
      <c r="O41" s="83">
        <v>0</v>
      </c>
      <c r="P41" s="73">
        <v>1</v>
      </c>
      <c r="Q41" s="83">
        <v>0</v>
      </c>
      <c r="R41" s="74">
        <v>1</v>
      </c>
      <c r="S41"/>
      <c r="T41"/>
    </row>
    <row r="42" spans="1:20" ht="15" customHeight="1" x14ac:dyDescent="0.15">
      <c r="A42" s="132"/>
      <c r="B42" s="133"/>
      <c r="C42" s="133" t="s">
        <v>162</v>
      </c>
      <c r="D42" s="133">
        <f>SUM(D32:D41)</f>
        <v>4791.9165468606998</v>
      </c>
      <c r="E42" s="134">
        <f>SUM(E32:E41)</f>
        <v>1.0000000000000002</v>
      </c>
      <c r="F42" s="199" t="s">
        <v>228</v>
      </c>
      <c r="G42" s="83">
        <v>0</v>
      </c>
      <c r="H42" s="83">
        <v>0</v>
      </c>
      <c r="I42" s="83">
        <v>0</v>
      </c>
      <c r="J42" s="83">
        <v>0</v>
      </c>
      <c r="K42" s="83">
        <v>0</v>
      </c>
      <c r="L42" s="83">
        <v>1</v>
      </c>
      <c r="M42" s="83">
        <v>0</v>
      </c>
      <c r="N42" s="83">
        <v>1</v>
      </c>
      <c r="O42" s="83">
        <v>0</v>
      </c>
      <c r="P42" s="73">
        <v>1</v>
      </c>
      <c r="Q42" s="83">
        <v>0</v>
      </c>
      <c r="R42" s="74">
        <v>1</v>
      </c>
      <c r="S42"/>
      <c r="T42"/>
    </row>
    <row r="43" spans="1:20" ht="15" customHeight="1" x14ac:dyDescent="0.15">
      <c r="A43" s="83"/>
      <c r="F43" s="199" t="s">
        <v>229</v>
      </c>
      <c r="G43" s="83">
        <v>0</v>
      </c>
      <c r="H43" s="83">
        <v>0</v>
      </c>
      <c r="I43" s="83">
        <v>0</v>
      </c>
      <c r="J43" s="83">
        <v>0</v>
      </c>
      <c r="K43" s="83">
        <v>0</v>
      </c>
      <c r="L43" s="83">
        <v>1</v>
      </c>
      <c r="M43" s="83">
        <v>0</v>
      </c>
      <c r="N43" s="83">
        <v>1</v>
      </c>
      <c r="O43" s="83">
        <v>0</v>
      </c>
      <c r="P43" s="73">
        <v>1</v>
      </c>
      <c r="Q43" s="83">
        <v>0</v>
      </c>
      <c r="R43" s="74">
        <v>1</v>
      </c>
      <c r="S43"/>
      <c r="T43"/>
    </row>
    <row r="44" spans="1:20" ht="15" customHeight="1" x14ac:dyDescent="0.15">
      <c r="A44" s="83"/>
      <c r="F44" s="199" t="s">
        <v>230</v>
      </c>
      <c r="G44" s="83">
        <v>0</v>
      </c>
      <c r="H44" s="83">
        <v>0</v>
      </c>
      <c r="I44" s="83">
        <v>0</v>
      </c>
      <c r="J44" s="83">
        <v>0</v>
      </c>
      <c r="K44" s="83">
        <v>0</v>
      </c>
      <c r="L44" s="83">
        <v>1</v>
      </c>
      <c r="M44" s="83">
        <v>0</v>
      </c>
      <c r="N44" s="83">
        <v>1</v>
      </c>
      <c r="O44" s="83">
        <v>0</v>
      </c>
      <c r="P44" s="73">
        <v>1</v>
      </c>
      <c r="Q44" s="83">
        <v>0</v>
      </c>
      <c r="R44" s="74">
        <v>1</v>
      </c>
    </row>
    <row r="45" spans="1:20" ht="15" customHeight="1" x14ac:dyDescent="0.15">
      <c r="A45" s="83"/>
      <c r="F45" s="199" t="s">
        <v>231</v>
      </c>
      <c r="G45" s="83">
        <v>0</v>
      </c>
      <c r="H45" s="83">
        <v>0</v>
      </c>
      <c r="I45" s="83">
        <v>0</v>
      </c>
      <c r="J45" s="83">
        <v>0</v>
      </c>
      <c r="K45" s="83">
        <v>0</v>
      </c>
      <c r="L45" s="83">
        <v>1</v>
      </c>
      <c r="M45" s="83">
        <v>0</v>
      </c>
      <c r="N45" s="83">
        <v>1</v>
      </c>
      <c r="O45" s="83">
        <v>0</v>
      </c>
      <c r="P45" s="73">
        <v>1</v>
      </c>
      <c r="Q45" s="83">
        <v>0</v>
      </c>
      <c r="R45" s="74">
        <v>1</v>
      </c>
    </row>
    <row r="46" spans="1:20" ht="15" customHeight="1" x14ac:dyDescent="0.15">
      <c r="A46" s="83"/>
      <c r="F46" s="199" t="s">
        <v>232</v>
      </c>
      <c r="G46" s="83">
        <v>0</v>
      </c>
      <c r="H46" s="83">
        <v>0</v>
      </c>
      <c r="I46" s="83">
        <v>0</v>
      </c>
      <c r="J46" s="83">
        <v>0</v>
      </c>
      <c r="K46" s="83">
        <v>0.2</v>
      </c>
      <c r="L46" s="83">
        <v>0.8</v>
      </c>
      <c r="M46" s="83">
        <v>0.2</v>
      </c>
      <c r="N46" s="83">
        <v>0.8</v>
      </c>
      <c r="O46" s="83">
        <v>0.2</v>
      </c>
      <c r="P46" s="73">
        <v>0.8</v>
      </c>
      <c r="Q46" s="83">
        <v>0</v>
      </c>
      <c r="R46" s="74">
        <v>1</v>
      </c>
    </row>
    <row r="47" spans="1:20" ht="15" customHeight="1" x14ac:dyDescent="0.15">
      <c r="A47" s="83"/>
      <c r="F47" s="199" t="s">
        <v>233</v>
      </c>
      <c r="G47" s="83">
        <v>0</v>
      </c>
      <c r="H47" s="83">
        <v>0</v>
      </c>
      <c r="I47" s="83">
        <v>0</v>
      </c>
      <c r="J47" s="83">
        <v>0</v>
      </c>
      <c r="K47" s="83">
        <v>0.7</v>
      </c>
      <c r="L47" s="83">
        <v>0.30000000000000004</v>
      </c>
      <c r="M47" s="83">
        <v>0.7</v>
      </c>
      <c r="N47" s="83">
        <v>0.30000000000000004</v>
      </c>
      <c r="O47" s="83">
        <v>0.7</v>
      </c>
      <c r="P47" s="73">
        <v>0.30000000000000004</v>
      </c>
      <c r="Q47" s="83">
        <v>0</v>
      </c>
      <c r="R47" s="74">
        <v>1</v>
      </c>
    </row>
    <row r="48" spans="1:20" ht="15" customHeight="1" x14ac:dyDescent="0.15">
      <c r="A48" s="83"/>
      <c r="F48" s="199" t="s">
        <v>234</v>
      </c>
      <c r="G48" s="83">
        <v>0</v>
      </c>
      <c r="H48" s="83">
        <v>0</v>
      </c>
      <c r="I48" s="83">
        <v>0</v>
      </c>
      <c r="J48" s="83">
        <v>0</v>
      </c>
      <c r="K48" s="83">
        <v>0</v>
      </c>
      <c r="L48" s="83">
        <v>1</v>
      </c>
      <c r="M48" s="83">
        <v>0</v>
      </c>
      <c r="N48" s="83">
        <v>1</v>
      </c>
      <c r="O48" s="83">
        <v>0</v>
      </c>
      <c r="P48" s="73">
        <v>1</v>
      </c>
      <c r="Q48" s="83">
        <v>0</v>
      </c>
      <c r="R48" s="74">
        <v>1</v>
      </c>
    </row>
    <row r="49" spans="6:18" s="83" customFormat="1" ht="15" customHeight="1" x14ac:dyDescent="0.15">
      <c r="F49" s="199" t="s">
        <v>235</v>
      </c>
      <c r="G49" s="83">
        <v>0</v>
      </c>
      <c r="H49" s="83">
        <v>0</v>
      </c>
      <c r="I49" s="83">
        <v>0</v>
      </c>
      <c r="J49" s="83">
        <v>0</v>
      </c>
      <c r="K49" s="83">
        <v>0</v>
      </c>
      <c r="L49" s="83">
        <v>1</v>
      </c>
      <c r="M49" s="83">
        <v>0</v>
      </c>
      <c r="N49" s="83">
        <v>1</v>
      </c>
      <c r="O49" s="83">
        <v>0</v>
      </c>
      <c r="P49" s="73">
        <v>1</v>
      </c>
      <c r="Q49" s="83">
        <v>0</v>
      </c>
      <c r="R49" s="74">
        <v>1</v>
      </c>
    </row>
    <row r="50" spans="6:18" s="83" customFormat="1" ht="15" customHeight="1" x14ac:dyDescent="0.15">
      <c r="F50" s="199" t="s">
        <v>236</v>
      </c>
      <c r="G50" s="83">
        <v>0</v>
      </c>
      <c r="H50" s="83">
        <v>0</v>
      </c>
      <c r="I50" s="83">
        <v>0</v>
      </c>
      <c r="J50" s="83">
        <v>0</v>
      </c>
      <c r="K50" s="83">
        <v>0.1</v>
      </c>
      <c r="L50" s="83">
        <v>0.9</v>
      </c>
      <c r="M50" s="83">
        <v>0.1</v>
      </c>
      <c r="N50" s="83">
        <v>0.9</v>
      </c>
      <c r="O50" s="83">
        <v>0.1</v>
      </c>
      <c r="P50" s="73">
        <v>0.9</v>
      </c>
      <c r="Q50" s="83">
        <v>0</v>
      </c>
      <c r="R50" s="74">
        <v>1</v>
      </c>
    </row>
    <row r="51" spans="6:18" s="83" customFormat="1" ht="15" customHeight="1" x14ac:dyDescent="0.15">
      <c r="F51" s="199" t="s">
        <v>237</v>
      </c>
      <c r="G51" s="83">
        <v>0</v>
      </c>
      <c r="H51" s="83">
        <v>0</v>
      </c>
      <c r="I51" s="83">
        <v>0</v>
      </c>
      <c r="J51" s="83">
        <v>0</v>
      </c>
      <c r="K51" s="83">
        <v>0.1</v>
      </c>
      <c r="L51" s="83">
        <v>0.9</v>
      </c>
      <c r="M51" s="83">
        <v>0.1</v>
      </c>
      <c r="N51" s="83">
        <v>0.9</v>
      </c>
      <c r="O51" s="83">
        <v>0.1</v>
      </c>
      <c r="P51" s="73">
        <v>0.9</v>
      </c>
      <c r="Q51" s="83">
        <v>0</v>
      </c>
      <c r="R51" s="74">
        <v>1</v>
      </c>
    </row>
    <row r="52" spans="6:18" s="83" customFormat="1" ht="15" customHeight="1" x14ac:dyDescent="0.15">
      <c r="F52" s="199" t="s">
        <v>238</v>
      </c>
      <c r="G52" s="83">
        <v>0</v>
      </c>
      <c r="H52" s="83">
        <v>0</v>
      </c>
      <c r="I52" s="83">
        <v>0</v>
      </c>
      <c r="J52" s="83">
        <v>0</v>
      </c>
      <c r="K52" s="83">
        <v>0</v>
      </c>
      <c r="L52" s="83">
        <v>1</v>
      </c>
      <c r="M52" s="83">
        <v>0</v>
      </c>
      <c r="N52" s="83">
        <v>1</v>
      </c>
      <c r="O52" s="83">
        <v>0</v>
      </c>
      <c r="P52" s="73">
        <v>1</v>
      </c>
      <c r="Q52" s="83">
        <v>0</v>
      </c>
      <c r="R52" s="74">
        <v>1</v>
      </c>
    </row>
    <row r="53" spans="6:18" s="83" customFormat="1" ht="15" customHeight="1" x14ac:dyDescent="0.15">
      <c r="F53" s="199" t="s">
        <v>239</v>
      </c>
      <c r="G53" s="83">
        <v>0</v>
      </c>
      <c r="H53" s="83">
        <v>0</v>
      </c>
      <c r="I53" s="83">
        <v>0</v>
      </c>
      <c r="J53" s="83">
        <v>0</v>
      </c>
      <c r="K53" s="83">
        <v>0.1</v>
      </c>
      <c r="L53" s="83">
        <v>0.9</v>
      </c>
      <c r="M53" s="83">
        <v>0.1</v>
      </c>
      <c r="N53" s="83">
        <v>0.9</v>
      </c>
      <c r="O53" s="83">
        <v>0.1</v>
      </c>
      <c r="P53" s="73">
        <v>0.9</v>
      </c>
      <c r="Q53" s="83">
        <v>0</v>
      </c>
      <c r="R53" s="74">
        <v>1</v>
      </c>
    </row>
    <row r="54" spans="6:18" s="83" customFormat="1" ht="15" customHeight="1" x14ac:dyDescent="0.15">
      <c r="F54" s="199" t="s">
        <v>240</v>
      </c>
      <c r="G54" s="83">
        <v>0</v>
      </c>
      <c r="H54" s="83">
        <v>0</v>
      </c>
      <c r="I54" s="83">
        <v>0</v>
      </c>
      <c r="J54" s="83">
        <v>0</v>
      </c>
      <c r="K54" s="83">
        <v>0.1</v>
      </c>
      <c r="L54" s="83">
        <v>0.9</v>
      </c>
      <c r="M54" s="83">
        <v>0.1</v>
      </c>
      <c r="N54" s="83">
        <v>0.9</v>
      </c>
      <c r="O54" s="83">
        <v>0.1</v>
      </c>
      <c r="P54" s="73">
        <v>0.9</v>
      </c>
      <c r="Q54" s="83">
        <v>0</v>
      </c>
      <c r="R54" s="74">
        <v>1</v>
      </c>
    </row>
    <row r="55" spans="6:18" s="83" customFormat="1" ht="15" customHeight="1" x14ac:dyDescent="0.15">
      <c r="F55" s="199" t="s">
        <v>241</v>
      </c>
      <c r="G55" s="83">
        <v>0</v>
      </c>
      <c r="H55" s="83">
        <v>0</v>
      </c>
      <c r="I55" s="83">
        <v>0</v>
      </c>
      <c r="J55" s="83">
        <v>0</v>
      </c>
      <c r="K55" s="83">
        <v>0.1</v>
      </c>
      <c r="L55" s="83">
        <v>0.9</v>
      </c>
      <c r="M55" s="83">
        <v>0.1</v>
      </c>
      <c r="N55" s="83">
        <v>0.9</v>
      </c>
      <c r="O55" s="83">
        <v>0.1</v>
      </c>
      <c r="P55" s="73">
        <v>0.9</v>
      </c>
      <c r="Q55" s="83">
        <v>0</v>
      </c>
      <c r="R55" s="74">
        <v>1</v>
      </c>
    </row>
    <row r="56" spans="6:18" s="83" customFormat="1" ht="15" customHeight="1" x14ac:dyDescent="0.15">
      <c r="F56" s="199" t="s">
        <v>242</v>
      </c>
      <c r="G56" s="83">
        <v>0</v>
      </c>
      <c r="H56" s="83">
        <v>0</v>
      </c>
      <c r="I56" s="83">
        <v>0</v>
      </c>
      <c r="J56" s="83">
        <v>0</v>
      </c>
      <c r="K56" s="83">
        <v>0.1</v>
      </c>
      <c r="L56" s="83">
        <v>0.9</v>
      </c>
      <c r="M56" s="83">
        <v>0.1</v>
      </c>
      <c r="N56" s="83">
        <v>0.9</v>
      </c>
      <c r="O56" s="83">
        <v>0.1</v>
      </c>
      <c r="P56" s="73">
        <v>0.9</v>
      </c>
      <c r="Q56" s="83">
        <v>0</v>
      </c>
      <c r="R56" s="74">
        <v>1</v>
      </c>
    </row>
    <row r="57" spans="6:18" s="83" customFormat="1" ht="15" customHeight="1" x14ac:dyDescent="0.15">
      <c r="F57" s="199" t="s">
        <v>243</v>
      </c>
      <c r="G57" s="83">
        <v>0</v>
      </c>
      <c r="H57" s="83">
        <v>0</v>
      </c>
      <c r="I57" s="83">
        <v>0</v>
      </c>
      <c r="J57" s="83">
        <v>0</v>
      </c>
      <c r="K57" s="83">
        <v>0.1</v>
      </c>
      <c r="L57" s="83">
        <v>0.9</v>
      </c>
      <c r="M57" s="83">
        <v>0.1</v>
      </c>
      <c r="N57" s="83">
        <v>0.9</v>
      </c>
      <c r="O57" s="83">
        <v>0.1</v>
      </c>
      <c r="P57" s="73">
        <v>0.9</v>
      </c>
      <c r="Q57" s="83">
        <v>0</v>
      </c>
      <c r="R57" s="74">
        <v>1</v>
      </c>
    </row>
    <row r="58" spans="6:18" s="83" customFormat="1" ht="15" customHeight="1" x14ac:dyDescent="0.15">
      <c r="F58" s="199" t="s">
        <v>244</v>
      </c>
      <c r="G58" s="83">
        <v>0</v>
      </c>
      <c r="H58" s="83">
        <v>0</v>
      </c>
      <c r="I58" s="83">
        <v>0</v>
      </c>
      <c r="J58" s="83">
        <v>0</v>
      </c>
      <c r="K58" s="83">
        <v>0</v>
      </c>
      <c r="L58" s="83">
        <v>1</v>
      </c>
      <c r="M58" s="83">
        <v>0</v>
      </c>
      <c r="N58" s="83">
        <v>1</v>
      </c>
      <c r="O58" s="83">
        <v>0</v>
      </c>
      <c r="P58" s="73">
        <v>1</v>
      </c>
      <c r="Q58" s="83">
        <v>0</v>
      </c>
      <c r="R58" s="74">
        <v>1</v>
      </c>
    </row>
    <row r="59" spans="6:18" s="83" customFormat="1" ht="15" customHeight="1" x14ac:dyDescent="0.15">
      <c r="F59" s="199" t="s">
        <v>245</v>
      </c>
      <c r="G59" s="83">
        <v>0</v>
      </c>
      <c r="H59" s="83">
        <v>0</v>
      </c>
      <c r="I59" s="83">
        <v>0</v>
      </c>
      <c r="J59" s="83">
        <v>0</v>
      </c>
      <c r="K59" s="83">
        <v>0</v>
      </c>
      <c r="L59" s="83">
        <v>1</v>
      </c>
      <c r="M59" s="83">
        <v>0</v>
      </c>
      <c r="N59" s="83">
        <v>1</v>
      </c>
      <c r="O59" s="83">
        <v>0</v>
      </c>
      <c r="P59" s="73">
        <v>1</v>
      </c>
      <c r="Q59" s="83">
        <v>0</v>
      </c>
      <c r="R59" s="74">
        <v>1</v>
      </c>
    </row>
    <row r="60" spans="6:18" s="83" customFormat="1" ht="15" customHeight="1" x14ac:dyDescent="0.15">
      <c r="F60" s="199" t="s">
        <v>246</v>
      </c>
      <c r="G60" s="83">
        <v>0</v>
      </c>
      <c r="H60" s="83">
        <v>0</v>
      </c>
      <c r="I60" s="83">
        <v>0</v>
      </c>
      <c r="J60" s="83">
        <v>0</v>
      </c>
      <c r="K60" s="83">
        <v>0</v>
      </c>
      <c r="L60" s="83">
        <v>1</v>
      </c>
      <c r="M60" s="83">
        <v>0</v>
      </c>
      <c r="N60" s="83">
        <v>1</v>
      </c>
      <c r="O60" s="83">
        <v>0</v>
      </c>
      <c r="P60" s="73">
        <v>1</v>
      </c>
      <c r="Q60" s="83">
        <v>0</v>
      </c>
      <c r="R60" s="74">
        <v>1</v>
      </c>
    </row>
    <row r="61" spans="6:18" s="83" customFormat="1" ht="15" customHeight="1" x14ac:dyDescent="0.15">
      <c r="F61" s="199" t="s">
        <v>247</v>
      </c>
      <c r="G61" s="83">
        <v>0</v>
      </c>
      <c r="H61" s="83">
        <v>0</v>
      </c>
      <c r="I61" s="83">
        <v>0</v>
      </c>
      <c r="J61" s="83">
        <v>0</v>
      </c>
      <c r="K61" s="83">
        <v>0.1</v>
      </c>
      <c r="L61" s="83">
        <v>0.9</v>
      </c>
      <c r="M61" s="83">
        <v>0.1</v>
      </c>
      <c r="N61" s="83">
        <v>0.9</v>
      </c>
      <c r="O61" s="83">
        <v>0.1</v>
      </c>
      <c r="P61" s="73">
        <v>0.9</v>
      </c>
      <c r="Q61" s="83">
        <v>0</v>
      </c>
      <c r="R61" s="74">
        <v>1</v>
      </c>
    </row>
    <row r="62" spans="6:18" s="83" customFormat="1" ht="15" customHeight="1" x14ac:dyDescent="0.15">
      <c r="F62" s="199" t="s">
        <v>248</v>
      </c>
      <c r="G62" s="83">
        <v>0</v>
      </c>
      <c r="H62" s="83">
        <v>0</v>
      </c>
      <c r="I62" s="83">
        <v>0</v>
      </c>
      <c r="J62" s="83">
        <v>0</v>
      </c>
      <c r="K62" s="83">
        <v>0.1</v>
      </c>
      <c r="L62" s="83">
        <v>0.9</v>
      </c>
      <c r="M62" s="83">
        <v>0.1</v>
      </c>
      <c r="N62" s="83">
        <v>0.9</v>
      </c>
      <c r="O62" s="83">
        <v>0.1</v>
      </c>
      <c r="P62" s="73">
        <v>0.9</v>
      </c>
      <c r="Q62" s="83">
        <v>0</v>
      </c>
      <c r="R62" s="74">
        <v>1</v>
      </c>
    </row>
    <row r="63" spans="6:18" s="83" customFormat="1" ht="15" customHeight="1" x14ac:dyDescent="0.15">
      <c r="F63" s="199" t="s">
        <v>249</v>
      </c>
      <c r="G63" s="83">
        <v>0</v>
      </c>
      <c r="H63" s="83">
        <v>0</v>
      </c>
      <c r="I63" s="83">
        <v>0</v>
      </c>
      <c r="J63" s="83">
        <v>0</v>
      </c>
      <c r="K63" s="83">
        <v>0.1</v>
      </c>
      <c r="L63" s="83">
        <v>0.9</v>
      </c>
      <c r="M63" s="83">
        <v>0.1</v>
      </c>
      <c r="N63" s="83">
        <v>0.9</v>
      </c>
      <c r="O63" s="83">
        <v>0.1</v>
      </c>
      <c r="P63" s="73">
        <v>0.9</v>
      </c>
      <c r="Q63" s="83">
        <v>0</v>
      </c>
      <c r="R63" s="74">
        <v>1</v>
      </c>
    </row>
    <row r="64" spans="6:18" s="83" customFormat="1" ht="15" customHeight="1" x14ac:dyDescent="0.15">
      <c r="F64" s="199" t="s">
        <v>250</v>
      </c>
      <c r="G64" s="83">
        <v>0</v>
      </c>
      <c r="H64" s="83">
        <v>0</v>
      </c>
      <c r="I64" s="83">
        <v>0</v>
      </c>
      <c r="J64" s="83">
        <v>0</v>
      </c>
      <c r="K64" s="83">
        <v>0</v>
      </c>
      <c r="L64" s="83">
        <v>1</v>
      </c>
      <c r="M64" s="83">
        <v>0</v>
      </c>
      <c r="N64" s="83">
        <v>1</v>
      </c>
      <c r="O64" s="83">
        <v>0</v>
      </c>
      <c r="P64" s="73">
        <v>1</v>
      </c>
      <c r="Q64" s="83">
        <v>0</v>
      </c>
      <c r="R64" s="74">
        <v>1</v>
      </c>
    </row>
    <row r="65" spans="1:18" ht="15" customHeight="1" x14ac:dyDescent="0.15">
      <c r="F65" s="199" t="s">
        <v>251</v>
      </c>
      <c r="G65" s="83">
        <v>0</v>
      </c>
      <c r="H65" s="83">
        <v>0</v>
      </c>
      <c r="I65" s="83">
        <v>0</v>
      </c>
      <c r="J65" s="83">
        <v>0</v>
      </c>
      <c r="K65" s="83">
        <v>0</v>
      </c>
      <c r="L65" s="83">
        <v>1</v>
      </c>
      <c r="M65" s="83">
        <v>0</v>
      </c>
      <c r="N65" s="83">
        <v>1</v>
      </c>
      <c r="O65" s="83">
        <v>0</v>
      </c>
      <c r="P65" s="73">
        <v>1</v>
      </c>
      <c r="Q65" s="83">
        <v>0</v>
      </c>
      <c r="R65" s="74">
        <v>1</v>
      </c>
    </row>
    <row r="66" spans="1:18" ht="15" customHeight="1" x14ac:dyDescent="0.15">
      <c r="F66" s="199" t="s">
        <v>252</v>
      </c>
      <c r="G66" s="83">
        <v>0</v>
      </c>
      <c r="H66" s="83">
        <v>0</v>
      </c>
      <c r="I66" s="83">
        <v>0</v>
      </c>
      <c r="J66" s="83">
        <v>0</v>
      </c>
      <c r="K66" s="83">
        <v>0</v>
      </c>
      <c r="L66" s="83">
        <v>1</v>
      </c>
      <c r="M66" s="83">
        <v>0</v>
      </c>
      <c r="N66" s="83">
        <v>1</v>
      </c>
      <c r="O66" s="83">
        <v>0</v>
      </c>
      <c r="P66" s="73">
        <v>1</v>
      </c>
      <c r="Q66" s="83">
        <v>0</v>
      </c>
      <c r="R66" s="74">
        <v>1</v>
      </c>
    </row>
    <row r="67" spans="1:18" ht="15" customHeight="1" x14ac:dyDescent="0.15">
      <c r="F67" s="199" t="s">
        <v>253</v>
      </c>
      <c r="G67" s="83">
        <v>0</v>
      </c>
      <c r="H67" s="83">
        <v>0</v>
      </c>
      <c r="I67" s="83">
        <v>0</v>
      </c>
      <c r="J67" s="83">
        <v>0</v>
      </c>
      <c r="K67" s="83">
        <v>0</v>
      </c>
      <c r="L67" s="83">
        <v>1</v>
      </c>
      <c r="M67" s="83">
        <v>0</v>
      </c>
      <c r="N67" s="83">
        <v>1</v>
      </c>
      <c r="O67" s="83">
        <v>0</v>
      </c>
      <c r="P67" s="73">
        <v>1</v>
      </c>
      <c r="Q67" s="83">
        <v>0</v>
      </c>
      <c r="R67" s="74">
        <v>1</v>
      </c>
    </row>
    <row r="68" spans="1:18" ht="15" customHeight="1" x14ac:dyDescent="0.15">
      <c r="F68" s="199" t="s">
        <v>254</v>
      </c>
      <c r="G68" s="83">
        <v>0</v>
      </c>
      <c r="H68" s="83">
        <v>0</v>
      </c>
      <c r="I68" s="83">
        <v>0</v>
      </c>
      <c r="J68" s="83">
        <v>0</v>
      </c>
      <c r="K68" s="83">
        <v>0</v>
      </c>
      <c r="L68" s="83">
        <v>1</v>
      </c>
      <c r="M68" s="83">
        <v>0</v>
      </c>
      <c r="N68" s="83">
        <v>1</v>
      </c>
      <c r="O68" s="83">
        <v>0</v>
      </c>
      <c r="P68" s="73">
        <v>1</v>
      </c>
      <c r="Q68" s="83">
        <v>0</v>
      </c>
      <c r="R68" s="74">
        <v>1</v>
      </c>
    </row>
    <row r="69" spans="1:18" ht="15" customHeight="1" x14ac:dyDescent="0.15">
      <c r="F69" s="199" t="s">
        <v>255</v>
      </c>
      <c r="G69" s="83">
        <v>0</v>
      </c>
      <c r="H69" s="83">
        <v>0</v>
      </c>
      <c r="I69" s="83">
        <v>0</v>
      </c>
      <c r="J69" s="83">
        <v>0</v>
      </c>
      <c r="K69" s="83">
        <v>0</v>
      </c>
      <c r="L69" s="83">
        <v>1</v>
      </c>
      <c r="M69" s="83">
        <v>0</v>
      </c>
      <c r="N69" s="83">
        <v>1</v>
      </c>
      <c r="O69" s="83">
        <v>0</v>
      </c>
      <c r="P69" s="73">
        <v>1</v>
      </c>
      <c r="Q69" s="83">
        <v>0</v>
      </c>
      <c r="R69" s="74">
        <v>1</v>
      </c>
    </row>
    <row r="70" spans="1:18" ht="15" customHeight="1" x14ac:dyDescent="0.15">
      <c r="F70" s="199" t="s">
        <v>256</v>
      </c>
      <c r="G70" s="83">
        <v>0</v>
      </c>
      <c r="H70" s="83">
        <v>0</v>
      </c>
      <c r="I70" s="83">
        <v>0</v>
      </c>
      <c r="J70" s="83">
        <v>0</v>
      </c>
      <c r="K70" s="83">
        <v>0.1</v>
      </c>
      <c r="L70" s="83">
        <v>0.9</v>
      </c>
      <c r="M70" s="83">
        <v>0.1</v>
      </c>
      <c r="N70" s="83">
        <v>0.9</v>
      </c>
      <c r="O70" s="83">
        <v>0.1</v>
      </c>
      <c r="P70" s="73">
        <v>0.9</v>
      </c>
      <c r="Q70" s="83">
        <v>0</v>
      </c>
      <c r="R70" s="74">
        <v>1</v>
      </c>
    </row>
    <row r="71" spans="1:18" ht="15" customHeight="1" x14ac:dyDescent="0.15">
      <c r="F71" s="199" t="s">
        <v>257</v>
      </c>
      <c r="G71" s="83">
        <v>0</v>
      </c>
      <c r="H71" s="83">
        <v>0</v>
      </c>
      <c r="I71" s="83">
        <v>0</v>
      </c>
      <c r="J71" s="83">
        <v>0</v>
      </c>
      <c r="K71" s="83">
        <v>0</v>
      </c>
      <c r="L71" s="83">
        <v>1</v>
      </c>
      <c r="M71" s="83">
        <v>0</v>
      </c>
      <c r="N71" s="83">
        <v>1</v>
      </c>
      <c r="O71" s="83">
        <v>0</v>
      </c>
      <c r="P71" s="73">
        <v>1</v>
      </c>
      <c r="Q71" s="83">
        <v>0</v>
      </c>
      <c r="R71" s="74">
        <v>1</v>
      </c>
    </row>
    <row r="72" spans="1:18" ht="15" customHeight="1" x14ac:dyDescent="0.15">
      <c r="F72" s="199" t="s">
        <v>258</v>
      </c>
      <c r="G72" s="83">
        <v>0</v>
      </c>
      <c r="H72" s="83">
        <v>0</v>
      </c>
      <c r="I72" s="83">
        <v>0</v>
      </c>
      <c r="J72" s="83">
        <v>0</v>
      </c>
      <c r="K72" s="83">
        <v>0.2</v>
      </c>
      <c r="L72" s="83">
        <v>0.8</v>
      </c>
      <c r="M72" s="83">
        <v>0.2</v>
      </c>
      <c r="N72" s="83">
        <v>0.8</v>
      </c>
      <c r="O72" s="83">
        <v>0.2</v>
      </c>
      <c r="P72" s="73">
        <v>0.8</v>
      </c>
      <c r="Q72" s="83">
        <v>0</v>
      </c>
      <c r="R72" s="74">
        <v>1</v>
      </c>
    </row>
    <row r="73" spans="1:18" ht="15" customHeight="1" x14ac:dyDescent="0.15">
      <c r="F73" s="199" t="s">
        <v>259</v>
      </c>
      <c r="G73" s="83">
        <v>0</v>
      </c>
      <c r="H73" s="83">
        <v>0</v>
      </c>
      <c r="I73" s="83">
        <v>0</v>
      </c>
      <c r="J73" s="83">
        <v>0</v>
      </c>
      <c r="K73" s="83">
        <v>0</v>
      </c>
      <c r="L73" s="83">
        <v>1</v>
      </c>
      <c r="M73" s="83">
        <v>0</v>
      </c>
      <c r="N73" s="83">
        <v>1</v>
      </c>
      <c r="O73" s="83">
        <v>0</v>
      </c>
      <c r="P73" s="73">
        <v>1</v>
      </c>
      <c r="Q73" s="83">
        <v>0</v>
      </c>
      <c r="R73" s="74">
        <v>1</v>
      </c>
    </row>
    <row r="74" spans="1:18" ht="15" customHeight="1" x14ac:dyDescent="0.15">
      <c r="F74" s="199" t="s">
        <v>260</v>
      </c>
      <c r="G74" s="83">
        <v>0</v>
      </c>
      <c r="H74" s="83">
        <v>0</v>
      </c>
      <c r="I74" s="83">
        <v>0</v>
      </c>
      <c r="J74" s="83">
        <v>0</v>
      </c>
      <c r="K74" s="83">
        <v>0</v>
      </c>
      <c r="L74" s="83">
        <v>1</v>
      </c>
      <c r="M74" s="83">
        <v>0</v>
      </c>
      <c r="N74" s="83">
        <v>1</v>
      </c>
      <c r="O74" s="83">
        <v>0</v>
      </c>
      <c r="P74" s="73">
        <v>1</v>
      </c>
      <c r="Q74" s="83">
        <v>0</v>
      </c>
      <c r="R74" s="74">
        <v>1</v>
      </c>
    </row>
    <row r="75" spans="1:18" ht="15" customHeight="1" x14ac:dyDescent="0.15">
      <c r="F75" s="199" t="s">
        <v>261</v>
      </c>
      <c r="G75" s="83">
        <v>0</v>
      </c>
      <c r="H75" s="83">
        <v>0</v>
      </c>
      <c r="I75" s="83">
        <v>0</v>
      </c>
      <c r="J75" s="83">
        <v>0</v>
      </c>
      <c r="K75" s="83">
        <v>0</v>
      </c>
      <c r="L75" s="83">
        <v>1</v>
      </c>
      <c r="M75" s="83">
        <v>0</v>
      </c>
      <c r="N75" s="83">
        <v>1</v>
      </c>
      <c r="O75" s="83">
        <v>0</v>
      </c>
      <c r="P75" s="73">
        <v>1</v>
      </c>
      <c r="Q75" s="83">
        <v>0</v>
      </c>
      <c r="R75" s="74">
        <v>1</v>
      </c>
    </row>
    <row r="76" spans="1:18" ht="15" customHeight="1" x14ac:dyDescent="0.15">
      <c r="A76" s="83"/>
      <c r="F76" s="199" t="s">
        <v>262</v>
      </c>
      <c r="G76" s="83">
        <v>0</v>
      </c>
      <c r="H76" s="83">
        <v>0</v>
      </c>
      <c r="I76" s="83">
        <v>0</v>
      </c>
      <c r="J76" s="83">
        <v>0</v>
      </c>
      <c r="K76" s="83">
        <v>0</v>
      </c>
      <c r="L76" s="83">
        <v>1</v>
      </c>
      <c r="M76" s="83">
        <v>0</v>
      </c>
      <c r="N76" s="83">
        <v>1</v>
      </c>
      <c r="O76" s="83">
        <v>0</v>
      </c>
      <c r="P76" s="73">
        <v>1</v>
      </c>
      <c r="Q76" s="83">
        <v>0</v>
      </c>
      <c r="R76" s="74">
        <v>1</v>
      </c>
    </row>
    <row r="77" spans="1:18" ht="15" customHeight="1" x14ac:dyDescent="0.15">
      <c r="A77" s="83"/>
      <c r="F77" s="199" t="s">
        <v>263</v>
      </c>
      <c r="G77" s="83">
        <v>0</v>
      </c>
      <c r="H77" s="83">
        <v>0</v>
      </c>
      <c r="I77" s="83">
        <v>0</v>
      </c>
      <c r="J77" s="83">
        <v>0</v>
      </c>
      <c r="K77" s="83">
        <v>0</v>
      </c>
      <c r="L77" s="83">
        <v>1</v>
      </c>
      <c r="M77" s="83">
        <v>0</v>
      </c>
      <c r="N77" s="83">
        <v>1</v>
      </c>
      <c r="O77" s="83">
        <v>0</v>
      </c>
      <c r="P77" s="73">
        <v>1</v>
      </c>
      <c r="Q77" s="83">
        <v>0</v>
      </c>
      <c r="R77" s="74">
        <v>1</v>
      </c>
    </row>
    <row r="78" spans="1:18" ht="15" customHeight="1" x14ac:dyDescent="0.15">
      <c r="A78" s="83"/>
      <c r="F78" s="199" t="s">
        <v>264</v>
      </c>
      <c r="G78" s="83">
        <v>0</v>
      </c>
      <c r="H78" s="83">
        <v>0</v>
      </c>
      <c r="I78" s="83">
        <v>0</v>
      </c>
      <c r="J78" s="83">
        <v>0</v>
      </c>
      <c r="K78" s="83">
        <v>0</v>
      </c>
      <c r="L78" s="83">
        <v>1</v>
      </c>
      <c r="M78" s="83">
        <v>0</v>
      </c>
      <c r="N78" s="83">
        <v>1</v>
      </c>
      <c r="O78" s="83">
        <v>0</v>
      </c>
      <c r="P78" s="73">
        <v>1</v>
      </c>
      <c r="Q78" s="83">
        <v>0</v>
      </c>
      <c r="R78" s="74">
        <v>1</v>
      </c>
    </row>
    <row r="79" spans="1:18" ht="15" customHeight="1" x14ac:dyDescent="0.15">
      <c r="A79" s="83"/>
      <c r="F79" s="199" t="s">
        <v>265</v>
      </c>
      <c r="G79" s="83">
        <v>0</v>
      </c>
      <c r="H79" s="83">
        <v>0</v>
      </c>
      <c r="I79" s="83">
        <v>0</v>
      </c>
      <c r="J79" s="83">
        <v>0</v>
      </c>
      <c r="K79" s="83">
        <v>0</v>
      </c>
      <c r="L79" s="83">
        <v>1</v>
      </c>
      <c r="M79" s="83">
        <v>0</v>
      </c>
      <c r="N79" s="83">
        <v>1</v>
      </c>
      <c r="O79" s="83">
        <v>0</v>
      </c>
      <c r="P79" s="73">
        <v>1</v>
      </c>
      <c r="Q79" s="83">
        <v>0</v>
      </c>
      <c r="R79" s="74">
        <v>1</v>
      </c>
    </row>
    <row r="80" spans="1:18" ht="15" customHeight="1" x14ac:dyDescent="0.15">
      <c r="A80" s="83"/>
      <c r="F80" s="199" t="s">
        <v>266</v>
      </c>
      <c r="G80" s="83">
        <v>0</v>
      </c>
      <c r="H80" s="83">
        <v>0</v>
      </c>
      <c r="I80" s="83">
        <v>0</v>
      </c>
      <c r="J80" s="83">
        <v>0</v>
      </c>
      <c r="K80" s="83">
        <v>0</v>
      </c>
      <c r="L80" s="83">
        <v>1</v>
      </c>
      <c r="M80" s="83">
        <v>0</v>
      </c>
      <c r="N80" s="83">
        <v>1</v>
      </c>
      <c r="O80" s="83">
        <v>0</v>
      </c>
      <c r="P80" s="73">
        <v>1</v>
      </c>
      <c r="Q80" s="83">
        <v>0</v>
      </c>
      <c r="R80" s="74">
        <v>1</v>
      </c>
    </row>
    <row r="81" spans="1:18" ht="15" customHeight="1" x14ac:dyDescent="0.15">
      <c r="A81" s="83"/>
      <c r="F81" s="199" t="s">
        <v>267</v>
      </c>
      <c r="G81" s="83">
        <v>0</v>
      </c>
      <c r="H81" s="83">
        <v>0</v>
      </c>
      <c r="I81" s="83">
        <v>0</v>
      </c>
      <c r="J81" s="83">
        <v>0</v>
      </c>
      <c r="K81" s="83">
        <v>0</v>
      </c>
      <c r="L81" s="83">
        <v>1</v>
      </c>
      <c r="M81" s="83">
        <v>0</v>
      </c>
      <c r="N81" s="83">
        <v>1</v>
      </c>
      <c r="O81" s="83">
        <v>0</v>
      </c>
      <c r="P81" s="73">
        <v>1</v>
      </c>
      <c r="Q81" s="83">
        <v>0</v>
      </c>
      <c r="R81" s="74">
        <v>1</v>
      </c>
    </row>
    <row r="82" spans="1:18" ht="15" customHeight="1" x14ac:dyDescent="0.15">
      <c r="A82" s="83"/>
      <c r="F82" s="199" t="s">
        <v>268</v>
      </c>
      <c r="G82" s="83">
        <v>0</v>
      </c>
      <c r="H82" s="83">
        <v>0</v>
      </c>
      <c r="I82" s="83">
        <v>0</v>
      </c>
      <c r="J82" s="83">
        <v>0</v>
      </c>
      <c r="K82" s="83">
        <v>0.7</v>
      </c>
      <c r="L82" s="83">
        <v>0.30000000000000004</v>
      </c>
      <c r="M82" s="83">
        <v>0.7</v>
      </c>
      <c r="N82" s="83">
        <v>0.30000000000000004</v>
      </c>
      <c r="O82" s="83">
        <v>0.7</v>
      </c>
      <c r="P82" s="73">
        <v>0.30000000000000004</v>
      </c>
      <c r="Q82" s="83">
        <v>0</v>
      </c>
      <c r="R82" s="74">
        <v>1</v>
      </c>
    </row>
    <row r="83" spans="1:18" ht="15" customHeight="1" x14ac:dyDescent="0.15">
      <c r="A83" s="83"/>
      <c r="F83" s="199" t="s">
        <v>269</v>
      </c>
      <c r="G83" s="83">
        <v>0</v>
      </c>
      <c r="H83" s="83">
        <v>0</v>
      </c>
      <c r="I83" s="83">
        <v>0</v>
      </c>
      <c r="J83" s="83">
        <v>0</v>
      </c>
      <c r="K83" s="83">
        <v>0.8</v>
      </c>
      <c r="L83" s="83">
        <v>0.19999999999999996</v>
      </c>
      <c r="M83" s="83">
        <v>0.8</v>
      </c>
      <c r="N83" s="83">
        <v>0.19999999999999996</v>
      </c>
      <c r="O83" s="83">
        <v>0.8</v>
      </c>
      <c r="P83" s="73">
        <v>0.19999999999999996</v>
      </c>
      <c r="Q83" s="83">
        <v>0</v>
      </c>
      <c r="R83" s="74">
        <v>1</v>
      </c>
    </row>
    <row r="84" spans="1:18" ht="15" customHeight="1" x14ac:dyDescent="0.15">
      <c r="A84" s="83"/>
      <c r="F84" s="199" t="s">
        <v>270</v>
      </c>
      <c r="G84" s="83">
        <v>0</v>
      </c>
      <c r="H84" s="83">
        <v>0</v>
      </c>
      <c r="I84" s="83">
        <v>0</v>
      </c>
      <c r="J84" s="83">
        <v>0</v>
      </c>
      <c r="K84" s="83">
        <v>0.3</v>
      </c>
      <c r="L84" s="83">
        <v>0.7</v>
      </c>
      <c r="M84" s="83">
        <v>0.3</v>
      </c>
      <c r="N84" s="83">
        <v>0.7</v>
      </c>
      <c r="O84" s="83">
        <v>0.3</v>
      </c>
      <c r="P84" s="73">
        <v>0.7</v>
      </c>
      <c r="Q84" s="83">
        <v>0</v>
      </c>
      <c r="R84" s="74">
        <v>1</v>
      </c>
    </row>
    <row r="85" spans="1:18" ht="15" customHeight="1" x14ac:dyDescent="0.15">
      <c r="A85" s="83"/>
      <c r="F85" s="199" t="s">
        <v>271</v>
      </c>
      <c r="G85" s="83">
        <v>0</v>
      </c>
      <c r="H85" s="83">
        <v>0</v>
      </c>
      <c r="I85" s="83">
        <v>0</v>
      </c>
      <c r="J85" s="83">
        <v>0</v>
      </c>
      <c r="K85" s="83">
        <v>0</v>
      </c>
      <c r="L85" s="83">
        <v>1</v>
      </c>
      <c r="M85" s="83">
        <v>0</v>
      </c>
      <c r="N85" s="83">
        <v>1</v>
      </c>
      <c r="O85" s="83">
        <v>0</v>
      </c>
      <c r="P85" s="73">
        <v>1</v>
      </c>
      <c r="Q85" s="83">
        <v>0</v>
      </c>
      <c r="R85" s="74">
        <v>1</v>
      </c>
    </row>
    <row r="86" spans="1:18" ht="15" customHeight="1" x14ac:dyDescent="0.15">
      <c r="A86" s="83"/>
      <c r="F86" s="199" t="s">
        <v>272</v>
      </c>
      <c r="G86" s="83">
        <v>0</v>
      </c>
      <c r="H86" s="83">
        <v>0</v>
      </c>
      <c r="I86" s="83">
        <v>0</v>
      </c>
      <c r="J86" s="83">
        <v>0</v>
      </c>
      <c r="K86" s="83">
        <v>0.8</v>
      </c>
      <c r="L86" s="83">
        <v>0.19999999999999996</v>
      </c>
      <c r="M86" s="83">
        <v>0.8</v>
      </c>
      <c r="N86" s="83">
        <v>0.19999999999999996</v>
      </c>
      <c r="O86" s="83">
        <v>0.8</v>
      </c>
      <c r="P86" s="73">
        <v>0.19999999999999996</v>
      </c>
      <c r="Q86" s="83">
        <v>0</v>
      </c>
      <c r="R86" s="74">
        <v>1</v>
      </c>
    </row>
    <row r="87" spans="1:18" ht="15" customHeight="1" x14ac:dyDescent="0.15">
      <c r="A87" s="83"/>
      <c r="F87" s="199" t="s">
        <v>273</v>
      </c>
      <c r="G87" s="83">
        <v>0</v>
      </c>
      <c r="H87" s="83">
        <v>0</v>
      </c>
      <c r="I87" s="83">
        <v>0</v>
      </c>
      <c r="J87" s="83">
        <v>0</v>
      </c>
      <c r="K87" s="83">
        <v>0</v>
      </c>
      <c r="L87" s="83">
        <v>1</v>
      </c>
      <c r="M87" s="83">
        <v>0</v>
      </c>
      <c r="N87" s="83">
        <v>1</v>
      </c>
      <c r="O87" s="83">
        <v>0</v>
      </c>
      <c r="P87" s="73">
        <v>1</v>
      </c>
      <c r="Q87" s="83">
        <v>0</v>
      </c>
      <c r="R87" s="74">
        <v>1</v>
      </c>
    </row>
    <row r="88" spans="1:18" ht="15" customHeight="1" x14ac:dyDescent="0.15">
      <c r="A88" s="83"/>
      <c r="F88" s="199" t="s">
        <v>274</v>
      </c>
      <c r="G88" s="83">
        <v>0</v>
      </c>
      <c r="H88" s="83">
        <v>0</v>
      </c>
      <c r="I88" s="83">
        <v>0</v>
      </c>
      <c r="J88" s="83">
        <v>0</v>
      </c>
      <c r="K88" s="83">
        <v>0</v>
      </c>
      <c r="L88" s="83">
        <v>1</v>
      </c>
      <c r="M88" s="83">
        <v>0</v>
      </c>
      <c r="N88" s="83">
        <v>1</v>
      </c>
      <c r="O88" s="83">
        <v>0</v>
      </c>
      <c r="P88" s="73">
        <v>1</v>
      </c>
      <c r="Q88" s="83">
        <v>0</v>
      </c>
      <c r="R88" s="74">
        <v>1</v>
      </c>
    </row>
    <row r="89" spans="1:18" ht="15" customHeight="1" x14ac:dyDescent="0.15">
      <c r="A89" s="83"/>
      <c r="F89" s="199" t="s">
        <v>275</v>
      </c>
      <c r="G89" s="83">
        <v>0</v>
      </c>
      <c r="H89" s="83">
        <v>0</v>
      </c>
      <c r="I89" s="83">
        <v>0</v>
      </c>
      <c r="J89" s="83">
        <v>0</v>
      </c>
      <c r="K89" s="83">
        <v>0.8</v>
      </c>
      <c r="L89" s="83">
        <v>0.19999999999999996</v>
      </c>
      <c r="M89" s="83">
        <v>0.8</v>
      </c>
      <c r="N89" s="83">
        <v>0.19999999999999996</v>
      </c>
      <c r="O89" s="83">
        <v>0.8</v>
      </c>
      <c r="P89" s="73">
        <v>0.19999999999999996</v>
      </c>
      <c r="Q89" s="83">
        <v>0</v>
      </c>
      <c r="R89" s="74">
        <v>1</v>
      </c>
    </row>
    <row r="90" spans="1:18" ht="15" customHeight="1" x14ac:dyDescent="0.15">
      <c r="A90" s="83"/>
      <c r="F90" s="199" t="s">
        <v>276</v>
      </c>
      <c r="G90" s="83">
        <v>0</v>
      </c>
      <c r="H90" s="83">
        <v>0</v>
      </c>
      <c r="I90" s="83">
        <v>0</v>
      </c>
      <c r="J90" s="83">
        <v>0</v>
      </c>
      <c r="K90" s="83">
        <v>0</v>
      </c>
      <c r="L90" s="83">
        <v>1</v>
      </c>
      <c r="M90" s="83">
        <v>0</v>
      </c>
      <c r="N90" s="83">
        <v>1</v>
      </c>
      <c r="O90" s="83">
        <v>0</v>
      </c>
      <c r="P90" s="73">
        <v>1</v>
      </c>
      <c r="Q90" s="83">
        <v>0</v>
      </c>
      <c r="R90" s="74">
        <v>1</v>
      </c>
    </row>
    <row r="91" spans="1:18" ht="15" customHeight="1" x14ac:dyDescent="0.15">
      <c r="A91" s="83"/>
      <c r="F91" s="199" t="s">
        <v>277</v>
      </c>
      <c r="G91" s="83">
        <v>0</v>
      </c>
      <c r="H91" s="83">
        <v>0</v>
      </c>
      <c r="I91" s="83">
        <v>0</v>
      </c>
      <c r="J91" s="83">
        <v>0</v>
      </c>
      <c r="K91" s="83">
        <v>0</v>
      </c>
      <c r="L91" s="83">
        <v>0</v>
      </c>
      <c r="M91" s="83">
        <v>0.8</v>
      </c>
      <c r="N91" s="83">
        <v>0.19999999999999996</v>
      </c>
      <c r="O91" s="83">
        <v>0</v>
      </c>
      <c r="P91" s="73">
        <v>0</v>
      </c>
      <c r="Q91" s="83">
        <v>0</v>
      </c>
      <c r="R91" s="74">
        <v>1</v>
      </c>
    </row>
    <row r="92" spans="1:18" ht="15" customHeight="1" x14ac:dyDescent="0.15">
      <c r="A92" s="83"/>
      <c r="F92" s="199" t="s">
        <v>278</v>
      </c>
      <c r="G92" s="83">
        <v>0</v>
      </c>
      <c r="H92" s="83">
        <v>0</v>
      </c>
      <c r="I92" s="83">
        <v>0</v>
      </c>
      <c r="J92" s="83">
        <v>0</v>
      </c>
      <c r="K92" s="83">
        <v>0</v>
      </c>
      <c r="L92" s="83">
        <v>0</v>
      </c>
      <c r="M92" s="83">
        <v>0</v>
      </c>
      <c r="N92" s="83">
        <v>1</v>
      </c>
      <c r="O92" s="83">
        <v>0</v>
      </c>
      <c r="P92" s="73">
        <v>0</v>
      </c>
      <c r="Q92" s="83">
        <v>0</v>
      </c>
      <c r="R92" s="74">
        <v>1</v>
      </c>
    </row>
    <row r="93" spans="1:18" ht="15" customHeight="1" x14ac:dyDescent="0.15">
      <c r="A93" s="83"/>
      <c r="F93" s="199" t="s">
        <v>279</v>
      </c>
      <c r="G93" s="83">
        <v>0</v>
      </c>
      <c r="H93" s="83">
        <v>0</v>
      </c>
      <c r="I93" s="83">
        <v>0</v>
      </c>
      <c r="J93" s="83">
        <v>0</v>
      </c>
      <c r="K93" s="83">
        <v>0</v>
      </c>
      <c r="L93" s="83">
        <v>0</v>
      </c>
      <c r="M93" s="83">
        <v>0</v>
      </c>
      <c r="N93" s="83">
        <v>1</v>
      </c>
      <c r="O93" s="83">
        <v>0</v>
      </c>
      <c r="P93" s="73">
        <v>0</v>
      </c>
      <c r="Q93" s="83">
        <v>0</v>
      </c>
      <c r="R93" s="74">
        <v>1</v>
      </c>
    </row>
    <row r="94" spans="1:18" ht="15" customHeight="1" x14ac:dyDescent="0.15">
      <c r="A94" s="83"/>
      <c r="F94" s="199" t="s">
        <v>280</v>
      </c>
      <c r="G94" s="83">
        <v>0</v>
      </c>
      <c r="H94" s="83">
        <v>0</v>
      </c>
      <c r="I94" s="83">
        <v>0</v>
      </c>
      <c r="J94" s="83">
        <v>0</v>
      </c>
      <c r="K94" s="83">
        <v>0</v>
      </c>
      <c r="L94" s="83">
        <v>0</v>
      </c>
      <c r="M94" s="83">
        <v>0</v>
      </c>
      <c r="N94" s="83">
        <v>1</v>
      </c>
      <c r="O94" s="83">
        <v>0</v>
      </c>
      <c r="P94" s="73">
        <v>0</v>
      </c>
      <c r="Q94" s="83">
        <v>0</v>
      </c>
      <c r="R94" s="74">
        <v>1</v>
      </c>
    </row>
    <row r="95" spans="1:18" ht="15" customHeight="1" x14ac:dyDescent="0.15">
      <c r="A95" s="83"/>
      <c r="F95" s="199" t="s">
        <v>281</v>
      </c>
      <c r="G95" s="83">
        <v>0</v>
      </c>
      <c r="H95" s="83">
        <v>0</v>
      </c>
      <c r="I95" s="83">
        <v>0</v>
      </c>
      <c r="J95" s="83">
        <v>0</v>
      </c>
      <c r="K95" s="83">
        <v>0</v>
      </c>
      <c r="L95" s="83">
        <v>0</v>
      </c>
      <c r="M95" s="83">
        <v>0</v>
      </c>
      <c r="N95" s="83">
        <v>1</v>
      </c>
      <c r="O95" s="83">
        <v>0</v>
      </c>
      <c r="P95" s="73">
        <v>0</v>
      </c>
      <c r="Q95" s="83">
        <v>0</v>
      </c>
      <c r="R95" s="74">
        <v>1</v>
      </c>
    </row>
    <row r="96" spans="1:18" ht="15" customHeight="1" x14ac:dyDescent="0.15">
      <c r="A96" s="83"/>
      <c r="F96" s="199" t="s">
        <v>282</v>
      </c>
      <c r="G96" s="83">
        <v>0</v>
      </c>
      <c r="H96" s="83">
        <v>0</v>
      </c>
      <c r="I96" s="83">
        <v>0</v>
      </c>
      <c r="J96" s="83">
        <v>0</v>
      </c>
      <c r="K96" s="83">
        <v>0</v>
      </c>
      <c r="L96" s="83">
        <v>0</v>
      </c>
      <c r="M96" s="83">
        <v>0</v>
      </c>
      <c r="N96" s="83">
        <v>1</v>
      </c>
      <c r="O96" s="83">
        <v>0</v>
      </c>
      <c r="P96" s="73">
        <v>0</v>
      </c>
      <c r="Q96" s="83">
        <v>0</v>
      </c>
      <c r="R96" s="74">
        <v>1</v>
      </c>
    </row>
    <row r="97" spans="1:18" ht="15" customHeight="1" x14ac:dyDescent="0.15">
      <c r="A97" s="83"/>
      <c r="F97" s="199" t="s">
        <v>283</v>
      </c>
      <c r="G97" s="83">
        <v>0</v>
      </c>
      <c r="H97" s="83">
        <v>0</v>
      </c>
      <c r="I97" s="83">
        <v>0</v>
      </c>
      <c r="J97" s="83">
        <v>0</v>
      </c>
      <c r="K97" s="83">
        <v>0</v>
      </c>
      <c r="L97" s="83">
        <v>0</v>
      </c>
      <c r="M97" s="83">
        <v>0</v>
      </c>
      <c r="N97" s="83">
        <v>1</v>
      </c>
      <c r="O97" s="83">
        <v>0</v>
      </c>
      <c r="P97" s="73">
        <v>0</v>
      </c>
      <c r="Q97" s="83">
        <v>0</v>
      </c>
      <c r="R97" s="74">
        <v>1</v>
      </c>
    </row>
    <row r="98" spans="1:18" ht="15" customHeight="1" x14ac:dyDescent="0.15">
      <c r="A98" s="83"/>
      <c r="F98" s="199" t="s">
        <v>284</v>
      </c>
      <c r="G98" s="83">
        <v>0</v>
      </c>
      <c r="H98" s="83">
        <v>0</v>
      </c>
      <c r="I98" s="83">
        <v>0</v>
      </c>
      <c r="J98" s="83">
        <v>0</v>
      </c>
      <c r="K98" s="83">
        <v>0.3</v>
      </c>
      <c r="L98" s="83">
        <v>0.7</v>
      </c>
      <c r="M98" s="83">
        <v>0.3</v>
      </c>
      <c r="N98" s="83">
        <v>0.7</v>
      </c>
      <c r="O98" s="83">
        <v>0.3</v>
      </c>
      <c r="P98" s="73">
        <v>0.7</v>
      </c>
      <c r="Q98" s="83">
        <v>0</v>
      </c>
      <c r="R98" s="74">
        <v>1</v>
      </c>
    </row>
    <row r="99" spans="1:18" ht="15" customHeight="1" x14ac:dyDescent="0.15">
      <c r="A99" s="83"/>
      <c r="F99" s="199" t="s">
        <v>285</v>
      </c>
      <c r="G99" s="83">
        <v>0</v>
      </c>
      <c r="H99" s="83">
        <v>0</v>
      </c>
      <c r="I99" s="83">
        <v>0</v>
      </c>
      <c r="J99" s="83">
        <v>0</v>
      </c>
      <c r="K99" s="83">
        <v>0.2</v>
      </c>
      <c r="L99" s="83">
        <v>0.8</v>
      </c>
      <c r="M99" s="83">
        <v>0.2</v>
      </c>
      <c r="N99" s="83">
        <v>0.8</v>
      </c>
      <c r="O99" s="83">
        <v>0.2</v>
      </c>
      <c r="P99" s="73">
        <v>0.8</v>
      </c>
      <c r="Q99" s="83">
        <v>0</v>
      </c>
      <c r="R99" s="74">
        <v>1</v>
      </c>
    </row>
    <row r="100" spans="1:18" ht="15" customHeight="1" x14ac:dyDescent="0.15">
      <c r="A100" s="83"/>
      <c r="F100" s="199" t="s">
        <v>286</v>
      </c>
      <c r="G100" s="83">
        <v>0</v>
      </c>
      <c r="H100" s="83">
        <v>0</v>
      </c>
      <c r="I100" s="83">
        <v>0</v>
      </c>
      <c r="J100" s="83">
        <v>0</v>
      </c>
      <c r="K100" s="83">
        <v>0</v>
      </c>
      <c r="L100" s="83">
        <v>1</v>
      </c>
      <c r="M100" s="83">
        <v>0</v>
      </c>
      <c r="N100" s="83">
        <v>1</v>
      </c>
      <c r="O100" s="83">
        <v>0</v>
      </c>
      <c r="P100" s="73">
        <v>1</v>
      </c>
      <c r="Q100" s="83">
        <v>0</v>
      </c>
      <c r="R100" s="74">
        <v>1</v>
      </c>
    </row>
    <row r="101" spans="1:18" ht="15" customHeight="1" x14ac:dyDescent="0.15">
      <c r="A101" s="83"/>
      <c r="F101" s="199" t="s">
        <v>287</v>
      </c>
      <c r="G101" s="83">
        <v>0</v>
      </c>
      <c r="H101" s="83">
        <v>0</v>
      </c>
      <c r="I101" s="83">
        <v>0</v>
      </c>
      <c r="J101" s="83">
        <v>0</v>
      </c>
      <c r="K101" s="83">
        <v>0.5</v>
      </c>
      <c r="L101" s="83">
        <v>0.5</v>
      </c>
      <c r="M101" s="83">
        <v>0.5</v>
      </c>
      <c r="N101" s="83">
        <v>0.5</v>
      </c>
      <c r="O101" s="83">
        <v>0.5</v>
      </c>
      <c r="P101" s="73">
        <v>0.5</v>
      </c>
      <c r="Q101" s="83">
        <v>0</v>
      </c>
      <c r="R101" s="74">
        <v>1</v>
      </c>
    </row>
    <row r="102" spans="1:18" ht="15" customHeight="1" x14ac:dyDescent="0.15">
      <c r="A102" s="83"/>
      <c r="F102" s="199" t="s">
        <v>288</v>
      </c>
      <c r="G102" s="83">
        <v>0</v>
      </c>
      <c r="H102" s="83">
        <v>0</v>
      </c>
      <c r="I102" s="83">
        <v>0</v>
      </c>
      <c r="J102" s="83">
        <v>0</v>
      </c>
      <c r="K102" s="83">
        <v>0</v>
      </c>
      <c r="L102" s="83">
        <v>1</v>
      </c>
      <c r="M102" s="83">
        <v>0</v>
      </c>
      <c r="N102" s="83">
        <v>1</v>
      </c>
      <c r="O102" s="83">
        <v>0</v>
      </c>
      <c r="P102" s="73">
        <v>1</v>
      </c>
      <c r="Q102" s="83">
        <v>0</v>
      </c>
      <c r="R102" s="74">
        <v>1</v>
      </c>
    </row>
    <row r="103" spans="1:18" ht="15" customHeight="1" x14ac:dyDescent="0.15">
      <c r="A103" s="83"/>
      <c r="F103" s="199" t="s">
        <v>289</v>
      </c>
      <c r="G103" s="83">
        <v>0</v>
      </c>
      <c r="H103" s="83">
        <v>0</v>
      </c>
      <c r="I103" s="83">
        <v>0</v>
      </c>
      <c r="J103" s="83">
        <v>0</v>
      </c>
      <c r="K103" s="83">
        <v>0</v>
      </c>
      <c r="L103" s="83">
        <v>1</v>
      </c>
      <c r="M103" s="83">
        <v>0</v>
      </c>
      <c r="N103" s="83">
        <v>1</v>
      </c>
      <c r="O103" s="83">
        <v>0</v>
      </c>
      <c r="P103" s="73">
        <v>1</v>
      </c>
      <c r="Q103" s="83">
        <v>0</v>
      </c>
      <c r="R103" s="74">
        <v>1</v>
      </c>
    </row>
    <row r="104" spans="1:18" ht="15" customHeight="1" x14ac:dyDescent="0.15">
      <c r="A104" s="83"/>
      <c r="F104" s="199" t="s">
        <v>290</v>
      </c>
      <c r="G104" s="83">
        <v>0</v>
      </c>
      <c r="H104" s="83">
        <v>0</v>
      </c>
      <c r="I104" s="83">
        <v>0</v>
      </c>
      <c r="J104" s="83">
        <v>0</v>
      </c>
      <c r="K104" s="83">
        <v>0</v>
      </c>
      <c r="L104" s="83">
        <v>1</v>
      </c>
      <c r="M104" s="83">
        <v>0</v>
      </c>
      <c r="N104" s="83">
        <v>1</v>
      </c>
      <c r="O104" s="83">
        <v>0</v>
      </c>
      <c r="P104" s="73">
        <v>1</v>
      </c>
      <c r="Q104" s="83">
        <v>0</v>
      </c>
      <c r="R104" s="74">
        <v>1</v>
      </c>
    </row>
    <row r="105" spans="1:18" ht="15" customHeight="1" x14ac:dyDescent="0.15">
      <c r="A105" s="83"/>
      <c r="F105" s="199" t="s">
        <v>291</v>
      </c>
      <c r="G105" s="83">
        <v>0</v>
      </c>
      <c r="H105" s="83">
        <v>0</v>
      </c>
      <c r="I105" s="83">
        <v>0</v>
      </c>
      <c r="J105" s="83">
        <v>0</v>
      </c>
      <c r="K105" s="83">
        <v>0</v>
      </c>
      <c r="L105" s="83">
        <v>1</v>
      </c>
      <c r="M105" s="83">
        <v>0</v>
      </c>
      <c r="N105" s="83">
        <v>0</v>
      </c>
      <c r="O105" s="83">
        <v>0</v>
      </c>
      <c r="P105" s="73">
        <v>0</v>
      </c>
      <c r="Q105" s="83">
        <v>0</v>
      </c>
      <c r="R105" s="74">
        <v>1</v>
      </c>
    </row>
    <row r="106" spans="1:18" ht="15" customHeight="1" x14ac:dyDescent="0.15">
      <c r="F106" s="199" t="s">
        <v>292</v>
      </c>
      <c r="G106" s="83">
        <v>0</v>
      </c>
      <c r="H106" s="83">
        <v>0</v>
      </c>
      <c r="I106" s="83">
        <v>0</v>
      </c>
      <c r="J106" s="83">
        <v>0</v>
      </c>
      <c r="K106" s="83">
        <v>0</v>
      </c>
      <c r="L106" s="83">
        <v>1</v>
      </c>
      <c r="M106" s="83">
        <v>0</v>
      </c>
      <c r="N106" s="83">
        <v>0</v>
      </c>
      <c r="O106" s="83">
        <v>0</v>
      </c>
      <c r="P106" s="73">
        <v>0</v>
      </c>
      <c r="Q106" s="83">
        <v>0</v>
      </c>
      <c r="R106" s="74">
        <v>1</v>
      </c>
    </row>
    <row r="107" spans="1:18" ht="15" customHeight="1" x14ac:dyDescent="0.15">
      <c r="F107" s="199" t="s">
        <v>293</v>
      </c>
      <c r="G107" s="83">
        <v>0</v>
      </c>
      <c r="H107" s="83">
        <v>0</v>
      </c>
      <c r="I107" s="83">
        <v>0</v>
      </c>
      <c r="J107" s="83">
        <v>0</v>
      </c>
      <c r="K107" s="83">
        <v>0</v>
      </c>
      <c r="L107" s="83">
        <v>1</v>
      </c>
      <c r="M107" s="83">
        <v>0</v>
      </c>
      <c r="N107" s="83">
        <v>0</v>
      </c>
      <c r="O107" s="83">
        <v>0</v>
      </c>
      <c r="P107" s="73">
        <v>0</v>
      </c>
      <c r="Q107" s="83">
        <v>0</v>
      </c>
      <c r="R107" s="74">
        <v>1</v>
      </c>
    </row>
    <row r="108" spans="1:18" ht="15" customHeight="1" x14ac:dyDescent="0.15">
      <c r="F108" s="199" t="s">
        <v>294</v>
      </c>
      <c r="G108" s="83">
        <v>0</v>
      </c>
      <c r="H108" s="83">
        <v>0</v>
      </c>
      <c r="I108" s="83">
        <v>0</v>
      </c>
      <c r="J108" s="83">
        <v>0</v>
      </c>
      <c r="K108" s="83">
        <v>0</v>
      </c>
      <c r="L108" s="83">
        <v>1</v>
      </c>
      <c r="M108" s="83">
        <v>0</v>
      </c>
      <c r="N108" s="83">
        <v>0</v>
      </c>
      <c r="O108" s="83">
        <v>0</v>
      </c>
      <c r="P108" s="73">
        <v>0</v>
      </c>
      <c r="Q108" s="83">
        <v>0</v>
      </c>
      <c r="R108" s="74">
        <v>1</v>
      </c>
    </row>
    <row r="109" spans="1:18" ht="15" customHeight="1" x14ac:dyDescent="0.15">
      <c r="F109" s="199" t="s">
        <v>295</v>
      </c>
      <c r="G109" s="83">
        <v>0</v>
      </c>
      <c r="H109" s="83">
        <v>0</v>
      </c>
      <c r="I109" s="83">
        <v>0</v>
      </c>
      <c r="J109" s="83">
        <v>0</v>
      </c>
      <c r="K109" s="83">
        <v>0</v>
      </c>
      <c r="L109" s="83">
        <v>1</v>
      </c>
      <c r="M109" s="83">
        <v>0</v>
      </c>
      <c r="N109" s="83">
        <v>0</v>
      </c>
      <c r="O109" s="83">
        <v>0</v>
      </c>
      <c r="P109" s="73">
        <v>0</v>
      </c>
      <c r="Q109" s="83">
        <v>0</v>
      </c>
      <c r="R109" s="74">
        <v>1</v>
      </c>
    </row>
    <row r="110" spans="1:18" ht="15" customHeight="1" x14ac:dyDescent="0.15">
      <c r="F110" s="199" t="s">
        <v>296</v>
      </c>
      <c r="G110" s="83">
        <v>0</v>
      </c>
      <c r="H110" s="83">
        <v>0</v>
      </c>
      <c r="I110" s="83">
        <v>0</v>
      </c>
      <c r="J110" s="83">
        <v>0</v>
      </c>
      <c r="K110" s="83">
        <v>0</v>
      </c>
      <c r="L110" s="83">
        <v>1</v>
      </c>
      <c r="M110" s="83">
        <v>0</v>
      </c>
      <c r="N110" s="83">
        <v>0</v>
      </c>
      <c r="O110" s="83">
        <v>0</v>
      </c>
      <c r="P110" s="73">
        <v>0</v>
      </c>
      <c r="Q110" s="83">
        <v>0</v>
      </c>
      <c r="R110" s="74">
        <v>1</v>
      </c>
    </row>
    <row r="111" spans="1:18" ht="15" customHeight="1" x14ac:dyDescent="0.15">
      <c r="F111" s="199" t="s">
        <v>297</v>
      </c>
      <c r="G111" s="83">
        <v>0</v>
      </c>
      <c r="H111" s="83">
        <v>0</v>
      </c>
      <c r="I111" s="83">
        <v>0</v>
      </c>
      <c r="J111" s="83">
        <v>0</v>
      </c>
      <c r="K111" s="83">
        <v>0</v>
      </c>
      <c r="L111" s="83">
        <v>1</v>
      </c>
      <c r="M111" s="83">
        <v>0</v>
      </c>
      <c r="N111" s="83">
        <v>0</v>
      </c>
      <c r="O111" s="83">
        <v>0</v>
      </c>
      <c r="P111" s="73">
        <v>0</v>
      </c>
      <c r="Q111" s="83">
        <v>0</v>
      </c>
      <c r="R111" s="74">
        <v>1</v>
      </c>
    </row>
    <row r="112" spans="1:18" ht="15" customHeight="1" x14ac:dyDescent="0.15">
      <c r="F112" s="199" t="s">
        <v>298</v>
      </c>
      <c r="G112" s="83">
        <v>0</v>
      </c>
      <c r="H112" s="83">
        <v>0</v>
      </c>
      <c r="I112" s="83">
        <v>0</v>
      </c>
      <c r="J112" s="83">
        <v>0</v>
      </c>
      <c r="K112" s="83">
        <v>0</v>
      </c>
      <c r="L112" s="83">
        <v>1</v>
      </c>
      <c r="M112" s="83">
        <v>0</v>
      </c>
      <c r="N112" s="83">
        <v>0</v>
      </c>
      <c r="O112" s="83">
        <v>0</v>
      </c>
      <c r="P112" s="73">
        <v>0</v>
      </c>
      <c r="Q112" s="83">
        <v>0</v>
      </c>
      <c r="R112" s="74">
        <v>1</v>
      </c>
    </row>
    <row r="113" spans="6:18" s="83" customFormat="1" ht="15" customHeight="1" x14ac:dyDescent="0.15">
      <c r="F113"/>
      <c r="G113"/>
      <c r="H113"/>
      <c r="I113"/>
      <c r="J113"/>
      <c r="K113"/>
      <c r="L113"/>
      <c r="M113"/>
      <c r="N113"/>
      <c r="O113"/>
      <c r="P113"/>
      <c r="Q113"/>
      <c r="R113"/>
    </row>
    <row r="114" spans="6:18" s="83" customFormat="1" ht="15" customHeight="1" x14ac:dyDescent="0.15">
      <c r="F114"/>
      <c r="G114"/>
      <c r="H114"/>
      <c r="I114"/>
      <c r="J114"/>
      <c r="K114"/>
      <c r="L114"/>
      <c r="M114"/>
      <c r="N114"/>
      <c r="O114"/>
      <c r="P114"/>
      <c r="Q114"/>
      <c r="R114"/>
    </row>
    <row r="115" spans="6:18" s="83" customFormat="1" ht="15" customHeight="1" x14ac:dyDescent="0.15">
      <c r="F115"/>
      <c r="G115"/>
      <c r="H115"/>
      <c r="I115"/>
      <c r="J115"/>
      <c r="K115"/>
      <c r="L115"/>
      <c r="M115"/>
      <c r="N115"/>
      <c r="O115"/>
      <c r="P115"/>
      <c r="Q115"/>
      <c r="R115"/>
    </row>
    <row r="116" spans="6:18" s="83" customFormat="1" ht="15" customHeight="1" x14ac:dyDescent="0.15">
      <c r="F116"/>
      <c r="G116"/>
      <c r="H116"/>
      <c r="I116"/>
      <c r="J116"/>
      <c r="K116"/>
      <c r="L116"/>
      <c r="M116"/>
      <c r="N116"/>
      <c r="O116"/>
      <c r="P116"/>
      <c r="Q116"/>
      <c r="R116"/>
    </row>
    <row r="117" spans="6:18" s="83" customFormat="1" ht="15" customHeight="1" x14ac:dyDescent="0.15">
      <c r="F117"/>
      <c r="G117"/>
      <c r="H117"/>
      <c r="I117"/>
      <c r="J117"/>
      <c r="K117"/>
      <c r="L117"/>
      <c r="M117"/>
      <c r="N117"/>
      <c r="O117"/>
      <c r="P117"/>
      <c r="Q117"/>
      <c r="R117"/>
    </row>
    <row r="118" spans="6:18" s="83" customFormat="1" ht="15" customHeight="1" x14ac:dyDescent="0.15">
      <c r="F118"/>
      <c r="G118"/>
      <c r="H118"/>
      <c r="I118"/>
      <c r="J118"/>
      <c r="K118"/>
      <c r="L118"/>
      <c r="M118"/>
      <c r="N118"/>
      <c r="O118"/>
      <c r="P118"/>
      <c r="Q118"/>
      <c r="R118"/>
    </row>
    <row r="119" spans="6:18" s="83" customFormat="1" ht="15" customHeight="1" x14ac:dyDescent="0.15">
      <c r="F119"/>
      <c r="G119"/>
      <c r="H119"/>
      <c r="I119"/>
      <c r="J119"/>
      <c r="K119"/>
      <c r="L119"/>
      <c r="M119"/>
      <c r="N119"/>
      <c r="O119"/>
      <c r="P119"/>
      <c r="Q119"/>
      <c r="R119"/>
    </row>
    <row r="120" spans="6:18" s="83" customFormat="1" ht="15" customHeight="1" x14ac:dyDescent="0.15">
      <c r="F120"/>
      <c r="G120"/>
      <c r="H120"/>
      <c r="I120"/>
      <c r="J120"/>
      <c r="K120"/>
      <c r="L120"/>
      <c r="M120"/>
      <c r="N120"/>
      <c r="O120"/>
      <c r="P120"/>
      <c r="Q120"/>
      <c r="R120"/>
    </row>
    <row r="121" spans="6:18" s="83" customFormat="1" ht="15" customHeight="1" x14ac:dyDescent="0.15">
      <c r="F121"/>
      <c r="G121"/>
      <c r="H121"/>
      <c r="I121"/>
      <c r="J121"/>
      <c r="K121"/>
      <c r="L121"/>
      <c r="M121"/>
      <c r="N121"/>
      <c r="O121"/>
      <c r="P121"/>
      <c r="Q121"/>
      <c r="R121"/>
    </row>
    <row r="122" spans="6:18" s="83" customFormat="1" ht="15" customHeight="1" x14ac:dyDescent="0.15">
      <c r="F122"/>
      <c r="G122"/>
      <c r="H122"/>
      <c r="I122"/>
      <c r="J122"/>
      <c r="K122"/>
      <c r="L122"/>
      <c r="M122"/>
      <c r="N122"/>
      <c r="O122"/>
      <c r="P122"/>
      <c r="Q122"/>
      <c r="R122"/>
    </row>
    <row r="123" spans="6:18" s="83" customFormat="1" ht="15" customHeight="1" x14ac:dyDescent="0.15">
      <c r="F123"/>
      <c r="G123"/>
      <c r="H123"/>
      <c r="I123"/>
      <c r="J123"/>
      <c r="K123"/>
      <c r="L123"/>
      <c r="M123"/>
      <c r="N123"/>
      <c r="O123"/>
      <c r="P123"/>
      <c r="Q123"/>
      <c r="R123"/>
    </row>
    <row r="124" spans="6:18" s="83" customFormat="1" ht="15" customHeight="1" x14ac:dyDescent="0.15">
      <c r="F124"/>
      <c r="G124"/>
      <c r="H124"/>
      <c r="I124"/>
      <c r="J124"/>
      <c r="K124"/>
      <c r="L124"/>
      <c r="M124"/>
      <c r="N124"/>
      <c r="O124"/>
      <c r="P124"/>
      <c r="Q124"/>
      <c r="R124"/>
    </row>
    <row r="125" spans="6:18" s="83" customFormat="1" ht="15" customHeight="1" x14ac:dyDescent="0.15">
      <c r="F125"/>
      <c r="G125"/>
      <c r="H125"/>
      <c r="I125"/>
      <c r="J125"/>
      <c r="K125"/>
      <c r="L125"/>
      <c r="M125"/>
      <c r="N125"/>
      <c r="O125"/>
      <c r="P125"/>
      <c r="Q125"/>
      <c r="R125"/>
    </row>
    <row r="126" spans="6:18" s="83" customFormat="1" ht="15" customHeight="1" x14ac:dyDescent="0.15">
      <c r="F126"/>
      <c r="G126"/>
      <c r="H126"/>
      <c r="I126"/>
      <c r="J126"/>
      <c r="K126"/>
      <c r="L126"/>
      <c r="M126"/>
      <c r="N126"/>
      <c r="O126"/>
      <c r="P126"/>
      <c r="Q126"/>
      <c r="R126"/>
    </row>
    <row r="127" spans="6:18" s="83" customFormat="1" ht="15" customHeight="1" x14ac:dyDescent="0.15">
      <c r="F127"/>
      <c r="G127"/>
      <c r="H127"/>
      <c r="I127"/>
      <c r="J127"/>
      <c r="K127"/>
      <c r="L127"/>
      <c r="M127"/>
      <c r="N127"/>
      <c r="O127"/>
      <c r="P127"/>
      <c r="Q127"/>
      <c r="R127"/>
    </row>
    <row r="128" spans="6:18" s="83" customFormat="1" ht="15" customHeight="1" x14ac:dyDescent="0.15">
      <c r="F128"/>
      <c r="G128"/>
      <c r="H128"/>
      <c r="I128"/>
      <c r="J128"/>
      <c r="K128"/>
      <c r="L128"/>
      <c r="M128"/>
      <c r="N128"/>
      <c r="O128"/>
      <c r="P128"/>
      <c r="Q128"/>
      <c r="R128"/>
    </row>
    <row r="129" spans="6:18" s="83" customFormat="1" ht="15" customHeight="1" x14ac:dyDescent="0.15">
      <c r="F129"/>
      <c r="G129"/>
      <c r="H129"/>
      <c r="I129"/>
      <c r="J129"/>
      <c r="K129"/>
      <c r="L129"/>
      <c r="M129"/>
      <c r="N129"/>
      <c r="O129"/>
      <c r="P129"/>
      <c r="Q129"/>
      <c r="R129"/>
    </row>
    <row r="130" spans="6:18" s="83" customFormat="1" ht="15" customHeight="1" x14ac:dyDescent="0.15">
      <c r="F130"/>
      <c r="G130"/>
      <c r="H130"/>
      <c r="I130"/>
      <c r="J130"/>
      <c r="K130"/>
      <c r="L130"/>
      <c r="M130"/>
      <c r="N130"/>
      <c r="O130"/>
      <c r="P130"/>
      <c r="Q130"/>
      <c r="R130"/>
    </row>
    <row r="131" spans="6:18" s="83" customFormat="1" ht="15" customHeight="1" x14ac:dyDescent="0.15">
      <c r="F131"/>
      <c r="G131"/>
      <c r="H131"/>
      <c r="I131"/>
      <c r="J131"/>
      <c r="K131"/>
      <c r="L131"/>
      <c r="M131"/>
      <c r="N131"/>
      <c r="O131"/>
      <c r="P131"/>
      <c r="Q131"/>
      <c r="R131"/>
    </row>
    <row r="132" spans="6:18" s="83" customFormat="1" ht="15" customHeight="1" x14ac:dyDescent="0.15">
      <c r="F132"/>
      <c r="G132"/>
      <c r="H132"/>
      <c r="I132"/>
      <c r="J132"/>
      <c r="K132"/>
      <c r="L132"/>
      <c r="M132"/>
      <c r="N132"/>
      <c r="O132"/>
      <c r="P132"/>
      <c r="Q132"/>
      <c r="R132"/>
    </row>
    <row r="133" spans="6:18" s="83" customFormat="1" ht="15" customHeight="1" x14ac:dyDescent="0.15">
      <c r="F133"/>
      <c r="G133"/>
      <c r="H133"/>
      <c r="I133"/>
      <c r="J133"/>
      <c r="K133"/>
      <c r="L133"/>
      <c r="M133"/>
      <c r="N133"/>
      <c r="O133"/>
      <c r="P133"/>
      <c r="Q133"/>
      <c r="R133"/>
    </row>
    <row r="134" spans="6:18" s="83" customFormat="1" ht="15" customHeight="1" x14ac:dyDescent="0.15">
      <c r="F134"/>
      <c r="G134"/>
      <c r="H134"/>
      <c r="I134"/>
      <c r="J134"/>
      <c r="K134"/>
      <c r="L134"/>
      <c r="M134"/>
      <c r="N134"/>
      <c r="O134"/>
      <c r="P134"/>
      <c r="Q134"/>
      <c r="R134"/>
    </row>
    <row r="135" spans="6:18" s="83" customFormat="1" ht="15" customHeight="1" x14ac:dyDescent="0.15">
      <c r="F135"/>
      <c r="G135"/>
      <c r="H135"/>
      <c r="I135"/>
      <c r="J135"/>
      <c r="K135"/>
      <c r="L135"/>
      <c r="M135"/>
      <c r="N135"/>
      <c r="O135"/>
      <c r="P135"/>
      <c r="Q135"/>
      <c r="R135"/>
    </row>
    <row r="136" spans="6:18" s="83" customFormat="1" ht="15" customHeight="1" x14ac:dyDescent="0.15">
      <c r="F136"/>
      <c r="G136"/>
      <c r="H136"/>
      <c r="I136"/>
      <c r="J136"/>
      <c r="K136"/>
      <c r="L136"/>
      <c r="M136"/>
      <c r="N136"/>
      <c r="O136"/>
      <c r="P136"/>
      <c r="Q136"/>
      <c r="R136"/>
    </row>
    <row r="137" spans="6:18" s="83" customFormat="1" ht="15" customHeight="1" x14ac:dyDescent="0.15">
      <c r="F137"/>
      <c r="G137"/>
      <c r="H137"/>
      <c r="I137"/>
      <c r="J137"/>
      <c r="K137"/>
      <c r="L137"/>
      <c r="M137"/>
      <c r="N137"/>
      <c r="O137"/>
      <c r="P137"/>
      <c r="Q137"/>
      <c r="R137"/>
    </row>
    <row r="138" spans="6:18" s="83" customFormat="1" ht="15" customHeight="1" x14ac:dyDescent="0.15">
      <c r="F138"/>
      <c r="G138"/>
      <c r="H138"/>
      <c r="I138"/>
      <c r="J138"/>
      <c r="K138"/>
      <c r="L138"/>
      <c r="M138"/>
      <c r="N138"/>
      <c r="O138"/>
      <c r="P138"/>
      <c r="Q138"/>
      <c r="R138"/>
    </row>
    <row r="139" spans="6:18" s="83" customFormat="1" ht="15" customHeight="1" x14ac:dyDescent="0.15">
      <c r="F139"/>
      <c r="G139"/>
      <c r="H139"/>
      <c r="I139"/>
      <c r="J139"/>
      <c r="K139"/>
      <c r="L139"/>
      <c r="M139"/>
      <c r="N139"/>
      <c r="O139"/>
      <c r="P139"/>
      <c r="Q139"/>
      <c r="R139"/>
    </row>
    <row r="140" spans="6:18" s="83" customFormat="1" ht="15" customHeight="1" x14ac:dyDescent="0.15">
      <c r="F140"/>
      <c r="G140"/>
      <c r="H140"/>
      <c r="I140"/>
      <c r="J140"/>
      <c r="K140"/>
      <c r="L140"/>
      <c r="M140"/>
      <c r="N140"/>
      <c r="O140"/>
      <c r="P140"/>
      <c r="Q140"/>
      <c r="R140"/>
    </row>
    <row r="141" spans="6:18" s="83" customFormat="1" ht="15" customHeight="1" x14ac:dyDescent="0.15">
      <c r="F141"/>
      <c r="G141"/>
      <c r="H141"/>
      <c r="I141"/>
      <c r="J141"/>
      <c r="K141"/>
      <c r="L141"/>
      <c r="M141"/>
      <c r="N141"/>
      <c r="O141"/>
      <c r="P141"/>
      <c r="Q141"/>
      <c r="R141"/>
    </row>
    <row r="142" spans="6:18" s="83" customFormat="1" ht="15" customHeight="1" x14ac:dyDescent="0.15">
      <c r="F142"/>
      <c r="G142"/>
      <c r="H142"/>
      <c r="I142"/>
      <c r="J142"/>
      <c r="K142"/>
      <c r="L142"/>
      <c r="M142"/>
      <c r="N142"/>
      <c r="O142"/>
      <c r="P142"/>
      <c r="Q142"/>
      <c r="R142"/>
    </row>
    <row r="143" spans="6:18" s="83" customFormat="1" ht="15" customHeight="1" x14ac:dyDescent="0.15">
      <c r="F143"/>
      <c r="G143"/>
      <c r="H143"/>
      <c r="I143"/>
      <c r="J143"/>
      <c r="K143"/>
      <c r="L143"/>
      <c r="M143"/>
      <c r="N143"/>
      <c r="O143"/>
      <c r="P143"/>
      <c r="Q143"/>
      <c r="R143"/>
    </row>
    <row r="144" spans="6:18" s="83" customFormat="1" ht="15" customHeight="1" x14ac:dyDescent="0.15">
      <c r="F144"/>
      <c r="G144"/>
      <c r="H144"/>
      <c r="I144"/>
      <c r="J144"/>
      <c r="K144"/>
      <c r="L144"/>
      <c r="M144"/>
      <c r="N144"/>
      <c r="O144"/>
      <c r="P144"/>
      <c r="Q144"/>
      <c r="R144"/>
    </row>
    <row r="145" spans="6:18" s="83" customFormat="1" ht="15" customHeight="1" x14ac:dyDescent="0.15">
      <c r="F145"/>
      <c r="G145"/>
      <c r="H145"/>
      <c r="I145"/>
      <c r="J145"/>
      <c r="K145"/>
      <c r="L145"/>
      <c r="M145"/>
      <c r="N145"/>
      <c r="O145"/>
      <c r="P145"/>
      <c r="Q145"/>
      <c r="R145"/>
    </row>
    <row r="146" spans="6:18" s="83" customFormat="1" ht="15" customHeight="1" x14ac:dyDescent="0.15">
      <c r="F146"/>
      <c r="G146"/>
      <c r="H146"/>
      <c r="I146"/>
      <c r="J146"/>
      <c r="K146"/>
      <c r="L146"/>
      <c r="M146"/>
      <c r="N146"/>
      <c r="O146"/>
      <c r="P146"/>
      <c r="Q146"/>
      <c r="R146"/>
    </row>
    <row r="147" spans="6:18" s="83" customFormat="1" ht="15" customHeight="1" x14ac:dyDescent="0.15">
      <c r="F147"/>
      <c r="G147"/>
      <c r="H147"/>
      <c r="I147"/>
      <c r="J147"/>
      <c r="K147"/>
      <c r="L147"/>
      <c r="M147"/>
      <c r="N147"/>
      <c r="O147"/>
      <c r="P147"/>
      <c r="Q147"/>
      <c r="R147"/>
    </row>
    <row r="148" spans="6:18" s="83" customFormat="1" ht="15" customHeight="1" x14ac:dyDescent="0.15">
      <c r="F148"/>
      <c r="G148"/>
      <c r="H148"/>
      <c r="I148"/>
      <c r="J148"/>
      <c r="K148"/>
      <c r="L148"/>
      <c r="M148"/>
      <c r="N148"/>
      <c r="O148"/>
      <c r="P148"/>
      <c r="Q148"/>
      <c r="R148"/>
    </row>
    <row r="149" spans="6:18" s="83" customFormat="1" ht="15" customHeight="1" x14ac:dyDescent="0.15">
      <c r="F149"/>
      <c r="G149"/>
      <c r="H149"/>
      <c r="I149"/>
      <c r="J149"/>
      <c r="K149"/>
      <c r="L149"/>
      <c r="M149"/>
      <c r="N149"/>
      <c r="O149"/>
      <c r="P149"/>
      <c r="Q149"/>
      <c r="R149"/>
    </row>
    <row r="150" spans="6:18" s="83" customFormat="1" ht="15" customHeight="1" x14ac:dyDescent="0.15">
      <c r="F150"/>
      <c r="G150"/>
      <c r="H150"/>
      <c r="I150"/>
      <c r="J150"/>
      <c r="K150"/>
      <c r="L150"/>
      <c r="M150"/>
      <c r="N150"/>
      <c r="O150"/>
      <c r="P150"/>
      <c r="Q150"/>
      <c r="R150"/>
    </row>
    <row r="151" spans="6:18" s="83" customFormat="1" ht="15" customHeight="1" x14ac:dyDescent="0.15">
      <c r="F151"/>
      <c r="G151"/>
      <c r="H151"/>
      <c r="I151"/>
      <c r="J151"/>
      <c r="K151"/>
      <c r="L151"/>
      <c r="M151"/>
      <c r="N151"/>
      <c r="O151"/>
      <c r="P151"/>
      <c r="Q151"/>
      <c r="R151"/>
    </row>
    <row r="152" spans="6:18" s="83" customFormat="1" ht="15" customHeight="1" x14ac:dyDescent="0.15">
      <c r="F152"/>
      <c r="G152"/>
      <c r="H152"/>
      <c r="I152"/>
      <c r="J152"/>
      <c r="K152"/>
      <c r="L152"/>
      <c r="M152"/>
      <c r="N152"/>
      <c r="O152"/>
      <c r="P152"/>
      <c r="Q152"/>
      <c r="R152"/>
    </row>
    <row r="153" spans="6:18" s="83" customFormat="1" ht="15" customHeight="1" x14ac:dyDescent="0.15">
      <c r="F153"/>
      <c r="G153"/>
      <c r="H153"/>
      <c r="I153"/>
      <c r="J153"/>
      <c r="K153"/>
      <c r="L153"/>
      <c r="M153"/>
      <c r="N153"/>
      <c r="O153"/>
      <c r="P153"/>
      <c r="Q153"/>
      <c r="R153"/>
    </row>
    <row r="154" spans="6:18" s="83" customFormat="1" ht="15" customHeight="1" x14ac:dyDescent="0.15">
      <c r="F154"/>
      <c r="G154"/>
      <c r="H154"/>
      <c r="I154"/>
      <c r="J154"/>
      <c r="K154"/>
      <c r="L154"/>
      <c r="M154"/>
      <c r="N154"/>
      <c r="O154"/>
      <c r="P154"/>
      <c r="Q154"/>
      <c r="R154"/>
    </row>
    <row r="155" spans="6:18" s="83" customFormat="1" ht="15" customHeight="1" x14ac:dyDescent="0.15">
      <c r="F155"/>
      <c r="G155"/>
      <c r="H155"/>
      <c r="I155"/>
      <c r="J155"/>
      <c r="K155"/>
      <c r="L155"/>
      <c r="M155"/>
      <c r="N155"/>
      <c r="O155"/>
      <c r="P155"/>
      <c r="Q155"/>
      <c r="R155"/>
    </row>
    <row r="156" spans="6:18" s="83" customFormat="1" ht="15" customHeight="1" x14ac:dyDescent="0.15">
      <c r="F156"/>
      <c r="G156"/>
      <c r="H156"/>
      <c r="I156"/>
      <c r="J156"/>
      <c r="K156"/>
      <c r="L156"/>
      <c r="M156"/>
      <c r="N156"/>
      <c r="O156"/>
      <c r="P156"/>
      <c r="Q156"/>
      <c r="R156"/>
    </row>
    <row r="157" spans="6:18" s="83" customFormat="1" ht="15" customHeight="1" x14ac:dyDescent="0.15">
      <c r="F157"/>
      <c r="G157"/>
      <c r="H157"/>
      <c r="I157"/>
      <c r="J157"/>
      <c r="K157"/>
      <c r="L157"/>
      <c r="M157"/>
      <c r="N157"/>
      <c r="O157"/>
      <c r="P157"/>
      <c r="Q157"/>
      <c r="R157"/>
    </row>
    <row r="158" spans="6:18" s="83" customFormat="1" ht="15" customHeight="1" x14ac:dyDescent="0.15">
      <c r="F158"/>
      <c r="G158"/>
      <c r="H158"/>
      <c r="I158"/>
      <c r="J158"/>
      <c r="K158"/>
      <c r="L158"/>
      <c r="M158"/>
      <c r="N158"/>
      <c r="O158"/>
      <c r="P158"/>
      <c r="Q158"/>
      <c r="R158"/>
    </row>
    <row r="159" spans="6:18" s="83" customFormat="1" ht="15" customHeight="1" x14ac:dyDescent="0.15">
      <c r="F159"/>
      <c r="G159"/>
      <c r="H159"/>
      <c r="I159"/>
      <c r="J159"/>
      <c r="K159"/>
      <c r="L159"/>
      <c r="M159"/>
      <c r="N159"/>
      <c r="O159"/>
      <c r="P159"/>
      <c r="Q159"/>
      <c r="R159"/>
    </row>
    <row r="160" spans="6:18" s="83" customFormat="1" ht="15" customHeight="1" x14ac:dyDescent="0.15">
      <c r="F160"/>
      <c r="G160"/>
      <c r="H160"/>
      <c r="I160"/>
      <c r="J160"/>
      <c r="K160"/>
      <c r="L160"/>
      <c r="M160"/>
      <c r="N160"/>
      <c r="O160"/>
      <c r="P160"/>
      <c r="Q160"/>
      <c r="R160"/>
    </row>
    <row r="161" spans="6:18" s="83" customFormat="1" ht="15" customHeight="1" x14ac:dyDescent="0.15">
      <c r="F161"/>
      <c r="G161"/>
      <c r="H161"/>
      <c r="I161"/>
      <c r="J161"/>
      <c r="K161"/>
      <c r="L161"/>
      <c r="M161"/>
      <c r="N161"/>
      <c r="O161"/>
      <c r="P161"/>
      <c r="Q161"/>
      <c r="R161"/>
    </row>
    <row r="162" spans="6:18" s="83" customFormat="1" ht="15" customHeight="1" x14ac:dyDescent="0.15">
      <c r="F162"/>
      <c r="G162"/>
      <c r="H162"/>
      <c r="I162"/>
      <c r="J162"/>
      <c r="K162"/>
      <c r="L162"/>
      <c r="M162"/>
      <c r="N162"/>
      <c r="O162"/>
      <c r="P162"/>
      <c r="Q162"/>
      <c r="R162"/>
    </row>
    <row r="163" spans="6:18" s="83" customFormat="1" ht="15" customHeight="1" x14ac:dyDescent="0.15">
      <c r="F163"/>
      <c r="G163"/>
      <c r="H163"/>
      <c r="I163"/>
      <c r="J163"/>
      <c r="K163"/>
      <c r="L163"/>
      <c r="M163"/>
      <c r="N163"/>
      <c r="O163"/>
      <c r="P163"/>
      <c r="Q163"/>
      <c r="R163"/>
    </row>
    <row r="164" spans="6:18" s="83" customFormat="1" ht="15" customHeight="1" x14ac:dyDescent="0.15">
      <c r="F164"/>
      <c r="G164"/>
      <c r="H164"/>
      <c r="I164"/>
      <c r="J164"/>
      <c r="K164"/>
      <c r="L164"/>
      <c r="M164"/>
      <c r="N164"/>
      <c r="O164"/>
      <c r="P164"/>
      <c r="Q164"/>
      <c r="R164"/>
    </row>
    <row r="165" spans="6:18" s="83" customFormat="1" ht="15" customHeight="1" x14ac:dyDescent="0.15">
      <c r="F165"/>
      <c r="G165"/>
      <c r="H165"/>
      <c r="I165"/>
      <c r="J165"/>
      <c r="K165"/>
      <c r="L165"/>
      <c r="M165"/>
      <c r="N165"/>
      <c r="O165"/>
      <c r="P165"/>
      <c r="Q165"/>
      <c r="R165"/>
    </row>
    <row r="166" spans="6:18" s="83" customFormat="1" ht="15" customHeight="1" x14ac:dyDescent="0.15">
      <c r="F166"/>
      <c r="G166"/>
      <c r="H166"/>
      <c r="I166"/>
      <c r="J166"/>
      <c r="K166"/>
      <c r="L166"/>
      <c r="M166"/>
      <c r="N166"/>
      <c r="O166"/>
      <c r="P166"/>
      <c r="Q166"/>
      <c r="R166"/>
    </row>
    <row r="167" spans="6:18" s="83" customFormat="1" ht="15" customHeight="1" x14ac:dyDescent="0.15">
      <c r="F167"/>
      <c r="G167"/>
      <c r="H167"/>
      <c r="I167"/>
      <c r="J167"/>
      <c r="K167"/>
      <c r="L167"/>
      <c r="M167"/>
      <c r="N167"/>
      <c r="O167"/>
      <c r="P167"/>
      <c r="Q167"/>
      <c r="R167"/>
    </row>
    <row r="168" spans="6:18" s="83" customFormat="1" ht="15" customHeight="1" x14ac:dyDescent="0.15">
      <c r="F168"/>
      <c r="G168"/>
      <c r="H168"/>
      <c r="I168"/>
      <c r="J168"/>
      <c r="K168"/>
      <c r="L168"/>
      <c r="M168"/>
      <c r="N168"/>
      <c r="O168"/>
      <c r="P168"/>
      <c r="Q168"/>
      <c r="R168"/>
    </row>
    <row r="169" spans="6:18" s="83" customFormat="1" ht="15" customHeight="1" x14ac:dyDescent="0.15">
      <c r="F169"/>
      <c r="G169"/>
      <c r="H169"/>
      <c r="I169"/>
      <c r="J169"/>
      <c r="K169"/>
      <c r="L169"/>
      <c r="M169"/>
      <c r="N169"/>
      <c r="O169"/>
      <c r="P169"/>
      <c r="Q169"/>
      <c r="R169"/>
    </row>
    <row r="170" spans="6:18" s="83" customFormat="1" ht="15" customHeight="1" x14ac:dyDescent="0.15">
      <c r="F170"/>
      <c r="G170"/>
      <c r="H170"/>
      <c r="I170"/>
      <c r="J170"/>
      <c r="K170"/>
      <c r="L170"/>
      <c r="M170"/>
      <c r="N170"/>
      <c r="O170"/>
      <c r="P170"/>
      <c r="Q170"/>
      <c r="R170"/>
    </row>
    <row r="171" spans="6:18" s="83" customFormat="1" ht="15" customHeight="1" x14ac:dyDescent="0.15">
      <c r="F171"/>
      <c r="G171"/>
      <c r="H171"/>
      <c r="I171"/>
      <c r="J171"/>
      <c r="K171"/>
      <c r="L171"/>
      <c r="M171"/>
      <c r="N171"/>
      <c r="O171"/>
      <c r="P171"/>
      <c r="Q171"/>
      <c r="R171"/>
    </row>
    <row r="172" spans="6:18" s="83" customFormat="1" ht="15" customHeight="1" x14ac:dyDescent="0.15">
      <c r="F172"/>
      <c r="G172"/>
      <c r="H172"/>
      <c r="I172"/>
      <c r="J172"/>
      <c r="K172"/>
      <c r="L172"/>
      <c r="M172"/>
      <c r="N172"/>
      <c r="O172"/>
      <c r="P172"/>
      <c r="Q172"/>
      <c r="R172"/>
    </row>
    <row r="173" spans="6:18" s="83" customFormat="1" ht="15" customHeight="1" x14ac:dyDescent="0.15">
      <c r="F173"/>
      <c r="G173"/>
      <c r="H173"/>
      <c r="I173"/>
      <c r="J173"/>
      <c r="K173"/>
      <c r="L173"/>
      <c r="M173"/>
      <c r="N173"/>
      <c r="O173"/>
      <c r="P173"/>
      <c r="Q173"/>
      <c r="R173"/>
    </row>
    <row r="174" spans="6:18" s="83" customFormat="1" ht="15" customHeight="1" x14ac:dyDescent="0.15">
      <c r="F174"/>
      <c r="G174"/>
      <c r="H174"/>
      <c r="I174"/>
      <c r="J174"/>
      <c r="K174"/>
      <c r="L174"/>
      <c r="M174"/>
      <c r="N174"/>
      <c r="O174"/>
      <c r="P174"/>
      <c r="Q174"/>
      <c r="R174"/>
    </row>
    <row r="175" spans="6:18" s="83" customFormat="1" ht="15" customHeight="1" x14ac:dyDescent="0.15">
      <c r="F175"/>
      <c r="G175"/>
      <c r="H175"/>
      <c r="I175"/>
      <c r="J175"/>
      <c r="K175"/>
      <c r="L175"/>
      <c r="M175"/>
      <c r="N175"/>
      <c r="O175"/>
      <c r="P175"/>
      <c r="Q175"/>
      <c r="R175"/>
    </row>
    <row r="176" spans="6:18" s="83" customFormat="1" ht="15" customHeight="1" x14ac:dyDescent="0.15">
      <c r="F176"/>
      <c r="G176"/>
      <c r="H176"/>
      <c r="I176"/>
      <c r="J176"/>
      <c r="K176"/>
      <c r="L176"/>
      <c r="M176"/>
      <c r="N176"/>
      <c r="O176"/>
      <c r="P176"/>
      <c r="Q176"/>
      <c r="R176"/>
    </row>
    <row r="177" spans="6:18" s="83" customFormat="1" ht="15" customHeight="1" x14ac:dyDescent="0.15">
      <c r="F177"/>
      <c r="G177"/>
      <c r="H177"/>
      <c r="I177"/>
      <c r="J177"/>
      <c r="K177"/>
      <c r="L177"/>
      <c r="M177"/>
      <c r="N177"/>
      <c r="O177"/>
      <c r="P177"/>
      <c r="Q177"/>
      <c r="R177"/>
    </row>
    <row r="178" spans="6:18" s="83" customFormat="1" ht="15" customHeight="1" x14ac:dyDescent="0.15">
      <c r="F178"/>
      <c r="G178"/>
      <c r="H178"/>
      <c r="I178"/>
      <c r="J178"/>
      <c r="K178"/>
      <c r="L178"/>
      <c r="M178"/>
      <c r="N178"/>
      <c r="O178"/>
      <c r="P178"/>
      <c r="Q178"/>
      <c r="R178"/>
    </row>
    <row r="179" spans="6:18" s="83" customFormat="1" ht="15" customHeight="1" x14ac:dyDescent="0.15">
      <c r="F179"/>
      <c r="G179"/>
      <c r="H179"/>
      <c r="I179"/>
      <c r="J179"/>
      <c r="K179"/>
      <c r="L179"/>
      <c r="M179"/>
      <c r="N179"/>
      <c r="O179"/>
      <c r="P179"/>
      <c r="Q179"/>
      <c r="R179"/>
    </row>
    <row r="180" spans="6:18" s="83" customFormat="1" ht="15" customHeight="1" x14ac:dyDescent="0.15">
      <c r="F180"/>
      <c r="G180"/>
      <c r="H180"/>
      <c r="I180"/>
      <c r="J180"/>
      <c r="K180"/>
      <c r="L180"/>
      <c r="M180"/>
      <c r="N180"/>
      <c r="O180"/>
      <c r="P180"/>
      <c r="Q180"/>
      <c r="R180"/>
    </row>
    <row r="181" spans="6:18" s="83" customFormat="1" ht="15" customHeight="1" x14ac:dyDescent="0.15">
      <c r="F181"/>
      <c r="G181"/>
      <c r="H181"/>
      <c r="I181"/>
      <c r="J181"/>
      <c r="K181"/>
      <c r="L181"/>
      <c r="M181"/>
      <c r="N181"/>
      <c r="O181"/>
      <c r="P181"/>
      <c r="Q181"/>
      <c r="R181"/>
    </row>
    <row r="182" spans="6:18" s="83" customFormat="1" ht="15" customHeight="1" x14ac:dyDescent="0.15">
      <c r="F182"/>
      <c r="G182"/>
      <c r="H182"/>
      <c r="I182"/>
      <c r="J182"/>
      <c r="K182"/>
      <c r="L182"/>
      <c r="M182"/>
      <c r="N182"/>
      <c r="O182"/>
      <c r="P182"/>
      <c r="Q182"/>
      <c r="R182"/>
    </row>
    <row r="183" spans="6:18" s="83" customFormat="1" ht="15" customHeight="1" x14ac:dyDescent="0.15">
      <c r="F183"/>
      <c r="G183"/>
      <c r="H183"/>
      <c r="I183"/>
      <c r="J183"/>
      <c r="K183"/>
      <c r="L183"/>
      <c r="M183"/>
      <c r="N183"/>
      <c r="O183"/>
      <c r="P183"/>
      <c r="Q183"/>
      <c r="R183"/>
    </row>
    <row r="184" spans="6:18" s="83" customFormat="1" ht="15" customHeight="1" x14ac:dyDescent="0.15">
      <c r="F184"/>
      <c r="G184"/>
      <c r="H184"/>
      <c r="I184"/>
      <c r="J184"/>
      <c r="K184"/>
      <c r="L184"/>
      <c r="M184"/>
      <c r="N184"/>
      <c r="O184"/>
      <c r="P184"/>
      <c r="Q184"/>
      <c r="R184"/>
    </row>
    <row r="185" spans="6:18" s="83" customFormat="1" ht="15" customHeight="1" x14ac:dyDescent="0.15">
      <c r="F185"/>
      <c r="G185"/>
      <c r="H185"/>
      <c r="I185"/>
      <c r="J185"/>
      <c r="K185"/>
      <c r="L185"/>
      <c r="M185"/>
      <c r="N185"/>
      <c r="O185"/>
      <c r="P185"/>
      <c r="Q185"/>
      <c r="R185"/>
    </row>
    <row r="186" spans="6:18" s="83" customFormat="1" ht="15" customHeight="1" x14ac:dyDescent="0.15">
      <c r="F186"/>
      <c r="G186"/>
      <c r="H186"/>
      <c r="I186"/>
      <c r="J186"/>
      <c r="K186"/>
      <c r="L186"/>
      <c r="M186"/>
      <c r="N186"/>
      <c r="O186"/>
      <c r="P186"/>
      <c r="Q186"/>
      <c r="R186"/>
    </row>
    <row r="187" spans="6:18" s="83" customFormat="1" ht="15" customHeight="1" x14ac:dyDescent="0.15">
      <c r="F187"/>
      <c r="G187"/>
      <c r="H187"/>
      <c r="I187"/>
      <c r="J187"/>
      <c r="K187"/>
      <c r="L187"/>
      <c r="M187"/>
      <c r="N187"/>
      <c r="O187"/>
      <c r="P187"/>
      <c r="Q187"/>
      <c r="R187"/>
    </row>
    <row r="188" spans="6:18" s="83" customFormat="1" ht="15" customHeight="1" x14ac:dyDescent="0.15">
      <c r="F188"/>
      <c r="G188"/>
      <c r="H188"/>
      <c r="I188"/>
      <c r="J188"/>
      <c r="K188"/>
      <c r="L188"/>
      <c r="M188"/>
      <c r="N188"/>
      <c r="O188"/>
      <c r="P188"/>
      <c r="Q188"/>
      <c r="R188"/>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DK192"/>
  <sheetViews>
    <sheetView workbookViewId="0">
      <pane xSplit="1" ySplit="1" topLeftCell="B2" activePane="bottomRight" state="frozen"/>
      <selection pane="topRight" activeCell="B1" sqref="B1"/>
      <selection pane="bottomLeft" activeCell="A2" sqref="A2"/>
      <selection pane="bottomRight" activeCell="A5" sqref="A5"/>
    </sheetView>
  </sheetViews>
  <sheetFormatPr baseColWidth="10" defaultColWidth="8.83203125" defaultRowHeight="13" x14ac:dyDescent="0.15"/>
  <cols>
    <col min="1" max="1" width="44.33203125" bestFit="1" customWidth="1"/>
    <col min="2" max="2" width="2.33203125" style="113" customWidth="1"/>
    <col min="3" max="5" width="7.83203125" style="113" customWidth="1"/>
    <col min="6" max="8" width="8.83203125" style="6"/>
    <col min="9" max="10" width="8.5" style="6" customWidth="1"/>
    <col min="11" max="11" width="10" style="6" customWidth="1"/>
    <col min="12" max="12" width="6.83203125" style="6" customWidth="1"/>
    <col min="13" max="13" width="11.1640625" style="6" customWidth="1"/>
    <col min="14" max="15" width="13.5" style="6" customWidth="1"/>
    <col min="16" max="16" width="12.5" style="6" customWidth="1"/>
    <col min="17" max="17" width="13.5" style="6" customWidth="1"/>
    <col min="18" max="18" width="21" style="6" customWidth="1"/>
    <col min="19" max="19" width="23" style="6" customWidth="1"/>
    <col min="20" max="20" width="21.1640625" style="6" customWidth="1"/>
    <col min="21" max="21" width="9.6640625" style="6" customWidth="1"/>
    <col min="22" max="22" width="27.33203125" style="6" customWidth="1"/>
    <col min="23" max="23" width="21.33203125" style="6" customWidth="1"/>
    <col min="24" max="24" width="33.1640625" style="6" customWidth="1"/>
    <col min="25" max="25" width="32.6640625" style="6" customWidth="1"/>
    <col min="26" max="26" width="26.6640625" style="6" customWidth="1"/>
    <col min="27" max="27" width="29.33203125" style="6" customWidth="1"/>
    <col min="28" max="28" width="29.5" style="6" customWidth="1"/>
    <col min="29" max="29" width="30.5" style="6" customWidth="1"/>
    <col min="30" max="30" width="28.5" style="6" customWidth="1"/>
    <col min="31" max="31" width="24" style="6" customWidth="1"/>
    <col min="32" max="32" width="17.1640625" style="6" customWidth="1"/>
    <col min="33" max="33" width="22.5" style="6" customWidth="1"/>
    <col min="34" max="34" width="22.6640625" style="6" customWidth="1"/>
    <col min="35" max="35" width="16.5" style="6" customWidth="1"/>
    <col min="36" max="36" width="10.83203125" style="6" customWidth="1"/>
    <col min="37" max="37" width="44.33203125" style="6" customWidth="1"/>
    <col min="38" max="38" width="43.5" style="6" customWidth="1"/>
    <col min="39" max="39" width="34.83203125" customWidth="1"/>
    <col min="40" max="40" width="35.6640625" customWidth="1"/>
    <col min="41" max="41" width="36.33203125" customWidth="1"/>
    <col min="42" max="42" width="23.83203125" customWidth="1"/>
    <col min="43" max="43" width="30.6640625" customWidth="1"/>
    <col min="44" max="44" width="18" customWidth="1"/>
    <col min="45" max="45" width="17.1640625" customWidth="1"/>
    <col min="46" max="46" width="23.1640625" customWidth="1"/>
    <col min="47" max="47" width="18" customWidth="1"/>
    <col min="48" max="48" width="23.5" customWidth="1"/>
    <col min="49" max="49" width="8.33203125" customWidth="1"/>
    <col min="50" max="50" width="19.5" customWidth="1"/>
    <col min="51" max="51" width="12.33203125" customWidth="1"/>
    <col min="52" max="52" width="19.5" customWidth="1"/>
    <col min="53" max="53" width="21.5" customWidth="1"/>
    <col min="54" max="54" width="17.5" customWidth="1"/>
    <col min="55" max="55" width="17.33203125" customWidth="1"/>
    <col min="56" max="56" width="19.33203125" customWidth="1"/>
    <col min="57" max="57" width="15.33203125" customWidth="1"/>
    <col min="58" max="58" width="24.6640625" customWidth="1"/>
    <col min="59" max="59" width="27.6640625" customWidth="1"/>
    <col min="60" max="60" width="28.33203125" customWidth="1"/>
    <col min="61" max="61" width="8" customWidth="1"/>
    <col min="62" max="62" width="12.5" customWidth="1"/>
    <col min="63" max="63" width="12.83203125" customWidth="1"/>
    <col min="64" max="64" width="9.6640625" customWidth="1"/>
    <col min="65" max="66" width="15.5" customWidth="1"/>
    <col min="67" max="68" width="11.5" customWidth="1"/>
    <col min="69" max="69" width="9.5" customWidth="1"/>
    <col min="70" max="70" width="10.1640625" customWidth="1"/>
    <col min="71" max="71" width="9.1640625" customWidth="1"/>
    <col min="72" max="72" width="17" customWidth="1"/>
    <col min="73" max="73" width="13.6640625" customWidth="1"/>
    <col min="74" max="74" width="16" customWidth="1"/>
    <col min="75" max="75" width="22.5" customWidth="1"/>
    <col min="76" max="76" width="24.5" customWidth="1"/>
    <col min="77" max="77" width="12.83203125" customWidth="1"/>
    <col min="78" max="78" width="15.1640625" customWidth="1"/>
    <col min="79" max="79" width="21.5" customWidth="1"/>
    <col min="80" max="80" width="23.83203125" customWidth="1"/>
    <col min="81" max="81" width="15.83203125" bestFit="1" customWidth="1"/>
    <col min="82" max="82" width="18.1640625" customWidth="1"/>
    <col min="83" max="83" width="13" customWidth="1"/>
    <col min="84" max="84" width="15.33203125" customWidth="1"/>
    <col min="85" max="85" width="11.1640625" customWidth="1"/>
    <col min="86" max="86" width="11.33203125" customWidth="1"/>
    <col min="87" max="87" width="17.5" customWidth="1"/>
    <col min="88" max="88" width="19.6640625" customWidth="1"/>
    <col min="89" max="89" width="20.5" customWidth="1"/>
    <col min="90" max="90" width="22.6640625" customWidth="1"/>
    <col min="91" max="91" width="7.33203125" customWidth="1"/>
    <col min="92" max="92" width="25.6640625" customWidth="1"/>
    <col min="93" max="93" width="28" customWidth="1"/>
    <col min="94" max="94" width="19" customWidth="1"/>
    <col min="95" max="95" width="21.33203125" customWidth="1"/>
    <col min="96" max="96" width="17" customWidth="1"/>
    <col min="97" max="97" width="9.1640625" customWidth="1"/>
    <col min="98" max="98" width="19.33203125" customWidth="1"/>
    <col min="99" max="99" width="17" customWidth="1"/>
    <col min="100" max="100" width="10.1640625" customWidth="1"/>
    <col min="101" max="101" width="8.5" customWidth="1"/>
    <col min="102" max="102" width="26" customWidth="1"/>
    <col min="103" max="103" width="37.5" customWidth="1"/>
    <col min="104" max="104" width="27.5" customWidth="1"/>
    <col min="105" max="105" width="23.6640625" customWidth="1"/>
    <col min="106" max="106" width="25.1640625" customWidth="1"/>
    <col min="107" max="107" width="21.5" customWidth="1"/>
    <col min="108" max="108" width="12" customWidth="1"/>
    <col min="109" max="109" width="9.6640625" customWidth="1"/>
    <col min="110" max="110" width="23.6640625" customWidth="1"/>
    <col min="111" max="111" width="29.33203125" customWidth="1"/>
    <col min="112" max="112" width="30.33203125" customWidth="1"/>
    <col min="113" max="113" width="13.33203125" customWidth="1"/>
    <col min="114" max="114" width="11.5" customWidth="1"/>
    <col min="115" max="115" width="9.5" customWidth="1"/>
  </cols>
  <sheetData>
    <row r="1" spans="1:115" x14ac:dyDescent="0.15">
      <c r="A1" s="4" t="s">
        <v>156</v>
      </c>
      <c r="B1" s="37" t="s">
        <v>157</v>
      </c>
      <c r="C1" s="37" t="s">
        <v>17</v>
      </c>
      <c r="D1" s="37" t="s">
        <v>158</v>
      </c>
      <c r="E1" s="37" t="s">
        <v>159</v>
      </c>
      <c r="F1" t="s">
        <v>38</v>
      </c>
      <c r="G1" t="s">
        <v>40</v>
      </c>
      <c r="H1" t="s">
        <v>41</v>
      </c>
      <c r="I1" s="204" t="s">
        <v>192</v>
      </c>
      <c r="J1" s="204" t="s">
        <v>193</v>
      </c>
      <c r="K1" s="204" t="s">
        <v>194</v>
      </c>
      <c r="L1" s="204" t="s">
        <v>195</v>
      </c>
      <c r="M1" s="204" t="s">
        <v>196</v>
      </c>
      <c r="N1" s="204" t="s">
        <v>197</v>
      </c>
      <c r="O1" s="204" t="s">
        <v>198</v>
      </c>
      <c r="P1" s="204" t="s">
        <v>199</v>
      </c>
      <c r="Q1" s="204" t="s">
        <v>200</v>
      </c>
      <c r="R1" s="204" t="s">
        <v>201</v>
      </c>
      <c r="S1" s="204" t="s">
        <v>202</v>
      </c>
      <c r="T1" s="204" t="s">
        <v>203</v>
      </c>
      <c r="U1" s="204" t="s">
        <v>204</v>
      </c>
      <c r="V1" s="204" t="s">
        <v>205</v>
      </c>
      <c r="W1" s="204" t="s">
        <v>206</v>
      </c>
      <c r="X1" s="204" t="s">
        <v>207</v>
      </c>
      <c r="Y1" s="204" t="s">
        <v>208</v>
      </c>
      <c r="Z1" s="204" t="s">
        <v>209</v>
      </c>
      <c r="AA1" s="204" t="s">
        <v>210</v>
      </c>
      <c r="AB1" s="204" t="s">
        <v>211</v>
      </c>
      <c r="AC1" s="204" t="s">
        <v>212</v>
      </c>
      <c r="AD1" s="204" t="s">
        <v>213</v>
      </c>
      <c r="AE1" s="204" t="s">
        <v>214</v>
      </c>
      <c r="AF1" s="204" t="s">
        <v>215</v>
      </c>
      <c r="AG1" s="204" t="s">
        <v>216</v>
      </c>
      <c r="AH1" s="204" t="s">
        <v>217</v>
      </c>
      <c r="AI1" s="204" t="s">
        <v>218</v>
      </c>
      <c r="AJ1" s="204" t="s">
        <v>219</v>
      </c>
      <c r="AK1" s="204" t="s">
        <v>220</v>
      </c>
      <c r="AL1" s="204" t="s">
        <v>221</v>
      </c>
      <c r="AM1" s="204" t="s">
        <v>222</v>
      </c>
      <c r="AN1" s="204" t="s">
        <v>223</v>
      </c>
      <c r="AO1" s="204" t="s">
        <v>224</v>
      </c>
      <c r="AP1" s="204" t="s">
        <v>225</v>
      </c>
      <c r="AQ1" s="204" t="s">
        <v>226</v>
      </c>
      <c r="AR1" s="204" t="s">
        <v>227</v>
      </c>
      <c r="AS1" s="204" t="s">
        <v>228</v>
      </c>
      <c r="AT1" s="204" t="s">
        <v>229</v>
      </c>
      <c r="AU1" s="204" t="s">
        <v>230</v>
      </c>
      <c r="AV1" s="204" t="s">
        <v>231</v>
      </c>
      <c r="AW1" s="204" t="s">
        <v>232</v>
      </c>
      <c r="AX1" s="204" t="s">
        <v>233</v>
      </c>
      <c r="AY1" s="204" t="s">
        <v>234</v>
      </c>
      <c r="AZ1" s="204" t="s">
        <v>235</v>
      </c>
      <c r="BA1" s="204" t="s">
        <v>236</v>
      </c>
      <c r="BB1" s="204" t="s">
        <v>237</v>
      </c>
      <c r="BC1" s="204" t="s">
        <v>238</v>
      </c>
      <c r="BD1" s="204" t="s">
        <v>239</v>
      </c>
      <c r="BE1" s="204" t="s">
        <v>240</v>
      </c>
      <c r="BF1" s="204" t="s">
        <v>241</v>
      </c>
      <c r="BG1" s="204" t="s">
        <v>242</v>
      </c>
      <c r="BH1" s="204" t="s">
        <v>243</v>
      </c>
      <c r="BI1" s="204" t="s">
        <v>244</v>
      </c>
      <c r="BJ1" s="204" t="s">
        <v>245</v>
      </c>
      <c r="BK1" s="204" t="s">
        <v>246</v>
      </c>
      <c r="BL1" s="204" t="s">
        <v>247</v>
      </c>
      <c r="BM1" s="204" t="s">
        <v>248</v>
      </c>
      <c r="BN1" s="204" t="s">
        <v>249</v>
      </c>
      <c r="BO1" s="204" t="s">
        <v>250</v>
      </c>
      <c r="BP1" s="204" t="s">
        <v>251</v>
      </c>
      <c r="BQ1" s="204" t="s">
        <v>252</v>
      </c>
      <c r="BR1" s="204" t="s">
        <v>253</v>
      </c>
      <c r="BS1" s="204" t="s">
        <v>254</v>
      </c>
      <c r="BT1" s="204" t="s">
        <v>255</v>
      </c>
      <c r="BU1" s="204" t="s">
        <v>256</v>
      </c>
      <c r="BV1" s="204" t="s">
        <v>257</v>
      </c>
      <c r="BW1" s="204" t="s">
        <v>258</v>
      </c>
      <c r="BX1" s="204" t="s">
        <v>259</v>
      </c>
      <c r="BY1" s="204" t="s">
        <v>260</v>
      </c>
      <c r="BZ1" s="204" t="s">
        <v>261</v>
      </c>
      <c r="CA1" s="204" t="s">
        <v>262</v>
      </c>
      <c r="CB1" s="204" t="s">
        <v>263</v>
      </c>
      <c r="CC1" s="204" t="s">
        <v>264</v>
      </c>
      <c r="CD1" s="204" t="s">
        <v>265</v>
      </c>
      <c r="CE1" s="204" t="s">
        <v>266</v>
      </c>
      <c r="CF1" s="204" t="s">
        <v>267</v>
      </c>
      <c r="CG1" s="204" t="s">
        <v>268</v>
      </c>
      <c r="CH1" s="204" t="s">
        <v>269</v>
      </c>
      <c r="CI1" s="204" t="s">
        <v>270</v>
      </c>
      <c r="CJ1" s="204" t="s">
        <v>271</v>
      </c>
      <c r="CK1" s="204" t="s">
        <v>272</v>
      </c>
      <c r="CL1" s="204" t="s">
        <v>273</v>
      </c>
      <c r="CM1" s="204" t="s">
        <v>274</v>
      </c>
      <c r="CN1" s="204" t="s">
        <v>275</v>
      </c>
      <c r="CO1" s="204" t="s">
        <v>276</v>
      </c>
      <c r="CP1" s="204" t="s">
        <v>277</v>
      </c>
      <c r="CQ1" s="204" t="s">
        <v>278</v>
      </c>
      <c r="CR1" s="204" t="s">
        <v>279</v>
      </c>
      <c r="CS1" s="204" t="s">
        <v>280</v>
      </c>
      <c r="CT1" s="204" t="s">
        <v>281</v>
      </c>
      <c r="CU1" s="204" t="s">
        <v>282</v>
      </c>
      <c r="CV1" s="204" t="s">
        <v>283</v>
      </c>
      <c r="CW1" s="204" t="s">
        <v>284</v>
      </c>
      <c r="CX1" s="204" t="s">
        <v>285</v>
      </c>
      <c r="CY1" s="204" t="s">
        <v>286</v>
      </c>
      <c r="CZ1" s="204" t="s">
        <v>287</v>
      </c>
      <c r="DA1" s="204" t="s">
        <v>288</v>
      </c>
      <c r="DB1" s="204" t="s">
        <v>289</v>
      </c>
      <c r="DC1" s="204" t="s">
        <v>290</v>
      </c>
      <c r="DD1" s="204" t="s">
        <v>291</v>
      </c>
      <c r="DE1" s="204" t="s">
        <v>292</v>
      </c>
      <c r="DF1" s="204" t="s">
        <v>293</v>
      </c>
      <c r="DG1" s="204" t="s">
        <v>294</v>
      </c>
      <c r="DH1" s="204" t="s">
        <v>295</v>
      </c>
      <c r="DI1" s="204" t="s">
        <v>296</v>
      </c>
      <c r="DJ1" s="204" t="s">
        <v>297</v>
      </c>
      <c r="DK1" s="204" t="s">
        <v>298</v>
      </c>
    </row>
    <row r="2" spans="1:115" x14ac:dyDescent="0.15">
      <c r="A2" t="s">
        <v>38</v>
      </c>
      <c r="B2" s="113">
        <v>0</v>
      </c>
      <c r="C2"/>
      <c r="D2"/>
      <c r="E2"/>
      <c r="F2"/>
      <c r="G2"/>
      <c r="H2"/>
      <c r="I2"/>
      <c r="J2"/>
      <c r="K2"/>
      <c r="L2"/>
      <c r="M2"/>
      <c r="N2"/>
      <c r="O2"/>
      <c r="P2"/>
      <c r="Q2"/>
      <c r="R2"/>
      <c r="S2"/>
      <c r="T2"/>
      <c r="U2"/>
      <c r="V2"/>
      <c r="W2"/>
      <c r="X2"/>
      <c r="Y2"/>
      <c r="Z2"/>
      <c r="AA2"/>
      <c r="AB2"/>
      <c r="AC2"/>
      <c r="AD2"/>
      <c r="AE2"/>
      <c r="AF2"/>
      <c r="AG2"/>
      <c r="AH2"/>
      <c r="AI2"/>
      <c r="AJ2"/>
      <c r="AK2"/>
      <c r="AL2"/>
    </row>
    <row r="3" spans="1:115" x14ac:dyDescent="0.15">
      <c r="A3" t="s">
        <v>40</v>
      </c>
      <c r="B3" s="113">
        <v>0</v>
      </c>
      <c r="C3"/>
      <c r="D3"/>
      <c r="E3"/>
      <c r="F3"/>
      <c r="G3"/>
      <c r="H3"/>
      <c r="I3"/>
      <c r="J3"/>
      <c r="K3"/>
      <c r="L3"/>
      <c r="M3"/>
      <c r="N3"/>
      <c r="O3"/>
      <c r="P3"/>
      <c r="Q3"/>
      <c r="R3"/>
      <c r="S3"/>
      <c r="T3"/>
      <c r="U3"/>
      <c r="V3"/>
      <c r="W3"/>
      <c r="X3"/>
      <c r="Y3"/>
      <c r="Z3"/>
      <c r="AA3"/>
      <c r="AB3"/>
      <c r="AC3"/>
      <c r="AD3"/>
      <c r="AE3"/>
      <c r="AF3"/>
      <c r="AG3"/>
      <c r="AH3"/>
      <c r="AI3"/>
      <c r="AJ3"/>
      <c r="AK3"/>
      <c r="AL3"/>
    </row>
    <row r="4" spans="1:115" x14ac:dyDescent="0.15">
      <c r="A4" t="s">
        <v>41</v>
      </c>
      <c r="B4" s="113">
        <v>0</v>
      </c>
      <c r="C4"/>
      <c r="D4"/>
      <c r="E4"/>
      <c r="F4"/>
      <c r="G4"/>
      <c r="H4"/>
      <c r="I4"/>
      <c r="J4"/>
      <c r="K4"/>
      <c r="L4"/>
      <c r="M4"/>
      <c r="N4"/>
      <c r="O4"/>
      <c r="P4"/>
      <c r="Q4"/>
      <c r="R4"/>
      <c r="S4"/>
      <c r="T4"/>
      <c r="U4"/>
      <c r="V4"/>
      <c r="W4"/>
      <c r="X4"/>
      <c r="Y4"/>
      <c r="Z4"/>
      <c r="AA4"/>
      <c r="AB4"/>
      <c r="AC4"/>
      <c r="AD4"/>
      <c r="AE4"/>
      <c r="AF4"/>
      <c r="AG4"/>
      <c r="AH4"/>
      <c r="AI4"/>
      <c r="AJ4"/>
      <c r="AK4"/>
      <c r="AL4"/>
    </row>
    <row r="5" spans="1:115" x14ac:dyDescent="0.15">
      <c r="A5" s="203" t="s">
        <v>192</v>
      </c>
      <c r="B5" s="113">
        <v>0</v>
      </c>
      <c r="C5"/>
      <c r="D5"/>
      <c r="E5"/>
      <c r="F5"/>
      <c r="G5"/>
      <c r="H5"/>
      <c r="I5"/>
      <c r="J5"/>
      <c r="K5"/>
      <c r="L5"/>
      <c r="M5"/>
      <c r="N5"/>
      <c r="O5"/>
      <c r="P5"/>
      <c r="Q5"/>
      <c r="R5"/>
      <c r="S5"/>
      <c r="T5"/>
      <c r="U5"/>
      <c r="V5"/>
      <c r="W5"/>
      <c r="X5"/>
      <c r="Y5"/>
      <c r="Z5"/>
      <c r="AA5"/>
      <c r="AB5"/>
      <c r="AC5"/>
      <c r="AD5"/>
      <c r="AE5"/>
      <c r="AF5"/>
      <c r="AG5"/>
      <c r="AH5"/>
      <c r="AI5"/>
      <c r="AJ5"/>
      <c r="AK5"/>
      <c r="AL5"/>
    </row>
    <row r="6" spans="1:115" x14ac:dyDescent="0.15">
      <c r="A6" s="203" t="s">
        <v>193</v>
      </c>
      <c r="B6" s="113">
        <v>0</v>
      </c>
      <c r="C6"/>
      <c r="D6"/>
      <c r="E6"/>
      <c r="F6"/>
      <c r="G6"/>
      <c r="H6"/>
      <c r="I6"/>
      <c r="J6"/>
      <c r="K6"/>
      <c r="L6"/>
      <c r="M6"/>
      <c r="N6"/>
      <c r="O6"/>
      <c r="P6"/>
      <c r="Q6"/>
      <c r="R6"/>
      <c r="S6"/>
      <c r="T6"/>
      <c r="U6"/>
      <c r="V6"/>
      <c r="W6"/>
      <c r="X6"/>
      <c r="Y6"/>
      <c r="Z6"/>
      <c r="AA6"/>
      <c r="AB6"/>
      <c r="AC6"/>
      <c r="AD6"/>
      <c r="AE6"/>
      <c r="AF6"/>
      <c r="AG6"/>
      <c r="AH6"/>
      <c r="AI6"/>
      <c r="AJ6"/>
      <c r="AK6"/>
      <c r="AL6"/>
    </row>
    <row r="7" spans="1:115" x14ac:dyDescent="0.15">
      <c r="A7" s="203" t="s">
        <v>194</v>
      </c>
      <c r="B7" s="113">
        <v>0</v>
      </c>
      <c r="C7"/>
      <c r="D7"/>
      <c r="E7"/>
      <c r="F7"/>
      <c r="G7"/>
      <c r="H7"/>
      <c r="I7"/>
      <c r="J7"/>
      <c r="K7"/>
      <c r="L7"/>
      <c r="M7"/>
      <c r="N7"/>
      <c r="O7"/>
      <c r="P7"/>
      <c r="Q7"/>
      <c r="R7"/>
      <c r="S7"/>
      <c r="T7"/>
      <c r="U7"/>
      <c r="V7"/>
      <c r="W7"/>
      <c r="X7"/>
      <c r="Y7"/>
      <c r="Z7"/>
      <c r="AA7"/>
      <c r="AB7"/>
      <c r="AC7"/>
      <c r="AD7"/>
      <c r="AE7"/>
      <c r="AF7"/>
      <c r="AG7"/>
      <c r="AH7"/>
      <c r="AI7"/>
      <c r="AJ7"/>
      <c r="AK7"/>
      <c r="AL7"/>
    </row>
    <row r="8" spans="1:115" x14ac:dyDescent="0.15">
      <c r="A8" s="203" t="s">
        <v>195</v>
      </c>
      <c r="B8" s="113">
        <v>0</v>
      </c>
      <c r="C8"/>
      <c r="D8"/>
      <c r="E8"/>
      <c r="F8"/>
      <c r="G8"/>
      <c r="H8"/>
      <c r="I8"/>
      <c r="J8"/>
      <c r="K8"/>
      <c r="L8"/>
      <c r="M8"/>
      <c r="N8"/>
      <c r="O8"/>
      <c r="P8"/>
      <c r="Q8"/>
      <c r="R8"/>
      <c r="S8"/>
      <c r="T8"/>
      <c r="U8"/>
      <c r="V8"/>
      <c r="W8"/>
      <c r="X8"/>
      <c r="Y8"/>
      <c r="Z8"/>
      <c r="AA8"/>
      <c r="AB8"/>
      <c r="AC8"/>
      <c r="AD8"/>
      <c r="AE8"/>
      <c r="AF8"/>
      <c r="AG8"/>
      <c r="AH8"/>
      <c r="AI8"/>
      <c r="AJ8"/>
      <c r="AK8"/>
      <c r="AL8"/>
    </row>
    <row r="9" spans="1:115" x14ac:dyDescent="0.15">
      <c r="A9" s="203" t="s">
        <v>196</v>
      </c>
      <c r="B9" s="113">
        <v>0</v>
      </c>
      <c r="C9"/>
      <c r="D9"/>
      <c r="E9"/>
      <c r="F9"/>
      <c r="G9"/>
      <c r="H9"/>
      <c r="I9"/>
      <c r="J9"/>
      <c r="K9"/>
      <c r="L9"/>
      <c r="M9"/>
      <c r="N9"/>
      <c r="O9"/>
      <c r="P9"/>
      <c r="Q9"/>
      <c r="R9"/>
      <c r="S9"/>
      <c r="T9"/>
      <c r="U9"/>
      <c r="V9"/>
      <c r="W9"/>
      <c r="X9"/>
      <c r="Y9"/>
      <c r="Z9"/>
      <c r="AA9"/>
      <c r="AB9"/>
      <c r="AC9"/>
      <c r="AD9"/>
      <c r="AE9"/>
      <c r="AF9"/>
      <c r="AG9"/>
      <c r="AH9"/>
      <c r="AI9"/>
      <c r="AJ9"/>
      <c r="AK9"/>
      <c r="AL9"/>
    </row>
    <row r="10" spans="1:115" x14ac:dyDescent="0.15">
      <c r="A10" s="203" t="s">
        <v>197</v>
      </c>
      <c r="B10" s="113">
        <v>0</v>
      </c>
      <c r="C10"/>
      <c r="D10"/>
      <c r="E10"/>
      <c r="F10"/>
      <c r="G10"/>
      <c r="H10"/>
      <c r="I10"/>
      <c r="J10"/>
      <c r="K10"/>
      <c r="L10"/>
      <c r="M10"/>
      <c r="N10"/>
      <c r="O10"/>
      <c r="P10"/>
      <c r="Q10"/>
      <c r="R10"/>
      <c r="S10"/>
      <c r="T10"/>
      <c r="U10"/>
      <c r="V10"/>
      <c r="W10"/>
      <c r="X10"/>
      <c r="Y10"/>
      <c r="Z10"/>
      <c r="AA10"/>
      <c r="AB10"/>
      <c r="AC10"/>
      <c r="AD10"/>
      <c r="AE10"/>
      <c r="AF10"/>
      <c r="AG10"/>
      <c r="AH10"/>
      <c r="AI10"/>
      <c r="AJ10"/>
      <c r="AK10"/>
      <c r="AL10"/>
    </row>
    <row r="11" spans="1:115" x14ac:dyDescent="0.15">
      <c r="A11" s="203" t="s">
        <v>198</v>
      </c>
      <c r="B11" s="113">
        <v>0</v>
      </c>
      <c r="C11"/>
      <c r="D11"/>
      <c r="E11"/>
      <c r="F11"/>
      <c r="G11"/>
      <c r="H11"/>
      <c r="I11"/>
      <c r="J11"/>
      <c r="K11"/>
      <c r="L11"/>
      <c r="M11"/>
      <c r="N11"/>
      <c r="O11"/>
      <c r="P11"/>
      <c r="Q11"/>
      <c r="R11"/>
      <c r="S11"/>
      <c r="T11"/>
      <c r="U11"/>
      <c r="V11"/>
      <c r="W11"/>
      <c r="X11"/>
      <c r="Y11"/>
      <c r="Z11"/>
      <c r="AA11"/>
      <c r="AB11"/>
      <c r="AC11"/>
      <c r="AD11"/>
      <c r="AE11"/>
      <c r="AF11"/>
      <c r="AG11"/>
      <c r="AH11"/>
      <c r="AI11"/>
      <c r="AJ11"/>
      <c r="AK11"/>
      <c r="AL11"/>
    </row>
    <row r="12" spans="1:115" x14ac:dyDescent="0.15">
      <c r="A12" s="203" t="s">
        <v>199</v>
      </c>
      <c r="B12" s="113">
        <v>0</v>
      </c>
      <c r="C12"/>
      <c r="D12"/>
      <c r="E12"/>
      <c r="F12"/>
      <c r="G12"/>
      <c r="H12"/>
      <c r="I12"/>
      <c r="J12"/>
      <c r="K12"/>
      <c r="L12"/>
      <c r="M12"/>
      <c r="N12"/>
      <c r="O12"/>
      <c r="P12"/>
      <c r="Q12"/>
      <c r="R12"/>
      <c r="S12"/>
      <c r="T12"/>
      <c r="U12"/>
      <c r="V12"/>
      <c r="W12"/>
      <c r="X12"/>
      <c r="Y12"/>
      <c r="Z12"/>
      <c r="AA12"/>
      <c r="AB12"/>
      <c r="AC12"/>
      <c r="AD12"/>
      <c r="AE12"/>
      <c r="AF12"/>
      <c r="AG12"/>
      <c r="AH12"/>
      <c r="AI12"/>
      <c r="AJ12"/>
      <c r="AK12"/>
      <c r="AL12"/>
    </row>
    <row r="13" spans="1:115" x14ac:dyDescent="0.15">
      <c r="A13" s="203" t="s">
        <v>200</v>
      </c>
      <c r="B13" s="113">
        <v>0</v>
      </c>
      <c r="C13"/>
      <c r="D13"/>
      <c r="E13"/>
      <c r="F13"/>
      <c r="G13"/>
      <c r="H13"/>
      <c r="I13"/>
      <c r="J13"/>
      <c r="K13"/>
      <c r="L13"/>
      <c r="M13"/>
      <c r="N13"/>
      <c r="O13"/>
      <c r="P13"/>
      <c r="Q13"/>
      <c r="R13"/>
      <c r="S13"/>
      <c r="T13"/>
      <c r="U13"/>
      <c r="V13"/>
      <c r="W13"/>
      <c r="X13"/>
      <c r="Y13"/>
      <c r="Z13"/>
      <c r="AA13"/>
      <c r="AB13"/>
      <c r="AC13"/>
      <c r="AD13"/>
      <c r="AE13"/>
      <c r="AF13"/>
      <c r="AG13"/>
      <c r="AH13"/>
      <c r="AI13"/>
      <c r="AJ13"/>
      <c r="AK13"/>
      <c r="AL13"/>
    </row>
    <row r="14" spans="1:115" x14ac:dyDescent="0.15">
      <c r="A14" s="203" t="s">
        <v>201</v>
      </c>
      <c r="B14" s="113">
        <v>0</v>
      </c>
      <c r="C14"/>
      <c r="D14"/>
      <c r="E14"/>
      <c r="F14"/>
      <c r="G14"/>
      <c r="H14"/>
      <c r="I14"/>
      <c r="J14"/>
      <c r="K14"/>
      <c r="L14"/>
      <c r="M14"/>
      <c r="N14"/>
      <c r="O14"/>
      <c r="P14"/>
      <c r="Q14"/>
      <c r="R14"/>
      <c r="S14"/>
      <c r="T14"/>
      <c r="U14"/>
      <c r="V14"/>
      <c r="W14"/>
      <c r="X14"/>
      <c r="Y14"/>
      <c r="Z14"/>
      <c r="AA14"/>
      <c r="AB14"/>
      <c r="AC14"/>
      <c r="AD14"/>
      <c r="AE14"/>
      <c r="AF14"/>
      <c r="AG14"/>
      <c r="AH14"/>
      <c r="AI14"/>
      <c r="AJ14"/>
      <c r="AK14"/>
      <c r="AL14"/>
    </row>
    <row r="15" spans="1:115" x14ac:dyDescent="0.15">
      <c r="A15" s="203" t="s">
        <v>202</v>
      </c>
      <c r="B15" s="113">
        <v>0</v>
      </c>
      <c r="C15"/>
      <c r="D15"/>
      <c r="E15"/>
      <c r="F15"/>
      <c r="G15"/>
      <c r="H15"/>
      <c r="I15"/>
      <c r="J15"/>
      <c r="K15"/>
      <c r="L15"/>
      <c r="M15"/>
      <c r="N15"/>
      <c r="O15"/>
      <c r="P15"/>
      <c r="Q15"/>
      <c r="R15"/>
      <c r="S15"/>
      <c r="T15"/>
      <c r="U15"/>
      <c r="V15"/>
      <c r="W15"/>
      <c r="X15"/>
      <c r="Y15"/>
      <c r="Z15"/>
      <c r="AA15"/>
      <c r="AB15"/>
      <c r="AC15"/>
      <c r="AD15"/>
      <c r="AE15"/>
      <c r="AF15"/>
      <c r="AG15"/>
      <c r="AH15"/>
      <c r="AI15"/>
      <c r="AJ15"/>
      <c r="AK15"/>
      <c r="AL15"/>
    </row>
    <row r="16" spans="1:115" x14ac:dyDescent="0.15">
      <c r="A16" s="203" t="s">
        <v>203</v>
      </c>
      <c r="B16" s="113">
        <v>0</v>
      </c>
      <c r="C16"/>
      <c r="D16"/>
      <c r="E16"/>
      <c r="F16"/>
      <c r="G16"/>
      <c r="H16"/>
      <c r="I16"/>
      <c r="J16"/>
      <c r="K16"/>
      <c r="L16"/>
      <c r="M16"/>
      <c r="N16"/>
      <c r="O16"/>
      <c r="P16"/>
      <c r="Q16"/>
      <c r="R16"/>
      <c r="S16"/>
      <c r="T16"/>
      <c r="U16"/>
      <c r="V16"/>
      <c r="W16"/>
      <c r="X16"/>
      <c r="Y16"/>
      <c r="Z16"/>
      <c r="AA16"/>
      <c r="AB16"/>
      <c r="AC16"/>
      <c r="AD16"/>
      <c r="AE16"/>
      <c r="AF16"/>
      <c r="AG16"/>
      <c r="AH16"/>
      <c r="AI16"/>
      <c r="AJ16"/>
      <c r="AK16"/>
      <c r="AL16"/>
    </row>
    <row r="17" spans="1:38" ht="15" customHeight="1" x14ac:dyDescent="0.15">
      <c r="A17" s="203" t="s">
        <v>204</v>
      </c>
      <c r="B17" s="113">
        <v>0</v>
      </c>
      <c r="C17"/>
      <c r="D17"/>
      <c r="E17"/>
      <c r="F17"/>
      <c r="G17"/>
      <c r="H17"/>
      <c r="I17"/>
      <c r="J17"/>
      <c r="K17"/>
      <c r="L17"/>
      <c r="M17"/>
      <c r="N17"/>
      <c r="O17"/>
      <c r="P17"/>
      <c r="Q17"/>
      <c r="R17"/>
      <c r="S17"/>
      <c r="T17"/>
      <c r="U17"/>
      <c r="V17"/>
      <c r="W17"/>
      <c r="X17"/>
      <c r="Y17"/>
      <c r="Z17"/>
      <c r="AA17"/>
      <c r="AB17"/>
      <c r="AC17"/>
      <c r="AD17"/>
      <c r="AE17"/>
      <c r="AF17"/>
      <c r="AG17"/>
      <c r="AH17"/>
      <c r="AI17"/>
      <c r="AJ17"/>
      <c r="AK17"/>
      <c r="AL17"/>
    </row>
    <row r="18" spans="1:38" ht="15" customHeight="1" x14ac:dyDescent="0.15">
      <c r="A18" s="203" t="s">
        <v>205</v>
      </c>
      <c r="B18" s="113">
        <v>0</v>
      </c>
      <c r="C18"/>
      <c r="D18"/>
      <c r="E18"/>
      <c r="F18"/>
      <c r="G18"/>
      <c r="H18"/>
      <c r="I18"/>
      <c r="J18"/>
      <c r="K18"/>
      <c r="L18"/>
      <c r="M18"/>
      <c r="N18"/>
      <c r="O18"/>
      <c r="P18"/>
      <c r="Q18"/>
      <c r="R18"/>
      <c r="S18"/>
      <c r="T18"/>
      <c r="U18"/>
      <c r="V18"/>
      <c r="W18"/>
      <c r="X18"/>
      <c r="Y18"/>
      <c r="Z18"/>
      <c r="AA18"/>
      <c r="AB18"/>
      <c r="AC18"/>
      <c r="AD18"/>
      <c r="AE18"/>
      <c r="AF18"/>
      <c r="AG18"/>
      <c r="AH18"/>
      <c r="AI18"/>
      <c r="AJ18"/>
      <c r="AK18"/>
      <c r="AL18"/>
    </row>
    <row r="19" spans="1:38" ht="15" customHeight="1" x14ac:dyDescent="0.15">
      <c r="A19" s="203" t="s">
        <v>206</v>
      </c>
      <c r="B19" s="113">
        <v>0</v>
      </c>
      <c r="C19"/>
      <c r="D19"/>
      <c r="E19"/>
      <c r="F19"/>
      <c r="G19"/>
      <c r="H19"/>
      <c r="I19"/>
      <c r="J19"/>
      <c r="K19"/>
      <c r="L19"/>
      <c r="M19"/>
      <c r="N19"/>
      <c r="O19"/>
      <c r="P19"/>
      <c r="Q19"/>
      <c r="R19"/>
      <c r="S19"/>
      <c r="T19"/>
      <c r="U19"/>
      <c r="V19"/>
      <c r="W19"/>
      <c r="X19"/>
      <c r="Y19"/>
      <c r="Z19"/>
      <c r="AA19"/>
      <c r="AB19"/>
      <c r="AC19"/>
      <c r="AD19"/>
      <c r="AE19"/>
      <c r="AF19"/>
      <c r="AG19"/>
      <c r="AH19"/>
      <c r="AI19"/>
      <c r="AJ19"/>
      <c r="AK19"/>
      <c r="AL19"/>
    </row>
    <row r="20" spans="1:38" ht="15" customHeight="1" x14ac:dyDescent="0.15">
      <c r="A20" s="203" t="s">
        <v>207</v>
      </c>
      <c r="B20" s="113">
        <v>0</v>
      </c>
      <c r="C20"/>
      <c r="D20"/>
      <c r="E20"/>
      <c r="F20"/>
      <c r="G20"/>
      <c r="H20"/>
      <c r="I20"/>
      <c r="J20"/>
      <c r="K20"/>
      <c r="L20"/>
      <c r="M20"/>
      <c r="N20"/>
      <c r="O20"/>
      <c r="P20"/>
      <c r="Q20"/>
      <c r="R20"/>
      <c r="S20"/>
      <c r="T20"/>
      <c r="U20"/>
      <c r="V20"/>
      <c r="W20"/>
      <c r="X20"/>
      <c r="Y20"/>
      <c r="Z20"/>
      <c r="AA20"/>
      <c r="AB20"/>
      <c r="AC20"/>
      <c r="AD20"/>
      <c r="AE20"/>
      <c r="AF20"/>
      <c r="AG20"/>
      <c r="AH20"/>
      <c r="AI20"/>
      <c r="AJ20"/>
      <c r="AK20"/>
      <c r="AL20"/>
    </row>
    <row r="21" spans="1:38" ht="15" customHeight="1" x14ac:dyDescent="0.15">
      <c r="A21" s="203" t="s">
        <v>208</v>
      </c>
      <c r="B21" s="113">
        <v>0</v>
      </c>
      <c r="C21"/>
      <c r="D21"/>
      <c r="E21"/>
      <c r="F21"/>
      <c r="G21"/>
      <c r="H21"/>
      <c r="I21"/>
      <c r="J21"/>
      <c r="K21"/>
      <c r="L21"/>
      <c r="M21"/>
      <c r="N21"/>
      <c r="O21"/>
      <c r="P21"/>
      <c r="Q21"/>
      <c r="R21"/>
      <c r="S21"/>
      <c r="T21"/>
      <c r="U21"/>
      <c r="V21"/>
      <c r="W21"/>
      <c r="X21"/>
      <c r="Y21"/>
      <c r="Z21"/>
      <c r="AA21"/>
      <c r="AB21"/>
      <c r="AC21"/>
      <c r="AD21"/>
      <c r="AE21"/>
      <c r="AF21"/>
      <c r="AG21"/>
      <c r="AH21"/>
      <c r="AI21"/>
      <c r="AJ21"/>
      <c r="AK21"/>
      <c r="AL21"/>
    </row>
    <row r="22" spans="1:38" ht="15" customHeight="1" x14ac:dyDescent="0.15">
      <c r="A22" s="203" t="s">
        <v>209</v>
      </c>
      <c r="B22" s="113">
        <v>0</v>
      </c>
      <c r="C22"/>
      <c r="D22"/>
      <c r="E22"/>
      <c r="F22"/>
      <c r="G22"/>
      <c r="H22"/>
      <c r="I22"/>
      <c r="J22"/>
      <c r="K22"/>
      <c r="L22"/>
      <c r="M22"/>
      <c r="N22"/>
      <c r="O22"/>
      <c r="P22"/>
      <c r="Q22"/>
      <c r="R22"/>
      <c r="S22"/>
      <c r="T22"/>
      <c r="U22"/>
      <c r="V22"/>
      <c r="W22"/>
      <c r="X22"/>
      <c r="Y22"/>
      <c r="Z22"/>
      <c r="AA22"/>
      <c r="AB22"/>
      <c r="AC22"/>
      <c r="AD22"/>
      <c r="AE22"/>
      <c r="AF22"/>
      <c r="AG22"/>
      <c r="AH22"/>
      <c r="AI22"/>
      <c r="AJ22"/>
      <c r="AK22"/>
      <c r="AL22"/>
    </row>
    <row r="23" spans="1:38" ht="15" customHeight="1" x14ac:dyDescent="0.15">
      <c r="A23" s="203" t="s">
        <v>210</v>
      </c>
      <c r="B23" s="113">
        <v>0</v>
      </c>
      <c r="C23"/>
      <c r="D23"/>
      <c r="E23"/>
      <c r="F23"/>
      <c r="G23"/>
      <c r="H23"/>
      <c r="I23"/>
      <c r="J23"/>
      <c r="K23"/>
      <c r="L23"/>
      <c r="M23"/>
      <c r="N23"/>
      <c r="O23"/>
      <c r="P23"/>
      <c r="Q23"/>
      <c r="R23"/>
      <c r="S23"/>
      <c r="T23"/>
      <c r="U23"/>
      <c r="V23"/>
      <c r="W23"/>
      <c r="X23"/>
      <c r="Y23"/>
      <c r="Z23"/>
      <c r="AA23"/>
      <c r="AB23"/>
      <c r="AC23"/>
      <c r="AD23"/>
      <c r="AE23"/>
      <c r="AF23"/>
      <c r="AG23"/>
      <c r="AH23"/>
      <c r="AI23"/>
      <c r="AJ23"/>
      <c r="AK23"/>
      <c r="AL23"/>
    </row>
    <row r="24" spans="1:38" ht="15" customHeight="1" x14ac:dyDescent="0.15">
      <c r="A24" s="203" t="s">
        <v>211</v>
      </c>
      <c r="B24" s="113">
        <v>0</v>
      </c>
      <c r="C24"/>
      <c r="D24"/>
      <c r="E24"/>
      <c r="F24"/>
      <c r="G24"/>
      <c r="H24"/>
      <c r="I24"/>
      <c r="J24"/>
      <c r="K24"/>
      <c r="L24"/>
      <c r="M24"/>
      <c r="N24"/>
      <c r="O24"/>
      <c r="P24"/>
      <c r="Q24"/>
      <c r="R24"/>
      <c r="S24"/>
      <c r="T24"/>
      <c r="U24"/>
      <c r="V24"/>
      <c r="W24"/>
      <c r="X24"/>
      <c r="Y24"/>
      <c r="Z24"/>
      <c r="AA24"/>
      <c r="AB24"/>
      <c r="AC24"/>
      <c r="AD24"/>
      <c r="AE24"/>
      <c r="AF24"/>
      <c r="AG24"/>
      <c r="AH24"/>
      <c r="AI24"/>
      <c r="AJ24"/>
      <c r="AK24"/>
      <c r="AL24"/>
    </row>
    <row r="25" spans="1:38" ht="15" customHeight="1" x14ac:dyDescent="0.15">
      <c r="A25" s="203" t="s">
        <v>212</v>
      </c>
      <c r="B25" s="113">
        <v>0</v>
      </c>
      <c r="C25"/>
      <c r="D25"/>
      <c r="E25"/>
      <c r="F25"/>
      <c r="G25"/>
      <c r="H25"/>
      <c r="I25"/>
      <c r="J25"/>
      <c r="K25"/>
      <c r="L25"/>
      <c r="M25"/>
      <c r="N25"/>
      <c r="O25"/>
      <c r="P25"/>
      <c r="Q25"/>
      <c r="R25"/>
      <c r="S25"/>
      <c r="T25"/>
      <c r="U25"/>
      <c r="V25"/>
      <c r="W25"/>
      <c r="X25"/>
      <c r="Y25"/>
      <c r="Z25"/>
      <c r="AA25"/>
      <c r="AB25"/>
      <c r="AC25"/>
      <c r="AD25"/>
      <c r="AE25"/>
      <c r="AF25"/>
      <c r="AG25"/>
      <c r="AH25"/>
      <c r="AI25"/>
      <c r="AJ25"/>
      <c r="AK25"/>
      <c r="AL25"/>
    </row>
    <row r="26" spans="1:38" ht="15" customHeight="1" x14ac:dyDescent="0.15">
      <c r="A26" s="203" t="s">
        <v>213</v>
      </c>
      <c r="B26" s="113">
        <v>0</v>
      </c>
      <c r="C26"/>
      <c r="D26"/>
      <c r="E26"/>
      <c r="F26"/>
      <c r="G26"/>
      <c r="H26"/>
      <c r="I26"/>
      <c r="J26"/>
      <c r="K26"/>
      <c r="L26"/>
      <c r="M26"/>
      <c r="N26"/>
      <c r="O26"/>
      <c r="P26"/>
      <c r="Q26"/>
      <c r="R26"/>
      <c r="S26"/>
      <c r="T26"/>
      <c r="U26"/>
      <c r="V26"/>
      <c r="W26"/>
      <c r="X26"/>
      <c r="Y26"/>
      <c r="Z26"/>
      <c r="AA26"/>
      <c r="AB26"/>
      <c r="AC26"/>
      <c r="AD26"/>
      <c r="AE26"/>
      <c r="AF26"/>
      <c r="AG26"/>
      <c r="AH26"/>
      <c r="AI26"/>
      <c r="AJ26"/>
      <c r="AK26"/>
      <c r="AL26"/>
    </row>
    <row r="27" spans="1:38" ht="15" customHeight="1" x14ac:dyDescent="0.15">
      <c r="A27" s="203" t="s">
        <v>214</v>
      </c>
      <c r="B27" s="113">
        <v>0</v>
      </c>
      <c r="C27"/>
      <c r="D27"/>
      <c r="E27"/>
      <c r="F27"/>
      <c r="G27"/>
      <c r="H27"/>
      <c r="I27"/>
      <c r="J27"/>
      <c r="K27"/>
      <c r="L27"/>
      <c r="M27"/>
      <c r="N27"/>
      <c r="O27"/>
      <c r="P27"/>
      <c r="Q27"/>
      <c r="R27"/>
      <c r="S27"/>
      <c r="T27"/>
      <c r="U27"/>
      <c r="V27"/>
      <c r="W27"/>
      <c r="X27"/>
      <c r="Y27"/>
      <c r="Z27"/>
      <c r="AA27"/>
      <c r="AB27"/>
      <c r="AC27"/>
      <c r="AD27"/>
      <c r="AE27"/>
      <c r="AF27"/>
      <c r="AG27"/>
      <c r="AH27"/>
      <c r="AI27"/>
      <c r="AJ27"/>
      <c r="AK27"/>
      <c r="AL27"/>
    </row>
    <row r="28" spans="1:38" ht="15" customHeight="1" x14ac:dyDescent="0.15">
      <c r="A28" s="203" t="s">
        <v>215</v>
      </c>
      <c r="B28" s="113">
        <v>0</v>
      </c>
      <c r="C28"/>
      <c r="D28"/>
      <c r="E28"/>
      <c r="F28"/>
      <c r="G28"/>
      <c r="H28"/>
      <c r="I28"/>
      <c r="J28"/>
      <c r="K28"/>
      <c r="L28"/>
      <c r="M28"/>
      <c r="N28"/>
      <c r="O28"/>
      <c r="P28"/>
      <c r="Q28"/>
      <c r="R28"/>
      <c r="S28"/>
      <c r="T28"/>
      <c r="U28"/>
      <c r="V28"/>
      <c r="W28"/>
      <c r="X28"/>
      <c r="Y28"/>
      <c r="Z28"/>
      <c r="AA28"/>
      <c r="AB28"/>
      <c r="AC28"/>
      <c r="AD28"/>
      <c r="AE28"/>
      <c r="AF28"/>
      <c r="AG28"/>
      <c r="AH28"/>
      <c r="AI28"/>
      <c r="AJ28"/>
      <c r="AK28"/>
      <c r="AL28"/>
    </row>
    <row r="29" spans="1:38" ht="15" customHeight="1" x14ac:dyDescent="0.15">
      <c r="A29" s="203" t="s">
        <v>216</v>
      </c>
      <c r="B29" s="113">
        <v>0</v>
      </c>
      <c r="C29"/>
      <c r="D29"/>
      <c r="E29"/>
      <c r="F29"/>
      <c r="G29"/>
      <c r="H29"/>
      <c r="I29"/>
      <c r="J29"/>
      <c r="K29"/>
      <c r="L29"/>
      <c r="M29"/>
      <c r="N29"/>
      <c r="O29"/>
      <c r="P29"/>
      <c r="Q29"/>
      <c r="R29"/>
      <c r="S29"/>
      <c r="T29"/>
      <c r="U29"/>
      <c r="V29"/>
      <c r="W29"/>
      <c r="X29"/>
      <c r="Y29"/>
      <c r="Z29"/>
      <c r="AA29"/>
      <c r="AB29"/>
      <c r="AC29"/>
      <c r="AD29"/>
      <c r="AE29"/>
      <c r="AF29"/>
      <c r="AG29"/>
      <c r="AH29"/>
      <c r="AI29"/>
      <c r="AJ29"/>
      <c r="AK29"/>
      <c r="AL29"/>
    </row>
    <row r="30" spans="1:38" ht="15" customHeight="1" x14ac:dyDescent="0.15">
      <c r="A30" s="203" t="s">
        <v>217</v>
      </c>
      <c r="B30" s="113">
        <v>0</v>
      </c>
      <c r="C30"/>
      <c r="D30"/>
      <c r="E30"/>
      <c r="F30"/>
      <c r="G30"/>
      <c r="H30"/>
      <c r="I30"/>
      <c r="J30"/>
      <c r="K30"/>
      <c r="L30"/>
      <c r="M30"/>
      <c r="N30"/>
      <c r="O30"/>
      <c r="P30"/>
      <c r="Q30"/>
      <c r="R30"/>
      <c r="S30"/>
      <c r="T30"/>
      <c r="U30"/>
      <c r="V30"/>
      <c r="W30"/>
      <c r="X30"/>
      <c r="Y30"/>
      <c r="Z30"/>
      <c r="AA30"/>
      <c r="AB30"/>
      <c r="AC30"/>
      <c r="AD30"/>
      <c r="AE30"/>
      <c r="AF30"/>
      <c r="AG30"/>
      <c r="AH30"/>
      <c r="AI30"/>
      <c r="AJ30"/>
      <c r="AK30"/>
      <c r="AL30"/>
    </row>
    <row r="31" spans="1:38" ht="15" customHeight="1" x14ac:dyDescent="0.15">
      <c r="A31" s="203" t="s">
        <v>218</v>
      </c>
      <c r="B31" s="113">
        <v>0</v>
      </c>
      <c r="C31"/>
      <c r="D31"/>
      <c r="E31"/>
      <c r="F31"/>
      <c r="G31"/>
      <c r="H31"/>
      <c r="I31"/>
      <c r="J31"/>
      <c r="K31"/>
      <c r="L31"/>
      <c r="M31"/>
      <c r="N31"/>
      <c r="O31"/>
      <c r="P31"/>
      <c r="Q31"/>
      <c r="R31"/>
      <c r="S31"/>
      <c r="T31"/>
      <c r="U31"/>
      <c r="V31"/>
      <c r="W31"/>
      <c r="X31"/>
      <c r="Y31"/>
      <c r="Z31"/>
      <c r="AA31"/>
      <c r="AB31"/>
      <c r="AC31"/>
      <c r="AD31"/>
      <c r="AE31"/>
      <c r="AF31"/>
      <c r="AG31"/>
      <c r="AH31"/>
      <c r="AI31"/>
      <c r="AJ31"/>
      <c r="AK31"/>
      <c r="AL31"/>
    </row>
    <row r="32" spans="1:38" ht="15" customHeight="1" x14ac:dyDescent="0.15">
      <c r="A32" s="203" t="s">
        <v>219</v>
      </c>
      <c r="B32" s="113">
        <v>0</v>
      </c>
      <c r="C32"/>
      <c r="D32"/>
      <c r="E32"/>
      <c r="F32"/>
      <c r="G32"/>
      <c r="H32"/>
      <c r="I32"/>
      <c r="J32"/>
      <c r="K32"/>
      <c r="L32"/>
      <c r="M32"/>
      <c r="N32"/>
      <c r="O32"/>
      <c r="P32"/>
      <c r="Q32"/>
      <c r="R32"/>
      <c r="S32"/>
      <c r="T32"/>
      <c r="U32"/>
      <c r="V32"/>
      <c r="W32"/>
      <c r="X32"/>
      <c r="Y32"/>
      <c r="Z32"/>
      <c r="AA32"/>
      <c r="AB32"/>
      <c r="AC32"/>
      <c r="AD32"/>
      <c r="AE32"/>
      <c r="AF32"/>
      <c r="AG32"/>
      <c r="AH32"/>
      <c r="AI32"/>
      <c r="AJ32"/>
      <c r="AK32"/>
      <c r="AL32"/>
    </row>
    <row r="33" spans="1:38" ht="15" customHeight="1" x14ac:dyDescent="0.15">
      <c r="A33" s="203" t="s">
        <v>220</v>
      </c>
      <c r="B33" s="113">
        <v>0</v>
      </c>
      <c r="C33"/>
      <c r="D33"/>
      <c r="E33"/>
      <c r="F33"/>
      <c r="G33"/>
      <c r="H33"/>
      <c r="I33"/>
      <c r="J33"/>
      <c r="K33"/>
      <c r="L33"/>
      <c r="M33"/>
      <c r="N33"/>
      <c r="O33"/>
      <c r="P33"/>
      <c r="Q33"/>
      <c r="R33"/>
      <c r="S33"/>
      <c r="T33"/>
      <c r="U33"/>
      <c r="V33"/>
      <c r="W33"/>
      <c r="X33"/>
      <c r="Y33"/>
      <c r="Z33"/>
      <c r="AA33"/>
      <c r="AB33"/>
      <c r="AC33"/>
      <c r="AD33"/>
      <c r="AE33"/>
      <c r="AF33"/>
      <c r="AG33"/>
      <c r="AH33"/>
      <c r="AI33"/>
      <c r="AJ33"/>
      <c r="AK33"/>
      <c r="AL33"/>
    </row>
    <row r="34" spans="1:38" ht="15" customHeight="1" x14ac:dyDescent="0.15">
      <c r="A34" s="203" t="s">
        <v>221</v>
      </c>
      <c r="B34" s="113">
        <v>0</v>
      </c>
      <c r="C34"/>
      <c r="D34"/>
      <c r="E34"/>
      <c r="F34"/>
      <c r="G34"/>
      <c r="H34"/>
      <c r="I34"/>
      <c r="J34"/>
      <c r="K34"/>
      <c r="L34"/>
      <c r="M34"/>
      <c r="N34"/>
      <c r="O34"/>
      <c r="P34"/>
      <c r="Q34"/>
      <c r="R34"/>
      <c r="S34"/>
      <c r="T34"/>
      <c r="U34"/>
      <c r="V34"/>
      <c r="W34"/>
      <c r="X34"/>
      <c r="Y34"/>
      <c r="Z34"/>
      <c r="AA34"/>
      <c r="AB34"/>
      <c r="AC34"/>
      <c r="AD34"/>
      <c r="AE34"/>
      <c r="AF34"/>
      <c r="AG34"/>
      <c r="AH34"/>
      <c r="AI34"/>
      <c r="AJ34"/>
      <c r="AK34"/>
      <c r="AL34"/>
    </row>
    <row r="35" spans="1:38" ht="15" customHeight="1" x14ac:dyDescent="0.15">
      <c r="A35" s="203" t="s">
        <v>222</v>
      </c>
      <c r="B35" s="113">
        <v>0</v>
      </c>
      <c r="C35"/>
      <c r="D35"/>
      <c r="E35"/>
      <c r="F35"/>
      <c r="G35"/>
      <c r="H35"/>
      <c r="I35"/>
      <c r="J35"/>
      <c r="K35"/>
      <c r="L35"/>
      <c r="M35"/>
      <c r="N35"/>
      <c r="O35"/>
      <c r="P35"/>
      <c r="Q35"/>
      <c r="R35"/>
      <c r="S35"/>
      <c r="T35"/>
      <c r="U35"/>
      <c r="V35"/>
      <c r="W35"/>
      <c r="X35"/>
      <c r="Y35"/>
      <c r="Z35"/>
      <c r="AA35"/>
      <c r="AB35"/>
      <c r="AC35"/>
      <c r="AD35"/>
      <c r="AE35"/>
      <c r="AF35"/>
      <c r="AG35"/>
      <c r="AH35"/>
      <c r="AI35"/>
      <c r="AJ35"/>
      <c r="AK35"/>
      <c r="AL35"/>
    </row>
    <row r="36" spans="1:38" ht="15" customHeight="1" x14ac:dyDescent="0.15">
      <c r="A36" s="203" t="s">
        <v>223</v>
      </c>
      <c r="B36" s="113">
        <v>0</v>
      </c>
      <c r="C36"/>
      <c r="D36"/>
    </row>
    <row r="37" spans="1:38" ht="15" customHeight="1" x14ac:dyDescent="0.15">
      <c r="A37" s="203" t="s">
        <v>224</v>
      </c>
      <c r="B37" s="113">
        <v>0</v>
      </c>
      <c r="C37"/>
      <c r="D37"/>
    </row>
    <row r="38" spans="1:38" ht="15" customHeight="1" x14ac:dyDescent="0.15">
      <c r="A38" s="203" t="s">
        <v>225</v>
      </c>
      <c r="B38" s="113">
        <v>0</v>
      </c>
      <c r="C38"/>
      <c r="D38"/>
      <c r="E38"/>
      <c r="F38"/>
      <c r="G38"/>
      <c r="H38"/>
      <c r="I38"/>
      <c r="J38"/>
      <c r="K38"/>
      <c r="L38"/>
      <c r="M38"/>
      <c r="N38"/>
      <c r="O38"/>
      <c r="P38"/>
      <c r="Q38"/>
      <c r="R38"/>
      <c r="S38"/>
      <c r="T38"/>
      <c r="U38"/>
      <c r="V38"/>
      <c r="W38"/>
      <c r="X38"/>
      <c r="Y38"/>
      <c r="Z38"/>
      <c r="AA38"/>
      <c r="AB38"/>
      <c r="AC38"/>
      <c r="AD38"/>
      <c r="AE38"/>
      <c r="AF38"/>
      <c r="AG38"/>
      <c r="AH38"/>
      <c r="AI38"/>
      <c r="AJ38"/>
      <c r="AK38"/>
      <c r="AL38"/>
    </row>
    <row r="39" spans="1:38" ht="15" customHeight="1" x14ac:dyDescent="0.15">
      <c r="A39" s="203" t="s">
        <v>226</v>
      </c>
      <c r="B39" s="113">
        <v>0</v>
      </c>
      <c r="C39"/>
      <c r="D39"/>
    </row>
    <row r="40" spans="1:38" ht="15" customHeight="1" x14ac:dyDescent="0.15">
      <c r="A40" s="203" t="s">
        <v>227</v>
      </c>
      <c r="B40" s="113">
        <v>0</v>
      </c>
      <c r="C40"/>
      <c r="D40"/>
    </row>
    <row r="41" spans="1:38" ht="15" customHeight="1" x14ac:dyDescent="0.15">
      <c r="A41" s="203" t="s">
        <v>228</v>
      </c>
      <c r="B41" s="113">
        <v>0</v>
      </c>
      <c r="C41"/>
      <c r="D41"/>
    </row>
    <row r="42" spans="1:38" ht="15" customHeight="1" x14ac:dyDescent="0.15">
      <c r="A42" s="203" t="s">
        <v>229</v>
      </c>
      <c r="B42" s="113">
        <v>0</v>
      </c>
    </row>
    <row r="43" spans="1:38" ht="15" customHeight="1" x14ac:dyDescent="0.15">
      <c r="A43" s="203" t="s">
        <v>230</v>
      </c>
      <c r="B43" s="113">
        <v>0</v>
      </c>
    </row>
    <row r="44" spans="1:38" ht="15" customHeight="1" x14ac:dyDescent="0.15">
      <c r="A44" s="203" t="s">
        <v>231</v>
      </c>
      <c r="B44" s="113">
        <v>0</v>
      </c>
    </row>
    <row r="45" spans="1:38" ht="15" customHeight="1" x14ac:dyDescent="0.15">
      <c r="A45" s="203" t="s">
        <v>232</v>
      </c>
      <c r="B45" s="113">
        <v>0</v>
      </c>
    </row>
    <row r="46" spans="1:38" ht="15" customHeight="1" x14ac:dyDescent="0.15">
      <c r="A46" s="203" t="s">
        <v>233</v>
      </c>
      <c r="B46" s="113">
        <v>0</v>
      </c>
    </row>
    <row r="47" spans="1:38" ht="15" customHeight="1" x14ac:dyDescent="0.15">
      <c r="A47" s="203" t="s">
        <v>234</v>
      </c>
      <c r="B47" s="113">
        <v>0</v>
      </c>
    </row>
    <row r="48" spans="1:38" ht="15" customHeight="1" x14ac:dyDescent="0.15">
      <c r="A48" s="203" t="s">
        <v>235</v>
      </c>
      <c r="B48" s="113">
        <v>0</v>
      </c>
    </row>
    <row r="49" spans="1:38" ht="15" customHeight="1" x14ac:dyDescent="0.15">
      <c r="A49" s="203" t="s">
        <v>236</v>
      </c>
      <c r="B49" s="113">
        <v>0</v>
      </c>
    </row>
    <row r="50" spans="1:38" ht="15" customHeight="1" x14ac:dyDescent="0.15">
      <c r="A50" s="203" t="s">
        <v>237</v>
      </c>
      <c r="B50" s="113">
        <v>0</v>
      </c>
    </row>
    <row r="51" spans="1:38" ht="15" customHeight="1" x14ac:dyDescent="0.15">
      <c r="A51" s="203" t="s">
        <v>238</v>
      </c>
      <c r="B51" s="113">
        <v>0</v>
      </c>
    </row>
    <row r="52" spans="1:38" ht="15" customHeight="1" x14ac:dyDescent="0.15">
      <c r="A52" s="203" t="s">
        <v>239</v>
      </c>
      <c r="B52" s="113">
        <v>0</v>
      </c>
      <c r="C52"/>
      <c r="D52"/>
      <c r="E52"/>
      <c r="F52"/>
      <c r="G52"/>
      <c r="H52"/>
      <c r="I52"/>
      <c r="J52"/>
      <c r="K52"/>
      <c r="L52"/>
      <c r="M52"/>
      <c r="N52"/>
      <c r="O52"/>
      <c r="P52"/>
      <c r="Q52"/>
      <c r="R52"/>
      <c r="S52"/>
      <c r="T52"/>
      <c r="U52"/>
      <c r="V52"/>
      <c r="W52"/>
      <c r="X52"/>
      <c r="Y52"/>
      <c r="Z52"/>
      <c r="AA52"/>
      <c r="AB52"/>
      <c r="AC52"/>
      <c r="AD52"/>
      <c r="AE52"/>
      <c r="AF52"/>
      <c r="AG52"/>
      <c r="AH52"/>
      <c r="AI52"/>
      <c r="AJ52"/>
      <c r="AK52"/>
      <c r="AL52"/>
    </row>
    <row r="53" spans="1:38" ht="15" customHeight="1" x14ac:dyDescent="0.15">
      <c r="A53" s="203" t="s">
        <v>240</v>
      </c>
      <c r="B53" s="113">
        <v>0</v>
      </c>
      <c r="C53"/>
      <c r="D53"/>
      <c r="E53"/>
      <c r="F53"/>
      <c r="G53"/>
      <c r="H53"/>
      <c r="I53"/>
      <c r="J53"/>
      <c r="K53"/>
      <c r="L53"/>
      <c r="M53"/>
      <c r="N53"/>
      <c r="O53"/>
      <c r="P53"/>
      <c r="Q53"/>
      <c r="R53"/>
      <c r="S53"/>
      <c r="T53"/>
      <c r="U53"/>
      <c r="V53"/>
      <c r="W53"/>
      <c r="X53"/>
      <c r="Y53"/>
      <c r="Z53"/>
      <c r="AA53"/>
      <c r="AB53"/>
      <c r="AC53"/>
      <c r="AD53"/>
      <c r="AE53"/>
      <c r="AF53"/>
      <c r="AG53"/>
      <c r="AH53"/>
      <c r="AI53"/>
      <c r="AJ53"/>
      <c r="AK53"/>
      <c r="AL53"/>
    </row>
    <row r="54" spans="1:38" ht="15" customHeight="1" x14ac:dyDescent="0.15">
      <c r="A54" s="203" t="s">
        <v>241</v>
      </c>
      <c r="B54" s="113">
        <v>0</v>
      </c>
      <c r="C54"/>
      <c r="D54"/>
      <c r="E54"/>
      <c r="F54"/>
      <c r="G54"/>
      <c r="H54"/>
      <c r="I54"/>
      <c r="J54"/>
      <c r="K54"/>
      <c r="L54"/>
      <c r="M54"/>
      <c r="N54"/>
      <c r="O54"/>
      <c r="P54"/>
      <c r="Q54"/>
      <c r="R54"/>
      <c r="S54"/>
      <c r="T54"/>
      <c r="U54"/>
      <c r="V54"/>
      <c r="W54"/>
      <c r="X54"/>
      <c r="Y54"/>
      <c r="Z54"/>
      <c r="AA54"/>
      <c r="AB54"/>
      <c r="AC54"/>
      <c r="AD54"/>
      <c r="AE54"/>
      <c r="AF54"/>
      <c r="AG54"/>
      <c r="AH54"/>
      <c r="AI54"/>
      <c r="AJ54"/>
      <c r="AK54"/>
      <c r="AL54"/>
    </row>
    <row r="55" spans="1:38" ht="15" customHeight="1" x14ac:dyDescent="0.15">
      <c r="A55" s="203" t="s">
        <v>242</v>
      </c>
      <c r="B55" s="113">
        <v>0</v>
      </c>
      <c r="C55"/>
      <c r="D55"/>
      <c r="E55"/>
      <c r="F55"/>
      <c r="G55"/>
      <c r="H55"/>
      <c r="I55"/>
      <c r="J55"/>
      <c r="K55"/>
      <c r="L55"/>
      <c r="M55"/>
      <c r="N55"/>
      <c r="O55"/>
      <c r="P55"/>
      <c r="Q55"/>
      <c r="R55"/>
      <c r="S55"/>
      <c r="T55"/>
      <c r="U55"/>
      <c r="V55"/>
      <c r="W55"/>
      <c r="X55"/>
      <c r="Y55"/>
      <c r="Z55"/>
      <c r="AA55"/>
      <c r="AB55"/>
      <c r="AC55"/>
      <c r="AD55"/>
      <c r="AE55"/>
      <c r="AF55"/>
      <c r="AG55"/>
      <c r="AH55"/>
      <c r="AI55"/>
      <c r="AJ55"/>
      <c r="AK55"/>
      <c r="AL55"/>
    </row>
    <row r="56" spans="1:38" ht="15" customHeight="1" x14ac:dyDescent="0.15">
      <c r="A56" s="203" t="s">
        <v>243</v>
      </c>
      <c r="B56" s="113">
        <v>0</v>
      </c>
      <c r="C56"/>
      <c r="D56"/>
      <c r="E56"/>
      <c r="F56"/>
      <c r="G56"/>
      <c r="H56"/>
      <c r="I56"/>
      <c r="J56"/>
      <c r="K56"/>
      <c r="L56"/>
      <c r="M56"/>
      <c r="N56"/>
      <c r="O56"/>
      <c r="P56"/>
      <c r="Q56"/>
      <c r="R56"/>
      <c r="S56"/>
      <c r="T56"/>
      <c r="U56"/>
      <c r="V56"/>
      <c r="W56"/>
      <c r="X56"/>
      <c r="Y56"/>
      <c r="Z56"/>
      <c r="AA56"/>
      <c r="AB56"/>
      <c r="AC56"/>
      <c r="AD56"/>
      <c r="AE56"/>
      <c r="AF56"/>
      <c r="AG56"/>
      <c r="AH56"/>
      <c r="AI56"/>
      <c r="AJ56"/>
      <c r="AK56"/>
      <c r="AL56"/>
    </row>
    <row r="57" spans="1:38" ht="15" customHeight="1" x14ac:dyDescent="0.15">
      <c r="A57" s="203" t="s">
        <v>244</v>
      </c>
      <c r="B57" s="113">
        <v>0</v>
      </c>
      <c r="C57"/>
      <c r="D57"/>
      <c r="E57"/>
      <c r="F57"/>
      <c r="G57"/>
      <c r="H57"/>
      <c r="I57"/>
      <c r="J57"/>
      <c r="K57"/>
      <c r="L57"/>
      <c r="M57"/>
      <c r="N57"/>
      <c r="O57"/>
      <c r="P57"/>
      <c r="Q57"/>
      <c r="R57"/>
      <c r="S57"/>
      <c r="T57"/>
      <c r="U57"/>
      <c r="V57"/>
      <c r="W57"/>
      <c r="X57"/>
      <c r="Y57"/>
      <c r="Z57"/>
      <c r="AA57"/>
      <c r="AB57"/>
      <c r="AC57"/>
      <c r="AD57"/>
      <c r="AE57"/>
      <c r="AF57"/>
      <c r="AG57"/>
      <c r="AH57"/>
      <c r="AI57"/>
      <c r="AJ57"/>
      <c r="AK57"/>
      <c r="AL57"/>
    </row>
    <row r="58" spans="1:38" ht="15" customHeight="1" x14ac:dyDescent="0.15">
      <c r="A58" s="203" t="s">
        <v>245</v>
      </c>
      <c r="B58" s="113">
        <v>0</v>
      </c>
      <c r="C58"/>
      <c r="D58"/>
      <c r="E58"/>
      <c r="F58"/>
      <c r="G58"/>
      <c r="H58"/>
      <c r="I58"/>
      <c r="J58"/>
      <c r="K58"/>
      <c r="L58"/>
      <c r="M58"/>
      <c r="N58"/>
      <c r="O58"/>
      <c r="P58"/>
      <c r="Q58"/>
      <c r="R58"/>
      <c r="S58"/>
      <c r="T58"/>
      <c r="U58"/>
      <c r="V58"/>
      <c r="W58"/>
      <c r="X58"/>
      <c r="Y58"/>
      <c r="Z58"/>
      <c r="AA58"/>
      <c r="AB58"/>
      <c r="AC58"/>
      <c r="AD58"/>
      <c r="AE58"/>
      <c r="AF58"/>
      <c r="AG58"/>
      <c r="AH58"/>
      <c r="AI58"/>
      <c r="AJ58"/>
      <c r="AK58"/>
      <c r="AL58"/>
    </row>
    <row r="59" spans="1:38" ht="15" customHeight="1" x14ac:dyDescent="0.15">
      <c r="A59" s="203" t="s">
        <v>246</v>
      </c>
      <c r="B59" s="113">
        <v>0</v>
      </c>
      <c r="C59"/>
      <c r="D59"/>
      <c r="E59"/>
      <c r="F59"/>
      <c r="G59"/>
      <c r="H59"/>
      <c r="I59"/>
      <c r="J59"/>
      <c r="K59"/>
      <c r="L59"/>
      <c r="M59"/>
      <c r="N59"/>
      <c r="O59"/>
      <c r="P59"/>
      <c r="Q59"/>
      <c r="R59"/>
      <c r="S59"/>
      <c r="T59"/>
      <c r="U59"/>
      <c r="V59"/>
      <c r="W59"/>
      <c r="X59"/>
      <c r="Y59"/>
      <c r="Z59"/>
      <c r="AA59"/>
      <c r="AB59"/>
      <c r="AC59"/>
      <c r="AD59"/>
      <c r="AE59"/>
      <c r="AF59"/>
      <c r="AG59"/>
      <c r="AH59"/>
      <c r="AI59"/>
      <c r="AJ59"/>
      <c r="AK59"/>
      <c r="AL59"/>
    </row>
    <row r="60" spans="1:38" ht="15" customHeight="1" x14ac:dyDescent="0.15">
      <c r="A60" s="203" t="s">
        <v>247</v>
      </c>
      <c r="B60" s="113">
        <v>0</v>
      </c>
      <c r="C60"/>
      <c r="D60"/>
      <c r="E60"/>
      <c r="F60"/>
      <c r="G60"/>
      <c r="H60"/>
      <c r="I60"/>
      <c r="J60"/>
      <c r="K60"/>
      <c r="L60"/>
      <c r="M60"/>
      <c r="N60"/>
      <c r="O60"/>
      <c r="P60"/>
      <c r="Q60"/>
      <c r="R60"/>
      <c r="S60"/>
      <c r="T60"/>
      <c r="U60"/>
      <c r="V60"/>
      <c r="W60"/>
      <c r="X60"/>
      <c r="Y60"/>
      <c r="Z60"/>
      <c r="AA60"/>
      <c r="AB60"/>
      <c r="AC60"/>
      <c r="AD60"/>
      <c r="AE60"/>
      <c r="AF60"/>
      <c r="AG60"/>
      <c r="AH60"/>
      <c r="AI60"/>
      <c r="AJ60"/>
      <c r="AK60"/>
      <c r="AL60"/>
    </row>
    <row r="61" spans="1:38" ht="15" customHeight="1" x14ac:dyDescent="0.15">
      <c r="A61" s="203" t="s">
        <v>248</v>
      </c>
      <c r="B61" s="113">
        <v>0</v>
      </c>
      <c r="C61"/>
      <c r="D61"/>
      <c r="E61"/>
      <c r="F61"/>
      <c r="G61"/>
      <c r="H61"/>
      <c r="I61"/>
      <c r="J61"/>
      <c r="K61"/>
      <c r="L61"/>
      <c r="M61"/>
      <c r="N61"/>
      <c r="O61"/>
      <c r="P61"/>
      <c r="Q61"/>
      <c r="R61"/>
      <c r="S61"/>
      <c r="T61"/>
      <c r="U61"/>
      <c r="V61"/>
      <c r="W61"/>
      <c r="X61"/>
      <c r="Y61"/>
      <c r="Z61"/>
      <c r="AA61"/>
      <c r="AB61"/>
      <c r="AC61"/>
      <c r="AD61"/>
      <c r="AE61"/>
      <c r="AF61"/>
      <c r="AG61"/>
      <c r="AH61"/>
      <c r="AI61"/>
      <c r="AJ61"/>
      <c r="AK61"/>
      <c r="AL61"/>
    </row>
    <row r="62" spans="1:38" ht="15" customHeight="1" x14ac:dyDescent="0.15">
      <c r="A62" s="203" t="s">
        <v>249</v>
      </c>
      <c r="B62" s="113">
        <v>0</v>
      </c>
      <c r="C62"/>
      <c r="D62"/>
      <c r="E62"/>
      <c r="F62"/>
      <c r="G62"/>
      <c r="H62"/>
      <c r="I62"/>
      <c r="J62"/>
      <c r="K62"/>
      <c r="L62"/>
      <c r="M62"/>
      <c r="N62"/>
      <c r="O62"/>
      <c r="P62"/>
      <c r="Q62"/>
      <c r="R62"/>
      <c r="S62"/>
      <c r="T62"/>
      <c r="U62"/>
      <c r="V62"/>
      <c r="W62"/>
      <c r="X62"/>
      <c r="Y62"/>
      <c r="Z62"/>
      <c r="AA62"/>
      <c r="AB62"/>
      <c r="AC62"/>
      <c r="AD62"/>
      <c r="AE62"/>
      <c r="AF62"/>
      <c r="AG62"/>
      <c r="AH62"/>
      <c r="AI62"/>
      <c r="AJ62"/>
      <c r="AK62"/>
      <c r="AL62"/>
    </row>
    <row r="63" spans="1:38" ht="15" customHeight="1" x14ac:dyDescent="0.15">
      <c r="A63" s="203" t="s">
        <v>250</v>
      </c>
      <c r="B63" s="113">
        <v>0</v>
      </c>
      <c r="C63"/>
      <c r="D63"/>
      <c r="E63"/>
      <c r="F63"/>
      <c r="G63"/>
      <c r="H63"/>
      <c r="I63"/>
      <c r="J63"/>
      <c r="K63"/>
      <c r="L63"/>
      <c r="M63"/>
      <c r="N63"/>
      <c r="O63"/>
      <c r="P63"/>
      <c r="Q63"/>
      <c r="R63"/>
      <c r="S63"/>
      <c r="T63"/>
      <c r="U63"/>
      <c r="V63"/>
      <c r="W63"/>
      <c r="X63"/>
      <c r="Y63"/>
      <c r="Z63"/>
      <c r="AA63"/>
      <c r="AB63"/>
      <c r="AC63"/>
      <c r="AD63"/>
      <c r="AE63"/>
      <c r="AF63"/>
      <c r="AG63"/>
      <c r="AH63"/>
      <c r="AI63"/>
      <c r="AJ63"/>
      <c r="AK63"/>
      <c r="AL63"/>
    </row>
    <row r="64" spans="1:38" ht="15" customHeight="1" x14ac:dyDescent="0.15">
      <c r="A64" s="203" t="s">
        <v>251</v>
      </c>
      <c r="B64" s="113">
        <v>0</v>
      </c>
      <c r="C64"/>
      <c r="D64"/>
      <c r="E64"/>
      <c r="F64"/>
      <c r="G64"/>
      <c r="H64"/>
      <c r="I64"/>
      <c r="J64"/>
      <c r="K64"/>
      <c r="L64"/>
      <c r="M64"/>
      <c r="N64"/>
      <c r="O64"/>
      <c r="P64"/>
      <c r="Q64"/>
      <c r="R64"/>
      <c r="S64"/>
      <c r="T64"/>
      <c r="U64"/>
      <c r="V64"/>
      <c r="W64"/>
      <c r="X64"/>
      <c r="Y64"/>
      <c r="Z64"/>
      <c r="AA64"/>
      <c r="AB64"/>
      <c r="AC64"/>
      <c r="AD64"/>
      <c r="AE64"/>
      <c r="AF64"/>
      <c r="AG64"/>
      <c r="AH64"/>
      <c r="AI64"/>
      <c r="AJ64"/>
      <c r="AK64"/>
      <c r="AL64"/>
    </row>
    <row r="65" spans="1:38" ht="15" customHeight="1" x14ac:dyDescent="0.15">
      <c r="A65" s="203" t="s">
        <v>252</v>
      </c>
      <c r="B65" s="113">
        <v>0</v>
      </c>
      <c r="C65"/>
      <c r="D65"/>
      <c r="E65"/>
      <c r="F65"/>
      <c r="G65"/>
      <c r="H65"/>
      <c r="I65"/>
      <c r="J65"/>
      <c r="K65"/>
      <c r="L65"/>
      <c r="M65"/>
      <c r="N65"/>
      <c r="O65"/>
      <c r="P65"/>
      <c r="Q65"/>
      <c r="R65"/>
      <c r="S65"/>
      <c r="T65"/>
      <c r="U65"/>
      <c r="V65"/>
      <c r="W65"/>
      <c r="X65"/>
      <c r="Y65"/>
      <c r="Z65"/>
      <c r="AA65"/>
      <c r="AB65"/>
      <c r="AC65"/>
      <c r="AD65"/>
      <c r="AE65"/>
      <c r="AF65"/>
      <c r="AG65"/>
      <c r="AH65"/>
      <c r="AI65"/>
      <c r="AJ65"/>
      <c r="AK65"/>
      <c r="AL65"/>
    </row>
    <row r="66" spans="1:38" ht="15" customHeight="1" x14ac:dyDescent="0.15">
      <c r="A66" s="203" t="s">
        <v>253</v>
      </c>
      <c r="B66" s="113">
        <v>0</v>
      </c>
      <c r="C66"/>
      <c r="D66"/>
      <c r="E66"/>
      <c r="F66"/>
      <c r="G66"/>
      <c r="H66"/>
      <c r="I66"/>
      <c r="J66"/>
      <c r="K66"/>
      <c r="L66"/>
      <c r="M66"/>
      <c r="N66"/>
      <c r="O66"/>
      <c r="P66"/>
      <c r="Q66"/>
      <c r="R66"/>
      <c r="S66"/>
      <c r="T66"/>
      <c r="U66"/>
      <c r="V66"/>
      <c r="W66"/>
      <c r="X66"/>
      <c r="Y66"/>
      <c r="Z66"/>
      <c r="AA66"/>
      <c r="AB66"/>
      <c r="AC66"/>
      <c r="AD66"/>
      <c r="AE66"/>
      <c r="AF66"/>
      <c r="AG66"/>
      <c r="AH66"/>
      <c r="AI66"/>
      <c r="AJ66"/>
      <c r="AK66"/>
      <c r="AL66"/>
    </row>
    <row r="67" spans="1:38" ht="15" customHeight="1" x14ac:dyDescent="0.15">
      <c r="A67" s="203" t="s">
        <v>254</v>
      </c>
      <c r="B67" s="113">
        <v>0</v>
      </c>
      <c r="C67"/>
      <c r="D67"/>
      <c r="E67"/>
      <c r="F67"/>
      <c r="G67"/>
      <c r="H67"/>
      <c r="I67"/>
      <c r="J67"/>
      <c r="K67"/>
      <c r="L67"/>
      <c r="M67"/>
      <c r="N67"/>
      <c r="O67"/>
      <c r="P67"/>
      <c r="Q67"/>
      <c r="R67"/>
      <c r="S67"/>
      <c r="T67"/>
      <c r="U67"/>
      <c r="V67"/>
      <c r="W67"/>
      <c r="X67"/>
      <c r="Y67"/>
      <c r="Z67"/>
      <c r="AA67"/>
      <c r="AB67"/>
      <c r="AC67"/>
      <c r="AD67"/>
      <c r="AE67"/>
      <c r="AF67"/>
      <c r="AG67"/>
      <c r="AH67"/>
      <c r="AI67"/>
      <c r="AJ67"/>
      <c r="AK67"/>
      <c r="AL67"/>
    </row>
    <row r="68" spans="1:38" ht="15" customHeight="1" x14ac:dyDescent="0.15">
      <c r="A68" s="203" t="s">
        <v>255</v>
      </c>
      <c r="B68" s="113">
        <v>0</v>
      </c>
      <c r="C68"/>
      <c r="D68"/>
      <c r="E68"/>
      <c r="F68"/>
      <c r="G68"/>
      <c r="H68"/>
      <c r="I68"/>
      <c r="J68"/>
      <c r="K68"/>
      <c r="L68"/>
      <c r="M68"/>
      <c r="N68"/>
      <c r="O68"/>
      <c r="P68"/>
      <c r="Q68"/>
      <c r="R68"/>
      <c r="S68"/>
      <c r="T68"/>
      <c r="U68"/>
      <c r="V68"/>
      <c r="W68"/>
      <c r="X68"/>
      <c r="Y68"/>
      <c r="Z68"/>
      <c r="AA68"/>
      <c r="AB68"/>
      <c r="AC68"/>
      <c r="AD68"/>
      <c r="AE68"/>
      <c r="AF68"/>
      <c r="AG68"/>
      <c r="AH68"/>
      <c r="AI68"/>
      <c r="AJ68"/>
      <c r="AK68"/>
      <c r="AL68"/>
    </row>
    <row r="69" spans="1:38" ht="15" customHeight="1" x14ac:dyDescent="0.15">
      <c r="A69" s="203" t="s">
        <v>256</v>
      </c>
      <c r="B69" s="113">
        <v>0</v>
      </c>
      <c r="C69"/>
      <c r="D69"/>
      <c r="E69"/>
      <c r="F69"/>
      <c r="G69"/>
      <c r="H69"/>
      <c r="I69"/>
      <c r="J69"/>
      <c r="K69"/>
      <c r="L69"/>
      <c r="M69"/>
      <c r="N69"/>
      <c r="O69"/>
      <c r="P69"/>
      <c r="Q69"/>
      <c r="R69"/>
      <c r="S69"/>
      <c r="T69"/>
      <c r="U69"/>
      <c r="V69"/>
      <c r="W69"/>
      <c r="X69"/>
      <c r="Y69"/>
      <c r="Z69"/>
      <c r="AA69"/>
      <c r="AB69"/>
      <c r="AC69"/>
      <c r="AD69"/>
      <c r="AE69"/>
      <c r="AF69"/>
      <c r="AG69"/>
      <c r="AH69"/>
      <c r="AI69"/>
      <c r="AJ69"/>
      <c r="AK69"/>
      <c r="AL69"/>
    </row>
    <row r="70" spans="1:38" ht="15" customHeight="1" x14ac:dyDescent="0.15">
      <c r="A70" s="203" t="s">
        <v>257</v>
      </c>
      <c r="B70" s="113">
        <v>0</v>
      </c>
      <c r="C70"/>
      <c r="D70"/>
      <c r="E70"/>
      <c r="F70"/>
      <c r="G70"/>
      <c r="H70"/>
      <c r="I70"/>
      <c r="J70"/>
      <c r="K70"/>
      <c r="L70"/>
      <c r="M70"/>
      <c r="N70"/>
      <c r="O70"/>
      <c r="P70"/>
      <c r="Q70"/>
      <c r="R70"/>
      <c r="S70"/>
      <c r="T70"/>
      <c r="U70"/>
      <c r="V70"/>
      <c r="W70"/>
      <c r="X70"/>
      <c r="Y70"/>
      <c r="Z70"/>
      <c r="AA70"/>
      <c r="AB70"/>
      <c r="AC70"/>
      <c r="AD70"/>
      <c r="AE70"/>
      <c r="AF70"/>
      <c r="AG70"/>
      <c r="AH70"/>
      <c r="AI70"/>
      <c r="AJ70"/>
      <c r="AK70"/>
      <c r="AL70"/>
    </row>
    <row r="71" spans="1:38" ht="15" customHeight="1" x14ac:dyDescent="0.15">
      <c r="A71" s="203" t="s">
        <v>258</v>
      </c>
      <c r="B71" s="113">
        <v>0</v>
      </c>
      <c r="C71"/>
      <c r="D71"/>
      <c r="E71"/>
      <c r="F71"/>
      <c r="G71"/>
      <c r="H71"/>
      <c r="I71"/>
      <c r="J71"/>
      <c r="K71"/>
      <c r="L71"/>
      <c r="M71"/>
      <c r="N71"/>
      <c r="O71"/>
      <c r="P71"/>
      <c r="Q71"/>
      <c r="R71"/>
      <c r="S71"/>
      <c r="T71"/>
      <c r="U71"/>
      <c r="V71"/>
      <c r="W71"/>
      <c r="X71"/>
      <c r="Y71"/>
      <c r="Z71"/>
      <c r="AA71"/>
      <c r="AB71"/>
      <c r="AC71"/>
      <c r="AD71"/>
      <c r="AE71"/>
      <c r="AF71"/>
      <c r="AG71"/>
      <c r="AH71"/>
      <c r="AI71"/>
      <c r="AJ71"/>
      <c r="AK71"/>
      <c r="AL71"/>
    </row>
    <row r="72" spans="1:38" ht="15" customHeight="1" x14ac:dyDescent="0.15">
      <c r="A72" s="203" t="s">
        <v>259</v>
      </c>
      <c r="B72" s="113">
        <v>0</v>
      </c>
      <c r="C72"/>
      <c r="D72"/>
      <c r="E72"/>
      <c r="F72"/>
      <c r="G72"/>
      <c r="H72"/>
      <c r="I72"/>
      <c r="J72"/>
      <c r="K72"/>
      <c r="L72"/>
      <c r="M72"/>
      <c r="N72"/>
      <c r="O72"/>
      <c r="P72"/>
      <c r="Q72"/>
      <c r="R72"/>
      <c r="S72"/>
      <c r="T72"/>
      <c r="U72"/>
      <c r="V72"/>
      <c r="W72"/>
      <c r="X72"/>
      <c r="Y72"/>
      <c r="Z72"/>
      <c r="AA72"/>
      <c r="AB72"/>
      <c r="AC72"/>
      <c r="AD72"/>
      <c r="AE72"/>
      <c r="AF72"/>
      <c r="AG72"/>
      <c r="AH72"/>
      <c r="AI72"/>
      <c r="AJ72"/>
      <c r="AK72"/>
      <c r="AL72"/>
    </row>
    <row r="73" spans="1:38" ht="15" customHeight="1" x14ac:dyDescent="0.15">
      <c r="A73" s="203" t="s">
        <v>260</v>
      </c>
      <c r="B73" s="113">
        <v>0</v>
      </c>
      <c r="C73"/>
      <c r="D73"/>
      <c r="E73"/>
      <c r="F73"/>
      <c r="G73"/>
      <c r="H73"/>
      <c r="I73"/>
      <c r="J73"/>
      <c r="K73"/>
      <c r="L73"/>
      <c r="M73"/>
      <c r="N73"/>
      <c r="O73"/>
      <c r="P73"/>
      <c r="Q73"/>
      <c r="R73"/>
      <c r="S73"/>
      <c r="T73"/>
      <c r="U73"/>
      <c r="V73"/>
      <c r="W73"/>
      <c r="X73"/>
      <c r="Y73"/>
      <c r="Z73"/>
      <c r="AA73"/>
      <c r="AB73"/>
      <c r="AC73"/>
      <c r="AD73"/>
      <c r="AE73"/>
      <c r="AF73"/>
      <c r="AG73"/>
      <c r="AH73"/>
      <c r="AI73"/>
      <c r="AJ73"/>
      <c r="AK73"/>
      <c r="AL73"/>
    </row>
    <row r="74" spans="1:38" ht="15" customHeight="1" x14ac:dyDescent="0.15">
      <c r="A74" s="203" t="s">
        <v>261</v>
      </c>
      <c r="B74" s="113">
        <v>0</v>
      </c>
      <c r="C74"/>
      <c r="D74"/>
      <c r="E74"/>
      <c r="F74"/>
      <c r="G74"/>
      <c r="H74"/>
      <c r="I74"/>
      <c r="J74"/>
      <c r="K74"/>
      <c r="L74"/>
      <c r="M74"/>
      <c r="N74"/>
      <c r="O74"/>
      <c r="P74"/>
      <c r="Q74"/>
      <c r="R74"/>
      <c r="S74"/>
      <c r="T74"/>
      <c r="U74"/>
      <c r="V74"/>
      <c r="W74"/>
      <c r="X74"/>
      <c r="Y74"/>
      <c r="Z74"/>
      <c r="AA74"/>
      <c r="AB74"/>
      <c r="AC74"/>
      <c r="AD74"/>
      <c r="AE74"/>
      <c r="AF74"/>
      <c r="AG74"/>
      <c r="AH74"/>
      <c r="AI74"/>
      <c r="AJ74"/>
      <c r="AK74"/>
      <c r="AL74"/>
    </row>
    <row r="75" spans="1:38" ht="15" customHeight="1" x14ac:dyDescent="0.15">
      <c r="A75" s="203" t="s">
        <v>262</v>
      </c>
      <c r="B75" s="113">
        <v>0</v>
      </c>
      <c r="C75"/>
      <c r="D75"/>
      <c r="E75"/>
      <c r="F75"/>
      <c r="G75"/>
      <c r="H75"/>
      <c r="I75"/>
      <c r="J75"/>
      <c r="K75"/>
      <c r="L75"/>
      <c r="M75"/>
      <c r="N75"/>
      <c r="O75"/>
      <c r="P75"/>
      <c r="Q75"/>
      <c r="R75"/>
      <c r="S75"/>
      <c r="T75"/>
      <c r="U75"/>
      <c r="V75"/>
      <c r="W75"/>
      <c r="X75"/>
      <c r="Y75"/>
      <c r="Z75"/>
      <c r="AA75"/>
      <c r="AB75"/>
      <c r="AC75"/>
      <c r="AD75"/>
      <c r="AE75"/>
      <c r="AF75"/>
      <c r="AG75"/>
      <c r="AH75"/>
      <c r="AI75"/>
      <c r="AJ75"/>
      <c r="AK75"/>
      <c r="AL75"/>
    </row>
    <row r="76" spans="1:38" ht="15" customHeight="1" x14ac:dyDescent="0.15">
      <c r="A76" s="203" t="s">
        <v>263</v>
      </c>
      <c r="B76" s="113">
        <v>0</v>
      </c>
      <c r="C76"/>
      <c r="D76"/>
      <c r="E76"/>
      <c r="F76"/>
      <c r="G76"/>
      <c r="H76"/>
      <c r="I76"/>
      <c r="J76"/>
      <c r="K76"/>
      <c r="L76"/>
      <c r="M76"/>
      <c r="N76"/>
      <c r="O76"/>
      <c r="P76"/>
      <c r="Q76"/>
      <c r="R76"/>
      <c r="S76"/>
      <c r="T76"/>
      <c r="U76"/>
      <c r="V76"/>
      <c r="W76"/>
      <c r="X76"/>
      <c r="Y76"/>
      <c r="Z76"/>
      <c r="AA76"/>
      <c r="AB76"/>
      <c r="AC76"/>
      <c r="AD76"/>
      <c r="AE76"/>
      <c r="AF76"/>
      <c r="AG76"/>
      <c r="AH76"/>
      <c r="AI76"/>
      <c r="AJ76"/>
      <c r="AK76"/>
      <c r="AL76"/>
    </row>
    <row r="77" spans="1:38" ht="15" customHeight="1" x14ac:dyDescent="0.15">
      <c r="A77" s="203" t="s">
        <v>264</v>
      </c>
      <c r="B77" s="113">
        <v>0</v>
      </c>
      <c r="C77"/>
      <c r="D77"/>
      <c r="E77"/>
      <c r="F77"/>
      <c r="G77"/>
      <c r="H77"/>
      <c r="I77"/>
      <c r="J77"/>
      <c r="K77"/>
      <c r="L77"/>
      <c r="M77"/>
      <c r="N77"/>
      <c r="O77"/>
      <c r="P77"/>
      <c r="Q77"/>
      <c r="R77"/>
      <c r="S77"/>
      <c r="T77"/>
      <c r="U77"/>
      <c r="V77"/>
      <c r="W77"/>
      <c r="X77"/>
      <c r="Y77"/>
      <c r="Z77"/>
      <c r="AA77"/>
      <c r="AB77"/>
      <c r="AC77"/>
      <c r="AD77"/>
      <c r="AE77"/>
      <c r="AF77"/>
      <c r="AG77"/>
      <c r="AH77"/>
      <c r="AI77"/>
      <c r="AJ77"/>
      <c r="AK77"/>
      <c r="AL77"/>
    </row>
    <row r="78" spans="1:38" ht="15" customHeight="1" x14ac:dyDescent="0.15">
      <c r="A78" s="203" t="s">
        <v>265</v>
      </c>
      <c r="B78" s="113">
        <v>0</v>
      </c>
      <c r="C78"/>
      <c r="D78"/>
      <c r="E78"/>
      <c r="F78"/>
      <c r="G78"/>
      <c r="H78"/>
      <c r="I78"/>
      <c r="J78"/>
      <c r="K78"/>
      <c r="L78"/>
      <c r="M78"/>
      <c r="N78"/>
      <c r="O78"/>
      <c r="P78"/>
      <c r="Q78"/>
      <c r="R78"/>
      <c r="S78"/>
      <c r="T78"/>
      <c r="U78"/>
      <c r="V78"/>
      <c r="W78"/>
      <c r="X78"/>
      <c r="Y78"/>
      <c r="Z78"/>
      <c r="AA78"/>
      <c r="AB78"/>
      <c r="AC78"/>
      <c r="AD78"/>
      <c r="AE78"/>
      <c r="AF78"/>
      <c r="AG78"/>
      <c r="AH78"/>
      <c r="AI78"/>
      <c r="AJ78"/>
      <c r="AK78"/>
      <c r="AL78"/>
    </row>
    <row r="79" spans="1:38" ht="15" customHeight="1" x14ac:dyDescent="0.15">
      <c r="A79" s="203" t="s">
        <v>266</v>
      </c>
      <c r="B79" s="113">
        <v>0</v>
      </c>
      <c r="C79"/>
      <c r="D79"/>
      <c r="E79"/>
      <c r="F79"/>
      <c r="G79"/>
      <c r="H79"/>
      <c r="I79"/>
      <c r="J79"/>
      <c r="K79"/>
      <c r="L79"/>
      <c r="M79"/>
      <c r="N79"/>
      <c r="O79"/>
      <c r="P79"/>
      <c r="Q79"/>
      <c r="R79"/>
      <c r="S79"/>
      <c r="T79"/>
      <c r="U79"/>
      <c r="V79"/>
      <c r="W79"/>
      <c r="X79"/>
      <c r="Y79"/>
      <c r="Z79"/>
      <c r="AA79"/>
      <c r="AB79"/>
      <c r="AC79"/>
      <c r="AD79"/>
      <c r="AE79"/>
      <c r="AF79"/>
      <c r="AG79"/>
      <c r="AH79"/>
      <c r="AI79"/>
      <c r="AJ79"/>
      <c r="AK79"/>
      <c r="AL79"/>
    </row>
    <row r="80" spans="1:38" ht="15" customHeight="1" x14ac:dyDescent="0.15">
      <c r="A80" s="203" t="s">
        <v>267</v>
      </c>
      <c r="B80" s="113">
        <v>0</v>
      </c>
      <c r="C80"/>
      <c r="D80"/>
      <c r="E80"/>
      <c r="F80"/>
      <c r="G80"/>
      <c r="H80"/>
      <c r="I80"/>
      <c r="J80"/>
      <c r="K80"/>
      <c r="L80"/>
      <c r="M80"/>
      <c r="N80"/>
      <c r="O80"/>
      <c r="P80"/>
      <c r="Q80"/>
      <c r="R80"/>
      <c r="S80"/>
      <c r="T80"/>
      <c r="U80"/>
      <c r="V80"/>
      <c r="W80"/>
      <c r="X80"/>
      <c r="Y80"/>
      <c r="Z80"/>
      <c r="AA80"/>
      <c r="AB80"/>
      <c r="AC80"/>
      <c r="AD80"/>
      <c r="AE80"/>
      <c r="AF80"/>
      <c r="AG80"/>
      <c r="AH80"/>
      <c r="AI80"/>
      <c r="AJ80"/>
      <c r="AK80"/>
      <c r="AL80"/>
    </row>
    <row r="81" spans="1:38" ht="15" customHeight="1" x14ac:dyDescent="0.15">
      <c r="A81" s="203" t="s">
        <v>268</v>
      </c>
      <c r="B81" s="113">
        <v>0</v>
      </c>
      <c r="C81"/>
      <c r="D81"/>
      <c r="E81"/>
      <c r="F81"/>
      <c r="G81"/>
      <c r="H81"/>
      <c r="I81"/>
      <c r="J81"/>
      <c r="K81"/>
      <c r="L81"/>
      <c r="M81"/>
      <c r="N81"/>
      <c r="O81"/>
      <c r="P81"/>
      <c r="Q81"/>
      <c r="R81"/>
      <c r="S81"/>
      <c r="T81"/>
      <c r="U81"/>
      <c r="V81"/>
      <c r="W81"/>
      <c r="X81"/>
      <c r="Y81"/>
      <c r="Z81"/>
      <c r="AA81"/>
      <c r="AB81"/>
      <c r="AC81"/>
      <c r="AD81"/>
      <c r="AE81"/>
      <c r="AF81"/>
      <c r="AG81"/>
      <c r="AH81"/>
      <c r="AI81"/>
      <c r="AJ81"/>
      <c r="AK81"/>
      <c r="AL81"/>
    </row>
    <row r="82" spans="1:38" ht="15" customHeight="1" x14ac:dyDescent="0.15">
      <c r="A82" s="203" t="s">
        <v>269</v>
      </c>
      <c r="B82" s="113">
        <v>0</v>
      </c>
      <c r="C82"/>
      <c r="D82"/>
      <c r="E82"/>
      <c r="F82"/>
      <c r="G82"/>
      <c r="H82"/>
      <c r="I82"/>
      <c r="J82"/>
      <c r="K82"/>
      <c r="L82"/>
      <c r="M82"/>
      <c r="N82"/>
      <c r="O82"/>
      <c r="P82"/>
      <c r="Q82"/>
      <c r="R82"/>
      <c r="S82"/>
      <c r="T82"/>
      <c r="U82"/>
      <c r="V82"/>
      <c r="W82"/>
      <c r="X82"/>
      <c r="Y82"/>
      <c r="Z82"/>
      <c r="AA82"/>
      <c r="AB82"/>
      <c r="AC82"/>
      <c r="AD82"/>
      <c r="AE82"/>
      <c r="AF82"/>
      <c r="AG82"/>
      <c r="AH82"/>
      <c r="AI82"/>
      <c r="AJ82"/>
      <c r="AK82"/>
      <c r="AL82"/>
    </row>
    <row r="83" spans="1:38" ht="15" customHeight="1" x14ac:dyDescent="0.15">
      <c r="A83" s="203" t="s">
        <v>270</v>
      </c>
      <c r="B83" s="113">
        <v>0</v>
      </c>
      <c r="C83"/>
      <c r="D83"/>
      <c r="E83"/>
      <c r="F83"/>
      <c r="G83"/>
      <c r="H83"/>
      <c r="I83"/>
      <c r="J83"/>
      <c r="K83"/>
      <c r="L83"/>
      <c r="M83"/>
      <c r="N83"/>
      <c r="O83"/>
      <c r="P83"/>
      <c r="Q83"/>
      <c r="R83"/>
      <c r="S83"/>
      <c r="T83"/>
      <c r="U83"/>
      <c r="V83"/>
      <c r="W83"/>
      <c r="X83"/>
      <c r="Y83"/>
      <c r="Z83"/>
      <c r="AA83"/>
      <c r="AB83"/>
      <c r="AC83"/>
      <c r="AD83"/>
      <c r="AE83"/>
      <c r="AF83"/>
      <c r="AG83"/>
      <c r="AH83"/>
      <c r="AI83"/>
      <c r="AJ83"/>
      <c r="AK83"/>
      <c r="AL83"/>
    </row>
    <row r="84" spans="1:38" ht="15" customHeight="1" x14ac:dyDescent="0.15">
      <c r="A84" s="203" t="s">
        <v>271</v>
      </c>
      <c r="B84" s="113">
        <v>0</v>
      </c>
      <c r="C84"/>
      <c r="D84"/>
      <c r="E84"/>
      <c r="F84"/>
      <c r="G84"/>
      <c r="H84"/>
      <c r="I84"/>
      <c r="J84"/>
      <c r="K84"/>
      <c r="L84"/>
      <c r="M84"/>
      <c r="N84"/>
      <c r="O84"/>
      <c r="P84"/>
      <c r="Q84"/>
      <c r="R84"/>
      <c r="S84"/>
      <c r="T84"/>
      <c r="U84"/>
      <c r="V84"/>
      <c r="W84"/>
      <c r="X84"/>
      <c r="Y84"/>
      <c r="Z84"/>
      <c r="AA84"/>
      <c r="AB84"/>
      <c r="AC84"/>
      <c r="AD84"/>
      <c r="AE84"/>
      <c r="AF84"/>
      <c r="AG84"/>
      <c r="AH84"/>
      <c r="AI84"/>
      <c r="AJ84"/>
      <c r="AK84"/>
      <c r="AL84"/>
    </row>
    <row r="85" spans="1:38" ht="15" customHeight="1" x14ac:dyDescent="0.15">
      <c r="A85" s="203" t="s">
        <v>272</v>
      </c>
      <c r="B85" s="113">
        <v>0</v>
      </c>
      <c r="C85"/>
      <c r="D85"/>
      <c r="E85"/>
      <c r="F85"/>
      <c r="G85"/>
      <c r="H85"/>
      <c r="I85"/>
      <c r="J85"/>
      <c r="K85"/>
      <c r="L85"/>
      <c r="M85"/>
      <c r="N85"/>
      <c r="O85"/>
      <c r="P85"/>
      <c r="Q85"/>
      <c r="R85"/>
      <c r="S85"/>
      <c r="T85"/>
      <c r="U85"/>
      <c r="V85"/>
      <c r="W85"/>
      <c r="X85"/>
      <c r="Y85"/>
      <c r="Z85"/>
      <c r="AA85"/>
      <c r="AB85"/>
      <c r="AC85"/>
      <c r="AD85"/>
      <c r="AE85"/>
      <c r="AF85"/>
      <c r="AG85"/>
      <c r="AH85"/>
      <c r="AI85"/>
      <c r="AJ85"/>
      <c r="AK85"/>
      <c r="AL85"/>
    </row>
    <row r="86" spans="1:38" ht="15" customHeight="1" x14ac:dyDescent="0.15">
      <c r="A86" s="203" t="s">
        <v>273</v>
      </c>
      <c r="B86" s="113">
        <v>0</v>
      </c>
      <c r="C86"/>
      <c r="D86"/>
      <c r="E86"/>
      <c r="F86"/>
      <c r="G86"/>
      <c r="H86"/>
      <c r="I86"/>
      <c r="J86"/>
      <c r="K86"/>
      <c r="L86"/>
      <c r="M86"/>
      <c r="N86"/>
      <c r="O86"/>
      <c r="P86"/>
      <c r="Q86"/>
      <c r="R86"/>
      <c r="S86"/>
      <c r="T86"/>
      <c r="U86"/>
      <c r="V86"/>
      <c r="W86"/>
      <c r="X86"/>
      <c r="Y86"/>
      <c r="Z86"/>
      <c r="AA86"/>
      <c r="AB86"/>
      <c r="AC86"/>
      <c r="AD86"/>
      <c r="AE86"/>
      <c r="AF86"/>
      <c r="AG86"/>
      <c r="AH86"/>
      <c r="AI86"/>
      <c r="AJ86"/>
      <c r="AK86"/>
      <c r="AL86"/>
    </row>
    <row r="87" spans="1:38" ht="15" customHeight="1" x14ac:dyDescent="0.15">
      <c r="A87" s="203" t="s">
        <v>274</v>
      </c>
      <c r="B87" s="113">
        <v>0</v>
      </c>
      <c r="C87"/>
      <c r="D87"/>
      <c r="E87"/>
      <c r="F87"/>
      <c r="G87"/>
      <c r="H87"/>
      <c r="I87"/>
      <c r="J87"/>
      <c r="K87"/>
      <c r="L87"/>
      <c r="M87"/>
      <c r="N87"/>
      <c r="O87"/>
      <c r="P87"/>
      <c r="Q87"/>
      <c r="R87"/>
      <c r="S87"/>
      <c r="T87"/>
      <c r="U87"/>
      <c r="V87"/>
      <c r="W87"/>
      <c r="X87"/>
      <c r="Y87"/>
      <c r="Z87"/>
      <c r="AA87"/>
      <c r="AB87"/>
      <c r="AC87"/>
      <c r="AD87"/>
      <c r="AE87"/>
      <c r="AF87"/>
      <c r="AG87"/>
      <c r="AH87"/>
      <c r="AI87"/>
      <c r="AJ87"/>
      <c r="AK87"/>
      <c r="AL87"/>
    </row>
    <row r="88" spans="1:38" ht="15" customHeight="1" x14ac:dyDescent="0.15">
      <c r="A88" s="203" t="s">
        <v>275</v>
      </c>
      <c r="B88" s="113">
        <v>0</v>
      </c>
      <c r="C88"/>
      <c r="D88"/>
      <c r="E88"/>
      <c r="F88"/>
      <c r="G88"/>
      <c r="H88"/>
      <c r="I88"/>
      <c r="J88"/>
      <c r="K88"/>
      <c r="L88"/>
      <c r="M88"/>
      <c r="N88"/>
      <c r="O88"/>
      <c r="P88"/>
      <c r="Q88"/>
      <c r="R88"/>
      <c r="S88"/>
      <c r="T88"/>
      <c r="U88"/>
      <c r="V88"/>
      <c r="W88"/>
      <c r="X88"/>
      <c r="Y88"/>
      <c r="Z88"/>
      <c r="AA88"/>
      <c r="AB88"/>
      <c r="AC88"/>
      <c r="AD88"/>
      <c r="AE88"/>
      <c r="AF88"/>
      <c r="AG88"/>
      <c r="AH88"/>
      <c r="AI88"/>
      <c r="AJ88"/>
      <c r="AK88"/>
      <c r="AL88"/>
    </row>
    <row r="89" spans="1:38" ht="15" customHeight="1" x14ac:dyDescent="0.15">
      <c r="A89" s="203" t="s">
        <v>276</v>
      </c>
      <c r="B89" s="113">
        <v>0</v>
      </c>
      <c r="C89"/>
      <c r="D89"/>
      <c r="E89"/>
      <c r="F89"/>
      <c r="G89"/>
      <c r="H89"/>
      <c r="I89"/>
      <c r="J89"/>
      <c r="K89"/>
      <c r="L89"/>
      <c r="M89"/>
      <c r="N89"/>
      <c r="O89"/>
      <c r="P89"/>
      <c r="Q89"/>
      <c r="R89"/>
      <c r="S89"/>
      <c r="T89"/>
      <c r="U89"/>
      <c r="V89"/>
      <c r="W89"/>
      <c r="X89"/>
      <c r="Y89"/>
      <c r="Z89"/>
      <c r="AA89"/>
      <c r="AB89"/>
      <c r="AC89"/>
      <c r="AD89"/>
      <c r="AE89"/>
      <c r="AF89"/>
      <c r="AG89"/>
      <c r="AH89"/>
      <c r="AI89"/>
      <c r="AJ89"/>
      <c r="AK89"/>
      <c r="AL89"/>
    </row>
    <row r="90" spans="1:38" ht="15" customHeight="1" x14ac:dyDescent="0.15">
      <c r="A90" s="203" t="s">
        <v>277</v>
      </c>
      <c r="B90" s="113">
        <v>0</v>
      </c>
      <c r="C90"/>
      <c r="D90"/>
      <c r="E90"/>
      <c r="F90"/>
      <c r="G90"/>
      <c r="H90"/>
      <c r="I90"/>
      <c r="J90"/>
      <c r="K90"/>
      <c r="L90"/>
      <c r="M90"/>
      <c r="N90"/>
      <c r="O90"/>
      <c r="P90"/>
      <c r="Q90"/>
      <c r="R90"/>
      <c r="S90"/>
      <c r="T90"/>
      <c r="U90"/>
      <c r="V90"/>
      <c r="W90"/>
      <c r="X90"/>
      <c r="Y90"/>
      <c r="Z90"/>
      <c r="AA90"/>
      <c r="AB90"/>
      <c r="AC90"/>
      <c r="AD90"/>
      <c r="AE90"/>
      <c r="AF90"/>
      <c r="AG90"/>
      <c r="AH90"/>
      <c r="AI90"/>
      <c r="AJ90"/>
      <c r="AK90"/>
      <c r="AL90"/>
    </row>
    <row r="91" spans="1:38" ht="15" customHeight="1" x14ac:dyDescent="0.15">
      <c r="A91" s="203" t="s">
        <v>278</v>
      </c>
      <c r="B91" s="113">
        <v>0</v>
      </c>
      <c r="C91"/>
      <c r="D91"/>
      <c r="E91"/>
      <c r="F91"/>
      <c r="G91"/>
      <c r="H91"/>
      <c r="I91"/>
      <c r="J91"/>
      <c r="K91"/>
      <c r="L91"/>
      <c r="M91"/>
      <c r="N91"/>
      <c r="O91"/>
      <c r="P91"/>
      <c r="Q91"/>
      <c r="R91"/>
      <c r="S91"/>
      <c r="T91"/>
      <c r="U91"/>
      <c r="V91"/>
      <c r="W91"/>
      <c r="X91"/>
      <c r="Y91"/>
      <c r="Z91"/>
      <c r="AA91"/>
      <c r="AB91"/>
      <c r="AC91"/>
      <c r="AD91"/>
      <c r="AE91"/>
      <c r="AF91"/>
      <c r="AG91"/>
      <c r="AH91"/>
      <c r="AI91"/>
      <c r="AJ91"/>
      <c r="AK91"/>
      <c r="AL91"/>
    </row>
    <row r="92" spans="1:38" ht="15" customHeight="1" x14ac:dyDescent="0.15">
      <c r="A92" s="203" t="s">
        <v>279</v>
      </c>
      <c r="B92" s="113">
        <v>0</v>
      </c>
      <c r="C92"/>
      <c r="D92"/>
      <c r="E92"/>
      <c r="F92"/>
      <c r="G92"/>
      <c r="H92"/>
      <c r="I92"/>
      <c r="J92"/>
      <c r="K92"/>
      <c r="L92"/>
      <c r="M92"/>
      <c r="N92"/>
      <c r="O92"/>
      <c r="P92"/>
      <c r="Q92"/>
      <c r="R92"/>
      <c r="S92"/>
      <c r="T92"/>
      <c r="U92"/>
      <c r="V92"/>
      <c r="W92"/>
      <c r="X92"/>
      <c r="Y92"/>
      <c r="Z92"/>
      <c r="AA92"/>
      <c r="AB92"/>
      <c r="AC92"/>
      <c r="AD92"/>
      <c r="AE92"/>
      <c r="AF92"/>
      <c r="AG92"/>
      <c r="AH92"/>
      <c r="AI92"/>
      <c r="AJ92"/>
      <c r="AK92"/>
      <c r="AL92"/>
    </row>
    <row r="93" spans="1:38" ht="15" customHeight="1" x14ac:dyDescent="0.15">
      <c r="A93" s="203" t="s">
        <v>280</v>
      </c>
      <c r="B93" s="113">
        <v>0</v>
      </c>
      <c r="C93"/>
      <c r="D93"/>
      <c r="E93"/>
      <c r="F93"/>
      <c r="G93"/>
      <c r="H93"/>
      <c r="I93"/>
      <c r="J93"/>
      <c r="K93"/>
      <c r="L93"/>
      <c r="M93"/>
      <c r="N93"/>
      <c r="O93"/>
      <c r="P93"/>
      <c r="Q93"/>
      <c r="R93"/>
      <c r="S93"/>
      <c r="T93"/>
      <c r="U93"/>
      <c r="V93"/>
      <c r="W93"/>
      <c r="X93"/>
      <c r="Y93"/>
      <c r="Z93"/>
      <c r="AA93"/>
      <c r="AB93"/>
      <c r="AC93"/>
      <c r="AD93"/>
      <c r="AE93"/>
      <c r="AF93"/>
      <c r="AG93"/>
      <c r="AH93"/>
      <c r="AI93"/>
      <c r="AJ93"/>
      <c r="AK93"/>
      <c r="AL93"/>
    </row>
    <row r="94" spans="1:38" ht="15" customHeight="1" x14ac:dyDescent="0.15">
      <c r="A94" s="203" t="s">
        <v>281</v>
      </c>
      <c r="B94" s="113">
        <v>0</v>
      </c>
      <c r="C94"/>
      <c r="D94"/>
      <c r="E94"/>
      <c r="F94"/>
      <c r="G94"/>
      <c r="H94"/>
      <c r="I94"/>
      <c r="J94"/>
      <c r="K94"/>
      <c r="L94"/>
      <c r="M94"/>
      <c r="N94"/>
      <c r="O94"/>
      <c r="P94"/>
      <c r="Q94"/>
      <c r="R94"/>
      <c r="S94"/>
      <c r="T94"/>
      <c r="U94"/>
      <c r="V94"/>
      <c r="W94"/>
      <c r="X94"/>
      <c r="Y94"/>
      <c r="Z94"/>
      <c r="AA94"/>
      <c r="AB94"/>
      <c r="AC94"/>
      <c r="AD94"/>
      <c r="AE94"/>
      <c r="AF94"/>
      <c r="AG94"/>
      <c r="AH94"/>
      <c r="AI94"/>
      <c r="AJ94"/>
      <c r="AK94"/>
      <c r="AL94"/>
    </row>
    <row r="95" spans="1:38" ht="15" customHeight="1" x14ac:dyDescent="0.15">
      <c r="A95" s="203" t="s">
        <v>282</v>
      </c>
      <c r="B95" s="113">
        <v>0</v>
      </c>
      <c r="C95"/>
      <c r="D95"/>
      <c r="E95"/>
      <c r="F95"/>
      <c r="G95"/>
      <c r="H95"/>
      <c r="I95"/>
      <c r="J95"/>
      <c r="K95"/>
      <c r="L95"/>
      <c r="M95"/>
      <c r="N95"/>
      <c r="O95"/>
      <c r="P95"/>
      <c r="Q95"/>
      <c r="R95"/>
      <c r="S95"/>
      <c r="T95"/>
      <c r="U95"/>
      <c r="V95"/>
      <c r="W95"/>
      <c r="X95"/>
      <c r="Y95"/>
      <c r="Z95"/>
      <c r="AA95"/>
      <c r="AB95"/>
      <c r="AC95"/>
      <c r="AD95"/>
      <c r="AE95"/>
      <c r="AF95"/>
      <c r="AG95"/>
      <c r="AH95"/>
      <c r="AI95"/>
      <c r="AJ95"/>
      <c r="AK95"/>
      <c r="AL95"/>
    </row>
    <row r="96" spans="1:38" ht="15" customHeight="1" x14ac:dyDescent="0.15">
      <c r="A96" s="203" t="s">
        <v>283</v>
      </c>
      <c r="B96" s="113">
        <v>0</v>
      </c>
      <c r="C96"/>
      <c r="D96"/>
      <c r="E96"/>
      <c r="F96"/>
      <c r="G96"/>
      <c r="H96"/>
      <c r="I96"/>
      <c r="J96"/>
      <c r="K96"/>
      <c r="L96"/>
      <c r="M96"/>
      <c r="N96"/>
      <c r="O96"/>
      <c r="P96"/>
      <c r="Q96"/>
      <c r="R96"/>
      <c r="S96"/>
      <c r="T96"/>
      <c r="U96"/>
      <c r="V96"/>
      <c r="W96"/>
      <c r="X96"/>
      <c r="Y96"/>
      <c r="Z96"/>
      <c r="AA96"/>
      <c r="AB96"/>
      <c r="AC96"/>
      <c r="AD96"/>
      <c r="AE96"/>
      <c r="AF96"/>
      <c r="AG96"/>
      <c r="AH96"/>
      <c r="AI96"/>
      <c r="AJ96"/>
      <c r="AK96"/>
      <c r="AL96"/>
    </row>
    <row r="97" spans="1:38" ht="15" customHeight="1" x14ac:dyDescent="0.15">
      <c r="A97" s="203" t="s">
        <v>284</v>
      </c>
      <c r="B97" s="113">
        <v>0</v>
      </c>
      <c r="C97"/>
      <c r="D97"/>
      <c r="E97"/>
      <c r="F97"/>
      <c r="G97"/>
      <c r="H97"/>
      <c r="I97"/>
      <c r="J97"/>
      <c r="K97"/>
      <c r="L97"/>
      <c r="M97"/>
      <c r="N97"/>
      <c r="O97"/>
      <c r="P97"/>
      <c r="Q97"/>
      <c r="R97"/>
      <c r="S97"/>
      <c r="T97"/>
      <c r="U97"/>
      <c r="V97"/>
      <c r="W97"/>
      <c r="X97"/>
      <c r="Y97"/>
      <c r="Z97"/>
      <c r="AA97"/>
      <c r="AB97"/>
      <c r="AC97"/>
      <c r="AD97"/>
      <c r="AE97"/>
      <c r="AF97"/>
      <c r="AG97"/>
      <c r="AH97"/>
      <c r="AI97"/>
      <c r="AJ97"/>
      <c r="AK97"/>
      <c r="AL97"/>
    </row>
    <row r="98" spans="1:38" ht="15" customHeight="1" x14ac:dyDescent="0.15">
      <c r="A98" s="203" t="s">
        <v>285</v>
      </c>
      <c r="B98" s="113">
        <v>0</v>
      </c>
      <c r="C98"/>
      <c r="D98"/>
      <c r="E98"/>
      <c r="F98"/>
      <c r="G98"/>
      <c r="H98"/>
      <c r="I98"/>
      <c r="J98"/>
      <c r="K98"/>
      <c r="L98"/>
      <c r="M98"/>
      <c r="N98"/>
      <c r="O98"/>
      <c r="P98"/>
      <c r="Q98"/>
      <c r="R98"/>
      <c r="S98"/>
      <c r="T98"/>
      <c r="U98"/>
      <c r="V98"/>
      <c r="W98"/>
      <c r="X98"/>
      <c r="Y98"/>
      <c r="Z98"/>
      <c r="AA98"/>
      <c r="AB98"/>
      <c r="AC98"/>
      <c r="AD98"/>
      <c r="AE98"/>
      <c r="AF98"/>
      <c r="AG98"/>
      <c r="AH98"/>
      <c r="AI98"/>
      <c r="AJ98"/>
      <c r="AK98"/>
      <c r="AL98"/>
    </row>
    <row r="99" spans="1:38" ht="15" customHeight="1" x14ac:dyDescent="0.15">
      <c r="A99" s="203" t="s">
        <v>286</v>
      </c>
      <c r="B99" s="113">
        <v>0</v>
      </c>
      <c r="C99"/>
      <c r="D99"/>
      <c r="E99"/>
      <c r="F99"/>
      <c r="G99"/>
      <c r="H99"/>
      <c r="I99"/>
      <c r="J99"/>
      <c r="K99"/>
      <c r="L99"/>
      <c r="M99"/>
      <c r="N99"/>
      <c r="O99"/>
      <c r="P99"/>
      <c r="Q99"/>
      <c r="R99"/>
      <c r="S99"/>
      <c r="T99"/>
      <c r="U99"/>
      <c r="V99"/>
      <c r="W99"/>
      <c r="X99"/>
      <c r="Y99"/>
      <c r="Z99"/>
      <c r="AA99"/>
      <c r="AB99"/>
      <c r="AC99"/>
      <c r="AD99"/>
      <c r="AE99"/>
      <c r="AF99"/>
      <c r="AG99"/>
      <c r="AH99"/>
      <c r="AI99"/>
      <c r="AJ99"/>
      <c r="AK99"/>
      <c r="AL99"/>
    </row>
    <row r="100" spans="1:38" ht="15" customHeight="1" x14ac:dyDescent="0.15">
      <c r="A100" s="203" t="s">
        <v>287</v>
      </c>
      <c r="B100" s="113">
        <v>0</v>
      </c>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row>
    <row r="101" spans="1:38" ht="15" customHeight="1" x14ac:dyDescent="0.15">
      <c r="A101" s="203" t="s">
        <v>288</v>
      </c>
      <c r="B101" s="113">
        <v>0</v>
      </c>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row>
    <row r="102" spans="1:38" ht="15" customHeight="1" x14ac:dyDescent="0.15">
      <c r="A102" s="203" t="s">
        <v>289</v>
      </c>
      <c r="B102" s="113">
        <v>0</v>
      </c>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row>
    <row r="103" spans="1:38" ht="15" customHeight="1" x14ac:dyDescent="0.15">
      <c r="A103" s="203" t="s">
        <v>290</v>
      </c>
      <c r="B103" s="113">
        <v>0</v>
      </c>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row>
    <row r="104" spans="1:38" ht="15" customHeight="1" x14ac:dyDescent="0.15">
      <c r="A104" s="203" t="s">
        <v>291</v>
      </c>
      <c r="B104" s="113">
        <v>0</v>
      </c>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row>
    <row r="105" spans="1:38" ht="15" customHeight="1" x14ac:dyDescent="0.15">
      <c r="A105" s="203" t="s">
        <v>292</v>
      </c>
      <c r="B105" s="113">
        <v>0</v>
      </c>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row>
    <row r="106" spans="1:38" ht="15" customHeight="1" x14ac:dyDescent="0.15">
      <c r="A106" s="203" t="s">
        <v>293</v>
      </c>
      <c r="B106" s="113">
        <v>0</v>
      </c>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row>
    <row r="107" spans="1:38" ht="15" customHeight="1" x14ac:dyDescent="0.15">
      <c r="A107" s="203" t="s">
        <v>294</v>
      </c>
      <c r="B107" s="113">
        <v>0</v>
      </c>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row>
    <row r="108" spans="1:38" ht="15" customHeight="1" x14ac:dyDescent="0.15">
      <c r="A108" s="203" t="s">
        <v>295</v>
      </c>
      <c r="B108" s="113">
        <v>0</v>
      </c>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row>
    <row r="109" spans="1:38" ht="15" customHeight="1" x14ac:dyDescent="0.15">
      <c r="A109" s="203" t="s">
        <v>296</v>
      </c>
      <c r="B109" s="113">
        <v>0</v>
      </c>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row>
    <row r="110" spans="1:38" ht="15" customHeight="1" x14ac:dyDescent="0.15">
      <c r="A110" s="203" t="s">
        <v>297</v>
      </c>
      <c r="B110" s="113">
        <v>0</v>
      </c>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row>
    <row r="111" spans="1:38" ht="15" customHeight="1" x14ac:dyDescent="0.15">
      <c r="A111" s="203" t="s">
        <v>298</v>
      </c>
      <c r="B111" s="113">
        <v>0</v>
      </c>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row>
    <row r="112" spans="1:38" ht="15" customHeight="1" x14ac:dyDescent="0.1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row>
    <row r="113" spans="2:38" ht="15" customHeight="1" x14ac:dyDescent="0.1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row>
    <row r="114" spans="2:38" ht="15" customHeight="1" x14ac:dyDescent="0.1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row>
    <row r="115" spans="2:38" ht="15" customHeight="1" x14ac:dyDescent="0.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row>
    <row r="116" spans="2:38" ht="15" customHeight="1" x14ac:dyDescent="0.1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row>
    <row r="117" spans="2:38" ht="15" customHeight="1" x14ac:dyDescent="0.1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row>
    <row r="118" spans="2:38" ht="15" customHeight="1" x14ac:dyDescent="0.1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row>
    <row r="119" spans="2:38" ht="15" customHeight="1" x14ac:dyDescent="0.1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row>
    <row r="120" spans="2:38" ht="15" customHeight="1" x14ac:dyDescent="0.1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row>
    <row r="121" spans="2:38" ht="15" customHeight="1" x14ac:dyDescent="0.1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row>
    <row r="122" spans="2:38" ht="15" customHeight="1" x14ac:dyDescent="0.1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row>
    <row r="123" spans="2:38" ht="15" customHeight="1" x14ac:dyDescent="0.1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row>
    <row r="124" spans="2:38" ht="15" customHeight="1" x14ac:dyDescent="0.1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row>
    <row r="125" spans="2:38" ht="15" customHeight="1" x14ac:dyDescent="0.1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row>
    <row r="126" spans="2:38" ht="15" customHeight="1" x14ac:dyDescent="0.1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row>
    <row r="127" spans="2:38" ht="15" customHeight="1" x14ac:dyDescent="0.1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row>
    <row r="128" spans="2:38" ht="15" customHeight="1" x14ac:dyDescent="0.1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row>
    <row r="129" spans="2:38" ht="15" customHeight="1" x14ac:dyDescent="0.1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row>
    <row r="130" spans="2:38" ht="15" customHeight="1" x14ac:dyDescent="0.1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row>
    <row r="131" spans="2:38" ht="15" customHeight="1" x14ac:dyDescent="0.1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row>
    <row r="132" spans="2:38" ht="15" customHeight="1" x14ac:dyDescent="0.1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row>
    <row r="133" spans="2:38" ht="15" customHeight="1" x14ac:dyDescent="0.1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row>
    <row r="134" spans="2:38" ht="15" customHeight="1" x14ac:dyDescent="0.1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row>
    <row r="135" spans="2:38" ht="15" customHeight="1" x14ac:dyDescent="0.1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row>
    <row r="136" spans="2:38" ht="15" customHeight="1" x14ac:dyDescent="0.1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row>
    <row r="137" spans="2:38" ht="15" customHeight="1" x14ac:dyDescent="0.1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row>
    <row r="138" spans="2:38" ht="15" customHeight="1" x14ac:dyDescent="0.1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row>
    <row r="139" spans="2:38" ht="15" customHeight="1" x14ac:dyDescent="0.1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row>
    <row r="140" spans="2:38" ht="15" customHeight="1" x14ac:dyDescent="0.1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row>
    <row r="141" spans="2:38" ht="15" customHeight="1" x14ac:dyDescent="0.1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row>
    <row r="142" spans="2:38" ht="15" customHeight="1" x14ac:dyDescent="0.1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row>
    <row r="143" spans="2:38" ht="15" customHeight="1" x14ac:dyDescent="0.1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row>
    <row r="144" spans="2:38" ht="15" customHeight="1" x14ac:dyDescent="0.1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row>
    <row r="145" spans="2:38" ht="15" customHeight="1" x14ac:dyDescent="0.1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row>
    <row r="146" spans="2:38" ht="15" customHeight="1" x14ac:dyDescent="0.1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row>
    <row r="147" spans="2:38" ht="15" customHeight="1" x14ac:dyDescent="0.1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row>
    <row r="148" spans="2:38" ht="15" customHeight="1" x14ac:dyDescent="0.1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row>
    <row r="149" spans="2:38" ht="15" customHeight="1" x14ac:dyDescent="0.1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row>
    <row r="150" spans="2:38" ht="15" customHeight="1" x14ac:dyDescent="0.1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row>
    <row r="151" spans="2:38" ht="15" customHeight="1" x14ac:dyDescent="0.1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row>
    <row r="152" spans="2:38" ht="15" customHeight="1" x14ac:dyDescent="0.1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row>
    <row r="153" spans="2:38" ht="15" customHeight="1" x14ac:dyDescent="0.1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row>
    <row r="154" spans="2:38" ht="15" customHeight="1" x14ac:dyDescent="0.1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row>
    <row r="155" spans="2:38" ht="15" customHeight="1" x14ac:dyDescent="0.1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row>
    <row r="156" spans="2:38" ht="15" customHeight="1" x14ac:dyDescent="0.1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row>
    <row r="157" spans="2:38" ht="15" customHeight="1" x14ac:dyDescent="0.1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row>
    <row r="158" spans="2:38" ht="15" customHeight="1" x14ac:dyDescent="0.1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row>
    <row r="159" spans="2:38" ht="15" customHeight="1" x14ac:dyDescent="0.1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row>
    <row r="160" spans="2:38" ht="15" customHeight="1" x14ac:dyDescent="0.1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row>
    <row r="161" spans="2:38" ht="15" customHeight="1" x14ac:dyDescent="0.1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row>
    <row r="162" spans="2:38" ht="15" customHeight="1" x14ac:dyDescent="0.1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row>
    <row r="163" spans="2:38" ht="15" customHeight="1" x14ac:dyDescent="0.1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row>
    <row r="164" spans="2:38" ht="15" customHeight="1" x14ac:dyDescent="0.1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row>
    <row r="165" spans="2:38" ht="15" customHeight="1" x14ac:dyDescent="0.1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row>
    <row r="166" spans="2:38" ht="15" customHeight="1" x14ac:dyDescent="0.1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row>
    <row r="167" spans="2:38" ht="15" customHeight="1" x14ac:dyDescent="0.1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row>
    <row r="168" spans="2:38" ht="15" customHeight="1" x14ac:dyDescent="0.1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row>
    <row r="169" spans="2:38" ht="15" customHeight="1" x14ac:dyDescent="0.1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row>
    <row r="170" spans="2:38" ht="15" customHeight="1" x14ac:dyDescent="0.1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row>
    <row r="171" spans="2:38" ht="15" customHeight="1" x14ac:dyDescent="0.1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row>
    <row r="172" spans="2:38" ht="15" customHeight="1" x14ac:dyDescent="0.1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row>
    <row r="173" spans="2:38" ht="15" customHeight="1" x14ac:dyDescent="0.1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row>
    <row r="174" spans="2:38" ht="15" customHeight="1" x14ac:dyDescent="0.1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row>
    <row r="175" spans="2:38" ht="15" customHeight="1" x14ac:dyDescent="0.1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row>
    <row r="176" spans="2:38" ht="15" customHeight="1" x14ac:dyDescent="0.1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row>
    <row r="177" spans="2:38" ht="15" customHeight="1" x14ac:dyDescent="0.1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row>
    <row r="178" spans="2:38" ht="15" customHeight="1" x14ac:dyDescent="0.1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row>
    <row r="179" spans="2:38" ht="15" customHeight="1" x14ac:dyDescent="0.1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row>
    <row r="180" spans="2:38" ht="15" customHeight="1" x14ac:dyDescent="0.1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row>
    <row r="181" spans="2:38" ht="15" customHeight="1" x14ac:dyDescent="0.1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row>
    <row r="182" spans="2:38" ht="15" customHeight="1" x14ac:dyDescent="0.1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row>
    <row r="183" spans="2:38" ht="15" customHeight="1" x14ac:dyDescent="0.1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row>
    <row r="184" spans="2:38" ht="15" customHeight="1" x14ac:dyDescent="0.1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row>
    <row r="185" spans="2:38" ht="15" customHeight="1" x14ac:dyDescent="0.1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row>
    <row r="186" spans="2:38" ht="15" customHeight="1" x14ac:dyDescent="0.1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row>
    <row r="187" spans="2:38" ht="15" customHeight="1" x14ac:dyDescent="0.1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row>
    <row r="188" spans="2:38" ht="15" customHeight="1" x14ac:dyDescent="0.1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row>
    <row r="192" spans="2:38" ht="15" customHeight="1" x14ac:dyDescent="0.1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20</vt:i4>
      </vt:variant>
    </vt:vector>
  </HeadingPairs>
  <TitlesOfParts>
    <vt:vector size="36" baseType="lpstr">
      <vt:lpstr>READ ME</vt:lpstr>
      <vt:lpstr>Main</vt:lpstr>
      <vt:lpstr>Diets</vt:lpstr>
      <vt:lpstr>Detritus</vt:lpstr>
      <vt:lpstr>Fishing</vt:lpstr>
      <vt:lpstr>Discards</vt:lpstr>
      <vt:lpstr>pedigree_Parameters</vt:lpstr>
      <vt:lpstr>pedigree_Diet</vt:lpstr>
      <vt:lpstr>pedigree_DietPrefRules</vt:lpstr>
      <vt:lpstr>pedigree_Landings</vt:lpstr>
      <vt:lpstr>pedigree_Discards</vt:lpstr>
      <vt:lpstr>MainOutputs</vt:lpstr>
      <vt:lpstr>Mortalities</vt:lpstr>
      <vt:lpstr>EcotranType</vt:lpstr>
      <vt:lpstr>EcotranRecycling</vt:lpstr>
      <vt:lpstr>FunctionalResponse</vt:lpstr>
      <vt:lpstr>cornerBasic</vt:lpstr>
      <vt:lpstr>cornerBasicOut</vt:lpstr>
      <vt:lpstr>cornerDetritus</vt:lpstr>
      <vt:lpstr>cornerDiets</vt:lpstr>
      <vt:lpstr>cornerDiscards</vt:lpstr>
      <vt:lpstr>cornerFishing</vt:lpstr>
      <vt:lpstr>cornerMort</vt:lpstr>
      <vt:lpstr>FishingLinks</vt:lpstr>
      <vt:lpstr>matBasic</vt:lpstr>
      <vt:lpstr>matDetritus</vt:lpstr>
      <vt:lpstr>matDiet</vt:lpstr>
      <vt:lpstr>matDiscards</vt:lpstr>
      <vt:lpstr>matFishery</vt:lpstr>
      <vt:lpstr>matMort</vt:lpstr>
      <vt:lpstr>matOut</vt:lpstr>
      <vt:lpstr>NumDead</vt:lpstr>
      <vt:lpstr>NumGears</vt:lpstr>
      <vt:lpstr>NumLiving</vt:lpstr>
      <vt:lpstr>PredPreyLinks</vt:lpstr>
      <vt:lpstr>vecBB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Microsoft Office User</cp:lastModifiedBy>
  <cp:lastPrinted>2003-08-05T17:15:48Z</cp:lastPrinted>
  <dcterms:created xsi:type="dcterms:W3CDTF">1996-10-14T23:33:28Z</dcterms:created>
  <dcterms:modified xsi:type="dcterms:W3CDTF">2022-10-25T04:19:04Z</dcterms:modified>
</cp:coreProperties>
</file>