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2_ECOTRAN_versions/ECOTRAN_OtherRegions/OtherRegions_ECOTRAN_K-path_versions/"/>
    </mc:Choice>
  </mc:AlternateContent>
  <xr:revisionPtr revIDLastSave="0" documentId="13_ncr:1_{2B1593AA-4031-CE46-A620-A714C30F20F9}" xr6:coauthVersionLast="45" xr6:coauthVersionMax="45" xr10:uidLastSave="{00000000-0000-0000-0000-000000000000}"/>
  <bookViews>
    <workbookView xWindow="0" yWindow="460" windowWidth="25600" windowHeight="14240" tabRatio="728" firstSheet="8" activeTab="14"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Main!$C$2:$N$95</definedName>
    <definedName name="matDetritus">Detritus!$C$2:$J$95</definedName>
    <definedName name="matDiet">Diets!$B$2:$BV$82</definedName>
    <definedName name="matDiscards">Discards!$C$2:$P$81</definedName>
    <definedName name="matFishery">Fishing!$C$2:$P$81</definedName>
    <definedName name="matFishing">Fishing!#REF!</definedName>
    <definedName name="matMort">Mortalities!$A$1:$CS$81</definedName>
    <definedName name="matOut">MainOutputs!$A$2:$I$95</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3" i="86" l="1"/>
  <c r="D43" i="86"/>
  <c r="K3" i="1" l="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2" i="1"/>
  <c r="B10" i="87"/>
  <c r="B8" i="75"/>
  <c r="B7" i="75"/>
  <c r="X6" i="75"/>
</calcChain>
</file>

<file path=xl/sharedStrings.xml><?xml version="1.0" encoding="utf-8"?>
<sst xmlns="http://schemas.openxmlformats.org/spreadsheetml/2006/main" count="2178" uniqueCount="304">
  <si>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</si>
  <si>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</si>
  <si>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</si>
  <si>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</si>
  <si>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</si>
  <si>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</si>
  <si>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</si>
  <si>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</si>
  <si>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</si>
  <si>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</si>
  <si>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</si>
  <si>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</si>
  <si>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</si>
  <si>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</si>
  <si>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</si>
  <si>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</si>
  <si>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</si>
  <si>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</si>
  <si>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</si>
  <si>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</si>
  <si>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</si>
  <si>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</si>
  <si>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</si>
  <si>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</si>
  <si>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</si>
  <si>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</si>
  <si>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</si>
  <si>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</si>
  <si>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</si>
  <si>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</si>
  <si>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</si>
  <si>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</si>
  <si>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</si>
  <si>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</si>
  <si>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</si>
  <si>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</si>
  <si>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</si>
  <si>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</si>
  <si>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</si>
  <si>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</si>
  <si>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</si>
  <si>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</si>
  <si>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</si>
  <si>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</si>
  <si>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</si>
  <si>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</si>
  <si>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</si>
  <si>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</si>
  <si>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</si>
  <si>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</si>
  <si>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</si>
  <si>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</si>
  <si>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</si>
  <si>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</si>
  <si>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</si>
  <si>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</si>
  <si>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</si>
  <si>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</si>
  <si>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</si>
  <si>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</si>
  <si>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</si>
  <si>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</si>
  <si>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</si>
  <si>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</si>
  <si>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</si>
  <si>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</si>
  <si>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</si>
  <si>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</si>
  <si>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</si>
  <si>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</si>
  <si>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</si>
  <si>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</si>
  <si>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</si>
  <si>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</si>
  <si>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</si>
  <si>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</si>
  <si>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</si>
  <si>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</si>
  <si>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</si>
  <si>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</si>
  <si>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</si>
  <si>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</si>
  <si>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</si>
  <si>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</si>
  <si>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</si>
  <si>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</si>
  <si>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</si>
  <si>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</si>
  <si>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</si>
  <si>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</si>
  <si>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</si>
  <si>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</si>
  <si>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</si>
  <si>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</si>
  <si>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</si>
  <si>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</si>
  <si>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</si>
  <si>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</si>
  <si>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</si>
  <si>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</si>
  <si>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</si>
  <si>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</si>
  <si>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</si>
  <si>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</si>
  <si>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</si>
  <si>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</si>
  <si>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</si>
  <si>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</si>
  <si>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</si>
  <si>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</si>
  <si>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</si>
  <si>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</si>
  <si>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</si>
  <si>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</si>
  <si>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</si>
  <si>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</si>
  <si>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</si>
  <si>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</si>
  <si>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</si>
  <si>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</si>
  <si>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</si>
  <si>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</si>
  <si>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</si>
  <si>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</si>
  <si>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</si>
  <si>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</si>
  <si>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</si>
  <si>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</si>
  <si>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</si>
  <si>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</si>
  <si>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</si>
  <si>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</si>
  <si>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</si>
  <si>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</si>
  <si>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</si>
  <si>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</si>
  <si>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</si>
  <si>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</si>
  <si>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</si>
  <si>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</si>
  <si>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</si>
  <si>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</si>
  <si>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</si>
  <si>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</si>
  <si>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</si>
  <si>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</si>
  <si>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</si>
  <si>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</si>
  <si>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</si>
  <si>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</si>
  <si>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</si>
  <si>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</si>
  <si>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</si>
  <si>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</si>
  <si>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</si>
  <si>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</si>
  <si>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</si>
  <si>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</si>
  <si>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</si>
  <si>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</si>
  <si>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</si>
  <si>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</si>
  <si>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</si>
  <si>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</si>
  <si>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</si>
  <si>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</si>
  <si>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</si>
  <si>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</si>
  <si>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</si>
  <si>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</si>
  <si>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</si>
  <si>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</si>
  <si>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</si>
  <si>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</si>
  <si>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</si>
  <si>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</si>
  <si>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</si>
  <si>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</si>
  <si>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</si>
  <si>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</si>
  <si>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</si>
  <si>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</si>
  <si>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</si>
  <si>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</si>
  <si>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Jurien Bay</t>
  </si>
  <si>
    <t>Australia</t>
  </si>
  <si>
    <t>BOX(114.7848 -30.45821,115.297 -30.05)</t>
  </si>
  <si>
    <t>coastal lagoon</t>
  </si>
  <si>
    <t>WetWeight</t>
  </si>
  <si>
    <t>Created: 4/02/2008 10:46:45 AM; 4/02/2008 10:48:31 AM; 5/02/2008 2:12:19 PM; 11/02/2008 1:45:24 PM; 1/07/2008 3:13:25 PM; 3/07/2008 10:35:13 AM; 3/07/2008 10:45:37 AM; 3/07/2008 12:04:55 PM; 22/07/2008 12:33:19 PM; 23/07/2008 10:48:03 AM; 1/08/2008 9:10:12 AM; 1/08/2008 4:54:49 PM; 13/08/2008 11:32:23 AM; 13/08/2008 1:51:54 PM; 15/08/2008 1:15:57 PM; 27/08/2008 10:15:25 AM; 24/10/2008 9:05:09 AM; 24/10/2008 9:14:56 AM; 24/10/2008 12:30:21 PM; 24/10/2008 12:35:29 PM; 24/10/2008 12:52:12 PM; 24/10/2008 2:06:34 PM; 24/10/2008 3:19:44 PM; 27/10/2008 9:28:32 AM; 27/10/2008 9:32:37 AM; 27/10/2008 9:35:23 AM; 27/10/2008 9:39:03 AM; 28/10/2008 3:14:58 PM; 17/04/2009 2:25:38 PM; 22/04/2009 3:08:04 PM; 29/04/2009 2:43:52 PM; 8/05/2009 12:57:35 PM; 13/05/2009 3:09:08 PM; 15/05/2009 1:14:41 PM; 19/05/2009 1:55:07 PM; 19/05/2009 3:25:42 PM; 12/06/2009 9:47:10 AM; 17/06/2009 10:17:29 AM; 19/06/2009 9:19:12 AM; 19/06/2009 1:46:06 PM</t>
  </si>
  <si>
    <t>Lozano-Montes H.M.,Loneragan N.R.,Babcock R.C.,Jackson K.(2011). Using trophic flows and ecosystem structure to model the effects of fishing in the Jurien Bay Marine Park, temperate Western Australia Marine and Freshwater Research. pp 421-431</t>
  </si>
  <si>
    <t>Dolphins</t>
  </si>
  <si>
    <t>Sea lions</t>
  </si>
  <si>
    <t>Intertidal birds</t>
  </si>
  <si>
    <t>Surface diving birds</t>
  </si>
  <si>
    <t>Large coastal sharks</t>
  </si>
  <si>
    <t>Small coastal sharks</t>
  </si>
  <si>
    <t>Rays</t>
  </si>
  <si>
    <t>Dhufish</t>
  </si>
  <si>
    <t>Pink snapper</t>
  </si>
  <si>
    <t>Baldchin grouper</t>
  </si>
  <si>
    <t>King wrasse</t>
  </si>
  <si>
    <t>Western foxfish</t>
  </si>
  <si>
    <t>Breaksea cod</t>
  </si>
  <si>
    <t>Inshore reef ass. herbivore</t>
  </si>
  <si>
    <t>Inshore reef ass. omnivore</t>
  </si>
  <si>
    <t>Inshore reef ass. zoobenthos feed.</t>
  </si>
  <si>
    <t>Inshore ass. carnivore</t>
  </si>
  <si>
    <t>Inshore sand ass. omnivore</t>
  </si>
  <si>
    <t>Inshore seagrass ass. omnivore</t>
  </si>
  <si>
    <t>Inshore seagrass ass. zoob. feed.</t>
  </si>
  <si>
    <t>Inshore benthopelagic carnivore</t>
  </si>
  <si>
    <t>Inshore pelagic zooplankton feed</t>
  </si>
  <si>
    <t>NDR reef ass. herbivore</t>
  </si>
  <si>
    <t>NDR reef ass. omnivore</t>
  </si>
  <si>
    <t>NDR reef ass. carnivore</t>
  </si>
  <si>
    <t>NDR reef ass. zoobenthos feed.</t>
  </si>
  <si>
    <t>NDR reef aa. zooplankton feed</t>
  </si>
  <si>
    <t>NDR sand ass. omnivore</t>
  </si>
  <si>
    <t>NDR sand ass. carnivore</t>
  </si>
  <si>
    <t>NDR sand ass. zoobenthos feed.</t>
  </si>
  <si>
    <t>NDR seagrass ass. omnivore</t>
  </si>
  <si>
    <t>NDR seagrass ass. carnivore</t>
  </si>
  <si>
    <t>NDR benthopelagic carnivore</t>
  </si>
  <si>
    <t>NDR pelagic zooplankton Feed.</t>
  </si>
  <si>
    <t>Sessile epibenthos</t>
  </si>
  <si>
    <t>Photo. corals/sponges</t>
  </si>
  <si>
    <t>Infauna</t>
  </si>
  <si>
    <t>Infaunal bivalves</t>
  </si>
  <si>
    <t>Sessile bivalves</t>
  </si>
  <si>
    <t>Deposit feed. invert.</t>
  </si>
  <si>
    <t>Small mobil epifauna</t>
  </si>
  <si>
    <t>Small mobile herbivores</t>
  </si>
  <si>
    <t>Large mobile herb. invert.</t>
  </si>
  <si>
    <t>Large mobile carn. invert.</t>
  </si>
  <si>
    <t>Large Crabs</t>
  </si>
  <si>
    <t>Cuttlefish</t>
  </si>
  <si>
    <t>Squid</t>
  </si>
  <si>
    <t>Octopus</t>
  </si>
  <si>
    <t>Lobster-post puerulus</t>
  </si>
  <si>
    <t>Lobster- Juvenile</t>
  </si>
  <si>
    <t>Lobster - Adolescent</t>
  </si>
  <si>
    <t>Lobster Adult</t>
  </si>
  <si>
    <t>Small Gastropods</t>
  </si>
  <si>
    <t>Large Carn. Gastropods</t>
  </si>
  <si>
    <t>Large Herb. Gastropods</t>
  </si>
  <si>
    <t>Sea turtles</t>
  </si>
  <si>
    <t>Roe abalone</t>
  </si>
  <si>
    <t>Small Zooplankton</t>
  </si>
  <si>
    <t>Large Zooplankton</t>
  </si>
  <si>
    <t>Chaetognaths</t>
  </si>
  <si>
    <t>Carnivorous Jellyfish</t>
  </si>
  <si>
    <t>Microbial heterotrophs</t>
  </si>
  <si>
    <t>Ecklonia</t>
  </si>
  <si>
    <t>Sargassum</t>
  </si>
  <si>
    <t>Low algae</t>
  </si>
  <si>
    <t>Turfs</t>
  </si>
  <si>
    <t>Corraline algae</t>
  </si>
  <si>
    <t>Ephemeral seagrasses</t>
  </si>
  <si>
    <t>Perenial seagrasses</t>
  </si>
  <si>
    <t>Seagrass epiphytes</t>
  </si>
  <si>
    <t>Microphytobenthos</t>
  </si>
  <si>
    <t>Small Phytoplankton</t>
  </si>
  <si>
    <t>Large Phytoplankton</t>
  </si>
  <si>
    <t>Detached seagrass</t>
  </si>
  <si>
    <t>Detached brown algae</t>
  </si>
  <si>
    <t>Detached algae other</t>
  </si>
  <si>
    <t>Dead Carcasses</t>
  </si>
  <si>
    <t>Bait</t>
  </si>
  <si>
    <t>Water colum detritus</t>
  </si>
  <si>
    <t>Detritus</t>
  </si>
  <si>
    <t>Rock lobster</t>
  </si>
  <si>
    <t>Beach Seine</t>
  </si>
  <si>
    <t>Droplinning</t>
  </si>
  <si>
    <t>Gill Netting</t>
  </si>
  <si>
    <t>Handlinning</t>
  </si>
  <si>
    <t>Longlinning</t>
  </si>
  <si>
    <t>Traps</t>
  </si>
  <si>
    <t>Abalone</t>
  </si>
  <si>
    <t>Rec. Pots</t>
  </si>
  <si>
    <t>Rec. Beach Anglers</t>
  </si>
  <si>
    <t>Rec. Boat Anglers</t>
  </si>
  <si>
    <t>Rec. Netting</t>
  </si>
  <si>
    <t>Rec. Diving</t>
  </si>
  <si>
    <t>Rec. Spearfishing</t>
  </si>
  <si>
    <t>Import</t>
  </si>
  <si>
    <t>export</t>
  </si>
  <si>
    <t>sum</t>
  </si>
  <si>
    <t>TOTAL</t>
  </si>
  <si>
    <t>F Rock lobster</t>
  </si>
  <si>
    <t>F Beach Seine</t>
  </si>
  <si>
    <t>F Droplinning</t>
  </si>
  <si>
    <t>F Gill Netting</t>
  </si>
  <si>
    <t>F Handlinning</t>
  </si>
  <si>
    <t>F Longlinning</t>
  </si>
  <si>
    <t>F Traps</t>
  </si>
  <si>
    <t>F Abalone</t>
  </si>
  <si>
    <t>F Rec. Pots</t>
  </si>
  <si>
    <t>F Rec. Beach Anglers</t>
  </si>
  <si>
    <t>F Rec. Boat Anglers</t>
  </si>
  <si>
    <t>F Rec. Netting</t>
  </si>
  <si>
    <t>F Rec. Diving</t>
  </si>
  <si>
    <t>F Rec. Spearfishing</t>
  </si>
  <si>
    <t>total--&gt;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</si>
</sst>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indexed="10"/>
      <name val="Arial"/>
      <family val="2"/>
    </font>
    <font>
      <b/>
      <sz val="10"/>
      <name val="Verdana"/>
      <family val="2"/>
    </font>
    <font>
      <sz val="10"/>
      <name val="Arial"/>
      <family val="2"/>
    </font>
  </fonts>
  <fills count="242">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27FF00"/>
        <bgColor indexed="64"/>
      </patternFill>
    </fill>
    <fill>
      <patternFill patternType="solid">
        <fgColor rgb="FF12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0BFF00"/>
        <bgColor indexed="64"/>
      </patternFill>
    </fill>
    <fill>
      <patternFill patternType="solid">
        <fgColor rgb="FF15FF00"/>
        <bgColor indexed="64"/>
      </patternFill>
    </fill>
    <fill>
      <patternFill patternType="solid">
        <fgColor rgb="FF1EFF00"/>
        <bgColor indexed="64"/>
      </patternFill>
    </fill>
    <fill>
      <patternFill patternType="solid">
        <fgColor rgb="FF20FF00"/>
        <bgColor indexed="64"/>
      </patternFill>
    </fill>
    <fill>
      <patternFill patternType="solid">
        <fgColor rgb="FF1AFF00"/>
        <bgColor indexed="64"/>
      </patternFill>
    </fill>
    <fill>
      <patternFill patternType="solid">
        <fgColor rgb="FF24FF00"/>
        <bgColor indexed="64"/>
      </patternFill>
    </fill>
    <fill>
      <patternFill patternType="solid">
        <fgColor theme="9"/>
        <bgColor indexed="64"/>
      </patternFill>
    </fill>
    <fill>
      <patternFill patternType="solid">
        <fgColor rgb="FF30FF00"/>
        <bgColor indexed="64"/>
      </patternFill>
    </fill>
    <fill>
      <patternFill patternType="solid">
        <fgColor rgb="FF28FF00"/>
        <bgColor indexed="64"/>
      </patternFill>
    </fill>
    <fill>
      <patternFill patternType="solid">
        <fgColor rgb="FF21FF00"/>
        <bgColor indexed="64"/>
      </patternFill>
    </fill>
    <fill>
      <patternFill patternType="solid">
        <fgColor rgb="FF48FF00"/>
        <bgColor indexed="64"/>
      </patternFill>
    </fill>
    <fill>
      <patternFill patternType="solid">
        <fgColor rgb="FF3FFF00"/>
        <bgColor indexed="64"/>
      </patternFill>
    </fill>
    <fill>
      <patternFill patternType="solid">
        <fgColor rgb="FF94FF00"/>
        <bgColor indexed="64"/>
      </patternFill>
    </fill>
    <fill>
      <patternFill patternType="solid">
        <fgColor rgb="FF50FF00"/>
        <bgColor indexed="64"/>
      </patternFill>
    </fill>
    <fill>
      <patternFill patternType="solid">
        <fgColor rgb="FF22FF00"/>
        <bgColor indexed="64"/>
      </patternFill>
    </fill>
    <fill>
      <patternFill patternType="solid">
        <fgColor rgb="FF42FF00"/>
        <bgColor indexed="64"/>
      </patternFill>
    </fill>
    <fill>
      <patternFill patternType="solid">
        <fgColor rgb="FF3DFF00"/>
        <bgColor indexed="64"/>
      </patternFill>
    </fill>
    <fill>
      <patternFill patternType="solid">
        <fgColor rgb="FFADFF00"/>
        <bgColor indexed="64"/>
      </patternFill>
    </fill>
    <fill>
      <patternFill patternType="solid">
        <fgColor rgb="FF33FF00"/>
        <bgColor indexed="64"/>
      </patternFill>
    </fill>
    <fill>
      <patternFill patternType="solid">
        <fgColor rgb="FF0FFF00"/>
        <bgColor indexed="64"/>
      </patternFill>
    </fill>
    <fill>
      <patternFill patternType="solid">
        <fgColor rgb="FF1FFF00"/>
        <bgColor indexed="64"/>
      </patternFill>
    </fill>
    <fill>
      <patternFill patternType="solid">
        <fgColor rgb="FF80FF00"/>
        <bgColor indexed="64"/>
      </patternFill>
    </fill>
    <fill>
      <patternFill patternType="solid">
        <fgColor rgb="FF81FF00"/>
        <bgColor indexed="64"/>
      </patternFill>
    </fill>
    <fill>
      <patternFill patternType="solid">
        <fgColor rgb="FF82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FFFF00"/>
        <bgColor indexed="64"/>
      </patternFill>
    </fill>
    <fill>
      <patternFill patternType="solid">
        <fgColor rgb="FF83765A"/>
        <bgColor indexed="64"/>
      </patternFill>
    </fill>
    <fill>
      <patternFill patternType="solid">
        <fgColor rgb="FF67450E"/>
        <bgColor indexed="64"/>
      </patternFill>
    </fill>
    <fill>
      <patternFill patternType="solid">
        <fgColor rgb="FF3EFA10"/>
        <bgColor indexed="64"/>
      </patternFill>
    </fill>
    <fill>
      <patternFill patternType="solid">
        <fgColor rgb="FF645D7D"/>
        <bgColor indexed="64"/>
      </patternFill>
    </fill>
    <fill>
      <patternFill patternType="solid">
        <fgColor rgb="FF287942"/>
        <bgColor indexed="64"/>
      </patternFill>
    </fill>
    <fill>
      <patternFill patternType="solid">
        <fgColor rgb="FFA08A28"/>
        <bgColor indexed="64"/>
      </patternFill>
    </fill>
    <fill>
      <patternFill patternType="solid">
        <fgColor rgb="FFEFA781"/>
        <bgColor indexed="64"/>
      </patternFill>
    </fill>
    <fill>
      <patternFill patternType="solid">
        <fgColor rgb="FF641BC8"/>
        <bgColor indexed="64"/>
      </patternFill>
    </fill>
    <fill>
      <patternFill patternType="solid">
        <fgColor rgb="FF75C098"/>
        <bgColor indexed="64"/>
      </patternFill>
    </fill>
    <fill>
      <patternFill patternType="solid">
        <fgColor rgb="FFD40536"/>
        <bgColor indexed="64"/>
      </patternFill>
    </fill>
    <fill>
      <patternFill patternType="solid">
        <fgColor rgb="FF131B55"/>
        <bgColor indexed="64"/>
      </patternFill>
    </fill>
    <fill>
      <patternFill patternType="solid">
        <fgColor rgb="FF210089"/>
        <bgColor indexed="64"/>
      </patternFill>
    </fill>
    <fill>
      <patternFill patternType="solid">
        <fgColor rgb="FFA88BD3"/>
        <bgColor indexed="64"/>
      </patternFill>
    </fill>
    <fill>
      <patternFill patternType="solid">
        <fgColor rgb="FF1531AD"/>
        <bgColor indexed="64"/>
      </patternFill>
    </fill>
    <fill>
      <patternFill patternType="solid">
        <fgColor rgb="FF745B26"/>
        <bgColor indexed="64"/>
      </patternFill>
    </fill>
    <fill>
      <patternFill patternType="solid">
        <fgColor rgb="FFB4ED87"/>
        <bgColor indexed="64"/>
      </patternFill>
    </fill>
    <fill>
      <patternFill patternType="solid">
        <fgColor rgb="FF17C166"/>
        <bgColor indexed="64"/>
      </patternFill>
    </fill>
    <fill>
      <patternFill patternType="solid">
        <fgColor rgb="FF767E35"/>
        <bgColor indexed="64"/>
      </patternFill>
    </fill>
    <fill>
      <patternFill patternType="solid">
        <fgColor rgb="FF541896"/>
        <bgColor indexed="64"/>
      </patternFill>
    </fill>
    <fill>
      <patternFill patternType="solid">
        <fgColor rgb="FF2BED19"/>
        <bgColor indexed="64"/>
      </patternFill>
    </fill>
    <fill>
      <patternFill patternType="solid">
        <fgColor rgb="FF7146DE"/>
        <bgColor indexed="64"/>
      </patternFill>
    </fill>
    <fill>
      <patternFill patternType="solid">
        <fgColor rgb="FFBF46AC"/>
        <bgColor indexed="64"/>
      </patternFill>
    </fill>
    <fill>
      <patternFill patternType="solid">
        <fgColor rgb="FF411708"/>
        <bgColor indexed="64"/>
      </patternFill>
    </fill>
    <fill>
      <patternFill patternType="solid">
        <fgColor rgb="FF52C94C"/>
        <bgColor indexed="64"/>
      </patternFill>
    </fill>
    <fill>
      <patternFill patternType="solid">
        <fgColor rgb="FF3C7B41"/>
        <bgColor indexed="64"/>
      </patternFill>
    </fill>
    <fill>
      <patternFill patternType="solid">
        <fgColor rgb="FF570B7B"/>
        <bgColor indexed="64"/>
      </patternFill>
    </fill>
    <fill>
      <patternFill patternType="solid">
        <fgColor rgb="FF35DC96"/>
        <bgColor indexed="64"/>
      </patternFill>
    </fill>
    <fill>
      <patternFill patternType="solid">
        <fgColor rgb="FFC1ED54"/>
        <bgColor indexed="64"/>
      </patternFill>
    </fill>
    <fill>
      <patternFill patternType="solid">
        <fgColor rgb="FF8A15A2"/>
        <bgColor indexed="64"/>
      </patternFill>
    </fill>
    <fill>
      <patternFill patternType="solid">
        <fgColor rgb="FF69F51D"/>
        <bgColor indexed="64"/>
      </patternFill>
    </fill>
    <fill>
      <patternFill patternType="solid">
        <fgColor rgb="FFEB9E59"/>
        <bgColor indexed="64"/>
      </patternFill>
    </fill>
    <fill>
      <patternFill patternType="solid">
        <fgColor rgb="FF267A38"/>
        <bgColor indexed="64"/>
      </patternFill>
    </fill>
    <fill>
      <patternFill patternType="solid">
        <fgColor rgb="FFFD2107"/>
        <bgColor indexed="64"/>
      </patternFill>
    </fill>
    <fill>
      <patternFill patternType="solid">
        <fgColor rgb="FF588CEB"/>
        <bgColor indexed="64"/>
      </patternFill>
    </fill>
    <fill>
      <patternFill patternType="solid">
        <fgColor rgb="FF8968D8"/>
        <bgColor indexed="64"/>
      </patternFill>
    </fill>
    <fill>
      <patternFill patternType="solid">
        <fgColor rgb="FFD3ABB8"/>
        <bgColor indexed="64"/>
      </patternFill>
    </fill>
    <fill>
      <patternFill patternType="solid">
        <fgColor rgb="FFFE577E"/>
        <bgColor indexed="64"/>
      </patternFill>
    </fill>
    <fill>
      <patternFill patternType="solid">
        <fgColor rgb="FF69B12E"/>
        <bgColor indexed="64"/>
      </patternFill>
    </fill>
    <fill>
      <patternFill patternType="solid">
        <fgColor rgb="FF6C8BD0"/>
        <bgColor indexed="64"/>
      </patternFill>
    </fill>
    <fill>
      <patternFill patternType="solid">
        <fgColor rgb="FF8A6D82"/>
        <bgColor indexed="64"/>
      </patternFill>
    </fill>
    <fill>
      <patternFill patternType="solid">
        <fgColor rgb="FF3A9E7D"/>
        <bgColor indexed="64"/>
      </patternFill>
    </fill>
    <fill>
      <patternFill patternType="solid">
        <fgColor rgb="FFAEE25E"/>
        <bgColor indexed="64"/>
      </patternFill>
    </fill>
    <fill>
      <patternFill patternType="solid">
        <fgColor rgb="FF4D4B26"/>
        <bgColor indexed="64"/>
      </patternFill>
    </fill>
    <fill>
      <patternFill patternType="solid">
        <fgColor rgb="FF873995"/>
        <bgColor indexed="64"/>
      </patternFill>
    </fill>
    <fill>
      <patternFill patternType="solid">
        <fgColor rgb="FF5DDF7A"/>
        <bgColor indexed="64"/>
      </patternFill>
    </fill>
    <fill>
      <patternFill patternType="solid">
        <fgColor rgb="FF31AEBF"/>
        <bgColor indexed="64"/>
      </patternFill>
    </fill>
    <fill>
      <patternFill patternType="solid">
        <fgColor rgb="FF9DC729"/>
        <bgColor indexed="64"/>
      </patternFill>
    </fill>
    <fill>
      <patternFill patternType="solid">
        <fgColor rgb="FFCE34F4"/>
        <bgColor indexed="64"/>
      </patternFill>
    </fill>
    <fill>
      <patternFill patternType="solid">
        <fgColor rgb="FF1110CA"/>
        <bgColor indexed="64"/>
      </patternFill>
    </fill>
    <fill>
      <patternFill patternType="solid">
        <fgColor rgb="FF61761E"/>
        <bgColor indexed="64"/>
      </patternFill>
    </fill>
    <fill>
      <patternFill patternType="solid">
        <fgColor rgb="FF1D2C0C"/>
        <bgColor indexed="64"/>
      </patternFill>
    </fill>
    <fill>
      <patternFill patternType="solid">
        <fgColor rgb="FFB6888F"/>
        <bgColor indexed="64"/>
      </patternFill>
    </fill>
    <fill>
      <patternFill patternType="solid">
        <fgColor rgb="FF3777BE"/>
        <bgColor indexed="64"/>
      </patternFill>
    </fill>
    <fill>
      <patternFill patternType="solid">
        <fgColor rgb="FFC066E6"/>
        <bgColor indexed="64"/>
      </patternFill>
    </fill>
    <fill>
      <patternFill patternType="solid">
        <fgColor rgb="FFBE17A2"/>
        <bgColor indexed="64"/>
      </patternFill>
    </fill>
    <fill>
      <patternFill patternType="solid">
        <fgColor rgb="FFB6046E"/>
        <bgColor indexed="64"/>
      </patternFill>
    </fill>
    <fill>
      <patternFill patternType="solid">
        <fgColor rgb="FF6746FB"/>
        <bgColor indexed="64"/>
      </patternFill>
    </fill>
    <fill>
      <patternFill patternType="solid">
        <fgColor rgb="FFCDB26A"/>
        <bgColor indexed="64"/>
      </patternFill>
    </fill>
    <fill>
      <patternFill patternType="solid">
        <fgColor rgb="FFBB475B"/>
        <bgColor indexed="64"/>
      </patternFill>
    </fill>
    <fill>
      <patternFill patternType="solid">
        <fgColor rgb="FF6FF11F"/>
        <bgColor indexed="64"/>
      </patternFill>
    </fill>
    <fill>
      <patternFill patternType="solid">
        <fgColor rgb="FFA5591B"/>
        <bgColor indexed="64"/>
      </patternFill>
    </fill>
    <fill>
      <patternFill patternType="solid">
        <fgColor rgb="FF2F146E"/>
        <bgColor indexed="64"/>
      </patternFill>
    </fill>
    <fill>
      <patternFill patternType="solid">
        <fgColor rgb="FFF58A7E"/>
        <bgColor indexed="64"/>
      </patternFill>
    </fill>
    <fill>
      <patternFill patternType="solid">
        <fgColor rgb="FFF83861"/>
        <bgColor indexed="64"/>
      </patternFill>
    </fill>
    <fill>
      <patternFill patternType="solid">
        <fgColor rgb="FF29FF00"/>
        <bgColor indexed="64"/>
      </patternFill>
    </fill>
    <fill>
      <patternFill patternType="solid">
        <fgColor rgb="FF8EFF00"/>
        <bgColor indexed="64"/>
      </patternFill>
    </fill>
    <fill>
      <patternFill patternType="solid">
        <fgColor rgb="FFFFE200"/>
        <bgColor indexed="64"/>
      </patternFill>
    </fill>
    <fill>
      <patternFill patternType="solid">
        <fgColor rgb="FFFFFB00"/>
        <bgColor indexed="64"/>
      </patternFill>
    </fill>
    <fill>
      <patternFill patternType="solid">
        <fgColor rgb="FFFFC900"/>
        <bgColor indexed="64"/>
      </patternFill>
    </fill>
    <fill>
      <patternFill patternType="solid">
        <fgColor rgb="FF55FF00"/>
        <bgColor indexed="64"/>
      </patternFill>
    </fill>
    <fill>
      <patternFill patternType="solid">
        <fgColor rgb="FFFFE700"/>
        <bgColor indexed="64"/>
      </patternFill>
    </fill>
    <fill>
      <patternFill patternType="solid">
        <fgColor rgb="FF1BFF00"/>
        <bgColor indexed="64"/>
      </patternFill>
    </fill>
    <fill>
      <patternFill patternType="solid">
        <fgColor rgb="FF2EFF00"/>
        <bgColor indexed="64"/>
      </patternFill>
    </fill>
    <fill>
      <patternFill patternType="solid">
        <fgColor rgb="FF11FF00"/>
        <bgColor indexed="64"/>
      </patternFill>
    </fill>
    <fill>
      <patternFill patternType="solid">
        <fgColor rgb="FF19FF00"/>
        <bgColor indexed="64"/>
      </patternFill>
    </fill>
    <fill>
      <patternFill patternType="solid">
        <fgColor rgb="FF14FF00"/>
        <bgColor indexed="64"/>
      </patternFill>
    </fill>
    <fill>
      <patternFill patternType="solid">
        <fgColor rgb="FF84FF00"/>
        <bgColor indexed="64"/>
      </patternFill>
    </fill>
    <fill>
      <patternFill patternType="solid">
        <fgColor rgb="FF68FF00"/>
        <bgColor indexed="64"/>
      </patternFill>
    </fill>
    <fill>
      <patternFill patternType="solid">
        <fgColor rgb="FF23FF00"/>
        <bgColor indexed="64"/>
      </patternFill>
    </fill>
    <fill>
      <patternFill patternType="solid">
        <fgColor rgb="FF37FF00"/>
        <bgColor indexed="64"/>
      </patternFill>
    </fill>
    <fill>
      <patternFill patternType="solid">
        <fgColor rgb="FF9CFF00"/>
        <bgColor indexed="64"/>
      </patternFill>
    </fill>
    <fill>
      <patternFill patternType="solid">
        <fgColor rgb="FFFFBD00"/>
        <bgColor indexed="64"/>
      </patternFill>
    </fill>
    <fill>
      <patternFill patternType="solid">
        <fgColor rgb="FFB0FF00"/>
        <bgColor indexed="64"/>
      </patternFill>
    </fill>
    <fill>
      <patternFill patternType="solid">
        <fgColor rgb="FF6CFF00"/>
        <bgColor indexed="64"/>
      </patternFill>
    </fill>
    <fill>
      <patternFill patternType="solid">
        <fgColor rgb="FFFF2500"/>
        <bgColor indexed="64"/>
      </patternFill>
    </fill>
    <fill>
      <patternFill patternType="solid">
        <fgColor rgb="FF4EFF00"/>
        <bgColor indexed="64"/>
      </patternFill>
    </fill>
    <fill>
      <patternFill patternType="solid">
        <fgColor rgb="FF6AFF00"/>
        <bgColor indexed="64"/>
      </patternFill>
    </fill>
    <fill>
      <patternFill patternType="solid">
        <fgColor rgb="FF40FF00"/>
        <bgColor indexed="64"/>
      </patternFill>
    </fill>
    <fill>
      <patternFill patternType="solid">
        <fgColor rgb="FF0CFF00"/>
        <bgColor indexed="64"/>
      </patternFill>
    </fill>
    <fill>
      <patternFill patternType="solid">
        <fgColor rgb="FF2AFF00"/>
        <bgColor indexed="64"/>
      </patternFill>
    </fill>
    <fill>
      <patternFill patternType="solid">
        <fgColor rgb="FF32FF00"/>
        <bgColor indexed="64"/>
      </patternFill>
    </fill>
    <fill>
      <patternFill patternType="solid">
        <fgColor rgb="FFFF3000"/>
        <bgColor indexed="64"/>
      </patternFill>
    </fill>
    <fill>
      <patternFill patternType="solid">
        <fgColor rgb="FF4AFF00"/>
        <bgColor indexed="64"/>
      </patternFill>
    </fill>
    <fill>
      <patternFill patternType="solid">
        <fgColor rgb="FF25FF00"/>
        <bgColor indexed="64"/>
      </patternFill>
    </fill>
    <fill>
      <patternFill patternType="solid">
        <fgColor rgb="FF69FF00"/>
        <bgColor indexed="64"/>
      </patternFill>
    </fill>
    <fill>
      <patternFill patternType="solid">
        <fgColor rgb="FF2DFF00"/>
        <bgColor indexed="64"/>
      </patternFill>
    </fill>
    <fill>
      <patternFill patternType="solid">
        <fgColor rgb="FF95FF00"/>
        <bgColor indexed="64"/>
      </patternFill>
    </fill>
    <fill>
      <patternFill patternType="solid">
        <fgColor rgb="FFCFFF00"/>
        <bgColor indexed="64"/>
      </patternFill>
    </fill>
    <fill>
      <patternFill patternType="solid">
        <fgColor rgb="FFFF7F00"/>
        <bgColor indexed="64"/>
      </patternFill>
    </fill>
    <fill>
      <patternFill patternType="solid">
        <fgColor rgb="FF1DFF00"/>
        <bgColor indexed="64"/>
      </patternFill>
    </fill>
    <fill>
      <patternFill patternType="solid">
        <fgColor rgb="FF6FFF00"/>
        <bgColor indexed="64"/>
      </patternFill>
    </fill>
    <fill>
      <patternFill patternType="solid">
        <fgColor rgb="FF85FF00"/>
        <bgColor indexed="64"/>
      </patternFill>
    </fill>
    <fill>
      <patternFill patternType="solid">
        <fgColor rgb="FF17FF00"/>
        <bgColor indexed="64"/>
      </patternFill>
    </fill>
    <fill>
      <patternFill patternType="solid">
        <fgColor rgb="FF3AFF00"/>
        <bgColor indexed="64"/>
      </patternFill>
    </fill>
    <fill>
      <patternFill patternType="solid">
        <fgColor rgb="FF46FF00"/>
        <bgColor indexed="64"/>
      </patternFill>
    </fill>
    <fill>
      <patternFill patternType="solid">
        <fgColor rgb="FF4BFF00"/>
        <bgColor indexed="64"/>
      </patternFill>
    </fill>
    <fill>
      <patternFill patternType="solid">
        <fgColor rgb="FFFF6900"/>
        <bgColor indexed="64"/>
      </patternFill>
    </fill>
    <fill>
      <patternFill patternType="solid">
        <fgColor rgb="FF54FF00"/>
        <bgColor indexed="64"/>
      </patternFill>
    </fill>
    <fill>
      <patternFill patternType="solid">
        <fgColor rgb="FFFFCC00"/>
        <bgColor indexed="64"/>
      </patternFill>
    </fill>
    <fill>
      <patternFill patternType="solid">
        <fgColor rgb="FF34FF00"/>
        <bgColor indexed="64"/>
      </patternFill>
    </fill>
    <fill>
      <patternFill patternType="solid">
        <fgColor rgb="FFD1FF00"/>
        <bgColor indexed="64"/>
      </patternFill>
    </fill>
    <fill>
      <patternFill patternType="solid">
        <fgColor rgb="FFFFE500"/>
        <bgColor indexed="64"/>
      </patternFill>
    </fill>
    <fill>
      <patternFill patternType="solid">
        <fgColor rgb="FF2CFF00"/>
        <bgColor indexed="64"/>
      </patternFill>
    </fill>
    <fill>
      <patternFill patternType="solid">
        <fgColor rgb="FF39FF00"/>
        <bgColor indexed="64"/>
      </patternFill>
    </fill>
    <fill>
      <patternFill patternType="solid">
        <fgColor rgb="FF49FF00"/>
        <bgColor indexed="64"/>
      </patternFill>
    </fill>
    <fill>
      <patternFill patternType="solid">
        <fgColor rgb="FF4CFF00"/>
        <bgColor indexed="64"/>
      </patternFill>
    </fill>
    <fill>
      <patternFill patternType="solid">
        <fgColor rgb="FF4DFF00"/>
        <bgColor indexed="64"/>
      </patternFill>
    </fill>
    <fill>
      <patternFill patternType="solid">
        <fgColor rgb="FFFFE600"/>
        <bgColor indexed="64"/>
      </patternFill>
    </fill>
    <fill>
      <patternFill patternType="solid">
        <fgColor rgb="FF8BFF00"/>
        <bgColor indexed="64"/>
      </patternFill>
    </fill>
    <fill>
      <patternFill patternType="solid">
        <fgColor rgb="FF31FF00"/>
        <bgColor indexed="64"/>
      </patternFill>
    </fill>
    <fill>
      <patternFill patternType="solid">
        <fgColor rgb="FF3BFF00"/>
        <bgColor indexed="64"/>
      </patternFill>
    </fill>
    <fill>
      <patternFill patternType="solid">
        <fgColor rgb="FF9FFF00"/>
        <bgColor indexed="64"/>
      </patternFill>
    </fill>
    <fill>
      <patternFill patternType="solid">
        <fgColor rgb="FFCAFF00"/>
        <bgColor indexed="64"/>
      </patternFill>
    </fill>
    <fill>
      <patternFill patternType="solid">
        <fgColor rgb="FF70FF00"/>
        <bgColor indexed="64"/>
      </patternFill>
    </fill>
    <fill>
      <patternFill patternType="solid">
        <fgColor rgb="FF73FF00"/>
        <bgColor indexed="64"/>
      </patternFill>
    </fill>
    <fill>
      <patternFill patternType="solid">
        <fgColor rgb="FF4FFF00"/>
        <bgColor indexed="64"/>
      </patternFill>
    </fill>
    <fill>
      <patternFill patternType="solid">
        <fgColor rgb="FFD4FF00"/>
        <bgColor indexed="64"/>
      </patternFill>
    </fill>
    <fill>
      <patternFill patternType="solid">
        <fgColor rgb="FFDEFF00"/>
        <bgColor indexed="64"/>
      </patternFill>
    </fill>
    <fill>
      <patternFill patternType="solid">
        <fgColor rgb="FF78FF00"/>
        <bgColor indexed="64"/>
      </patternFill>
    </fill>
    <fill>
      <patternFill patternType="solid">
        <fgColor rgb="FFC5FF00"/>
        <bgColor indexed="64"/>
      </patternFill>
    </fill>
    <fill>
      <patternFill patternType="solid">
        <fgColor rgb="FFFF6E00"/>
        <bgColor indexed="64"/>
      </patternFill>
    </fill>
    <fill>
      <patternFill patternType="solid">
        <fgColor rgb="FFFF7500"/>
        <bgColor indexed="64"/>
      </patternFill>
    </fill>
    <fill>
      <patternFill patternType="solid">
        <fgColor rgb="FFFF3D00"/>
        <bgColor indexed="64"/>
      </patternFill>
    </fill>
    <fill>
      <patternFill patternType="solid">
        <fgColor rgb="FF51FF00"/>
        <bgColor indexed="64"/>
      </patternFill>
    </fill>
    <fill>
      <patternFill patternType="solid">
        <fgColor rgb="FF72FF00"/>
        <bgColor indexed="64"/>
      </patternFill>
    </fill>
    <fill>
      <patternFill patternType="solid">
        <fgColor rgb="FFFFC800"/>
        <bgColor indexed="64"/>
      </patternFill>
    </fill>
    <fill>
      <patternFill patternType="solid">
        <fgColor rgb="FFC0FF00"/>
        <bgColor indexed="64"/>
      </patternFill>
    </fill>
    <fill>
      <patternFill patternType="solid">
        <fgColor rgb="FFFF6C00"/>
        <bgColor indexed="64"/>
      </patternFill>
    </fill>
    <fill>
      <patternFill patternType="solid">
        <fgColor rgb="FF45FF00"/>
        <bgColor indexed="64"/>
      </patternFill>
    </fill>
    <fill>
      <patternFill patternType="solid">
        <fgColor rgb="FFAEFF00"/>
        <bgColor indexed="64"/>
      </patternFill>
    </fill>
    <fill>
      <patternFill patternType="solid">
        <fgColor rgb="FFFFAA00"/>
        <bgColor indexed="64"/>
      </patternFill>
    </fill>
    <fill>
      <patternFill patternType="solid">
        <fgColor rgb="FF77FF00"/>
        <bgColor indexed="64"/>
      </patternFill>
    </fill>
    <fill>
      <patternFill patternType="solid">
        <fgColor rgb="FF87FF00"/>
        <bgColor indexed="64"/>
      </patternFill>
    </fill>
    <fill>
      <patternFill patternType="solid">
        <fgColor rgb="FFA3FF00"/>
        <bgColor indexed="64"/>
      </patternFill>
    </fill>
    <fill>
      <patternFill patternType="solid">
        <fgColor rgb="FFD9FF00"/>
        <bgColor indexed="64"/>
      </patternFill>
    </fill>
    <fill>
      <patternFill patternType="solid">
        <fgColor rgb="FFBDFF00"/>
        <bgColor indexed="64"/>
      </patternFill>
    </fill>
    <fill>
      <patternFill patternType="solid">
        <fgColor rgb="FFAAFF00"/>
        <bgColor indexed="64"/>
      </patternFill>
    </fill>
    <fill>
      <patternFill patternType="solid">
        <fgColor rgb="FF38FF00"/>
        <bgColor indexed="64"/>
      </patternFill>
    </fill>
    <fill>
      <patternFill patternType="solid">
        <fgColor rgb="FFFFB700"/>
        <bgColor indexed="64"/>
      </patternFill>
    </fill>
    <fill>
      <patternFill patternType="solid">
        <fgColor rgb="FFFF5000"/>
        <bgColor indexed="64"/>
      </patternFill>
    </fill>
    <fill>
      <patternFill patternType="solid">
        <fgColor rgb="FFE7FF00"/>
        <bgColor indexed="64"/>
      </patternFill>
    </fill>
    <fill>
      <patternFill patternType="solid">
        <fgColor rgb="FFAFFF00"/>
        <bgColor indexed="64"/>
      </patternFill>
    </fill>
    <fill>
      <patternFill patternType="solid">
        <fgColor rgb="FF91FF00"/>
        <bgColor indexed="64"/>
      </patternFill>
    </fill>
    <fill>
      <patternFill patternType="solid">
        <fgColor rgb="FF93FF00"/>
        <bgColor indexed="64"/>
      </patternFill>
    </fill>
    <fill>
      <patternFill patternType="solid">
        <fgColor rgb="FFFF0100"/>
        <bgColor indexed="64"/>
      </patternFill>
    </fill>
  </fills>
  <borders count="50">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top style="thin">
        <color auto="1"/>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363">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5" borderId="2" xfId="0" applyFont="1" applyFill="1" applyBorder="1" applyAlignment="1">
      <alignment horizontal="center"/>
    </xf>
    <xf numFmtId="0" fontId="1" fillId="25" borderId="4" xfId="0" applyFont="1" applyFill="1" applyBorder="1" applyAlignment="1">
      <alignment horizontal="center"/>
    </xf>
    <xf numFmtId="0" fontId="1" fillId="25"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5" borderId="5" xfId="0" applyFill="1" applyBorder="1"/>
    <xf numFmtId="0" fontId="0" fillId="25" borderId="6" xfId="0" applyFill="1" applyBorder="1"/>
    <xf numFmtId="0" fontId="0" fillId="25" borderId="7" xfId="0" applyFill="1" applyBorder="1"/>
    <xf numFmtId="0" fontId="0" fillId="25" borderId="8" xfId="0" applyFill="1" applyBorder="1"/>
    <xf numFmtId="0" fontId="0" fillId="25" borderId="9" xfId="0" applyFill="1" applyBorder="1"/>
    <xf numFmtId="0" fontId="0" fillId="25" borderId="11" xfId="0" applyFill="1" applyBorder="1"/>
    <xf numFmtId="0" fontId="8" fillId="0" borderId="0" xfId="0" applyFont="1"/>
    <xf numFmtId="0" fontId="9" fillId="0" borderId="0" xfId="0" applyFont="1"/>
    <xf numFmtId="0" fontId="1" fillId="2" borderId="0" xfId="0" applyFont="1" applyFill="1" applyBorder="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1" fillId="0" borderId="0" xfId="0" applyFont="1" applyAlignment="1">
      <alignment horizontal="center"/>
    </xf>
    <xf numFmtId="0" fontId="0" fillId="37" borderId="0" xfId="0" applyFill="1"/>
    <xf numFmtId="0" fontId="0" fillId="0" borderId="0" xfId="0" applyFont="1" applyFill="1"/>
    <xf numFmtId="0" fontId="0" fillId="0" borderId="0" xfId="0" applyFont="1" applyAlignment="1">
      <alignment horizontal="center"/>
    </xf>
    <xf numFmtId="0" fontId="0" fillId="39" borderId="0" xfId="0" applyFill="1"/>
    <xf numFmtId="0" fontId="0" fillId="40" borderId="0" xfId="0" applyFill="1"/>
    <xf numFmtId="0" fontId="0" fillId="0" borderId="0" xfId="0" applyFont="1" applyFill="1" applyAlignment="1">
      <alignment horizontal="center"/>
    </xf>
    <xf numFmtId="0" fontId="0" fillId="41" borderId="0" xfId="0" applyFill="1"/>
    <xf numFmtId="0" fontId="0" fillId="42"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8" borderId="2" xfId="0" applyNumberFormat="1" applyFont="1" applyFill="1" applyBorder="1"/>
    <xf numFmtId="0" fontId="10"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8" borderId="3" xfId="0" applyNumberFormat="1" applyFont="1" applyFill="1" applyBorder="1"/>
    <xf numFmtId="0" fontId="0" fillId="38" borderId="2" xfId="0" applyFont="1" applyFill="1" applyBorder="1"/>
    <xf numFmtId="0" fontId="0" fillId="38" borderId="3" xfId="0" applyFont="1" applyFill="1" applyBorder="1"/>
    <xf numFmtId="0" fontId="0" fillId="38" borderId="4" xfId="0" applyFont="1" applyFill="1" applyBorder="1"/>
    <xf numFmtId="0" fontId="0" fillId="0" borderId="0" xfId="0" applyFont="1" applyBorder="1"/>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43" borderId="0" xfId="0" applyFill="1"/>
    <xf numFmtId="0" fontId="0" fillId="44" borderId="0" xfId="0" applyFill="1"/>
    <xf numFmtId="0" fontId="0" fillId="45" borderId="0" xfId="0" applyFill="1"/>
    <xf numFmtId="0" fontId="0" fillId="46"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1" fillId="0" borderId="0" xfId="0" applyFont="1" applyAlignment="1">
      <alignment horizontal="center"/>
    </xf>
    <xf numFmtId="0" fontId="11" fillId="0" borderId="0" xfId="0" applyFont="1" applyFill="1" applyAlignment="1">
      <alignment horizontal="center"/>
    </xf>
    <xf numFmtId="0" fontId="11" fillId="30" borderId="0" xfId="0" applyFont="1" applyFill="1" applyAlignment="1">
      <alignment horizontal="center"/>
    </xf>
    <xf numFmtId="0" fontId="11" fillId="28" borderId="0" xfId="0" applyFont="1" applyFill="1" applyAlignment="1">
      <alignment horizontal="center"/>
    </xf>
    <xf numFmtId="0" fontId="11" fillId="29" borderId="0" xfId="0" applyFont="1" applyFill="1" applyAlignment="1">
      <alignment horizontal="center"/>
    </xf>
    <xf numFmtId="0" fontId="11" fillId="26" borderId="0" xfId="0" applyFont="1" applyFill="1" applyAlignment="1">
      <alignment horizontal="center"/>
    </xf>
    <xf numFmtId="0" fontId="11" fillId="27" borderId="0" xfId="0" applyFont="1" applyFill="1" applyAlignment="1">
      <alignment horizontal="center"/>
    </xf>
    <xf numFmtId="0" fontId="11" fillId="0" borderId="0" xfId="0" applyFont="1" applyFill="1" applyAlignment="1">
      <alignment horizontal="right"/>
    </xf>
    <xf numFmtId="0" fontId="0" fillId="25" borderId="2" xfId="0" applyFill="1" applyBorder="1" applyAlignment="1">
      <alignment horizontal="center"/>
    </xf>
    <xf numFmtId="0" fontId="0" fillId="25" borderId="4" xfId="0" applyFill="1" applyBorder="1" applyAlignment="1">
      <alignment horizontal="center"/>
    </xf>
    <xf numFmtId="0" fontId="0" fillId="25" borderId="3" xfId="0" applyFill="1" applyBorder="1"/>
    <xf numFmtId="0" fontId="9" fillId="0" borderId="0" xfId="0" applyFont="1" applyAlignment="1">
      <alignment horizontal="left"/>
    </xf>
    <xf numFmtId="0" fontId="0" fillId="0" borderId="15" xfId="0" applyFont="1" applyBorder="1"/>
    <xf numFmtId="0" fontId="0" fillId="0" borderId="1" xfId="0" applyFont="1" applyBorder="1"/>
    <xf numFmtId="0" fontId="0" fillId="0" borderId="0" xfId="0" applyBorder="1" applyAlignment="1"/>
    <xf numFmtId="0" fontId="0" fillId="47" borderId="0" xfId="0" applyFill="1"/>
    <xf numFmtId="0" fontId="0" fillId="48" borderId="0" xfId="0" applyFill="1"/>
    <xf numFmtId="0" fontId="0" fillId="49" borderId="0" xfId="0" applyFill="1"/>
    <xf numFmtId="0" fontId="0" fillId="50" borderId="0" xfId="0" applyFill="1"/>
    <xf numFmtId="0" fontId="1" fillId="2" borderId="0" xfId="0" applyNumberFormat="1" applyFont="1" applyFill="1"/>
    <xf numFmtId="0" fontId="0" fillId="0" borderId="0" xfId="0" applyNumberFormat="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49" fontId="0" fillId="0" borderId="16" xfId="0" applyNumberFormat="1" applyBorder="1"/>
    <xf numFmtId="49" fontId="0" fillId="0" borderId="17" xfId="0" applyNumberFormat="1" applyBorder="1"/>
    <xf numFmtId="49" fontId="0" fillId="0" borderId="18" xfId="0" applyNumberFormat="1" applyBorder="1"/>
    <xf numFmtId="49" fontId="0" fillId="0" borderId="19" xfId="0" applyNumberFormat="1" applyBorder="1"/>
    <xf numFmtId="49" fontId="0" fillId="0" borderId="20" xfId="0" applyNumberFormat="1" applyBorder="1"/>
    <xf numFmtId="49" fontId="0" fillId="0" borderId="21" xfId="0" applyNumberFormat="1" applyBorder="1"/>
    <xf numFmtId="49" fontId="0" fillId="0" borderId="22" xfId="0" applyNumberFormat="1" applyBorder="1"/>
    <xf numFmtId="49" fontId="0" fillId="0" borderId="23" xfId="0" applyNumberFormat="1" applyBorder="1"/>
    <xf numFmtId="49" fontId="0" fillId="0" borderId="24" xfId="0" applyNumberFormat="1" applyBorder="1"/>
    <xf numFmtId="49" fontId="0" fillId="0" borderId="25" xfId="0" applyNumberFormat="1" applyBorder="1"/>
    <xf numFmtId="49" fontId="0" fillId="0" borderId="26" xfId="0" applyNumberFormat="1" applyBorder="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0" fontId="8" fillId="86" borderId="0" xfId="0" applyFont="1" applyFill="1" applyAlignment="1">
      <alignment horizontal="center"/>
    </xf>
    <xf numFmtId="0" fontId="8" fillId="86" borderId="0" xfId="0" applyFont="1"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0" fillId="192" borderId="0" xfId="0" applyFill="1"/>
    <xf numFmtId="0" fontId="0" fillId="193" borderId="0" xfId="0" applyFill="1"/>
    <xf numFmtId="0" fontId="0" fillId="194" borderId="0" xfId="0" applyFill="1"/>
    <xf numFmtId="0" fontId="0" fillId="195" borderId="0" xfId="0" applyFill="1"/>
    <xf numFmtId="0" fontId="0" fillId="196" borderId="0" xfId="0" applyFill="1"/>
    <xf numFmtId="0" fontId="0" fillId="197" borderId="0" xfId="0" applyFill="1"/>
    <xf numFmtId="0" fontId="0" fillId="198" borderId="0" xfId="0" applyFill="1"/>
    <xf numFmtId="0" fontId="0" fillId="199" borderId="0" xfId="0" applyFill="1"/>
    <xf numFmtId="0" fontId="0" fillId="200" borderId="0" xfId="0" applyFill="1"/>
    <xf numFmtId="0" fontId="0" fillId="201" borderId="0" xfId="0" applyFill="1"/>
    <xf numFmtId="0" fontId="0" fillId="202" borderId="0" xfId="0" applyFill="1"/>
    <xf numFmtId="0" fontId="0" fillId="203" borderId="0" xfId="0" applyFill="1"/>
    <xf numFmtId="0" fontId="0" fillId="204" borderId="0" xfId="0" applyFill="1"/>
    <xf numFmtId="0" fontId="0" fillId="205" borderId="0" xfId="0" applyFill="1"/>
    <xf numFmtId="0" fontId="0" fillId="206" borderId="0" xfId="0" applyFill="1"/>
    <xf numFmtId="0" fontId="0" fillId="207" borderId="0" xfId="0" applyFill="1"/>
    <xf numFmtId="0" fontId="0" fillId="208" borderId="0" xfId="0" applyFill="1"/>
    <xf numFmtId="0" fontId="0" fillId="209" borderId="0" xfId="0" applyFill="1"/>
    <xf numFmtId="0" fontId="0" fillId="210" borderId="0" xfId="0" applyFill="1"/>
    <xf numFmtId="0" fontId="0" fillId="211" borderId="0" xfId="0" applyFill="1"/>
    <xf numFmtId="0" fontId="0" fillId="212" borderId="0" xfId="0" applyFill="1"/>
    <xf numFmtId="0" fontId="0" fillId="213" borderId="0" xfId="0" applyFill="1"/>
    <xf numFmtId="0" fontId="0" fillId="214" borderId="0" xfId="0" applyFill="1"/>
    <xf numFmtId="0" fontId="0" fillId="215" borderId="0" xfId="0" applyFill="1"/>
    <xf numFmtId="0" fontId="0" fillId="216" borderId="0" xfId="0" applyFill="1"/>
    <xf numFmtId="0" fontId="0" fillId="217" borderId="0" xfId="0" applyFill="1"/>
    <xf numFmtId="0" fontId="0" fillId="218" borderId="0" xfId="0" applyFill="1"/>
    <xf numFmtId="0" fontId="0" fillId="219" borderId="0" xfId="0" applyFill="1"/>
    <xf numFmtId="0" fontId="0" fillId="220" borderId="0" xfId="0" applyFill="1"/>
    <xf numFmtId="0" fontId="0" fillId="221" borderId="0" xfId="0" applyFill="1"/>
    <xf numFmtId="0" fontId="0" fillId="222" borderId="0" xfId="0" applyFill="1"/>
    <xf numFmtId="0" fontId="0" fillId="223" borderId="0" xfId="0" applyFill="1"/>
    <xf numFmtId="0" fontId="0" fillId="224" borderId="0" xfId="0" applyFill="1"/>
    <xf numFmtId="0" fontId="0" fillId="225" borderId="0" xfId="0" applyFill="1"/>
    <xf numFmtId="0" fontId="0" fillId="226" borderId="0" xfId="0" applyFill="1"/>
    <xf numFmtId="0" fontId="0" fillId="227" borderId="0" xfId="0" applyFill="1"/>
    <xf numFmtId="0" fontId="0" fillId="228" borderId="0" xfId="0" applyFill="1"/>
    <xf numFmtId="0" fontId="0" fillId="229" borderId="0" xfId="0" applyFill="1"/>
    <xf numFmtId="0" fontId="0" fillId="230" borderId="0" xfId="0" applyFill="1"/>
    <xf numFmtId="0" fontId="0" fillId="231" borderId="0" xfId="0" applyFill="1"/>
    <xf numFmtId="0" fontId="0" fillId="232" borderId="0" xfId="0" applyFill="1"/>
    <xf numFmtId="0" fontId="0" fillId="233" borderId="0" xfId="0" applyFill="1"/>
    <xf numFmtId="0" fontId="0" fillId="234" borderId="0" xfId="0" applyFill="1"/>
    <xf numFmtId="0" fontId="0" fillId="235" borderId="0" xfId="0" applyFill="1"/>
    <xf numFmtId="0" fontId="0" fillId="236" borderId="0" xfId="0" applyFill="1"/>
    <xf numFmtId="0" fontId="0" fillId="237" borderId="0" xfId="0" applyFill="1"/>
    <xf numFmtId="0" fontId="0" fillId="238" borderId="0" xfId="0" applyFill="1"/>
    <xf numFmtId="0" fontId="0" fillId="239" borderId="0" xfId="0" applyFill="1"/>
    <xf numFmtId="0" fontId="0" fillId="240" borderId="0" xfId="0" applyFill="1"/>
    <xf numFmtId="0" fontId="0" fillId="241" borderId="0" xfId="0" applyFill="1"/>
    <xf numFmtId="49" fontId="12" fillId="0" borderId="16" xfId="0" applyNumberFormat="1" applyFont="1" applyBorder="1"/>
    <xf numFmtId="0" fontId="1" fillId="0" borderId="43" xfId="0" applyFont="1" applyBorder="1" applyAlignment="1">
      <alignment horizontal="center"/>
    </xf>
    <xf numFmtId="0" fontId="1" fillId="0" borderId="44" xfId="0" applyFont="1" applyBorder="1" applyAlignment="1">
      <alignment horizontal="center"/>
    </xf>
    <xf numFmtId="0" fontId="0" fillId="0" borderId="42" xfId="0" applyFont="1" applyBorder="1"/>
    <xf numFmtId="0" fontId="0" fillId="0" borderId="43" xfId="0" applyFont="1" applyBorder="1"/>
    <xf numFmtId="0" fontId="0" fillId="0" borderId="44" xfId="0" applyFont="1" applyBorder="1"/>
    <xf numFmtId="0" fontId="0" fillId="0" borderId="45" xfId="0" applyFont="1" applyBorder="1"/>
    <xf numFmtId="0" fontId="0" fillId="0" borderId="46" xfId="0" applyFont="1" applyBorder="1"/>
    <xf numFmtId="0" fontId="0" fillId="0" borderId="47" xfId="0" applyFont="1" applyBorder="1"/>
    <xf numFmtId="0" fontId="0" fillId="0" borderId="48" xfId="0" applyFont="1" applyBorder="1"/>
    <xf numFmtId="0" fontId="0" fillId="0" borderId="49" xfId="0" applyFont="1" applyBorder="1"/>
    <xf numFmtId="0" fontId="12" fillId="0" borderId="49" xfId="0" applyFont="1" applyBorder="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6"/>
  <sheetViews>
    <sheetView topLeftCell="C33" zoomScale="125" zoomScaleNormal="125" zoomScalePageLayoutView="125" workbookViewId="0">
      <selection activeCell="C67" sqref="C67"/>
    </sheetView>
  </sheetViews>
  <sheetFormatPr baseColWidth="10" defaultColWidth="8.83203125" defaultRowHeight="13" x14ac:dyDescent="0.15"/>
  <cols>
    <col min="2" max="2" width="16" customWidth="1"/>
    <col min="3" max="3" width="828.83203125" customWidth="1"/>
  </cols>
  <sheetData>
    <row r="2" spans="2:4" x14ac:dyDescent="0.15">
      <c r="B2" t="s">
        <v>145</v>
      </c>
    </row>
    <row r="3" spans="2:4" x14ac:dyDescent="0.15">
      <c r="B3" t="s">
        <v>146</v>
      </c>
    </row>
    <row r="4" spans="2:4" x14ac:dyDescent="0.15">
      <c r="B4" s="62" t="s">
        <v>163</v>
      </c>
    </row>
    <row r="6" spans="2:4" ht="14" thickBot="1" x14ac:dyDescent="0.2">
      <c r="B6" s="46" t="s">
        <v>141</v>
      </c>
    </row>
    <row r="7" spans="2:4" x14ac:dyDescent="0.15">
      <c r="B7" s="62" t="s">
        <v>143</v>
      </c>
    </row>
    <row r="8" spans="2:4" x14ac:dyDescent="0.15">
      <c r="B8" s="62" t="s">
        <v>142</v>
      </c>
    </row>
    <row r="9" spans="2:4" x14ac:dyDescent="0.15">
      <c r="B9" s="62" t="s">
        <v>144</v>
      </c>
    </row>
    <row r="10" spans="2:4" x14ac:dyDescent="0.15">
      <c r="B10" s="62" t="s">
        <v>147</v>
      </c>
    </row>
    <row r="11" spans="2:4" x14ac:dyDescent="0.15">
      <c r="B11" s="62" t="s">
        <v>151</v>
      </c>
    </row>
    <row r="12" spans="2:4" x14ac:dyDescent="0.15">
      <c r="B12" s="62" t="s">
        <v>153</v>
      </c>
    </row>
    <row r="13" spans="2:4" x14ac:dyDescent="0.15">
      <c r="B13" s="62" t="s">
        <v>164</v>
      </c>
    </row>
    <row r="15" spans="2:4" ht="14" thickBot="1" x14ac:dyDescent="0.2"/>
    <row r="16" spans="2:4" ht="14" thickBot="1" x14ac:dyDescent="0.2">
      <c r="B16" s="47" t="s">
        <v>137</v>
      </c>
      <c r="C16" s="48"/>
      <c r="D16" s="30">
        <v>41373</v>
      </c>
    </row>
    <row r="17" spans="2:4" x14ac:dyDescent="0.15">
      <c r="B17" s="49" t="s">
        <v>58</v>
      </c>
      <c r="C17" s="33">
        <v>0</v>
      </c>
    </row>
    <row r="18" spans="2:4" x14ac:dyDescent="0.15">
      <c r="B18" s="49" t="s">
        <v>59</v>
      </c>
      <c r="C18" s="33">
        <v>1</v>
      </c>
    </row>
    <row r="19" spans="2:4" x14ac:dyDescent="0.15">
      <c r="B19" s="49" t="s">
        <v>60</v>
      </c>
      <c r="C19" s="33">
        <v>2</v>
      </c>
    </row>
    <row r="20" spans="2:4" ht="14" thickBot="1" x14ac:dyDescent="0.2">
      <c r="B20" s="50" t="s">
        <v>44</v>
      </c>
      <c r="C20" s="34">
        <v>3</v>
      </c>
    </row>
    <row r="21" spans="2:4" x14ac:dyDescent="0.15">
      <c r="B21" s="51" t="s">
        <v>140</v>
      </c>
    </row>
    <row r="22" spans="2:4" ht="14" thickBot="1" x14ac:dyDescent="0.2"/>
    <row r="23" spans="2:4" ht="14" thickBot="1" x14ac:dyDescent="0.2">
      <c r="B23" s="47" t="s">
        <v>65</v>
      </c>
      <c r="C23" s="48"/>
      <c r="D23" s="30" t="s">
        <v>148</v>
      </c>
    </row>
    <row r="24" spans="2:4" x14ac:dyDescent="0.15">
      <c r="B24" s="53" t="s">
        <v>38</v>
      </c>
      <c r="C24" s="31">
        <v>1</v>
      </c>
    </row>
    <row r="25" spans="2:4" x14ac:dyDescent="0.15">
      <c r="B25" s="49" t="s">
        <v>40</v>
      </c>
      <c r="C25" s="33">
        <v>1.1000000000000001</v>
      </c>
    </row>
    <row r="26" spans="2:4" x14ac:dyDescent="0.15">
      <c r="B26" s="49" t="s">
        <v>41</v>
      </c>
      <c r="C26" s="33">
        <v>1.2</v>
      </c>
    </row>
    <row r="27" spans="2:4" x14ac:dyDescent="0.15">
      <c r="B27" s="49"/>
      <c r="C27" s="33"/>
    </row>
    <row r="28" spans="2:4" x14ac:dyDescent="0.15">
      <c r="B28" s="49" t="s">
        <v>42</v>
      </c>
      <c r="C28" s="33">
        <v>2.1</v>
      </c>
    </row>
    <row r="29" spans="2:4" x14ac:dyDescent="0.15">
      <c r="B29" s="49" t="s">
        <v>43</v>
      </c>
      <c r="C29" s="33">
        <v>2.2000000000000002</v>
      </c>
    </row>
    <row r="30" spans="2:4" x14ac:dyDescent="0.15">
      <c r="B30" s="49" t="s">
        <v>67</v>
      </c>
      <c r="C30" s="33">
        <v>2.2999999999999998</v>
      </c>
    </row>
    <row r="31" spans="2:4" x14ac:dyDescent="0.15">
      <c r="B31" s="49"/>
      <c r="C31" s="33"/>
    </row>
    <row r="32" spans="2:4" x14ac:dyDescent="0.15">
      <c r="B32" s="49" t="s">
        <v>62</v>
      </c>
      <c r="C32" s="33">
        <v>3.11</v>
      </c>
    </row>
    <row r="33" spans="2:3" x14ac:dyDescent="0.15">
      <c r="B33" s="49" t="s">
        <v>61</v>
      </c>
      <c r="C33" s="33">
        <v>3.12</v>
      </c>
    </row>
    <row r="34" spans="2:3" x14ac:dyDescent="0.15">
      <c r="B34" s="49" t="s">
        <v>68</v>
      </c>
      <c r="C34" s="33">
        <v>3.13</v>
      </c>
    </row>
    <row r="35" spans="2:3" x14ac:dyDescent="0.15">
      <c r="B35" s="49"/>
      <c r="C35" s="33"/>
    </row>
    <row r="36" spans="2:3" x14ac:dyDescent="0.15">
      <c r="B36" s="49" t="s">
        <v>66</v>
      </c>
      <c r="C36" s="33">
        <v>3.21</v>
      </c>
    </row>
    <row r="37" spans="2:3" x14ac:dyDescent="0.15">
      <c r="B37" s="49" t="s">
        <v>63</v>
      </c>
      <c r="C37" s="33">
        <v>3.22</v>
      </c>
    </row>
    <row r="38" spans="2:3" x14ac:dyDescent="0.15">
      <c r="B38" s="49" t="s">
        <v>69</v>
      </c>
      <c r="C38" s="33">
        <v>3.23</v>
      </c>
    </row>
    <row r="39" spans="2:3" x14ac:dyDescent="0.15">
      <c r="B39" s="49"/>
      <c r="C39" s="33"/>
    </row>
    <row r="40" spans="2:3" x14ac:dyDescent="0.15">
      <c r="B40" s="49" t="s">
        <v>64</v>
      </c>
      <c r="C40" s="33">
        <v>8</v>
      </c>
    </row>
    <row r="41" spans="2:3" x14ac:dyDescent="0.15">
      <c r="B41" s="49"/>
      <c r="C41" s="33"/>
    </row>
    <row r="42" spans="2:3" x14ac:dyDescent="0.15">
      <c r="B42" s="49" t="s">
        <v>71</v>
      </c>
      <c r="C42" s="33">
        <v>4.0999999999999996</v>
      </c>
    </row>
    <row r="43" spans="2:3" x14ac:dyDescent="0.15">
      <c r="B43" s="49" t="s">
        <v>70</v>
      </c>
      <c r="C43" s="33">
        <v>4.2</v>
      </c>
    </row>
    <row r="44" spans="2:3" x14ac:dyDescent="0.15">
      <c r="B44" s="49" t="s">
        <v>72</v>
      </c>
      <c r="C44" s="33">
        <v>4.3</v>
      </c>
    </row>
    <row r="45" spans="2:3" x14ac:dyDescent="0.15">
      <c r="B45" s="32"/>
      <c r="C45" s="33"/>
    </row>
    <row r="46" spans="2:3" x14ac:dyDescent="0.15">
      <c r="B46" s="49" t="s">
        <v>138</v>
      </c>
      <c r="C46" s="33">
        <v>6.1</v>
      </c>
    </row>
    <row r="47" spans="2:3" x14ac:dyDescent="0.15">
      <c r="B47" s="49" t="s">
        <v>45</v>
      </c>
      <c r="C47" s="33">
        <v>6.2</v>
      </c>
    </row>
    <row r="48" spans="2:3" x14ac:dyDescent="0.15">
      <c r="B48" s="49"/>
      <c r="C48" s="33"/>
    </row>
    <row r="49" spans="2:3" x14ac:dyDescent="0.15">
      <c r="B49" s="49" t="s">
        <v>44</v>
      </c>
      <c r="C49" s="33">
        <v>5</v>
      </c>
    </row>
    <row r="50" spans="2:3" x14ac:dyDescent="0.15">
      <c r="B50" s="49"/>
      <c r="C50" s="33"/>
    </row>
    <row r="51" spans="2:3" ht="14" thickBot="1" x14ac:dyDescent="0.2">
      <c r="B51" s="50" t="s">
        <v>73</v>
      </c>
      <c r="C51" s="34">
        <v>7</v>
      </c>
    </row>
    <row r="53" spans="2:3" x14ac:dyDescent="0.15">
      <c r="B53" s="167" t="s">
        <v>170</v>
      </c>
      <c r="C53">
        <v>456</v>
      </c>
    </row>
    <row r="54" spans="2:3" x14ac:dyDescent="0.15">
      <c r="B54" s="167" t="s">
        <v>171</v>
      </c>
      <c r="C54" s="167" t="s">
        <v>184</v>
      </c>
    </row>
    <row r="55" spans="2:3" x14ac:dyDescent="0.15">
      <c r="B55" s="167" t="s">
        <v>172</v>
      </c>
      <c r="C55" s="167" t="s">
        <v>185</v>
      </c>
    </row>
    <row r="56" spans="2:3" x14ac:dyDescent="0.15">
      <c r="B56" s="167" t="s">
        <v>173</v>
      </c>
      <c r="C56">
        <v>830</v>
      </c>
    </row>
    <row r="57" spans="2:3" x14ac:dyDescent="0.15">
      <c r="B57" s="167" t="s">
        <v>174</v>
      </c>
      <c r="C57" s="167" t="s">
        <v>186</v>
      </c>
    </row>
    <row r="58" spans="2:3" x14ac:dyDescent="0.15">
      <c r="B58" s="167" t="s">
        <v>175</v>
      </c>
      <c r="C58" s="167" t="s">
        <v>187</v>
      </c>
    </row>
    <row r="59" spans="2:3" x14ac:dyDescent="0.15">
      <c r="B59" s="167" t="s">
        <v>176</v>
      </c>
      <c r="C59" s="167" t="s">
        <v>188</v>
      </c>
    </row>
    <row r="60" spans="2:3" x14ac:dyDescent="0.15">
      <c r="B60" s="167" t="s">
        <v>177</v>
      </c>
      <c r="C60" s="167" t="s">
        <v>189</v>
      </c>
    </row>
    <row r="61" spans="2:3" x14ac:dyDescent="0.15">
      <c r="B61" s="167" t="s">
        <v>178</v>
      </c>
      <c r="C61">
        <v>80</v>
      </c>
    </row>
    <row r="62" spans="2:3" x14ac:dyDescent="0.15">
      <c r="B62" s="167" t="s">
        <v>179</v>
      </c>
      <c r="C62">
        <v>14</v>
      </c>
    </row>
    <row r="63" spans="2:3" x14ac:dyDescent="0.15">
      <c r="B63" s="167" t="s">
        <v>180</v>
      </c>
      <c r="C63">
        <v>2007</v>
      </c>
    </row>
    <row r="64" spans="2:3" x14ac:dyDescent="0.15">
      <c r="B64" s="167" t="s">
        <v>181</v>
      </c>
      <c r="C64">
        <v>1</v>
      </c>
    </row>
    <row r="65" spans="2:3" x14ac:dyDescent="0.15">
      <c r="B65" s="167" t="s">
        <v>182</v>
      </c>
      <c r="C65" s="351" t="s">
        <v>190</v>
      </c>
    </row>
    <row r="66" spans="2:3" x14ac:dyDescent="0.15">
      <c r="B66" s="167" t="s">
        <v>183</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47" activePane="bottomLeft" state="frozenSplit"/>
      <selection activeCell="E1" sqref="E1"/>
      <selection pane="bottomLeft" activeCell="F74" sqref="E64:F74"/>
    </sheetView>
  </sheetViews>
  <sheetFormatPr baseColWidth="10" defaultColWidth="8.83203125" defaultRowHeight="15" customHeight="1" x14ac:dyDescent="0.15"/>
  <cols>
    <col min="1" max="1" width="22.5" style="82" customWidth="1"/>
    <col min="2" max="3" width="3.33203125" style="82" customWidth="1"/>
    <col min="4" max="4" width="14.33203125" style="82" customWidth="1"/>
    <col min="5" max="5" width="29.6640625" style="82" bestFit="1" customWidth="1"/>
    <col min="6" max="6" width="2.33203125" style="82" bestFit="1" customWidth="1"/>
    <col min="7" max="7" width="14.5" style="82" bestFit="1" customWidth="1"/>
    <col min="8" max="9" width="6.83203125" style="82" customWidth="1"/>
    <col min="10" max="11" width="13.83203125" style="82" customWidth="1"/>
    <col min="12" max="12" width="2.33203125" style="82" customWidth="1"/>
    <col min="13" max="13" width="3.83203125" style="82" customWidth="1"/>
    <col min="14" max="14" width="4.33203125" style="82" customWidth="1"/>
    <col min="16" max="25" width="8.83203125" style="82"/>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82"/>
  </cols>
  <sheetData>
    <row r="1" spans="1:46" s="96" customFormat="1" ht="15" customHeight="1" x14ac:dyDescent="0.15">
      <c r="A1" s="79" t="s">
        <v>18</v>
      </c>
      <c r="C1" s="80" t="s">
        <v>8</v>
      </c>
      <c r="D1" s="79" t="s">
        <v>23</v>
      </c>
      <c r="E1" s="79" t="s">
        <v>0</v>
      </c>
      <c r="F1" s="79" t="s">
        <v>7</v>
      </c>
      <c r="G1" s="81" t="s">
        <v>13</v>
      </c>
      <c r="H1" s="79" t="s">
        <v>1</v>
      </c>
      <c r="I1" s="79" t="s">
        <v>2</v>
      </c>
      <c r="J1" s="79" t="s">
        <v>14</v>
      </c>
      <c r="K1" s="79" t="s">
        <v>3</v>
      </c>
      <c r="L1" s="79" t="s">
        <v>4</v>
      </c>
      <c r="M1" s="79" t="s">
        <v>5</v>
      </c>
      <c r="N1" s="79" t="s">
        <v>6</v>
      </c>
      <c r="O1"/>
      <c r="Z1"/>
      <c r="AA1"/>
      <c r="AB1"/>
      <c r="AC1"/>
      <c r="AD1"/>
      <c r="AE1"/>
      <c r="AF1"/>
      <c r="AG1"/>
      <c r="AH1"/>
      <c r="AI1"/>
      <c r="AJ1"/>
      <c r="AK1"/>
      <c r="AL1"/>
      <c r="AM1"/>
      <c r="AN1"/>
      <c r="AO1"/>
      <c r="AP1"/>
      <c r="AQ1"/>
      <c r="AR1"/>
      <c r="AS1"/>
      <c r="AT1"/>
    </row>
    <row r="2" spans="1:46" ht="15" customHeight="1" x14ac:dyDescent="0.15">
      <c r="C2" s="96">
        <v>1</v>
      </c>
      <c r="D2"/>
      <c r="E2" s="168" t="s">
        <v>191</v>
      </c>
      <c r="F2" s="82">
        <v>0</v>
      </c>
      <c r="G2" s="82">
        <v>6.0192695800000001E-3</v>
      </c>
      <c r="H2" s="82">
        <v>0.1</v>
      </c>
      <c r="I2" s="6">
        <v>41.07</v>
      </c>
      <c r="J2" s="6">
        <v>0.3</v>
      </c>
      <c r="K2" s="6">
        <v>2.4348674299999999E-3</v>
      </c>
      <c r="L2" s="6">
        <v>0</v>
      </c>
      <c r="M2" s="82">
        <v>0.2</v>
      </c>
      <c r="N2" s="82">
        <v>0</v>
      </c>
    </row>
    <row r="3" spans="1:46" ht="15" customHeight="1" x14ac:dyDescent="0.15">
      <c r="A3" s="1" t="s">
        <v>9</v>
      </c>
      <c r="B3" s="4">
        <v>73</v>
      </c>
      <c r="C3" s="82">
        <v>2</v>
      </c>
      <c r="D3"/>
      <c r="E3" s="168" t="s">
        <v>192</v>
      </c>
      <c r="F3" s="82">
        <v>0</v>
      </c>
      <c r="G3" s="82">
        <v>1.89E-2</v>
      </c>
      <c r="H3" s="82">
        <v>9.8699999999999996E-2</v>
      </c>
      <c r="I3" s="82">
        <v>50.506999999999998</v>
      </c>
      <c r="J3" s="82">
        <v>0.39642226699999999</v>
      </c>
      <c r="K3" s="82">
        <v>1.95418461E-3</v>
      </c>
      <c r="L3" s="82">
        <v>0</v>
      </c>
      <c r="M3" s="82">
        <v>0.2</v>
      </c>
      <c r="N3" s="82">
        <v>0</v>
      </c>
    </row>
    <row r="4" spans="1:46" ht="15" customHeight="1" x14ac:dyDescent="0.15">
      <c r="A4" s="1" t="s">
        <v>10</v>
      </c>
      <c r="B4" s="4">
        <v>7</v>
      </c>
      <c r="C4" s="82">
        <v>3</v>
      </c>
      <c r="D4"/>
      <c r="E4" s="168" t="s">
        <v>193</v>
      </c>
      <c r="F4" s="82">
        <v>0</v>
      </c>
      <c r="G4" s="82">
        <v>1.0373367E-2</v>
      </c>
      <c r="H4" s="82">
        <v>0.09</v>
      </c>
      <c r="I4" s="82">
        <v>40</v>
      </c>
      <c r="J4" s="82">
        <v>0.1</v>
      </c>
      <c r="K4" s="82">
        <v>2.2500001400000001E-3</v>
      </c>
      <c r="L4" s="82">
        <v>0</v>
      </c>
      <c r="M4" s="82">
        <v>0.2</v>
      </c>
      <c r="N4" s="82">
        <v>0</v>
      </c>
      <c r="V4" s="1" t="s">
        <v>29</v>
      </c>
    </row>
    <row r="5" spans="1:46" ht="15" customHeight="1" thickBot="1" x14ac:dyDescent="0.2">
      <c r="A5" s="1" t="s">
        <v>11</v>
      </c>
      <c r="B5" s="4">
        <v>14</v>
      </c>
      <c r="C5" s="82">
        <v>4</v>
      </c>
      <c r="D5"/>
      <c r="E5" s="168" t="s">
        <v>194</v>
      </c>
      <c r="F5" s="82">
        <v>0</v>
      </c>
      <c r="G5" s="82">
        <v>1.2233512199999999E-3</v>
      </c>
      <c r="H5" s="82">
        <v>0.09</v>
      </c>
      <c r="I5" s="82">
        <v>45</v>
      </c>
      <c r="J5" s="82">
        <v>0.1</v>
      </c>
      <c r="K5" s="82">
        <v>2E-3</v>
      </c>
      <c r="L5" s="82">
        <v>0</v>
      </c>
      <c r="M5" s="82">
        <v>0.2</v>
      </c>
      <c r="N5" s="82">
        <v>0</v>
      </c>
      <c r="P5" s="72"/>
      <c r="Q5" s="72"/>
      <c r="R5" s="72"/>
    </row>
    <row r="6" spans="1:46" ht="15" customHeight="1" thickBot="1" x14ac:dyDescent="0.2">
      <c r="B6" s="1"/>
      <c r="C6" s="82">
        <v>5</v>
      </c>
      <c r="D6"/>
      <c r="E6" s="168" t="s">
        <v>195</v>
      </c>
      <c r="F6" s="82">
        <v>0</v>
      </c>
      <c r="G6" s="82">
        <v>1.30499993E-2</v>
      </c>
      <c r="H6" s="82">
        <v>0.3</v>
      </c>
      <c r="I6" s="82">
        <v>6.4</v>
      </c>
      <c r="J6" s="82">
        <v>0.86631274199999997</v>
      </c>
      <c r="K6" s="82">
        <v>4.6875E-2</v>
      </c>
      <c r="L6" s="82">
        <v>0</v>
      </c>
      <c r="M6" s="82">
        <v>0.2</v>
      </c>
      <c r="N6" s="82">
        <v>0</v>
      </c>
      <c r="P6" s="72"/>
      <c r="Q6" s="72"/>
      <c r="R6" s="72"/>
      <c r="W6" s="36" t="s">
        <v>31</v>
      </c>
      <c r="X6" s="52">
        <f>MAX(MainOutputs!G:G)</f>
        <v>0.99799996614456177</v>
      </c>
    </row>
    <row r="7" spans="1:46" ht="15" customHeight="1" x14ac:dyDescent="0.15">
      <c r="A7" s="2" t="s">
        <v>27</v>
      </c>
      <c r="B7" s="82">
        <f ca="1">COUNTIF(OFFSET(cornerDiets,1,1,NumLiving+NumDead+1,NumLiving+NumDead),"&gt;0")+NumLiving+NumDead+1</f>
        <v>756</v>
      </c>
      <c r="C7" s="82">
        <v>6</v>
      </c>
      <c r="D7"/>
      <c r="E7" s="168" t="s">
        <v>196</v>
      </c>
      <c r="F7" s="82">
        <v>0</v>
      </c>
      <c r="G7" s="82">
        <v>7.3200000000000001E-3</v>
      </c>
      <c r="H7" s="82">
        <v>0.32</v>
      </c>
      <c r="I7" s="82">
        <v>10.4</v>
      </c>
      <c r="J7" s="82">
        <v>0.60652569999999995</v>
      </c>
      <c r="K7" s="82">
        <v>3.0769230000000002E-2</v>
      </c>
      <c r="L7" s="82">
        <v>0</v>
      </c>
      <c r="M7" s="82">
        <v>0.2</v>
      </c>
      <c r="N7" s="82">
        <v>0</v>
      </c>
      <c r="P7" s="72"/>
      <c r="Q7" s="72"/>
      <c r="R7" s="72"/>
    </row>
    <row r="8" spans="1:46" ht="15" customHeight="1" x14ac:dyDescent="0.15">
      <c r="A8" s="2" t="s">
        <v>28</v>
      </c>
      <c r="B8" s="82">
        <f ca="1">COUNTIF(OFFSET(cornerFishing,1,2,NumLiving+NumDead,NumGears),"&gt;0")+NumDead*COUNTIF(OFFSET(cornerDiscards,1,2,NumLiving+NumDead,NumGears),"&gt;0")+NumLiving+NumDead+1</f>
        <v>315</v>
      </c>
      <c r="C8" s="82">
        <v>7</v>
      </c>
      <c r="D8"/>
      <c r="E8" s="168" t="s">
        <v>197</v>
      </c>
      <c r="F8" s="82">
        <v>0</v>
      </c>
      <c r="G8" s="82">
        <v>0.83899999999999997</v>
      </c>
      <c r="H8" s="82">
        <v>0.38</v>
      </c>
      <c r="I8" s="82">
        <v>7.72</v>
      </c>
      <c r="J8" s="82">
        <v>1.7534713299999999E-3</v>
      </c>
      <c r="K8" s="82">
        <v>4.9222797200000001E-2</v>
      </c>
      <c r="L8" s="82">
        <v>0</v>
      </c>
      <c r="M8" s="82">
        <v>0.2</v>
      </c>
      <c r="N8" s="82">
        <v>0</v>
      </c>
      <c r="P8" s="72"/>
      <c r="Q8" s="72"/>
      <c r="R8" s="72"/>
    </row>
    <row r="9" spans="1:46" ht="15" customHeight="1" x14ac:dyDescent="0.15">
      <c r="B9" s="1"/>
      <c r="C9" s="82">
        <v>8</v>
      </c>
      <c r="D9"/>
      <c r="E9" s="168" t="s">
        <v>198</v>
      </c>
      <c r="F9" s="82">
        <v>0</v>
      </c>
      <c r="G9" s="82">
        <v>0.22</v>
      </c>
      <c r="H9" s="82">
        <v>0.6</v>
      </c>
      <c r="I9" s="82">
        <v>3.9</v>
      </c>
      <c r="J9" s="82">
        <v>0.80683139999999998</v>
      </c>
      <c r="K9" s="82">
        <v>0.15384616000000001</v>
      </c>
      <c r="L9" s="82">
        <v>0</v>
      </c>
      <c r="M9" s="82">
        <v>0.2</v>
      </c>
      <c r="N9" s="82">
        <v>0</v>
      </c>
      <c r="P9" s="72"/>
      <c r="Q9" s="72"/>
      <c r="R9" s="72"/>
    </row>
    <row r="10" spans="1:46" ht="15" customHeight="1" x14ac:dyDescent="0.15">
      <c r="B10" s="1"/>
      <c r="C10" s="82">
        <v>9</v>
      </c>
      <c r="D10"/>
      <c r="E10" s="168" t="s">
        <v>199</v>
      </c>
      <c r="F10" s="82">
        <v>0</v>
      </c>
      <c r="G10" s="82">
        <v>8.0199999999999994E-2</v>
      </c>
      <c r="H10" s="82">
        <v>0.67</v>
      </c>
      <c r="I10" s="82">
        <v>3.8</v>
      </c>
      <c r="J10" s="82">
        <v>0.56699770000000005</v>
      </c>
      <c r="K10" s="82">
        <v>0.17631579999999999</v>
      </c>
      <c r="L10" s="82">
        <v>0</v>
      </c>
      <c r="M10" s="82">
        <v>0.2</v>
      </c>
      <c r="N10" s="82">
        <v>0</v>
      </c>
    </row>
    <row r="11" spans="1:46" ht="15" customHeight="1" x14ac:dyDescent="0.15">
      <c r="C11" s="82">
        <v>10</v>
      </c>
      <c r="D11"/>
      <c r="E11" s="168" t="s">
        <v>200</v>
      </c>
      <c r="F11" s="82">
        <v>0</v>
      </c>
      <c r="G11" s="82">
        <v>2.9009999999999998</v>
      </c>
      <c r="H11" s="82">
        <v>0.71</v>
      </c>
      <c r="I11" s="82">
        <v>9.1999999999999993</v>
      </c>
      <c r="J11" s="82">
        <v>9.3462854600000006E-2</v>
      </c>
      <c r="K11" s="82">
        <v>7.7173909999999998E-2</v>
      </c>
      <c r="L11" s="82">
        <v>0</v>
      </c>
      <c r="M11" s="82">
        <v>0.2</v>
      </c>
      <c r="N11" s="82">
        <v>0</v>
      </c>
    </row>
    <row r="12" spans="1:46" ht="15" customHeight="1" x14ac:dyDescent="0.15">
      <c r="C12" s="82">
        <v>11</v>
      </c>
      <c r="D12"/>
      <c r="E12" s="168" t="s">
        <v>201</v>
      </c>
      <c r="F12" s="82">
        <v>0</v>
      </c>
      <c r="G12" s="82">
        <v>29.33</v>
      </c>
      <c r="H12" s="82">
        <v>0.38</v>
      </c>
      <c r="I12" s="82">
        <v>15</v>
      </c>
      <c r="J12" s="82">
        <v>0.34081924000000002</v>
      </c>
      <c r="K12" s="82">
        <v>2.53333338E-2</v>
      </c>
      <c r="L12" s="82">
        <v>0</v>
      </c>
      <c r="M12" s="82">
        <v>0.2</v>
      </c>
      <c r="N12" s="82">
        <v>0</v>
      </c>
    </row>
    <row r="13" spans="1:46" ht="15" customHeight="1" x14ac:dyDescent="0.15">
      <c r="C13" s="82">
        <v>12</v>
      </c>
      <c r="D13"/>
      <c r="E13" s="168" t="s">
        <v>202</v>
      </c>
      <c r="F13" s="82">
        <v>0</v>
      </c>
      <c r="G13" s="82">
        <v>1.369</v>
      </c>
      <c r="H13" s="82">
        <v>0.55000000000000004</v>
      </c>
      <c r="I13" s="82">
        <v>12.2</v>
      </c>
      <c r="J13" s="82">
        <v>0.13025413499999999</v>
      </c>
      <c r="K13" s="82">
        <v>4.5081969999999999E-2</v>
      </c>
      <c r="L13" s="82">
        <v>0</v>
      </c>
      <c r="M13" s="82">
        <v>0.2</v>
      </c>
      <c r="N13" s="82">
        <v>0</v>
      </c>
    </row>
    <row r="14" spans="1:46" ht="15" customHeight="1" x14ac:dyDescent="0.15">
      <c r="C14" s="82">
        <v>13</v>
      </c>
      <c r="D14"/>
      <c r="E14" s="168" t="s">
        <v>203</v>
      </c>
      <c r="F14" s="82">
        <v>0</v>
      </c>
      <c r="G14" s="82">
        <v>1.0309999999999999</v>
      </c>
      <c r="H14" s="82">
        <v>0.63500000000000001</v>
      </c>
      <c r="I14" s="82">
        <v>13.9</v>
      </c>
      <c r="J14" s="82">
        <v>0.12198503300000001</v>
      </c>
      <c r="K14" s="82">
        <v>4.5683454700000001E-2</v>
      </c>
      <c r="L14" s="82">
        <v>0</v>
      </c>
      <c r="M14" s="82">
        <v>0.2</v>
      </c>
      <c r="N14" s="82">
        <v>0</v>
      </c>
    </row>
    <row r="15" spans="1:46" ht="15" customHeight="1" x14ac:dyDescent="0.15">
      <c r="C15" s="82">
        <v>14</v>
      </c>
      <c r="D15"/>
      <c r="E15" s="168" t="s">
        <v>204</v>
      </c>
      <c r="F15" s="82">
        <v>0</v>
      </c>
      <c r="G15" s="82">
        <v>17.082000000000001</v>
      </c>
      <c r="H15" s="82">
        <v>0.52</v>
      </c>
      <c r="I15" s="82">
        <v>29.05</v>
      </c>
      <c r="J15" s="82">
        <v>0.74549860000000001</v>
      </c>
      <c r="K15" s="82">
        <v>1.79001726E-2</v>
      </c>
      <c r="L15" s="82">
        <v>0</v>
      </c>
      <c r="M15" s="82">
        <v>0.2</v>
      </c>
      <c r="N15" s="82">
        <v>0</v>
      </c>
    </row>
    <row r="16" spans="1:46" ht="15" customHeight="1" x14ac:dyDescent="0.15">
      <c r="C16" s="82">
        <v>15</v>
      </c>
      <c r="D16"/>
      <c r="E16" s="168" t="s">
        <v>205</v>
      </c>
      <c r="F16" s="82">
        <v>0</v>
      </c>
      <c r="G16" s="82">
        <v>0.17040000899999999</v>
      </c>
      <c r="H16" s="82">
        <v>1.329</v>
      </c>
      <c r="I16" s="82">
        <v>27.78</v>
      </c>
      <c r="J16" s="82">
        <v>0.17317969999999999</v>
      </c>
      <c r="K16" s="82">
        <v>4.7840170000000001E-2</v>
      </c>
      <c r="L16" s="82">
        <v>0</v>
      </c>
      <c r="M16" s="82">
        <v>0.2</v>
      </c>
      <c r="N16" s="82">
        <v>0</v>
      </c>
    </row>
    <row r="17" spans="1:22" ht="15" customHeight="1" x14ac:dyDescent="0.15">
      <c r="C17" s="82">
        <v>16</v>
      </c>
      <c r="D17"/>
      <c r="E17" s="168" t="s">
        <v>206</v>
      </c>
      <c r="F17" s="82">
        <v>0</v>
      </c>
      <c r="G17" s="82">
        <v>13.03</v>
      </c>
      <c r="H17" s="82">
        <v>0.748</v>
      </c>
      <c r="I17" s="82">
        <v>17.73</v>
      </c>
      <c r="J17" s="82">
        <v>0.36318472000000002</v>
      </c>
      <c r="K17" s="82">
        <v>4.2188383599999997E-2</v>
      </c>
      <c r="L17" s="82">
        <v>0</v>
      </c>
      <c r="M17" s="82">
        <v>0.2</v>
      </c>
      <c r="N17" s="82">
        <v>0</v>
      </c>
      <c r="V17" s="1" t="s">
        <v>30</v>
      </c>
    </row>
    <row r="18" spans="1:22" ht="15" customHeight="1" x14ac:dyDescent="0.15">
      <c r="C18" s="82">
        <v>17</v>
      </c>
      <c r="D18"/>
      <c r="E18" s="168" t="s">
        <v>207</v>
      </c>
      <c r="F18" s="82">
        <v>0</v>
      </c>
      <c r="G18" s="82">
        <v>0.24640000000000001</v>
      </c>
      <c r="H18" s="82">
        <v>0.84199999999999997</v>
      </c>
      <c r="I18" s="82">
        <v>12.3</v>
      </c>
      <c r="J18" s="82">
        <v>0.47115597100000001</v>
      </c>
      <c r="K18" s="82">
        <v>6.8455290000000002E-2</v>
      </c>
      <c r="L18" s="82">
        <v>0</v>
      </c>
      <c r="M18" s="82">
        <v>0.2</v>
      </c>
      <c r="N18" s="82">
        <v>0</v>
      </c>
      <c r="V18" s="1"/>
    </row>
    <row r="19" spans="1:22" ht="15" customHeight="1" x14ac:dyDescent="0.15">
      <c r="C19" s="82">
        <v>18</v>
      </c>
      <c r="D19"/>
      <c r="E19" s="168" t="s">
        <v>208</v>
      </c>
      <c r="F19" s="82">
        <v>0</v>
      </c>
      <c r="G19" s="82">
        <v>2.0279999999999999E-2</v>
      </c>
      <c r="H19" s="82">
        <v>0.53500000000000003</v>
      </c>
      <c r="I19" s="82">
        <v>13.44</v>
      </c>
      <c r="J19" s="82">
        <v>0.95598439999999996</v>
      </c>
      <c r="K19" s="82">
        <v>3.9806552199999998E-2</v>
      </c>
      <c r="L19" s="82">
        <v>0</v>
      </c>
      <c r="M19" s="82">
        <v>0.2</v>
      </c>
      <c r="N19" s="82">
        <v>0</v>
      </c>
    </row>
    <row r="20" spans="1:22" ht="15" customHeight="1" thickBot="1" x14ac:dyDescent="0.2">
      <c r="C20" s="82">
        <v>19</v>
      </c>
      <c r="D20"/>
      <c r="E20" s="168" t="s">
        <v>209</v>
      </c>
      <c r="F20" s="82">
        <v>0</v>
      </c>
      <c r="G20" s="82">
        <v>1.5953999999999999</v>
      </c>
      <c r="H20" s="82">
        <v>6</v>
      </c>
      <c r="I20" s="82">
        <v>13.45</v>
      </c>
      <c r="J20" s="82">
        <v>0.42002746499999999</v>
      </c>
      <c r="K20" s="82">
        <v>0.44609665900000001</v>
      </c>
      <c r="L20" s="82">
        <v>0</v>
      </c>
      <c r="M20" s="82">
        <v>0.2</v>
      </c>
      <c r="N20" s="82">
        <v>0</v>
      </c>
    </row>
    <row r="21" spans="1:22" ht="15" customHeight="1" thickBot="1" x14ac:dyDescent="0.2">
      <c r="A21" s="47" t="s">
        <v>137</v>
      </c>
      <c r="B21" s="97"/>
      <c r="C21" s="82">
        <v>20</v>
      </c>
      <c r="D21"/>
      <c r="E21" s="168" t="s">
        <v>210</v>
      </c>
      <c r="F21" s="82">
        <v>0</v>
      </c>
      <c r="G21" s="82">
        <v>0.1656</v>
      </c>
      <c r="H21" s="82">
        <v>1.2649999999999999</v>
      </c>
      <c r="I21" s="82">
        <v>9.32</v>
      </c>
      <c r="J21" s="82">
        <v>0.72565495999999996</v>
      </c>
      <c r="K21" s="82">
        <v>0.135729611</v>
      </c>
      <c r="L21" s="82">
        <v>0</v>
      </c>
      <c r="M21" s="82">
        <v>0.2</v>
      </c>
      <c r="N21" s="82">
        <v>0</v>
      </c>
    </row>
    <row r="22" spans="1:22" ht="15" customHeight="1" x14ac:dyDescent="0.15">
      <c r="A22" s="98" t="s">
        <v>58</v>
      </c>
      <c r="B22" s="99">
        <v>0</v>
      </c>
      <c r="C22" s="82">
        <v>21</v>
      </c>
      <c r="D22"/>
      <c r="E22" s="168" t="s">
        <v>211</v>
      </c>
      <c r="F22" s="82">
        <v>0</v>
      </c>
      <c r="G22" s="82">
        <v>7.1400000000000005E-2</v>
      </c>
      <c r="H22" s="82">
        <v>0.44</v>
      </c>
      <c r="I22" s="82">
        <v>5.35</v>
      </c>
      <c r="J22" s="82">
        <v>0.69997580000000004</v>
      </c>
      <c r="K22" s="82">
        <v>8.2242990000000002E-2</v>
      </c>
      <c r="L22" s="82">
        <v>0</v>
      </c>
      <c r="M22" s="82">
        <v>0.2</v>
      </c>
      <c r="N22" s="82">
        <v>0</v>
      </c>
    </row>
    <row r="23" spans="1:22" ht="15" customHeight="1" x14ac:dyDescent="0.15">
      <c r="A23" s="98" t="s">
        <v>59</v>
      </c>
      <c r="B23" s="99">
        <v>1</v>
      </c>
      <c r="C23" s="82">
        <v>22</v>
      </c>
      <c r="D23"/>
      <c r="E23" s="168" t="s">
        <v>212</v>
      </c>
      <c r="F23" s="82">
        <v>0</v>
      </c>
      <c r="G23" s="82">
        <v>6.0000002099999999E-5</v>
      </c>
      <c r="H23" s="82">
        <v>1.46</v>
      </c>
      <c r="I23" s="82">
        <v>13.66</v>
      </c>
      <c r="J23" s="82">
        <v>0.95289224400000005</v>
      </c>
      <c r="K23" s="82">
        <v>0.10688141</v>
      </c>
      <c r="L23" s="82">
        <v>0</v>
      </c>
      <c r="M23" s="82">
        <v>0.2</v>
      </c>
      <c r="N23" s="82">
        <v>0</v>
      </c>
    </row>
    <row r="24" spans="1:22" ht="15" customHeight="1" x14ac:dyDescent="0.15">
      <c r="A24" s="98" t="s">
        <v>60</v>
      </c>
      <c r="B24" s="99">
        <v>2</v>
      </c>
      <c r="C24" s="82">
        <v>23</v>
      </c>
      <c r="D24"/>
      <c r="E24" s="168" t="s">
        <v>213</v>
      </c>
      <c r="F24" s="82">
        <v>0</v>
      </c>
      <c r="G24" s="82">
        <v>1.8939999999999999</v>
      </c>
      <c r="H24" s="82">
        <v>0.48499999999999999</v>
      </c>
      <c r="I24" s="82">
        <v>16.75</v>
      </c>
      <c r="J24" s="82">
        <v>0.87011110000000003</v>
      </c>
      <c r="K24" s="82">
        <v>2.89552249E-2</v>
      </c>
      <c r="L24" s="82">
        <v>0</v>
      </c>
      <c r="M24" s="82">
        <v>0.2</v>
      </c>
      <c r="N24" s="82">
        <v>0</v>
      </c>
    </row>
    <row r="25" spans="1:22" ht="15" customHeight="1" thickBot="1" x14ac:dyDescent="0.2">
      <c r="A25" s="100" t="s">
        <v>44</v>
      </c>
      <c r="B25" s="101">
        <v>3</v>
      </c>
      <c r="C25" s="82">
        <v>24</v>
      </c>
      <c r="D25"/>
      <c r="E25" s="168" t="s">
        <v>214</v>
      </c>
      <c r="F25" s="82">
        <v>0</v>
      </c>
      <c r="G25" s="82">
        <v>9.7270000000000003</v>
      </c>
      <c r="H25" s="82">
        <v>1.1419999999999999</v>
      </c>
      <c r="I25" s="82">
        <v>21.29</v>
      </c>
      <c r="J25" s="82">
        <v>0.50255614500000001</v>
      </c>
      <c r="K25" s="82">
        <v>5.3640199999999999E-2</v>
      </c>
      <c r="L25" s="82">
        <v>0</v>
      </c>
      <c r="M25" s="82">
        <v>0.2</v>
      </c>
      <c r="N25" s="82">
        <v>0</v>
      </c>
    </row>
    <row r="26" spans="1:22" ht="15" customHeight="1" x14ac:dyDescent="0.15">
      <c r="A26" s="102" t="s">
        <v>140</v>
      </c>
      <c r="C26" s="82">
        <v>25</v>
      </c>
      <c r="D26"/>
      <c r="E26" s="168" t="s">
        <v>215</v>
      </c>
      <c r="F26" s="82">
        <v>0</v>
      </c>
      <c r="G26" s="82">
        <v>3.2040000000000002</v>
      </c>
      <c r="H26" s="82">
        <v>0.44400000000000001</v>
      </c>
      <c r="I26" s="82">
        <v>7.01</v>
      </c>
      <c r="J26" s="82">
        <v>6.2452390000000003E-2</v>
      </c>
      <c r="K26" s="82">
        <v>6.3338086000000002E-2</v>
      </c>
      <c r="L26" s="82">
        <v>0</v>
      </c>
      <c r="M26" s="82">
        <v>0.2</v>
      </c>
      <c r="N26" s="82">
        <v>0</v>
      </c>
    </row>
    <row r="27" spans="1:22" ht="15" customHeight="1" x14ac:dyDescent="0.15">
      <c r="C27" s="82">
        <v>26</v>
      </c>
      <c r="D27"/>
      <c r="E27" s="168" t="s">
        <v>216</v>
      </c>
      <c r="F27" s="82">
        <v>0</v>
      </c>
      <c r="G27" s="82">
        <v>4.3529999999999998</v>
      </c>
      <c r="H27" s="82">
        <v>1.2889999999999999</v>
      </c>
      <c r="I27" s="82">
        <v>8.86</v>
      </c>
      <c r="J27" s="82">
        <v>0.16777218899999999</v>
      </c>
      <c r="K27" s="82">
        <v>0.14548534199999999</v>
      </c>
      <c r="L27" s="82">
        <v>0</v>
      </c>
      <c r="M27" s="82">
        <v>0.2</v>
      </c>
      <c r="N27" s="82">
        <v>0</v>
      </c>
    </row>
    <row r="28" spans="1:22" ht="15" customHeight="1" x14ac:dyDescent="0.15">
      <c r="C28" s="82">
        <v>27</v>
      </c>
      <c r="D28"/>
      <c r="E28" s="168" t="s">
        <v>217</v>
      </c>
      <c r="F28" s="82">
        <v>0</v>
      </c>
      <c r="G28" s="82">
        <v>0.39800000000000002</v>
      </c>
      <c r="H28" s="82">
        <v>2.0699999999999998</v>
      </c>
      <c r="I28" s="82">
        <v>10</v>
      </c>
      <c r="J28" s="82">
        <v>0.22938571899999999</v>
      </c>
      <c r="K28" s="82">
        <v>0.206999987</v>
      </c>
      <c r="L28" s="82">
        <v>0</v>
      </c>
      <c r="M28" s="82">
        <v>0.2</v>
      </c>
      <c r="N28" s="82">
        <v>0</v>
      </c>
    </row>
    <row r="29" spans="1:22" customFormat="1" ht="15" customHeight="1" x14ac:dyDescent="0.15">
      <c r="C29" s="82">
        <v>28</v>
      </c>
      <c r="E29" s="168" t="s">
        <v>218</v>
      </c>
      <c r="F29" s="82">
        <v>0</v>
      </c>
      <c r="G29" s="82">
        <v>15.57</v>
      </c>
      <c r="H29" s="82">
        <v>0.79</v>
      </c>
      <c r="I29" s="82">
        <v>11.03</v>
      </c>
      <c r="J29" s="82">
        <v>0.208252147</v>
      </c>
      <c r="K29" s="82">
        <v>7.1622850000000002E-2</v>
      </c>
      <c r="L29" s="82">
        <v>0</v>
      </c>
      <c r="M29" s="82">
        <v>0.2</v>
      </c>
      <c r="N29" s="82">
        <v>0</v>
      </c>
    </row>
    <row r="30" spans="1:22" customFormat="1" ht="15" customHeight="1" x14ac:dyDescent="0.15">
      <c r="C30" s="82">
        <v>29</v>
      </c>
      <c r="E30" s="168" t="s">
        <v>219</v>
      </c>
      <c r="F30" s="82">
        <v>0</v>
      </c>
      <c r="G30" s="82">
        <v>2.5799999999999998E-3</v>
      </c>
      <c r="H30" s="82">
        <v>0.65300000000000002</v>
      </c>
      <c r="I30" s="82">
        <v>7.5</v>
      </c>
      <c r="J30" s="82">
        <v>0.96891814499999995</v>
      </c>
      <c r="K30" s="82">
        <v>8.7066665299999998E-2</v>
      </c>
      <c r="L30" s="82">
        <v>0</v>
      </c>
      <c r="M30" s="82">
        <v>0.2</v>
      </c>
      <c r="N30" s="82">
        <v>0</v>
      </c>
    </row>
    <row r="31" spans="1:22" customFormat="1" ht="15" customHeight="1" x14ac:dyDescent="0.15">
      <c r="C31" s="82">
        <v>30</v>
      </c>
      <c r="E31" s="168" t="s">
        <v>220</v>
      </c>
      <c r="F31" s="82">
        <v>0</v>
      </c>
      <c r="G31" s="82">
        <v>0.91700000000000004</v>
      </c>
      <c r="H31" s="82">
        <v>0.65300000000000002</v>
      </c>
      <c r="I31" s="82">
        <v>7.5</v>
      </c>
      <c r="J31" s="82">
        <v>0.125373766</v>
      </c>
      <c r="K31" s="82">
        <v>8.7066665299999998E-2</v>
      </c>
      <c r="L31" s="82">
        <v>0</v>
      </c>
      <c r="M31" s="82">
        <v>0.2</v>
      </c>
      <c r="N31" s="82">
        <v>0</v>
      </c>
    </row>
    <row r="32" spans="1:22" customFormat="1" ht="15" customHeight="1" x14ac:dyDescent="0.15">
      <c r="C32" s="82">
        <v>31</v>
      </c>
      <c r="E32" s="168" t="s">
        <v>221</v>
      </c>
      <c r="F32" s="82">
        <v>0</v>
      </c>
      <c r="G32" s="82">
        <v>2.677</v>
      </c>
      <c r="H32" s="82">
        <v>0.65500000000000003</v>
      </c>
      <c r="I32" s="82">
        <v>14.3</v>
      </c>
      <c r="J32" s="82">
        <v>0.5548284</v>
      </c>
      <c r="K32" s="82">
        <v>4.5804190000000002E-2</v>
      </c>
      <c r="L32" s="82">
        <v>0</v>
      </c>
      <c r="M32" s="82">
        <v>0.2</v>
      </c>
      <c r="N32" s="82">
        <v>0</v>
      </c>
    </row>
    <row r="33" spans="3:14" customFormat="1" ht="15" customHeight="1" x14ac:dyDescent="0.15">
      <c r="C33" s="82">
        <v>32</v>
      </c>
      <c r="E33" s="168" t="s">
        <v>222</v>
      </c>
      <c r="F33" s="82">
        <v>0</v>
      </c>
      <c r="G33" s="82">
        <v>2E-3</v>
      </c>
      <c r="H33" s="82">
        <v>0.42</v>
      </c>
      <c r="I33" s="82">
        <v>6.5</v>
      </c>
      <c r="J33" s="82">
        <v>1.53174633E-2</v>
      </c>
      <c r="K33" s="82">
        <v>6.4615383700000001E-2</v>
      </c>
      <c r="L33" s="82">
        <v>0</v>
      </c>
      <c r="M33" s="82">
        <v>0.2</v>
      </c>
      <c r="N33" s="82">
        <v>0</v>
      </c>
    </row>
    <row r="34" spans="3:14" customFormat="1" ht="15" customHeight="1" x14ac:dyDescent="0.15">
      <c r="C34" s="82">
        <v>33</v>
      </c>
      <c r="E34" s="168" t="s">
        <v>223</v>
      </c>
      <c r="F34" s="82">
        <v>0</v>
      </c>
      <c r="G34" s="82">
        <v>9.3100000000000006E-3</v>
      </c>
      <c r="H34" s="82">
        <v>0.29799999999999999</v>
      </c>
      <c r="I34" s="82">
        <v>2.875</v>
      </c>
      <c r="J34" s="82">
        <v>0.93644559999999999</v>
      </c>
      <c r="K34" s="82">
        <v>0.103652179</v>
      </c>
      <c r="L34" s="82">
        <v>0</v>
      </c>
      <c r="M34" s="82">
        <v>0.2</v>
      </c>
      <c r="N34" s="82">
        <v>0</v>
      </c>
    </row>
    <row r="35" spans="3:14" customFormat="1" ht="15" customHeight="1" x14ac:dyDescent="0.15">
      <c r="C35" s="82">
        <v>34</v>
      </c>
      <c r="E35" s="168" t="s">
        <v>224</v>
      </c>
      <c r="F35" s="82">
        <v>0</v>
      </c>
      <c r="G35" s="82">
        <v>2.07E-2</v>
      </c>
      <c r="H35" s="82">
        <v>1.1200000000000001</v>
      </c>
      <c r="I35" s="82">
        <v>9.5</v>
      </c>
      <c r="J35" s="82">
        <v>0.90823860000000001</v>
      </c>
      <c r="K35" s="82">
        <v>0.117894739</v>
      </c>
      <c r="L35" s="82">
        <v>0</v>
      </c>
      <c r="M35" s="82">
        <v>0.2</v>
      </c>
      <c r="N35" s="82">
        <v>0</v>
      </c>
    </row>
    <row r="36" spans="3:14" customFormat="1" ht="15" customHeight="1" x14ac:dyDescent="0.15">
      <c r="C36" s="82">
        <v>35</v>
      </c>
      <c r="E36" s="168" t="s">
        <v>225</v>
      </c>
      <c r="F36" s="82">
        <v>0</v>
      </c>
      <c r="G36" s="82">
        <v>172.02001999999999</v>
      </c>
      <c r="H36" s="82">
        <v>2.5</v>
      </c>
      <c r="I36" s="82">
        <v>6.5</v>
      </c>
      <c r="J36" s="82">
        <v>0.170953825</v>
      </c>
      <c r="K36" s="82">
        <v>0.3846154</v>
      </c>
      <c r="L36" s="82">
        <v>0</v>
      </c>
      <c r="M36" s="82">
        <v>0.2</v>
      </c>
      <c r="N36" s="82">
        <v>0</v>
      </c>
    </row>
    <row r="37" spans="3:14" customFormat="1" ht="15" customHeight="1" x14ac:dyDescent="0.15">
      <c r="C37" s="82">
        <v>36</v>
      </c>
      <c r="E37" s="168" t="s">
        <v>226</v>
      </c>
      <c r="F37" s="82">
        <v>0</v>
      </c>
      <c r="G37" s="82">
        <v>1.99500012</v>
      </c>
      <c r="H37" s="82">
        <v>13.25</v>
      </c>
      <c r="I37" s="82">
        <v>16.8</v>
      </c>
      <c r="J37" s="82">
        <v>0.85227733900000002</v>
      </c>
      <c r="K37" s="82">
        <v>0.78869049999999996</v>
      </c>
      <c r="L37" s="82">
        <v>0</v>
      </c>
      <c r="M37" s="82">
        <v>0.2</v>
      </c>
      <c r="N37" s="82">
        <v>0</v>
      </c>
    </row>
    <row r="38" spans="3:14" customFormat="1" ht="15" customHeight="1" x14ac:dyDescent="0.15">
      <c r="C38" s="82">
        <v>37</v>
      </c>
      <c r="E38" s="168" t="s">
        <v>227</v>
      </c>
      <c r="F38" s="82">
        <v>0</v>
      </c>
      <c r="G38" s="82">
        <v>1.46</v>
      </c>
      <c r="H38" s="82">
        <v>3.9</v>
      </c>
      <c r="I38" s="82">
        <v>27.3</v>
      </c>
      <c r="J38" s="82">
        <v>0.75996280000000005</v>
      </c>
      <c r="K38" s="82">
        <v>0.14285714899999999</v>
      </c>
      <c r="L38" s="82">
        <v>0</v>
      </c>
      <c r="M38" s="82">
        <v>0.2</v>
      </c>
      <c r="N38" s="82">
        <v>0</v>
      </c>
    </row>
    <row r="39" spans="3:14" customFormat="1" ht="15" customHeight="1" x14ac:dyDescent="0.15">
      <c r="C39" s="82">
        <v>38</v>
      </c>
      <c r="E39" s="168" t="s">
        <v>228</v>
      </c>
      <c r="F39" s="82">
        <v>0</v>
      </c>
      <c r="G39" s="82">
        <v>0.15440000000000001</v>
      </c>
      <c r="H39" s="82">
        <v>1.35</v>
      </c>
      <c r="I39" s="82">
        <v>4.67</v>
      </c>
      <c r="J39" s="82">
        <v>0.92739020000000005</v>
      </c>
      <c r="K39" s="82">
        <v>0.289079219</v>
      </c>
      <c r="L39" s="82">
        <v>0</v>
      </c>
      <c r="M39" s="82">
        <v>0.2</v>
      </c>
      <c r="N39" s="82">
        <v>0</v>
      </c>
    </row>
    <row r="40" spans="3:14" customFormat="1" ht="15" customHeight="1" x14ac:dyDescent="0.15">
      <c r="C40" s="82">
        <v>39</v>
      </c>
      <c r="E40" s="168" t="s">
        <v>229</v>
      </c>
      <c r="F40" s="82">
        <v>0</v>
      </c>
      <c r="G40" s="82">
        <v>2.3111999999999999</v>
      </c>
      <c r="H40" s="82">
        <v>1.2090000000000001</v>
      </c>
      <c r="I40" s="82">
        <v>29</v>
      </c>
      <c r="J40" s="82">
        <v>0.95003040000000005</v>
      </c>
      <c r="K40" s="82">
        <v>4.1689656700000001E-2</v>
      </c>
      <c r="L40" s="82">
        <v>0</v>
      </c>
      <c r="M40" s="82">
        <v>0.2</v>
      </c>
      <c r="N40" s="82">
        <v>0</v>
      </c>
    </row>
    <row r="41" spans="3:14" customFormat="1" ht="15" customHeight="1" x14ac:dyDescent="0.15">
      <c r="C41" s="82">
        <v>40</v>
      </c>
      <c r="E41" s="168" t="s">
        <v>230</v>
      </c>
      <c r="F41" s="82">
        <v>0</v>
      </c>
      <c r="G41" s="82">
        <v>18.690000000000001</v>
      </c>
      <c r="H41" s="82">
        <v>0.6</v>
      </c>
      <c r="I41" s="82">
        <v>3.83</v>
      </c>
      <c r="J41" s="82">
        <v>0.93903789999999998</v>
      </c>
      <c r="K41" s="82">
        <v>0.156657979</v>
      </c>
      <c r="L41" s="82">
        <v>0</v>
      </c>
      <c r="M41" s="82">
        <v>0.2</v>
      </c>
      <c r="N41" s="82">
        <v>0</v>
      </c>
    </row>
    <row r="42" spans="3:14" customFormat="1" ht="15" customHeight="1" x14ac:dyDescent="0.15">
      <c r="C42" s="82">
        <v>41</v>
      </c>
      <c r="E42" s="168" t="s">
        <v>231</v>
      </c>
      <c r="F42" s="82">
        <v>0</v>
      </c>
      <c r="G42" s="82">
        <v>16.82</v>
      </c>
      <c r="H42" s="82">
        <v>7.01</v>
      </c>
      <c r="I42" s="82">
        <v>27.14</v>
      </c>
      <c r="J42" s="82">
        <v>0.98406994299999995</v>
      </c>
      <c r="K42" s="82">
        <v>0.25829035</v>
      </c>
      <c r="L42" s="82">
        <v>0</v>
      </c>
      <c r="M42" s="82">
        <v>0.2</v>
      </c>
      <c r="N42" s="82">
        <v>0</v>
      </c>
    </row>
    <row r="43" spans="3:14" customFormat="1" ht="15" customHeight="1" x14ac:dyDescent="0.15">
      <c r="C43" s="82">
        <v>42</v>
      </c>
      <c r="E43" s="168" t="s">
        <v>232</v>
      </c>
      <c r="F43" s="82">
        <v>0</v>
      </c>
      <c r="G43" s="82">
        <v>13.51</v>
      </c>
      <c r="H43" s="82">
        <v>9.6</v>
      </c>
      <c r="I43" s="82">
        <v>27.14</v>
      </c>
      <c r="J43" s="82">
        <v>0.77051043500000005</v>
      </c>
      <c r="K43" s="82">
        <v>0.35372146999999998</v>
      </c>
      <c r="L43" s="82">
        <v>0</v>
      </c>
      <c r="M43" s="82">
        <v>0.2</v>
      </c>
      <c r="N43" s="82">
        <v>0</v>
      </c>
    </row>
    <row r="44" spans="3:14" customFormat="1" ht="15" customHeight="1" x14ac:dyDescent="0.15">
      <c r="C44" s="82">
        <v>43</v>
      </c>
      <c r="E44" s="168" t="s">
        <v>233</v>
      </c>
      <c r="F44" s="82">
        <v>0</v>
      </c>
      <c r="G44" s="82">
        <v>94.48</v>
      </c>
      <c r="H44" s="82">
        <v>1.1399999999999999</v>
      </c>
      <c r="I44" s="82">
        <v>7.45</v>
      </c>
      <c r="J44" s="82">
        <v>0.860951841</v>
      </c>
      <c r="K44" s="82">
        <v>0.153020144</v>
      </c>
      <c r="L44" s="82">
        <v>0</v>
      </c>
      <c r="M44" s="82">
        <v>0.2</v>
      </c>
      <c r="N44" s="82">
        <v>0</v>
      </c>
    </row>
    <row r="45" spans="3:14" customFormat="1" ht="15" customHeight="1" x14ac:dyDescent="0.15">
      <c r="C45" s="82">
        <v>44</v>
      </c>
      <c r="E45" s="168" t="s">
        <v>234</v>
      </c>
      <c r="F45" s="82">
        <v>0</v>
      </c>
      <c r="G45" s="82">
        <v>5.3</v>
      </c>
      <c r="H45" s="82">
        <v>0.51</v>
      </c>
      <c r="I45" s="82">
        <v>2.91</v>
      </c>
      <c r="J45" s="82">
        <v>0.81344510000000003</v>
      </c>
      <c r="K45" s="82">
        <v>0.175257728</v>
      </c>
      <c r="L45" s="82">
        <v>0</v>
      </c>
      <c r="M45" s="82">
        <v>0.2</v>
      </c>
      <c r="N45" s="82">
        <v>0</v>
      </c>
    </row>
    <row r="46" spans="3:14" customFormat="1" ht="15" customHeight="1" x14ac:dyDescent="0.15">
      <c r="C46" s="82">
        <v>45</v>
      </c>
      <c r="E46" s="168" t="s">
        <v>235</v>
      </c>
      <c r="F46" s="82">
        <v>0</v>
      </c>
      <c r="G46" s="82">
        <v>57.305869999999999</v>
      </c>
      <c r="H46" s="82">
        <v>2.8</v>
      </c>
      <c r="I46" s="82">
        <v>8.5</v>
      </c>
      <c r="J46" s="82">
        <v>0.95</v>
      </c>
      <c r="K46" s="82">
        <v>0.32941174499999998</v>
      </c>
      <c r="L46" s="82">
        <v>0</v>
      </c>
      <c r="M46" s="82">
        <v>0.2</v>
      </c>
      <c r="N46" s="82">
        <v>0</v>
      </c>
    </row>
    <row r="47" spans="3:14" customFormat="1" ht="15" customHeight="1" x14ac:dyDescent="0.15">
      <c r="C47" s="82">
        <v>46</v>
      </c>
      <c r="E47" s="168" t="s">
        <v>236</v>
      </c>
      <c r="F47" s="82">
        <v>0</v>
      </c>
      <c r="G47" s="82">
        <v>4.2496600000000004</v>
      </c>
      <c r="H47" s="82">
        <v>2.37</v>
      </c>
      <c r="I47" s="82">
        <v>5.8</v>
      </c>
      <c r="J47" s="82">
        <v>0.6</v>
      </c>
      <c r="K47" s="82">
        <v>0.40862065600000003</v>
      </c>
      <c r="L47" s="82">
        <v>0</v>
      </c>
      <c r="M47" s="82">
        <v>0.2</v>
      </c>
      <c r="N47" s="82">
        <v>0</v>
      </c>
    </row>
    <row r="48" spans="3:14" customFormat="1" ht="15" customHeight="1" x14ac:dyDescent="0.15">
      <c r="C48" s="82">
        <v>47</v>
      </c>
      <c r="E48" s="168" t="s">
        <v>237</v>
      </c>
      <c r="F48" s="82">
        <v>0</v>
      </c>
      <c r="G48" s="82">
        <v>0.31260636400000003</v>
      </c>
      <c r="H48" s="82">
        <v>1.8</v>
      </c>
      <c r="I48" s="82">
        <v>17.5</v>
      </c>
      <c r="J48" s="82">
        <v>0.3</v>
      </c>
      <c r="K48" s="82">
        <v>0.102857143</v>
      </c>
      <c r="L48" s="82">
        <v>0</v>
      </c>
      <c r="M48" s="82">
        <v>0.2</v>
      </c>
      <c r="N48" s="82">
        <v>0</v>
      </c>
    </row>
    <row r="49" spans="3:14" customFormat="1" ht="15" customHeight="1" x14ac:dyDescent="0.15">
      <c r="C49" s="82">
        <v>48</v>
      </c>
      <c r="E49" s="168" t="s">
        <v>238</v>
      </c>
      <c r="F49" s="82">
        <v>0</v>
      </c>
      <c r="G49" s="82">
        <v>8.9905349999999995</v>
      </c>
      <c r="H49" s="82">
        <v>2.37</v>
      </c>
      <c r="I49" s="82">
        <v>7.9</v>
      </c>
      <c r="J49" s="82">
        <v>0.8</v>
      </c>
      <c r="K49" s="82">
        <v>0.299999982</v>
      </c>
      <c r="L49" s="82">
        <v>0</v>
      </c>
      <c r="M49" s="82">
        <v>0.2</v>
      </c>
      <c r="N49" s="82">
        <v>0</v>
      </c>
    </row>
    <row r="50" spans="3:14" customFormat="1" ht="15" customHeight="1" x14ac:dyDescent="0.15">
      <c r="C50" s="82">
        <v>49</v>
      </c>
      <c r="E50" s="168" t="s">
        <v>239</v>
      </c>
      <c r="F50" s="82">
        <v>0</v>
      </c>
      <c r="G50" s="82">
        <v>4.1677999999999997</v>
      </c>
      <c r="H50" s="82">
        <v>2.77</v>
      </c>
      <c r="I50" s="82">
        <v>13.45</v>
      </c>
      <c r="J50" s="82">
        <v>0.95004946000000001</v>
      </c>
      <c r="K50" s="82">
        <v>0.20594794999999999</v>
      </c>
      <c r="L50" s="82">
        <v>0</v>
      </c>
      <c r="M50" s="82">
        <v>0.2</v>
      </c>
      <c r="N50" s="82">
        <v>0</v>
      </c>
    </row>
    <row r="51" spans="3:14" customFormat="1" ht="15" customHeight="1" x14ac:dyDescent="0.15">
      <c r="C51" s="82">
        <v>50</v>
      </c>
      <c r="E51" s="168" t="s">
        <v>240</v>
      </c>
      <c r="F51" s="82">
        <v>0</v>
      </c>
      <c r="G51" s="82">
        <v>23.56</v>
      </c>
      <c r="H51" s="82">
        <v>0.67900000000000005</v>
      </c>
      <c r="I51" s="82">
        <v>5.7489999999999997</v>
      </c>
      <c r="J51" s="82">
        <v>0.66232420000000003</v>
      </c>
      <c r="K51" s="82">
        <v>0.1181075</v>
      </c>
      <c r="L51" s="82">
        <v>0</v>
      </c>
      <c r="M51" s="82">
        <v>0.2</v>
      </c>
      <c r="N51" s="82">
        <v>0</v>
      </c>
    </row>
    <row r="52" spans="3:14" customFormat="1" ht="15" customHeight="1" x14ac:dyDescent="0.15">
      <c r="C52" s="82">
        <v>51</v>
      </c>
      <c r="E52" s="168" t="s">
        <v>241</v>
      </c>
      <c r="F52" s="82">
        <v>0</v>
      </c>
      <c r="G52" s="82">
        <v>10.32</v>
      </c>
      <c r="H52" s="82">
        <v>1.258</v>
      </c>
      <c r="I52" s="82">
        <v>4.3650000000000002</v>
      </c>
      <c r="J52" s="82">
        <v>0.86236333799999998</v>
      </c>
      <c r="K52" s="82">
        <v>0.28820162999999999</v>
      </c>
      <c r="L52" s="82">
        <v>0</v>
      </c>
      <c r="M52" s="82">
        <v>0.2</v>
      </c>
      <c r="N52" s="82">
        <v>0</v>
      </c>
    </row>
    <row r="53" spans="3:14" customFormat="1" ht="15" customHeight="1" x14ac:dyDescent="0.15">
      <c r="C53" s="82">
        <v>52</v>
      </c>
      <c r="E53" s="168" t="s">
        <v>242</v>
      </c>
      <c r="F53" s="82">
        <v>0</v>
      </c>
      <c r="G53" s="82">
        <v>0.71640000000000004</v>
      </c>
      <c r="H53" s="82">
        <v>2.15</v>
      </c>
      <c r="I53" s="82">
        <v>4</v>
      </c>
      <c r="J53" s="82">
        <v>0.8083456</v>
      </c>
      <c r="K53" s="82">
        <v>0.53749999999999998</v>
      </c>
      <c r="L53" s="82">
        <v>0</v>
      </c>
      <c r="M53" s="82">
        <v>0.2</v>
      </c>
      <c r="N53" s="82">
        <v>0</v>
      </c>
    </row>
    <row r="54" spans="3:14" customFormat="1" ht="15" customHeight="1" x14ac:dyDescent="0.15">
      <c r="C54" s="82">
        <v>53</v>
      </c>
      <c r="E54" s="168" t="s">
        <v>243</v>
      </c>
      <c r="F54" s="82">
        <v>0</v>
      </c>
      <c r="G54" s="82">
        <v>1.0329999999999999</v>
      </c>
      <c r="H54" s="82">
        <v>2.7</v>
      </c>
      <c r="I54" s="82">
        <v>14</v>
      </c>
      <c r="J54" s="82">
        <v>0.59368586499999998</v>
      </c>
      <c r="K54" s="82">
        <v>0.19285714600000001</v>
      </c>
      <c r="L54" s="82">
        <v>0</v>
      </c>
      <c r="M54" s="82">
        <v>0.2</v>
      </c>
      <c r="N54" s="82">
        <v>0</v>
      </c>
    </row>
    <row r="55" spans="3:14" customFormat="1" ht="15" customHeight="1" x14ac:dyDescent="0.15">
      <c r="C55" s="82">
        <v>54</v>
      </c>
      <c r="E55" s="168" t="s">
        <v>244</v>
      </c>
      <c r="F55" s="82">
        <v>0</v>
      </c>
      <c r="G55" s="82">
        <v>0.1008</v>
      </c>
      <c r="H55" s="82">
        <v>2.8</v>
      </c>
      <c r="I55" s="82">
        <v>14</v>
      </c>
      <c r="J55" s="82">
        <v>0.35604718299999999</v>
      </c>
      <c r="K55" s="82">
        <v>0.2</v>
      </c>
      <c r="L55" s="82">
        <v>0</v>
      </c>
      <c r="M55" s="82">
        <v>0.2</v>
      </c>
      <c r="N55" s="82">
        <v>0</v>
      </c>
    </row>
    <row r="56" spans="3:14" customFormat="1" ht="15" customHeight="1" x14ac:dyDescent="0.15">
      <c r="C56" s="82">
        <v>55</v>
      </c>
      <c r="E56" s="168" t="s">
        <v>245</v>
      </c>
      <c r="F56" s="82">
        <v>0</v>
      </c>
      <c r="G56" s="82">
        <v>15.75</v>
      </c>
      <c r="H56" s="82">
        <v>2.8</v>
      </c>
      <c r="I56" s="82">
        <v>14</v>
      </c>
      <c r="J56" s="82">
        <v>0.84289813000000002</v>
      </c>
      <c r="K56" s="82">
        <v>0.2</v>
      </c>
      <c r="L56" s="82">
        <v>0</v>
      </c>
      <c r="M56" s="82">
        <v>0.2</v>
      </c>
      <c r="N56" s="82">
        <v>0</v>
      </c>
    </row>
    <row r="57" spans="3:14" customFormat="1" ht="15" customHeight="1" x14ac:dyDescent="0.15">
      <c r="C57" s="82">
        <v>56</v>
      </c>
      <c r="E57" s="168" t="s">
        <v>246</v>
      </c>
      <c r="F57" s="82">
        <v>0</v>
      </c>
      <c r="G57" s="82">
        <v>1.9999998600000002E-3</v>
      </c>
      <c r="H57" s="82">
        <v>0.05</v>
      </c>
      <c r="I57" s="82">
        <v>3.5</v>
      </c>
      <c r="J57" s="82">
        <v>0.1</v>
      </c>
      <c r="K57" s="82">
        <v>1.42857144E-2</v>
      </c>
      <c r="L57" s="82">
        <v>0</v>
      </c>
      <c r="M57" s="82">
        <v>0.2</v>
      </c>
      <c r="N57" s="82">
        <v>0</v>
      </c>
    </row>
    <row r="58" spans="3:14" customFormat="1" ht="15" customHeight="1" x14ac:dyDescent="0.15">
      <c r="C58" s="82">
        <v>57</v>
      </c>
      <c r="E58" s="168" t="s">
        <v>247</v>
      </c>
      <c r="F58" s="82">
        <v>0</v>
      </c>
      <c r="G58" s="82">
        <v>0.191659883</v>
      </c>
      <c r="H58" s="82">
        <v>2.8</v>
      </c>
      <c r="I58" s="82">
        <v>14</v>
      </c>
      <c r="J58" s="82">
        <v>0.8</v>
      </c>
      <c r="K58" s="82">
        <v>0.2</v>
      </c>
      <c r="L58" s="82">
        <v>0</v>
      </c>
      <c r="M58" s="82">
        <v>0.2</v>
      </c>
      <c r="N58" s="82">
        <v>0</v>
      </c>
    </row>
    <row r="59" spans="3:14" customFormat="1" ht="15" customHeight="1" x14ac:dyDescent="0.15">
      <c r="C59" s="82">
        <v>58</v>
      </c>
      <c r="E59" s="168" t="s">
        <v>248</v>
      </c>
      <c r="F59" s="82">
        <v>0</v>
      </c>
      <c r="G59" s="82">
        <v>1.98</v>
      </c>
      <c r="H59" s="82">
        <v>29.5</v>
      </c>
      <c r="I59" s="82">
        <v>55</v>
      </c>
      <c r="J59" s="82">
        <v>0.23044854400000001</v>
      </c>
      <c r="K59" s="82">
        <v>0.53636366099999999</v>
      </c>
      <c r="L59" s="82">
        <v>0</v>
      </c>
      <c r="M59" s="82">
        <v>0.2</v>
      </c>
      <c r="N59" s="82">
        <v>0</v>
      </c>
    </row>
    <row r="60" spans="3:14" customFormat="1" ht="15" customHeight="1" x14ac:dyDescent="0.15">
      <c r="C60" s="82">
        <v>59</v>
      </c>
      <c r="E60" s="168" t="s">
        <v>249</v>
      </c>
      <c r="F60" s="82">
        <v>0</v>
      </c>
      <c r="G60" s="82">
        <v>12.5</v>
      </c>
      <c r="H60" s="82">
        <v>17.3</v>
      </c>
      <c r="I60" s="82">
        <v>95</v>
      </c>
      <c r="J60" s="82">
        <v>4.0132843000000001E-2</v>
      </c>
      <c r="K60" s="82">
        <v>0.18210525799999999</v>
      </c>
      <c r="L60" s="82">
        <v>0</v>
      </c>
      <c r="M60" s="82">
        <v>0.2</v>
      </c>
      <c r="N60" s="82">
        <v>0</v>
      </c>
    </row>
    <row r="61" spans="3:14" customFormat="1" ht="15" customHeight="1" x14ac:dyDescent="0.15">
      <c r="C61" s="82">
        <v>60</v>
      </c>
      <c r="E61" s="168" t="s">
        <v>250</v>
      </c>
      <c r="F61" s="82">
        <v>0</v>
      </c>
      <c r="G61" s="82">
        <v>2.9160661700000001</v>
      </c>
      <c r="H61" s="82">
        <v>8.6999999999999993</v>
      </c>
      <c r="I61" s="82">
        <v>29</v>
      </c>
      <c r="J61" s="82">
        <v>0.95</v>
      </c>
      <c r="K61" s="82">
        <v>0.299999982</v>
      </c>
      <c r="L61" s="82">
        <v>0</v>
      </c>
      <c r="M61" s="82">
        <v>0.2</v>
      </c>
      <c r="N61" s="82">
        <v>0</v>
      </c>
    </row>
    <row r="62" spans="3:14" customFormat="1" ht="15" customHeight="1" x14ac:dyDescent="0.15">
      <c r="C62" s="82">
        <v>61</v>
      </c>
      <c r="E62" s="168" t="s">
        <v>251</v>
      </c>
      <c r="F62" s="82">
        <v>0</v>
      </c>
      <c r="G62" s="82">
        <v>0.26500000000000001</v>
      </c>
      <c r="H62" s="82">
        <v>16.5</v>
      </c>
      <c r="I62" s="82">
        <v>80</v>
      </c>
      <c r="J62" s="82">
        <v>0</v>
      </c>
      <c r="K62" s="82">
        <v>0.20624999999999999</v>
      </c>
      <c r="L62" s="82">
        <v>0</v>
      </c>
      <c r="M62" s="82">
        <v>0.2</v>
      </c>
      <c r="N62" s="82">
        <v>0</v>
      </c>
    </row>
    <row r="63" spans="3:14" customFormat="1" ht="15" customHeight="1" x14ac:dyDescent="0.15">
      <c r="C63" s="82">
        <v>62</v>
      </c>
      <c r="E63" s="168" t="s">
        <v>252</v>
      </c>
      <c r="F63" s="82">
        <v>0</v>
      </c>
      <c r="G63" s="82">
        <v>2.5</v>
      </c>
      <c r="H63" s="82">
        <v>95</v>
      </c>
      <c r="I63" s="82">
        <v>215</v>
      </c>
      <c r="J63" s="82">
        <v>0.73330825600000005</v>
      </c>
      <c r="K63" s="82">
        <v>0.44186046699999998</v>
      </c>
      <c r="L63" s="82">
        <v>0</v>
      </c>
      <c r="M63" s="82">
        <v>0.2</v>
      </c>
      <c r="N63" s="82">
        <v>0</v>
      </c>
    </row>
    <row r="64" spans="3:14" customFormat="1" ht="15" customHeight="1" x14ac:dyDescent="0.15">
      <c r="C64" s="82">
        <v>63</v>
      </c>
      <c r="E64" s="168" t="s">
        <v>253</v>
      </c>
      <c r="F64" s="82">
        <v>1</v>
      </c>
      <c r="G64" s="82">
        <v>7</v>
      </c>
      <c r="H64" s="82">
        <v>3</v>
      </c>
      <c r="I64" s="82">
        <v>0</v>
      </c>
      <c r="J64" s="82">
        <v>0.51861539999999995</v>
      </c>
      <c r="K64" s="82">
        <v>0</v>
      </c>
      <c r="L64" s="82">
        <v>0</v>
      </c>
      <c r="M64" s="82">
        <v>0</v>
      </c>
      <c r="N64" s="82">
        <v>0</v>
      </c>
    </row>
    <row r="65" spans="3:14" customFormat="1" ht="15" customHeight="1" x14ac:dyDescent="0.15">
      <c r="C65" s="82">
        <v>64</v>
      </c>
      <c r="E65" s="168" t="s">
        <v>254</v>
      </c>
      <c r="F65" s="82">
        <v>1</v>
      </c>
      <c r="G65" s="82">
        <v>75</v>
      </c>
      <c r="H65" s="82">
        <v>2</v>
      </c>
      <c r="I65" s="82">
        <v>0</v>
      </c>
      <c r="J65" s="82">
        <v>0.75951606000000005</v>
      </c>
      <c r="K65" s="82">
        <v>0</v>
      </c>
      <c r="L65" s="82">
        <v>0</v>
      </c>
      <c r="M65" s="82">
        <v>0</v>
      </c>
      <c r="N65" s="82">
        <v>0</v>
      </c>
    </row>
    <row r="66" spans="3:14" customFormat="1" ht="15" customHeight="1" x14ac:dyDescent="0.15">
      <c r="C66" s="82">
        <v>65</v>
      </c>
      <c r="E66" s="168" t="s">
        <v>255</v>
      </c>
      <c r="F66" s="82">
        <v>1</v>
      </c>
      <c r="G66" s="82">
        <v>240</v>
      </c>
      <c r="H66" s="82">
        <v>2</v>
      </c>
      <c r="I66" s="82">
        <v>0</v>
      </c>
      <c r="J66" s="82">
        <v>0.72850950000000003</v>
      </c>
      <c r="K66" s="82">
        <v>0</v>
      </c>
      <c r="L66" s="82">
        <v>0</v>
      </c>
      <c r="M66" s="82">
        <v>0</v>
      </c>
      <c r="N66" s="82">
        <v>0</v>
      </c>
    </row>
    <row r="67" spans="3:14" customFormat="1" ht="15" customHeight="1" x14ac:dyDescent="0.15">
      <c r="C67" s="82">
        <v>66</v>
      </c>
      <c r="E67" s="168" t="s">
        <v>256</v>
      </c>
      <c r="F67" s="82">
        <v>1</v>
      </c>
      <c r="G67" s="82">
        <v>24</v>
      </c>
      <c r="H67" s="82">
        <v>2</v>
      </c>
      <c r="I67" s="82">
        <v>0</v>
      </c>
      <c r="J67" s="82">
        <v>0.79983409999999999</v>
      </c>
      <c r="K67" s="82">
        <v>0</v>
      </c>
      <c r="L67" s="82">
        <v>0</v>
      </c>
      <c r="M67" s="82">
        <v>0</v>
      </c>
      <c r="N67" s="82">
        <v>0</v>
      </c>
    </row>
    <row r="68" spans="3:14" customFormat="1" ht="15" customHeight="1" x14ac:dyDescent="0.15">
      <c r="C68" s="82">
        <v>67</v>
      </c>
      <c r="E68" s="168" t="s">
        <v>257</v>
      </c>
      <c r="F68" s="82">
        <v>1</v>
      </c>
      <c r="G68" s="82">
        <v>96</v>
      </c>
      <c r="H68" s="82">
        <v>2</v>
      </c>
      <c r="I68" s="82">
        <v>0</v>
      </c>
      <c r="J68" s="82">
        <v>0.385943651</v>
      </c>
      <c r="K68" s="82">
        <v>0</v>
      </c>
      <c r="L68" s="82">
        <v>0</v>
      </c>
      <c r="M68" s="82">
        <v>0</v>
      </c>
      <c r="N68" s="82">
        <v>0</v>
      </c>
    </row>
    <row r="69" spans="3:14" customFormat="1" ht="15" customHeight="1" x14ac:dyDescent="0.15">
      <c r="C69" s="82">
        <v>68</v>
      </c>
      <c r="E69" s="168" t="s">
        <v>258</v>
      </c>
      <c r="F69" s="82">
        <v>1</v>
      </c>
      <c r="G69" s="82">
        <v>64.770004299999997</v>
      </c>
      <c r="H69" s="82">
        <v>2.145</v>
      </c>
      <c r="I69" s="82">
        <v>0</v>
      </c>
      <c r="J69" s="82">
        <v>0.89328306899999999</v>
      </c>
      <c r="K69" s="82">
        <v>0</v>
      </c>
      <c r="L69" s="82">
        <v>0</v>
      </c>
      <c r="M69" s="82">
        <v>0</v>
      </c>
      <c r="N69" s="82">
        <v>0</v>
      </c>
    </row>
    <row r="70" spans="3:14" customFormat="1" ht="15" customHeight="1" x14ac:dyDescent="0.15">
      <c r="C70" s="82">
        <v>69</v>
      </c>
      <c r="E70" s="168" t="s">
        <v>259</v>
      </c>
      <c r="F70" s="82">
        <v>1</v>
      </c>
      <c r="G70" s="82">
        <v>92.44</v>
      </c>
      <c r="H70" s="82">
        <v>7.3</v>
      </c>
      <c r="I70" s="82">
        <v>0</v>
      </c>
      <c r="J70" s="82">
        <v>0.992843747</v>
      </c>
      <c r="K70" s="82">
        <v>0</v>
      </c>
      <c r="L70" s="82">
        <v>0</v>
      </c>
      <c r="M70" s="82">
        <v>0</v>
      </c>
      <c r="N70" s="82">
        <v>0</v>
      </c>
    </row>
    <row r="71" spans="3:14" customFormat="1" ht="15" customHeight="1" x14ac:dyDescent="0.15">
      <c r="C71" s="82">
        <v>70</v>
      </c>
      <c r="E71" s="168" t="s">
        <v>260</v>
      </c>
      <c r="F71" s="82">
        <v>1</v>
      </c>
      <c r="G71" s="82">
        <v>34.68</v>
      </c>
      <c r="H71" s="82">
        <v>2</v>
      </c>
      <c r="I71" s="82">
        <v>0</v>
      </c>
      <c r="J71" s="82">
        <v>0.941734552</v>
      </c>
      <c r="K71" s="82">
        <v>0</v>
      </c>
      <c r="L71" s="82">
        <v>0</v>
      </c>
      <c r="M71" s="82">
        <v>0</v>
      </c>
      <c r="N71" s="82">
        <v>0</v>
      </c>
    </row>
    <row r="72" spans="3:14" customFormat="1" ht="15" customHeight="1" x14ac:dyDescent="0.15">
      <c r="C72" s="82">
        <v>71</v>
      </c>
      <c r="E72" s="168" t="s">
        <v>261</v>
      </c>
      <c r="F72" s="82">
        <v>1</v>
      </c>
      <c r="G72" s="82">
        <v>8.7999999999999995E-2</v>
      </c>
      <c r="H72" s="82">
        <v>706.5</v>
      </c>
      <c r="I72" s="82">
        <v>0</v>
      </c>
      <c r="J72" s="82">
        <v>0.32188326099999998</v>
      </c>
      <c r="K72" s="82">
        <v>0</v>
      </c>
      <c r="L72" s="82">
        <v>0</v>
      </c>
      <c r="M72" s="82">
        <v>0</v>
      </c>
      <c r="N72" s="82">
        <v>0</v>
      </c>
    </row>
    <row r="73" spans="3:14" customFormat="1" ht="15" customHeight="1" x14ac:dyDescent="0.15">
      <c r="C73" s="82">
        <v>72</v>
      </c>
      <c r="E73" s="168" t="s">
        <v>262</v>
      </c>
      <c r="F73" s="82">
        <v>1</v>
      </c>
      <c r="G73" s="82">
        <v>13.1</v>
      </c>
      <c r="H73" s="82">
        <v>50.97</v>
      </c>
      <c r="I73" s="82">
        <v>0</v>
      </c>
      <c r="J73" s="82">
        <v>0.99799996599999996</v>
      </c>
      <c r="K73" s="82">
        <v>0</v>
      </c>
      <c r="L73" s="82">
        <v>0</v>
      </c>
      <c r="M73" s="82">
        <v>0</v>
      </c>
      <c r="N73" s="82">
        <v>0</v>
      </c>
    </row>
    <row r="74" spans="3:14" customFormat="1" ht="15" customHeight="1" x14ac:dyDescent="0.15">
      <c r="C74" s="82">
        <v>73</v>
      </c>
      <c r="E74" s="168" t="s">
        <v>263</v>
      </c>
      <c r="F74" s="82">
        <v>1</v>
      </c>
      <c r="G74" s="82">
        <v>3.9</v>
      </c>
      <c r="H74" s="82">
        <v>24.2</v>
      </c>
      <c r="I74" s="82">
        <v>0</v>
      </c>
      <c r="J74" s="82">
        <v>0.84994069999999999</v>
      </c>
      <c r="K74" s="82">
        <v>0</v>
      </c>
      <c r="L74" s="82">
        <v>0</v>
      </c>
      <c r="M74" s="82">
        <v>0</v>
      </c>
      <c r="N74" s="82">
        <v>0</v>
      </c>
    </row>
    <row r="75" spans="3:14" customFormat="1" ht="15" customHeight="1" x14ac:dyDescent="0.15">
      <c r="C75" s="82">
        <v>74</v>
      </c>
      <c r="E75" s="168" t="s">
        <v>264</v>
      </c>
      <c r="F75" s="82">
        <v>2</v>
      </c>
      <c r="G75" s="82">
        <v>4.5</v>
      </c>
      <c r="H75" s="82">
        <v>0</v>
      </c>
      <c r="I75" s="82">
        <v>0</v>
      </c>
      <c r="J75" s="82">
        <v>0.75740629999999998</v>
      </c>
      <c r="K75" s="82">
        <v>0</v>
      </c>
      <c r="L75" s="82">
        <v>0</v>
      </c>
      <c r="M75" s="82">
        <v>0</v>
      </c>
      <c r="N75" s="82">
        <v>0</v>
      </c>
    </row>
    <row r="76" spans="3:14" customFormat="1" ht="15" customHeight="1" x14ac:dyDescent="0.15">
      <c r="C76" s="82">
        <v>75</v>
      </c>
      <c r="E76" s="168" t="s">
        <v>265</v>
      </c>
      <c r="F76" s="82">
        <v>2</v>
      </c>
      <c r="G76" s="82">
        <v>7.1639999999999997</v>
      </c>
      <c r="H76" s="82">
        <v>0</v>
      </c>
      <c r="I76" s="82">
        <v>0</v>
      </c>
      <c r="J76" s="82">
        <v>0.23942492900000001</v>
      </c>
      <c r="K76" s="82">
        <v>0</v>
      </c>
      <c r="L76" s="82">
        <v>0</v>
      </c>
      <c r="M76" s="82">
        <v>0</v>
      </c>
      <c r="N76" s="82">
        <v>0</v>
      </c>
    </row>
    <row r="77" spans="3:14" customFormat="1" ht="15" customHeight="1" x14ac:dyDescent="0.15">
      <c r="C77" s="82">
        <v>76</v>
      </c>
      <c r="E77" s="168" t="s">
        <v>266</v>
      </c>
      <c r="F77" s="82">
        <v>2</v>
      </c>
      <c r="G77" s="82">
        <v>6.8220000000000001</v>
      </c>
      <c r="H77" s="82">
        <v>0</v>
      </c>
      <c r="I77" s="82">
        <v>0</v>
      </c>
      <c r="J77" s="82">
        <v>0.59632974900000002</v>
      </c>
      <c r="K77" s="82">
        <v>0</v>
      </c>
      <c r="L77" s="82">
        <v>0</v>
      </c>
      <c r="M77" s="82">
        <v>0</v>
      </c>
      <c r="N77" s="82">
        <v>100</v>
      </c>
    </row>
    <row r="78" spans="3:14" customFormat="1" ht="15" customHeight="1" x14ac:dyDescent="0.15">
      <c r="C78" s="82">
        <v>77</v>
      </c>
      <c r="E78" s="168" t="s">
        <v>267</v>
      </c>
      <c r="F78" s="82">
        <v>2</v>
      </c>
      <c r="G78" s="82">
        <v>2.4E-2</v>
      </c>
      <c r="H78" s="82">
        <v>0</v>
      </c>
      <c r="I78" s="82">
        <v>0</v>
      </c>
      <c r="J78" s="82">
        <v>0.96186876300000002</v>
      </c>
      <c r="K78" s="82">
        <v>0</v>
      </c>
      <c r="L78" s="82">
        <v>0</v>
      </c>
      <c r="M78" s="82">
        <v>0</v>
      </c>
      <c r="N78" s="82">
        <v>500</v>
      </c>
    </row>
    <row r="79" spans="3:14" customFormat="1" ht="15" customHeight="1" x14ac:dyDescent="0.15">
      <c r="C79" s="82">
        <v>78</v>
      </c>
      <c r="E79" s="168" t="s">
        <v>268</v>
      </c>
      <c r="F79" s="82">
        <v>2</v>
      </c>
      <c r="G79" s="82">
        <v>2</v>
      </c>
      <c r="H79" s="82">
        <v>0</v>
      </c>
      <c r="I79" s="82">
        <v>0</v>
      </c>
      <c r="J79" s="82">
        <v>0.44807459999999999</v>
      </c>
      <c r="K79" s="82">
        <v>0</v>
      </c>
      <c r="L79" s="82">
        <v>0</v>
      </c>
      <c r="M79" s="82">
        <v>0</v>
      </c>
      <c r="N79" s="82">
        <v>0</v>
      </c>
    </row>
    <row r="80" spans="3:14" customFormat="1" ht="15" customHeight="1" x14ac:dyDescent="0.15">
      <c r="C80" s="82">
        <v>79</v>
      </c>
      <c r="E80" s="168" t="s">
        <v>269</v>
      </c>
      <c r="F80" s="82">
        <v>2</v>
      </c>
      <c r="G80" s="82">
        <v>5.2</v>
      </c>
      <c r="H80" s="82">
        <v>0</v>
      </c>
      <c r="I80" s="82">
        <v>0</v>
      </c>
      <c r="J80" s="82">
        <v>0.44417867100000002</v>
      </c>
      <c r="K80" s="82">
        <v>0</v>
      </c>
      <c r="L80" s="82">
        <v>0</v>
      </c>
      <c r="M80" s="82">
        <v>0</v>
      </c>
      <c r="N80" s="82">
        <v>0</v>
      </c>
    </row>
    <row r="81" spans="3:14" customFormat="1" ht="15" customHeight="1" x14ac:dyDescent="0.15">
      <c r="C81" s="82">
        <v>80</v>
      </c>
      <c r="E81" s="168" t="s">
        <v>270</v>
      </c>
      <c r="F81" s="82">
        <v>2</v>
      </c>
      <c r="G81" s="82">
        <v>17.940000000000001</v>
      </c>
      <c r="H81" s="82">
        <v>0</v>
      </c>
      <c r="I81" s="82">
        <v>0</v>
      </c>
      <c r="J81" s="82">
        <v>0</v>
      </c>
      <c r="K81" s="82">
        <v>0</v>
      </c>
      <c r="L81" s="82">
        <v>0</v>
      </c>
      <c r="M81" s="82">
        <v>0</v>
      </c>
      <c r="N81" s="82">
        <v>800</v>
      </c>
    </row>
    <row r="82" spans="3:14" customFormat="1" ht="15" customHeight="1" x14ac:dyDescent="0.15">
      <c r="C82" s="82">
        <v>81</v>
      </c>
      <c r="E82" s="168" t="s">
        <v>271</v>
      </c>
      <c r="F82" s="82">
        <v>3</v>
      </c>
      <c r="G82" s="82">
        <v>0</v>
      </c>
      <c r="H82" s="82">
        <v>0</v>
      </c>
      <c r="I82" s="82">
        <v>0</v>
      </c>
      <c r="J82" s="82">
        <v>0</v>
      </c>
      <c r="K82" s="82">
        <v>0</v>
      </c>
      <c r="L82" s="82">
        <v>0</v>
      </c>
      <c r="M82" s="82">
        <v>0</v>
      </c>
      <c r="N82" s="82">
        <v>0</v>
      </c>
    </row>
    <row r="83" spans="3:14" customFormat="1" ht="15" customHeight="1" x14ac:dyDescent="0.15">
      <c r="C83" s="82">
        <v>82</v>
      </c>
      <c r="E83" s="168" t="s">
        <v>272</v>
      </c>
      <c r="F83" s="82">
        <v>3</v>
      </c>
      <c r="G83" s="82">
        <v>0</v>
      </c>
      <c r="H83" s="82">
        <v>0</v>
      </c>
      <c r="I83" s="82">
        <v>0</v>
      </c>
      <c r="J83" s="82">
        <v>0</v>
      </c>
      <c r="K83" s="82">
        <v>0</v>
      </c>
      <c r="L83" s="82">
        <v>0</v>
      </c>
      <c r="M83" s="82">
        <v>0</v>
      </c>
      <c r="N83" s="82">
        <v>0</v>
      </c>
    </row>
    <row r="84" spans="3:14" customFormat="1" ht="15" customHeight="1" x14ac:dyDescent="0.15">
      <c r="C84" s="82">
        <v>83</v>
      </c>
      <c r="E84" s="168" t="s">
        <v>273</v>
      </c>
      <c r="F84" s="82">
        <v>3</v>
      </c>
      <c r="G84" s="82">
        <v>0</v>
      </c>
      <c r="H84" s="82">
        <v>0</v>
      </c>
      <c r="I84" s="82">
        <v>0</v>
      </c>
      <c r="J84" s="82">
        <v>0</v>
      </c>
      <c r="K84" s="82">
        <v>0</v>
      </c>
      <c r="L84" s="82">
        <v>0</v>
      </c>
      <c r="M84" s="82">
        <v>0</v>
      </c>
      <c r="N84" s="82">
        <v>0</v>
      </c>
    </row>
    <row r="85" spans="3:14" customFormat="1" ht="15" customHeight="1" x14ac:dyDescent="0.15">
      <c r="C85" s="82">
        <v>84</v>
      </c>
      <c r="E85" s="168" t="s">
        <v>274</v>
      </c>
      <c r="F85" s="82">
        <v>3</v>
      </c>
      <c r="G85" s="82">
        <v>0</v>
      </c>
      <c r="H85" s="82">
        <v>0</v>
      </c>
      <c r="I85" s="82">
        <v>0</v>
      </c>
      <c r="J85" s="82">
        <v>0</v>
      </c>
      <c r="K85" s="82">
        <v>0</v>
      </c>
      <c r="L85" s="82">
        <v>0</v>
      </c>
      <c r="M85" s="82">
        <v>0</v>
      </c>
      <c r="N85" s="82">
        <v>0</v>
      </c>
    </row>
    <row r="86" spans="3:14" customFormat="1" ht="15" customHeight="1" x14ac:dyDescent="0.15">
      <c r="C86" s="82">
        <v>85</v>
      </c>
      <c r="E86" s="168" t="s">
        <v>275</v>
      </c>
      <c r="F86" s="82">
        <v>3</v>
      </c>
      <c r="G86" s="82">
        <v>0</v>
      </c>
      <c r="H86" s="82">
        <v>0</v>
      </c>
      <c r="I86" s="82">
        <v>0</v>
      </c>
      <c r="J86" s="82">
        <v>0</v>
      </c>
      <c r="K86" s="82">
        <v>0</v>
      </c>
      <c r="L86" s="82">
        <v>0</v>
      </c>
      <c r="M86" s="82">
        <v>0</v>
      </c>
      <c r="N86" s="82">
        <v>0</v>
      </c>
    </row>
    <row r="87" spans="3:14" customFormat="1" ht="15" customHeight="1" x14ac:dyDescent="0.15">
      <c r="C87" s="82">
        <v>86</v>
      </c>
      <c r="E87" s="168" t="s">
        <v>276</v>
      </c>
      <c r="F87" s="82">
        <v>3</v>
      </c>
      <c r="G87" s="82">
        <v>0</v>
      </c>
      <c r="H87" s="82">
        <v>0</v>
      </c>
      <c r="I87" s="82">
        <v>0</v>
      </c>
      <c r="J87" s="82">
        <v>0</v>
      </c>
      <c r="K87" s="82">
        <v>0</v>
      </c>
      <c r="L87" s="82">
        <v>0</v>
      </c>
      <c r="M87" s="82">
        <v>0</v>
      </c>
      <c r="N87" s="82">
        <v>0</v>
      </c>
    </row>
    <row r="88" spans="3:14" customFormat="1" ht="15" customHeight="1" x14ac:dyDescent="0.15">
      <c r="C88" s="82">
        <v>87</v>
      </c>
      <c r="E88" s="168" t="s">
        <v>277</v>
      </c>
      <c r="F88" s="82">
        <v>3</v>
      </c>
      <c r="G88" s="82">
        <v>0</v>
      </c>
      <c r="H88" s="82">
        <v>0</v>
      </c>
      <c r="I88" s="82">
        <v>0</v>
      </c>
      <c r="J88" s="82">
        <v>0</v>
      </c>
      <c r="K88" s="82">
        <v>0</v>
      </c>
      <c r="L88" s="82">
        <v>0</v>
      </c>
      <c r="M88" s="82">
        <v>0</v>
      </c>
      <c r="N88" s="82">
        <v>0</v>
      </c>
    </row>
    <row r="89" spans="3:14" customFormat="1" ht="15" customHeight="1" x14ac:dyDescent="0.15">
      <c r="C89" s="82">
        <v>88</v>
      </c>
      <c r="E89" s="168" t="s">
        <v>278</v>
      </c>
      <c r="F89" s="82">
        <v>3</v>
      </c>
      <c r="G89" s="82">
        <v>0</v>
      </c>
      <c r="H89" s="82">
        <v>0</v>
      </c>
      <c r="I89" s="82">
        <v>0</v>
      </c>
      <c r="J89" s="82">
        <v>0</v>
      </c>
      <c r="K89" s="82">
        <v>0</v>
      </c>
      <c r="L89" s="82">
        <v>0</v>
      </c>
      <c r="M89" s="82">
        <v>0</v>
      </c>
      <c r="N89" s="82">
        <v>0</v>
      </c>
    </row>
    <row r="90" spans="3:14" customFormat="1" ht="15" customHeight="1" x14ac:dyDescent="0.15">
      <c r="C90" s="82">
        <v>89</v>
      </c>
      <c r="E90" s="168" t="s">
        <v>279</v>
      </c>
      <c r="F90" s="82">
        <v>3</v>
      </c>
      <c r="G90" s="82">
        <v>0</v>
      </c>
      <c r="H90" s="82">
        <v>0</v>
      </c>
      <c r="I90" s="82">
        <v>0</v>
      </c>
      <c r="J90" s="82">
        <v>0</v>
      </c>
      <c r="K90" s="82">
        <v>0</v>
      </c>
      <c r="L90" s="82">
        <v>0</v>
      </c>
      <c r="M90" s="82">
        <v>0</v>
      </c>
      <c r="N90" s="82">
        <v>0</v>
      </c>
    </row>
    <row r="91" spans="3:14" customFormat="1" ht="15" customHeight="1" x14ac:dyDescent="0.15">
      <c r="C91" s="82">
        <v>90</v>
      </c>
      <c r="E91" s="168" t="s">
        <v>280</v>
      </c>
      <c r="F91" s="82">
        <v>3</v>
      </c>
      <c r="G91" s="82">
        <v>0</v>
      </c>
      <c r="H91" s="82">
        <v>0</v>
      </c>
      <c r="I91" s="82">
        <v>0</v>
      </c>
      <c r="J91" s="82">
        <v>0</v>
      </c>
      <c r="K91" s="82">
        <v>0</v>
      </c>
      <c r="L91" s="82">
        <v>0</v>
      </c>
      <c r="M91" s="82">
        <v>0</v>
      </c>
      <c r="N91" s="82">
        <v>0</v>
      </c>
    </row>
    <row r="92" spans="3:14" customFormat="1" ht="15" customHeight="1" x14ac:dyDescent="0.15">
      <c r="C92" s="82">
        <v>91</v>
      </c>
      <c r="E92" s="168" t="s">
        <v>281</v>
      </c>
      <c r="F92" s="82">
        <v>3</v>
      </c>
      <c r="G92" s="82">
        <v>0</v>
      </c>
      <c r="H92" s="82">
        <v>0</v>
      </c>
      <c r="I92" s="82">
        <v>0</v>
      </c>
      <c r="J92" s="82">
        <v>0</v>
      </c>
      <c r="K92" s="82">
        <v>0</v>
      </c>
      <c r="L92" s="82">
        <v>0</v>
      </c>
      <c r="M92" s="82">
        <v>0</v>
      </c>
      <c r="N92" s="82">
        <v>0</v>
      </c>
    </row>
    <row r="93" spans="3:14" customFormat="1" ht="15" customHeight="1" x14ac:dyDescent="0.15">
      <c r="C93" s="82">
        <v>92</v>
      </c>
      <c r="E93" s="168" t="s">
        <v>282</v>
      </c>
      <c r="F93" s="82">
        <v>3</v>
      </c>
      <c r="G93" s="82">
        <v>0</v>
      </c>
      <c r="H93" s="82">
        <v>0</v>
      </c>
      <c r="I93" s="82">
        <v>0</v>
      </c>
      <c r="J93" s="82">
        <v>0</v>
      </c>
      <c r="K93" s="82">
        <v>0</v>
      </c>
      <c r="L93" s="82">
        <v>0</v>
      </c>
      <c r="M93" s="82">
        <v>0</v>
      </c>
      <c r="N93" s="82">
        <v>0</v>
      </c>
    </row>
    <row r="94" spans="3:14" customFormat="1" ht="15" customHeight="1" x14ac:dyDescent="0.15">
      <c r="C94" s="82">
        <v>93</v>
      </c>
      <c r="E94" s="168" t="s">
        <v>283</v>
      </c>
      <c r="F94" s="82">
        <v>3</v>
      </c>
      <c r="G94" s="82">
        <v>0</v>
      </c>
      <c r="H94" s="82">
        <v>0</v>
      </c>
      <c r="I94" s="82">
        <v>0</v>
      </c>
      <c r="J94" s="82">
        <v>0</v>
      </c>
      <c r="K94" s="82">
        <v>0</v>
      </c>
      <c r="L94" s="82">
        <v>0</v>
      </c>
      <c r="M94" s="82">
        <v>0</v>
      </c>
      <c r="N94" s="82">
        <v>0</v>
      </c>
    </row>
    <row r="95" spans="3:14" customFormat="1" ht="15" customHeight="1" x14ac:dyDescent="0.15">
      <c r="C95" s="82">
        <v>94</v>
      </c>
      <c r="E95" s="168" t="s">
        <v>284</v>
      </c>
      <c r="F95" s="82">
        <v>3</v>
      </c>
      <c r="G95" s="82">
        <v>0</v>
      </c>
      <c r="H95" s="82">
        <v>0</v>
      </c>
      <c r="I95" s="82">
        <v>0</v>
      </c>
      <c r="J95" s="82">
        <v>0</v>
      </c>
      <c r="K95" s="82">
        <v>0</v>
      </c>
      <c r="L95" s="82">
        <v>0</v>
      </c>
      <c r="M95" s="82">
        <v>0</v>
      </c>
      <c r="N95" s="82">
        <v>0</v>
      </c>
    </row>
    <row r="96" spans="3:14"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CC373"/>
  <sheetViews>
    <sheetView workbookViewId="0">
      <pane xSplit="1" ySplit="1" topLeftCell="G63" activePane="bottomRight" state="frozen"/>
      <selection pane="topRight" activeCell="B1" sqref="B1"/>
      <selection pane="bottomLeft" activeCell="A2" sqref="A2"/>
      <selection pane="bottomRight" activeCell="L1" sqref="L1"/>
    </sheetView>
  </sheetViews>
  <sheetFormatPr baseColWidth="10" defaultColWidth="8.83203125" defaultRowHeight="13" x14ac:dyDescent="0.15"/>
  <cols>
    <col min="1" max="1" width="29.6640625" style="131" bestFit="1" customWidth="1"/>
    <col min="2" max="2" width="15.83203125" style="131" bestFit="1" customWidth="1"/>
    <col min="3" max="3" width="4.83203125" style="131" bestFit="1" customWidth="1"/>
    <col min="4" max="4" width="15.83203125" style="131" bestFit="1" customWidth="1"/>
    <col min="5" max="5" width="5.83203125" style="131" bestFit="1" customWidth="1"/>
    <col min="6" max="6" width="15.5" style="131" bestFit="1" customWidth="1"/>
    <col min="7" max="7" width="14.83203125" style="131" bestFit="1" customWidth="1"/>
    <col min="8" max="11" width="15.83203125" style="131" bestFit="1" customWidth="1"/>
    <col min="12" max="12" width="10.83203125" style="131" bestFit="1" customWidth="1"/>
    <col min="13" max="13" width="14.83203125" style="131" bestFit="1" customWidth="1"/>
    <col min="14" max="14" width="15.83203125" style="131" bestFit="1" customWidth="1"/>
    <col min="15" max="15" width="14.83203125" style="131" bestFit="1" customWidth="1"/>
    <col min="16" max="22" width="15.83203125" style="131" bestFit="1" customWidth="1"/>
    <col min="23" max="23" width="15.5" style="131" bestFit="1" customWidth="1"/>
    <col min="24" max="24" width="14.83203125" style="131" bestFit="1" customWidth="1"/>
    <col min="25" max="27" width="15.83203125" style="131" bestFit="1" customWidth="1"/>
    <col min="28" max="28" width="3.83203125" style="131" bestFit="1" customWidth="1"/>
    <col min="29" max="29" width="15.83203125" style="131" bestFit="1" customWidth="1"/>
    <col min="30" max="31" width="15.83203125" style="131" customWidth="1"/>
    <col min="32" max="32" width="15.5" style="131" customWidth="1"/>
    <col min="33" max="33" width="15.83203125" style="131" customWidth="1"/>
    <col min="34" max="34" width="5.83203125" style="131" customWidth="1"/>
    <col min="35" max="35" width="15.83203125" style="131" customWidth="1"/>
    <col min="36" max="36" width="14.83203125" style="131" customWidth="1"/>
    <col min="37" max="38" width="15.5" style="131" customWidth="1"/>
    <col min="39" max="39" width="14.83203125" style="131" customWidth="1"/>
    <col min="40" max="52" width="15.83203125" style="131" customWidth="1"/>
    <col min="53" max="53" width="14.83203125" style="131" customWidth="1"/>
    <col min="54" max="54" width="15.83203125" style="131" customWidth="1"/>
    <col min="55" max="56" width="14.83203125" style="131" customWidth="1"/>
    <col min="57" max="57" width="13.83203125" style="131" customWidth="1"/>
    <col min="58" max="59" width="15.83203125" style="131" customWidth="1"/>
    <col min="60" max="60" width="13.83203125" style="131" customWidth="1"/>
    <col min="61" max="61" width="15.83203125" style="131" customWidth="1"/>
    <col min="62" max="62" width="5.83203125" style="131" customWidth="1"/>
    <col min="63" max="63" width="3.83203125" style="131" customWidth="1"/>
    <col min="64" max="81" width="2.33203125" style="131" customWidth="1"/>
    <col min="82" max="16384" width="8.83203125" style="131"/>
  </cols>
  <sheetData>
    <row r="1" spans="1:81" x14ac:dyDescent="0.15">
      <c r="A1" s="130" t="s">
        <v>19</v>
      </c>
      <c r="B1" s="170" t="s">
        <v>191</v>
      </c>
      <c r="C1" s="170" t="s">
        <v>192</v>
      </c>
      <c r="D1" s="170" t="s">
        <v>193</v>
      </c>
      <c r="E1" s="170" t="s">
        <v>194</v>
      </c>
      <c r="F1" s="170" t="s">
        <v>195</v>
      </c>
      <c r="G1" s="170" t="s">
        <v>196</v>
      </c>
      <c r="H1" s="170" t="s">
        <v>197</v>
      </c>
      <c r="I1" s="170" t="s">
        <v>198</v>
      </c>
      <c r="J1" s="170" t="s">
        <v>199</v>
      </c>
      <c r="K1" s="170" t="s">
        <v>200</v>
      </c>
      <c r="L1" s="170" t="s">
        <v>201</v>
      </c>
      <c r="M1" s="170" t="s">
        <v>202</v>
      </c>
      <c r="N1" s="170" t="s">
        <v>203</v>
      </c>
      <c r="O1" s="170" t="s">
        <v>204</v>
      </c>
      <c r="P1" s="170" t="s">
        <v>205</v>
      </c>
      <c r="Q1" s="170" t="s">
        <v>206</v>
      </c>
      <c r="R1" s="170" t="s">
        <v>207</v>
      </c>
      <c r="S1" s="170" t="s">
        <v>208</v>
      </c>
      <c r="T1" s="170" t="s">
        <v>209</v>
      </c>
      <c r="U1" s="170" t="s">
        <v>210</v>
      </c>
      <c r="V1" s="170" t="s">
        <v>211</v>
      </c>
      <c r="W1" s="170" t="s">
        <v>212</v>
      </c>
      <c r="X1" s="170" t="s">
        <v>213</v>
      </c>
      <c r="Y1" s="170" t="s">
        <v>214</v>
      </c>
      <c r="Z1" s="170" t="s">
        <v>215</v>
      </c>
      <c r="AA1" s="170" t="s">
        <v>216</v>
      </c>
      <c r="AB1" s="170" t="s">
        <v>217</v>
      </c>
      <c r="AC1" s="170" t="s">
        <v>218</v>
      </c>
      <c r="AD1" s="170" t="s">
        <v>219</v>
      </c>
      <c r="AE1" s="170" t="s">
        <v>220</v>
      </c>
      <c r="AF1" s="170" t="s">
        <v>221</v>
      </c>
      <c r="AG1" s="170" t="s">
        <v>222</v>
      </c>
      <c r="AH1" s="170" t="s">
        <v>223</v>
      </c>
      <c r="AI1" s="170" t="s">
        <v>224</v>
      </c>
      <c r="AJ1" s="170" t="s">
        <v>225</v>
      </c>
      <c r="AK1" s="170" t="s">
        <v>226</v>
      </c>
      <c r="AL1" s="170" t="s">
        <v>227</v>
      </c>
      <c r="AM1" s="170" t="s">
        <v>228</v>
      </c>
      <c r="AN1" s="170" t="s">
        <v>229</v>
      </c>
      <c r="AO1" s="170" t="s">
        <v>230</v>
      </c>
      <c r="AP1" s="170" t="s">
        <v>231</v>
      </c>
      <c r="AQ1" s="170" t="s">
        <v>232</v>
      </c>
      <c r="AR1" s="170" t="s">
        <v>233</v>
      </c>
      <c r="AS1" s="170" t="s">
        <v>234</v>
      </c>
      <c r="AT1" s="170" t="s">
        <v>235</v>
      </c>
      <c r="AU1" s="170" t="s">
        <v>236</v>
      </c>
      <c r="AV1" s="170" t="s">
        <v>237</v>
      </c>
      <c r="AW1" s="170" t="s">
        <v>238</v>
      </c>
      <c r="AX1" s="170" t="s">
        <v>239</v>
      </c>
      <c r="AY1" s="170" t="s">
        <v>240</v>
      </c>
      <c r="AZ1" s="170" t="s">
        <v>241</v>
      </c>
      <c r="BA1" s="170" t="s">
        <v>242</v>
      </c>
      <c r="BB1" s="170" t="s">
        <v>243</v>
      </c>
      <c r="BC1" s="170" t="s">
        <v>244</v>
      </c>
      <c r="BD1" s="170" t="s">
        <v>245</v>
      </c>
      <c r="BE1" s="170" t="s">
        <v>246</v>
      </c>
      <c r="BF1" s="170" t="s">
        <v>247</v>
      </c>
      <c r="BG1" s="170" t="s">
        <v>248</v>
      </c>
      <c r="BH1" s="170" t="s">
        <v>249</v>
      </c>
      <c r="BI1" s="170" t="s">
        <v>250</v>
      </c>
      <c r="BJ1" s="170" t="s">
        <v>251</v>
      </c>
      <c r="BK1" s="170" t="s">
        <v>252</v>
      </c>
      <c r="BL1" s="170" t="s">
        <v>253</v>
      </c>
      <c r="BM1" s="170" t="s">
        <v>254</v>
      </c>
      <c r="BN1" s="170" t="s">
        <v>255</v>
      </c>
      <c r="BO1" s="170" t="s">
        <v>256</v>
      </c>
      <c r="BP1" s="170" t="s">
        <v>257</v>
      </c>
      <c r="BQ1" s="170" t="s">
        <v>258</v>
      </c>
      <c r="BR1" s="170" t="s">
        <v>259</v>
      </c>
      <c r="BS1" s="170" t="s">
        <v>260</v>
      </c>
      <c r="BT1" s="170" t="s">
        <v>261</v>
      </c>
      <c r="BU1" s="170" t="s">
        <v>262</v>
      </c>
      <c r="BV1" s="170" t="s">
        <v>263</v>
      </c>
      <c r="BW1" s="170" t="s">
        <v>264</v>
      </c>
      <c r="BX1" s="170" t="s">
        <v>265</v>
      </c>
      <c r="BY1" s="170" t="s">
        <v>266</v>
      </c>
      <c r="BZ1" s="170" t="s">
        <v>267</v>
      </c>
      <c r="CA1" s="170" t="s">
        <v>268</v>
      </c>
      <c r="CB1" s="170" t="s">
        <v>269</v>
      </c>
      <c r="CC1" s="170" t="s">
        <v>270</v>
      </c>
    </row>
    <row r="2" spans="1:81" customFormat="1" x14ac:dyDescent="0.15">
      <c r="A2" s="169" t="s">
        <v>191</v>
      </c>
      <c r="B2" s="131">
        <v>0</v>
      </c>
      <c r="C2" s="131">
        <v>0</v>
      </c>
      <c r="D2" s="131">
        <v>0</v>
      </c>
      <c r="E2" s="131">
        <v>0</v>
      </c>
      <c r="F2" s="131">
        <v>1.0126687249665349E-3</v>
      </c>
      <c r="G2" s="131">
        <v>0</v>
      </c>
      <c r="H2" s="131">
        <v>0</v>
      </c>
      <c r="I2" s="131">
        <v>0</v>
      </c>
      <c r="J2" s="131">
        <v>0</v>
      </c>
      <c r="K2" s="131">
        <v>0</v>
      </c>
      <c r="L2" s="131">
        <v>0</v>
      </c>
      <c r="M2" s="131">
        <v>0</v>
      </c>
      <c r="N2" s="131">
        <v>0</v>
      </c>
      <c r="O2" s="131">
        <v>0</v>
      </c>
      <c r="P2" s="131">
        <v>0</v>
      </c>
      <c r="Q2" s="131">
        <v>0</v>
      </c>
      <c r="R2" s="131">
        <v>0</v>
      </c>
      <c r="S2" s="131">
        <v>0</v>
      </c>
      <c r="T2" s="131">
        <v>0</v>
      </c>
      <c r="U2" s="131">
        <v>0</v>
      </c>
      <c r="V2" s="131">
        <v>0</v>
      </c>
      <c r="W2" s="131">
        <v>0</v>
      </c>
      <c r="X2" s="131">
        <v>0</v>
      </c>
      <c r="Y2" s="131">
        <v>0</v>
      </c>
      <c r="Z2" s="131">
        <v>0</v>
      </c>
      <c r="AA2" s="131">
        <v>0</v>
      </c>
      <c r="AB2" s="131">
        <v>0</v>
      </c>
      <c r="AC2" s="131">
        <v>0</v>
      </c>
      <c r="AD2" s="131">
        <v>0</v>
      </c>
      <c r="AE2" s="131">
        <v>0</v>
      </c>
      <c r="AF2" s="131">
        <v>0</v>
      </c>
      <c r="AG2" s="131">
        <v>0</v>
      </c>
      <c r="AH2" s="131">
        <v>0</v>
      </c>
      <c r="AI2" s="131">
        <v>0</v>
      </c>
      <c r="AJ2" s="131">
        <v>0</v>
      </c>
      <c r="AK2" s="131">
        <v>0</v>
      </c>
      <c r="AL2" s="131">
        <v>0</v>
      </c>
      <c r="AM2" s="131">
        <v>0</v>
      </c>
      <c r="AN2" s="131">
        <v>0</v>
      </c>
      <c r="AO2" s="131">
        <v>0</v>
      </c>
      <c r="AP2" s="131">
        <v>0</v>
      </c>
      <c r="AQ2" s="131">
        <v>0</v>
      </c>
      <c r="AR2" s="131">
        <v>0</v>
      </c>
      <c r="AS2" s="131">
        <v>0</v>
      </c>
      <c r="AT2" s="131">
        <v>0</v>
      </c>
      <c r="AU2" s="131">
        <v>0</v>
      </c>
      <c r="AV2" s="131">
        <v>0</v>
      </c>
      <c r="AW2" s="131">
        <v>0</v>
      </c>
      <c r="AX2" s="131">
        <v>0</v>
      </c>
      <c r="AY2" s="131">
        <v>0</v>
      </c>
      <c r="AZ2" s="131">
        <v>0</v>
      </c>
      <c r="BA2" s="131">
        <v>0</v>
      </c>
      <c r="BB2" s="131">
        <v>0</v>
      </c>
      <c r="BC2" s="131">
        <v>0</v>
      </c>
      <c r="BD2" s="131">
        <v>0</v>
      </c>
      <c r="BE2" s="131">
        <v>0</v>
      </c>
      <c r="BF2" s="131">
        <v>0</v>
      </c>
      <c r="BG2" s="131">
        <v>0</v>
      </c>
      <c r="BH2" s="131">
        <v>0</v>
      </c>
      <c r="BI2" s="131">
        <v>0</v>
      </c>
      <c r="BJ2" s="131">
        <v>0</v>
      </c>
      <c r="BK2" s="131">
        <v>0</v>
      </c>
      <c r="BL2" s="131">
        <v>0</v>
      </c>
      <c r="BM2" s="131">
        <v>0</v>
      </c>
      <c r="BN2" s="131">
        <v>0</v>
      </c>
      <c r="BO2" s="131">
        <v>0</v>
      </c>
      <c r="BP2" s="131">
        <v>0</v>
      </c>
      <c r="BQ2" s="131">
        <v>0</v>
      </c>
      <c r="BR2" s="131">
        <v>0</v>
      </c>
      <c r="BS2" s="131">
        <v>0</v>
      </c>
      <c r="BT2" s="131">
        <v>0</v>
      </c>
      <c r="BU2" s="131">
        <v>0</v>
      </c>
      <c r="BV2" s="131">
        <v>0</v>
      </c>
      <c r="BW2" s="131">
        <v>0</v>
      </c>
      <c r="BX2" s="131">
        <v>0</v>
      </c>
      <c r="BY2" s="131">
        <v>0</v>
      </c>
      <c r="BZ2" s="131">
        <v>0</v>
      </c>
      <c r="CA2" s="131">
        <v>0</v>
      </c>
      <c r="CB2" s="131">
        <v>0</v>
      </c>
      <c r="CC2" s="131">
        <v>0</v>
      </c>
    </row>
    <row r="3" spans="1:81" customFormat="1" x14ac:dyDescent="0.15">
      <c r="A3" s="169" t="s">
        <v>192</v>
      </c>
      <c r="B3" s="131">
        <v>0</v>
      </c>
      <c r="C3" s="131">
        <v>0</v>
      </c>
      <c r="D3" s="131">
        <v>0</v>
      </c>
      <c r="E3" s="131">
        <v>0</v>
      </c>
      <c r="F3" s="131">
        <v>7.6927441136933729E-3</v>
      </c>
      <c r="G3" s="131">
        <v>0</v>
      </c>
      <c r="H3" s="131">
        <v>0</v>
      </c>
      <c r="I3" s="131">
        <v>0</v>
      </c>
      <c r="J3" s="131">
        <v>0</v>
      </c>
      <c r="K3" s="131">
        <v>0</v>
      </c>
      <c r="L3" s="131">
        <v>0</v>
      </c>
      <c r="M3" s="131">
        <v>0</v>
      </c>
      <c r="N3" s="131">
        <v>0</v>
      </c>
      <c r="O3" s="131">
        <v>0</v>
      </c>
      <c r="P3" s="131">
        <v>0</v>
      </c>
      <c r="Q3" s="131">
        <v>0</v>
      </c>
      <c r="R3" s="131">
        <v>0</v>
      </c>
      <c r="S3" s="131">
        <v>0</v>
      </c>
      <c r="T3" s="131">
        <v>0</v>
      </c>
      <c r="U3" s="131">
        <v>0</v>
      </c>
      <c r="V3" s="131">
        <v>0</v>
      </c>
      <c r="W3" s="131">
        <v>0</v>
      </c>
      <c r="X3" s="131">
        <v>0</v>
      </c>
      <c r="Y3" s="131">
        <v>0</v>
      </c>
      <c r="Z3" s="131">
        <v>0</v>
      </c>
      <c r="AA3" s="131">
        <v>0</v>
      </c>
      <c r="AB3" s="131">
        <v>0</v>
      </c>
      <c r="AC3" s="131">
        <v>0</v>
      </c>
      <c r="AD3" s="131">
        <v>0</v>
      </c>
      <c r="AE3" s="131">
        <v>0</v>
      </c>
      <c r="AF3" s="131">
        <v>0</v>
      </c>
      <c r="AG3" s="131">
        <v>0</v>
      </c>
      <c r="AH3" s="131">
        <v>0</v>
      </c>
      <c r="AI3" s="131">
        <v>0</v>
      </c>
      <c r="AJ3" s="131">
        <v>0</v>
      </c>
      <c r="AK3" s="131">
        <v>0</v>
      </c>
      <c r="AL3" s="131">
        <v>0</v>
      </c>
      <c r="AM3" s="131">
        <v>0</v>
      </c>
      <c r="AN3" s="131">
        <v>0</v>
      </c>
      <c r="AO3" s="131">
        <v>0</v>
      </c>
      <c r="AP3" s="131">
        <v>0</v>
      </c>
      <c r="AQ3" s="131">
        <v>0</v>
      </c>
      <c r="AR3" s="131">
        <v>0</v>
      </c>
      <c r="AS3" s="131">
        <v>0</v>
      </c>
      <c r="AT3" s="131">
        <v>0</v>
      </c>
      <c r="AU3" s="131">
        <v>0</v>
      </c>
      <c r="AV3" s="131">
        <v>0</v>
      </c>
      <c r="AW3" s="131">
        <v>0</v>
      </c>
      <c r="AX3" s="131">
        <v>0</v>
      </c>
      <c r="AY3" s="131">
        <v>0</v>
      </c>
      <c r="AZ3" s="131">
        <v>0</v>
      </c>
      <c r="BA3" s="131">
        <v>0</v>
      </c>
      <c r="BB3" s="131">
        <v>0</v>
      </c>
      <c r="BC3" s="131">
        <v>0</v>
      </c>
      <c r="BD3" s="131">
        <v>0</v>
      </c>
      <c r="BE3" s="131">
        <v>0</v>
      </c>
      <c r="BF3" s="131">
        <v>0</v>
      </c>
      <c r="BG3" s="131">
        <v>0</v>
      </c>
      <c r="BH3" s="131">
        <v>0</v>
      </c>
      <c r="BI3" s="131">
        <v>0</v>
      </c>
      <c r="BJ3" s="131">
        <v>0</v>
      </c>
      <c r="BK3" s="131">
        <v>0</v>
      </c>
      <c r="BL3" s="131">
        <v>0</v>
      </c>
      <c r="BM3" s="131">
        <v>0</v>
      </c>
      <c r="BN3" s="131">
        <v>0</v>
      </c>
      <c r="BO3" s="131">
        <v>0</v>
      </c>
      <c r="BP3" s="131">
        <v>0</v>
      </c>
      <c r="BQ3" s="131">
        <v>0</v>
      </c>
      <c r="BR3" s="131">
        <v>0</v>
      </c>
      <c r="BS3" s="131">
        <v>0</v>
      </c>
      <c r="BT3" s="131">
        <v>0</v>
      </c>
      <c r="BU3" s="131">
        <v>0</v>
      </c>
      <c r="BV3" s="131">
        <v>0</v>
      </c>
      <c r="BW3" s="131">
        <v>0</v>
      </c>
      <c r="BX3" s="131">
        <v>0</v>
      </c>
      <c r="BY3" s="131">
        <v>0</v>
      </c>
      <c r="BZ3" s="131">
        <v>0</v>
      </c>
      <c r="CA3" s="131">
        <v>0</v>
      </c>
      <c r="CB3" s="131">
        <v>0</v>
      </c>
      <c r="CC3" s="131">
        <v>0</v>
      </c>
    </row>
    <row r="4" spans="1:81" customFormat="1" x14ac:dyDescent="0.15">
      <c r="A4" s="169" t="s">
        <v>193</v>
      </c>
      <c r="B4" s="131">
        <v>0</v>
      </c>
      <c r="C4" s="131">
        <v>0</v>
      </c>
      <c r="D4" s="131">
        <v>0</v>
      </c>
      <c r="E4" s="131">
        <v>0</v>
      </c>
      <c r="F4" s="131">
        <v>0</v>
      </c>
      <c r="G4" s="131">
        <v>0</v>
      </c>
      <c r="H4" s="131">
        <v>0</v>
      </c>
      <c r="I4" s="131">
        <v>0</v>
      </c>
      <c r="J4" s="131">
        <v>0</v>
      </c>
      <c r="K4" s="131">
        <v>0</v>
      </c>
      <c r="L4" s="131">
        <v>0</v>
      </c>
      <c r="M4" s="131">
        <v>0</v>
      </c>
      <c r="N4" s="131">
        <v>0</v>
      </c>
      <c r="O4" s="131">
        <v>0</v>
      </c>
      <c r="P4" s="131">
        <v>0</v>
      </c>
      <c r="Q4" s="131">
        <v>0</v>
      </c>
      <c r="R4" s="131">
        <v>1.1007385877836833E-5</v>
      </c>
      <c r="S4" s="131">
        <v>0</v>
      </c>
      <c r="T4" s="131">
        <v>0</v>
      </c>
      <c r="U4" s="131">
        <v>0</v>
      </c>
      <c r="V4" s="131">
        <v>0</v>
      </c>
      <c r="W4" s="131">
        <v>0</v>
      </c>
      <c r="X4" s="131">
        <v>0</v>
      </c>
      <c r="Y4" s="131">
        <v>0</v>
      </c>
      <c r="Z4" s="131">
        <v>0</v>
      </c>
      <c r="AA4" s="131">
        <v>0</v>
      </c>
      <c r="AB4" s="131">
        <v>0</v>
      </c>
      <c r="AC4" s="131">
        <v>0</v>
      </c>
      <c r="AD4" s="131">
        <v>0</v>
      </c>
      <c r="AE4" s="131">
        <v>0</v>
      </c>
      <c r="AF4" s="131">
        <v>0</v>
      </c>
      <c r="AG4" s="131">
        <v>0</v>
      </c>
      <c r="AH4" s="131">
        <v>0</v>
      </c>
      <c r="AI4" s="131">
        <v>0</v>
      </c>
      <c r="AJ4" s="131">
        <v>0</v>
      </c>
      <c r="AK4" s="131">
        <v>0</v>
      </c>
      <c r="AL4" s="131">
        <v>0</v>
      </c>
      <c r="AM4" s="131">
        <v>0</v>
      </c>
      <c r="AN4" s="131">
        <v>0</v>
      </c>
      <c r="AO4" s="131">
        <v>0</v>
      </c>
      <c r="AP4" s="131">
        <v>0</v>
      </c>
      <c r="AQ4" s="131">
        <v>0</v>
      </c>
      <c r="AR4" s="131">
        <v>0</v>
      </c>
      <c r="AS4" s="131">
        <v>0</v>
      </c>
      <c r="AT4" s="131">
        <v>0</v>
      </c>
      <c r="AU4" s="131">
        <v>0</v>
      </c>
      <c r="AV4" s="131">
        <v>0</v>
      </c>
      <c r="AW4" s="131">
        <v>0</v>
      </c>
      <c r="AX4" s="131">
        <v>0</v>
      </c>
      <c r="AY4" s="131">
        <v>0</v>
      </c>
      <c r="AZ4" s="131">
        <v>0</v>
      </c>
      <c r="BA4" s="131">
        <v>0</v>
      </c>
      <c r="BB4" s="131">
        <v>0</v>
      </c>
      <c r="BC4" s="131">
        <v>0</v>
      </c>
      <c r="BD4" s="131">
        <v>0</v>
      </c>
      <c r="BE4" s="131">
        <v>0</v>
      </c>
      <c r="BF4" s="131">
        <v>0</v>
      </c>
      <c r="BG4" s="131">
        <v>0</v>
      </c>
      <c r="BH4" s="131">
        <v>0</v>
      </c>
      <c r="BI4" s="131">
        <v>0</v>
      </c>
      <c r="BJ4" s="131">
        <v>0</v>
      </c>
      <c r="BK4" s="131">
        <v>0</v>
      </c>
      <c r="BL4" s="131">
        <v>0</v>
      </c>
      <c r="BM4" s="131">
        <v>0</v>
      </c>
      <c r="BN4" s="131">
        <v>0</v>
      </c>
      <c r="BO4" s="131">
        <v>0</v>
      </c>
      <c r="BP4" s="131">
        <v>0</v>
      </c>
      <c r="BQ4" s="131">
        <v>0</v>
      </c>
      <c r="BR4" s="131">
        <v>0</v>
      </c>
      <c r="BS4" s="131">
        <v>0</v>
      </c>
      <c r="BT4" s="131">
        <v>0</v>
      </c>
      <c r="BU4" s="131">
        <v>0</v>
      </c>
      <c r="BV4" s="131">
        <v>0</v>
      </c>
      <c r="BW4" s="131">
        <v>0</v>
      </c>
      <c r="BX4" s="131">
        <v>0</v>
      </c>
      <c r="BY4" s="131">
        <v>0</v>
      </c>
      <c r="BZ4" s="131">
        <v>0</v>
      </c>
      <c r="CA4" s="131">
        <v>0</v>
      </c>
      <c r="CB4" s="131">
        <v>0</v>
      </c>
      <c r="CC4" s="131">
        <v>0</v>
      </c>
    </row>
    <row r="5" spans="1:81" customFormat="1" x14ac:dyDescent="0.15">
      <c r="A5" s="169" t="s">
        <v>194</v>
      </c>
      <c r="B5" s="131">
        <v>0</v>
      </c>
      <c r="C5" s="131">
        <v>0</v>
      </c>
      <c r="D5" s="131">
        <v>0</v>
      </c>
      <c r="E5" s="131">
        <v>0</v>
      </c>
      <c r="F5" s="131">
        <v>1.209485087875343E-5</v>
      </c>
      <c r="G5" s="131">
        <v>0</v>
      </c>
      <c r="H5" s="131">
        <v>0</v>
      </c>
      <c r="I5" s="131">
        <v>0</v>
      </c>
      <c r="J5" s="131">
        <v>0</v>
      </c>
      <c r="K5" s="131">
        <v>0</v>
      </c>
      <c r="L5" s="131">
        <v>0</v>
      </c>
      <c r="M5" s="131">
        <v>0</v>
      </c>
      <c r="N5" s="131">
        <v>0</v>
      </c>
      <c r="O5" s="131">
        <v>0</v>
      </c>
      <c r="P5" s="131">
        <v>0</v>
      </c>
      <c r="Q5" s="131">
        <v>0</v>
      </c>
      <c r="R5" s="131">
        <v>0</v>
      </c>
      <c r="S5" s="131">
        <v>0</v>
      </c>
      <c r="T5" s="131">
        <v>0</v>
      </c>
      <c r="U5" s="131">
        <v>0</v>
      </c>
      <c r="V5" s="131">
        <v>0</v>
      </c>
      <c r="W5" s="131">
        <v>0</v>
      </c>
      <c r="X5" s="131">
        <v>0</v>
      </c>
      <c r="Y5" s="131">
        <v>0</v>
      </c>
      <c r="Z5" s="131">
        <v>0</v>
      </c>
      <c r="AA5" s="131">
        <v>0</v>
      </c>
      <c r="AB5" s="131">
        <v>0</v>
      </c>
      <c r="AC5" s="131">
        <v>0</v>
      </c>
      <c r="AD5" s="131">
        <v>0</v>
      </c>
      <c r="AE5" s="131">
        <v>0</v>
      </c>
      <c r="AF5" s="131">
        <v>0</v>
      </c>
      <c r="AG5" s="131">
        <v>0</v>
      </c>
      <c r="AH5" s="131">
        <v>0</v>
      </c>
      <c r="AI5" s="131">
        <v>0</v>
      </c>
      <c r="AJ5" s="131">
        <v>0</v>
      </c>
      <c r="AK5" s="131">
        <v>0</v>
      </c>
      <c r="AL5" s="131">
        <v>0</v>
      </c>
      <c r="AM5" s="131">
        <v>0</v>
      </c>
      <c r="AN5" s="131">
        <v>0</v>
      </c>
      <c r="AO5" s="131">
        <v>0</v>
      </c>
      <c r="AP5" s="131">
        <v>0</v>
      </c>
      <c r="AQ5" s="131">
        <v>0</v>
      </c>
      <c r="AR5" s="131">
        <v>0</v>
      </c>
      <c r="AS5" s="131">
        <v>0</v>
      </c>
      <c r="AT5" s="131">
        <v>0</v>
      </c>
      <c r="AU5" s="131">
        <v>0</v>
      </c>
      <c r="AV5" s="131">
        <v>0</v>
      </c>
      <c r="AW5" s="131">
        <v>0</v>
      </c>
      <c r="AX5" s="131">
        <v>0</v>
      </c>
      <c r="AY5" s="131">
        <v>0</v>
      </c>
      <c r="AZ5" s="131">
        <v>0</v>
      </c>
      <c r="BA5" s="131">
        <v>0</v>
      </c>
      <c r="BB5" s="131">
        <v>0</v>
      </c>
      <c r="BC5" s="131">
        <v>0</v>
      </c>
      <c r="BD5" s="131">
        <v>0</v>
      </c>
      <c r="BE5" s="131">
        <v>0</v>
      </c>
      <c r="BF5" s="131">
        <v>0</v>
      </c>
      <c r="BG5" s="131">
        <v>0</v>
      </c>
      <c r="BH5" s="131">
        <v>0</v>
      </c>
      <c r="BI5" s="131">
        <v>0</v>
      </c>
      <c r="BJ5" s="131">
        <v>0</v>
      </c>
      <c r="BK5" s="131">
        <v>0</v>
      </c>
      <c r="BL5" s="131">
        <v>0</v>
      </c>
      <c r="BM5" s="131">
        <v>0</v>
      </c>
      <c r="BN5" s="131">
        <v>0</v>
      </c>
      <c r="BO5" s="131">
        <v>0</v>
      </c>
      <c r="BP5" s="131">
        <v>0</v>
      </c>
      <c r="BQ5" s="131">
        <v>0</v>
      </c>
      <c r="BR5" s="131">
        <v>0</v>
      </c>
      <c r="BS5" s="131">
        <v>0</v>
      </c>
      <c r="BT5" s="131">
        <v>0</v>
      </c>
      <c r="BU5" s="131">
        <v>0</v>
      </c>
      <c r="BV5" s="131">
        <v>0</v>
      </c>
      <c r="BW5" s="131">
        <v>0</v>
      </c>
      <c r="BX5" s="131">
        <v>0</v>
      </c>
      <c r="BY5" s="131">
        <v>0</v>
      </c>
      <c r="BZ5" s="131">
        <v>0</v>
      </c>
      <c r="CA5" s="131">
        <v>0</v>
      </c>
      <c r="CB5" s="131">
        <v>0</v>
      </c>
      <c r="CC5" s="131">
        <v>0</v>
      </c>
    </row>
    <row r="6" spans="1:81" customFormat="1" x14ac:dyDescent="0.15">
      <c r="A6" s="169" t="s">
        <v>195</v>
      </c>
      <c r="B6" s="131">
        <v>0</v>
      </c>
      <c r="C6" s="131">
        <v>0</v>
      </c>
      <c r="D6" s="131">
        <v>0</v>
      </c>
      <c r="E6" s="131">
        <v>0</v>
      </c>
      <c r="F6" s="131">
        <v>9.9067801464152762E-3</v>
      </c>
      <c r="G6" s="131">
        <v>0</v>
      </c>
      <c r="H6" s="131">
        <v>0</v>
      </c>
      <c r="I6" s="131">
        <v>0</v>
      </c>
      <c r="J6" s="131">
        <v>0</v>
      </c>
      <c r="K6" s="131">
        <v>0</v>
      </c>
      <c r="L6" s="131">
        <v>0</v>
      </c>
      <c r="M6" s="131">
        <v>0</v>
      </c>
      <c r="N6" s="131">
        <v>0</v>
      </c>
      <c r="O6" s="131">
        <v>0</v>
      </c>
      <c r="P6" s="131">
        <v>0</v>
      </c>
      <c r="Q6" s="131">
        <v>0</v>
      </c>
      <c r="R6" s="131">
        <v>0</v>
      </c>
      <c r="S6" s="131">
        <v>0</v>
      </c>
      <c r="T6" s="131">
        <v>0</v>
      </c>
      <c r="U6" s="131">
        <v>0</v>
      </c>
      <c r="V6" s="131">
        <v>0</v>
      </c>
      <c r="W6" s="131">
        <v>0</v>
      </c>
      <c r="X6" s="131">
        <v>0</v>
      </c>
      <c r="Y6" s="131">
        <v>0</v>
      </c>
      <c r="Z6" s="131">
        <v>0</v>
      </c>
      <c r="AA6" s="131">
        <v>0</v>
      </c>
      <c r="AB6" s="131">
        <v>0</v>
      </c>
      <c r="AC6" s="131">
        <v>0</v>
      </c>
      <c r="AD6" s="131">
        <v>0</v>
      </c>
      <c r="AE6" s="131">
        <v>0</v>
      </c>
      <c r="AF6" s="131">
        <v>0</v>
      </c>
      <c r="AG6" s="131">
        <v>0</v>
      </c>
      <c r="AH6" s="131">
        <v>0</v>
      </c>
      <c r="AI6" s="131">
        <v>0</v>
      </c>
      <c r="AJ6" s="131">
        <v>0</v>
      </c>
      <c r="AK6" s="131">
        <v>0</v>
      </c>
      <c r="AL6" s="131">
        <v>0</v>
      </c>
      <c r="AM6" s="131">
        <v>0</v>
      </c>
      <c r="AN6" s="131">
        <v>0</v>
      </c>
      <c r="AO6" s="131">
        <v>0</v>
      </c>
      <c r="AP6" s="131">
        <v>0</v>
      </c>
      <c r="AQ6" s="131">
        <v>0</v>
      </c>
      <c r="AR6" s="131">
        <v>0</v>
      </c>
      <c r="AS6" s="131">
        <v>0</v>
      </c>
      <c r="AT6" s="131">
        <v>0</v>
      </c>
      <c r="AU6" s="131">
        <v>0</v>
      </c>
      <c r="AV6" s="131">
        <v>0</v>
      </c>
      <c r="AW6" s="131">
        <v>0</v>
      </c>
      <c r="AX6" s="131">
        <v>0</v>
      </c>
      <c r="AY6" s="131">
        <v>0</v>
      </c>
      <c r="AZ6" s="131">
        <v>0</v>
      </c>
      <c r="BA6" s="131">
        <v>0</v>
      </c>
      <c r="BB6" s="131">
        <v>0</v>
      </c>
      <c r="BC6" s="131">
        <v>0</v>
      </c>
      <c r="BD6" s="131">
        <v>0</v>
      </c>
      <c r="BE6" s="131">
        <v>0</v>
      </c>
      <c r="BF6" s="131">
        <v>0</v>
      </c>
      <c r="BG6" s="131">
        <v>0</v>
      </c>
      <c r="BH6" s="131">
        <v>0</v>
      </c>
      <c r="BI6" s="131">
        <v>0</v>
      </c>
      <c r="BJ6" s="131">
        <v>0</v>
      </c>
      <c r="BK6" s="131">
        <v>0</v>
      </c>
      <c r="BL6" s="131">
        <v>0</v>
      </c>
      <c r="BM6" s="131">
        <v>0</v>
      </c>
      <c r="BN6" s="131">
        <v>0</v>
      </c>
      <c r="BO6" s="131">
        <v>0</v>
      </c>
      <c r="BP6" s="131">
        <v>0</v>
      </c>
      <c r="BQ6" s="131">
        <v>0</v>
      </c>
      <c r="BR6" s="131">
        <v>0</v>
      </c>
      <c r="BS6" s="131">
        <v>0</v>
      </c>
      <c r="BT6" s="131">
        <v>0</v>
      </c>
      <c r="BU6" s="131">
        <v>0</v>
      </c>
      <c r="BV6" s="131">
        <v>0</v>
      </c>
      <c r="BW6" s="131">
        <v>0</v>
      </c>
      <c r="BX6" s="131">
        <v>0</v>
      </c>
      <c r="BY6" s="131">
        <v>0</v>
      </c>
      <c r="BZ6" s="131">
        <v>0</v>
      </c>
      <c r="CA6" s="131">
        <v>0</v>
      </c>
      <c r="CB6" s="131">
        <v>0</v>
      </c>
      <c r="CC6" s="131">
        <v>0</v>
      </c>
    </row>
    <row r="7" spans="1:81" customFormat="1" x14ac:dyDescent="0.15">
      <c r="A7" s="169" t="s">
        <v>196</v>
      </c>
      <c r="B7" s="131">
        <v>0</v>
      </c>
      <c r="C7" s="131">
        <v>0</v>
      </c>
      <c r="D7" s="131">
        <v>0</v>
      </c>
      <c r="E7" s="131">
        <v>0</v>
      </c>
      <c r="F7" s="131">
        <v>2.1990638125006239E-3</v>
      </c>
      <c r="G7" s="131">
        <v>0</v>
      </c>
      <c r="H7" s="131">
        <v>0</v>
      </c>
      <c r="I7" s="131">
        <v>0</v>
      </c>
      <c r="J7" s="131">
        <v>0</v>
      </c>
      <c r="K7" s="131">
        <v>0</v>
      </c>
      <c r="L7" s="131">
        <v>0</v>
      </c>
      <c r="M7" s="131">
        <v>0</v>
      </c>
      <c r="N7" s="131">
        <v>0</v>
      </c>
      <c r="O7" s="131">
        <v>0</v>
      </c>
      <c r="P7" s="131">
        <v>0</v>
      </c>
      <c r="Q7" s="131">
        <v>0</v>
      </c>
      <c r="R7" s="131">
        <v>0</v>
      </c>
      <c r="S7" s="131">
        <v>0</v>
      </c>
      <c r="T7" s="131">
        <v>0</v>
      </c>
      <c r="U7" s="131">
        <v>0</v>
      </c>
      <c r="V7" s="131">
        <v>0</v>
      </c>
      <c r="W7" s="131">
        <v>0</v>
      </c>
      <c r="X7" s="131">
        <v>0</v>
      </c>
      <c r="Y7" s="131">
        <v>0</v>
      </c>
      <c r="Z7" s="131">
        <v>0</v>
      </c>
      <c r="AA7" s="131">
        <v>0</v>
      </c>
      <c r="AB7" s="131">
        <v>0</v>
      </c>
      <c r="AC7" s="131">
        <v>0</v>
      </c>
      <c r="AD7" s="131">
        <v>0</v>
      </c>
      <c r="AE7" s="131">
        <v>0</v>
      </c>
      <c r="AF7" s="131">
        <v>0</v>
      </c>
      <c r="AG7" s="131">
        <v>0</v>
      </c>
      <c r="AH7" s="131">
        <v>0</v>
      </c>
      <c r="AI7" s="131">
        <v>0</v>
      </c>
      <c r="AJ7" s="131">
        <v>0</v>
      </c>
      <c r="AK7" s="131">
        <v>0</v>
      </c>
      <c r="AL7" s="131">
        <v>0</v>
      </c>
      <c r="AM7" s="131">
        <v>0</v>
      </c>
      <c r="AN7" s="131">
        <v>0</v>
      </c>
      <c r="AO7" s="131">
        <v>0</v>
      </c>
      <c r="AP7" s="131">
        <v>0</v>
      </c>
      <c r="AQ7" s="131">
        <v>0</v>
      </c>
      <c r="AR7" s="131">
        <v>0</v>
      </c>
      <c r="AS7" s="131">
        <v>0</v>
      </c>
      <c r="AT7" s="131">
        <v>0</v>
      </c>
      <c r="AU7" s="131">
        <v>0</v>
      </c>
      <c r="AV7" s="131">
        <v>0</v>
      </c>
      <c r="AW7" s="131">
        <v>0</v>
      </c>
      <c r="AX7" s="131">
        <v>0</v>
      </c>
      <c r="AY7" s="131">
        <v>0</v>
      </c>
      <c r="AZ7" s="131">
        <v>0</v>
      </c>
      <c r="BA7" s="131">
        <v>0</v>
      </c>
      <c r="BB7" s="131">
        <v>0</v>
      </c>
      <c r="BC7" s="131">
        <v>0</v>
      </c>
      <c r="BD7" s="131">
        <v>0</v>
      </c>
      <c r="BE7" s="131">
        <v>0</v>
      </c>
      <c r="BF7" s="131">
        <v>0</v>
      </c>
      <c r="BG7" s="131">
        <v>0</v>
      </c>
      <c r="BH7" s="131">
        <v>0</v>
      </c>
      <c r="BI7" s="131">
        <v>0</v>
      </c>
      <c r="BJ7" s="131">
        <v>0</v>
      </c>
      <c r="BK7" s="131">
        <v>0</v>
      </c>
      <c r="BL7" s="131">
        <v>0</v>
      </c>
      <c r="BM7" s="131">
        <v>0</v>
      </c>
      <c r="BN7" s="131">
        <v>0</v>
      </c>
      <c r="BO7" s="131">
        <v>0</v>
      </c>
      <c r="BP7" s="131">
        <v>0</v>
      </c>
      <c r="BQ7" s="131">
        <v>0</v>
      </c>
      <c r="BR7" s="131">
        <v>0</v>
      </c>
      <c r="BS7" s="131">
        <v>0</v>
      </c>
      <c r="BT7" s="131">
        <v>0</v>
      </c>
      <c r="BU7" s="131">
        <v>0</v>
      </c>
      <c r="BV7" s="131">
        <v>0</v>
      </c>
      <c r="BW7" s="131">
        <v>0</v>
      </c>
      <c r="BX7" s="131">
        <v>0</v>
      </c>
      <c r="BY7" s="131">
        <v>0</v>
      </c>
      <c r="BZ7" s="131">
        <v>0</v>
      </c>
      <c r="CA7" s="131">
        <v>0</v>
      </c>
      <c r="CB7" s="131">
        <v>0</v>
      </c>
      <c r="CC7" s="131">
        <v>0</v>
      </c>
    </row>
    <row r="8" spans="1:81" customFormat="1" x14ac:dyDescent="0.15">
      <c r="A8" s="169" t="s">
        <v>197</v>
      </c>
      <c r="B8" s="131">
        <v>0</v>
      </c>
      <c r="C8" s="131">
        <v>0</v>
      </c>
      <c r="D8" s="131">
        <v>0</v>
      </c>
      <c r="E8" s="131">
        <v>0</v>
      </c>
      <c r="F8" s="131">
        <v>6.6081863876643688E-3</v>
      </c>
      <c r="G8" s="131">
        <v>9.3474702498765749E-5</v>
      </c>
      <c r="H8" s="131">
        <v>0</v>
      </c>
      <c r="I8" s="131">
        <v>0</v>
      </c>
      <c r="J8" s="131">
        <v>0</v>
      </c>
      <c r="K8" s="131">
        <v>0</v>
      </c>
      <c r="L8" s="131">
        <v>0</v>
      </c>
      <c r="M8" s="131">
        <v>0</v>
      </c>
      <c r="N8" s="131">
        <v>0</v>
      </c>
      <c r="O8" s="131">
        <v>0</v>
      </c>
      <c r="P8" s="131">
        <v>0</v>
      </c>
      <c r="Q8" s="131">
        <v>0</v>
      </c>
      <c r="R8" s="131">
        <v>0</v>
      </c>
      <c r="S8" s="131">
        <v>0</v>
      </c>
      <c r="T8" s="131">
        <v>0</v>
      </c>
      <c r="U8" s="131">
        <v>0</v>
      </c>
      <c r="V8" s="131">
        <v>0</v>
      </c>
      <c r="W8" s="131">
        <v>0</v>
      </c>
      <c r="X8" s="131">
        <v>0</v>
      </c>
      <c r="Y8" s="131">
        <v>0</v>
      </c>
      <c r="Z8" s="131">
        <v>0</v>
      </c>
      <c r="AA8" s="131">
        <v>0</v>
      </c>
      <c r="AB8" s="131">
        <v>0</v>
      </c>
      <c r="AC8" s="131">
        <v>0</v>
      </c>
      <c r="AD8" s="131">
        <v>0</v>
      </c>
      <c r="AE8" s="131">
        <v>0</v>
      </c>
      <c r="AF8" s="131">
        <v>0</v>
      </c>
      <c r="AG8" s="131">
        <v>0</v>
      </c>
      <c r="AH8" s="131">
        <v>0</v>
      </c>
      <c r="AI8" s="131">
        <v>0</v>
      </c>
      <c r="AJ8" s="131">
        <v>0</v>
      </c>
      <c r="AK8" s="131">
        <v>0</v>
      </c>
      <c r="AL8" s="131">
        <v>0</v>
      </c>
      <c r="AM8" s="131">
        <v>0</v>
      </c>
      <c r="AN8" s="131">
        <v>0</v>
      </c>
      <c r="AO8" s="131">
        <v>0</v>
      </c>
      <c r="AP8" s="131">
        <v>0</v>
      </c>
      <c r="AQ8" s="131">
        <v>0</v>
      </c>
      <c r="AR8" s="131">
        <v>0</v>
      </c>
      <c r="AS8" s="131">
        <v>0</v>
      </c>
      <c r="AT8" s="131">
        <v>0</v>
      </c>
      <c r="AU8" s="131">
        <v>0</v>
      </c>
      <c r="AV8" s="131">
        <v>0</v>
      </c>
      <c r="AW8" s="131">
        <v>0</v>
      </c>
      <c r="AX8" s="131">
        <v>0</v>
      </c>
      <c r="AY8" s="131">
        <v>0</v>
      </c>
      <c r="AZ8" s="131">
        <v>0</v>
      </c>
      <c r="BA8" s="131">
        <v>0</v>
      </c>
      <c r="BB8" s="131">
        <v>0</v>
      </c>
      <c r="BC8" s="131">
        <v>0</v>
      </c>
      <c r="BD8" s="131">
        <v>0</v>
      </c>
      <c r="BE8" s="131">
        <v>0</v>
      </c>
      <c r="BF8" s="131">
        <v>0</v>
      </c>
      <c r="BG8" s="131">
        <v>0</v>
      </c>
      <c r="BH8" s="131">
        <v>0</v>
      </c>
      <c r="BI8" s="131">
        <v>0</v>
      </c>
      <c r="BJ8" s="131">
        <v>0</v>
      </c>
      <c r="BK8" s="131">
        <v>0</v>
      </c>
      <c r="BL8" s="131">
        <v>0</v>
      </c>
      <c r="BM8" s="131">
        <v>0</v>
      </c>
      <c r="BN8" s="131">
        <v>0</v>
      </c>
      <c r="BO8" s="131">
        <v>0</v>
      </c>
      <c r="BP8" s="131">
        <v>0</v>
      </c>
      <c r="BQ8" s="131">
        <v>0</v>
      </c>
      <c r="BR8" s="131">
        <v>0</v>
      </c>
      <c r="BS8" s="131">
        <v>0</v>
      </c>
      <c r="BT8" s="131">
        <v>0</v>
      </c>
      <c r="BU8" s="131">
        <v>0</v>
      </c>
      <c r="BV8" s="131">
        <v>0</v>
      </c>
      <c r="BW8" s="131">
        <v>0</v>
      </c>
      <c r="BX8" s="131">
        <v>0</v>
      </c>
      <c r="BY8" s="131">
        <v>0</v>
      </c>
      <c r="BZ8" s="131">
        <v>0</v>
      </c>
      <c r="CA8" s="131">
        <v>0</v>
      </c>
      <c r="CB8" s="131">
        <v>0</v>
      </c>
      <c r="CC8" s="131">
        <v>0</v>
      </c>
    </row>
    <row r="9" spans="1:81" customFormat="1" x14ac:dyDescent="0.15">
      <c r="A9" s="169" t="s">
        <v>198</v>
      </c>
      <c r="B9" s="131">
        <v>0</v>
      </c>
      <c r="C9" s="131">
        <v>0</v>
      </c>
      <c r="D9" s="131">
        <v>0</v>
      </c>
      <c r="E9" s="131">
        <v>0</v>
      </c>
      <c r="F9" s="131">
        <v>9.7968291447902769E-2</v>
      </c>
      <c r="G9" s="131">
        <v>9.0472312418505858E-3</v>
      </c>
      <c r="H9" s="131">
        <v>0</v>
      </c>
      <c r="I9" s="131">
        <v>0</v>
      </c>
      <c r="J9" s="131">
        <v>0</v>
      </c>
      <c r="K9" s="131">
        <v>0</v>
      </c>
      <c r="L9" s="131">
        <v>0</v>
      </c>
      <c r="M9" s="131">
        <v>0</v>
      </c>
      <c r="N9" s="131">
        <v>0</v>
      </c>
      <c r="O9" s="131">
        <v>0</v>
      </c>
      <c r="P9" s="131">
        <v>0</v>
      </c>
      <c r="Q9" s="131">
        <v>0</v>
      </c>
      <c r="R9" s="131">
        <v>0</v>
      </c>
      <c r="S9" s="131">
        <v>0</v>
      </c>
      <c r="T9" s="131">
        <v>0</v>
      </c>
      <c r="U9" s="131">
        <v>0</v>
      </c>
      <c r="V9" s="131">
        <v>0</v>
      </c>
      <c r="W9" s="131">
        <v>0</v>
      </c>
      <c r="X9" s="131">
        <v>0</v>
      </c>
      <c r="Y9" s="131">
        <v>0</v>
      </c>
      <c r="Z9" s="131">
        <v>0</v>
      </c>
      <c r="AA9" s="131">
        <v>0</v>
      </c>
      <c r="AB9" s="131">
        <v>0</v>
      </c>
      <c r="AC9" s="131">
        <v>0</v>
      </c>
      <c r="AD9" s="131">
        <v>0</v>
      </c>
      <c r="AE9" s="131">
        <v>0</v>
      </c>
      <c r="AF9" s="131">
        <v>0</v>
      </c>
      <c r="AG9" s="131">
        <v>0</v>
      </c>
      <c r="AH9" s="131">
        <v>0</v>
      </c>
      <c r="AI9" s="131">
        <v>0</v>
      </c>
      <c r="AJ9" s="131">
        <v>0</v>
      </c>
      <c r="AK9" s="131">
        <v>0</v>
      </c>
      <c r="AL9" s="131">
        <v>0</v>
      </c>
      <c r="AM9" s="131">
        <v>0</v>
      </c>
      <c r="AN9" s="131">
        <v>0</v>
      </c>
      <c r="AO9" s="131">
        <v>0</v>
      </c>
      <c r="AP9" s="131">
        <v>0</v>
      </c>
      <c r="AQ9" s="131">
        <v>0</v>
      </c>
      <c r="AR9" s="131">
        <v>0</v>
      </c>
      <c r="AS9" s="131">
        <v>0</v>
      </c>
      <c r="AT9" s="131">
        <v>0</v>
      </c>
      <c r="AU9" s="131">
        <v>0</v>
      </c>
      <c r="AV9" s="131">
        <v>0</v>
      </c>
      <c r="AW9" s="131">
        <v>0</v>
      </c>
      <c r="AX9" s="131">
        <v>0</v>
      </c>
      <c r="AY9" s="131">
        <v>0</v>
      </c>
      <c r="AZ9" s="131">
        <v>0</v>
      </c>
      <c r="BA9" s="131">
        <v>0</v>
      </c>
      <c r="BB9" s="131">
        <v>0</v>
      </c>
      <c r="BC9" s="131">
        <v>0</v>
      </c>
      <c r="BD9" s="131">
        <v>0</v>
      </c>
      <c r="BE9" s="131">
        <v>0</v>
      </c>
      <c r="BF9" s="131">
        <v>0</v>
      </c>
      <c r="BG9" s="131">
        <v>0</v>
      </c>
      <c r="BH9" s="131">
        <v>0</v>
      </c>
      <c r="BI9" s="131">
        <v>0</v>
      </c>
      <c r="BJ9" s="131">
        <v>0</v>
      </c>
      <c r="BK9" s="131">
        <v>0</v>
      </c>
      <c r="BL9" s="131">
        <v>0</v>
      </c>
      <c r="BM9" s="131">
        <v>0</v>
      </c>
      <c r="BN9" s="131">
        <v>0</v>
      </c>
      <c r="BO9" s="131">
        <v>0</v>
      </c>
      <c r="BP9" s="131">
        <v>0</v>
      </c>
      <c r="BQ9" s="131">
        <v>0</v>
      </c>
      <c r="BR9" s="131">
        <v>0</v>
      </c>
      <c r="BS9" s="131">
        <v>0</v>
      </c>
      <c r="BT9" s="131">
        <v>0</v>
      </c>
      <c r="BU9" s="131">
        <v>0</v>
      </c>
      <c r="BV9" s="131">
        <v>0</v>
      </c>
      <c r="BW9" s="131">
        <v>0</v>
      </c>
      <c r="BX9" s="131">
        <v>0</v>
      </c>
      <c r="BY9" s="131">
        <v>0</v>
      </c>
      <c r="BZ9" s="131">
        <v>0</v>
      </c>
      <c r="CA9" s="131">
        <v>0</v>
      </c>
      <c r="CB9" s="131">
        <v>0</v>
      </c>
      <c r="CC9" s="131">
        <v>0</v>
      </c>
    </row>
    <row r="10" spans="1:81" customFormat="1" x14ac:dyDescent="0.15">
      <c r="A10" s="169" t="s">
        <v>199</v>
      </c>
      <c r="B10" s="131">
        <v>9.9999339479451437E-4</v>
      </c>
      <c r="C10" s="131">
        <v>0</v>
      </c>
      <c r="D10" s="131">
        <v>0</v>
      </c>
      <c r="E10" s="131">
        <v>0</v>
      </c>
      <c r="F10" s="131">
        <v>1.0126687249665349E-3</v>
      </c>
      <c r="G10" s="131">
        <v>0</v>
      </c>
      <c r="H10" s="131">
        <v>0</v>
      </c>
      <c r="I10" s="131">
        <v>1.2996635162139464E-5</v>
      </c>
      <c r="J10" s="131">
        <v>0</v>
      </c>
      <c r="K10" s="131">
        <v>0</v>
      </c>
      <c r="L10" s="131">
        <v>0</v>
      </c>
      <c r="M10" s="131">
        <v>0</v>
      </c>
      <c r="N10" s="131">
        <v>0</v>
      </c>
      <c r="O10" s="131">
        <v>0</v>
      </c>
      <c r="P10" s="131">
        <v>0</v>
      </c>
      <c r="Q10" s="131">
        <v>0</v>
      </c>
      <c r="R10" s="131">
        <v>0</v>
      </c>
      <c r="S10" s="131">
        <v>0</v>
      </c>
      <c r="T10" s="131">
        <v>0</v>
      </c>
      <c r="U10" s="131">
        <v>0</v>
      </c>
      <c r="V10" s="131">
        <v>0</v>
      </c>
      <c r="W10" s="131">
        <v>0</v>
      </c>
      <c r="X10" s="131">
        <v>0</v>
      </c>
      <c r="Y10" s="131">
        <v>0</v>
      </c>
      <c r="Z10" s="131">
        <v>0</v>
      </c>
      <c r="AA10" s="131">
        <v>0</v>
      </c>
      <c r="AB10" s="131">
        <v>0</v>
      </c>
      <c r="AC10" s="131">
        <v>0</v>
      </c>
      <c r="AD10" s="131">
        <v>0</v>
      </c>
      <c r="AE10" s="131">
        <v>0</v>
      </c>
      <c r="AF10" s="131">
        <v>0</v>
      </c>
      <c r="AG10" s="131">
        <v>0</v>
      </c>
      <c r="AH10" s="131">
        <v>0</v>
      </c>
      <c r="AI10" s="131">
        <v>0</v>
      </c>
      <c r="AJ10" s="131">
        <v>0</v>
      </c>
      <c r="AK10" s="131">
        <v>0</v>
      </c>
      <c r="AL10" s="131">
        <v>0</v>
      </c>
      <c r="AM10" s="131">
        <v>0</v>
      </c>
      <c r="AN10" s="131">
        <v>0</v>
      </c>
      <c r="AO10" s="131">
        <v>0</v>
      </c>
      <c r="AP10" s="131">
        <v>0</v>
      </c>
      <c r="AQ10" s="131">
        <v>0</v>
      </c>
      <c r="AR10" s="131">
        <v>0</v>
      </c>
      <c r="AS10" s="131">
        <v>0</v>
      </c>
      <c r="AT10" s="131">
        <v>0</v>
      </c>
      <c r="AU10" s="131">
        <v>0</v>
      </c>
      <c r="AV10" s="131">
        <v>0</v>
      </c>
      <c r="AW10" s="131">
        <v>0</v>
      </c>
      <c r="AX10" s="131">
        <v>0</v>
      </c>
      <c r="AY10" s="131">
        <v>0</v>
      </c>
      <c r="AZ10" s="131">
        <v>0</v>
      </c>
      <c r="BA10" s="131">
        <v>0</v>
      </c>
      <c r="BB10" s="131">
        <v>0</v>
      </c>
      <c r="BC10" s="131">
        <v>0</v>
      </c>
      <c r="BD10" s="131">
        <v>0</v>
      </c>
      <c r="BE10" s="131">
        <v>0</v>
      </c>
      <c r="BF10" s="131">
        <v>0</v>
      </c>
      <c r="BG10" s="131">
        <v>0</v>
      </c>
      <c r="BH10" s="131">
        <v>0</v>
      </c>
      <c r="BI10" s="131">
        <v>0</v>
      </c>
      <c r="BJ10" s="131">
        <v>0</v>
      </c>
      <c r="BK10" s="131">
        <v>0</v>
      </c>
      <c r="BL10" s="131">
        <v>0</v>
      </c>
      <c r="BM10" s="131">
        <v>0</v>
      </c>
      <c r="BN10" s="131">
        <v>0</v>
      </c>
      <c r="BO10" s="131">
        <v>0</v>
      </c>
      <c r="BP10" s="131">
        <v>0</v>
      </c>
      <c r="BQ10" s="131">
        <v>0</v>
      </c>
      <c r="BR10" s="131">
        <v>0</v>
      </c>
      <c r="BS10" s="131">
        <v>0</v>
      </c>
      <c r="BT10" s="131">
        <v>0</v>
      </c>
      <c r="BU10" s="131">
        <v>0</v>
      </c>
      <c r="BV10" s="131">
        <v>0</v>
      </c>
      <c r="BW10" s="131">
        <v>0</v>
      </c>
      <c r="BX10" s="131">
        <v>0</v>
      </c>
      <c r="BY10" s="131">
        <v>0</v>
      </c>
      <c r="BZ10" s="131">
        <v>0</v>
      </c>
      <c r="CA10" s="131">
        <v>0</v>
      </c>
      <c r="CB10" s="131">
        <v>0</v>
      </c>
      <c r="CC10" s="131">
        <v>0</v>
      </c>
    </row>
    <row r="11" spans="1:81" customFormat="1" x14ac:dyDescent="0.15">
      <c r="A11" s="169" t="s">
        <v>200</v>
      </c>
      <c r="B11" s="131">
        <v>0</v>
      </c>
      <c r="C11" s="131">
        <v>0</v>
      </c>
      <c r="D11" s="131">
        <v>0</v>
      </c>
      <c r="E11" s="131">
        <v>0</v>
      </c>
      <c r="F11" s="131">
        <v>7.7077181139146777E-3</v>
      </c>
      <c r="G11" s="131">
        <v>0</v>
      </c>
      <c r="H11" s="131">
        <v>0</v>
      </c>
      <c r="I11" s="131">
        <v>7.6980077406518119E-2</v>
      </c>
      <c r="J11" s="131">
        <v>0</v>
      </c>
      <c r="K11" s="131">
        <v>0</v>
      </c>
      <c r="L11" s="131">
        <v>0</v>
      </c>
      <c r="M11" s="131">
        <v>0</v>
      </c>
      <c r="N11" s="131">
        <v>0</v>
      </c>
      <c r="O11" s="131">
        <v>0</v>
      </c>
      <c r="P11" s="131">
        <v>0</v>
      </c>
      <c r="Q11" s="131">
        <v>0</v>
      </c>
      <c r="R11" s="131">
        <v>0</v>
      </c>
      <c r="S11" s="131">
        <v>0</v>
      </c>
      <c r="T11" s="131">
        <v>0</v>
      </c>
      <c r="U11" s="131">
        <v>0</v>
      </c>
      <c r="V11" s="131">
        <v>0</v>
      </c>
      <c r="W11" s="131">
        <v>0</v>
      </c>
      <c r="X11" s="131">
        <v>0</v>
      </c>
      <c r="Y11" s="131">
        <v>0</v>
      </c>
      <c r="Z11" s="131">
        <v>0</v>
      </c>
      <c r="AA11" s="131">
        <v>0</v>
      </c>
      <c r="AB11" s="131">
        <v>0</v>
      </c>
      <c r="AC11" s="131">
        <v>0</v>
      </c>
      <c r="AD11" s="131">
        <v>0</v>
      </c>
      <c r="AE11" s="131">
        <v>0</v>
      </c>
      <c r="AF11" s="131">
        <v>0</v>
      </c>
      <c r="AG11" s="131">
        <v>0</v>
      </c>
      <c r="AH11" s="131">
        <v>0</v>
      </c>
      <c r="AI11" s="131">
        <v>0</v>
      </c>
      <c r="AJ11" s="131">
        <v>0</v>
      </c>
      <c r="AK11" s="131">
        <v>0</v>
      </c>
      <c r="AL11" s="131">
        <v>0</v>
      </c>
      <c r="AM11" s="131">
        <v>0</v>
      </c>
      <c r="AN11" s="131">
        <v>0</v>
      </c>
      <c r="AO11" s="131">
        <v>0</v>
      </c>
      <c r="AP11" s="131">
        <v>0</v>
      </c>
      <c r="AQ11" s="131">
        <v>0</v>
      </c>
      <c r="AR11" s="131">
        <v>0</v>
      </c>
      <c r="AS11" s="131">
        <v>0</v>
      </c>
      <c r="AT11" s="131">
        <v>0</v>
      </c>
      <c r="AU11" s="131">
        <v>0</v>
      </c>
      <c r="AV11" s="131">
        <v>0</v>
      </c>
      <c r="AW11" s="131">
        <v>0</v>
      </c>
      <c r="AX11" s="131">
        <v>0</v>
      </c>
      <c r="AY11" s="131">
        <v>0</v>
      </c>
      <c r="AZ11" s="131">
        <v>0</v>
      </c>
      <c r="BA11" s="131">
        <v>0</v>
      </c>
      <c r="BB11" s="131">
        <v>0</v>
      </c>
      <c r="BC11" s="131">
        <v>0</v>
      </c>
      <c r="BD11" s="131">
        <v>0</v>
      </c>
      <c r="BE11" s="131">
        <v>0</v>
      </c>
      <c r="BF11" s="131">
        <v>0</v>
      </c>
      <c r="BG11" s="131">
        <v>0</v>
      </c>
      <c r="BH11" s="131">
        <v>0</v>
      </c>
      <c r="BI11" s="131">
        <v>0</v>
      </c>
      <c r="BJ11" s="131">
        <v>0</v>
      </c>
      <c r="BK11" s="131">
        <v>0</v>
      </c>
      <c r="BL11" s="131">
        <v>0</v>
      </c>
      <c r="BM11" s="131">
        <v>0</v>
      </c>
      <c r="BN11" s="131">
        <v>0</v>
      </c>
      <c r="BO11" s="131">
        <v>0</v>
      </c>
      <c r="BP11" s="131">
        <v>0</v>
      </c>
      <c r="BQ11" s="131">
        <v>0</v>
      </c>
      <c r="BR11" s="131">
        <v>0</v>
      </c>
      <c r="BS11" s="131">
        <v>0</v>
      </c>
      <c r="BT11" s="131">
        <v>0</v>
      </c>
      <c r="BU11" s="131">
        <v>0</v>
      </c>
      <c r="BV11" s="131">
        <v>0</v>
      </c>
      <c r="BW11" s="131">
        <v>0</v>
      </c>
      <c r="BX11" s="131">
        <v>0</v>
      </c>
      <c r="BY11" s="131">
        <v>0</v>
      </c>
      <c r="BZ11" s="131">
        <v>0</v>
      </c>
      <c r="CA11" s="131">
        <v>0</v>
      </c>
      <c r="CB11" s="131">
        <v>0</v>
      </c>
      <c r="CC11" s="131">
        <v>0</v>
      </c>
    </row>
    <row r="12" spans="1:81" customFormat="1" x14ac:dyDescent="0.15">
      <c r="A12" s="169" t="s">
        <v>201</v>
      </c>
      <c r="B12" s="131">
        <v>9.1999389521095334E-2</v>
      </c>
      <c r="C12" s="131">
        <v>0</v>
      </c>
      <c r="D12" s="131">
        <v>0</v>
      </c>
      <c r="E12" s="131">
        <v>0</v>
      </c>
      <c r="F12" s="131">
        <v>4.3981276150012478E-3</v>
      </c>
      <c r="G12" s="131">
        <v>0</v>
      </c>
      <c r="H12" s="131">
        <v>0</v>
      </c>
      <c r="I12" s="131">
        <v>0.16395757547622011</v>
      </c>
      <c r="J12" s="131">
        <v>0</v>
      </c>
      <c r="K12" s="131">
        <v>0</v>
      </c>
      <c r="L12" s="131">
        <v>0</v>
      </c>
      <c r="M12" s="131">
        <v>0</v>
      </c>
      <c r="N12" s="131">
        <v>0</v>
      </c>
      <c r="O12" s="131">
        <v>0</v>
      </c>
      <c r="P12" s="131">
        <v>0</v>
      </c>
      <c r="Q12" s="131">
        <v>0</v>
      </c>
      <c r="R12" s="131">
        <v>3.7024843652723884E-2</v>
      </c>
      <c r="S12" s="131">
        <v>0</v>
      </c>
      <c r="T12" s="131">
        <v>0</v>
      </c>
      <c r="U12" s="131">
        <v>0</v>
      </c>
      <c r="V12" s="131">
        <v>4.3014195948479036E-2</v>
      </c>
      <c r="W12" s="131">
        <v>0</v>
      </c>
      <c r="X12" s="131">
        <v>0</v>
      </c>
      <c r="Y12" s="131">
        <v>0</v>
      </c>
      <c r="Z12" s="131">
        <v>0.15505892343734623</v>
      </c>
      <c r="AA12" s="131">
        <v>0</v>
      </c>
      <c r="AB12" s="131">
        <v>0</v>
      </c>
      <c r="AC12" s="131">
        <v>0</v>
      </c>
      <c r="AD12" s="131">
        <v>3.1008371450715715E-2</v>
      </c>
      <c r="AE12" s="131">
        <v>0</v>
      </c>
      <c r="AF12" s="131">
        <v>0</v>
      </c>
      <c r="AG12" s="131">
        <v>0</v>
      </c>
      <c r="AH12" s="131">
        <v>0</v>
      </c>
      <c r="AI12" s="131">
        <v>0</v>
      </c>
      <c r="AJ12" s="131">
        <v>0</v>
      </c>
      <c r="AK12" s="131">
        <v>0</v>
      </c>
      <c r="AL12" s="131">
        <v>0</v>
      </c>
      <c r="AM12" s="131">
        <v>0</v>
      </c>
      <c r="AN12" s="131">
        <v>0</v>
      </c>
      <c r="AO12" s="131">
        <v>0</v>
      </c>
      <c r="AP12" s="131">
        <v>0</v>
      </c>
      <c r="AQ12" s="131">
        <v>0</v>
      </c>
      <c r="AR12" s="131">
        <v>0</v>
      </c>
      <c r="AS12" s="131">
        <v>0</v>
      </c>
      <c r="AT12" s="131">
        <v>0</v>
      </c>
      <c r="AU12" s="131">
        <v>0</v>
      </c>
      <c r="AV12" s="131">
        <v>0</v>
      </c>
      <c r="AW12" s="131">
        <v>0</v>
      </c>
      <c r="AX12" s="131">
        <v>0</v>
      </c>
      <c r="AY12" s="131">
        <v>0</v>
      </c>
      <c r="AZ12" s="131">
        <v>0</v>
      </c>
      <c r="BA12" s="131">
        <v>0</v>
      </c>
      <c r="BB12" s="131">
        <v>0</v>
      </c>
      <c r="BC12" s="131">
        <v>0</v>
      </c>
      <c r="BD12" s="131">
        <v>0</v>
      </c>
      <c r="BE12" s="131">
        <v>0</v>
      </c>
      <c r="BF12" s="131">
        <v>0</v>
      </c>
      <c r="BG12" s="131">
        <v>0</v>
      </c>
      <c r="BH12" s="131">
        <v>0</v>
      </c>
      <c r="BI12" s="131">
        <v>0</v>
      </c>
      <c r="BJ12" s="131">
        <v>0</v>
      </c>
      <c r="BK12" s="131">
        <v>0</v>
      </c>
      <c r="BL12" s="131">
        <v>0</v>
      </c>
      <c r="BM12" s="131">
        <v>0</v>
      </c>
      <c r="BN12" s="131">
        <v>0</v>
      </c>
      <c r="BO12" s="131">
        <v>0</v>
      </c>
      <c r="BP12" s="131">
        <v>0</v>
      </c>
      <c r="BQ12" s="131">
        <v>0</v>
      </c>
      <c r="BR12" s="131">
        <v>0</v>
      </c>
      <c r="BS12" s="131">
        <v>0</v>
      </c>
      <c r="BT12" s="131">
        <v>0</v>
      </c>
      <c r="BU12" s="131">
        <v>0</v>
      </c>
      <c r="BV12" s="131">
        <v>0</v>
      </c>
      <c r="BW12" s="131">
        <v>0</v>
      </c>
      <c r="BX12" s="131">
        <v>0</v>
      </c>
      <c r="BY12" s="131">
        <v>0</v>
      </c>
      <c r="BZ12" s="131">
        <v>0</v>
      </c>
      <c r="CA12" s="131">
        <v>0</v>
      </c>
      <c r="CB12" s="131">
        <v>0</v>
      </c>
      <c r="CC12" s="131">
        <v>0</v>
      </c>
    </row>
    <row r="13" spans="1:81" customFormat="1" x14ac:dyDescent="0.15">
      <c r="A13" s="169" t="s">
        <v>202</v>
      </c>
      <c r="B13" s="131">
        <v>7.9999469583561158E-3</v>
      </c>
      <c r="C13" s="131">
        <v>0</v>
      </c>
      <c r="D13" s="131">
        <v>0</v>
      </c>
      <c r="E13" s="131">
        <v>0</v>
      </c>
      <c r="F13" s="131">
        <v>1.2094850178753421E-2</v>
      </c>
      <c r="G13" s="131">
        <v>2.702159692234133E-2</v>
      </c>
      <c r="H13" s="131">
        <v>0</v>
      </c>
      <c r="I13" s="131">
        <v>7.6980077406518119E-2</v>
      </c>
      <c r="J13" s="131">
        <v>0</v>
      </c>
      <c r="K13" s="131">
        <v>0</v>
      </c>
      <c r="L13" s="131">
        <v>0</v>
      </c>
      <c r="M13" s="131">
        <v>0</v>
      </c>
      <c r="N13" s="131">
        <v>0</v>
      </c>
      <c r="O13" s="131">
        <v>0</v>
      </c>
      <c r="P13" s="131">
        <v>0</v>
      </c>
      <c r="Q13" s="131">
        <v>0</v>
      </c>
      <c r="R13" s="131">
        <v>0</v>
      </c>
      <c r="S13" s="131">
        <v>0</v>
      </c>
      <c r="T13" s="131">
        <v>0</v>
      </c>
      <c r="U13" s="131">
        <v>0</v>
      </c>
      <c r="V13" s="131">
        <v>0</v>
      </c>
      <c r="W13" s="131">
        <v>0</v>
      </c>
      <c r="X13" s="131">
        <v>0</v>
      </c>
      <c r="Y13" s="131">
        <v>0</v>
      </c>
      <c r="Z13" s="131">
        <v>0</v>
      </c>
      <c r="AA13" s="131">
        <v>0</v>
      </c>
      <c r="AB13" s="131">
        <v>0</v>
      </c>
      <c r="AC13" s="131">
        <v>0</v>
      </c>
      <c r="AD13" s="131">
        <v>0</v>
      </c>
      <c r="AE13" s="131">
        <v>0</v>
      </c>
      <c r="AF13" s="131">
        <v>0</v>
      </c>
      <c r="AG13" s="131">
        <v>0</v>
      </c>
      <c r="AH13" s="131">
        <v>0</v>
      </c>
      <c r="AI13" s="131">
        <v>0</v>
      </c>
      <c r="AJ13" s="131">
        <v>0</v>
      </c>
      <c r="AK13" s="131">
        <v>0</v>
      </c>
      <c r="AL13" s="131">
        <v>0</v>
      </c>
      <c r="AM13" s="131">
        <v>0</v>
      </c>
      <c r="AN13" s="131">
        <v>0</v>
      </c>
      <c r="AO13" s="131">
        <v>0</v>
      </c>
      <c r="AP13" s="131">
        <v>0</v>
      </c>
      <c r="AQ13" s="131">
        <v>0</v>
      </c>
      <c r="AR13" s="131">
        <v>0</v>
      </c>
      <c r="AS13" s="131">
        <v>0</v>
      </c>
      <c r="AT13" s="131">
        <v>0</v>
      </c>
      <c r="AU13" s="131">
        <v>0</v>
      </c>
      <c r="AV13" s="131">
        <v>0</v>
      </c>
      <c r="AW13" s="131">
        <v>0</v>
      </c>
      <c r="AX13" s="131">
        <v>0</v>
      </c>
      <c r="AY13" s="131">
        <v>0</v>
      </c>
      <c r="AZ13" s="131">
        <v>0</v>
      </c>
      <c r="BA13" s="131">
        <v>0</v>
      </c>
      <c r="BB13" s="131">
        <v>0</v>
      </c>
      <c r="BC13" s="131">
        <v>0</v>
      </c>
      <c r="BD13" s="131">
        <v>0</v>
      </c>
      <c r="BE13" s="131">
        <v>0</v>
      </c>
      <c r="BF13" s="131">
        <v>0</v>
      </c>
      <c r="BG13" s="131">
        <v>0</v>
      </c>
      <c r="BH13" s="131">
        <v>0</v>
      </c>
      <c r="BI13" s="131">
        <v>0</v>
      </c>
      <c r="BJ13" s="131">
        <v>0</v>
      </c>
      <c r="BK13" s="131">
        <v>0</v>
      </c>
      <c r="BL13" s="131">
        <v>0</v>
      </c>
      <c r="BM13" s="131">
        <v>0</v>
      </c>
      <c r="BN13" s="131">
        <v>0</v>
      </c>
      <c r="BO13" s="131">
        <v>0</v>
      </c>
      <c r="BP13" s="131">
        <v>0</v>
      </c>
      <c r="BQ13" s="131">
        <v>0</v>
      </c>
      <c r="BR13" s="131">
        <v>0</v>
      </c>
      <c r="BS13" s="131">
        <v>0</v>
      </c>
      <c r="BT13" s="131">
        <v>0</v>
      </c>
      <c r="BU13" s="131">
        <v>0</v>
      </c>
      <c r="BV13" s="131">
        <v>0</v>
      </c>
      <c r="BW13" s="131">
        <v>0</v>
      </c>
      <c r="BX13" s="131">
        <v>0</v>
      </c>
      <c r="BY13" s="131">
        <v>0</v>
      </c>
      <c r="BZ13" s="131">
        <v>0</v>
      </c>
      <c r="CA13" s="131">
        <v>0</v>
      </c>
      <c r="CB13" s="131">
        <v>0</v>
      </c>
      <c r="CC13" s="131">
        <v>0</v>
      </c>
    </row>
    <row r="14" spans="1:81" customFormat="1" x14ac:dyDescent="0.15">
      <c r="A14" s="169" t="s">
        <v>203</v>
      </c>
      <c r="B14" s="131">
        <v>0</v>
      </c>
      <c r="C14" s="131">
        <v>0</v>
      </c>
      <c r="D14" s="131">
        <v>0</v>
      </c>
      <c r="E14" s="131">
        <v>0</v>
      </c>
      <c r="F14" s="131">
        <v>1.2094850178753421E-2</v>
      </c>
      <c r="G14" s="131">
        <v>0</v>
      </c>
      <c r="H14" s="131">
        <v>0</v>
      </c>
      <c r="I14" s="131">
        <v>7.6980077406518119E-2</v>
      </c>
      <c r="J14" s="131">
        <v>0</v>
      </c>
      <c r="K14" s="131">
        <v>0</v>
      </c>
      <c r="L14" s="131">
        <v>0</v>
      </c>
      <c r="M14" s="131">
        <v>0</v>
      </c>
      <c r="N14" s="131">
        <v>0</v>
      </c>
      <c r="O14" s="131">
        <v>0</v>
      </c>
      <c r="P14" s="131">
        <v>0</v>
      </c>
      <c r="Q14" s="131">
        <v>0</v>
      </c>
      <c r="R14" s="131">
        <v>0</v>
      </c>
      <c r="S14" s="131">
        <v>0</v>
      </c>
      <c r="T14" s="131">
        <v>0</v>
      </c>
      <c r="U14" s="131">
        <v>0</v>
      </c>
      <c r="V14" s="131">
        <v>0</v>
      </c>
      <c r="W14" s="131">
        <v>0</v>
      </c>
      <c r="X14" s="131">
        <v>0</v>
      </c>
      <c r="Y14" s="131">
        <v>0</v>
      </c>
      <c r="Z14" s="131">
        <v>0</v>
      </c>
      <c r="AA14" s="131">
        <v>0</v>
      </c>
      <c r="AB14" s="131">
        <v>0</v>
      </c>
      <c r="AC14" s="131">
        <v>0</v>
      </c>
      <c r="AD14" s="131">
        <v>0</v>
      </c>
      <c r="AE14" s="131">
        <v>0</v>
      </c>
      <c r="AF14" s="131">
        <v>0</v>
      </c>
      <c r="AG14" s="131">
        <v>0</v>
      </c>
      <c r="AH14" s="131">
        <v>0</v>
      </c>
      <c r="AI14" s="131">
        <v>0</v>
      </c>
      <c r="AJ14" s="131">
        <v>0</v>
      </c>
      <c r="AK14" s="131">
        <v>0</v>
      </c>
      <c r="AL14" s="131">
        <v>0</v>
      </c>
      <c r="AM14" s="131">
        <v>0</v>
      </c>
      <c r="AN14" s="131">
        <v>0</v>
      </c>
      <c r="AO14" s="131">
        <v>0</v>
      </c>
      <c r="AP14" s="131">
        <v>0</v>
      </c>
      <c r="AQ14" s="131">
        <v>0</v>
      </c>
      <c r="AR14" s="131">
        <v>0</v>
      </c>
      <c r="AS14" s="131">
        <v>0</v>
      </c>
      <c r="AT14" s="131">
        <v>0</v>
      </c>
      <c r="AU14" s="131">
        <v>0</v>
      </c>
      <c r="AV14" s="131">
        <v>0</v>
      </c>
      <c r="AW14" s="131">
        <v>0</v>
      </c>
      <c r="AX14" s="131">
        <v>0</v>
      </c>
      <c r="AY14" s="131">
        <v>0</v>
      </c>
      <c r="AZ14" s="131">
        <v>0</v>
      </c>
      <c r="BA14" s="131">
        <v>0</v>
      </c>
      <c r="BB14" s="131">
        <v>0</v>
      </c>
      <c r="BC14" s="131">
        <v>0</v>
      </c>
      <c r="BD14" s="131">
        <v>0</v>
      </c>
      <c r="BE14" s="131">
        <v>0</v>
      </c>
      <c r="BF14" s="131">
        <v>0</v>
      </c>
      <c r="BG14" s="131">
        <v>0</v>
      </c>
      <c r="BH14" s="131">
        <v>0</v>
      </c>
      <c r="BI14" s="131">
        <v>0</v>
      </c>
      <c r="BJ14" s="131">
        <v>0</v>
      </c>
      <c r="BK14" s="131">
        <v>0</v>
      </c>
      <c r="BL14" s="131">
        <v>0</v>
      </c>
      <c r="BM14" s="131">
        <v>0</v>
      </c>
      <c r="BN14" s="131">
        <v>0</v>
      </c>
      <c r="BO14" s="131">
        <v>0</v>
      </c>
      <c r="BP14" s="131">
        <v>0</v>
      </c>
      <c r="BQ14" s="131">
        <v>0</v>
      </c>
      <c r="BR14" s="131">
        <v>0</v>
      </c>
      <c r="BS14" s="131">
        <v>0</v>
      </c>
      <c r="BT14" s="131">
        <v>0</v>
      </c>
      <c r="BU14" s="131">
        <v>0</v>
      </c>
      <c r="BV14" s="131">
        <v>0</v>
      </c>
      <c r="BW14" s="131">
        <v>0</v>
      </c>
      <c r="BX14" s="131">
        <v>0</v>
      </c>
      <c r="BY14" s="131">
        <v>0</v>
      </c>
      <c r="BZ14" s="131">
        <v>0</v>
      </c>
      <c r="CA14" s="131">
        <v>0</v>
      </c>
      <c r="CB14" s="131">
        <v>0</v>
      </c>
      <c r="CC14" s="131">
        <v>0</v>
      </c>
    </row>
    <row r="15" spans="1:81" customFormat="1" x14ac:dyDescent="0.15">
      <c r="A15" s="169" t="s">
        <v>204</v>
      </c>
      <c r="B15" s="131">
        <v>0</v>
      </c>
      <c r="C15" s="131">
        <v>0.01</v>
      </c>
      <c r="D15" s="131">
        <v>0</v>
      </c>
      <c r="E15" s="131">
        <v>0</v>
      </c>
      <c r="F15" s="131">
        <v>0</v>
      </c>
      <c r="G15" s="131">
        <v>0</v>
      </c>
      <c r="H15" s="131">
        <v>9.9998898532106181E-3</v>
      </c>
      <c r="I15" s="131">
        <v>1.7995341993731529E-2</v>
      </c>
      <c r="J15" s="131">
        <v>0</v>
      </c>
      <c r="K15" s="131">
        <v>0</v>
      </c>
      <c r="L15" s="131">
        <v>0</v>
      </c>
      <c r="M15" s="131">
        <v>0</v>
      </c>
      <c r="N15" s="131">
        <v>0</v>
      </c>
      <c r="O15" s="131">
        <v>0</v>
      </c>
      <c r="P15" s="131">
        <v>8.9758588396552565E-3</v>
      </c>
      <c r="Q15" s="131">
        <v>0</v>
      </c>
      <c r="R15" s="131">
        <v>0</v>
      </c>
      <c r="S15" s="131">
        <v>0</v>
      </c>
      <c r="T15" s="131">
        <v>0</v>
      </c>
      <c r="U15" s="131">
        <v>0</v>
      </c>
      <c r="V15" s="131">
        <v>1.0003302267088171E-3</v>
      </c>
      <c r="W15" s="131">
        <v>0</v>
      </c>
      <c r="X15" s="131">
        <v>0</v>
      </c>
      <c r="Y15" s="131">
        <v>1.7009666514787691E-2</v>
      </c>
      <c r="Z15" s="131">
        <v>0.11504371755028915</v>
      </c>
      <c r="AA15" s="131">
        <v>0</v>
      </c>
      <c r="AB15" s="131">
        <v>0</v>
      </c>
      <c r="AC15" s="131">
        <v>0</v>
      </c>
      <c r="AD15" s="131">
        <v>0</v>
      </c>
      <c r="AE15" s="131">
        <v>0</v>
      </c>
      <c r="AF15" s="131">
        <v>1.000428465574822E-2</v>
      </c>
      <c r="AG15" s="131">
        <v>0</v>
      </c>
      <c r="AH15" s="131">
        <v>0</v>
      </c>
      <c r="AI15" s="131">
        <v>0</v>
      </c>
      <c r="AJ15" s="131">
        <v>0</v>
      </c>
      <c r="AK15" s="131">
        <v>0</v>
      </c>
      <c r="AL15" s="131">
        <v>0</v>
      </c>
      <c r="AM15" s="131">
        <v>0</v>
      </c>
      <c r="AN15" s="131">
        <v>0</v>
      </c>
      <c r="AO15" s="131">
        <v>0</v>
      </c>
      <c r="AP15" s="131">
        <v>0</v>
      </c>
      <c r="AQ15" s="131">
        <v>0</v>
      </c>
      <c r="AR15" s="131">
        <v>0</v>
      </c>
      <c r="AS15" s="131">
        <v>0</v>
      </c>
      <c r="AT15" s="131">
        <v>0</v>
      </c>
      <c r="AU15" s="131">
        <v>0</v>
      </c>
      <c r="AV15" s="131">
        <v>0</v>
      </c>
      <c r="AW15" s="131">
        <v>0</v>
      </c>
      <c r="AX15" s="131">
        <v>0</v>
      </c>
      <c r="AY15" s="131">
        <v>0</v>
      </c>
      <c r="AZ15" s="131">
        <v>0</v>
      </c>
      <c r="BA15" s="131">
        <v>0</v>
      </c>
      <c r="BB15" s="131">
        <v>0</v>
      </c>
      <c r="BC15" s="131">
        <v>0</v>
      </c>
      <c r="BD15" s="131">
        <v>0</v>
      </c>
      <c r="BE15" s="131">
        <v>0</v>
      </c>
      <c r="BF15" s="131">
        <v>0</v>
      </c>
      <c r="BG15" s="131">
        <v>0</v>
      </c>
      <c r="BH15" s="131">
        <v>0</v>
      </c>
      <c r="BI15" s="131">
        <v>0</v>
      </c>
      <c r="BJ15" s="131">
        <v>0</v>
      </c>
      <c r="BK15" s="131">
        <v>0</v>
      </c>
      <c r="BL15" s="131">
        <v>0</v>
      </c>
      <c r="BM15" s="131">
        <v>0</v>
      </c>
      <c r="BN15" s="131">
        <v>0</v>
      </c>
      <c r="BO15" s="131">
        <v>0</v>
      </c>
      <c r="BP15" s="131">
        <v>0</v>
      </c>
      <c r="BQ15" s="131">
        <v>0</v>
      </c>
      <c r="BR15" s="131">
        <v>0</v>
      </c>
      <c r="BS15" s="131">
        <v>0</v>
      </c>
      <c r="BT15" s="131">
        <v>0</v>
      </c>
      <c r="BU15" s="131">
        <v>0</v>
      </c>
      <c r="BV15" s="131">
        <v>0</v>
      </c>
      <c r="BW15" s="131">
        <v>0</v>
      </c>
      <c r="BX15" s="131">
        <v>0</v>
      </c>
      <c r="BY15" s="131">
        <v>0</v>
      </c>
      <c r="BZ15" s="131">
        <v>0</v>
      </c>
      <c r="CA15" s="131">
        <v>0</v>
      </c>
      <c r="CB15" s="131">
        <v>0</v>
      </c>
      <c r="CC15" s="131">
        <v>0</v>
      </c>
    </row>
    <row r="16" spans="1:81" customFormat="1" x14ac:dyDescent="0.15">
      <c r="A16" s="169" t="s">
        <v>205</v>
      </c>
      <c r="B16" s="131">
        <v>0</v>
      </c>
      <c r="C16" s="131">
        <v>0</v>
      </c>
      <c r="D16" s="131">
        <v>0</v>
      </c>
      <c r="E16" s="131">
        <v>0</v>
      </c>
      <c r="F16" s="131">
        <v>0</v>
      </c>
      <c r="G16" s="131">
        <v>1.1008798394287199E-2</v>
      </c>
      <c r="H16" s="131">
        <v>9.9998908532106029E-4</v>
      </c>
      <c r="I16" s="131">
        <v>8.6877507073070744E-4</v>
      </c>
      <c r="J16" s="131">
        <v>2.4995650182018329E-2</v>
      </c>
      <c r="K16" s="131">
        <v>7.9994880631319588E-4</v>
      </c>
      <c r="L16" s="131">
        <v>0</v>
      </c>
      <c r="M16" s="131">
        <v>0</v>
      </c>
      <c r="N16" s="131">
        <v>0</v>
      </c>
      <c r="O16" s="131">
        <v>0</v>
      </c>
      <c r="P16" s="131">
        <v>0</v>
      </c>
      <c r="Q16" s="131">
        <v>0</v>
      </c>
      <c r="R16" s="131">
        <v>0</v>
      </c>
      <c r="S16" s="131">
        <v>0</v>
      </c>
      <c r="T16" s="131">
        <v>0</v>
      </c>
      <c r="U16" s="131">
        <v>0</v>
      </c>
      <c r="V16" s="131">
        <v>5.0016501335440585E-3</v>
      </c>
      <c r="W16" s="131">
        <v>0</v>
      </c>
      <c r="X16" s="131">
        <v>0</v>
      </c>
      <c r="Y16" s="131">
        <v>0</v>
      </c>
      <c r="Z16" s="131">
        <v>0</v>
      </c>
      <c r="AA16" s="131">
        <v>0</v>
      </c>
      <c r="AB16" s="131">
        <v>0</v>
      </c>
      <c r="AC16" s="131">
        <v>0</v>
      </c>
      <c r="AD16" s="131">
        <v>0</v>
      </c>
      <c r="AE16" s="131">
        <v>0</v>
      </c>
      <c r="AF16" s="131">
        <v>0</v>
      </c>
      <c r="AG16" s="131">
        <v>0</v>
      </c>
      <c r="AH16" s="131">
        <v>0</v>
      </c>
      <c r="AI16" s="131">
        <v>0</v>
      </c>
      <c r="AJ16" s="131">
        <v>0</v>
      </c>
      <c r="AK16" s="131">
        <v>0</v>
      </c>
      <c r="AL16" s="131">
        <v>0</v>
      </c>
      <c r="AM16" s="131">
        <v>0</v>
      </c>
      <c r="AN16" s="131">
        <v>0</v>
      </c>
      <c r="AO16" s="131">
        <v>0</v>
      </c>
      <c r="AP16" s="131">
        <v>0</v>
      </c>
      <c r="AQ16" s="131">
        <v>0</v>
      </c>
      <c r="AR16" s="131">
        <v>0</v>
      </c>
      <c r="AS16" s="131">
        <v>0</v>
      </c>
      <c r="AT16" s="131">
        <v>0</v>
      </c>
      <c r="AU16" s="131">
        <v>0</v>
      </c>
      <c r="AV16" s="131">
        <v>0</v>
      </c>
      <c r="AW16" s="131">
        <v>0</v>
      </c>
      <c r="AX16" s="131">
        <v>0</v>
      </c>
      <c r="AY16" s="131">
        <v>0</v>
      </c>
      <c r="AZ16" s="131">
        <v>0</v>
      </c>
      <c r="BA16" s="131">
        <v>0</v>
      </c>
      <c r="BB16" s="131">
        <v>0</v>
      </c>
      <c r="BC16" s="131">
        <v>0</v>
      </c>
      <c r="BD16" s="131">
        <v>0</v>
      </c>
      <c r="BE16" s="131">
        <v>0</v>
      </c>
      <c r="BF16" s="131">
        <v>0</v>
      </c>
      <c r="BG16" s="131">
        <v>0</v>
      </c>
      <c r="BH16" s="131">
        <v>0</v>
      </c>
      <c r="BI16" s="131">
        <v>0</v>
      </c>
      <c r="BJ16" s="131">
        <v>0</v>
      </c>
      <c r="BK16" s="131">
        <v>0</v>
      </c>
      <c r="BL16" s="131">
        <v>0</v>
      </c>
      <c r="BM16" s="131">
        <v>0</v>
      </c>
      <c r="BN16" s="131">
        <v>0</v>
      </c>
      <c r="BO16" s="131">
        <v>0</v>
      </c>
      <c r="BP16" s="131">
        <v>0</v>
      </c>
      <c r="BQ16" s="131">
        <v>0</v>
      </c>
      <c r="BR16" s="131">
        <v>0</v>
      </c>
      <c r="BS16" s="131">
        <v>0</v>
      </c>
      <c r="BT16" s="131">
        <v>0</v>
      </c>
      <c r="BU16" s="131">
        <v>0</v>
      </c>
      <c r="BV16" s="131">
        <v>0</v>
      </c>
      <c r="BW16" s="131">
        <v>0</v>
      </c>
      <c r="BX16" s="131">
        <v>0</v>
      </c>
      <c r="BY16" s="131">
        <v>0</v>
      </c>
      <c r="BZ16" s="131">
        <v>0</v>
      </c>
      <c r="CA16" s="131">
        <v>0</v>
      </c>
      <c r="CB16" s="131">
        <v>0</v>
      </c>
      <c r="CC16" s="131">
        <v>0</v>
      </c>
    </row>
    <row r="17" spans="1:81" customFormat="1" x14ac:dyDescent="0.15">
      <c r="A17" s="169" t="s">
        <v>206</v>
      </c>
      <c r="B17" s="131">
        <v>0</v>
      </c>
      <c r="C17" s="131">
        <v>0</v>
      </c>
      <c r="D17" s="131">
        <v>0</v>
      </c>
      <c r="E17" s="131">
        <v>9.2999999999999999E-2</v>
      </c>
      <c r="F17" s="131">
        <v>0</v>
      </c>
      <c r="G17" s="131">
        <v>0</v>
      </c>
      <c r="H17" s="131">
        <v>8.9999008678895553E-3</v>
      </c>
      <c r="I17" s="131">
        <v>7.9979297305473492E-3</v>
      </c>
      <c r="J17" s="131">
        <v>3.1994432432983458E-2</v>
      </c>
      <c r="K17" s="131">
        <v>8.8994310702343084E-4</v>
      </c>
      <c r="L17" s="131">
        <v>0</v>
      </c>
      <c r="M17" s="131">
        <v>0</v>
      </c>
      <c r="N17" s="131">
        <v>8.7968162727276942E-4</v>
      </c>
      <c r="O17" s="131">
        <v>0</v>
      </c>
      <c r="P17" s="131">
        <v>7.976319857511022E-4</v>
      </c>
      <c r="Q17" s="131">
        <v>0</v>
      </c>
      <c r="R17" s="131">
        <v>0</v>
      </c>
      <c r="S17" s="131">
        <v>0</v>
      </c>
      <c r="T17" s="131">
        <v>0</v>
      </c>
      <c r="U17" s="131">
        <v>0</v>
      </c>
      <c r="V17" s="131">
        <v>0</v>
      </c>
      <c r="W17" s="131">
        <v>0</v>
      </c>
      <c r="X17" s="131">
        <v>0</v>
      </c>
      <c r="Y17" s="131">
        <v>7.0039801296184583E-3</v>
      </c>
      <c r="Z17" s="131">
        <v>8.0030411774114178E-3</v>
      </c>
      <c r="AA17" s="131">
        <v>0</v>
      </c>
      <c r="AB17" s="131">
        <v>0</v>
      </c>
      <c r="AC17" s="131">
        <v>0</v>
      </c>
      <c r="AD17" s="131">
        <v>0</v>
      </c>
      <c r="AE17" s="131">
        <v>0</v>
      </c>
      <c r="AF17" s="131">
        <v>1.000428465574822E-2</v>
      </c>
      <c r="AG17" s="131">
        <v>0</v>
      </c>
      <c r="AH17" s="131">
        <v>0</v>
      </c>
      <c r="AI17" s="131">
        <v>0</v>
      </c>
      <c r="AJ17" s="131">
        <v>0</v>
      </c>
      <c r="AK17" s="131">
        <v>0</v>
      </c>
      <c r="AL17" s="131">
        <v>0</v>
      </c>
      <c r="AM17" s="131">
        <v>0</v>
      </c>
      <c r="AN17" s="131">
        <v>0</v>
      </c>
      <c r="AO17" s="131">
        <v>0</v>
      </c>
      <c r="AP17" s="131">
        <v>0</v>
      </c>
      <c r="AQ17" s="131">
        <v>0</v>
      </c>
      <c r="AR17" s="131">
        <v>0</v>
      </c>
      <c r="AS17" s="131">
        <v>0</v>
      </c>
      <c r="AT17" s="131">
        <v>0</v>
      </c>
      <c r="AU17" s="131">
        <v>5.6984045703723979E-2</v>
      </c>
      <c r="AV17" s="131">
        <v>0</v>
      </c>
      <c r="AW17" s="131">
        <v>0</v>
      </c>
      <c r="AX17" s="131">
        <v>0</v>
      </c>
      <c r="AY17" s="131">
        <v>0</v>
      </c>
      <c r="AZ17" s="131">
        <v>0</v>
      </c>
      <c r="BA17" s="131">
        <v>0</v>
      </c>
      <c r="BB17" s="131">
        <v>0</v>
      </c>
      <c r="BC17" s="131">
        <v>0</v>
      </c>
      <c r="BD17" s="131">
        <v>0</v>
      </c>
      <c r="BE17" s="131">
        <v>0</v>
      </c>
      <c r="BF17" s="131">
        <v>0</v>
      </c>
      <c r="BG17" s="131">
        <v>0</v>
      </c>
      <c r="BH17" s="131">
        <v>0</v>
      </c>
      <c r="BI17" s="131">
        <v>0</v>
      </c>
      <c r="BJ17" s="131">
        <v>0</v>
      </c>
      <c r="BK17" s="131">
        <v>0</v>
      </c>
      <c r="BL17" s="131">
        <v>0</v>
      </c>
      <c r="BM17" s="131">
        <v>0</v>
      </c>
      <c r="BN17" s="131">
        <v>0</v>
      </c>
      <c r="BO17" s="131">
        <v>0</v>
      </c>
      <c r="BP17" s="131">
        <v>0</v>
      </c>
      <c r="BQ17" s="131">
        <v>0</v>
      </c>
      <c r="BR17" s="131">
        <v>0</v>
      </c>
      <c r="BS17" s="131">
        <v>0</v>
      </c>
      <c r="BT17" s="131">
        <v>0</v>
      </c>
      <c r="BU17" s="131">
        <v>0</v>
      </c>
      <c r="BV17" s="131">
        <v>0</v>
      </c>
      <c r="BW17" s="131">
        <v>0</v>
      </c>
      <c r="BX17" s="131">
        <v>0</v>
      </c>
      <c r="BY17" s="131">
        <v>0</v>
      </c>
      <c r="BZ17" s="131">
        <v>0</v>
      </c>
      <c r="CA17" s="131">
        <v>0</v>
      </c>
      <c r="CB17" s="131">
        <v>0</v>
      </c>
      <c r="CC17" s="131">
        <v>0</v>
      </c>
    </row>
    <row r="18" spans="1:81" customFormat="1" x14ac:dyDescent="0.15">
      <c r="A18" s="169" t="s">
        <v>207</v>
      </c>
      <c r="B18" s="131">
        <v>0</v>
      </c>
      <c r="C18" s="131">
        <v>0</v>
      </c>
      <c r="D18" s="131">
        <v>0</v>
      </c>
      <c r="E18" s="131">
        <v>0</v>
      </c>
      <c r="F18" s="131">
        <v>2.199063482500619E-2</v>
      </c>
      <c r="G18" s="131">
        <v>1.7013598654807522E-2</v>
      </c>
      <c r="H18" s="131">
        <v>0</v>
      </c>
      <c r="I18" s="131">
        <v>9.4875442703617894E-5</v>
      </c>
      <c r="J18" s="131">
        <v>2.4995650182018329E-2</v>
      </c>
      <c r="K18" s="131">
        <v>9.9993600789149485E-4</v>
      </c>
      <c r="L18" s="131">
        <v>0</v>
      </c>
      <c r="M18" s="131">
        <v>0</v>
      </c>
      <c r="N18" s="131">
        <v>2.9989146629753509E-3</v>
      </c>
      <c r="O18" s="131">
        <v>0</v>
      </c>
      <c r="P18" s="131">
        <v>0</v>
      </c>
      <c r="Q18" s="131">
        <v>0</v>
      </c>
      <c r="R18" s="131">
        <v>0</v>
      </c>
      <c r="S18" s="131">
        <v>0</v>
      </c>
      <c r="T18" s="131">
        <v>0</v>
      </c>
      <c r="U18" s="131">
        <v>0</v>
      </c>
      <c r="V18" s="131">
        <v>0</v>
      </c>
      <c r="W18" s="131">
        <v>0</v>
      </c>
      <c r="X18" s="131">
        <v>0</v>
      </c>
      <c r="Y18" s="131">
        <v>8.2146681520239354E-5</v>
      </c>
      <c r="Z18" s="131">
        <v>0</v>
      </c>
      <c r="AA18" s="131">
        <v>0</v>
      </c>
      <c r="AB18" s="131">
        <v>0</v>
      </c>
      <c r="AC18" s="131">
        <v>0</v>
      </c>
      <c r="AD18" s="131">
        <v>0</v>
      </c>
      <c r="AE18" s="131">
        <v>0</v>
      </c>
      <c r="AF18" s="131">
        <v>0</v>
      </c>
      <c r="AG18" s="131">
        <v>0</v>
      </c>
      <c r="AH18" s="131">
        <v>0</v>
      </c>
      <c r="AI18" s="131">
        <v>0</v>
      </c>
      <c r="AJ18" s="131">
        <v>0</v>
      </c>
      <c r="AK18" s="131">
        <v>0</v>
      </c>
      <c r="AL18" s="131">
        <v>0</v>
      </c>
      <c r="AM18" s="131">
        <v>0</v>
      </c>
      <c r="AN18" s="131">
        <v>0</v>
      </c>
      <c r="AO18" s="131">
        <v>0</v>
      </c>
      <c r="AP18" s="131">
        <v>0</v>
      </c>
      <c r="AQ18" s="131">
        <v>0</v>
      </c>
      <c r="AR18" s="131">
        <v>0</v>
      </c>
      <c r="AS18" s="131">
        <v>0</v>
      </c>
      <c r="AT18" s="131">
        <v>0</v>
      </c>
      <c r="AU18" s="131">
        <v>0</v>
      </c>
      <c r="AV18" s="131">
        <v>0</v>
      </c>
      <c r="AW18" s="131">
        <v>0</v>
      </c>
      <c r="AX18" s="131">
        <v>0</v>
      </c>
      <c r="AY18" s="131">
        <v>0</v>
      </c>
      <c r="AZ18" s="131">
        <v>0</v>
      </c>
      <c r="BA18" s="131">
        <v>0</v>
      </c>
      <c r="BB18" s="131">
        <v>0</v>
      </c>
      <c r="BC18" s="131">
        <v>0</v>
      </c>
      <c r="BD18" s="131">
        <v>0</v>
      </c>
      <c r="BE18" s="131">
        <v>0</v>
      </c>
      <c r="BF18" s="131">
        <v>0</v>
      </c>
      <c r="BG18" s="131">
        <v>0</v>
      </c>
      <c r="BH18" s="131">
        <v>0</v>
      </c>
      <c r="BI18" s="131">
        <v>0</v>
      </c>
      <c r="BJ18" s="131">
        <v>0</v>
      </c>
      <c r="BK18" s="131">
        <v>0</v>
      </c>
      <c r="BL18" s="131">
        <v>0</v>
      </c>
      <c r="BM18" s="131">
        <v>0</v>
      </c>
      <c r="BN18" s="131">
        <v>0</v>
      </c>
      <c r="BO18" s="131">
        <v>0</v>
      </c>
      <c r="BP18" s="131">
        <v>0</v>
      </c>
      <c r="BQ18" s="131">
        <v>0</v>
      </c>
      <c r="BR18" s="131">
        <v>0</v>
      </c>
      <c r="BS18" s="131">
        <v>0</v>
      </c>
      <c r="BT18" s="131">
        <v>0</v>
      </c>
      <c r="BU18" s="131">
        <v>0</v>
      </c>
      <c r="BV18" s="131">
        <v>0</v>
      </c>
      <c r="BW18" s="131">
        <v>0</v>
      </c>
      <c r="BX18" s="131">
        <v>0</v>
      </c>
      <c r="BY18" s="131">
        <v>0</v>
      </c>
      <c r="BZ18" s="131">
        <v>0</v>
      </c>
      <c r="CA18" s="131">
        <v>0</v>
      </c>
      <c r="CB18" s="131">
        <v>0</v>
      </c>
      <c r="CC18" s="131">
        <v>0</v>
      </c>
    </row>
    <row r="19" spans="1:81" customFormat="1" x14ac:dyDescent="0.15">
      <c r="A19" s="169" t="s">
        <v>208</v>
      </c>
      <c r="B19" s="131">
        <v>0</v>
      </c>
      <c r="C19" s="131">
        <v>0</v>
      </c>
      <c r="D19" s="131">
        <v>0</v>
      </c>
      <c r="E19" s="131">
        <v>0</v>
      </c>
      <c r="F19" s="131">
        <v>1.9791573592505603E-2</v>
      </c>
      <c r="G19" s="131">
        <v>0</v>
      </c>
      <c r="H19" s="131">
        <v>0</v>
      </c>
      <c r="I19" s="131">
        <v>0</v>
      </c>
      <c r="J19" s="131">
        <v>0</v>
      </c>
      <c r="K19" s="131">
        <v>0</v>
      </c>
      <c r="L19" s="131">
        <v>0</v>
      </c>
      <c r="M19" s="131">
        <v>0</v>
      </c>
      <c r="N19" s="131">
        <v>0</v>
      </c>
      <c r="O19" s="131">
        <v>0</v>
      </c>
      <c r="P19" s="131">
        <v>0</v>
      </c>
      <c r="Q19" s="131">
        <v>0</v>
      </c>
      <c r="R19" s="131">
        <v>7.4449954197369132E-4</v>
      </c>
      <c r="S19" s="131">
        <v>0</v>
      </c>
      <c r="T19" s="131">
        <v>0</v>
      </c>
      <c r="U19" s="131">
        <v>0</v>
      </c>
      <c r="V19" s="131">
        <v>0</v>
      </c>
      <c r="W19" s="131">
        <v>0</v>
      </c>
      <c r="X19" s="131">
        <v>0</v>
      </c>
      <c r="Y19" s="131">
        <v>0</v>
      </c>
      <c r="Z19" s="131">
        <v>0</v>
      </c>
      <c r="AA19" s="131">
        <v>0</v>
      </c>
      <c r="AB19" s="131">
        <v>0</v>
      </c>
      <c r="AC19" s="131">
        <v>0</v>
      </c>
      <c r="AD19" s="131">
        <v>0</v>
      </c>
      <c r="AE19" s="131">
        <v>0</v>
      </c>
      <c r="AF19" s="131">
        <v>0</v>
      </c>
      <c r="AG19" s="131">
        <v>0</v>
      </c>
      <c r="AH19" s="131">
        <v>0</v>
      </c>
      <c r="AI19" s="131">
        <v>0</v>
      </c>
      <c r="AJ19" s="131">
        <v>0</v>
      </c>
      <c r="AK19" s="131">
        <v>0</v>
      </c>
      <c r="AL19" s="131">
        <v>0</v>
      </c>
      <c r="AM19" s="131">
        <v>0</v>
      </c>
      <c r="AN19" s="131">
        <v>0</v>
      </c>
      <c r="AO19" s="131">
        <v>0</v>
      </c>
      <c r="AP19" s="131">
        <v>0</v>
      </c>
      <c r="AQ19" s="131">
        <v>0</v>
      </c>
      <c r="AR19" s="131">
        <v>0</v>
      </c>
      <c r="AS19" s="131">
        <v>0</v>
      </c>
      <c r="AT19" s="131">
        <v>0</v>
      </c>
      <c r="AU19" s="131">
        <v>0</v>
      </c>
      <c r="AV19" s="131">
        <v>0</v>
      </c>
      <c r="AW19" s="131">
        <v>0</v>
      </c>
      <c r="AX19" s="131">
        <v>0</v>
      </c>
      <c r="AY19" s="131">
        <v>0</v>
      </c>
      <c r="AZ19" s="131">
        <v>0</v>
      </c>
      <c r="BA19" s="131">
        <v>0</v>
      </c>
      <c r="BB19" s="131">
        <v>0</v>
      </c>
      <c r="BC19" s="131">
        <v>0</v>
      </c>
      <c r="BD19" s="131">
        <v>0</v>
      </c>
      <c r="BE19" s="131">
        <v>0</v>
      </c>
      <c r="BF19" s="131">
        <v>0</v>
      </c>
      <c r="BG19" s="131">
        <v>0</v>
      </c>
      <c r="BH19" s="131">
        <v>0</v>
      </c>
      <c r="BI19" s="131">
        <v>0</v>
      </c>
      <c r="BJ19" s="131">
        <v>0</v>
      </c>
      <c r="BK19" s="131">
        <v>0</v>
      </c>
      <c r="BL19" s="131">
        <v>0</v>
      </c>
      <c r="BM19" s="131">
        <v>0</v>
      </c>
      <c r="BN19" s="131">
        <v>0</v>
      </c>
      <c r="BO19" s="131">
        <v>0</v>
      </c>
      <c r="BP19" s="131">
        <v>0</v>
      </c>
      <c r="BQ19" s="131">
        <v>0</v>
      </c>
      <c r="BR19" s="131">
        <v>0</v>
      </c>
      <c r="BS19" s="131">
        <v>0</v>
      </c>
      <c r="BT19" s="131">
        <v>0</v>
      </c>
      <c r="BU19" s="131">
        <v>0</v>
      </c>
      <c r="BV19" s="131">
        <v>0</v>
      </c>
      <c r="BW19" s="131">
        <v>0</v>
      </c>
      <c r="BX19" s="131">
        <v>0</v>
      </c>
      <c r="BY19" s="131">
        <v>0</v>
      </c>
      <c r="BZ19" s="131">
        <v>0</v>
      </c>
      <c r="CA19" s="131">
        <v>0</v>
      </c>
      <c r="CB19" s="131">
        <v>0</v>
      </c>
      <c r="CC19" s="131">
        <v>0</v>
      </c>
    </row>
    <row r="20" spans="1:81" customFormat="1" x14ac:dyDescent="0.15">
      <c r="A20" s="169" t="s">
        <v>209</v>
      </c>
      <c r="B20" s="131">
        <v>0</v>
      </c>
      <c r="C20" s="131">
        <v>0</v>
      </c>
      <c r="D20" s="131">
        <v>0</v>
      </c>
      <c r="E20" s="131">
        <v>9.2999999999999999E-2</v>
      </c>
      <c r="F20" s="131">
        <v>8.3674365036648546E-2</v>
      </c>
      <c r="G20" s="131">
        <v>2.001599693506763E-3</v>
      </c>
      <c r="H20" s="131">
        <v>0</v>
      </c>
      <c r="I20" s="131">
        <v>0</v>
      </c>
      <c r="J20" s="131">
        <v>0</v>
      </c>
      <c r="K20" s="131">
        <v>9.0994180718126053E-2</v>
      </c>
      <c r="L20" s="131">
        <v>0</v>
      </c>
      <c r="M20" s="131">
        <v>0</v>
      </c>
      <c r="N20" s="131">
        <v>2.9989146629753509E-3</v>
      </c>
      <c r="O20" s="131">
        <v>0</v>
      </c>
      <c r="P20" s="131">
        <v>0</v>
      </c>
      <c r="Q20" s="131">
        <v>0</v>
      </c>
      <c r="R20" s="131">
        <v>1.0006713898033494E-3</v>
      </c>
      <c r="S20" s="131">
        <v>0</v>
      </c>
      <c r="T20" s="131">
        <v>0</v>
      </c>
      <c r="U20" s="131">
        <v>5.4036476948166962E-2</v>
      </c>
      <c r="V20" s="131">
        <v>0</v>
      </c>
      <c r="W20" s="131">
        <v>0</v>
      </c>
      <c r="X20" s="131">
        <v>0</v>
      </c>
      <c r="Y20" s="131">
        <v>7.0039801296184583E-3</v>
      </c>
      <c r="Z20" s="131">
        <v>0</v>
      </c>
      <c r="AA20" s="131">
        <v>0</v>
      </c>
      <c r="AB20" s="131">
        <v>0</v>
      </c>
      <c r="AC20" s="131">
        <v>0</v>
      </c>
      <c r="AD20" s="131">
        <v>0</v>
      </c>
      <c r="AE20" s="131">
        <v>0</v>
      </c>
      <c r="AF20" s="131">
        <v>0</v>
      </c>
      <c r="AG20" s="131">
        <v>0</v>
      </c>
      <c r="AH20" s="131">
        <v>0</v>
      </c>
      <c r="AI20" s="131">
        <v>0</v>
      </c>
      <c r="AJ20" s="131">
        <v>0</v>
      </c>
      <c r="AK20" s="131">
        <v>0</v>
      </c>
      <c r="AL20" s="131">
        <v>0</v>
      </c>
      <c r="AM20" s="131">
        <v>0</v>
      </c>
      <c r="AN20" s="131">
        <v>0</v>
      </c>
      <c r="AO20" s="131">
        <v>0</v>
      </c>
      <c r="AP20" s="131">
        <v>0</v>
      </c>
      <c r="AQ20" s="131">
        <v>0</v>
      </c>
      <c r="AR20" s="131">
        <v>0</v>
      </c>
      <c r="AS20" s="131">
        <v>0</v>
      </c>
      <c r="AT20" s="131">
        <v>0</v>
      </c>
      <c r="AU20" s="131">
        <v>0</v>
      </c>
      <c r="AV20" s="131">
        <v>0</v>
      </c>
      <c r="AW20" s="131">
        <v>0</v>
      </c>
      <c r="AX20" s="131">
        <v>0</v>
      </c>
      <c r="AY20" s="131">
        <v>0</v>
      </c>
      <c r="AZ20" s="131">
        <v>0</v>
      </c>
      <c r="BA20" s="131">
        <v>0</v>
      </c>
      <c r="BB20" s="131">
        <v>0</v>
      </c>
      <c r="BC20" s="131">
        <v>0</v>
      </c>
      <c r="BD20" s="131">
        <v>0</v>
      </c>
      <c r="BE20" s="131">
        <v>0</v>
      </c>
      <c r="BF20" s="131">
        <v>0</v>
      </c>
      <c r="BG20" s="131">
        <v>0</v>
      </c>
      <c r="BH20" s="131">
        <v>0</v>
      </c>
      <c r="BI20" s="131">
        <v>0</v>
      </c>
      <c r="BJ20" s="131">
        <v>0</v>
      </c>
      <c r="BK20" s="131">
        <v>0</v>
      </c>
      <c r="BL20" s="131">
        <v>0</v>
      </c>
      <c r="BM20" s="131">
        <v>0</v>
      </c>
      <c r="BN20" s="131">
        <v>0</v>
      </c>
      <c r="BO20" s="131">
        <v>0</v>
      </c>
      <c r="BP20" s="131">
        <v>0</v>
      </c>
      <c r="BQ20" s="131">
        <v>0</v>
      </c>
      <c r="BR20" s="131">
        <v>0</v>
      </c>
      <c r="BS20" s="131">
        <v>0</v>
      </c>
      <c r="BT20" s="131">
        <v>0</v>
      </c>
      <c r="BU20" s="131">
        <v>0</v>
      </c>
      <c r="BV20" s="131">
        <v>0</v>
      </c>
      <c r="BW20" s="131">
        <v>0</v>
      </c>
      <c r="BX20" s="131">
        <v>0</v>
      </c>
      <c r="BY20" s="131">
        <v>0</v>
      </c>
      <c r="BZ20" s="131">
        <v>0</v>
      </c>
      <c r="CA20" s="131">
        <v>0</v>
      </c>
      <c r="CB20" s="131">
        <v>0</v>
      </c>
      <c r="CC20" s="131">
        <v>0</v>
      </c>
    </row>
    <row r="21" spans="1:81" customFormat="1" x14ac:dyDescent="0.15">
      <c r="A21" s="169" t="s">
        <v>210</v>
      </c>
      <c r="B21" s="131">
        <v>0</v>
      </c>
      <c r="C21" s="131">
        <v>0</v>
      </c>
      <c r="D21" s="131">
        <v>5.0025016539069727E-4</v>
      </c>
      <c r="E21" s="131">
        <v>0</v>
      </c>
      <c r="F21" s="131">
        <v>0</v>
      </c>
      <c r="G21" s="131">
        <v>0</v>
      </c>
      <c r="H21" s="131">
        <v>0</v>
      </c>
      <c r="I21" s="131">
        <v>4.9987058315921018E-4</v>
      </c>
      <c r="J21" s="131">
        <v>0</v>
      </c>
      <c r="K21" s="131">
        <v>0</v>
      </c>
      <c r="L21" s="131">
        <v>0</v>
      </c>
      <c r="M21" s="131">
        <v>0</v>
      </c>
      <c r="N21" s="131">
        <v>2.9989146629753509E-3</v>
      </c>
      <c r="O21" s="131">
        <v>0</v>
      </c>
      <c r="P21" s="131">
        <v>1.7991697078596321E-2</v>
      </c>
      <c r="Q21" s="131">
        <v>0</v>
      </c>
      <c r="R21" s="131">
        <v>9.4463383293436108E-4</v>
      </c>
      <c r="S21" s="131">
        <v>0</v>
      </c>
      <c r="T21" s="131">
        <v>9.4853630421150119E-4</v>
      </c>
      <c r="U21" s="131">
        <v>0</v>
      </c>
      <c r="V21" s="131">
        <v>0</v>
      </c>
      <c r="W21" s="131">
        <v>0</v>
      </c>
      <c r="X21" s="131">
        <v>0</v>
      </c>
      <c r="Y21" s="131">
        <v>0</v>
      </c>
      <c r="Z21" s="131">
        <v>0</v>
      </c>
      <c r="AA21" s="131">
        <v>0</v>
      </c>
      <c r="AB21" s="131">
        <v>0</v>
      </c>
      <c r="AC21" s="131">
        <v>0</v>
      </c>
      <c r="AD21" s="131">
        <v>0</v>
      </c>
      <c r="AE21" s="131">
        <v>0</v>
      </c>
      <c r="AF21" s="131">
        <v>0</v>
      </c>
      <c r="AG21" s="131">
        <v>0</v>
      </c>
      <c r="AH21" s="131">
        <v>0</v>
      </c>
      <c r="AI21" s="131">
        <v>0</v>
      </c>
      <c r="AJ21" s="131">
        <v>0</v>
      </c>
      <c r="AK21" s="131">
        <v>0</v>
      </c>
      <c r="AL21" s="131">
        <v>0</v>
      </c>
      <c r="AM21" s="131">
        <v>0</v>
      </c>
      <c r="AN21" s="131">
        <v>0</v>
      </c>
      <c r="AO21" s="131">
        <v>0</v>
      </c>
      <c r="AP21" s="131">
        <v>0</v>
      </c>
      <c r="AQ21" s="131">
        <v>0</v>
      </c>
      <c r="AR21" s="131">
        <v>0</v>
      </c>
      <c r="AS21" s="131">
        <v>0</v>
      </c>
      <c r="AT21" s="131">
        <v>0</v>
      </c>
      <c r="AU21" s="131">
        <v>0</v>
      </c>
      <c r="AV21" s="131">
        <v>0</v>
      </c>
      <c r="AW21" s="131">
        <v>0</v>
      </c>
      <c r="AX21" s="131">
        <v>0</v>
      </c>
      <c r="AY21" s="131">
        <v>0</v>
      </c>
      <c r="AZ21" s="131">
        <v>0</v>
      </c>
      <c r="BA21" s="131">
        <v>0</v>
      </c>
      <c r="BB21" s="131">
        <v>0</v>
      </c>
      <c r="BC21" s="131">
        <v>0</v>
      </c>
      <c r="BD21" s="131">
        <v>0</v>
      </c>
      <c r="BE21" s="131">
        <v>0</v>
      </c>
      <c r="BF21" s="131">
        <v>0</v>
      </c>
      <c r="BG21" s="131">
        <v>0</v>
      </c>
      <c r="BH21" s="131">
        <v>0</v>
      </c>
      <c r="BI21" s="131">
        <v>0</v>
      </c>
      <c r="BJ21" s="131">
        <v>0</v>
      </c>
      <c r="BK21" s="131">
        <v>0</v>
      </c>
      <c r="BL21" s="131">
        <v>0</v>
      </c>
      <c r="BM21" s="131">
        <v>0</v>
      </c>
      <c r="BN21" s="131">
        <v>0</v>
      </c>
      <c r="BO21" s="131">
        <v>0</v>
      </c>
      <c r="BP21" s="131">
        <v>0</v>
      </c>
      <c r="BQ21" s="131">
        <v>0</v>
      </c>
      <c r="BR21" s="131">
        <v>0</v>
      </c>
      <c r="BS21" s="131">
        <v>0</v>
      </c>
      <c r="BT21" s="131">
        <v>0</v>
      </c>
      <c r="BU21" s="131">
        <v>0</v>
      </c>
      <c r="BV21" s="131">
        <v>0</v>
      </c>
      <c r="BW21" s="131">
        <v>0</v>
      </c>
      <c r="BX21" s="131">
        <v>0</v>
      </c>
      <c r="BY21" s="131">
        <v>0</v>
      </c>
      <c r="BZ21" s="131">
        <v>0</v>
      </c>
      <c r="CA21" s="131">
        <v>0</v>
      </c>
      <c r="CB21" s="131">
        <v>0</v>
      </c>
      <c r="CC21" s="131">
        <v>0</v>
      </c>
    </row>
    <row r="22" spans="1:81" customFormat="1" x14ac:dyDescent="0.15">
      <c r="A22" s="169" t="s">
        <v>211</v>
      </c>
      <c r="B22" s="131">
        <v>0</v>
      </c>
      <c r="C22" s="131">
        <v>0</v>
      </c>
      <c r="D22" s="131">
        <v>0</v>
      </c>
      <c r="E22" s="131">
        <v>0</v>
      </c>
      <c r="F22" s="131">
        <v>9.5769235415402262E-2</v>
      </c>
      <c r="G22" s="131">
        <v>9.0472312418505858E-3</v>
      </c>
      <c r="H22" s="131">
        <v>0</v>
      </c>
      <c r="I22" s="131">
        <v>0</v>
      </c>
      <c r="J22" s="131">
        <v>1.2997738194649531E-2</v>
      </c>
      <c r="K22" s="131">
        <v>0</v>
      </c>
      <c r="L22" s="131">
        <v>0</v>
      </c>
      <c r="M22" s="131">
        <v>0</v>
      </c>
      <c r="N22" s="131">
        <v>0</v>
      </c>
      <c r="O22" s="131">
        <v>0</v>
      </c>
      <c r="P22" s="131">
        <v>0</v>
      </c>
      <c r="Q22" s="131">
        <v>0</v>
      </c>
      <c r="R22" s="131">
        <v>3.0020144194100435E-3</v>
      </c>
      <c r="S22" s="131">
        <v>0</v>
      </c>
      <c r="T22" s="131">
        <v>0</v>
      </c>
      <c r="U22" s="131">
        <v>0</v>
      </c>
      <c r="V22" s="131">
        <v>0</v>
      </c>
      <c r="W22" s="131">
        <v>0</v>
      </c>
      <c r="X22" s="131">
        <v>0</v>
      </c>
      <c r="Y22" s="131">
        <v>0</v>
      </c>
      <c r="Z22" s="131">
        <v>0</v>
      </c>
      <c r="AA22" s="131">
        <v>0</v>
      </c>
      <c r="AB22" s="131">
        <v>0</v>
      </c>
      <c r="AC22" s="131">
        <v>0</v>
      </c>
      <c r="AD22" s="131">
        <v>0</v>
      </c>
      <c r="AE22" s="131">
        <v>0</v>
      </c>
      <c r="AF22" s="131">
        <v>0</v>
      </c>
      <c r="AG22" s="131">
        <v>0</v>
      </c>
      <c r="AH22" s="131">
        <v>0</v>
      </c>
      <c r="AI22" s="131">
        <v>0</v>
      </c>
      <c r="AJ22" s="131">
        <v>0</v>
      </c>
      <c r="AK22" s="131">
        <v>0</v>
      </c>
      <c r="AL22" s="131">
        <v>0</v>
      </c>
      <c r="AM22" s="131">
        <v>0</v>
      </c>
      <c r="AN22" s="131">
        <v>0</v>
      </c>
      <c r="AO22" s="131">
        <v>0</v>
      </c>
      <c r="AP22" s="131">
        <v>0</v>
      </c>
      <c r="AQ22" s="131">
        <v>0</v>
      </c>
      <c r="AR22" s="131">
        <v>0</v>
      </c>
      <c r="AS22" s="131">
        <v>0</v>
      </c>
      <c r="AT22" s="131">
        <v>0</v>
      </c>
      <c r="AU22" s="131">
        <v>0</v>
      </c>
      <c r="AV22" s="131">
        <v>0</v>
      </c>
      <c r="AW22" s="131">
        <v>0</v>
      </c>
      <c r="AX22" s="131">
        <v>0</v>
      </c>
      <c r="AY22" s="131">
        <v>0</v>
      </c>
      <c r="AZ22" s="131">
        <v>0</v>
      </c>
      <c r="BA22" s="131">
        <v>0</v>
      </c>
      <c r="BB22" s="131">
        <v>0</v>
      </c>
      <c r="BC22" s="131">
        <v>0</v>
      </c>
      <c r="BD22" s="131">
        <v>0</v>
      </c>
      <c r="BE22" s="131">
        <v>0</v>
      </c>
      <c r="BF22" s="131">
        <v>0</v>
      </c>
      <c r="BG22" s="131">
        <v>0</v>
      </c>
      <c r="BH22" s="131">
        <v>0</v>
      </c>
      <c r="BI22" s="131">
        <v>0</v>
      </c>
      <c r="BJ22" s="131">
        <v>0</v>
      </c>
      <c r="BK22" s="131">
        <v>0</v>
      </c>
      <c r="BL22" s="131">
        <v>0</v>
      </c>
      <c r="BM22" s="131">
        <v>0</v>
      </c>
      <c r="BN22" s="131">
        <v>0</v>
      </c>
      <c r="BO22" s="131">
        <v>0</v>
      </c>
      <c r="BP22" s="131">
        <v>0</v>
      </c>
      <c r="BQ22" s="131">
        <v>0</v>
      </c>
      <c r="BR22" s="131">
        <v>0</v>
      </c>
      <c r="BS22" s="131">
        <v>0</v>
      </c>
      <c r="BT22" s="131">
        <v>0</v>
      </c>
      <c r="BU22" s="131">
        <v>0</v>
      </c>
      <c r="BV22" s="131">
        <v>0</v>
      </c>
      <c r="BW22" s="131">
        <v>0</v>
      </c>
      <c r="BX22" s="131">
        <v>0</v>
      </c>
      <c r="BY22" s="131">
        <v>0</v>
      </c>
      <c r="BZ22" s="131">
        <v>0</v>
      </c>
      <c r="CA22" s="131">
        <v>0</v>
      </c>
      <c r="CB22" s="131">
        <v>0</v>
      </c>
      <c r="CC22" s="131">
        <v>0</v>
      </c>
    </row>
    <row r="23" spans="1:81" customFormat="1" x14ac:dyDescent="0.15">
      <c r="A23" s="169" t="s">
        <v>212</v>
      </c>
      <c r="B23" s="131">
        <v>6.6999554851232471E-6</v>
      </c>
      <c r="C23" s="131">
        <v>0</v>
      </c>
      <c r="D23" s="131">
        <v>0</v>
      </c>
      <c r="E23" s="131">
        <v>1E-3</v>
      </c>
      <c r="F23" s="131">
        <v>0</v>
      </c>
      <c r="G23" s="131">
        <v>0</v>
      </c>
      <c r="H23" s="131">
        <v>0</v>
      </c>
      <c r="I23" s="131">
        <v>0</v>
      </c>
      <c r="J23" s="131">
        <v>0</v>
      </c>
      <c r="K23" s="131">
        <v>0</v>
      </c>
      <c r="L23" s="131">
        <v>0</v>
      </c>
      <c r="M23" s="131">
        <v>0</v>
      </c>
      <c r="N23" s="131">
        <v>0</v>
      </c>
      <c r="O23" s="131">
        <v>0</v>
      </c>
      <c r="P23" s="131">
        <v>0</v>
      </c>
      <c r="Q23" s="131">
        <v>0</v>
      </c>
      <c r="R23" s="131">
        <v>0</v>
      </c>
      <c r="S23" s="131">
        <v>0</v>
      </c>
      <c r="T23" s="131">
        <v>0</v>
      </c>
      <c r="U23" s="131">
        <v>0</v>
      </c>
      <c r="V23" s="131">
        <v>0</v>
      </c>
      <c r="W23" s="131">
        <v>0</v>
      </c>
      <c r="X23" s="131">
        <v>0</v>
      </c>
      <c r="Y23" s="131">
        <v>0</v>
      </c>
      <c r="Z23" s="131">
        <v>0</v>
      </c>
      <c r="AA23" s="131">
        <v>0</v>
      </c>
      <c r="AB23" s="131">
        <v>0</v>
      </c>
      <c r="AC23" s="131">
        <v>0</v>
      </c>
      <c r="AD23" s="131">
        <v>0</v>
      </c>
      <c r="AE23" s="131">
        <v>0</v>
      </c>
      <c r="AF23" s="131">
        <v>0</v>
      </c>
      <c r="AG23" s="131">
        <v>0</v>
      </c>
      <c r="AH23" s="131">
        <v>1E-3</v>
      </c>
      <c r="AI23" s="131">
        <v>0</v>
      </c>
      <c r="AJ23" s="131">
        <v>0</v>
      </c>
      <c r="AK23" s="131">
        <v>0</v>
      </c>
      <c r="AL23" s="131">
        <v>0</v>
      </c>
      <c r="AM23" s="131">
        <v>0</v>
      </c>
      <c r="AN23" s="131">
        <v>0</v>
      </c>
      <c r="AO23" s="131">
        <v>0</v>
      </c>
      <c r="AP23" s="131">
        <v>0</v>
      </c>
      <c r="AQ23" s="131">
        <v>0</v>
      </c>
      <c r="AR23" s="131">
        <v>0</v>
      </c>
      <c r="AS23" s="131">
        <v>0</v>
      </c>
      <c r="AT23" s="131">
        <v>0</v>
      </c>
      <c r="AU23" s="131">
        <v>0</v>
      </c>
      <c r="AV23" s="131">
        <v>0</v>
      </c>
      <c r="AW23" s="131">
        <v>0</v>
      </c>
      <c r="AX23" s="131">
        <v>0</v>
      </c>
      <c r="AY23" s="131">
        <v>0</v>
      </c>
      <c r="AZ23" s="131">
        <v>0</v>
      </c>
      <c r="BA23" s="131">
        <v>0</v>
      </c>
      <c r="BB23" s="131">
        <v>0</v>
      </c>
      <c r="BC23" s="131">
        <v>0</v>
      </c>
      <c r="BD23" s="131">
        <v>0</v>
      </c>
      <c r="BE23" s="131">
        <v>0</v>
      </c>
      <c r="BF23" s="131">
        <v>0</v>
      </c>
      <c r="BG23" s="131">
        <v>0</v>
      </c>
      <c r="BH23" s="131">
        <v>0</v>
      </c>
      <c r="BI23" s="131">
        <v>0</v>
      </c>
      <c r="BJ23" s="131">
        <v>0</v>
      </c>
      <c r="BK23" s="131">
        <v>0</v>
      </c>
      <c r="BL23" s="131">
        <v>0</v>
      </c>
      <c r="BM23" s="131">
        <v>0</v>
      </c>
      <c r="BN23" s="131">
        <v>0</v>
      </c>
      <c r="BO23" s="131">
        <v>0</v>
      </c>
      <c r="BP23" s="131">
        <v>0</v>
      </c>
      <c r="BQ23" s="131">
        <v>0</v>
      </c>
      <c r="BR23" s="131">
        <v>0</v>
      </c>
      <c r="BS23" s="131">
        <v>0</v>
      </c>
      <c r="BT23" s="131">
        <v>0</v>
      </c>
      <c r="BU23" s="131">
        <v>0</v>
      </c>
      <c r="BV23" s="131">
        <v>0</v>
      </c>
      <c r="BW23" s="131">
        <v>0</v>
      </c>
      <c r="BX23" s="131">
        <v>0</v>
      </c>
      <c r="BY23" s="131">
        <v>0</v>
      </c>
      <c r="BZ23" s="131">
        <v>0</v>
      </c>
      <c r="CA23" s="131">
        <v>0</v>
      </c>
      <c r="CB23" s="131">
        <v>0</v>
      </c>
      <c r="CC23" s="131">
        <v>0</v>
      </c>
    </row>
    <row r="24" spans="1:81" customFormat="1" x14ac:dyDescent="0.15">
      <c r="A24" s="169" t="s">
        <v>213</v>
      </c>
      <c r="B24" s="131">
        <v>0</v>
      </c>
      <c r="C24" s="131">
        <v>0</v>
      </c>
      <c r="D24" s="131">
        <v>0</v>
      </c>
      <c r="E24" s="131">
        <v>0</v>
      </c>
      <c r="F24" s="131">
        <v>0</v>
      </c>
      <c r="G24" s="131">
        <v>0</v>
      </c>
      <c r="H24" s="131">
        <v>0</v>
      </c>
      <c r="I24" s="131">
        <v>0</v>
      </c>
      <c r="J24" s="131">
        <v>2.1996172260176129E-2</v>
      </c>
      <c r="K24" s="131">
        <v>8.9994240710234534E-3</v>
      </c>
      <c r="L24" s="131">
        <v>0</v>
      </c>
      <c r="M24" s="131">
        <v>0</v>
      </c>
      <c r="N24" s="131">
        <v>0</v>
      </c>
      <c r="O24" s="131">
        <v>0</v>
      </c>
      <c r="P24" s="131">
        <v>0</v>
      </c>
      <c r="Q24" s="131">
        <v>0</v>
      </c>
      <c r="R24" s="131">
        <v>0.18212219632420953</v>
      </c>
      <c r="S24" s="131">
        <v>0</v>
      </c>
      <c r="T24" s="131">
        <v>0</v>
      </c>
      <c r="U24" s="131">
        <v>0</v>
      </c>
      <c r="V24" s="131">
        <v>0</v>
      </c>
      <c r="W24" s="131">
        <v>0</v>
      </c>
      <c r="X24" s="131">
        <v>0</v>
      </c>
      <c r="Y24" s="131">
        <v>0</v>
      </c>
      <c r="Z24" s="131">
        <v>0</v>
      </c>
      <c r="AA24" s="131">
        <v>0</v>
      </c>
      <c r="AB24" s="131">
        <v>0</v>
      </c>
      <c r="AC24" s="131">
        <v>0</v>
      </c>
      <c r="AD24" s="131">
        <v>0</v>
      </c>
      <c r="AE24" s="131">
        <v>0</v>
      </c>
      <c r="AF24" s="131">
        <v>0</v>
      </c>
      <c r="AG24" s="131">
        <v>0</v>
      </c>
      <c r="AH24" s="131">
        <v>0</v>
      </c>
      <c r="AI24" s="131">
        <v>0</v>
      </c>
      <c r="AJ24" s="131">
        <v>0</v>
      </c>
      <c r="AK24" s="131">
        <v>0</v>
      </c>
      <c r="AL24" s="131">
        <v>0</v>
      </c>
      <c r="AM24" s="131">
        <v>0</v>
      </c>
      <c r="AN24" s="131">
        <v>0</v>
      </c>
      <c r="AO24" s="131">
        <v>0</v>
      </c>
      <c r="AP24" s="131">
        <v>0</v>
      </c>
      <c r="AQ24" s="131">
        <v>0</v>
      </c>
      <c r="AR24" s="131">
        <v>0</v>
      </c>
      <c r="AS24" s="131">
        <v>0</v>
      </c>
      <c r="AT24" s="131">
        <v>0</v>
      </c>
      <c r="AU24" s="131">
        <v>0</v>
      </c>
      <c r="AV24" s="131">
        <v>0</v>
      </c>
      <c r="AW24" s="131">
        <v>0</v>
      </c>
      <c r="AX24" s="131">
        <v>0</v>
      </c>
      <c r="AY24" s="131">
        <v>0</v>
      </c>
      <c r="AZ24" s="131">
        <v>0</v>
      </c>
      <c r="BA24" s="131">
        <v>0</v>
      </c>
      <c r="BB24" s="131">
        <v>0</v>
      </c>
      <c r="BC24" s="131">
        <v>0</v>
      </c>
      <c r="BD24" s="131">
        <v>0</v>
      </c>
      <c r="BE24" s="131">
        <v>0</v>
      </c>
      <c r="BF24" s="131">
        <v>0</v>
      </c>
      <c r="BG24" s="131">
        <v>0</v>
      </c>
      <c r="BH24" s="131">
        <v>0</v>
      </c>
      <c r="BI24" s="131">
        <v>0</v>
      </c>
      <c r="BJ24" s="131">
        <v>0</v>
      </c>
      <c r="BK24" s="131">
        <v>0</v>
      </c>
      <c r="BL24" s="131">
        <v>0</v>
      </c>
      <c r="BM24" s="131">
        <v>0</v>
      </c>
      <c r="BN24" s="131">
        <v>0</v>
      </c>
      <c r="BO24" s="131">
        <v>0</v>
      </c>
      <c r="BP24" s="131">
        <v>0</v>
      </c>
      <c r="BQ24" s="131">
        <v>0</v>
      </c>
      <c r="BR24" s="131">
        <v>0</v>
      </c>
      <c r="BS24" s="131">
        <v>0</v>
      </c>
      <c r="BT24" s="131">
        <v>0</v>
      </c>
      <c r="BU24" s="131">
        <v>0</v>
      </c>
      <c r="BV24" s="131">
        <v>0</v>
      </c>
      <c r="BW24" s="131">
        <v>0</v>
      </c>
      <c r="BX24" s="131">
        <v>0</v>
      </c>
      <c r="BY24" s="131">
        <v>0</v>
      </c>
      <c r="BZ24" s="131">
        <v>0</v>
      </c>
      <c r="CA24" s="131">
        <v>0</v>
      </c>
      <c r="CB24" s="131">
        <v>0</v>
      </c>
      <c r="CC24" s="131">
        <v>0</v>
      </c>
    </row>
    <row r="25" spans="1:81" customFormat="1" x14ac:dyDescent="0.15">
      <c r="A25" s="169" t="s">
        <v>214</v>
      </c>
      <c r="B25" s="131">
        <v>3.9999736291780573E-3</v>
      </c>
      <c r="C25" s="131">
        <v>0.01</v>
      </c>
      <c r="D25" s="131">
        <v>0</v>
      </c>
      <c r="E25" s="131">
        <v>0</v>
      </c>
      <c r="F25" s="131">
        <v>2.1990638125006239E-3</v>
      </c>
      <c r="G25" s="131">
        <v>0</v>
      </c>
      <c r="H25" s="131">
        <v>0</v>
      </c>
      <c r="I25" s="131">
        <v>0</v>
      </c>
      <c r="J25" s="131">
        <v>8.9984330655265912E-3</v>
      </c>
      <c r="K25" s="131">
        <v>6.9995527752404691E-3</v>
      </c>
      <c r="L25" s="131">
        <v>1.0998900000000001E-2</v>
      </c>
      <c r="M25" s="131">
        <v>1.1084370156511307E-2</v>
      </c>
      <c r="N25" s="131">
        <v>2.4990956174794614E-2</v>
      </c>
      <c r="O25" s="131">
        <v>0</v>
      </c>
      <c r="P25" s="131">
        <v>0</v>
      </c>
      <c r="Q25" s="131">
        <v>0</v>
      </c>
      <c r="R25" s="131">
        <v>0</v>
      </c>
      <c r="S25" s="131">
        <v>0</v>
      </c>
      <c r="T25" s="131">
        <v>0</v>
      </c>
      <c r="U25" s="131">
        <v>0</v>
      </c>
      <c r="V25" s="131">
        <v>0</v>
      </c>
      <c r="W25" s="131">
        <v>0</v>
      </c>
      <c r="X25" s="131">
        <v>0</v>
      </c>
      <c r="Y25" s="131">
        <v>0</v>
      </c>
      <c r="Z25" s="131">
        <v>0</v>
      </c>
      <c r="AA25" s="131">
        <v>0</v>
      </c>
      <c r="AB25" s="131">
        <v>0</v>
      </c>
      <c r="AC25" s="131">
        <v>0</v>
      </c>
      <c r="AD25" s="131">
        <v>0</v>
      </c>
      <c r="AE25" s="131">
        <v>0</v>
      </c>
      <c r="AF25" s="131">
        <v>0</v>
      </c>
      <c r="AG25" s="131">
        <v>0</v>
      </c>
      <c r="AH25" s="131">
        <v>0</v>
      </c>
      <c r="AI25" s="131">
        <v>0</v>
      </c>
      <c r="AJ25" s="131">
        <v>0</v>
      </c>
      <c r="AK25" s="131">
        <v>0</v>
      </c>
      <c r="AL25" s="131">
        <v>0</v>
      </c>
      <c r="AM25" s="131">
        <v>0</v>
      </c>
      <c r="AN25" s="131">
        <v>0</v>
      </c>
      <c r="AO25" s="131">
        <v>0</v>
      </c>
      <c r="AP25" s="131">
        <v>0</v>
      </c>
      <c r="AQ25" s="131">
        <v>0</v>
      </c>
      <c r="AR25" s="131">
        <v>0</v>
      </c>
      <c r="AS25" s="131">
        <v>0</v>
      </c>
      <c r="AT25" s="131">
        <v>0</v>
      </c>
      <c r="AU25" s="131">
        <v>0</v>
      </c>
      <c r="AV25" s="131">
        <v>0</v>
      </c>
      <c r="AW25" s="131">
        <v>0</v>
      </c>
      <c r="AX25" s="131">
        <v>0</v>
      </c>
      <c r="AY25" s="131">
        <v>0</v>
      </c>
      <c r="AZ25" s="131">
        <v>0</v>
      </c>
      <c r="BA25" s="131">
        <v>0</v>
      </c>
      <c r="BB25" s="131">
        <v>0</v>
      </c>
      <c r="BC25" s="131">
        <v>0</v>
      </c>
      <c r="BD25" s="131">
        <v>0</v>
      </c>
      <c r="BE25" s="131">
        <v>0</v>
      </c>
      <c r="BF25" s="131">
        <v>0</v>
      </c>
      <c r="BG25" s="131">
        <v>0</v>
      </c>
      <c r="BH25" s="131">
        <v>0</v>
      </c>
      <c r="BI25" s="131">
        <v>0</v>
      </c>
      <c r="BJ25" s="131">
        <v>0</v>
      </c>
      <c r="BK25" s="131">
        <v>0</v>
      </c>
      <c r="BL25" s="131">
        <v>0</v>
      </c>
      <c r="BM25" s="131">
        <v>0</v>
      </c>
      <c r="BN25" s="131">
        <v>0</v>
      </c>
      <c r="BO25" s="131">
        <v>0</v>
      </c>
      <c r="BP25" s="131">
        <v>0</v>
      </c>
      <c r="BQ25" s="131">
        <v>0</v>
      </c>
      <c r="BR25" s="131">
        <v>0</v>
      </c>
      <c r="BS25" s="131">
        <v>0</v>
      </c>
      <c r="BT25" s="131">
        <v>0</v>
      </c>
      <c r="BU25" s="131">
        <v>0</v>
      </c>
      <c r="BV25" s="131">
        <v>0</v>
      </c>
      <c r="BW25" s="131">
        <v>0</v>
      </c>
      <c r="BX25" s="131">
        <v>0</v>
      </c>
      <c r="BY25" s="131">
        <v>0</v>
      </c>
      <c r="BZ25" s="131">
        <v>0</v>
      </c>
      <c r="CA25" s="131">
        <v>0</v>
      </c>
      <c r="CB25" s="131">
        <v>0</v>
      </c>
      <c r="CC25" s="131">
        <v>0</v>
      </c>
    </row>
    <row r="26" spans="1:81" customFormat="1" x14ac:dyDescent="0.15">
      <c r="A26" s="169" t="s">
        <v>215</v>
      </c>
      <c r="B26" s="131">
        <v>0</v>
      </c>
      <c r="C26" s="131">
        <v>0</v>
      </c>
      <c r="D26" s="131">
        <v>0</v>
      </c>
      <c r="E26" s="131">
        <v>0</v>
      </c>
      <c r="F26" s="131">
        <v>5.9484670879141797E-2</v>
      </c>
      <c r="G26" s="131">
        <v>0</v>
      </c>
      <c r="H26" s="131">
        <v>0</v>
      </c>
      <c r="I26" s="131">
        <v>8.8876997005707323E-2</v>
      </c>
      <c r="J26" s="131">
        <v>2.4995650182018329E-2</v>
      </c>
      <c r="K26" s="131">
        <v>0</v>
      </c>
      <c r="L26" s="131">
        <v>0</v>
      </c>
      <c r="M26" s="131">
        <v>0</v>
      </c>
      <c r="N26" s="131">
        <v>0</v>
      </c>
      <c r="O26" s="131">
        <v>0</v>
      </c>
      <c r="P26" s="131">
        <v>0</v>
      </c>
      <c r="Q26" s="131">
        <v>0</v>
      </c>
      <c r="R26" s="131">
        <v>0</v>
      </c>
      <c r="S26" s="131">
        <v>0</v>
      </c>
      <c r="T26" s="131">
        <v>0</v>
      </c>
      <c r="U26" s="131">
        <v>0</v>
      </c>
      <c r="V26" s="131">
        <v>0</v>
      </c>
      <c r="W26" s="131">
        <v>0</v>
      </c>
      <c r="X26" s="131">
        <v>0</v>
      </c>
      <c r="Y26" s="131">
        <v>0</v>
      </c>
      <c r="Z26" s="131">
        <v>0</v>
      </c>
      <c r="AA26" s="131">
        <v>0</v>
      </c>
      <c r="AB26" s="131">
        <v>0</v>
      </c>
      <c r="AC26" s="131">
        <v>0</v>
      </c>
      <c r="AD26" s="131">
        <v>0</v>
      </c>
      <c r="AE26" s="131">
        <v>0</v>
      </c>
      <c r="AF26" s="131">
        <v>0</v>
      </c>
      <c r="AG26" s="131">
        <v>0</v>
      </c>
      <c r="AH26" s="131">
        <v>0</v>
      </c>
      <c r="AI26" s="131">
        <v>0</v>
      </c>
      <c r="AJ26" s="131">
        <v>0</v>
      </c>
      <c r="AK26" s="131">
        <v>0</v>
      </c>
      <c r="AL26" s="131">
        <v>0</v>
      </c>
      <c r="AM26" s="131">
        <v>0</v>
      </c>
      <c r="AN26" s="131">
        <v>0</v>
      </c>
      <c r="AO26" s="131">
        <v>0</v>
      </c>
      <c r="AP26" s="131">
        <v>0</v>
      </c>
      <c r="AQ26" s="131">
        <v>0</v>
      </c>
      <c r="AR26" s="131">
        <v>0</v>
      </c>
      <c r="AS26" s="131">
        <v>0</v>
      </c>
      <c r="AT26" s="131">
        <v>0</v>
      </c>
      <c r="AU26" s="131">
        <v>0</v>
      </c>
      <c r="AV26" s="131">
        <v>0</v>
      </c>
      <c r="AW26" s="131">
        <v>0</v>
      </c>
      <c r="AX26" s="131">
        <v>0</v>
      </c>
      <c r="AY26" s="131">
        <v>0</v>
      </c>
      <c r="AZ26" s="131">
        <v>0</v>
      </c>
      <c r="BA26" s="131">
        <v>0</v>
      </c>
      <c r="BB26" s="131">
        <v>0</v>
      </c>
      <c r="BC26" s="131">
        <v>0</v>
      </c>
      <c r="BD26" s="131">
        <v>0</v>
      </c>
      <c r="BE26" s="131">
        <v>0</v>
      </c>
      <c r="BF26" s="131">
        <v>0</v>
      </c>
      <c r="BG26" s="131">
        <v>0</v>
      </c>
      <c r="BH26" s="131">
        <v>0</v>
      </c>
      <c r="BI26" s="131">
        <v>0</v>
      </c>
      <c r="BJ26" s="131">
        <v>0</v>
      </c>
      <c r="BK26" s="131">
        <v>0</v>
      </c>
      <c r="BL26" s="131">
        <v>0</v>
      </c>
      <c r="BM26" s="131">
        <v>0</v>
      </c>
      <c r="BN26" s="131">
        <v>0</v>
      </c>
      <c r="BO26" s="131">
        <v>0</v>
      </c>
      <c r="BP26" s="131">
        <v>0</v>
      </c>
      <c r="BQ26" s="131">
        <v>0</v>
      </c>
      <c r="BR26" s="131">
        <v>0</v>
      </c>
      <c r="BS26" s="131">
        <v>0</v>
      </c>
      <c r="BT26" s="131">
        <v>0</v>
      </c>
      <c r="BU26" s="131">
        <v>0</v>
      </c>
      <c r="BV26" s="131">
        <v>0</v>
      </c>
      <c r="BW26" s="131">
        <v>0</v>
      </c>
      <c r="BX26" s="131">
        <v>0</v>
      </c>
      <c r="BY26" s="131">
        <v>0</v>
      </c>
      <c r="BZ26" s="131">
        <v>0</v>
      </c>
      <c r="CA26" s="131">
        <v>0</v>
      </c>
      <c r="CB26" s="131">
        <v>0</v>
      </c>
      <c r="CC26" s="131">
        <v>0</v>
      </c>
    </row>
    <row r="27" spans="1:81" customFormat="1" x14ac:dyDescent="0.15">
      <c r="A27" s="169" t="s">
        <v>216</v>
      </c>
      <c r="B27" s="131">
        <v>0</v>
      </c>
      <c r="C27" s="131">
        <v>0</v>
      </c>
      <c r="D27" s="131">
        <v>0</v>
      </c>
      <c r="E27" s="131">
        <v>0</v>
      </c>
      <c r="F27" s="131">
        <v>0</v>
      </c>
      <c r="G27" s="131">
        <v>0</v>
      </c>
      <c r="H27" s="131">
        <v>0</v>
      </c>
      <c r="I27" s="131">
        <v>0</v>
      </c>
      <c r="J27" s="131">
        <v>0</v>
      </c>
      <c r="K27" s="131">
        <v>0</v>
      </c>
      <c r="L27" s="131">
        <v>0</v>
      </c>
      <c r="M27" s="131">
        <v>0</v>
      </c>
      <c r="N27" s="131">
        <v>0</v>
      </c>
      <c r="O27" s="131">
        <v>0</v>
      </c>
      <c r="P27" s="131">
        <v>9.4756273707273922E-2</v>
      </c>
      <c r="Q27" s="131">
        <v>0</v>
      </c>
      <c r="R27" s="131">
        <v>0</v>
      </c>
      <c r="S27" s="131">
        <v>0</v>
      </c>
      <c r="T27" s="131">
        <v>0</v>
      </c>
      <c r="U27" s="131">
        <v>0</v>
      </c>
      <c r="V27" s="131">
        <v>0</v>
      </c>
      <c r="W27" s="131">
        <v>0</v>
      </c>
      <c r="X27" s="131">
        <v>0</v>
      </c>
      <c r="Y27" s="131">
        <v>0</v>
      </c>
      <c r="Z27" s="131">
        <v>0</v>
      </c>
      <c r="AA27" s="131">
        <v>0</v>
      </c>
      <c r="AB27" s="131">
        <v>0</v>
      </c>
      <c r="AC27" s="131">
        <v>0</v>
      </c>
      <c r="AD27" s="131">
        <v>0</v>
      </c>
      <c r="AE27" s="131">
        <v>0</v>
      </c>
      <c r="AF27" s="131">
        <v>0</v>
      </c>
      <c r="AG27" s="131">
        <v>0</v>
      </c>
      <c r="AH27" s="131">
        <v>0</v>
      </c>
      <c r="AI27" s="131">
        <v>0</v>
      </c>
      <c r="AJ27" s="131">
        <v>0</v>
      </c>
      <c r="AK27" s="131">
        <v>0</v>
      </c>
      <c r="AL27" s="131">
        <v>0</v>
      </c>
      <c r="AM27" s="131">
        <v>0</v>
      </c>
      <c r="AN27" s="131">
        <v>0</v>
      </c>
      <c r="AO27" s="131">
        <v>0</v>
      </c>
      <c r="AP27" s="131">
        <v>0</v>
      </c>
      <c r="AQ27" s="131">
        <v>0</v>
      </c>
      <c r="AR27" s="131">
        <v>0</v>
      </c>
      <c r="AS27" s="131">
        <v>0</v>
      </c>
      <c r="AT27" s="131">
        <v>0</v>
      </c>
      <c r="AU27" s="131">
        <v>1.999440038727154E-2</v>
      </c>
      <c r="AV27" s="131">
        <v>0</v>
      </c>
      <c r="AW27" s="131">
        <v>0</v>
      </c>
      <c r="AX27" s="131">
        <v>0</v>
      </c>
      <c r="AY27" s="131">
        <v>0</v>
      </c>
      <c r="AZ27" s="131">
        <v>0</v>
      </c>
      <c r="BA27" s="131">
        <v>0</v>
      </c>
      <c r="BB27" s="131">
        <v>0</v>
      </c>
      <c r="BC27" s="131">
        <v>0</v>
      </c>
      <c r="BD27" s="131">
        <v>0</v>
      </c>
      <c r="BE27" s="131">
        <v>0</v>
      </c>
      <c r="BF27" s="131">
        <v>0</v>
      </c>
      <c r="BG27" s="131">
        <v>0</v>
      </c>
      <c r="BH27" s="131">
        <v>0</v>
      </c>
      <c r="BI27" s="131">
        <v>0</v>
      </c>
      <c r="BJ27" s="131">
        <v>0</v>
      </c>
      <c r="BK27" s="131">
        <v>0</v>
      </c>
      <c r="BL27" s="131">
        <v>0</v>
      </c>
      <c r="BM27" s="131">
        <v>0</v>
      </c>
      <c r="BN27" s="131">
        <v>0</v>
      </c>
      <c r="BO27" s="131">
        <v>0</v>
      </c>
      <c r="BP27" s="131">
        <v>0</v>
      </c>
      <c r="BQ27" s="131">
        <v>0</v>
      </c>
      <c r="BR27" s="131">
        <v>0</v>
      </c>
      <c r="BS27" s="131">
        <v>0</v>
      </c>
      <c r="BT27" s="131">
        <v>0</v>
      </c>
      <c r="BU27" s="131">
        <v>0</v>
      </c>
      <c r="BV27" s="131">
        <v>0</v>
      </c>
      <c r="BW27" s="131">
        <v>0</v>
      </c>
      <c r="BX27" s="131">
        <v>0</v>
      </c>
      <c r="BY27" s="131">
        <v>0</v>
      </c>
      <c r="BZ27" s="131">
        <v>0</v>
      </c>
      <c r="CA27" s="131">
        <v>0</v>
      </c>
      <c r="CB27" s="131">
        <v>0</v>
      </c>
      <c r="CC27" s="131">
        <v>0</v>
      </c>
    </row>
    <row r="28" spans="1:81" customFormat="1" x14ac:dyDescent="0.15">
      <c r="A28" s="169" t="s">
        <v>217</v>
      </c>
      <c r="B28" s="131">
        <v>1.99998652958903E-2</v>
      </c>
      <c r="C28" s="131">
        <v>0</v>
      </c>
      <c r="D28" s="131">
        <v>0</v>
      </c>
      <c r="E28" s="131">
        <v>0</v>
      </c>
      <c r="F28" s="131">
        <v>0</v>
      </c>
      <c r="G28" s="131">
        <v>0</v>
      </c>
      <c r="H28" s="131">
        <v>0</v>
      </c>
      <c r="I28" s="131">
        <v>4.9987061115920918E-3</v>
      </c>
      <c r="J28" s="131">
        <v>0</v>
      </c>
      <c r="K28" s="131">
        <v>0</v>
      </c>
      <c r="L28" s="131">
        <v>0</v>
      </c>
      <c r="M28" s="131">
        <v>0</v>
      </c>
      <c r="N28" s="131">
        <v>0</v>
      </c>
      <c r="O28" s="131">
        <v>0</v>
      </c>
      <c r="P28" s="131">
        <v>0</v>
      </c>
      <c r="Q28" s="131">
        <v>0</v>
      </c>
      <c r="R28" s="131">
        <v>0</v>
      </c>
      <c r="S28" s="131">
        <v>0</v>
      </c>
      <c r="T28" s="131">
        <v>0</v>
      </c>
      <c r="U28" s="131">
        <v>0</v>
      </c>
      <c r="V28" s="131">
        <v>0</v>
      </c>
      <c r="W28" s="131">
        <v>0</v>
      </c>
      <c r="X28" s="131">
        <v>0</v>
      </c>
      <c r="Y28" s="131">
        <v>0</v>
      </c>
      <c r="Z28" s="131">
        <v>8.0030411774114178E-3</v>
      </c>
      <c r="AA28" s="131">
        <v>0</v>
      </c>
      <c r="AB28" s="131">
        <v>0</v>
      </c>
      <c r="AC28" s="131">
        <v>0</v>
      </c>
      <c r="AD28" s="131">
        <v>0</v>
      </c>
      <c r="AE28" s="131">
        <v>0</v>
      </c>
      <c r="AF28" s="131">
        <v>0</v>
      </c>
      <c r="AG28" s="131">
        <v>0</v>
      </c>
      <c r="AH28" s="131">
        <v>0</v>
      </c>
      <c r="AI28" s="131">
        <v>0</v>
      </c>
      <c r="AJ28" s="131">
        <v>0</v>
      </c>
      <c r="AK28" s="131">
        <v>0</v>
      </c>
      <c r="AL28" s="131">
        <v>0</v>
      </c>
      <c r="AM28" s="131">
        <v>0</v>
      </c>
      <c r="AN28" s="131">
        <v>0</v>
      </c>
      <c r="AO28" s="131">
        <v>0</v>
      </c>
      <c r="AP28" s="131">
        <v>0</v>
      </c>
      <c r="AQ28" s="131">
        <v>0</v>
      </c>
      <c r="AR28" s="131">
        <v>0</v>
      </c>
      <c r="AS28" s="131">
        <v>0</v>
      </c>
      <c r="AT28" s="131">
        <v>0</v>
      </c>
      <c r="AU28" s="131">
        <v>0</v>
      </c>
      <c r="AV28" s="131">
        <v>0</v>
      </c>
      <c r="AW28" s="131">
        <v>0</v>
      </c>
      <c r="AX28" s="131">
        <v>0</v>
      </c>
      <c r="AY28" s="131">
        <v>0</v>
      </c>
      <c r="AZ28" s="131">
        <v>0</v>
      </c>
      <c r="BA28" s="131">
        <v>0</v>
      </c>
      <c r="BB28" s="131">
        <v>0</v>
      </c>
      <c r="BC28" s="131">
        <v>0</v>
      </c>
      <c r="BD28" s="131">
        <v>0</v>
      </c>
      <c r="BE28" s="131">
        <v>0</v>
      </c>
      <c r="BF28" s="131">
        <v>0</v>
      </c>
      <c r="BG28" s="131">
        <v>0</v>
      </c>
      <c r="BH28" s="131">
        <v>0</v>
      </c>
      <c r="BI28" s="131">
        <v>0</v>
      </c>
      <c r="BJ28" s="131">
        <v>0</v>
      </c>
      <c r="BK28" s="131">
        <v>0</v>
      </c>
      <c r="BL28" s="131">
        <v>0</v>
      </c>
      <c r="BM28" s="131">
        <v>0</v>
      </c>
      <c r="BN28" s="131">
        <v>0</v>
      </c>
      <c r="BO28" s="131">
        <v>0</v>
      </c>
      <c r="BP28" s="131">
        <v>0</v>
      </c>
      <c r="BQ28" s="131">
        <v>0</v>
      </c>
      <c r="BR28" s="131">
        <v>0</v>
      </c>
      <c r="BS28" s="131">
        <v>0</v>
      </c>
      <c r="BT28" s="131">
        <v>0</v>
      </c>
      <c r="BU28" s="131">
        <v>0</v>
      </c>
      <c r="BV28" s="131">
        <v>0</v>
      </c>
      <c r="BW28" s="131">
        <v>0</v>
      </c>
      <c r="BX28" s="131">
        <v>0</v>
      </c>
      <c r="BY28" s="131">
        <v>0</v>
      </c>
      <c r="BZ28" s="131">
        <v>0</v>
      </c>
      <c r="CA28" s="131">
        <v>0</v>
      </c>
      <c r="CB28" s="131">
        <v>0</v>
      </c>
      <c r="CC28" s="131">
        <v>0</v>
      </c>
    </row>
    <row r="29" spans="1:81" customFormat="1" x14ac:dyDescent="0.15">
      <c r="A29" s="169" t="s">
        <v>218</v>
      </c>
      <c r="B29" s="131">
        <v>9.2999383315889847E-2</v>
      </c>
      <c r="C29" s="131">
        <v>0</v>
      </c>
      <c r="D29" s="131">
        <v>0</v>
      </c>
      <c r="E29" s="131">
        <v>0</v>
      </c>
      <c r="F29" s="131">
        <v>0</v>
      </c>
      <c r="G29" s="131">
        <v>4.0031993870135261E-3</v>
      </c>
      <c r="H29" s="131">
        <v>0.21299765687338612</v>
      </c>
      <c r="I29" s="131">
        <v>0</v>
      </c>
      <c r="J29" s="131">
        <v>0</v>
      </c>
      <c r="K29" s="131">
        <v>0</v>
      </c>
      <c r="L29" s="131">
        <v>0</v>
      </c>
      <c r="M29" s="131">
        <v>0</v>
      </c>
      <c r="N29" s="131">
        <v>0</v>
      </c>
      <c r="O29" s="131">
        <v>0</v>
      </c>
      <c r="P29" s="131">
        <v>0</v>
      </c>
      <c r="Q29" s="131">
        <v>0</v>
      </c>
      <c r="R29" s="131">
        <v>0.37925449234546871</v>
      </c>
      <c r="S29" s="131">
        <v>0</v>
      </c>
      <c r="T29" s="131">
        <v>0</v>
      </c>
      <c r="U29" s="131">
        <v>0</v>
      </c>
      <c r="V29" s="131">
        <v>0</v>
      </c>
      <c r="W29" s="131">
        <v>0</v>
      </c>
      <c r="X29" s="131">
        <v>0</v>
      </c>
      <c r="Y29" s="131">
        <v>0</v>
      </c>
      <c r="Z29" s="131">
        <v>0</v>
      </c>
      <c r="AA29" s="131">
        <v>0</v>
      </c>
      <c r="AB29" s="131">
        <v>0</v>
      </c>
      <c r="AC29" s="131">
        <v>0</v>
      </c>
      <c r="AD29" s="131">
        <v>0.47812908998845505</v>
      </c>
      <c r="AE29" s="131">
        <v>0</v>
      </c>
      <c r="AF29" s="131">
        <v>0</v>
      </c>
      <c r="AG29" s="131">
        <v>0</v>
      </c>
      <c r="AH29" s="131">
        <v>0</v>
      </c>
      <c r="AI29" s="131">
        <v>0</v>
      </c>
      <c r="AJ29" s="131">
        <v>0</v>
      </c>
      <c r="AK29" s="131">
        <v>0</v>
      </c>
      <c r="AL29" s="131">
        <v>0</v>
      </c>
      <c r="AM29" s="131">
        <v>0</v>
      </c>
      <c r="AN29" s="131">
        <v>0</v>
      </c>
      <c r="AO29" s="131">
        <v>0</v>
      </c>
      <c r="AP29" s="131">
        <v>0</v>
      </c>
      <c r="AQ29" s="131">
        <v>0</v>
      </c>
      <c r="AR29" s="131">
        <v>0</v>
      </c>
      <c r="AS29" s="131">
        <v>0</v>
      </c>
      <c r="AT29" s="131">
        <v>0</v>
      </c>
      <c r="AU29" s="131">
        <v>0</v>
      </c>
      <c r="AV29" s="131">
        <v>0</v>
      </c>
      <c r="AW29" s="131">
        <v>0</v>
      </c>
      <c r="AX29" s="131">
        <v>0</v>
      </c>
      <c r="AY29" s="131">
        <v>0</v>
      </c>
      <c r="AZ29" s="131">
        <v>0</v>
      </c>
      <c r="BA29" s="131">
        <v>0</v>
      </c>
      <c r="BB29" s="131">
        <v>0</v>
      </c>
      <c r="BC29" s="131">
        <v>0</v>
      </c>
      <c r="BD29" s="131">
        <v>0</v>
      </c>
      <c r="BE29" s="131">
        <v>0</v>
      </c>
      <c r="BF29" s="131">
        <v>0</v>
      </c>
      <c r="BG29" s="131">
        <v>0</v>
      </c>
      <c r="BH29" s="131">
        <v>0</v>
      </c>
      <c r="BI29" s="131">
        <v>0</v>
      </c>
      <c r="BJ29" s="131">
        <v>0</v>
      </c>
      <c r="BK29" s="131">
        <v>0</v>
      </c>
      <c r="BL29" s="131">
        <v>0</v>
      </c>
      <c r="BM29" s="131">
        <v>0</v>
      </c>
      <c r="BN29" s="131">
        <v>0</v>
      </c>
      <c r="BO29" s="131">
        <v>0</v>
      </c>
      <c r="BP29" s="131">
        <v>0</v>
      </c>
      <c r="BQ29" s="131">
        <v>0</v>
      </c>
      <c r="BR29" s="131">
        <v>0</v>
      </c>
      <c r="BS29" s="131">
        <v>0</v>
      </c>
      <c r="BT29" s="131">
        <v>0</v>
      </c>
      <c r="BU29" s="131">
        <v>0</v>
      </c>
      <c r="BV29" s="131">
        <v>0</v>
      </c>
      <c r="BW29" s="131">
        <v>0</v>
      </c>
      <c r="BX29" s="131">
        <v>0</v>
      </c>
      <c r="BY29" s="131">
        <v>0</v>
      </c>
      <c r="BZ29" s="131">
        <v>0</v>
      </c>
      <c r="CA29" s="131">
        <v>0</v>
      </c>
      <c r="CB29" s="131">
        <v>0</v>
      </c>
      <c r="CC29" s="131">
        <v>0</v>
      </c>
    </row>
    <row r="30" spans="1:81" customFormat="1" x14ac:dyDescent="0.15">
      <c r="A30" s="169" t="s">
        <v>219</v>
      </c>
      <c r="B30" s="131">
        <v>0</v>
      </c>
      <c r="C30" s="131">
        <v>0</v>
      </c>
      <c r="D30" s="131">
        <v>0</v>
      </c>
      <c r="E30" s="131">
        <v>0</v>
      </c>
      <c r="F30" s="131">
        <v>1.8692039276255255E-2</v>
      </c>
      <c r="G30" s="131">
        <v>9.3474707298765887E-4</v>
      </c>
      <c r="H30" s="131">
        <v>0</v>
      </c>
      <c r="I30" s="131">
        <v>0</v>
      </c>
      <c r="J30" s="131">
        <v>0</v>
      </c>
      <c r="K30" s="131">
        <v>0</v>
      </c>
      <c r="L30" s="131">
        <v>0</v>
      </c>
      <c r="M30" s="131">
        <v>0</v>
      </c>
      <c r="N30" s="131">
        <v>0</v>
      </c>
      <c r="O30" s="131">
        <v>0</v>
      </c>
      <c r="P30" s="131">
        <v>0</v>
      </c>
      <c r="Q30" s="131">
        <v>0</v>
      </c>
      <c r="R30" s="131">
        <v>0</v>
      </c>
      <c r="S30" s="131">
        <v>0</v>
      </c>
      <c r="T30" s="131">
        <v>0</v>
      </c>
      <c r="U30" s="131">
        <v>0</v>
      </c>
      <c r="V30" s="131">
        <v>0</v>
      </c>
      <c r="W30" s="131">
        <v>0</v>
      </c>
      <c r="X30" s="131">
        <v>0</v>
      </c>
      <c r="Y30" s="131">
        <v>0</v>
      </c>
      <c r="Z30" s="131">
        <v>0</v>
      </c>
      <c r="AA30" s="131">
        <v>0</v>
      </c>
      <c r="AB30" s="131">
        <v>0</v>
      </c>
      <c r="AC30" s="131">
        <v>0</v>
      </c>
      <c r="AD30" s="131">
        <v>0</v>
      </c>
      <c r="AE30" s="131">
        <v>0</v>
      </c>
      <c r="AF30" s="131">
        <v>0</v>
      </c>
      <c r="AG30" s="131">
        <v>0</v>
      </c>
      <c r="AH30" s="131">
        <v>0</v>
      </c>
      <c r="AI30" s="131">
        <v>0</v>
      </c>
      <c r="AJ30" s="131">
        <v>0</v>
      </c>
      <c r="AK30" s="131">
        <v>0</v>
      </c>
      <c r="AL30" s="131">
        <v>0</v>
      </c>
      <c r="AM30" s="131">
        <v>0</v>
      </c>
      <c r="AN30" s="131">
        <v>0</v>
      </c>
      <c r="AO30" s="131">
        <v>0</v>
      </c>
      <c r="AP30" s="131">
        <v>0</v>
      </c>
      <c r="AQ30" s="131">
        <v>0</v>
      </c>
      <c r="AR30" s="131">
        <v>0</v>
      </c>
      <c r="AS30" s="131">
        <v>0</v>
      </c>
      <c r="AT30" s="131">
        <v>0</v>
      </c>
      <c r="AU30" s="131">
        <v>0</v>
      </c>
      <c r="AV30" s="131">
        <v>0</v>
      </c>
      <c r="AW30" s="131">
        <v>0</v>
      </c>
      <c r="AX30" s="131">
        <v>0</v>
      </c>
      <c r="AY30" s="131">
        <v>0</v>
      </c>
      <c r="AZ30" s="131">
        <v>0</v>
      </c>
      <c r="BA30" s="131">
        <v>0</v>
      </c>
      <c r="BB30" s="131">
        <v>0</v>
      </c>
      <c r="BC30" s="131">
        <v>0</v>
      </c>
      <c r="BD30" s="131">
        <v>0</v>
      </c>
      <c r="BE30" s="131">
        <v>0</v>
      </c>
      <c r="BF30" s="131">
        <v>0</v>
      </c>
      <c r="BG30" s="131">
        <v>0</v>
      </c>
      <c r="BH30" s="131">
        <v>0</v>
      </c>
      <c r="BI30" s="131">
        <v>0</v>
      </c>
      <c r="BJ30" s="131">
        <v>0</v>
      </c>
      <c r="BK30" s="131">
        <v>0</v>
      </c>
      <c r="BL30" s="131">
        <v>0</v>
      </c>
      <c r="BM30" s="131">
        <v>0</v>
      </c>
      <c r="BN30" s="131">
        <v>0</v>
      </c>
      <c r="BO30" s="131">
        <v>0</v>
      </c>
      <c r="BP30" s="131">
        <v>0</v>
      </c>
      <c r="BQ30" s="131">
        <v>0</v>
      </c>
      <c r="BR30" s="131">
        <v>0</v>
      </c>
      <c r="BS30" s="131">
        <v>0</v>
      </c>
      <c r="BT30" s="131">
        <v>0</v>
      </c>
      <c r="BU30" s="131">
        <v>0</v>
      </c>
      <c r="BV30" s="131">
        <v>0</v>
      </c>
      <c r="BW30" s="131">
        <v>0</v>
      </c>
      <c r="BX30" s="131">
        <v>0</v>
      </c>
      <c r="BY30" s="131">
        <v>0</v>
      </c>
      <c r="BZ30" s="131">
        <v>0</v>
      </c>
      <c r="CA30" s="131">
        <v>0</v>
      </c>
      <c r="CB30" s="131">
        <v>0</v>
      </c>
      <c r="CC30" s="131">
        <v>0</v>
      </c>
    </row>
    <row r="31" spans="1:81" customFormat="1" x14ac:dyDescent="0.15">
      <c r="A31" s="169" t="s">
        <v>220</v>
      </c>
      <c r="B31" s="131">
        <v>0</v>
      </c>
      <c r="C31" s="131">
        <v>0</v>
      </c>
      <c r="D31" s="131">
        <v>0</v>
      </c>
      <c r="E31" s="131">
        <v>0</v>
      </c>
      <c r="F31" s="131">
        <v>0</v>
      </c>
      <c r="G31" s="131">
        <v>0</v>
      </c>
      <c r="H31" s="131">
        <v>0</v>
      </c>
      <c r="I31" s="131">
        <v>8.6877521973070235E-2</v>
      </c>
      <c r="J31" s="131">
        <v>0</v>
      </c>
      <c r="K31" s="131">
        <v>0</v>
      </c>
      <c r="L31" s="131">
        <v>0</v>
      </c>
      <c r="M31" s="131">
        <v>0</v>
      </c>
      <c r="N31" s="131">
        <v>0</v>
      </c>
      <c r="O31" s="131">
        <v>0</v>
      </c>
      <c r="P31" s="131">
        <v>0</v>
      </c>
      <c r="Q31" s="131">
        <v>0</v>
      </c>
      <c r="R31" s="131">
        <v>0</v>
      </c>
      <c r="S31" s="131">
        <v>0</v>
      </c>
      <c r="T31" s="131">
        <v>0</v>
      </c>
      <c r="U31" s="131">
        <v>0</v>
      </c>
      <c r="V31" s="131">
        <v>0</v>
      </c>
      <c r="W31" s="131">
        <v>0</v>
      </c>
      <c r="X31" s="131">
        <v>0</v>
      </c>
      <c r="Y31" s="131">
        <v>0</v>
      </c>
      <c r="Z31" s="131">
        <v>0</v>
      </c>
      <c r="AA31" s="131">
        <v>0</v>
      </c>
      <c r="AB31" s="131">
        <v>0</v>
      </c>
      <c r="AC31" s="131">
        <v>0</v>
      </c>
      <c r="AD31" s="131">
        <v>2.2005941239217598E-2</v>
      </c>
      <c r="AE31" s="131">
        <v>0</v>
      </c>
      <c r="AF31" s="131">
        <v>0</v>
      </c>
      <c r="AG31" s="131">
        <v>0</v>
      </c>
      <c r="AH31" s="131">
        <v>0</v>
      </c>
      <c r="AI31" s="131">
        <v>0</v>
      </c>
      <c r="AJ31" s="131">
        <v>0</v>
      </c>
      <c r="AK31" s="131">
        <v>0</v>
      </c>
      <c r="AL31" s="131">
        <v>0</v>
      </c>
      <c r="AM31" s="131">
        <v>0</v>
      </c>
      <c r="AN31" s="131">
        <v>0</v>
      </c>
      <c r="AO31" s="131">
        <v>0</v>
      </c>
      <c r="AP31" s="131">
        <v>0</v>
      </c>
      <c r="AQ31" s="131">
        <v>0</v>
      </c>
      <c r="AR31" s="131">
        <v>0</v>
      </c>
      <c r="AS31" s="131">
        <v>0</v>
      </c>
      <c r="AT31" s="131">
        <v>0</v>
      </c>
      <c r="AU31" s="131">
        <v>0</v>
      </c>
      <c r="AV31" s="131">
        <v>0</v>
      </c>
      <c r="AW31" s="131">
        <v>0</v>
      </c>
      <c r="AX31" s="131">
        <v>0</v>
      </c>
      <c r="AY31" s="131">
        <v>0</v>
      </c>
      <c r="AZ31" s="131">
        <v>0</v>
      </c>
      <c r="BA31" s="131">
        <v>0</v>
      </c>
      <c r="BB31" s="131">
        <v>0</v>
      </c>
      <c r="BC31" s="131">
        <v>0</v>
      </c>
      <c r="BD31" s="131">
        <v>0</v>
      </c>
      <c r="BE31" s="131">
        <v>0</v>
      </c>
      <c r="BF31" s="131">
        <v>0</v>
      </c>
      <c r="BG31" s="131">
        <v>0</v>
      </c>
      <c r="BH31" s="131">
        <v>0</v>
      </c>
      <c r="BI31" s="131">
        <v>0</v>
      </c>
      <c r="BJ31" s="131">
        <v>0</v>
      </c>
      <c r="BK31" s="131">
        <v>0</v>
      </c>
      <c r="BL31" s="131">
        <v>0</v>
      </c>
      <c r="BM31" s="131">
        <v>0</v>
      </c>
      <c r="BN31" s="131">
        <v>0</v>
      </c>
      <c r="BO31" s="131">
        <v>0</v>
      </c>
      <c r="BP31" s="131">
        <v>0</v>
      </c>
      <c r="BQ31" s="131">
        <v>0</v>
      </c>
      <c r="BR31" s="131">
        <v>0</v>
      </c>
      <c r="BS31" s="131">
        <v>0</v>
      </c>
      <c r="BT31" s="131">
        <v>0</v>
      </c>
      <c r="BU31" s="131">
        <v>0</v>
      </c>
      <c r="BV31" s="131">
        <v>0</v>
      </c>
      <c r="BW31" s="131">
        <v>0</v>
      </c>
      <c r="BX31" s="131">
        <v>0</v>
      </c>
      <c r="BY31" s="131">
        <v>0</v>
      </c>
      <c r="BZ31" s="131">
        <v>0</v>
      </c>
      <c r="CA31" s="131">
        <v>0</v>
      </c>
      <c r="CB31" s="131">
        <v>0</v>
      </c>
      <c r="CC31" s="131">
        <v>0</v>
      </c>
    </row>
    <row r="32" spans="1:81" customFormat="1" x14ac:dyDescent="0.15">
      <c r="A32" s="169" t="s">
        <v>221</v>
      </c>
      <c r="B32" s="131">
        <v>0</v>
      </c>
      <c r="C32" s="131">
        <v>0</v>
      </c>
      <c r="D32" s="131">
        <v>0</v>
      </c>
      <c r="E32" s="131">
        <v>0</v>
      </c>
      <c r="F32" s="131">
        <v>0</v>
      </c>
      <c r="G32" s="131">
        <v>0</v>
      </c>
      <c r="H32" s="131">
        <v>0</v>
      </c>
      <c r="I32" s="131">
        <v>8.9876741872025618E-3</v>
      </c>
      <c r="J32" s="131">
        <v>0</v>
      </c>
      <c r="K32" s="131">
        <v>0</v>
      </c>
      <c r="L32" s="131">
        <v>0</v>
      </c>
      <c r="M32" s="131">
        <v>0</v>
      </c>
      <c r="N32" s="131">
        <v>0</v>
      </c>
      <c r="O32" s="131">
        <v>0</v>
      </c>
      <c r="P32" s="131">
        <v>0</v>
      </c>
      <c r="Q32" s="131">
        <v>0</v>
      </c>
      <c r="R32" s="131">
        <v>0</v>
      </c>
      <c r="S32" s="131">
        <v>0</v>
      </c>
      <c r="T32" s="131">
        <v>4.4978015299702384E-2</v>
      </c>
      <c r="U32" s="131">
        <v>0</v>
      </c>
      <c r="V32" s="131">
        <v>0</v>
      </c>
      <c r="W32" s="131">
        <v>0</v>
      </c>
      <c r="X32" s="131">
        <v>0</v>
      </c>
      <c r="Y32" s="131">
        <v>0</v>
      </c>
      <c r="Z32" s="131">
        <v>0</v>
      </c>
      <c r="AA32" s="131">
        <v>0</v>
      </c>
      <c r="AB32" s="131">
        <v>0</v>
      </c>
      <c r="AC32" s="131">
        <v>0</v>
      </c>
      <c r="AD32" s="131">
        <v>0</v>
      </c>
      <c r="AE32" s="131">
        <v>0</v>
      </c>
      <c r="AF32" s="131">
        <v>0</v>
      </c>
      <c r="AG32" s="131">
        <v>0</v>
      </c>
      <c r="AH32" s="131">
        <v>0</v>
      </c>
      <c r="AI32" s="131">
        <v>0</v>
      </c>
      <c r="AJ32" s="131">
        <v>0</v>
      </c>
      <c r="AK32" s="131">
        <v>0</v>
      </c>
      <c r="AL32" s="131">
        <v>0</v>
      </c>
      <c r="AM32" s="131">
        <v>0</v>
      </c>
      <c r="AN32" s="131">
        <v>0</v>
      </c>
      <c r="AO32" s="131">
        <v>0</v>
      </c>
      <c r="AP32" s="131">
        <v>0</v>
      </c>
      <c r="AQ32" s="131">
        <v>0</v>
      </c>
      <c r="AR32" s="131">
        <v>0</v>
      </c>
      <c r="AS32" s="131">
        <v>0</v>
      </c>
      <c r="AT32" s="131">
        <v>0</v>
      </c>
      <c r="AU32" s="131">
        <v>0</v>
      </c>
      <c r="AV32" s="131">
        <v>0</v>
      </c>
      <c r="AW32" s="131">
        <v>0</v>
      </c>
      <c r="AX32" s="131">
        <v>0</v>
      </c>
      <c r="AY32" s="131">
        <v>0</v>
      </c>
      <c r="AZ32" s="131">
        <v>0</v>
      </c>
      <c r="BA32" s="131">
        <v>0</v>
      </c>
      <c r="BB32" s="131">
        <v>0</v>
      </c>
      <c r="BC32" s="131">
        <v>0</v>
      </c>
      <c r="BD32" s="131">
        <v>0</v>
      </c>
      <c r="BE32" s="131">
        <v>0</v>
      </c>
      <c r="BF32" s="131">
        <v>0</v>
      </c>
      <c r="BG32" s="131">
        <v>0</v>
      </c>
      <c r="BH32" s="131">
        <v>0</v>
      </c>
      <c r="BI32" s="131">
        <v>0</v>
      </c>
      <c r="BJ32" s="131">
        <v>0</v>
      </c>
      <c r="BK32" s="131">
        <v>0</v>
      </c>
      <c r="BL32" s="131">
        <v>0</v>
      </c>
      <c r="BM32" s="131">
        <v>0</v>
      </c>
      <c r="BN32" s="131">
        <v>0</v>
      </c>
      <c r="BO32" s="131">
        <v>0</v>
      </c>
      <c r="BP32" s="131">
        <v>0</v>
      </c>
      <c r="BQ32" s="131">
        <v>0</v>
      </c>
      <c r="BR32" s="131">
        <v>0</v>
      </c>
      <c r="BS32" s="131">
        <v>0</v>
      </c>
      <c r="BT32" s="131">
        <v>0</v>
      </c>
      <c r="BU32" s="131">
        <v>0</v>
      </c>
      <c r="BV32" s="131">
        <v>0</v>
      </c>
      <c r="BW32" s="131">
        <v>0</v>
      </c>
      <c r="BX32" s="131">
        <v>0</v>
      </c>
      <c r="BY32" s="131">
        <v>0</v>
      </c>
      <c r="BZ32" s="131">
        <v>0</v>
      </c>
      <c r="CA32" s="131">
        <v>0</v>
      </c>
      <c r="CB32" s="131">
        <v>0</v>
      </c>
      <c r="CC32" s="131">
        <v>0</v>
      </c>
    </row>
    <row r="33" spans="1:81" customFormat="1" x14ac:dyDescent="0.15">
      <c r="A33" s="169" t="s">
        <v>222</v>
      </c>
      <c r="B33" s="131">
        <v>0</v>
      </c>
      <c r="C33" s="131">
        <v>0</v>
      </c>
      <c r="D33" s="131">
        <v>0</v>
      </c>
      <c r="E33" s="131">
        <v>0</v>
      </c>
      <c r="F33" s="131">
        <v>0</v>
      </c>
      <c r="G33" s="131">
        <v>0</v>
      </c>
      <c r="H33" s="131">
        <v>0</v>
      </c>
      <c r="I33" s="131">
        <v>1.4996118294776278E-5</v>
      </c>
      <c r="J33" s="131">
        <v>0</v>
      </c>
      <c r="K33" s="131">
        <v>0</v>
      </c>
      <c r="L33" s="131">
        <v>0</v>
      </c>
      <c r="M33" s="131">
        <v>0</v>
      </c>
      <c r="N33" s="131">
        <v>0</v>
      </c>
      <c r="O33" s="131">
        <v>0</v>
      </c>
      <c r="P33" s="131">
        <v>0</v>
      </c>
      <c r="Q33" s="131">
        <v>0</v>
      </c>
      <c r="R33" s="131">
        <v>0</v>
      </c>
      <c r="S33" s="131">
        <v>0</v>
      </c>
      <c r="T33" s="131">
        <v>0</v>
      </c>
      <c r="U33" s="131">
        <v>0</v>
      </c>
      <c r="V33" s="131">
        <v>0</v>
      </c>
      <c r="W33" s="131">
        <v>0</v>
      </c>
      <c r="X33" s="131">
        <v>0</v>
      </c>
      <c r="Y33" s="131">
        <v>0</v>
      </c>
      <c r="Z33" s="131">
        <v>0</v>
      </c>
      <c r="AA33" s="131">
        <v>0</v>
      </c>
      <c r="AB33" s="131">
        <v>0</v>
      </c>
      <c r="AC33" s="131">
        <v>0</v>
      </c>
      <c r="AD33" s="131">
        <v>0</v>
      </c>
      <c r="AE33" s="131">
        <v>0</v>
      </c>
      <c r="AF33" s="131">
        <v>0</v>
      </c>
      <c r="AG33" s="131">
        <v>0</v>
      </c>
      <c r="AH33" s="131">
        <v>0</v>
      </c>
      <c r="AI33" s="131">
        <v>0</v>
      </c>
      <c r="AJ33" s="131">
        <v>0</v>
      </c>
      <c r="AK33" s="131">
        <v>0</v>
      </c>
      <c r="AL33" s="131">
        <v>0</v>
      </c>
      <c r="AM33" s="131">
        <v>0</v>
      </c>
      <c r="AN33" s="131">
        <v>0</v>
      </c>
      <c r="AO33" s="131">
        <v>0</v>
      </c>
      <c r="AP33" s="131">
        <v>0</v>
      </c>
      <c r="AQ33" s="131">
        <v>0</v>
      </c>
      <c r="AR33" s="131">
        <v>0</v>
      </c>
      <c r="AS33" s="131">
        <v>0</v>
      </c>
      <c r="AT33" s="131">
        <v>0</v>
      </c>
      <c r="AU33" s="131">
        <v>0</v>
      </c>
      <c r="AV33" s="131">
        <v>0</v>
      </c>
      <c r="AW33" s="131">
        <v>0</v>
      </c>
      <c r="AX33" s="131">
        <v>0</v>
      </c>
      <c r="AY33" s="131">
        <v>0</v>
      </c>
      <c r="AZ33" s="131">
        <v>0</v>
      </c>
      <c r="BA33" s="131">
        <v>0</v>
      </c>
      <c r="BB33" s="131">
        <v>0</v>
      </c>
      <c r="BC33" s="131">
        <v>0</v>
      </c>
      <c r="BD33" s="131">
        <v>0</v>
      </c>
      <c r="BE33" s="131">
        <v>0</v>
      </c>
      <c r="BF33" s="131">
        <v>0</v>
      </c>
      <c r="BG33" s="131">
        <v>0</v>
      </c>
      <c r="BH33" s="131">
        <v>0</v>
      </c>
      <c r="BI33" s="131">
        <v>0</v>
      </c>
      <c r="BJ33" s="131">
        <v>0</v>
      </c>
      <c r="BK33" s="131">
        <v>0</v>
      </c>
      <c r="BL33" s="131">
        <v>0</v>
      </c>
      <c r="BM33" s="131">
        <v>0</v>
      </c>
      <c r="BN33" s="131">
        <v>0</v>
      </c>
      <c r="BO33" s="131">
        <v>0</v>
      </c>
      <c r="BP33" s="131">
        <v>0</v>
      </c>
      <c r="BQ33" s="131">
        <v>0</v>
      </c>
      <c r="BR33" s="131">
        <v>0</v>
      </c>
      <c r="BS33" s="131">
        <v>0</v>
      </c>
      <c r="BT33" s="131">
        <v>0</v>
      </c>
      <c r="BU33" s="131">
        <v>0</v>
      </c>
      <c r="BV33" s="131">
        <v>0</v>
      </c>
      <c r="BW33" s="131">
        <v>0</v>
      </c>
      <c r="BX33" s="131">
        <v>0</v>
      </c>
      <c r="BY33" s="131">
        <v>0</v>
      </c>
      <c r="BZ33" s="131">
        <v>0</v>
      </c>
      <c r="CA33" s="131">
        <v>0</v>
      </c>
      <c r="CB33" s="131">
        <v>0</v>
      </c>
      <c r="CC33" s="131">
        <v>0</v>
      </c>
    </row>
    <row r="34" spans="1:81" customFormat="1" x14ac:dyDescent="0.15">
      <c r="A34" s="169" t="s">
        <v>223</v>
      </c>
      <c r="B34" s="131">
        <v>0</v>
      </c>
      <c r="C34" s="131">
        <v>0</v>
      </c>
      <c r="D34" s="131">
        <v>0</v>
      </c>
      <c r="E34" s="131">
        <v>0</v>
      </c>
      <c r="F34" s="131">
        <v>0</v>
      </c>
      <c r="G34" s="131">
        <v>9.3474702498765749E-5</v>
      </c>
      <c r="H34" s="131">
        <v>0</v>
      </c>
      <c r="I34" s="131">
        <v>0</v>
      </c>
      <c r="J34" s="131">
        <v>0</v>
      </c>
      <c r="K34" s="131">
        <v>0</v>
      </c>
      <c r="L34" s="131">
        <v>0</v>
      </c>
      <c r="M34" s="131">
        <v>0</v>
      </c>
      <c r="N34" s="131">
        <v>0</v>
      </c>
      <c r="O34" s="131">
        <v>0</v>
      </c>
      <c r="P34" s="131">
        <v>0</v>
      </c>
      <c r="Q34" s="131">
        <v>0</v>
      </c>
      <c r="R34" s="131">
        <v>0</v>
      </c>
      <c r="S34" s="131">
        <v>0</v>
      </c>
      <c r="T34" s="131">
        <v>0</v>
      </c>
      <c r="U34" s="131">
        <v>0</v>
      </c>
      <c r="V34" s="131">
        <v>0</v>
      </c>
      <c r="W34" s="131">
        <v>0</v>
      </c>
      <c r="X34" s="131">
        <v>0</v>
      </c>
      <c r="Y34" s="131">
        <v>0</v>
      </c>
      <c r="Z34" s="131">
        <v>0</v>
      </c>
      <c r="AA34" s="131">
        <v>0</v>
      </c>
      <c r="AB34" s="131">
        <v>0</v>
      </c>
      <c r="AC34" s="131">
        <v>0</v>
      </c>
      <c r="AD34" s="131">
        <v>0</v>
      </c>
      <c r="AE34" s="131">
        <v>0</v>
      </c>
      <c r="AF34" s="131">
        <v>0</v>
      </c>
      <c r="AG34" s="131">
        <v>0</v>
      </c>
      <c r="AH34" s="131">
        <v>0</v>
      </c>
      <c r="AI34" s="131">
        <v>0</v>
      </c>
      <c r="AJ34" s="131">
        <v>0</v>
      </c>
      <c r="AK34" s="131">
        <v>0</v>
      </c>
      <c r="AL34" s="131">
        <v>0</v>
      </c>
      <c r="AM34" s="131">
        <v>0</v>
      </c>
      <c r="AN34" s="131">
        <v>0</v>
      </c>
      <c r="AO34" s="131">
        <v>0</v>
      </c>
      <c r="AP34" s="131">
        <v>0</v>
      </c>
      <c r="AQ34" s="131">
        <v>0</v>
      </c>
      <c r="AR34" s="131">
        <v>0</v>
      </c>
      <c r="AS34" s="131">
        <v>0</v>
      </c>
      <c r="AT34" s="131">
        <v>0</v>
      </c>
      <c r="AU34" s="131">
        <v>0</v>
      </c>
      <c r="AV34" s="131">
        <v>0</v>
      </c>
      <c r="AW34" s="131">
        <v>0</v>
      </c>
      <c r="AX34" s="131">
        <v>0</v>
      </c>
      <c r="AY34" s="131">
        <v>0</v>
      </c>
      <c r="AZ34" s="131">
        <v>0</v>
      </c>
      <c r="BA34" s="131">
        <v>0</v>
      </c>
      <c r="BB34" s="131">
        <v>0</v>
      </c>
      <c r="BC34" s="131">
        <v>0</v>
      </c>
      <c r="BD34" s="131">
        <v>0</v>
      </c>
      <c r="BE34" s="131">
        <v>0</v>
      </c>
      <c r="BF34" s="131">
        <v>0</v>
      </c>
      <c r="BG34" s="131">
        <v>0</v>
      </c>
      <c r="BH34" s="131">
        <v>0</v>
      </c>
      <c r="BI34" s="131">
        <v>0</v>
      </c>
      <c r="BJ34" s="131">
        <v>0</v>
      </c>
      <c r="BK34" s="131">
        <v>0</v>
      </c>
      <c r="BL34" s="131">
        <v>0</v>
      </c>
      <c r="BM34" s="131">
        <v>0</v>
      </c>
      <c r="BN34" s="131">
        <v>0</v>
      </c>
      <c r="BO34" s="131">
        <v>0</v>
      </c>
      <c r="BP34" s="131">
        <v>0</v>
      </c>
      <c r="BQ34" s="131">
        <v>0</v>
      </c>
      <c r="BR34" s="131">
        <v>0</v>
      </c>
      <c r="BS34" s="131">
        <v>0</v>
      </c>
      <c r="BT34" s="131">
        <v>0</v>
      </c>
      <c r="BU34" s="131">
        <v>0</v>
      </c>
      <c r="BV34" s="131">
        <v>0</v>
      </c>
      <c r="BW34" s="131">
        <v>0</v>
      </c>
      <c r="BX34" s="131">
        <v>0</v>
      </c>
      <c r="BY34" s="131">
        <v>0</v>
      </c>
      <c r="BZ34" s="131">
        <v>0</v>
      </c>
      <c r="CA34" s="131">
        <v>0</v>
      </c>
      <c r="CB34" s="131">
        <v>0</v>
      </c>
      <c r="CC34" s="131">
        <v>0</v>
      </c>
    </row>
    <row r="35" spans="1:81" customFormat="1" x14ac:dyDescent="0.15">
      <c r="A35" s="169" t="s">
        <v>224</v>
      </c>
      <c r="B35" s="131">
        <v>8.4999434157533749E-2</v>
      </c>
      <c r="C35" s="131">
        <v>0</v>
      </c>
      <c r="D35" s="131">
        <v>0</v>
      </c>
      <c r="E35" s="131">
        <v>0</v>
      </c>
      <c r="F35" s="131">
        <v>0</v>
      </c>
      <c r="G35" s="131">
        <v>0</v>
      </c>
      <c r="H35" s="131">
        <v>0</v>
      </c>
      <c r="I35" s="131">
        <v>0</v>
      </c>
      <c r="J35" s="131">
        <v>0</v>
      </c>
      <c r="K35" s="131">
        <v>0</v>
      </c>
      <c r="L35" s="131">
        <v>0</v>
      </c>
      <c r="M35" s="131">
        <v>0</v>
      </c>
      <c r="N35" s="131">
        <v>0</v>
      </c>
      <c r="O35" s="131">
        <v>0</v>
      </c>
      <c r="P35" s="131">
        <v>0</v>
      </c>
      <c r="Q35" s="131">
        <v>0</v>
      </c>
      <c r="R35" s="131">
        <v>0</v>
      </c>
      <c r="S35" s="131">
        <v>0</v>
      </c>
      <c r="T35" s="131">
        <v>0</v>
      </c>
      <c r="U35" s="131">
        <v>0</v>
      </c>
      <c r="V35" s="131">
        <v>0</v>
      </c>
      <c r="W35" s="131">
        <v>0</v>
      </c>
      <c r="X35" s="131">
        <v>0</v>
      </c>
      <c r="Y35" s="131">
        <v>0</v>
      </c>
      <c r="Z35" s="131">
        <v>0</v>
      </c>
      <c r="AA35" s="131">
        <v>0</v>
      </c>
      <c r="AB35" s="131">
        <v>0</v>
      </c>
      <c r="AC35" s="131">
        <v>0</v>
      </c>
      <c r="AD35" s="131">
        <v>0</v>
      </c>
      <c r="AE35" s="131">
        <v>0</v>
      </c>
      <c r="AF35" s="131">
        <v>0</v>
      </c>
      <c r="AG35" s="131">
        <v>0</v>
      </c>
      <c r="AH35" s="131">
        <v>0</v>
      </c>
      <c r="AI35" s="131">
        <v>0</v>
      </c>
      <c r="AJ35" s="131">
        <v>0</v>
      </c>
      <c r="AK35" s="131">
        <v>0</v>
      </c>
      <c r="AL35" s="131">
        <v>0</v>
      </c>
      <c r="AM35" s="131">
        <v>0</v>
      </c>
      <c r="AN35" s="131">
        <v>0</v>
      </c>
      <c r="AO35" s="131">
        <v>0</v>
      </c>
      <c r="AP35" s="131">
        <v>0</v>
      </c>
      <c r="AQ35" s="131">
        <v>0</v>
      </c>
      <c r="AR35" s="131">
        <v>0</v>
      </c>
      <c r="AS35" s="131">
        <v>0</v>
      </c>
      <c r="AT35" s="131">
        <v>0</v>
      </c>
      <c r="AU35" s="131">
        <v>0</v>
      </c>
      <c r="AV35" s="131">
        <v>8.0015368548761281E-6</v>
      </c>
      <c r="AW35" s="131">
        <v>0</v>
      </c>
      <c r="AX35" s="131">
        <v>0</v>
      </c>
      <c r="AY35" s="131">
        <v>0</v>
      </c>
      <c r="AZ35" s="131">
        <v>0</v>
      </c>
      <c r="BA35" s="131">
        <v>0</v>
      </c>
      <c r="BB35" s="131">
        <v>0</v>
      </c>
      <c r="BC35" s="131">
        <v>0</v>
      </c>
      <c r="BD35" s="131">
        <v>0</v>
      </c>
      <c r="BE35" s="131">
        <v>0</v>
      </c>
      <c r="BF35" s="131">
        <v>0</v>
      </c>
      <c r="BG35" s="131">
        <v>0</v>
      </c>
      <c r="BH35" s="131">
        <v>0</v>
      </c>
      <c r="BI35" s="131">
        <v>0</v>
      </c>
      <c r="BJ35" s="131">
        <v>0</v>
      </c>
      <c r="BK35" s="131">
        <v>0</v>
      </c>
      <c r="BL35" s="131">
        <v>0</v>
      </c>
      <c r="BM35" s="131">
        <v>0</v>
      </c>
      <c r="BN35" s="131">
        <v>0</v>
      </c>
      <c r="BO35" s="131">
        <v>0</v>
      </c>
      <c r="BP35" s="131">
        <v>0</v>
      </c>
      <c r="BQ35" s="131">
        <v>0</v>
      </c>
      <c r="BR35" s="131">
        <v>0</v>
      </c>
      <c r="BS35" s="131">
        <v>0</v>
      </c>
      <c r="BT35" s="131">
        <v>0</v>
      </c>
      <c r="BU35" s="131">
        <v>0</v>
      </c>
      <c r="BV35" s="131">
        <v>0</v>
      </c>
      <c r="BW35" s="131">
        <v>0</v>
      </c>
      <c r="BX35" s="131">
        <v>0</v>
      </c>
      <c r="BY35" s="131">
        <v>0</v>
      </c>
      <c r="BZ35" s="131">
        <v>0</v>
      </c>
      <c r="CA35" s="131">
        <v>0</v>
      </c>
      <c r="CB35" s="131">
        <v>0</v>
      </c>
      <c r="CC35" s="131">
        <v>0</v>
      </c>
    </row>
    <row r="36" spans="1:81" customFormat="1" x14ac:dyDescent="0.15">
      <c r="A36" s="169" t="s">
        <v>225</v>
      </c>
      <c r="B36" s="131">
        <v>0</v>
      </c>
      <c r="C36" s="131">
        <v>0</v>
      </c>
      <c r="D36" s="131">
        <v>0</v>
      </c>
      <c r="E36" s="131">
        <v>0</v>
      </c>
      <c r="F36" s="131">
        <v>0</v>
      </c>
      <c r="G36" s="131">
        <v>0</v>
      </c>
      <c r="H36" s="131">
        <v>4.1999536883484602E-2</v>
      </c>
      <c r="I36" s="131">
        <v>0</v>
      </c>
      <c r="J36" s="131">
        <v>0</v>
      </c>
      <c r="K36" s="131">
        <v>0</v>
      </c>
      <c r="L36" s="131">
        <v>1.89981E-2</v>
      </c>
      <c r="M36" s="131">
        <v>1.0085778442411193E-2</v>
      </c>
      <c r="N36" s="131">
        <v>8.996744278926062E-3</v>
      </c>
      <c r="O36" s="131">
        <v>0</v>
      </c>
      <c r="P36" s="131">
        <v>7.976319857511022E-4</v>
      </c>
      <c r="Q36" s="131">
        <v>0</v>
      </c>
      <c r="R36" s="131">
        <v>0</v>
      </c>
      <c r="S36" s="131">
        <v>0</v>
      </c>
      <c r="T36" s="131">
        <v>9.9751240442895496E-3</v>
      </c>
      <c r="U36" s="131">
        <v>0</v>
      </c>
      <c r="V36" s="131">
        <v>0</v>
      </c>
      <c r="W36" s="131">
        <v>0</v>
      </c>
      <c r="X36" s="131">
        <v>0</v>
      </c>
      <c r="Y36" s="131">
        <v>1.4007960259236917E-2</v>
      </c>
      <c r="Z36" s="131">
        <v>0</v>
      </c>
      <c r="AA36" s="131">
        <v>0</v>
      </c>
      <c r="AB36" s="131">
        <v>0</v>
      </c>
      <c r="AC36" s="131">
        <v>0</v>
      </c>
      <c r="AD36" s="131">
        <v>0</v>
      </c>
      <c r="AE36" s="131">
        <v>0.2031077990686431</v>
      </c>
      <c r="AF36" s="131">
        <v>0</v>
      </c>
      <c r="AG36" s="131">
        <v>0</v>
      </c>
      <c r="AH36" s="131">
        <v>0</v>
      </c>
      <c r="AI36" s="131">
        <v>0</v>
      </c>
      <c r="AJ36" s="131">
        <v>0</v>
      </c>
      <c r="AK36" s="131">
        <v>0</v>
      </c>
      <c r="AL36" s="131">
        <v>0</v>
      </c>
      <c r="AM36" s="131">
        <v>0</v>
      </c>
      <c r="AN36" s="131">
        <v>0</v>
      </c>
      <c r="AO36" s="131">
        <v>0</v>
      </c>
      <c r="AP36" s="131">
        <v>0</v>
      </c>
      <c r="AQ36" s="131">
        <v>7.502926001688158E-2</v>
      </c>
      <c r="AR36" s="131">
        <v>0</v>
      </c>
      <c r="AS36" s="131">
        <v>0.66525139124281707</v>
      </c>
      <c r="AT36" s="131">
        <v>4.4994737624489668E-2</v>
      </c>
      <c r="AU36" s="131">
        <v>0</v>
      </c>
      <c r="AV36" s="131">
        <v>0</v>
      </c>
      <c r="AW36" s="131">
        <v>0</v>
      </c>
      <c r="AX36" s="131">
        <v>0</v>
      </c>
      <c r="AY36" s="131">
        <v>1.999799978734127E-4</v>
      </c>
      <c r="AZ36" s="131">
        <v>1.0005192781694303E-3</v>
      </c>
      <c r="BA36" s="131">
        <v>0.10804105907592894</v>
      </c>
      <c r="BB36" s="131">
        <v>1.2001201359916029E-4</v>
      </c>
      <c r="BC36" s="131">
        <v>2.9999669172036136E-3</v>
      </c>
      <c r="BD36" s="131">
        <v>0</v>
      </c>
      <c r="BE36" s="131">
        <v>4.7632850128608691E-2</v>
      </c>
      <c r="BF36" s="131">
        <v>0</v>
      </c>
      <c r="BG36" s="131">
        <v>0</v>
      </c>
      <c r="BH36" s="131">
        <v>0</v>
      </c>
      <c r="BI36" s="131">
        <v>0</v>
      </c>
      <c r="BJ36" s="131">
        <v>0</v>
      </c>
      <c r="BK36" s="131">
        <v>0</v>
      </c>
      <c r="BL36" s="131">
        <v>0</v>
      </c>
      <c r="BM36" s="131">
        <v>0</v>
      </c>
      <c r="BN36" s="131">
        <v>0</v>
      </c>
      <c r="BO36" s="131">
        <v>0</v>
      </c>
      <c r="BP36" s="131">
        <v>0</v>
      </c>
      <c r="BQ36" s="131">
        <v>0</v>
      </c>
      <c r="BR36" s="131">
        <v>0</v>
      </c>
      <c r="BS36" s="131">
        <v>0</v>
      </c>
      <c r="BT36" s="131">
        <v>0</v>
      </c>
      <c r="BU36" s="131">
        <v>0</v>
      </c>
      <c r="BV36" s="131">
        <v>0</v>
      </c>
      <c r="BW36" s="131">
        <v>0</v>
      </c>
      <c r="BX36" s="131">
        <v>0</v>
      </c>
      <c r="BY36" s="131">
        <v>0</v>
      </c>
      <c r="BZ36" s="131">
        <v>0</v>
      </c>
      <c r="CA36" s="131">
        <v>0</v>
      </c>
      <c r="CB36" s="131">
        <v>0</v>
      </c>
      <c r="CC36" s="131">
        <v>0</v>
      </c>
    </row>
    <row r="37" spans="1:81" customFormat="1" x14ac:dyDescent="0.15">
      <c r="A37" s="169" t="s">
        <v>226</v>
      </c>
      <c r="B37" s="131">
        <v>0</v>
      </c>
      <c r="C37" s="131">
        <v>0</v>
      </c>
      <c r="D37" s="131">
        <v>0</v>
      </c>
      <c r="E37" s="131">
        <v>0</v>
      </c>
      <c r="F37" s="131">
        <v>0</v>
      </c>
      <c r="G37" s="131">
        <v>0</v>
      </c>
      <c r="H37" s="131">
        <v>0</v>
      </c>
      <c r="I37" s="131">
        <v>0</v>
      </c>
      <c r="J37" s="131">
        <v>0</v>
      </c>
      <c r="K37" s="131">
        <v>4.399718374722577E-2</v>
      </c>
      <c r="L37" s="131">
        <v>0</v>
      </c>
      <c r="M37" s="131">
        <v>0</v>
      </c>
      <c r="N37" s="131">
        <v>0</v>
      </c>
      <c r="O37" s="131">
        <v>0</v>
      </c>
      <c r="P37" s="131">
        <v>1.9990775842884776E-3</v>
      </c>
      <c r="Q37" s="131">
        <v>9.0249636865939495E-2</v>
      </c>
      <c r="R37" s="131">
        <v>0</v>
      </c>
      <c r="S37" s="131">
        <v>0</v>
      </c>
      <c r="T37" s="131">
        <v>9.08555874033988E-4</v>
      </c>
      <c r="U37" s="131">
        <v>0</v>
      </c>
      <c r="V37" s="131">
        <v>0</v>
      </c>
      <c r="W37" s="131">
        <v>0</v>
      </c>
      <c r="X37" s="131">
        <v>0</v>
      </c>
      <c r="Y37" s="131">
        <v>7.2140997435070163E-5</v>
      </c>
      <c r="Z37" s="131">
        <v>0</v>
      </c>
      <c r="AA37" s="131">
        <v>0</v>
      </c>
      <c r="AB37" s="131">
        <v>0</v>
      </c>
      <c r="AC37" s="131">
        <v>0</v>
      </c>
      <c r="AD37" s="131">
        <v>0</v>
      </c>
      <c r="AE37" s="131">
        <v>0</v>
      </c>
      <c r="AF37" s="131">
        <v>1.0004285555748206E-3</v>
      </c>
      <c r="AG37" s="131">
        <v>0</v>
      </c>
      <c r="AH37" s="131">
        <v>0</v>
      </c>
      <c r="AI37" s="131">
        <v>0</v>
      </c>
      <c r="AJ37" s="131">
        <v>0</v>
      </c>
      <c r="AK37" s="131">
        <v>0</v>
      </c>
      <c r="AL37" s="131">
        <v>0</v>
      </c>
      <c r="AM37" s="131">
        <v>0</v>
      </c>
      <c r="AN37" s="131">
        <v>0</v>
      </c>
      <c r="AO37" s="131">
        <v>0</v>
      </c>
      <c r="AP37" s="131">
        <v>0</v>
      </c>
      <c r="AQ37" s="131">
        <v>0</v>
      </c>
      <c r="AR37" s="131">
        <v>0</v>
      </c>
      <c r="AS37" s="131">
        <v>0</v>
      </c>
      <c r="AT37" s="131">
        <v>0</v>
      </c>
      <c r="AU37" s="131">
        <v>0</v>
      </c>
      <c r="AV37" s="131">
        <v>0</v>
      </c>
      <c r="AW37" s="131">
        <v>0</v>
      </c>
      <c r="AX37" s="131">
        <v>0</v>
      </c>
      <c r="AY37" s="131">
        <v>0</v>
      </c>
      <c r="AZ37" s="131">
        <v>2.0010385563388605E-3</v>
      </c>
      <c r="BA37" s="131">
        <v>0</v>
      </c>
      <c r="BB37" s="131">
        <v>2.3002299189838954E-2</v>
      </c>
      <c r="BC37" s="131">
        <v>0</v>
      </c>
      <c r="BD37" s="131">
        <v>0</v>
      </c>
      <c r="BE37" s="131">
        <v>0</v>
      </c>
      <c r="BF37" s="131">
        <v>0</v>
      </c>
      <c r="BG37" s="131">
        <v>0</v>
      </c>
      <c r="BH37" s="131">
        <v>0</v>
      </c>
      <c r="BI37" s="131">
        <v>0</v>
      </c>
      <c r="BJ37" s="131">
        <v>0</v>
      </c>
      <c r="BK37" s="131">
        <v>0</v>
      </c>
      <c r="BL37" s="131">
        <v>0</v>
      </c>
      <c r="BM37" s="131">
        <v>0</v>
      </c>
      <c r="BN37" s="131">
        <v>0</v>
      </c>
      <c r="BO37" s="131">
        <v>0</v>
      </c>
      <c r="BP37" s="131">
        <v>0</v>
      </c>
      <c r="BQ37" s="131">
        <v>0</v>
      </c>
      <c r="BR37" s="131">
        <v>0</v>
      </c>
      <c r="BS37" s="131">
        <v>0</v>
      </c>
      <c r="BT37" s="131">
        <v>0</v>
      </c>
      <c r="BU37" s="131">
        <v>0</v>
      </c>
      <c r="BV37" s="131">
        <v>0</v>
      </c>
      <c r="BW37" s="131">
        <v>0</v>
      </c>
      <c r="BX37" s="131">
        <v>0</v>
      </c>
      <c r="BY37" s="131">
        <v>0</v>
      </c>
      <c r="BZ37" s="131">
        <v>0</v>
      </c>
      <c r="CA37" s="131">
        <v>0</v>
      </c>
      <c r="CB37" s="131">
        <v>0</v>
      </c>
      <c r="CC37" s="131">
        <v>0</v>
      </c>
    </row>
    <row r="38" spans="1:81" customFormat="1" x14ac:dyDescent="0.15">
      <c r="A38" s="169" t="s">
        <v>227</v>
      </c>
      <c r="B38" s="131">
        <v>0</v>
      </c>
      <c r="C38" s="131">
        <v>0</v>
      </c>
      <c r="D38" s="131">
        <v>0</v>
      </c>
      <c r="E38" s="131">
        <v>0</v>
      </c>
      <c r="F38" s="131">
        <v>0</v>
      </c>
      <c r="G38" s="131">
        <v>0</v>
      </c>
      <c r="H38" s="131">
        <v>0</v>
      </c>
      <c r="I38" s="131">
        <v>0</v>
      </c>
      <c r="J38" s="131">
        <v>0</v>
      </c>
      <c r="K38" s="131">
        <v>0</v>
      </c>
      <c r="L38" s="131">
        <v>9.9989999999999996E-4</v>
      </c>
      <c r="M38" s="131">
        <v>1.00857789424112E-3</v>
      </c>
      <c r="N38" s="131">
        <v>0</v>
      </c>
      <c r="O38" s="131">
        <v>0</v>
      </c>
      <c r="P38" s="131">
        <v>8.9758588396552565E-3</v>
      </c>
      <c r="Q38" s="131">
        <v>0</v>
      </c>
      <c r="R38" s="131">
        <v>7.1247798561998574E-2</v>
      </c>
      <c r="S38" s="131">
        <v>0</v>
      </c>
      <c r="T38" s="131">
        <v>1.1994137453253969E-2</v>
      </c>
      <c r="U38" s="131">
        <v>0</v>
      </c>
      <c r="V38" s="131">
        <v>0</v>
      </c>
      <c r="W38" s="131">
        <v>0</v>
      </c>
      <c r="X38" s="131">
        <v>0</v>
      </c>
      <c r="Y38" s="131">
        <v>0</v>
      </c>
      <c r="Z38" s="131">
        <v>2.400912253223423E-4</v>
      </c>
      <c r="AA38" s="131">
        <v>5.2033195455071968E-4</v>
      </c>
      <c r="AB38" s="131">
        <v>0</v>
      </c>
      <c r="AC38" s="131">
        <v>9.0041501363809645E-3</v>
      </c>
      <c r="AD38" s="131">
        <v>5.6015122627099353E-4</v>
      </c>
      <c r="AE38" s="131">
        <v>8.024259433204518E-3</v>
      </c>
      <c r="AF38" s="131">
        <v>0</v>
      </c>
      <c r="AG38" s="131">
        <v>0</v>
      </c>
      <c r="AH38" s="131">
        <v>1E-3</v>
      </c>
      <c r="AI38" s="131">
        <v>0</v>
      </c>
      <c r="AJ38" s="131">
        <v>0</v>
      </c>
      <c r="AK38" s="131">
        <v>0</v>
      </c>
      <c r="AL38" s="131">
        <v>0</v>
      </c>
      <c r="AM38" s="131">
        <v>0</v>
      </c>
      <c r="AN38" s="131">
        <v>0</v>
      </c>
      <c r="AO38" s="131">
        <v>1.8994890063765846E-5</v>
      </c>
      <c r="AP38" s="131">
        <v>1.0004602317562076E-3</v>
      </c>
      <c r="AQ38" s="131">
        <v>9.9038620022283701E-4</v>
      </c>
      <c r="AR38" s="131">
        <v>0</v>
      </c>
      <c r="AS38" s="131">
        <v>9.0034018814817392E-4</v>
      </c>
      <c r="AT38" s="131">
        <v>0</v>
      </c>
      <c r="AU38" s="131">
        <v>0</v>
      </c>
      <c r="AV38" s="131">
        <v>8.0015358548761451E-4</v>
      </c>
      <c r="AW38" s="131">
        <v>0</v>
      </c>
      <c r="AX38" s="131">
        <v>9.9960028350659516E-4</v>
      </c>
      <c r="AY38" s="131">
        <v>8.9991004443035661E-4</v>
      </c>
      <c r="AZ38" s="131">
        <v>1.3006750736202595E-2</v>
      </c>
      <c r="BA38" s="131">
        <v>8.8433612517704926E-3</v>
      </c>
      <c r="BB38" s="131">
        <v>1.0001000299929999E-3</v>
      </c>
      <c r="BC38" s="131">
        <v>0</v>
      </c>
      <c r="BD38" s="131">
        <v>0</v>
      </c>
      <c r="BE38" s="131">
        <v>0</v>
      </c>
      <c r="BF38" s="131">
        <v>0</v>
      </c>
      <c r="BG38" s="131">
        <v>0</v>
      </c>
      <c r="BH38" s="131">
        <v>0</v>
      </c>
      <c r="BI38" s="131">
        <v>9.9979019390127977E-4</v>
      </c>
      <c r="BJ38" s="131">
        <v>0</v>
      </c>
      <c r="BK38" s="131">
        <v>0</v>
      </c>
      <c r="BL38" s="131">
        <v>0</v>
      </c>
      <c r="BM38" s="131">
        <v>0</v>
      </c>
      <c r="BN38" s="131">
        <v>0</v>
      </c>
      <c r="BO38" s="131">
        <v>0</v>
      </c>
      <c r="BP38" s="131">
        <v>0</v>
      </c>
      <c r="BQ38" s="131">
        <v>0</v>
      </c>
      <c r="BR38" s="131">
        <v>0</v>
      </c>
      <c r="BS38" s="131">
        <v>0</v>
      </c>
      <c r="BT38" s="131">
        <v>0</v>
      </c>
      <c r="BU38" s="131">
        <v>0</v>
      </c>
      <c r="BV38" s="131">
        <v>0</v>
      </c>
      <c r="BW38" s="131">
        <v>0</v>
      </c>
      <c r="BX38" s="131">
        <v>0</v>
      </c>
      <c r="BY38" s="131">
        <v>0</v>
      </c>
      <c r="BZ38" s="131">
        <v>0</v>
      </c>
      <c r="CA38" s="131">
        <v>0</v>
      </c>
      <c r="CB38" s="131">
        <v>0</v>
      </c>
      <c r="CC38" s="131">
        <v>0</v>
      </c>
    </row>
    <row r="39" spans="1:81" x14ac:dyDescent="0.15">
      <c r="A39" s="169" t="s">
        <v>228</v>
      </c>
      <c r="B39" s="131">
        <v>0</v>
      </c>
      <c r="C39" s="131">
        <v>0</v>
      </c>
      <c r="D39" s="131">
        <v>0</v>
      </c>
      <c r="E39" s="131">
        <v>0</v>
      </c>
      <c r="F39" s="131">
        <v>0</v>
      </c>
      <c r="G39" s="131">
        <v>0</v>
      </c>
      <c r="H39" s="131">
        <v>0</v>
      </c>
      <c r="I39" s="131">
        <v>0</v>
      </c>
      <c r="J39" s="131">
        <v>0</v>
      </c>
      <c r="K39" s="131">
        <v>0</v>
      </c>
      <c r="L39" s="131">
        <v>0</v>
      </c>
      <c r="M39" s="131">
        <v>0</v>
      </c>
      <c r="N39" s="131">
        <v>0</v>
      </c>
      <c r="O39" s="131">
        <v>0</v>
      </c>
      <c r="P39" s="131">
        <v>0</v>
      </c>
      <c r="Q39" s="131">
        <v>0</v>
      </c>
      <c r="R39" s="131">
        <v>1.6010742976853574E-4</v>
      </c>
      <c r="S39" s="131">
        <v>0</v>
      </c>
      <c r="T39" s="131">
        <v>0</v>
      </c>
      <c r="U39" s="131">
        <v>0</v>
      </c>
      <c r="V39" s="131">
        <v>0</v>
      </c>
      <c r="W39" s="131">
        <v>0</v>
      </c>
      <c r="X39" s="131">
        <v>0</v>
      </c>
      <c r="Y39" s="131">
        <v>0</v>
      </c>
      <c r="Z39" s="131">
        <v>0</v>
      </c>
      <c r="AA39" s="131">
        <v>0</v>
      </c>
      <c r="AB39" s="131">
        <v>0</v>
      </c>
      <c r="AC39" s="131">
        <v>9.1041957678963015E-4</v>
      </c>
      <c r="AD39" s="131">
        <v>0</v>
      </c>
      <c r="AE39" s="131">
        <v>0</v>
      </c>
      <c r="AF39" s="131">
        <v>0</v>
      </c>
      <c r="AG39" s="131">
        <v>0</v>
      </c>
      <c r="AH39" s="131">
        <v>2E-3</v>
      </c>
      <c r="AI39" s="131">
        <v>0</v>
      </c>
      <c r="AJ39" s="131">
        <v>0</v>
      </c>
      <c r="AK39" s="131">
        <v>0</v>
      </c>
      <c r="AL39" s="131">
        <v>0</v>
      </c>
      <c r="AM39" s="131">
        <v>0</v>
      </c>
      <c r="AN39" s="131">
        <v>0</v>
      </c>
      <c r="AO39" s="131">
        <v>0</v>
      </c>
      <c r="AP39" s="131">
        <v>0</v>
      </c>
      <c r="AQ39" s="131">
        <v>0</v>
      </c>
      <c r="AR39" s="131">
        <v>0</v>
      </c>
      <c r="AS39" s="131">
        <v>4.0015119473252179E-4</v>
      </c>
      <c r="AT39" s="131">
        <v>0</v>
      </c>
      <c r="AU39" s="131">
        <v>0</v>
      </c>
      <c r="AV39" s="131">
        <v>0</v>
      </c>
      <c r="AW39" s="131">
        <v>0</v>
      </c>
      <c r="AX39" s="131">
        <v>0</v>
      </c>
      <c r="AY39" s="131">
        <v>0</v>
      </c>
      <c r="AZ39" s="131">
        <v>6.7134841219168725E-4</v>
      </c>
      <c r="BA39" s="131">
        <v>0</v>
      </c>
      <c r="BB39" s="131">
        <v>0</v>
      </c>
      <c r="BC39" s="131">
        <v>0</v>
      </c>
      <c r="BD39" s="131">
        <v>0</v>
      </c>
      <c r="BE39" s="131">
        <v>0</v>
      </c>
      <c r="BF39" s="131">
        <v>0</v>
      </c>
      <c r="BG39" s="131">
        <v>0</v>
      </c>
      <c r="BH39" s="131">
        <v>0</v>
      </c>
      <c r="BI39" s="131">
        <v>0</v>
      </c>
      <c r="BJ39" s="131">
        <v>0</v>
      </c>
      <c r="BK39" s="131">
        <v>0</v>
      </c>
      <c r="BL39" s="131">
        <v>0</v>
      </c>
      <c r="BM39" s="131">
        <v>0</v>
      </c>
      <c r="BN39" s="131">
        <v>0</v>
      </c>
      <c r="BO39" s="131">
        <v>0</v>
      </c>
      <c r="BP39" s="131">
        <v>0</v>
      </c>
      <c r="BQ39" s="131">
        <v>0</v>
      </c>
      <c r="BR39" s="131">
        <v>0</v>
      </c>
      <c r="BS39" s="131">
        <v>0</v>
      </c>
      <c r="BT39" s="131">
        <v>0</v>
      </c>
      <c r="BU39" s="131">
        <v>0</v>
      </c>
      <c r="BV39" s="131">
        <v>0</v>
      </c>
      <c r="BW39" s="131">
        <v>0</v>
      </c>
      <c r="BX39" s="131">
        <v>0</v>
      </c>
      <c r="BY39" s="131">
        <v>0</v>
      </c>
      <c r="BZ39" s="131">
        <v>0</v>
      </c>
      <c r="CA39" s="131">
        <v>0</v>
      </c>
      <c r="CB39" s="131">
        <v>0</v>
      </c>
      <c r="CC39" s="131">
        <v>0</v>
      </c>
    </row>
    <row r="40" spans="1:81" x14ac:dyDescent="0.15">
      <c r="A40" s="169" t="s">
        <v>229</v>
      </c>
      <c r="B40" s="131">
        <v>0</v>
      </c>
      <c r="C40" s="131">
        <v>0</v>
      </c>
      <c r="D40" s="131">
        <v>0</v>
      </c>
      <c r="E40" s="131">
        <v>0</v>
      </c>
      <c r="F40" s="131">
        <v>0</v>
      </c>
      <c r="G40" s="131">
        <v>0</v>
      </c>
      <c r="H40" s="131">
        <v>7.0999218957795374E-2</v>
      </c>
      <c r="I40" s="131">
        <v>0</v>
      </c>
      <c r="J40" s="131">
        <v>0</v>
      </c>
      <c r="K40" s="131">
        <v>0</v>
      </c>
      <c r="L40" s="131">
        <v>0</v>
      </c>
      <c r="M40" s="131">
        <v>0</v>
      </c>
      <c r="N40" s="131">
        <v>0</v>
      </c>
      <c r="O40" s="131">
        <v>0</v>
      </c>
      <c r="P40" s="131">
        <v>1.9990775842884776E-3</v>
      </c>
      <c r="Q40" s="131">
        <v>0</v>
      </c>
      <c r="R40" s="131">
        <v>5.3135654727557775E-2</v>
      </c>
      <c r="S40" s="131">
        <v>0</v>
      </c>
      <c r="T40" s="131">
        <v>0</v>
      </c>
      <c r="U40" s="131">
        <v>0</v>
      </c>
      <c r="V40" s="131">
        <v>0</v>
      </c>
      <c r="W40" s="131">
        <v>0</v>
      </c>
      <c r="X40" s="131">
        <v>0</v>
      </c>
      <c r="Y40" s="131">
        <v>0</v>
      </c>
      <c r="Z40" s="131">
        <v>0</v>
      </c>
      <c r="AA40" s="131">
        <v>0</v>
      </c>
      <c r="AB40" s="131">
        <v>0</v>
      </c>
      <c r="AC40" s="131">
        <v>0</v>
      </c>
      <c r="AD40" s="131">
        <v>0</v>
      </c>
      <c r="AE40" s="131">
        <v>0</v>
      </c>
      <c r="AF40" s="131">
        <v>0</v>
      </c>
      <c r="AG40" s="131">
        <v>0</v>
      </c>
      <c r="AH40" s="131">
        <v>0</v>
      </c>
      <c r="AI40" s="131">
        <v>0</v>
      </c>
      <c r="AJ40" s="131">
        <v>0</v>
      </c>
      <c r="AK40" s="131">
        <v>0</v>
      </c>
      <c r="AL40" s="131">
        <v>0</v>
      </c>
      <c r="AM40" s="131">
        <v>0</v>
      </c>
      <c r="AN40" s="131">
        <v>0</v>
      </c>
      <c r="AO40" s="131">
        <v>0</v>
      </c>
      <c r="AP40" s="131">
        <v>0</v>
      </c>
      <c r="AQ40" s="131">
        <v>0</v>
      </c>
      <c r="AR40" s="131">
        <v>0</v>
      </c>
      <c r="AS40" s="131">
        <v>0</v>
      </c>
      <c r="AT40" s="131">
        <v>8.9989469248979385E-4</v>
      </c>
      <c r="AU40" s="131">
        <v>0</v>
      </c>
      <c r="AV40" s="131">
        <v>0</v>
      </c>
      <c r="AW40" s="131">
        <v>0</v>
      </c>
      <c r="AX40" s="131">
        <v>0</v>
      </c>
      <c r="AY40" s="131">
        <v>0</v>
      </c>
      <c r="AZ40" s="131">
        <v>3.4017656617760648E-2</v>
      </c>
      <c r="BA40" s="131">
        <v>1.6706350475629794E-2</v>
      </c>
      <c r="BB40" s="131">
        <v>0</v>
      </c>
      <c r="BC40" s="131">
        <v>3.999956309604806E-3</v>
      </c>
      <c r="BD40" s="131">
        <v>0</v>
      </c>
      <c r="BE40" s="131">
        <v>0</v>
      </c>
      <c r="BF40" s="131">
        <v>0</v>
      </c>
      <c r="BG40" s="131">
        <v>0</v>
      </c>
      <c r="BH40" s="131">
        <v>0</v>
      </c>
      <c r="BI40" s="131">
        <v>0</v>
      </c>
      <c r="BJ40" s="131">
        <v>0</v>
      </c>
      <c r="BK40" s="131">
        <v>0</v>
      </c>
      <c r="BL40" s="131">
        <v>0</v>
      </c>
      <c r="BM40" s="131">
        <v>0</v>
      </c>
      <c r="BN40" s="131">
        <v>0</v>
      </c>
      <c r="BO40" s="131">
        <v>0</v>
      </c>
      <c r="BP40" s="131">
        <v>0</v>
      </c>
      <c r="BQ40" s="131">
        <v>0</v>
      </c>
      <c r="BR40" s="131">
        <v>0</v>
      </c>
      <c r="BS40" s="131">
        <v>0</v>
      </c>
      <c r="BT40" s="131">
        <v>0</v>
      </c>
      <c r="BU40" s="131">
        <v>0</v>
      </c>
      <c r="BV40" s="131">
        <v>0</v>
      </c>
      <c r="BW40" s="131">
        <v>0</v>
      </c>
      <c r="BX40" s="131">
        <v>0</v>
      </c>
      <c r="BY40" s="131">
        <v>0</v>
      </c>
      <c r="BZ40" s="131">
        <v>0</v>
      </c>
      <c r="CA40" s="131">
        <v>0</v>
      </c>
      <c r="CB40" s="131">
        <v>0</v>
      </c>
      <c r="CC40" s="131">
        <v>0</v>
      </c>
    </row>
    <row r="41" spans="1:81" x14ac:dyDescent="0.15">
      <c r="A41" s="169" t="s">
        <v>230</v>
      </c>
      <c r="B41" s="131">
        <v>0</v>
      </c>
      <c r="C41" s="131">
        <v>0</v>
      </c>
      <c r="D41" s="131">
        <v>1.1005503614595338E-2</v>
      </c>
      <c r="E41" s="131">
        <v>0</v>
      </c>
      <c r="F41" s="131">
        <v>0</v>
      </c>
      <c r="G41" s="131">
        <v>0</v>
      </c>
      <c r="H41" s="131">
        <v>1.9999779706421236E-2</v>
      </c>
      <c r="I41" s="131">
        <v>0</v>
      </c>
      <c r="J41" s="131">
        <v>0</v>
      </c>
      <c r="K41" s="131">
        <v>0</v>
      </c>
      <c r="L41" s="131">
        <v>1.9997999999999998E-2</v>
      </c>
      <c r="M41" s="131">
        <v>1.0085778442411193E-2</v>
      </c>
      <c r="N41" s="131">
        <v>0</v>
      </c>
      <c r="O41" s="131">
        <v>0</v>
      </c>
      <c r="P41" s="131">
        <v>9.4756268307274011E-6</v>
      </c>
      <c r="Q41" s="131">
        <v>0</v>
      </c>
      <c r="R41" s="131">
        <v>0</v>
      </c>
      <c r="S41" s="131">
        <v>0.17009590366303229</v>
      </c>
      <c r="T41" s="131">
        <v>1.8990717884318786E-2</v>
      </c>
      <c r="U41" s="131">
        <v>0</v>
      </c>
      <c r="V41" s="131">
        <v>0</v>
      </c>
      <c r="W41" s="131">
        <v>0</v>
      </c>
      <c r="X41" s="131">
        <v>0</v>
      </c>
      <c r="Y41" s="131">
        <v>0</v>
      </c>
      <c r="Z41" s="131">
        <v>0</v>
      </c>
      <c r="AA41" s="131">
        <v>0</v>
      </c>
      <c r="AB41" s="131">
        <v>0</v>
      </c>
      <c r="AC41" s="131">
        <v>0</v>
      </c>
      <c r="AD41" s="131">
        <v>0</v>
      </c>
      <c r="AE41" s="131">
        <v>0</v>
      </c>
      <c r="AF41" s="131">
        <v>0</v>
      </c>
      <c r="AG41" s="131">
        <v>0</v>
      </c>
      <c r="AH41" s="131">
        <v>0</v>
      </c>
      <c r="AI41" s="131">
        <v>0</v>
      </c>
      <c r="AJ41" s="131">
        <v>0</v>
      </c>
      <c r="AK41" s="131">
        <v>0</v>
      </c>
      <c r="AL41" s="131">
        <v>0</v>
      </c>
      <c r="AM41" s="131">
        <v>0</v>
      </c>
      <c r="AN41" s="131">
        <v>0</v>
      </c>
      <c r="AO41" s="131">
        <v>0</v>
      </c>
      <c r="AP41" s="131">
        <v>0</v>
      </c>
      <c r="AQ41" s="131">
        <v>0</v>
      </c>
      <c r="AR41" s="131">
        <v>0</v>
      </c>
      <c r="AS41" s="131">
        <v>1.1004158155144345E-4</v>
      </c>
      <c r="AT41" s="131">
        <v>1.9997663133106505E-3</v>
      </c>
      <c r="AU41" s="131">
        <v>0</v>
      </c>
      <c r="AV41" s="131">
        <v>0</v>
      </c>
      <c r="AW41" s="131">
        <v>0</v>
      </c>
      <c r="AX41" s="131">
        <v>0</v>
      </c>
      <c r="AY41" s="131">
        <v>0</v>
      </c>
      <c r="AZ41" s="131">
        <v>0</v>
      </c>
      <c r="BA41" s="131">
        <v>0</v>
      </c>
      <c r="BB41" s="131">
        <v>0</v>
      </c>
      <c r="BC41" s="131">
        <v>0</v>
      </c>
      <c r="BD41" s="131">
        <v>0</v>
      </c>
      <c r="BE41" s="131">
        <v>0</v>
      </c>
      <c r="BF41" s="131">
        <v>0</v>
      </c>
      <c r="BG41" s="131">
        <v>0</v>
      </c>
      <c r="BH41" s="131">
        <v>0</v>
      </c>
      <c r="BI41" s="131">
        <v>0</v>
      </c>
      <c r="BJ41" s="131">
        <v>0</v>
      </c>
      <c r="BK41" s="131">
        <v>0</v>
      </c>
      <c r="BL41" s="131">
        <v>0</v>
      </c>
      <c r="BM41" s="131">
        <v>0</v>
      </c>
      <c r="BN41" s="131">
        <v>0</v>
      </c>
      <c r="BO41" s="131">
        <v>0</v>
      </c>
      <c r="BP41" s="131">
        <v>0</v>
      </c>
      <c r="BQ41" s="131">
        <v>0</v>
      </c>
      <c r="BR41" s="131">
        <v>0</v>
      </c>
      <c r="BS41" s="131">
        <v>0</v>
      </c>
      <c r="BT41" s="131">
        <v>0</v>
      </c>
      <c r="BU41" s="131">
        <v>0</v>
      </c>
      <c r="BV41" s="131">
        <v>0</v>
      </c>
      <c r="BW41" s="131">
        <v>0</v>
      </c>
      <c r="BX41" s="131">
        <v>0</v>
      </c>
      <c r="BY41" s="131">
        <v>0</v>
      </c>
      <c r="BZ41" s="131">
        <v>0</v>
      </c>
      <c r="CA41" s="131">
        <v>0</v>
      </c>
      <c r="CB41" s="131">
        <v>0</v>
      </c>
      <c r="CC41" s="131">
        <v>0</v>
      </c>
    </row>
    <row r="42" spans="1:81" x14ac:dyDescent="0.15">
      <c r="A42" s="169" t="s">
        <v>231</v>
      </c>
      <c r="B42" s="131">
        <v>0</v>
      </c>
      <c r="C42" s="131">
        <v>0</v>
      </c>
      <c r="D42" s="131">
        <v>0</v>
      </c>
      <c r="E42" s="131">
        <v>0</v>
      </c>
      <c r="F42" s="131">
        <v>0</v>
      </c>
      <c r="G42" s="131">
        <v>0</v>
      </c>
      <c r="H42" s="131">
        <v>4.9999449266053091E-3</v>
      </c>
      <c r="I42" s="131">
        <v>0</v>
      </c>
      <c r="J42" s="131">
        <v>1.0998086180088065E-2</v>
      </c>
      <c r="K42" s="131">
        <v>0</v>
      </c>
      <c r="L42" s="131">
        <v>0.17198281000000001</v>
      </c>
      <c r="M42" s="131">
        <v>0.1418000630022169</v>
      </c>
      <c r="N42" s="131">
        <v>0</v>
      </c>
      <c r="O42" s="131">
        <v>0</v>
      </c>
      <c r="P42" s="131">
        <v>0</v>
      </c>
      <c r="Q42" s="131">
        <v>5.2028615902758917E-2</v>
      </c>
      <c r="R42" s="131">
        <v>0</v>
      </c>
      <c r="S42" s="131">
        <v>0</v>
      </c>
      <c r="T42" s="131">
        <v>7.8861450350144829E-2</v>
      </c>
      <c r="U42" s="131">
        <v>0.40627423838436605</v>
      </c>
      <c r="V42" s="131">
        <v>1.0003302267088171E-3</v>
      </c>
      <c r="W42" s="131">
        <v>9.9999898800118216E-4</v>
      </c>
      <c r="X42" s="131">
        <v>0</v>
      </c>
      <c r="Y42" s="131">
        <v>7.2140998335070176E-6</v>
      </c>
      <c r="Z42" s="131">
        <v>0</v>
      </c>
      <c r="AA42" s="131">
        <v>5.203319945507192E-2</v>
      </c>
      <c r="AB42" s="131">
        <v>0</v>
      </c>
      <c r="AC42" s="131">
        <v>9.0041501363809645E-3</v>
      </c>
      <c r="AD42" s="131">
        <v>0</v>
      </c>
      <c r="AE42" s="131">
        <v>2.2011684199064765E-2</v>
      </c>
      <c r="AF42" s="131">
        <v>1.0004285555748206E-3</v>
      </c>
      <c r="AG42" s="131">
        <v>0</v>
      </c>
      <c r="AH42" s="131">
        <v>0.14399999999999999</v>
      </c>
      <c r="AI42" s="131">
        <v>0</v>
      </c>
      <c r="AJ42" s="131">
        <v>0</v>
      </c>
      <c r="AK42" s="131">
        <v>0</v>
      </c>
      <c r="AL42" s="131">
        <v>0</v>
      </c>
      <c r="AM42" s="131">
        <v>0</v>
      </c>
      <c r="AN42" s="131">
        <v>0</v>
      </c>
      <c r="AO42" s="131">
        <v>0</v>
      </c>
      <c r="AP42" s="131">
        <v>0</v>
      </c>
      <c r="AQ42" s="131">
        <v>0</v>
      </c>
      <c r="AR42" s="131">
        <v>0</v>
      </c>
      <c r="AS42" s="131">
        <v>1.1004158155144345E-4</v>
      </c>
      <c r="AT42" s="131">
        <v>9.9988299165532663E-3</v>
      </c>
      <c r="AU42" s="131">
        <v>0</v>
      </c>
      <c r="AV42" s="131">
        <v>0</v>
      </c>
      <c r="AW42" s="131">
        <v>0</v>
      </c>
      <c r="AX42" s="131">
        <v>1.0995602018572566E-2</v>
      </c>
      <c r="AY42" s="131">
        <v>7.8992105159997966E-2</v>
      </c>
      <c r="AZ42" s="131">
        <v>5.3127572864796725E-2</v>
      </c>
      <c r="BA42" s="131">
        <v>9.6336602742703073E-2</v>
      </c>
      <c r="BB42" s="131">
        <v>0</v>
      </c>
      <c r="BC42" s="131">
        <v>0.72099208010126759</v>
      </c>
      <c r="BD42" s="131">
        <v>0</v>
      </c>
      <c r="BE42" s="131">
        <v>0</v>
      </c>
      <c r="BF42" s="131">
        <v>0</v>
      </c>
      <c r="BG42" s="131">
        <v>0</v>
      </c>
      <c r="BH42" s="131">
        <v>0</v>
      </c>
      <c r="BI42" s="131">
        <v>0</v>
      </c>
      <c r="BJ42" s="131">
        <v>0</v>
      </c>
      <c r="BK42" s="131">
        <v>0</v>
      </c>
      <c r="BL42" s="131">
        <v>0</v>
      </c>
      <c r="BM42" s="131">
        <v>0</v>
      </c>
      <c r="BN42" s="131">
        <v>0</v>
      </c>
      <c r="BO42" s="131">
        <v>0</v>
      </c>
      <c r="BP42" s="131">
        <v>0</v>
      </c>
      <c r="BQ42" s="131">
        <v>0</v>
      </c>
      <c r="BR42" s="131">
        <v>0</v>
      </c>
      <c r="BS42" s="131">
        <v>0</v>
      </c>
      <c r="BT42" s="131">
        <v>0</v>
      </c>
      <c r="BU42" s="131">
        <v>0</v>
      </c>
      <c r="BV42" s="131">
        <v>0</v>
      </c>
      <c r="BW42" s="131">
        <v>0</v>
      </c>
      <c r="BX42" s="131">
        <v>0</v>
      </c>
      <c r="BY42" s="131">
        <v>0</v>
      </c>
      <c r="BZ42" s="131">
        <v>0</v>
      </c>
      <c r="CA42" s="131">
        <v>0</v>
      </c>
      <c r="CB42" s="131">
        <v>0</v>
      </c>
      <c r="CC42" s="131">
        <v>0</v>
      </c>
    </row>
    <row r="43" spans="1:81" x14ac:dyDescent="0.15">
      <c r="A43" s="169" t="s">
        <v>232</v>
      </c>
      <c r="B43" s="131">
        <v>0</v>
      </c>
      <c r="C43" s="131">
        <v>0</v>
      </c>
      <c r="D43" s="131">
        <v>0</v>
      </c>
      <c r="E43" s="131">
        <v>0</v>
      </c>
      <c r="F43" s="131">
        <v>0</v>
      </c>
      <c r="G43" s="131">
        <v>0</v>
      </c>
      <c r="H43" s="131">
        <v>0.1069988224293536</v>
      </c>
      <c r="I43" s="131">
        <v>0</v>
      </c>
      <c r="J43" s="131">
        <v>0</v>
      </c>
      <c r="K43" s="131">
        <v>7.9994880631319588E-3</v>
      </c>
      <c r="L43" s="131">
        <v>0.10898910000000001</v>
      </c>
      <c r="M43" s="131">
        <v>0.15078738512911788</v>
      </c>
      <c r="N43" s="131">
        <v>0</v>
      </c>
      <c r="O43" s="131">
        <v>0</v>
      </c>
      <c r="P43" s="131">
        <v>0</v>
      </c>
      <c r="Q43" s="131">
        <v>4.0022010694429906E-2</v>
      </c>
      <c r="R43" s="131">
        <v>0.11507721767738502</v>
      </c>
      <c r="S43" s="131">
        <v>1.8010154787850483E-2</v>
      </c>
      <c r="T43" s="131">
        <v>3.1984366642010584E-2</v>
      </c>
      <c r="U43" s="131">
        <v>0.25217020582477867</v>
      </c>
      <c r="V43" s="131">
        <v>2.0006604534176342E-3</v>
      </c>
      <c r="W43" s="131">
        <v>0</v>
      </c>
      <c r="X43" s="131">
        <v>0</v>
      </c>
      <c r="Y43" s="131">
        <v>9.0451401673929833E-3</v>
      </c>
      <c r="Z43" s="131">
        <v>5.2019768653174238E-2</v>
      </c>
      <c r="AA43" s="131">
        <v>0.3252074685941998</v>
      </c>
      <c r="AB43" s="131">
        <v>0</v>
      </c>
      <c r="AC43" s="131">
        <v>0</v>
      </c>
      <c r="AD43" s="131">
        <v>1.10029706696088E-2</v>
      </c>
      <c r="AE43" s="131">
        <v>0</v>
      </c>
      <c r="AF43" s="131">
        <v>0</v>
      </c>
      <c r="AG43" s="131">
        <v>5.8999995821200059E-2</v>
      </c>
      <c r="AH43" s="131">
        <v>0</v>
      </c>
      <c r="AI43" s="131">
        <v>0</v>
      </c>
      <c r="AJ43" s="131">
        <v>0</v>
      </c>
      <c r="AK43" s="131">
        <v>0</v>
      </c>
      <c r="AL43" s="131">
        <v>0</v>
      </c>
      <c r="AM43" s="131">
        <v>0</v>
      </c>
      <c r="AN43" s="131">
        <v>0</v>
      </c>
      <c r="AO43" s="131">
        <v>0</v>
      </c>
      <c r="AP43" s="131">
        <v>0</v>
      </c>
      <c r="AQ43" s="131">
        <v>0</v>
      </c>
      <c r="AR43" s="131">
        <v>0</v>
      </c>
      <c r="AS43" s="131">
        <v>1.1004157055144359E-6</v>
      </c>
      <c r="AT43" s="131">
        <v>0</v>
      </c>
      <c r="AU43" s="131">
        <v>0.31391210608016362</v>
      </c>
      <c r="AV43" s="131">
        <v>0.16503169700682013</v>
      </c>
      <c r="AW43" s="131">
        <v>0</v>
      </c>
      <c r="AX43" s="131">
        <v>0</v>
      </c>
      <c r="AY43" s="131">
        <v>7.8992105159997966E-2</v>
      </c>
      <c r="AZ43" s="131">
        <v>5.3127572864796725E-2</v>
      </c>
      <c r="BA43" s="131">
        <v>9.0434367574666441E-2</v>
      </c>
      <c r="BB43" s="131">
        <v>0</v>
      </c>
      <c r="BC43" s="131">
        <v>0.21599761503866025</v>
      </c>
      <c r="BD43" s="131">
        <v>0</v>
      </c>
      <c r="BE43" s="131">
        <v>0</v>
      </c>
      <c r="BF43" s="131">
        <v>0</v>
      </c>
      <c r="BG43" s="131">
        <v>0</v>
      </c>
      <c r="BH43" s="131">
        <v>0</v>
      </c>
      <c r="BI43" s="131">
        <v>0</v>
      </c>
      <c r="BJ43" s="131">
        <v>0</v>
      </c>
      <c r="BK43" s="131">
        <v>0</v>
      </c>
      <c r="BL43" s="131">
        <v>0</v>
      </c>
      <c r="BM43" s="131">
        <v>0</v>
      </c>
      <c r="BN43" s="131">
        <v>0</v>
      </c>
      <c r="BO43" s="131">
        <v>0</v>
      </c>
      <c r="BP43" s="131">
        <v>0</v>
      </c>
      <c r="BQ43" s="131">
        <v>0</v>
      </c>
      <c r="BR43" s="131">
        <v>0</v>
      </c>
      <c r="BS43" s="131">
        <v>0</v>
      </c>
      <c r="BT43" s="131">
        <v>0</v>
      </c>
      <c r="BU43" s="131">
        <v>0</v>
      </c>
      <c r="BV43" s="131">
        <v>0</v>
      </c>
      <c r="BW43" s="131">
        <v>0</v>
      </c>
      <c r="BX43" s="131">
        <v>0</v>
      </c>
      <c r="BY43" s="131">
        <v>0</v>
      </c>
      <c r="BZ43" s="131">
        <v>0</v>
      </c>
      <c r="CA43" s="131">
        <v>0</v>
      </c>
      <c r="CB43" s="131">
        <v>0</v>
      </c>
      <c r="CC43" s="131">
        <v>0</v>
      </c>
    </row>
    <row r="44" spans="1:81" x14ac:dyDescent="0.15">
      <c r="A44" s="169" t="s">
        <v>233</v>
      </c>
      <c r="B44" s="131">
        <v>0</v>
      </c>
      <c r="C44" s="131">
        <v>0</v>
      </c>
      <c r="D44" s="131">
        <v>0</v>
      </c>
      <c r="E44" s="131">
        <v>0</v>
      </c>
      <c r="F44" s="131">
        <v>0</v>
      </c>
      <c r="G44" s="131">
        <v>0</v>
      </c>
      <c r="H44" s="131">
        <v>0</v>
      </c>
      <c r="I44" s="131">
        <v>0</v>
      </c>
      <c r="J44" s="131">
        <v>9.9982600728073319E-4</v>
      </c>
      <c r="K44" s="131">
        <v>8.3994627462885584E-4</v>
      </c>
      <c r="L44" s="131">
        <v>4.9994999999999998E-2</v>
      </c>
      <c r="M44" s="131">
        <v>0.3515044049632422</v>
      </c>
      <c r="N44" s="131">
        <v>8.996744278926062E-3</v>
      </c>
      <c r="O44" s="131">
        <v>0</v>
      </c>
      <c r="P44" s="131">
        <v>0</v>
      </c>
      <c r="Q44" s="131">
        <v>0</v>
      </c>
      <c r="R44" s="131">
        <v>0.15010071997050217</v>
      </c>
      <c r="S44" s="131">
        <v>8.0145191725934702E-3</v>
      </c>
      <c r="T44" s="131">
        <v>9.9751240442895496E-3</v>
      </c>
      <c r="U44" s="131">
        <v>0</v>
      </c>
      <c r="V44" s="131">
        <v>8.2027062190122554E-2</v>
      </c>
      <c r="W44" s="131">
        <v>0</v>
      </c>
      <c r="X44" s="131">
        <v>0</v>
      </c>
      <c r="Y44" s="131">
        <v>1.6009098196270777E-2</v>
      </c>
      <c r="Z44" s="131">
        <v>9.6036495928937052E-2</v>
      </c>
      <c r="AA44" s="131">
        <v>0</v>
      </c>
      <c r="AB44" s="131">
        <v>0</v>
      </c>
      <c r="AC44" s="131">
        <v>0</v>
      </c>
      <c r="AD44" s="131">
        <v>0.23006212218272926</v>
      </c>
      <c r="AE44" s="131">
        <v>0.24312904388512446</v>
      </c>
      <c r="AF44" s="131">
        <v>2.0008569711496432E-2</v>
      </c>
      <c r="AG44" s="131">
        <v>0.12699999832360004</v>
      </c>
      <c r="AH44" s="131">
        <v>0.16900000000000001</v>
      </c>
      <c r="AI44" s="131">
        <v>0</v>
      </c>
      <c r="AJ44" s="131">
        <v>0</v>
      </c>
      <c r="AK44" s="131">
        <v>0</v>
      </c>
      <c r="AL44" s="131">
        <v>0</v>
      </c>
      <c r="AM44" s="131">
        <v>0</v>
      </c>
      <c r="AN44" s="131">
        <v>0</v>
      </c>
      <c r="AO44" s="131">
        <v>0</v>
      </c>
      <c r="AP44" s="131">
        <v>0</v>
      </c>
      <c r="AQ44" s="131">
        <v>0</v>
      </c>
      <c r="AR44" s="131">
        <v>0</v>
      </c>
      <c r="AS44" s="131">
        <v>1.1004158155144344E-5</v>
      </c>
      <c r="AT44" s="131">
        <v>1.9997659833106533E-2</v>
      </c>
      <c r="AU44" s="131">
        <v>1.3996081671090106E-2</v>
      </c>
      <c r="AV44" s="131">
        <v>0</v>
      </c>
      <c r="AW44" s="131">
        <v>0.645722336420677</v>
      </c>
      <c r="AX44" s="131">
        <v>0</v>
      </c>
      <c r="AY44" s="131">
        <v>0</v>
      </c>
      <c r="AZ44" s="131">
        <v>1.0005192781694303E-3</v>
      </c>
      <c r="BA44" s="131">
        <v>5.892239167752048E-3</v>
      </c>
      <c r="BB44" s="131">
        <v>0</v>
      </c>
      <c r="BC44" s="131">
        <v>5.5999381754467469E-2</v>
      </c>
      <c r="BD44" s="131">
        <v>0</v>
      </c>
      <c r="BE44" s="131">
        <v>0</v>
      </c>
      <c r="BF44" s="131">
        <v>0</v>
      </c>
      <c r="BG44" s="131">
        <v>0</v>
      </c>
      <c r="BH44" s="131">
        <v>0</v>
      </c>
      <c r="BI44" s="131">
        <v>0</v>
      </c>
      <c r="BJ44" s="131">
        <v>0</v>
      </c>
      <c r="BK44" s="131">
        <v>0</v>
      </c>
      <c r="BL44" s="131">
        <v>0</v>
      </c>
      <c r="BM44" s="131">
        <v>0</v>
      </c>
      <c r="BN44" s="131">
        <v>0</v>
      </c>
      <c r="BO44" s="131">
        <v>0</v>
      </c>
      <c r="BP44" s="131">
        <v>0</v>
      </c>
      <c r="BQ44" s="131">
        <v>0</v>
      </c>
      <c r="BR44" s="131">
        <v>0</v>
      </c>
      <c r="BS44" s="131">
        <v>0</v>
      </c>
      <c r="BT44" s="131">
        <v>0</v>
      </c>
      <c r="BU44" s="131">
        <v>0</v>
      </c>
      <c r="BV44" s="131">
        <v>0</v>
      </c>
      <c r="BW44" s="131">
        <v>0</v>
      </c>
      <c r="BX44" s="131">
        <v>0</v>
      </c>
      <c r="BY44" s="131">
        <v>0</v>
      </c>
      <c r="BZ44" s="131">
        <v>0</v>
      </c>
      <c r="CA44" s="131">
        <v>0</v>
      </c>
      <c r="CB44" s="131">
        <v>0</v>
      </c>
      <c r="CC44" s="131">
        <v>0</v>
      </c>
    </row>
    <row r="45" spans="1:81" x14ac:dyDescent="0.15">
      <c r="A45" s="169" t="s">
        <v>234</v>
      </c>
      <c r="B45" s="131">
        <v>0</v>
      </c>
      <c r="C45" s="131">
        <v>0</v>
      </c>
      <c r="D45" s="131">
        <v>0</v>
      </c>
      <c r="E45" s="131">
        <v>0</v>
      </c>
      <c r="F45" s="131">
        <v>0</v>
      </c>
      <c r="G45" s="131">
        <v>2.0015996435067619E-2</v>
      </c>
      <c r="H45" s="131">
        <v>6.0999329104584749E-2</v>
      </c>
      <c r="I45" s="131">
        <v>0</v>
      </c>
      <c r="J45" s="131">
        <v>0</v>
      </c>
      <c r="K45" s="131">
        <v>8.9994240710234534E-3</v>
      </c>
      <c r="L45" s="131">
        <v>0</v>
      </c>
      <c r="M45" s="131">
        <v>0</v>
      </c>
      <c r="N45" s="131">
        <v>0</v>
      </c>
      <c r="O45" s="131">
        <v>0</v>
      </c>
      <c r="P45" s="131">
        <v>9.4756273707273922E-2</v>
      </c>
      <c r="Q45" s="131">
        <v>1.0005502773607478E-4</v>
      </c>
      <c r="R45" s="131">
        <v>0</v>
      </c>
      <c r="S45" s="131">
        <v>0</v>
      </c>
      <c r="T45" s="131">
        <v>9.9751240442895496E-3</v>
      </c>
      <c r="U45" s="131">
        <v>0</v>
      </c>
      <c r="V45" s="131">
        <v>0</v>
      </c>
      <c r="W45" s="131">
        <v>0</v>
      </c>
      <c r="X45" s="131">
        <v>0</v>
      </c>
      <c r="Y45" s="131">
        <v>4.0022745540676937E-3</v>
      </c>
      <c r="Z45" s="131">
        <v>0</v>
      </c>
      <c r="AA45" s="131">
        <v>0</v>
      </c>
      <c r="AB45" s="131">
        <v>0</v>
      </c>
      <c r="AC45" s="131">
        <v>9.1041955778962985E-7</v>
      </c>
      <c r="AD45" s="131">
        <v>0</v>
      </c>
      <c r="AE45" s="131">
        <v>0</v>
      </c>
      <c r="AF45" s="131">
        <v>0</v>
      </c>
      <c r="AG45" s="131">
        <v>0</v>
      </c>
      <c r="AH45" s="131">
        <v>0</v>
      </c>
      <c r="AI45" s="131">
        <v>0</v>
      </c>
      <c r="AJ45" s="131">
        <v>0</v>
      </c>
      <c r="AK45" s="131">
        <v>0</v>
      </c>
      <c r="AL45" s="131">
        <v>0</v>
      </c>
      <c r="AM45" s="131">
        <v>0</v>
      </c>
      <c r="AN45" s="131">
        <v>0</v>
      </c>
      <c r="AO45" s="131">
        <v>0</v>
      </c>
      <c r="AP45" s="131">
        <v>0</v>
      </c>
      <c r="AQ45" s="131">
        <v>0</v>
      </c>
      <c r="AR45" s="131">
        <v>0</v>
      </c>
      <c r="AS45" s="131">
        <v>0</v>
      </c>
      <c r="AT45" s="131">
        <v>9.6988649190566688E-5</v>
      </c>
      <c r="AU45" s="131">
        <v>0</v>
      </c>
      <c r="AV45" s="131">
        <v>0</v>
      </c>
      <c r="AW45" s="131">
        <v>0</v>
      </c>
      <c r="AX45" s="131">
        <v>0</v>
      </c>
      <c r="AY45" s="131">
        <v>0</v>
      </c>
      <c r="AZ45" s="131">
        <v>0</v>
      </c>
      <c r="BA45" s="131">
        <v>0</v>
      </c>
      <c r="BB45" s="131">
        <v>0</v>
      </c>
      <c r="BC45" s="131">
        <v>0</v>
      </c>
      <c r="BD45" s="131">
        <v>0</v>
      </c>
      <c r="BE45" s="131">
        <v>0</v>
      </c>
      <c r="BF45" s="131">
        <v>0</v>
      </c>
      <c r="BG45" s="131">
        <v>0</v>
      </c>
      <c r="BH45" s="131">
        <v>0</v>
      </c>
      <c r="BI45" s="131">
        <v>0</v>
      </c>
      <c r="BJ45" s="131">
        <v>0</v>
      </c>
      <c r="BK45" s="131">
        <v>0</v>
      </c>
      <c r="BL45" s="131">
        <v>0</v>
      </c>
      <c r="BM45" s="131">
        <v>0</v>
      </c>
      <c r="BN45" s="131">
        <v>0</v>
      </c>
      <c r="BO45" s="131">
        <v>0</v>
      </c>
      <c r="BP45" s="131">
        <v>0</v>
      </c>
      <c r="BQ45" s="131">
        <v>0</v>
      </c>
      <c r="BR45" s="131">
        <v>0</v>
      </c>
      <c r="BS45" s="131">
        <v>0</v>
      </c>
      <c r="BT45" s="131">
        <v>0</v>
      </c>
      <c r="BU45" s="131">
        <v>0</v>
      </c>
      <c r="BV45" s="131">
        <v>0</v>
      </c>
      <c r="BW45" s="131">
        <v>0</v>
      </c>
      <c r="BX45" s="131">
        <v>0</v>
      </c>
      <c r="BY45" s="131">
        <v>0</v>
      </c>
      <c r="BZ45" s="131">
        <v>0</v>
      </c>
      <c r="CA45" s="131">
        <v>0</v>
      </c>
      <c r="CB45" s="131">
        <v>0</v>
      </c>
      <c r="CC45" s="131">
        <v>0</v>
      </c>
    </row>
    <row r="46" spans="1:81" x14ac:dyDescent="0.15">
      <c r="A46" s="169" t="s">
        <v>235</v>
      </c>
      <c r="B46" s="131">
        <v>1.0999926342739663E-2</v>
      </c>
      <c r="C46" s="131">
        <v>0</v>
      </c>
      <c r="D46" s="131">
        <v>0</v>
      </c>
      <c r="E46" s="131">
        <v>0</v>
      </c>
      <c r="F46" s="131">
        <v>0</v>
      </c>
      <c r="G46" s="131">
        <v>0.13710956666521293</v>
      </c>
      <c r="H46" s="131">
        <v>5.3999409207337271E-2</v>
      </c>
      <c r="I46" s="131">
        <v>0</v>
      </c>
      <c r="J46" s="131">
        <v>9.9982600728073319E-4</v>
      </c>
      <c r="K46" s="131">
        <v>1.9998720157829896E-2</v>
      </c>
      <c r="L46" s="131">
        <v>9.9989999999999992E-3</v>
      </c>
      <c r="M46" s="131">
        <v>2.0071698683412388E-2</v>
      </c>
      <c r="N46" s="131">
        <v>8.7968158427276802E-2</v>
      </c>
      <c r="O46" s="131">
        <v>0</v>
      </c>
      <c r="P46" s="131">
        <v>0</v>
      </c>
      <c r="Q46" s="131">
        <v>0.23212767002769363</v>
      </c>
      <c r="R46" s="131">
        <v>0</v>
      </c>
      <c r="S46" s="131">
        <v>0</v>
      </c>
      <c r="T46" s="131">
        <v>7.6862430341269175E-2</v>
      </c>
      <c r="U46" s="131">
        <v>0</v>
      </c>
      <c r="V46" s="131">
        <v>0</v>
      </c>
      <c r="W46" s="131">
        <v>0</v>
      </c>
      <c r="X46" s="131">
        <v>0</v>
      </c>
      <c r="Y46" s="131">
        <v>0.18010235133304617</v>
      </c>
      <c r="Z46" s="131">
        <v>9.5036115706760625E-4</v>
      </c>
      <c r="AA46" s="131">
        <v>0.20112833189364335</v>
      </c>
      <c r="AB46" s="131">
        <v>0</v>
      </c>
      <c r="AC46" s="131">
        <v>0.1260581019093335</v>
      </c>
      <c r="AD46" s="131">
        <v>0</v>
      </c>
      <c r="AE46" s="131">
        <v>2.001062260824069E-3</v>
      </c>
      <c r="AF46" s="131">
        <v>0</v>
      </c>
      <c r="AG46" s="131">
        <v>2.8999996917200042E-2</v>
      </c>
      <c r="AH46" s="131">
        <v>1.4999999999999999E-2</v>
      </c>
      <c r="AI46" s="131">
        <v>0</v>
      </c>
      <c r="AJ46" s="131">
        <v>0</v>
      </c>
      <c r="AK46" s="131">
        <v>0</v>
      </c>
      <c r="AL46" s="131">
        <v>0</v>
      </c>
      <c r="AM46" s="131">
        <v>0</v>
      </c>
      <c r="AN46" s="131">
        <v>0</v>
      </c>
      <c r="AO46" s="131">
        <v>0</v>
      </c>
      <c r="AP46" s="131">
        <v>0</v>
      </c>
      <c r="AQ46" s="131">
        <v>0</v>
      </c>
      <c r="AR46" s="131">
        <v>0</v>
      </c>
      <c r="AS46" s="131">
        <v>0</v>
      </c>
      <c r="AT46" s="131">
        <v>0</v>
      </c>
      <c r="AU46" s="131">
        <v>0.35590035389343394</v>
      </c>
      <c r="AV46" s="131">
        <v>0.12002303982314214</v>
      </c>
      <c r="AW46" s="131">
        <v>5.8974643326346818E-2</v>
      </c>
      <c r="AX46" s="131">
        <v>0</v>
      </c>
      <c r="AY46" s="131">
        <v>0</v>
      </c>
      <c r="AZ46" s="131">
        <v>0.21611217092459703</v>
      </c>
      <c r="BA46" s="131">
        <v>5.5020907566445232E-2</v>
      </c>
      <c r="BB46" s="131">
        <v>0</v>
      </c>
      <c r="BC46" s="131">
        <v>0</v>
      </c>
      <c r="BD46" s="131">
        <v>0</v>
      </c>
      <c r="BE46" s="131">
        <v>3.7325743700779512E-2</v>
      </c>
      <c r="BF46" s="131">
        <v>0</v>
      </c>
      <c r="BG46" s="131">
        <v>0</v>
      </c>
      <c r="BH46" s="131">
        <v>0</v>
      </c>
      <c r="BI46" s="131">
        <v>0</v>
      </c>
      <c r="BJ46" s="131">
        <v>0</v>
      </c>
      <c r="BK46" s="131">
        <v>0</v>
      </c>
      <c r="BL46" s="131">
        <v>0</v>
      </c>
      <c r="BM46" s="131">
        <v>0</v>
      </c>
      <c r="BN46" s="131">
        <v>0</v>
      </c>
      <c r="BO46" s="131">
        <v>0</v>
      </c>
      <c r="BP46" s="131">
        <v>0</v>
      </c>
      <c r="BQ46" s="131">
        <v>0</v>
      </c>
      <c r="BR46" s="131">
        <v>0</v>
      </c>
      <c r="BS46" s="131">
        <v>0</v>
      </c>
      <c r="BT46" s="131">
        <v>0</v>
      </c>
      <c r="BU46" s="131">
        <v>0</v>
      </c>
      <c r="BV46" s="131">
        <v>0</v>
      </c>
      <c r="BW46" s="131">
        <v>0</v>
      </c>
      <c r="BX46" s="131">
        <v>0</v>
      </c>
      <c r="BY46" s="131">
        <v>0</v>
      </c>
      <c r="BZ46" s="131">
        <v>0</v>
      </c>
      <c r="CA46" s="131">
        <v>0</v>
      </c>
      <c r="CB46" s="131">
        <v>0</v>
      </c>
      <c r="CC46" s="131">
        <v>0</v>
      </c>
    </row>
    <row r="47" spans="1:81" x14ac:dyDescent="0.15">
      <c r="A47" s="169" t="s">
        <v>236</v>
      </c>
      <c r="B47" s="131">
        <v>7.9999459583561208E-2</v>
      </c>
      <c r="C47" s="131">
        <v>0.1</v>
      </c>
      <c r="D47" s="131">
        <v>0</v>
      </c>
      <c r="E47" s="131">
        <v>0</v>
      </c>
      <c r="F47" s="131">
        <v>2.199063482500619E-2</v>
      </c>
      <c r="G47" s="131">
        <v>2.702159692234133E-2</v>
      </c>
      <c r="H47" s="131">
        <v>0</v>
      </c>
      <c r="I47" s="131">
        <v>0.20194772719632051</v>
      </c>
      <c r="J47" s="131">
        <v>0</v>
      </c>
      <c r="K47" s="131">
        <v>0</v>
      </c>
      <c r="L47" s="131">
        <v>0</v>
      </c>
      <c r="M47" s="131">
        <v>0</v>
      </c>
      <c r="N47" s="131">
        <v>0</v>
      </c>
      <c r="O47" s="131">
        <v>0</v>
      </c>
      <c r="P47" s="131">
        <v>0</v>
      </c>
      <c r="Q47" s="131">
        <v>0</v>
      </c>
      <c r="R47" s="131">
        <v>0</v>
      </c>
      <c r="S47" s="131">
        <v>0</v>
      </c>
      <c r="T47" s="131">
        <v>0</v>
      </c>
      <c r="U47" s="131">
        <v>6.0140596189163564E-2</v>
      </c>
      <c r="V47" s="131">
        <v>0.12704193939201977</v>
      </c>
      <c r="W47" s="131">
        <v>0</v>
      </c>
      <c r="X47" s="131">
        <v>0</v>
      </c>
      <c r="Y47" s="131">
        <v>0</v>
      </c>
      <c r="Z47" s="131">
        <v>1.1004181843940704E-2</v>
      </c>
      <c r="AA47" s="131">
        <v>0</v>
      </c>
      <c r="AB47" s="131">
        <v>0</v>
      </c>
      <c r="AC47" s="131">
        <v>0</v>
      </c>
      <c r="AD47" s="131">
        <v>0</v>
      </c>
      <c r="AE47" s="131">
        <v>0</v>
      </c>
      <c r="AF47" s="131">
        <v>0</v>
      </c>
      <c r="AG47" s="131">
        <v>8.2999998904400019E-2</v>
      </c>
      <c r="AH47" s="131">
        <v>0.66600000000000004</v>
      </c>
      <c r="AI47" s="131">
        <v>0</v>
      </c>
      <c r="AJ47" s="131">
        <v>0</v>
      </c>
      <c r="AK47" s="131">
        <v>0</v>
      </c>
      <c r="AL47" s="131">
        <v>0</v>
      </c>
      <c r="AM47" s="131">
        <v>0</v>
      </c>
      <c r="AN47" s="131">
        <v>0</v>
      </c>
      <c r="AO47" s="131">
        <v>0</v>
      </c>
      <c r="AP47" s="131">
        <v>0</v>
      </c>
      <c r="AQ47" s="131">
        <v>0</v>
      </c>
      <c r="AR47" s="131">
        <v>0</v>
      </c>
      <c r="AS47" s="131">
        <v>0</v>
      </c>
      <c r="AT47" s="131">
        <v>0</v>
      </c>
      <c r="AU47" s="131">
        <v>0</v>
      </c>
      <c r="AV47" s="131">
        <v>0.21104050817235834</v>
      </c>
      <c r="AW47" s="131">
        <v>5.8974643326346818E-2</v>
      </c>
      <c r="AX47" s="131">
        <v>0</v>
      </c>
      <c r="AY47" s="131">
        <v>0</v>
      </c>
      <c r="AZ47" s="131">
        <v>0</v>
      </c>
      <c r="BA47" s="131">
        <v>0</v>
      </c>
      <c r="BB47" s="131">
        <v>0</v>
      </c>
      <c r="BC47" s="131">
        <v>0</v>
      </c>
      <c r="BD47" s="131">
        <v>0</v>
      </c>
      <c r="BE47" s="131">
        <v>0</v>
      </c>
      <c r="BF47" s="131">
        <v>0</v>
      </c>
      <c r="BG47" s="131">
        <v>0</v>
      </c>
      <c r="BH47" s="131">
        <v>0</v>
      </c>
      <c r="BI47" s="131">
        <v>0</v>
      </c>
      <c r="BJ47" s="131">
        <v>0</v>
      </c>
      <c r="BK47" s="131">
        <v>0</v>
      </c>
      <c r="BL47" s="131">
        <v>0</v>
      </c>
      <c r="BM47" s="131">
        <v>0</v>
      </c>
      <c r="BN47" s="131">
        <v>0</v>
      </c>
      <c r="BO47" s="131">
        <v>0</v>
      </c>
      <c r="BP47" s="131">
        <v>0</v>
      </c>
      <c r="BQ47" s="131">
        <v>0</v>
      </c>
      <c r="BR47" s="131">
        <v>0</v>
      </c>
      <c r="BS47" s="131">
        <v>0</v>
      </c>
      <c r="BT47" s="131">
        <v>0</v>
      </c>
      <c r="BU47" s="131">
        <v>0</v>
      </c>
      <c r="BV47" s="131">
        <v>0</v>
      </c>
      <c r="BW47" s="131">
        <v>0</v>
      </c>
      <c r="BX47" s="131">
        <v>0</v>
      </c>
      <c r="BY47" s="131">
        <v>0</v>
      </c>
      <c r="BZ47" s="131">
        <v>0</v>
      </c>
      <c r="CA47" s="131">
        <v>0</v>
      </c>
      <c r="CB47" s="131">
        <v>0</v>
      </c>
      <c r="CC47" s="131">
        <v>0</v>
      </c>
    </row>
    <row r="48" spans="1:81" x14ac:dyDescent="0.15">
      <c r="A48" s="169" t="s">
        <v>237</v>
      </c>
      <c r="B48" s="131">
        <v>0.13299909930767054</v>
      </c>
      <c r="C48" s="131">
        <v>0.01</v>
      </c>
      <c r="D48" s="131">
        <v>0</v>
      </c>
      <c r="E48" s="131">
        <v>0</v>
      </c>
      <c r="F48" s="131">
        <v>7.1579516957895162E-2</v>
      </c>
      <c r="G48" s="131">
        <v>4.8038394584162369E-2</v>
      </c>
      <c r="H48" s="131">
        <v>0</v>
      </c>
      <c r="I48" s="131">
        <v>4.6987833716965792E-2</v>
      </c>
      <c r="J48" s="131">
        <v>0</v>
      </c>
      <c r="K48" s="131">
        <v>0</v>
      </c>
      <c r="L48" s="131">
        <v>0</v>
      </c>
      <c r="M48" s="131">
        <v>0</v>
      </c>
      <c r="N48" s="131">
        <v>3.998552693967129E-4</v>
      </c>
      <c r="O48" s="131">
        <v>0</v>
      </c>
      <c r="P48" s="131">
        <v>0</v>
      </c>
      <c r="Q48" s="131">
        <v>0</v>
      </c>
      <c r="R48" s="131">
        <v>0</v>
      </c>
      <c r="S48" s="131">
        <v>0</v>
      </c>
      <c r="T48" s="131">
        <v>0</v>
      </c>
      <c r="U48" s="131">
        <v>0</v>
      </c>
      <c r="V48" s="131">
        <v>1.0003300267088117E-4</v>
      </c>
      <c r="W48" s="131">
        <v>0</v>
      </c>
      <c r="X48" s="131">
        <v>0</v>
      </c>
      <c r="Y48" s="131">
        <v>0</v>
      </c>
      <c r="Z48" s="131">
        <v>2.400912253223423E-4</v>
      </c>
      <c r="AA48" s="131">
        <v>7.2045969245484196E-4</v>
      </c>
      <c r="AB48" s="131">
        <v>0</v>
      </c>
      <c r="AC48" s="131">
        <v>0</v>
      </c>
      <c r="AD48" s="131">
        <v>0</v>
      </c>
      <c r="AE48" s="131">
        <v>0</v>
      </c>
      <c r="AF48" s="131">
        <v>9.7241652897872609E-4</v>
      </c>
      <c r="AG48" s="131">
        <v>9.9999998680000012E-4</v>
      </c>
      <c r="AH48" s="131">
        <v>2E-3</v>
      </c>
      <c r="AI48" s="131">
        <v>9.8001963714274411E-4</v>
      </c>
      <c r="AJ48" s="131">
        <v>0</v>
      </c>
      <c r="AK48" s="131">
        <v>0</v>
      </c>
      <c r="AL48" s="131">
        <v>0</v>
      </c>
      <c r="AM48" s="131">
        <v>0</v>
      </c>
      <c r="AN48" s="131">
        <v>0</v>
      </c>
      <c r="AO48" s="131">
        <v>0</v>
      </c>
      <c r="AP48" s="131">
        <v>0</v>
      </c>
      <c r="AQ48" s="131">
        <v>0</v>
      </c>
      <c r="AR48" s="131">
        <v>0</v>
      </c>
      <c r="AS48" s="131">
        <v>0</v>
      </c>
      <c r="AT48" s="131">
        <v>0</v>
      </c>
      <c r="AU48" s="131">
        <v>0</v>
      </c>
      <c r="AV48" s="131">
        <v>0</v>
      </c>
      <c r="AW48" s="131">
        <v>0</v>
      </c>
      <c r="AX48" s="131">
        <v>0</v>
      </c>
      <c r="AY48" s="131">
        <v>0</v>
      </c>
      <c r="AZ48" s="131">
        <v>0</v>
      </c>
      <c r="BA48" s="131">
        <v>0</v>
      </c>
      <c r="BB48" s="131">
        <v>0</v>
      </c>
      <c r="BC48" s="131">
        <v>0</v>
      </c>
      <c r="BD48" s="131">
        <v>0</v>
      </c>
      <c r="BE48" s="131">
        <v>0</v>
      </c>
      <c r="BF48" s="131">
        <v>0</v>
      </c>
      <c r="BG48" s="131">
        <v>0</v>
      </c>
      <c r="BH48" s="131">
        <v>0</v>
      </c>
      <c r="BI48" s="131">
        <v>0</v>
      </c>
      <c r="BJ48" s="131">
        <v>0</v>
      </c>
      <c r="BK48" s="131">
        <v>0</v>
      </c>
      <c r="BL48" s="131">
        <v>0</v>
      </c>
      <c r="BM48" s="131">
        <v>0</v>
      </c>
      <c r="BN48" s="131">
        <v>0</v>
      </c>
      <c r="BO48" s="131">
        <v>0</v>
      </c>
      <c r="BP48" s="131">
        <v>0</v>
      </c>
      <c r="BQ48" s="131">
        <v>0</v>
      </c>
      <c r="BR48" s="131">
        <v>0</v>
      </c>
      <c r="BS48" s="131">
        <v>0</v>
      </c>
      <c r="BT48" s="131">
        <v>0</v>
      </c>
      <c r="BU48" s="131">
        <v>0</v>
      </c>
      <c r="BV48" s="131">
        <v>0</v>
      </c>
      <c r="BW48" s="131">
        <v>0</v>
      </c>
      <c r="BX48" s="131">
        <v>0</v>
      </c>
      <c r="BY48" s="131">
        <v>0</v>
      </c>
      <c r="BZ48" s="131">
        <v>0</v>
      </c>
      <c r="CA48" s="131">
        <v>0</v>
      </c>
      <c r="CB48" s="131">
        <v>0</v>
      </c>
      <c r="CC48" s="131">
        <v>0</v>
      </c>
    </row>
    <row r="49" spans="1:81" x14ac:dyDescent="0.15">
      <c r="A49" s="169" t="s">
        <v>238</v>
      </c>
      <c r="B49" s="131">
        <v>0</v>
      </c>
      <c r="C49" s="131">
        <v>0.4</v>
      </c>
      <c r="D49" s="131">
        <v>0</v>
      </c>
      <c r="E49" s="131">
        <v>0</v>
      </c>
      <c r="F49" s="131">
        <v>0.2166077672013112</v>
      </c>
      <c r="G49" s="131">
        <v>0.54643671460734633</v>
      </c>
      <c r="H49" s="131">
        <v>0.15999823565136989</v>
      </c>
      <c r="I49" s="131">
        <v>2.9992236689552552E-2</v>
      </c>
      <c r="J49" s="131">
        <v>5.5990256807721059E-2</v>
      </c>
      <c r="K49" s="131">
        <v>8.9994240710234534E-3</v>
      </c>
      <c r="L49" s="131">
        <v>0</v>
      </c>
      <c r="M49" s="131">
        <v>0</v>
      </c>
      <c r="N49" s="131">
        <v>4.3984079263638405E-2</v>
      </c>
      <c r="O49" s="131">
        <v>0</v>
      </c>
      <c r="P49" s="131">
        <v>0</v>
      </c>
      <c r="Q49" s="131">
        <v>0</v>
      </c>
      <c r="R49" s="131">
        <v>0</v>
      </c>
      <c r="S49" s="131">
        <v>0</v>
      </c>
      <c r="T49" s="131">
        <v>9.585315042558798E-2</v>
      </c>
      <c r="U49" s="131">
        <v>6.5143971504734527E-2</v>
      </c>
      <c r="V49" s="131">
        <v>1.0003302267088171E-3</v>
      </c>
      <c r="W49" s="131">
        <v>0</v>
      </c>
      <c r="X49" s="131">
        <v>0</v>
      </c>
      <c r="Y49" s="131">
        <v>0</v>
      </c>
      <c r="Z49" s="131">
        <v>2.400912253223423E-4</v>
      </c>
      <c r="AA49" s="131">
        <v>0</v>
      </c>
      <c r="AB49" s="131">
        <v>0</v>
      </c>
      <c r="AC49" s="131">
        <v>4.8022133127365134E-2</v>
      </c>
      <c r="AD49" s="131">
        <v>2.2005941239217598E-2</v>
      </c>
      <c r="AE49" s="131">
        <v>9.2248969576989581E-2</v>
      </c>
      <c r="AF49" s="131">
        <v>9.1239088684423569E-2</v>
      </c>
      <c r="AG49" s="131">
        <v>9.9999998680000012E-4</v>
      </c>
      <c r="AH49" s="131">
        <v>0</v>
      </c>
      <c r="AI49" s="131">
        <v>0</v>
      </c>
      <c r="AJ49" s="131">
        <v>0</v>
      </c>
      <c r="AK49" s="131">
        <v>0</v>
      </c>
      <c r="AL49" s="131">
        <v>0</v>
      </c>
      <c r="AM49" s="131">
        <v>0</v>
      </c>
      <c r="AN49" s="131">
        <v>0</v>
      </c>
      <c r="AO49" s="131">
        <v>0</v>
      </c>
      <c r="AP49" s="131">
        <v>0</v>
      </c>
      <c r="AQ49" s="131">
        <v>0</v>
      </c>
      <c r="AR49" s="131">
        <v>0</v>
      </c>
      <c r="AS49" s="131">
        <v>0</v>
      </c>
      <c r="AT49" s="131">
        <v>0</v>
      </c>
      <c r="AU49" s="131">
        <v>0</v>
      </c>
      <c r="AV49" s="131">
        <v>0</v>
      </c>
      <c r="AW49" s="131">
        <v>0</v>
      </c>
      <c r="AX49" s="131">
        <v>0</v>
      </c>
      <c r="AY49" s="131">
        <v>0</v>
      </c>
      <c r="AZ49" s="131">
        <v>0</v>
      </c>
      <c r="BA49" s="131">
        <v>0</v>
      </c>
      <c r="BB49" s="131">
        <v>0</v>
      </c>
      <c r="BC49" s="131">
        <v>0</v>
      </c>
      <c r="BD49" s="131">
        <v>0</v>
      </c>
      <c r="BE49" s="131">
        <v>0</v>
      </c>
      <c r="BF49" s="131">
        <v>9.9969009856944353E-4</v>
      </c>
      <c r="BG49" s="131">
        <v>0</v>
      </c>
      <c r="BH49" s="131">
        <v>0</v>
      </c>
      <c r="BI49" s="131">
        <v>0</v>
      </c>
      <c r="BJ49" s="131">
        <v>0</v>
      </c>
      <c r="BK49" s="131">
        <v>0</v>
      </c>
      <c r="BL49" s="131">
        <v>0</v>
      </c>
      <c r="BM49" s="131">
        <v>0</v>
      </c>
      <c r="BN49" s="131">
        <v>0</v>
      </c>
      <c r="BO49" s="131">
        <v>0</v>
      </c>
      <c r="BP49" s="131">
        <v>0</v>
      </c>
      <c r="BQ49" s="131">
        <v>0</v>
      </c>
      <c r="BR49" s="131">
        <v>0</v>
      </c>
      <c r="BS49" s="131">
        <v>0</v>
      </c>
      <c r="BT49" s="131">
        <v>0</v>
      </c>
      <c r="BU49" s="131">
        <v>0</v>
      </c>
      <c r="BV49" s="131">
        <v>0</v>
      </c>
      <c r="BW49" s="131">
        <v>0</v>
      </c>
      <c r="BX49" s="131">
        <v>0</v>
      </c>
      <c r="BY49" s="131">
        <v>0</v>
      </c>
      <c r="BZ49" s="131">
        <v>0</v>
      </c>
      <c r="CA49" s="131">
        <v>0</v>
      </c>
      <c r="CB49" s="131">
        <v>0</v>
      </c>
      <c r="CC49" s="131">
        <v>0</v>
      </c>
    </row>
    <row r="50" spans="1:81" x14ac:dyDescent="0.15">
      <c r="A50" s="169" t="s">
        <v>239</v>
      </c>
      <c r="B50" s="131">
        <v>0</v>
      </c>
      <c r="C50" s="131">
        <v>0</v>
      </c>
      <c r="D50" s="131">
        <v>0</v>
      </c>
      <c r="E50" s="131">
        <v>0</v>
      </c>
      <c r="F50" s="131">
        <v>0</v>
      </c>
      <c r="G50" s="131">
        <v>0</v>
      </c>
      <c r="H50" s="131">
        <v>0</v>
      </c>
      <c r="I50" s="131">
        <v>0</v>
      </c>
      <c r="J50" s="131">
        <v>1.2997738194649531E-2</v>
      </c>
      <c r="K50" s="131">
        <v>0</v>
      </c>
      <c r="L50" s="131">
        <v>0</v>
      </c>
      <c r="M50" s="131">
        <v>0</v>
      </c>
      <c r="N50" s="131">
        <v>8.1970332541326211E-5</v>
      </c>
      <c r="O50" s="131">
        <v>0</v>
      </c>
      <c r="P50" s="131">
        <v>2.7987084800038715E-2</v>
      </c>
      <c r="Q50" s="131">
        <v>4.4024210763872883E-2</v>
      </c>
      <c r="R50" s="131">
        <v>0</v>
      </c>
      <c r="S50" s="131">
        <v>0</v>
      </c>
      <c r="T50" s="131">
        <v>0</v>
      </c>
      <c r="U50" s="131">
        <v>2.0013510462284071E-3</v>
      </c>
      <c r="V50" s="131">
        <v>5.7018811522402272E-4</v>
      </c>
      <c r="W50" s="131">
        <v>0</v>
      </c>
      <c r="X50" s="131">
        <v>0</v>
      </c>
      <c r="Y50" s="131">
        <v>0</v>
      </c>
      <c r="Z50" s="131">
        <v>2.1007983465704979E-2</v>
      </c>
      <c r="AA50" s="131">
        <v>0</v>
      </c>
      <c r="AB50" s="131">
        <v>0</v>
      </c>
      <c r="AC50" s="131">
        <v>9.1041957678963015E-4</v>
      </c>
      <c r="AD50" s="131">
        <v>0</v>
      </c>
      <c r="AE50" s="131">
        <v>0</v>
      </c>
      <c r="AF50" s="131">
        <v>0</v>
      </c>
      <c r="AG50" s="131">
        <v>2.3999997983200027E-2</v>
      </c>
      <c r="AH50" s="131">
        <v>0</v>
      </c>
      <c r="AI50" s="131">
        <v>0</v>
      </c>
      <c r="AJ50" s="131">
        <v>0</v>
      </c>
      <c r="AK50" s="131">
        <v>0</v>
      </c>
      <c r="AL50" s="131">
        <v>0</v>
      </c>
      <c r="AM50" s="131">
        <v>0</v>
      </c>
      <c r="AN50" s="131">
        <v>0</v>
      </c>
      <c r="AO50" s="131">
        <v>0</v>
      </c>
      <c r="AP50" s="131">
        <v>0</v>
      </c>
      <c r="AQ50" s="131">
        <v>0</v>
      </c>
      <c r="AR50" s="131">
        <v>0</v>
      </c>
      <c r="AS50" s="131">
        <v>0</v>
      </c>
      <c r="AT50" s="131">
        <v>0</v>
      </c>
      <c r="AU50" s="131">
        <v>0</v>
      </c>
      <c r="AV50" s="131">
        <v>0</v>
      </c>
      <c r="AW50" s="131">
        <v>0</v>
      </c>
      <c r="AX50" s="131">
        <v>0</v>
      </c>
      <c r="AY50" s="131">
        <v>0</v>
      </c>
      <c r="AZ50" s="131">
        <v>0</v>
      </c>
      <c r="BA50" s="131">
        <v>9.8237332796816852E-3</v>
      </c>
      <c r="BB50" s="131">
        <v>0</v>
      </c>
      <c r="BC50" s="131">
        <v>0</v>
      </c>
      <c r="BD50" s="131">
        <v>0</v>
      </c>
      <c r="BE50" s="131">
        <v>0</v>
      </c>
      <c r="BF50" s="131">
        <v>0</v>
      </c>
      <c r="BG50" s="131">
        <v>0</v>
      </c>
      <c r="BH50" s="131">
        <v>0</v>
      </c>
      <c r="BI50" s="131">
        <v>0</v>
      </c>
      <c r="BJ50" s="131">
        <v>0</v>
      </c>
      <c r="BK50" s="131">
        <v>0</v>
      </c>
      <c r="BL50" s="131">
        <v>0</v>
      </c>
      <c r="BM50" s="131">
        <v>0</v>
      </c>
      <c r="BN50" s="131">
        <v>0</v>
      </c>
      <c r="BO50" s="131">
        <v>0</v>
      </c>
      <c r="BP50" s="131">
        <v>0</v>
      </c>
      <c r="BQ50" s="131">
        <v>0</v>
      </c>
      <c r="BR50" s="131">
        <v>0</v>
      </c>
      <c r="BS50" s="131">
        <v>0</v>
      </c>
      <c r="BT50" s="131">
        <v>0</v>
      </c>
      <c r="BU50" s="131">
        <v>0</v>
      </c>
      <c r="BV50" s="131">
        <v>0</v>
      </c>
      <c r="BW50" s="131">
        <v>0</v>
      </c>
      <c r="BX50" s="131">
        <v>0</v>
      </c>
      <c r="BY50" s="131">
        <v>0</v>
      </c>
      <c r="BZ50" s="131">
        <v>0</v>
      </c>
      <c r="CA50" s="131">
        <v>0</v>
      </c>
      <c r="CB50" s="131">
        <v>0</v>
      </c>
      <c r="CC50" s="131">
        <v>0</v>
      </c>
    </row>
    <row r="51" spans="1:81" x14ac:dyDescent="0.15">
      <c r="A51" s="169" t="s">
        <v>240</v>
      </c>
      <c r="B51" s="131">
        <v>0</v>
      </c>
      <c r="C51" s="131">
        <v>0</v>
      </c>
      <c r="D51" s="131">
        <v>0</v>
      </c>
      <c r="E51" s="131">
        <v>0</v>
      </c>
      <c r="F51" s="131">
        <v>0</v>
      </c>
      <c r="G51" s="131">
        <v>0</v>
      </c>
      <c r="H51" s="131">
        <v>0</v>
      </c>
      <c r="I51" s="131">
        <v>0</v>
      </c>
      <c r="J51" s="131">
        <v>0</v>
      </c>
      <c r="K51" s="131">
        <v>0</v>
      </c>
      <c r="L51" s="131">
        <v>9.9989999999999996E-4</v>
      </c>
      <c r="M51" s="131">
        <v>0</v>
      </c>
      <c r="N51" s="131">
        <v>0.25090915777893663</v>
      </c>
      <c r="O51" s="131">
        <v>0</v>
      </c>
      <c r="P51" s="131">
        <v>0</v>
      </c>
      <c r="Q51" s="131">
        <v>4.0022014394429971E-3</v>
      </c>
      <c r="R51" s="131">
        <v>0</v>
      </c>
      <c r="S51" s="131">
        <v>0</v>
      </c>
      <c r="T51" s="131">
        <v>9.485364042115016E-5</v>
      </c>
      <c r="U51" s="131">
        <v>1.1007430254256225E-4</v>
      </c>
      <c r="V51" s="131">
        <v>0</v>
      </c>
      <c r="W51" s="131">
        <v>0</v>
      </c>
      <c r="X51" s="131">
        <v>0</v>
      </c>
      <c r="Y51" s="131">
        <v>1.7009666514787691E-2</v>
      </c>
      <c r="Z51" s="131">
        <v>9.5036115706760625E-4</v>
      </c>
      <c r="AA51" s="131">
        <v>0</v>
      </c>
      <c r="AB51" s="131">
        <v>0</v>
      </c>
      <c r="AC51" s="131">
        <v>0</v>
      </c>
      <c r="AD51" s="131">
        <v>0</v>
      </c>
      <c r="AE51" s="131">
        <v>2.0010620808240699E-4</v>
      </c>
      <c r="AF51" s="131">
        <v>9.1239088684423586E-5</v>
      </c>
      <c r="AG51" s="131">
        <v>0</v>
      </c>
      <c r="AH51" s="131">
        <v>0</v>
      </c>
      <c r="AI51" s="131">
        <v>0</v>
      </c>
      <c r="AJ51" s="131">
        <v>0</v>
      </c>
      <c r="AK51" s="131">
        <v>0</v>
      </c>
      <c r="AL51" s="131">
        <v>0</v>
      </c>
      <c r="AM51" s="131">
        <v>0</v>
      </c>
      <c r="AN51" s="131">
        <v>0</v>
      </c>
      <c r="AO51" s="131">
        <v>0</v>
      </c>
      <c r="AP51" s="131">
        <v>0</v>
      </c>
      <c r="AQ51" s="131">
        <v>0</v>
      </c>
      <c r="AR51" s="131">
        <v>0</v>
      </c>
      <c r="AS51" s="131">
        <v>0</v>
      </c>
      <c r="AT51" s="131">
        <v>0</v>
      </c>
      <c r="AU51" s="131">
        <v>0</v>
      </c>
      <c r="AV51" s="131">
        <v>0</v>
      </c>
      <c r="AW51" s="131">
        <v>2.8987534134983891E-2</v>
      </c>
      <c r="AX51" s="131">
        <v>0</v>
      </c>
      <c r="AY51" s="131">
        <v>0</v>
      </c>
      <c r="AZ51" s="131">
        <v>0</v>
      </c>
      <c r="BA51" s="131">
        <v>8.8433612517704926E-3</v>
      </c>
      <c r="BB51" s="131">
        <v>0</v>
      </c>
      <c r="BC51" s="131">
        <v>0</v>
      </c>
      <c r="BD51" s="131">
        <v>0</v>
      </c>
      <c r="BE51" s="131">
        <v>0</v>
      </c>
      <c r="BF51" s="131">
        <v>0</v>
      </c>
      <c r="BG51" s="131">
        <v>0</v>
      </c>
      <c r="BH51" s="131">
        <v>0</v>
      </c>
      <c r="BI51" s="131">
        <v>0</v>
      </c>
      <c r="BJ51" s="131">
        <v>0</v>
      </c>
      <c r="BK51" s="131">
        <v>0</v>
      </c>
      <c r="BL51" s="131">
        <v>0</v>
      </c>
      <c r="BM51" s="131">
        <v>0</v>
      </c>
      <c r="BN51" s="131">
        <v>0</v>
      </c>
      <c r="BO51" s="131">
        <v>0</v>
      </c>
      <c r="BP51" s="131">
        <v>0</v>
      </c>
      <c r="BQ51" s="131">
        <v>0</v>
      </c>
      <c r="BR51" s="131">
        <v>0</v>
      </c>
      <c r="BS51" s="131">
        <v>0</v>
      </c>
      <c r="BT51" s="131">
        <v>0</v>
      </c>
      <c r="BU51" s="131">
        <v>0</v>
      </c>
      <c r="BV51" s="131">
        <v>0</v>
      </c>
      <c r="BW51" s="131">
        <v>0</v>
      </c>
      <c r="BX51" s="131">
        <v>0</v>
      </c>
      <c r="BY51" s="131">
        <v>0</v>
      </c>
      <c r="BZ51" s="131">
        <v>0</v>
      </c>
      <c r="CA51" s="131">
        <v>0</v>
      </c>
      <c r="CB51" s="131">
        <v>0</v>
      </c>
      <c r="CC51" s="131">
        <v>0</v>
      </c>
    </row>
    <row r="52" spans="1:81" x14ac:dyDescent="0.15">
      <c r="A52" s="169" t="s">
        <v>241</v>
      </c>
      <c r="B52" s="131">
        <v>0</v>
      </c>
      <c r="C52" s="131">
        <v>0.1</v>
      </c>
      <c r="D52" s="131">
        <v>0</v>
      </c>
      <c r="E52" s="131">
        <v>0</v>
      </c>
      <c r="F52" s="131">
        <v>0</v>
      </c>
      <c r="G52" s="131">
        <v>0</v>
      </c>
      <c r="H52" s="131">
        <v>9.9998908532106029E-4</v>
      </c>
      <c r="I52" s="131">
        <v>9.987415663520972E-3</v>
      </c>
      <c r="J52" s="131">
        <v>0</v>
      </c>
      <c r="K52" s="131">
        <v>0</v>
      </c>
      <c r="L52" s="131">
        <v>9.9989999999999996E-5</v>
      </c>
      <c r="M52" s="131">
        <v>0</v>
      </c>
      <c r="N52" s="131">
        <v>3.4987335284712352E-2</v>
      </c>
      <c r="O52" s="131">
        <v>0</v>
      </c>
      <c r="P52" s="131">
        <v>0</v>
      </c>
      <c r="Q52" s="131">
        <v>1.0005503573607493E-3</v>
      </c>
      <c r="R52" s="131">
        <v>1.0006713898033494E-3</v>
      </c>
      <c r="S52" s="131">
        <v>0</v>
      </c>
      <c r="T52" s="131">
        <v>9.585315042558798E-5</v>
      </c>
      <c r="U52" s="131">
        <v>1.0006755131142032E-3</v>
      </c>
      <c r="V52" s="131">
        <v>1.0003302267088171E-3</v>
      </c>
      <c r="W52" s="131">
        <v>0</v>
      </c>
      <c r="X52" s="131">
        <v>0</v>
      </c>
      <c r="Y52" s="131">
        <v>7.214100133507024E-4</v>
      </c>
      <c r="Z52" s="131">
        <v>0</v>
      </c>
      <c r="AA52" s="131">
        <v>1.0006383395206151E-6</v>
      </c>
      <c r="AB52" s="131">
        <v>0</v>
      </c>
      <c r="AC52" s="131">
        <v>9.6044271454730344E-6</v>
      </c>
      <c r="AD52" s="131">
        <v>1.0002701090553443E-3</v>
      </c>
      <c r="AE52" s="131">
        <v>2.0010619908240703E-5</v>
      </c>
      <c r="AF52" s="131">
        <v>9.1239078684423724E-6</v>
      </c>
      <c r="AG52" s="131">
        <v>0</v>
      </c>
      <c r="AH52" s="131">
        <v>0</v>
      </c>
      <c r="AI52" s="131">
        <v>0</v>
      </c>
      <c r="AJ52" s="131">
        <v>0</v>
      </c>
      <c r="AK52" s="131">
        <v>0</v>
      </c>
      <c r="AL52" s="131">
        <v>0</v>
      </c>
      <c r="AM52" s="131">
        <v>0</v>
      </c>
      <c r="AN52" s="131">
        <v>0</v>
      </c>
      <c r="AO52" s="131">
        <v>0</v>
      </c>
      <c r="AP52" s="131">
        <v>0</v>
      </c>
      <c r="AQ52" s="131">
        <v>0</v>
      </c>
      <c r="AR52" s="131">
        <v>0</v>
      </c>
      <c r="AS52" s="131">
        <v>9.0034022514817348E-5</v>
      </c>
      <c r="AT52" s="131">
        <v>0</v>
      </c>
      <c r="AU52" s="131">
        <v>0</v>
      </c>
      <c r="AV52" s="131">
        <v>0</v>
      </c>
      <c r="AW52" s="131">
        <v>0.14093939294940461</v>
      </c>
      <c r="AX52" s="131">
        <v>0</v>
      </c>
      <c r="AY52" s="131">
        <v>0</v>
      </c>
      <c r="AZ52" s="131">
        <v>0</v>
      </c>
      <c r="BA52" s="131">
        <v>4.1315701176258005E-2</v>
      </c>
      <c r="BB52" s="131">
        <v>0</v>
      </c>
      <c r="BC52" s="131">
        <v>0</v>
      </c>
      <c r="BD52" s="131">
        <v>0</v>
      </c>
      <c r="BE52" s="131">
        <v>0</v>
      </c>
      <c r="BF52" s="131">
        <v>0</v>
      </c>
      <c r="BG52" s="131">
        <v>0</v>
      </c>
      <c r="BH52" s="131">
        <v>0</v>
      </c>
      <c r="BI52" s="131">
        <v>0</v>
      </c>
      <c r="BJ52" s="131">
        <v>0</v>
      </c>
      <c r="BK52" s="131">
        <v>0</v>
      </c>
      <c r="BL52" s="131">
        <v>0</v>
      </c>
      <c r="BM52" s="131">
        <v>0</v>
      </c>
      <c r="BN52" s="131">
        <v>0</v>
      </c>
      <c r="BO52" s="131">
        <v>0</v>
      </c>
      <c r="BP52" s="131">
        <v>0</v>
      </c>
      <c r="BQ52" s="131">
        <v>0</v>
      </c>
      <c r="BR52" s="131">
        <v>0</v>
      </c>
      <c r="BS52" s="131">
        <v>0</v>
      </c>
      <c r="BT52" s="131">
        <v>0</v>
      </c>
      <c r="BU52" s="131">
        <v>0</v>
      </c>
      <c r="BV52" s="131">
        <v>0</v>
      </c>
      <c r="BW52" s="131">
        <v>0</v>
      </c>
      <c r="BX52" s="131">
        <v>0</v>
      </c>
      <c r="BY52" s="131">
        <v>0</v>
      </c>
      <c r="BZ52" s="131">
        <v>0</v>
      </c>
      <c r="CA52" s="131">
        <v>0</v>
      </c>
      <c r="CB52" s="131">
        <v>0</v>
      </c>
      <c r="CC52" s="131">
        <v>0</v>
      </c>
    </row>
    <row r="53" spans="1:81" x14ac:dyDescent="0.15">
      <c r="A53" s="169" t="s">
        <v>242</v>
      </c>
      <c r="B53" s="131">
        <v>0</v>
      </c>
      <c r="C53" s="131">
        <v>0.1</v>
      </c>
      <c r="D53" s="131">
        <v>0</v>
      </c>
      <c r="E53" s="131">
        <v>0</v>
      </c>
      <c r="F53" s="131">
        <v>4.3981276150012478E-3</v>
      </c>
      <c r="G53" s="131">
        <v>0</v>
      </c>
      <c r="H53" s="131">
        <v>1.0999878938531678E-5</v>
      </c>
      <c r="I53" s="131">
        <v>8.6877517073070398E-5</v>
      </c>
      <c r="J53" s="131">
        <v>1.0998085880088063E-4</v>
      </c>
      <c r="K53" s="131">
        <v>8.399462066288553E-5</v>
      </c>
      <c r="L53" s="131">
        <v>0</v>
      </c>
      <c r="M53" s="131">
        <v>0</v>
      </c>
      <c r="N53" s="131">
        <v>4.3984079263638405E-2</v>
      </c>
      <c r="O53" s="131">
        <v>0</v>
      </c>
      <c r="P53" s="131">
        <v>0</v>
      </c>
      <c r="Q53" s="131">
        <v>0</v>
      </c>
      <c r="R53" s="131">
        <v>1.701141415665693E-4</v>
      </c>
      <c r="S53" s="131">
        <v>0</v>
      </c>
      <c r="T53" s="131">
        <v>0</v>
      </c>
      <c r="U53" s="131">
        <v>0</v>
      </c>
      <c r="V53" s="131">
        <v>1.0003302267088171E-3</v>
      </c>
      <c r="W53" s="131">
        <v>0</v>
      </c>
      <c r="X53" s="131">
        <v>0</v>
      </c>
      <c r="Y53" s="131">
        <v>7.2140998335070176E-6</v>
      </c>
      <c r="Z53" s="131">
        <v>0</v>
      </c>
      <c r="AA53" s="131">
        <v>1.0006383395206151E-6</v>
      </c>
      <c r="AB53" s="131">
        <v>0</v>
      </c>
      <c r="AC53" s="131">
        <v>9.6044271454730344E-6</v>
      </c>
      <c r="AD53" s="131">
        <v>1.7004590743940879E-4</v>
      </c>
      <c r="AE53" s="131">
        <v>2.0010619908240703E-5</v>
      </c>
      <c r="AF53" s="131">
        <v>9.1239078684423724E-6</v>
      </c>
      <c r="AG53" s="131">
        <v>0</v>
      </c>
      <c r="AH53" s="131">
        <v>0</v>
      </c>
      <c r="AI53" s="131">
        <v>0</v>
      </c>
      <c r="AJ53" s="131">
        <v>0</v>
      </c>
      <c r="AK53" s="131">
        <v>0</v>
      </c>
      <c r="AL53" s="131">
        <v>0</v>
      </c>
      <c r="AM53" s="131">
        <v>0</v>
      </c>
      <c r="AN53" s="131">
        <v>0</v>
      </c>
      <c r="AO53" s="131">
        <v>0</v>
      </c>
      <c r="AP53" s="131">
        <v>0</v>
      </c>
      <c r="AQ53" s="131">
        <v>0</v>
      </c>
      <c r="AR53" s="131">
        <v>0</v>
      </c>
      <c r="AS53" s="131">
        <v>0</v>
      </c>
      <c r="AT53" s="131">
        <v>0</v>
      </c>
      <c r="AU53" s="131">
        <v>0</v>
      </c>
      <c r="AV53" s="131">
        <v>0</v>
      </c>
      <c r="AW53" s="131">
        <v>9.9957025637876129E-4</v>
      </c>
      <c r="AX53" s="131">
        <v>0</v>
      </c>
      <c r="AY53" s="131">
        <v>0</v>
      </c>
      <c r="AZ53" s="131">
        <v>0</v>
      </c>
      <c r="BA53" s="131">
        <v>0</v>
      </c>
      <c r="BB53" s="131">
        <v>0</v>
      </c>
      <c r="BC53" s="131">
        <v>0</v>
      </c>
      <c r="BD53" s="131">
        <v>0</v>
      </c>
      <c r="BE53" s="131">
        <v>0</v>
      </c>
      <c r="BF53" s="131">
        <v>0</v>
      </c>
      <c r="BG53" s="131">
        <v>0</v>
      </c>
      <c r="BH53" s="131">
        <v>0</v>
      </c>
      <c r="BI53" s="131">
        <v>0</v>
      </c>
      <c r="BJ53" s="131">
        <v>0</v>
      </c>
      <c r="BK53" s="131">
        <v>0</v>
      </c>
      <c r="BL53" s="131">
        <v>0</v>
      </c>
      <c r="BM53" s="131">
        <v>0</v>
      </c>
      <c r="BN53" s="131">
        <v>0</v>
      </c>
      <c r="BO53" s="131">
        <v>0</v>
      </c>
      <c r="BP53" s="131">
        <v>0</v>
      </c>
      <c r="BQ53" s="131">
        <v>0</v>
      </c>
      <c r="BR53" s="131">
        <v>0</v>
      </c>
      <c r="BS53" s="131">
        <v>0</v>
      </c>
      <c r="BT53" s="131">
        <v>0</v>
      </c>
      <c r="BU53" s="131">
        <v>0</v>
      </c>
      <c r="BV53" s="131">
        <v>0</v>
      </c>
      <c r="BW53" s="131">
        <v>0</v>
      </c>
      <c r="BX53" s="131">
        <v>0</v>
      </c>
      <c r="BY53" s="131">
        <v>0</v>
      </c>
      <c r="BZ53" s="131">
        <v>0</v>
      </c>
      <c r="CA53" s="131">
        <v>0</v>
      </c>
      <c r="CB53" s="131">
        <v>0</v>
      </c>
      <c r="CC53" s="131">
        <v>0</v>
      </c>
    </row>
    <row r="54" spans="1:81" x14ac:dyDescent="0.15">
      <c r="A54" s="169" t="s">
        <v>243</v>
      </c>
      <c r="B54" s="131">
        <v>0</v>
      </c>
      <c r="C54" s="131">
        <v>0</v>
      </c>
      <c r="D54" s="131">
        <v>0</v>
      </c>
      <c r="E54" s="131">
        <v>0</v>
      </c>
      <c r="F54" s="131">
        <v>0</v>
      </c>
      <c r="G54" s="131">
        <v>0</v>
      </c>
      <c r="H54" s="131">
        <v>0</v>
      </c>
      <c r="I54" s="131">
        <v>0</v>
      </c>
      <c r="J54" s="131">
        <v>0</v>
      </c>
      <c r="K54" s="131">
        <v>0</v>
      </c>
      <c r="L54" s="131">
        <v>0</v>
      </c>
      <c r="M54" s="131">
        <v>0</v>
      </c>
      <c r="N54" s="131">
        <v>0</v>
      </c>
      <c r="O54" s="131">
        <v>0</v>
      </c>
      <c r="P54" s="131">
        <v>8.4760882585831589E-4</v>
      </c>
      <c r="Q54" s="131">
        <v>5.0027513668037393E-5</v>
      </c>
      <c r="R54" s="131">
        <v>5.0033572090167414E-3</v>
      </c>
      <c r="S54" s="131">
        <v>0</v>
      </c>
      <c r="T54" s="131">
        <v>0</v>
      </c>
      <c r="U54" s="131">
        <v>0</v>
      </c>
      <c r="V54" s="131">
        <v>0</v>
      </c>
      <c r="W54" s="131">
        <v>0</v>
      </c>
      <c r="X54" s="131">
        <v>0</v>
      </c>
      <c r="Y54" s="131">
        <v>7.2140997435070163E-5</v>
      </c>
      <c r="Z54" s="131">
        <v>0</v>
      </c>
      <c r="AA54" s="131">
        <v>0</v>
      </c>
      <c r="AB54" s="131">
        <v>0</v>
      </c>
      <c r="AC54" s="131">
        <v>0</v>
      </c>
      <c r="AD54" s="131">
        <v>0</v>
      </c>
      <c r="AE54" s="131">
        <v>1.2006373044944417E-2</v>
      </c>
      <c r="AF54" s="131">
        <v>1.000428465574822E-2</v>
      </c>
      <c r="AG54" s="131">
        <v>0</v>
      </c>
      <c r="AH54" s="131">
        <v>0</v>
      </c>
      <c r="AI54" s="131">
        <v>0</v>
      </c>
      <c r="AJ54" s="131">
        <v>0</v>
      </c>
      <c r="AK54" s="131">
        <v>0</v>
      </c>
      <c r="AL54" s="131">
        <v>0</v>
      </c>
      <c r="AM54" s="131">
        <v>0</v>
      </c>
      <c r="AN54" s="131">
        <v>0</v>
      </c>
      <c r="AO54" s="131">
        <v>0</v>
      </c>
      <c r="AP54" s="131">
        <v>0</v>
      </c>
      <c r="AQ54" s="131">
        <v>0</v>
      </c>
      <c r="AR54" s="131">
        <v>0</v>
      </c>
      <c r="AS54" s="131">
        <v>0</v>
      </c>
      <c r="AT54" s="131">
        <v>9.8988419173877305E-6</v>
      </c>
      <c r="AU54" s="131">
        <v>0</v>
      </c>
      <c r="AV54" s="131">
        <v>0</v>
      </c>
      <c r="AW54" s="131">
        <v>0</v>
      </c>
      <c r="AX54" s="131">
        <v>0</v>
      </c>
      <c r="AY54" s="131">
        <v>5.9994002162023783E-3</v>
      </c>
      <c r="AZ54" s="131">
        <v>7.0136401273677047E-3</v>
      </c>
      <c r="BA54" s="131">
        <v>3.9314945419296494E-3</v>
      </c>
      <c r="BB54" s="131">
        <v>0</v>
      </c>
      <c r="BC54" s="131">
        <v>0</v>
      </c>
      <c r="BD54" s="131">
        <v>0</v>
      </c>
      <c r="BE54" s="131">
        <v>0</v>
      </c>
      <c r="BF54" s="131">
        <v>0</v>
      </c>
      <c r="BG54" s="131">
        <v>0</v>
      </c>
      <c r="BH54" s="131">
        <v>0</v>
      </c>
      <c r="BI54" s="131">
        <v>0</v>
      </c>
      <c r="BJ54" s="131">
        <v>0</v>
      </c>
      <c r="BK54" s="131">
        <v>0</v>
      </c>
      <c r="BL54" s="131">
        <v>0</v>
      </c>
      <c r="BM54" s="131">
        <v>0</v>
      </c>
      <c r="BN54" s="131">
        <v>0</v>
      </c>
      <c r="BO54" s="131">
        <v>0</v>
      </c>
      <c r="BP54" s="131">
        <v>0</v>
      </c>
      <c r="BQ54" s="131">
        <v>0</v>
      </c>
      <c r="BR54" s="131">
        <v>0</v>
      </c>
      <c r="BS54" s="131">
        <v>0</v>
      </c>
      <c r="BT54" s="131">
        <v>0</v>
      </c>
      <c r="BU54" s="131">
        <v>0</v>
      </c>
      <c r="BV54" s="131">
        <v>0</v>
      </c>
      <c r="BW54" s="131">
        <v>0</v>
      </c>
      <c r="BX54" s="131">
        <v>0</v>
      </c>
      <c r="BY54" s="131">
        <v>0</v>
      </c>
      <c r="BZ54" s="131">
        <v>0</v>
      </c>
      <c r="CA54" s="131">
        <v>0</v>
      </c>
      <c r="CB54" s="131">
        <v>0</v>
      </c>
      <c r="CC54" s="131">
        <v>0</v>
      </c>
    </row>
    <row r="55" spans="1:81" x14ac:dyDescent="0.15">
      <c r="A55" s="169" t="s">
        <v>244</v>
      </c>
      <c r="B55" s="131">
        <v>0</v>
      </c>
      <c r="C55" s="131">
        <v>0</v>
      </c>
      <c r="D55" s="131">
        <v>0</v>
      </c>
      <c r="E55" s="131">
        <v>0</v>
      </c>
      <c r="F55" s="131">
        <v>0</v>
      </c>
      <c r="G55" s="131">
        <v>0</v>
      </c>
      <c r="H55" s="131">
        <v>9.9998908532106029E-4</v>
      </c>
      <c r="I55" s="131">
        <v>0</v>
      </c>
      <c r="J55" s="131">
        <v>6.3988860465966896E-5</v>
      </c>
      <c r="K55" s="131">
        <v>0</v>
      </c>
      <c r="L55" s="131">
        <v>0</v>
      </c>
      <c r="M55" s="131">
        <v>0</v>
      </c>
      <c r="N55" s="131">
        <v>0</v>
      </c>
      <c r="O55" s="131">
        <v>0</v>
      </c>
      <c r="P55" s="131">
        <v>0</v>
      </c>
      <c r="Q55" s="131">
        <v>0</v>
      </c>
      <c r="R55" s="131">
        <v>0</v>
      </c>
      <c r="S55" s="131">
        <v>0</v>
      </c>
      <c r="T55" s="131">
        <v>0</v>
      </c>
      <c r="U55" s="131">
        <v>1.5010131746713027E-5</v>
      </c>
      <c r="V55" s="131">
        <v>0</v>
      </c>
      <c r="W55" s="131">
        <v>0</v>
      </c>
      <c r="X55" s="131">
        <v>0</v>
      </c>
      <c r="Y55" s="131">
        <v>0</v>
      </c>
      <c r="Z55" s="131">
        <v>0</v>
      </c>
      <c r="AA55" s="131">
        <v>1.2007660474247376E-4</v>
      </c>
      <c r="AB55" s="131">
        <v>0</v>
      </c>
      <c r="AC55" s="131">
        <v>1.9008760287915353E-5</v>
      </c>
      <c r="AD55" s="131">
        <v>0</v>
      </c>
      <c r="AE55" s="131">
        <v>1.2006373044944417E-2</v>
      </c>
      <c r="AF55" s="131">
        <v>9.0238658698848788E-5</v>
      </c>
      <c r="AG55" s="131">
        <v>0</v>
      </c>
      <c r="AH55" s="131">
        <v>0</v>
      </c>
      <c r="AI55" s="131">
        <v>0</v>
      </c>
      <c r="AJ55" s="131">
        <v>0</v>
      </c>
      <c r="AK55" s="131">
        <v>0</v>
      </c>
      <c r="AL55" s="131">
        <v>0</v>
      </c>
      <c r="AM55" s="131">
        <v>0</v>
      </c>
      <c r="AN55" s="131">
        <v>0</v>
      </c>
      <c r="AO55" s="131">
        <v>0</v>
      </c>
      <c r="AP55" s="131">
        <v>0</v>
      </c>
      <c r="AQ55" s="131">
        <v>0</v>
      </c>
      <c r="AR55" s="131">
        <v>0</v>
      </c>
      <c r="AS55" s="131">
        <v>0</v>
      </c>
      <c r="AT55" s="131">
        <v>9.6988649190566683E-8</v>
      </c>
      <c r="AU55" s="131">
        <v>0</v>
      </c>
      <c r="AV55" s="131">
        <v>0</v>
      </c>
      <c r="AW55" s="131">
        <v>0</v>
      </c>
      <c r="AX55" s="131">
        <v>0</v>
      </c>
      <c r="AY55" s="131">
        <v>0</v>
      </c>
      <c r="AZ55" s="131">
        <v>0</v>
      </c>
      <c r="BA55" s="131">
        <v>0</v>
      </c>
      <c r="BB55" s="131">
        <v>0</v>
      </c>
      <c r="BC55" s="131">
        <v>0</v>
      </c>
      <c r="BD55" s="131">
        <v>0</v>
      </c>
      <c r="BE55" s="131">
        <v>0</v>
      </c>
      <c r="BF55" s="131">
        <v>0</v>
      </c>
      <c r="BG55" s="131">
        <v>0</v>
      </c>
      <c r="BH55" s="131">
        <v>0</v>
      </c>
      <c r="BI55" s="131">
        <v>0</v>
      </c>
      <c r="BJ55" s="131">
        <v>0</v>
      </c>
      <c r="BK55" s="131">
        <v>0</v>
      </c>
      <c r="BL55" s="131">
        <v>0</v>
      </c>
      <c r="BM55" s="131">
        <v>0</v>
      </c>
      <c r="BN55" s="131">
        <v>0</v>
      </c>
      <c r="BO55" s="131">
        <v>0</v>
      </c>
      <c r="BP55" s="131">
        <v>0</v>
      </c>
      <c r="BQ55" s="131">
        <v>0</v>
      </c>
      <c r="BR55" s="131">
        <v>0</v>
      </c>
      <c r="BS55" s="131">
        <v>0</v>
      </c>
      <c r="BT55" s="131">
        <v>0</v>
      </c>
      <c r="BU55" s="131">
        <v>0</v>
      </c>
      <c r="BV55" s="131">
        <v>0</v>
      </c>
      <c r="BW55" s="131">
        <v>0</v>
      </c>
      <c r="BX55" s="131">
        <v>0</v>
      </c>
      <c r="BY55" s="131">
        <v>0</v>
      </c>
      <c r="BZ55" s="131">
        <v>0</v>
      </c>
      <c r="CA55" s="131">
        <v>0</v>
      </c>
      <c r="CB55" s="131">
        <v>0</v>
      </c>
      <c r="CC55" s="131">
        <v>0</v>
      </c>
    </row>
    <row r="56" spans="1:81" x14ac:dyDescent="0.15">
      <c r="A56" s="169" t="s">
        <v>245</v>
      </c>
      <c r="B56" s="131">
        <v>0</v>
      </c>
      <c r="C56" s="131">
        <v>0</v>
      </c>
      <c r="D56" s="131">
        <v>0</v>
      </c>
      <c r="E56" s="131">
        <v>0</v>
      </c>
      <c r="F56" s="131">
        <v>0</v>
      </c>
      <c r="G56" s="131">
        <v>0</v>
      </c>
      <c r="H56" s="131">
        <v>9.9998898532106181E-3</v>
      </c>
      <c r="I56" s="131">
        <v>0</v>
      </c>
      <c r="J56" s="131">
        <v>0.76686657058432239</v>
      </c>
      <c r="K56" s="131">
        <v>0.62096024090061819</v>
      </c>
      <c r="L56" s="131">
        <v>9.9989999999999992E-3</v>
      </c>
      <c r="M56" s="131">
        <v>0</v>
      </c>
      <c r="N56" s="131">
        <v>0</v>
      </c>
      <c r="O56" s="131">
        <v>0</v>
      </c>
      <c r="P56" s="131">
        <v>4.2880209233987943E-2</v>
      </c>
      <c r="Q56" s="131">
        <v>0</v>
      </c>
      <c r="R56" s="131">
        <v>0</v>
      </c>
      <c r="S56" s="131">
        <v>0</v>
      </c>
      <c r="T56" s="131">
        <v>0</v>
      </c>
      <c r="U56" s="131">
        <v>1.0006755131142032E-3</v>
      </c>
      <c r="V56" s="131">
        <v>0.73524261963097792</v>
      </c>
      <c r="W56" s="131">
        <v>0</v>
      </c>
      <c r="X56" s="131">
        <v>0</v>
      </c>
      <c r="Y56" s="131">
        <v>7.2140991335070057E-2</v>
      </c>
      <c r="Z56" s="131">
        <v>0</v>
      </c>
      <c r="AA56" s="131">
        <v>1.0006383395206151E-3</v>
      </c>
      <c r="AB56" s="131">
        <v>0</v>
      </c>
      <c r="AC56" s="131">
        <v>0</v>
      </c>
      <c r="AD56" s="131">
        <v>2.0005402181106887E-3</v>
      </c>
      <c r="AE56" s="131">
        <v>9.2248964876989615E-6</v>
      </c>
      <c r="AF56" s="131">
        <v>0</v>
      </c>
      <c r="AG56" s="131">
        <v>0</v>
      </c>
      <c r="AH56" s="131">
        <v>0</v>
      </c>
      <c r="AI56" s="131">
        <v>0</v>
      </c>
      <c r="AJ56" s="131">
        <v>0</v>
      </c>
      <c r="AK56" s="131">
        <v>0</v>
      </c>
      <c r="AL56" s="131">
        <v>0</v>
      </c>
      <c r="AM56" s="131">
        <v>0</v>
      </c>
      <c r="AN56" s="131">
        <v>0</v>
      </c>
      <c r="AO56" s="131">
        <v>0</v>
      </c>
      <c r="AP56" s="131">
        <v>0</v>
      </c>
      <c r="AQ56" s="131">
        <v>0</v>
      </c>
      <c r="AR56" s="131">
        <v>0</v>
      </c>
      <c r="AS56" s="131">
        <v>0</v>
      </c>
      <c r="AT56" s="131">
        <v>0</v>
      </c>
      <c r="AU56" s="131">
        <v>0</v>
      </c>
      <c r="AV56" s="131">
        <v>8.0015358548761448E-2</v>
      </c>
      <c r="AW56" s="131">
        <v>0</v>
      </c>
      <c r="AX56" s="131">
        <v>0</v>
      </c>
      <c r="AY56" s="131">
        <v>0</v>
      </c>
      <c r="AZ56" s="131">
        <v>0</v>
      </c>
      <c r="BA56" s="131">
        <v>0</v>
      </c>
      <c r="BB56" s="131">
        <v>0</v>
      </c>
      <c r="BC56" s="131">
        <v>0</v>
      </c>
      <c r="BD56" s="131">
        <v>0</v>
      </c>
      <c r="BE56" s="131">
        <v>0</v>
      </c>
      <c r="BF56" s="131">
        <v>0</v>
      </c>
      <c r="BG56" s="131">
        <v>0</v>
      </c>
      <c r="BH56" s="131">
        <v>0</v>
      </c>
      <c r="BI56" s="131">
        <v>0</v>
      </c>
      <c r="BJ56" s="131">
        <v>0</v>
      </c>
      <c r="BK56" s="131">
        <v>0</v>
      </c>
      <c r="BL56" s="131">
        <v>0</v>
      </c>
      <c r="BM56" s="131">
        <v>0</v>
      </c>
      <c r="BN56" s="131">
        <v>0</v>
      </c>
      <c r="BO56" s="131">
        <v>0</v>
      </c>
      <c r="BP56" s="131">
        <v>0</v>
      </c>
      <c r="BQ56" s="131">
        <v>0</v>
      </c>
      <c r="BR56" s="131">
        <v>0</v>
      </c>
      <c r="BS56" s="131">
        <v>0</v>
      </c>
      <c r="BT56" s="131">
        <v>0</v>
      </c>
      <c r="BU56" s="131">
        <v>0</v>
      </c>
      <c r="BV56" s="131">
        <v>0</v>
      </c>
      <c r="BW56" s="131">
        <v>0</v>
      </c>
      <c r="BX56" s="131">
        <v>0</v>
      </c>
      <c r="BY56" s="131">
        <v>0</v>
      </c>
      <c r="BZ56" s="131">
        <v>0</v>
      </c>
      <c r="CA56" s="131">
        <v>0</v>
      </c>
      <c r="CB56" s="131">
        <v>0</v>
      </c>
      <c r="CC56" s="131">
        <v>0</v>
      </c>
    </row>
    <row r="57" spans="1:81" x14ac:dyDescent="0.15">
      <c r="A57" s="169" t="s">
        <v>246</v>
      </c>
      <c r="B57" s="131">
        <v>0</v>
      </c>
      <c r="C57" s="131">
        <v>0</v>
      </c>
      <c r="D57" s="131">
        <v>0</v>
      </c>
      <c r="E57" s="131">
        <v>0</v>
      </c>
      <c r="F57" s="131">
        <v>0</v>
      </c>
      <c r="G57" s="131">
        <v>0</v>
      </c>
      <c r="H57" s="131">
        <v>0</v>
      </c>
      <c r="I57" s="131">
        <v>0</v>
      </c>
      <c r="J57" s="131">
        <v>0</v>
      </c>
      <c r="K57" s="131">
        <v>0</v>
      </c>
      <c r="L57" s="131">
        <v>0</v>
      </c>
      <c r="M57" s="131">
        <v>0</v>
      </c>
      <c r="N57" s="131">
        <v>0</v>
      </c>
      <c r="O57" s="131">
        <v>0</v>
      </c>
      <c r="P57" s="131">
        <v>0</v>
      </c>
      <c r="Q57" s="131">
        <v>0</v>
      </c>
      <c r="R57" s="131">
        <v>0</v>
      </c>
      <c r="S57" s="131">
        <v>0</v>
      </c>
      <c r="T57" s="131">
        <v>0</v>
      </c>
      <c r="U57" s="131">
        <v>0</v>
      </c>
      <c r="V57" s="131">
        <v>0</v>
      </c>
      <c r="W57" s="131">
        <v>0</v>
      </c>
      <c r="X57" s="131">
        <v>0</v>
      </c>
      <c r="Y57" s="131">
        <v>0</v>
      </c>
      <c r="Z57" s="131">
        <v>0</v>
      </c>
      <c r="AA57" s="131">
        <v>0</v>
      </c>
      <c r="AB57" s="131">
        <v>0</v>
      </c>
      <c r="AC57" s="131">
        <v>0</v>
      </c>
      <c r="AD57" s="131">
        <v>0</v>
      </c>
      <c r="AE57" s="131">
        <v>0</v>
      </c>
      <c r="AF57" s="131">
        <v>0</v>
      </c>
      <c r="AG57" s="131">
        <v>0</v>
      </c>
      <c r="AH57" s="131">
        <v>0</v>
      </c>
      <c r="AI57" s="131">
        <v>0</v>
      </c>
      <c r="AJ57" s="131">
        <v>0</v>
      </c>
      <c r="AK57" s="131">
        <v>0</v>
      </c>
      <c r="AL57" s="131">
        <v>0</v>
      </c>
      <c r="AM57" s="131">
        <v>0</v>
      </c>
      <c r="AN57" s="131">
        <v>0</v>
      </c>
      <c r="AO57" s="131">
        <v>0</v>
      </c>
      <c r="AP57" s="131">
        <v>0</v>
      </c>
      <c r="AQ57" s="131">
        <v>0</v>
      </c>
      <c r="AR57" s="131">
        <v>0</v>
      </c>
      <c r="AS57" s="131">
        <v>0</v>
      </c>
      <c r="AT57" s="131">
        <v>0</v>
      </c>
      <c r="AU57" s="131">
        <v>0</v>
      </c>
      <c r="AV57" s="131">
        <v>0</v>
      </c>
      <c r="AW57" s="131">
        <v>0</v>
      </c>
      <c r="AX57" s="131">
        <v>0</v>
      </c>
      <c r="AY57" s="131">
        <v>0</v>
      </c>
      <c r="AZ57" s="131">
        <v>0</v>
      </c>
      <c r="BA57" s="131">
        <v>0</v>
      </c>
      <c r="BB57" s="131">
        <v>0</v>
      </c>
      <c r="BC57" s="131">
        <v>0</v>
      </c>
      <c r="BD57" s="131">
        <v>0</v>
      </c>
      <c r="BE57" s="131">
        <v>0</v>
      </c>
      <c r="BF57" s="131">
        <v>0</v>
      </c>
      <c r="BG57" s="131">
        <v>0</v>
      </c>
      <c r="BH57" s="131">
        <v>0</v>
      </c>
      <c r="BI57" s="131">
        <v>0</v>
      </c>
      <c r="BJ57" s="131">
        <v>0</v>
      </c>
      <c r="BK57" s="131">
        <v>0</v>
      </c>
      <c r="BL57" s="131">
        <v>0</v>
      </c>
      <c r="BM57" s="131">
        <v>0</v>
      </c>
      <c r="BN57" s="131">
        <v>0</v>
      </c>
      <c r="BO57" s="131">
        <v>0</v>
      </c>
      <c r="BP57" s="131">
        <v>0</v>
      </c>
      <c r="BQ57" s="131">
        <v>0</v>
      </c>
      <c r="BR57" s="131">
        <v>0</v>
      </c>
      <c r="BS57" s="131">
        <v>0</v>
      </c>
      <c r="BT57" s="131">
        <v>0</v>
      </c>
      <c r="BU57" s="131">
        <v>0</v>
      </c>
      <c r="BV57" s="131">
        <v>0</v>
      </c>
      <c r="BW57" s="131">
        <v>0</v>
      </c>
      <c r="BX57" s="131">
        <v>0</v>
      </c>
      <c r="BY57" s="131">
        <v>0</v>
      </c>
      <c r="BZ57" s="131">
        <v>0</v>
      </c>
      <c r="CA57" s="131">
        <v>0</v>
      </c>
      <c r="CB57" s="131">
        <v>0</v>
      </c>
      <c r="CC57" s="131">
        <v>0</v>
      </c>
    </row>
    <row r="58" spans="1:81" x14ac:dyDescent="0.15">
      <c r="A58" s="169" t="s">
        <v>247</v>
      </c>
      <c r="B58" s="131">
        <v>0</v>
      </c>
      <c r="C58" s="131">
        <v>0</v>
      </c>
      <c r="D58" s="131">
        <v>0</v>
      </c>
      <c r="E58" s="131">
        <v>0</v>
      </c>
      <c r="F58" s="131">
        <v>0</v>
      </c>
      <c r="G58" s="131">
        <v>0</v>
      </c>
      <c r="H58" s="131">
        <v>0</v>
      </c>
      <c r="I58" s="131">
        <v>0</v>
      </c>
      <c r="J58" s="131">
        <v>0</v>
      </c>
      <c r="K58" s="131">
        <v>0</v>
      </c>
      <c r="L58" s="131">
        <v>0</v>
      </c>
      <c r="M58" s="131">
        <v>0</v>
      </c>
      <c r="N58" s="131">
        <v>0</v>
      </c>
      <c r="O58" s="131">
        <v>0</v>
      </c>
      <c r="P58" s="131">
        <v>0</v>
      </c>
      <c r="Q58" s="131">
        <v>0</v>
      </c>
      <c r="R58" s="131">
        <v>0</v>
      </c>
      <c r="S58" s="131">
        <v>0</v>
      </c>
      <c r="T58" s="131">
        <v>0</v>
      </c>
      <c r="U58" s="131">
        <v>0</v>
      </c>
      <c r="V58" s="131">
        <v>0</v>
      </c>
      <c r="W58" s="131">
        <v>0</v>
      </c>
      <c r="X58" s="131">
        <v>0</v>
      </c>
      <c r="Y58" s="131">
        <v>0</v>
      </c>
      <c r="Z58" s="131">
        <v>0</v>
      </c>
      <c r="AA58" s="131">
        <v>0</v>
      </c>
      <c r="AB58" s="131">
        <v>0</v>
      </c>
      <c r="AC58" s="131">
        <v>0</v>
      </c>
      <c r="AD58" s="131">
        <v>0</v>
      </c>
      <c r="AE58" s="131">
        <v>0</v>
      </c>
      <c r="AF58" s="131">
        <v>0</v>
      </c>
      <c r="AG58" s="131">
        <v>0</v>
      </c>
      <c r="AH58" s="131">
        <v>0</v>
      </c>
      <c r="AI58" s="131">
        <v>0</v>
      </c>
      <c r="AJ58" s="131">
        <v>0</v>
      </c>
      <c r="AK58" s="131">
        <v>0</v>
      </c>
      <c r="AL58" s="131">
        <v>0</v>
      </c>
      <c r="AM58" s="131">
        <v>0</v>
      </c>
      <c r="AN58" s="131">
        <v>0</v>
      </c>
      <c r="AO58" s="131">
        <v>0</v>
      </c>
      <c r="AP58" s="131">
        <v>0</v>
      </c>
      <c r="AQ58" s="131">
        <v>0</v>
      </c>
      <c r="AR58" s="131">
        <v>0</v>
      </c>
      <c r="AS58" s="131">
        <v>0</v>
      </c>
      <c r="AT58" s="131">
        <v>0</v>
      </c>
      <c r="AU58" s="131">
        <v>0</v>
      </c>
      <c r="AV58" s="131">
        <v>0</v>
      </c>
      <c r="AW58" s="131">
        <v>5.9974210882725431E-3</v>
      </c>
      <c r="AX58" s="131">
        <v>0</v>
      </c>
      <c r="AY58" s="131">
        <v>0</v>
      </c>
      <c r="AZ58" s="131">
        <v>0</v>
      </c>
      <c r="BA58" s="131">
        <v>0</v>
      </c>
      <c r="BB58" s="131">
        <v>0</v>
      </c>
      <c r="BC58" s="131">
        <v>0</v>
      </c>
      <c r="BD58" s="131">
        <v>0</v>
      </c>
      <c r="BE58" s="131">
        <v>0</v>
      </c>
      <c r="BF58" s="131">
        <v>0</v>
      </c>
      <c r="BG58" s="131">
        <v>0</v>
      </c>
      <c r="BH58" s="131">
        <v>0</v>
      </c>
      <c r="BI58" s="131">
        <v>0</v>
      </c>
      <c r="BJ58" s="131">
        <v>0</v>
      </c>
      <c r="BK58" s="131">
        <v>0</v>
      </c>
      <c r="BL58" s="131">
        <v>0</v>
      </c>
      <c r="BM58" s="131">
        <v>0</v>
      </c>
      <c r="BN58" s="131">
        <v>0</v>
      </c>
      <c r="BO58" s="131">
        <v>0</v>
      </c>
      <c r="BP58" s="131">
        <v>0</v>
      </c>
      <c r="BQ58" s="131">
        <v>0</v>
      </c>
      <c r="BR58" s="131">
        <v>0</v>
      </c>
      <c r="BS58" s="131">
        <v>0</v>
      </c>
      <c r="BT58" s="131">
        <v>0</v>
      </c>
      <c r="BU58" s="131">
        <v>0</v>
      </c>
      <c r="BV58" s="131">
        <v>0</v>
      </c>
      <c r="BW58" s="131">
        <v>0</v>
      </c>
      <c r="BX58" s="131">
        <v>0</v>
      </c>
      <c r="BY58" s="131">
        <v>0</v>
      </c>
      <c r="BZ58" s="131">
        <v>0</v>
      </c>
      <c r="CA58" s="131">
        <v>0</v>
      </c>
      <c r="CB58" s="131">
        <v>0</v>
      </c>
      <c r="CC58" s="131">
        <v>0</v>
      </c>
    </row>
    <row r="59" spans="1:81" x14ac:dyDescent="0.15">
      <c r="A59" s="169" t="s">
        <v>248</v>
      </c>
      <c r="B59" s="131">
        <v>0</v>
      </c>
      <c r="C59" s="131">
        <v>0</v>
      </c>
      <c r="D59" s="131">
        <v>0</v>
      </c>
      <c r="E59" s="131">
        <v>0</v>
      </c>
      <c r="F59" s="131">
        <v>0</v>
      </c>
      <c r="G59" s="131">
        <v>0</v>
      </c>
      <c r="H59" s="131">
        <v>0</v>
      </c>
      <c r="I59" s="131">
        <v>0</v>
      </c>
      <c r="J59" s="131">
        <v>0</v>
      </c>
      <c r="K59" s="131">
        <v>0</v>
      </c>
      <c r="L59" s="131">
        <v>0</v>
      </c>
      <c r="M59" s="131">
        <v>0</v>
      </c>
      <c r="N59" s="131">
        <v>0</v>
      </c>
      <c r="O59" s="131">
        <v>0</v>
      </c>
      <c r="P59" s="131">
        <v>0</v>
      </c>
      <c r="Q59" s="131">
        <v>0</v>
      </c>
      <c r="R59" s="131">
        <v>0</v>
      </c>
      <c r="S59" s="131">
        <v>0</v>
      </c>
      <c r="T59" s="131">
        <v>0</v>
      </c>
      <c r="U59" s="131">
        <v>0</v>
      </c>
      <c r="V59" s="131">
        <v>0</v>
      </c>
      <c r="W59" s="131">
        <v>1.0999988168013014E-6</v>
      </c>
      <c r="X59" s="131">
        <v>0</v>
      </c>
      <c r="Y59" s="131">
        <v>0</v>
      </c>
      <c r="Z59" s="131">
        <v>0</v>
      </c>
      <c r="AA59" s="131">
        <v>0</v>
      </c>
      <c r="AB59" s="131">
        <v>0.1</v>
      </c>
      <c r="AC59" s="131">
        <v>0</v>
      </c>
      <c r="AD59" s="131">
        <v>0</v>
      </c>
      <c r="AE59" s="131">
        <v>0</v>
      </c>
      <c r="AF59" s="131">
        <v>0</v>
      </c>
      <c r="AG59" s="131">
        <v>0</v>
      </c>
      <c r="AH59" s="131">
        <v>0</v>
      </c>
      <c r="AI59" s="131">
        <v>0</v>
      </c>
      <c r="AJ59" s="131">
        <v>0</v>
      </c>
      <c r="AK59" s="131">
        <v>0</v>
      </c>
      <c r="AL59" s="131">
        <v>0</v>
      </c>
      <c r="AM59" s="131">
        <v>0</v>
      </c>
      <c r="AN59" s="131">
        <v>0</v>
      </c>
      <c r="AO59" s="131">
        <v>0</v>
      </c>
      <c r="AP59" s="131">
        <v>0</v>
      </c>
      <c r="AQ59" s="131">
        <v>0</v>
      </c>
      <c r="AR59" s="131">
        <v>0</v>
      </c>
      <c r="AS59" s="131">
        <v>0</v>
      </c>
      <c r="AT59" s="131">
        <v>0</v>
      </c>
      <c r="AU59" s="131">
        <v>0</v>
      </c>
      <c r="AV59" s="131">
        <v>0</v>
      </c>
      <c r="AW59" s="131">
        <v>0</v>
      </c>
      <c r="AX59" s="131">
        <v>0</v>
      </c>
      <c r="AY59" s="131">
        <v>0</v>
      </c>
      <c r="AZ59" s="131">
        <v>0</v>
      </c>
      <c r="BA59" s="131">
        <v>0</v>
      </c>
      <c r="BB59" s="131">
        <v>0</v>
      </c>
      <c r="BC59" s="131">
        <v>0</v>
      </c>
      <c r="BD59" s="131">
        <v>0</v>
      </c>
      <c r="BE59" s="131">
        <v>0</v>
      </c>
      <c r="BF59" s="131">
        <v>0</v>
      </c>
      <c r="BG59" s="131">
        <v>0</v>
      </c>
      <c r="BH59" s="131">
        <v>1.0999999659000011E-2</v>
      </c>
      <c r="BI59" s="131">
        <v>0</v>
      </c>
      <c r="BJ59" s="131">
        <v>0</v>
      </c>
      <c r="BK59" s="131">
        <v>0</v>
      </c>
      <c r="BL59" s="131">
        <v>0</v>
      </c>
      <c r="BM59" s="131">
        <v>0</v>
      </c>
      <c r="BN59" s="131">
        <v>0</v>
      </c>
      <c r="BO59" s="131">
        <v>0</v>
      </c>
      <c r="BP59" s="131">
        <v>0</v>
      </c>
      <c r="BQ59" s="131">
        <v>0</v>
      </c>
      <c r="BR59" s="131">
        <v>0</v>
      </c>
      <c r="BS59" s="131">
        <v>0</v>
      </c>
      <c r="BT59" s="131">
        <v>0</v>
      </c>
      <c r="BU59" s="131">
        <v>0</v>
      </c>
      <c r="BV59" s="131">
        <v>0</v>
      </c>
      <c r="BW59" s="131">
        <v>0</v>
      </c>
      <c r="BX59" s="131">
        <v>0</v>
      </c>
      <c r="BY59" s="131">
        <v>0</v>
      </c>
      <c r="BZ59" s="131">
        <v>0</v>
      </c>
      <c r="CA59" s="131">
        <v>0</v>
      </c>
      <c r="CB59" s="131">
        <v>0</v>
      </c>
      <c r="CC59" s="131">
        <v>0</v>
      </c>
    </row>
    <row r="60" spans="1:81" x14ac:dyDescent="0.15">
      <c r="A60" s="169" t="s">
        <v>249</v>
      </c>
      <c r="B60" s="131">
        <v>0</v>
      </c>
      <c r="C60" s="131">
        <v>0</v>
      </c>
      <c r="D60" s="131">
        <v>0</v>
      </c>
      <c r="E60" s="131">
        <v>0</v>
      </c>
      <c r="F60" s="131">
        <v>0</v>
      </c>
      <c r="G60" s="131">
        <v>0</v>
      </c>
      <c r="H60" s="131">
        <v>0</v>
      </c>
      <c r="I60" s="131">
        <v>0</v>
      </c>
      <c r="J60" s="131">
        <v>0</v>
      </c>
      <c r="K60" s="131">
        <v>0</v>
      </c>
      <c r="L60" s="131">
        <v>0</v>
      </c>
      <c r="M60" s="131">
        <v>0</v>
      </c>
      <c r="N60" s="131">
        <v>0</v>
      </c>
      <c r="O60" s="131">
        <v>0</v>
      </c>
      <c r="P60" s="131">
        <v>0</v>
      </c>
      <c r="Q60" s="131">
        <v>0</v>
      </c>
      <c r="R60" s="131">
        <v>0</v>
      </c>
      <c r="S60" s="131">
        <v>0</v>
      </c>
      <c r="T60" s="131">
        <v>0</v>
      </c>
      <c r="U60" s="131">
        <v>0</v>
      </c>
      <c r="V60" s="131">
        <v>0</v>
      </c>
      <c r="W60" s="131">
        <v>0.81199909025696093</v>
      </c>
      <c r="X60" s="131">
        <v>0</v>
      </c>
      <c r="Y60" s="131">
        <v>0</v>
      </c>
      <c r="Z60" s="131">
        <v>0</v>
      </c>
      <c r="AA60" s="131">
        <v>0</v>
      </c>
      <c r="AB60" s="131">
        <v>0.7</v>
      </c>
      <c r="AC60" s="131">
        <v>0</v>
      </c>
      <c r="AD60" s="131">
        <v>0</v>
      </c>
      <c r="AE60" s="131">
        <v>0</v>
      </c>
      <c r="AF60" s="131">
        <v>0</v>
      </c>
      <c r="AG60" s="131">
        <v>0</v>
      </c>
      <c r="AH60" s="131">
        <v>0</v>
      </c>
      <c r="AI60" s="131">
        <v>0.63901277821858438</v>
      </c>
      <c r="AJ60" s="131">
        <v>0</v>
      </c>
      <c r="AK60" s="131">
        <v>0</v>
      </c>
      <c r="AL60" s="131">
        <v>0</v>
      </c>
      <c r="AM60" s="131">
        <v>0</v>
      </c>
      <c r="AN60" s="131">
        <v>0</v>
      </c>
      <c r="AO60" s="131">
        <v>0</v>
      </c>
      <c r="AP60" s="131">
        <v>0</v>
      </c>
      <c r="AQ60" s="131">
        <v>0</v>
      </c>
      <c r="AR60" s="131">
        <v>0</v>
      </c>
      <c r="AS60" s="131">
        <v>0</v>
      </c>
      <c r="AT60" s="131">
        <v>0</v>
      </c>
      <c r="AU60" s="131">
        <v>0</v>
      </c>
      <c r="AV60" s="131">
        <v>0</v>
      </c>
      <c r="AW60" s="131">
        <v>0</v>
      </c>
      <c r="AX60" s="131">
        <v>0</v>
      </c>
      <c r="AY60" s="131">
        <v>0</v>
      </c>
      <c r="AZ60" s="131">
        <v>0</v>
      </c>
      <c r="BA60" s="131">
        <v>0</v>
      </c>
      <c r="BB60" s="131">
        <v>0</v>
      </c>
      <c r="BC60" s="131">
        <v>0</v>
      </c>
      <c r="BD60" s="131">
        <v>0</v>
      </c>
      <c r="BE60" s="131">
        <v>0</v>
      </c>
      <c r="BF60" s="131">
        <v>0</v>
      </c>
      <c r="BG60" s="131">
        <v>0</v>
      </c>
      <c r="BH60" s="131">
        <v>0</v>
      </c>
      <c r="BI60" s="131">
        <v>0</v>
      </c>
      <c r="BJ60" s="131">
        <v>0.27200000000000002</v>
      </c>
      <c r="BK60" s="131">
        <v>0</v>
      </c>
      <c r="BL60" s="131">
        <v>0</v>
      </c>
      <c r="BM60" s="131">
        <v>0</v>
      </c>
      <c r="BN60" s="131">
        <v>0</v>
      </c>
      <c r="BO60" s="131">
        <v>0</v>
      </c>
      <c r="BP60" s="131">
        <v>0</v>
      </c>
      <c r="BQ60" s="131">
        <v>0</v>
      </c>
      <c r="BR60" s="131">
        <v>0</v>
      </c>
      <c r="BS60" s="131">
        <v>0</v>
      </c>
      <c r="BT60" s="131">
        <v>0</v>
      </c>
      <c r="BU60" s="131">
        <v>0</v>
      </c>
      <c r="BV60" s="131">
        <v>0</v>
      </c>
      <c r="BW60" s="131">
        <v>0</v>
      </c>
      <c r="BX60" s="131">
        <v>0</v>
      </c>
      <c r="BY60" s="131">
        <v>0</v>
      </c>
      <c r="BZ60" s="131">
        <v>0</v>
      </c>
      <c r="CA60" s="131">
        <v>0</v>
      </c>
      <c r="CB60" s="131">
        <v>0</v>
      </c>
      <c r="CC60" s="131">
        <v>0</v>
      </c>
    </row>
    <row r="61" spans="1:81" x14ac:dyDescent="0.15">
      <c r="A61" s="169" t="s">
        <v>250</v>
      </c>
      <c r="B61" s="131">
        <v>0</v>
      </c>
      <c r="C61" s="131">
        <v>0</v>
      </c>
      <c r="D61" s="131">
        <v>0</v>
      </c>
      <c r="E61" s="131">
        <v>0</v>
      </c>
      <c r="F61" s="131">
        <v>0</v>
      </c>
      <c r="G61" s="131">
        <v>0</v>
      </c>
      <c r="H61" s="131">
        <v>0</v>
      </c>
      <c r="I61" s="131">
        <v>0</v>
      </c>
      <c r="J61" s="131">
        <v>0</v>
      </c>
      <c r="K61" s="131">
        <v>0</v>
      </c>
      <c r="L61" s="131">
        <v>0</v>
      </c>
      <c r="M61" s="131">
        <v>0</v>
      </c>
      <c r="N61" s="131">
        <v>0</v>
      </c>
      <c r="O61" s="131">
        <v>0</v>
      </c>
      <c r="P61" s="131">
        <v>0</v>
      </c>
      <c r="Q61" s="131">
        <v>0</v>
      </c>
      <c r="R61" s="131">
        <v>0</v>
      </c>
      <c r="S61" s="131">
        <v>0</v>
      </c>
      <c r="T61" s="131">
        <v>0</v>
      </c>
      <c r="U61" s="131">
        <v>1.0006755131142032E-3</v>
      </c>
      <c r="V61" s="131">
        <v>0</v>
      </c>
      <c r="W61" s="131">
        <v>0</v>
      </c>
      <c r="X61" s="131">
        <v>0</v>
      </c>
      <c r="Y61" s="131">
        <v>7.0039801296184583E-3</v>
      </c>
      <c r="Z61" s="131">
        <v>0</v>
      </c>
      <c r="AA61" s="131">
        <v>0</v>
      </c>
      <c r="AB61" s="131">
        <v>0</v>
      </c>
      <c r="AC61" s="131">
        <v>1.9008760287915351E-2</v>
      </c>
      <c r="AD61" s="131">
        <v>0</v>
      </c>
      <c r="AE61" s="131">
        <v>0</v>
      </c>
      <c r="AF61" s="131">
        <v>0.1030441355142066</v>
      </c>
      <c r="AG61" s="131">
        <v>0.50399999334720014</v>
      </c>
      <c r="AH61" s="131">
        <v>0</v>
      </c>
      <c r="AI61" s="131">
        <v>0</v>
      </c>
      <c r="AJ61" s="131">
        <v>0</v>
      </c>
      <c r="AK61" s="131">
        <v>0</v>
      </c>
      <c r="AL61" s="131">
        <v>0</v>
      </c>
      <c r="AM61" s="131">
        <v>0</v>
      </c>
      <c r="AN61" s="131">
        <v>0</v>
      </c>
      <c r="AO61" s="131">
        <v>0</v>
      </c>
      <c r="AP61" s="131">
        <v>0</v>
      </c>
      <c r="AQ61" s="131">
        <v>0</v>
      </c>
      <c r="AR61" s="131">
        <v>0</v>
      </c>
      <c r="AS61" s="131">
        <v>0</v>
      </c>
      <c r="AT61" s="131">
        <v>0</v>
      </c>
      <c r="AU61" s="131">
        <v>0</v>
      </c>
      <c r="AV61" s="131">
        <v>0</v>
      </c>
      <c r="AW61" s="131">
        <v>0</v>
      </c>
      <c r="AX61" s="131">
        <v>0</v>
      </c>
      <c r="AY61" s="131">
        <v>0</v>
      </c>
      <c r="AZ61" s="131">
        <v>0</v>
      </c>
      <c r="BA61" s="131">
        <v>0</v>
      </c>
      <c r="BB61" s="131">
        <v>0</v>
      </c>
      <c r="BC61" s="131">
        <v>0</v>
      </c>
      <c r="BD61" s="131">
        <v>0</v>
      </c>
      <c r="BE61" s="131">
        <v>0</v>
      </c>
      <c r="BF61" s="131">
        <v>0</v>
      </c>
      <c r="BG61" s="131">
        <v>0</v>
      </c>
      <c r="BH61" s="131">
        <v>0</v>
      </c>
      <c r="BI61" s="131">
        <v>0</v>
      </c>
      <c r="BJ61" s="131">
        <v>0.72799999999999998</v>
      </c>
      <c r="BK61" s="131">
        <v>0</v>
      </c>
      <c r="BL61" s="131">
        <v>0</v>
      </c>
      <c r="BM61" s="131">
        <v>0</v>
      </c>
      <c r="BN61" s="131">
        <v>0</v>
      </c>
      <c r="BO61" s="131">
        <v>0</v>
      </c>
      <c r="BP61" s="131">
        <v>0</v>
      </c>
      <c r="BQ61" s="131">
        <v>0</v>
      </c>
      <c r="BR61" s="131">
        <v>0</v>
      </c>
      <c r="BS61" s="131">
        <v>0</v>
      </c>
      <c r="BT61" s="131">
        <v>0</v>
      </c>
      <c r="BU61" s="131">
        <v>0</v>
      </c>
      <c r="BV61" s="131">
        <v>0</v>
      </c>
      <c r="BW61" s="131">
        <v>0</v>
      </c>
      <c r="BX61" s="131">
        <v>0</v>
      </c>
      <c r="BY61" s="131">
        <v>0</v>
      </c>
      <c r="BZ61" s="131">
        <v>0</v>
      </c>
      <c r="CA61" s="131">
        <v>0</v>
      </c>
      <c r="CB61" s="131">
        <v>0</v>
      </c>
      <c r="CC61" s="131">
        <v>0</v>
      </c>
    </row>
    <row r="62" spans="1:81" x14ac:dyDescent="0.15">
      <c r="A62" s="169" t="s">
        <v>251</v>
      </c>
      <c r="B62" s="131">
        <v>0</v>
      </c>
      <c r="C62" s="131">
        <v>0</v>
      </c>
      <c r="D62" s="131">
        <v>0</v>
      </c>
      <c r="E62" s="131">
        <v>0</v>
      </c>
      <c r="F62" s="131">
        <v>0</v>
      </c>
      <c r="G62" s="131">
        <v>0</v>
      </c>
      <c r="H62" s="131">
        <v>0</v>
      </c>
      <c r="I62" s="131">
        <v>0</v>
      </c>
      <c r="J62" s="131">
        <v>0</v>
      </c>
      <c r="K62" s="131">
        <v>0</v>
      </c>
      <c r="L62" s="131">
        <v>0</v>
      </c>
      <c r="M62" s="131">
        <v>0</v>
      </c>
      <c r="N62" s="131">
        <v>0</v>
      </c>
      <c r="O62" s="131">
        <v>0</v>
      </c>
      <c r="P62" s="131">
        <v>0</v>
      </c>
      <c r="Q62" s="131">
        <v>0</v>
      </c>
      <c r="R62" s="131">
        <v>0</v>
      </c>
      <c r="S62" s="131">
        <v>0</v>
      </c>
      <c r="T62" s="131">
        <v>0</v>
      </c>
      <c r="U62" s="131">
        <v>0</v>
      </c>
      <c r="V62" s="131">
        <v>0</v>
      </c>
      <c r="W62" s="131">
        <v>0</v>
      </c>
      <c r="X62" s="131">
        <v>0</v>
      </c>
      <c r="Y62" s="131">
        <v>0</v>
      </c>
      <c r="Z62" s="131">
        <v>0</v>
      </c>
      <c r="AA62" s="131">
        <v>0</v>
      </c>
      <c r="AB62" s="131">
        <v>0</v>
      </c>
      <c r="AC62" s="131">
        <v>0</v>
      </c>
      <c r="AD62" s="131">
        <v>0</v>
      </c>
      <c r="AE62" s="131">
        <v>0</v>
      </c>
      <c r="AF62" s="131">
        <v>0</v>
      </c>
      <c r="AG62" s="131">
        <v>0</v>
      </c>
      <c r="AH62" s="131">
        <v>0</v>
      </c>
      <c r="AI62" s="131">
        <v>0</v>
      </c>
      <c r="AJ62" s="131">
        <v>0</v>
      </c>
      <c r="AK62" s="131">
        <v>0</v>
      </c>
      <c r="AL62" s="131">
        <v>0</v>
      </c>
      <c r="AM62" s="131">
        <v>0</v>
      </c>
      <c r="AN62" s="131">
        <v>0</v>
      </c>
      <c r="AO62" s="131">
        <v>0</v>
      </c>
      <c r="AP62" s="131">
        <v>0</v>
      </c>
      <c r="AQ62" s="131">
        <v>0</v>
      </c>
      <c r="AR62" s="131">
        <v>0</v>
      </c>
      <c r="AS62" s="131">
        <v>0</v>
      </c>
      <c r="AT62" s="131">
        <v>0</v>
      </c>
      <c r="AU62" s="131">
        <v>0</v>
      </c>
      <c r="AV62" s="131">
        <v>0</v>
      </c>
      <c r="AW62" s="131">
        <v>0</v>
      </c>
      <c r="AX62" s="131">
        <v>0</v>
      </c>
      <c r="AY62" s="131">
        <v>0</v>
      </c>
      <c r="AZ62" s="131">
        <v>0</v>
      </c>
      <c r="BA62" s="131">
        <v>0</v>
      </c>
      <c r="BB62" s="131">
        <v>0</v>
      </c>
      <c r="BC62" s="131">
        <v>0</v>
      </c>
      <c r="BD62" s="131">
        <v>0</v>
      </c>
      <c r="BE62" s="131">
        <v>0</v>
      </c>
      <c r="BF62" s="131">
        <v>0</v>
      </c>
      <c r="BG62" s="131">
        <v>0</v>
      </c>
      <c r="BH62" s="131">
        <v>0</v>
      </c>
      <c r="BI62" s="131">
        <v>0</v>
      </c>
      <c r="BJ62" s="131">
        <v>0</v>
      </c>
      <c r="BK62" s="131">
        <v>0</v>
      </c>
      <c r="BL62" s="131">
        <v>0</v>
      </c>
      <c r="BM62" s="131">
        <v>0</v>
      </c>
      <c r="BN62" s="131">
        <v>0</v>
      </c>
      <c r="BO62" s="131">
        <v>0</v>
      </c>
      <c r="BP62" s="131">
        <v>0</v>
      </c>
      <c r="BQ62" s="131">
        <v>0</v>
      </c>
      <c r="BR62" s="131">
        <v>0</v>
      </c>
      <c r="BS62" s="131">
        <v>0</v>
      </c>
      <c r="BT62" s="131">
        <v>0</v>
      </c>
      <c r="BU62" s="131">
        <v>0</v>
      </c>
      <c r="BV62" s="131">
        <v>0</v>
      </c>
      <c r="BW62" s="131">
        <v>0</v>
      </c>
      <c r="BX62" s="131">
        <v>0</v>
      </c>
      <c r="BY62" s="131">
        <v>0</v>
      </c>
      <c r="BZ62" s="131">
        <v>0</v>
      </c>
      <c r="CA62" s="131">
        <v>0</v>
      </c>
      <c r="CB62" s="131">
        <v>0</v>
      </c>
      <c r="CC62" s="131">
        <v>0</v>
      </c>
    </row>
    <row r="63" spans="1:81" x14ac:dyDescent="0.15">
      <c r="A63" s="169" t="s">
        <v>252</v>
      </c>
      <c r="B63" s="131">
        <v>0</v>
      </c>
      <c r="C63" s="131">
        <v>0</v>
      </c>
      <c r="D63" s="131">
        <v>0</v>
      </c>
      <c r="E63" s="131">
        <v>0</v>
      </c>
      <c r="F63" s="131">
        <v>0</v>
      </c>
      <c r="G63" s="131">
        <v>0</v>
      </c>
      <c r="H63" s="131">
        <v>0</v>
      </c>
      <c r="I63" s="131">
        <v>0</v>
      </c>
      <c r="J63" s="131">
        <v>0</v>
      </c>
      <c r="K63" s="131">
        <v>0</v>
      </c>
      <c r="L63" s="131">
        <v>0</v>
      </c>
      <c r="M63" s="131">
        <v>0</v>
      </c>
      <c r="N63" s="131">
        <v>0</v>
      </c>
      <c r="O63" s="131">
        <v>0</v>
      </c>
      <c r="P63" s="131">
        <v>0</v>
      </c>
      <c r="Q63" s="131">
        <v>0</v>
      </c>
      <c r="R63" s="131">
        <v>0</v>
      </c>
      <c r="S63" s="131">
        <v>0</v>
      </c>
      <c r="T63" s="131">
        <v>0</v>
      </c>
      <c r="U63" s="131">
        <v>0</v>
      </c>
      <c r="V63" s="131">
        <v>0</v>
      </c>
      <c r="W63" s="131">
        <v>0</v>
      </c>
      <c r="X63" s="131">
        <v>0</v>
      </c>
      <c r="Y63" s="131">
        <v>0</v>
      </c>
      <c r="Z63" s="131">
        <v>0</v>
      </c>
      <c r="AA63" s="131">
        <v>0</v>
      </c>
      <c r="AB63" s="131">
        <v>0</v>
      </c>
      <c r="AC63" s="131">
        <v>0</v>
      </c>
      <c r="AD63" s="131">
        <v>0</v>
      </c>
      <c r="AE63" s="131">
        <v>0</v>
      </c>
      <c r="AF63" s="131">
        <v>0</v>
      </c>
      <c r="AG63" s="131">
        <v>0</v>
      </c>
      <c r="AH63" s="131">
        <v>0</v>
      </c>
      <c r="AI63" s="131">
        <v>0</v>
      </c>
      <c r="AJ63" s="131">
        <v>9.6080792464472334E-2</v>
      </c>
      <c r="AK63" s="131">
        <v>0</v>
      </c>
      <c r="AL63" s="131">
        <v>5.9999279264606829E-3</v>
      </c>
      <c r="AM63" s="131">
        <v>7.1803590198895942E-3</v>
      </c>
      <c r="AN63" s="131">
        <v>5.7023892827746427E-4</v>
      </c>
      <c r="AO63" s="131">
        <v>5.5984940187941444E-2</v>
      </c>
      <c r="AP63" s="131">
        <v>6.2028534188884876E-2</v>
      </c>
      <c r="AQ63" s="131">
        <v>7.7030040017331755E-2</v>
      </c>
      <c r="AR63" s="131">
        <v>0</v>
      </c>
      <c r="AS63" s="131">
        <v>0</v>
      </c>
      <c r="AT63" s="131">
        <v>0</v>
      </c>
      <c r="AU63" s="131">
        <v>0</v>
      </c>
      <c r="AV63" s="131">
        <v>0</v>
      </c>
      <c r="AW63" s="131">
        <v>0</v>
      </c>
      <c r="AX63" s="131">
        <v>0</v>
      </c>
      <c r="AY63" s="131">
        <v>0</v>
      </c>
      <c r="AZ63" s="131">
        <v>0</v>
      </c>
      <c r="BA63" s="131">
        <v>0</v>
      </c>
      <c r="BB63" s="131">
        <v>2.6002600779817999E-2</v>
      </c>
      <c r="BC63" s="131">
        <v>0</v>
      </c>
      <c r="BD63" s="131">
        <v>0</v>
      </c>
      <c r="BE63" s="131">
        <v>0</v>
      </c>
      <c r="BF63" s="131">
        <v>0</v>
      </c>
      <c r="BG63" s="131">
        <v>0</v>
      </c>
      <c r="BH63" s="131">
        <v>0</v>
      </c>
      <c r="BI63" s="131">
        <v>6.5086334502973353E-2</v>
      </c>
      <c r="BJ63" s="131">
        <v>0</v>
      </c>
      <c r="BK63" s="131">
        <v>0</v>
      </c>
      <c r="BL63" s="131">
        <v>0</v>
      </c>
      <c r="BM63" s="131">
        <v>0</v>
      </c>
      <c r="BN63" s="131">
        <v>0</v>
      </c>
      <c r="BO63" s="131">
        <v>0</v>
      </c>
      <c r="BP63" s="131">
        <v>0</v>
      </c>
      <c r="BQ63" s="131">
        <v>0</v>
      </c>
      <c r="BR63" s="131">
        <v>0</v>
      </c>
      <c r="BS63" s="131">
        <v>0</v>
      </c>
      <c r="BT63" s="131">
        <v>0</v>
      </c>
      <c r="BU63" s="131">
        <v>0</v>
      </c>
      <c r="BV63" s="131">
        <v>0</v>
      </c>
      <c r="BW63" s="131">
        <v>0</v>
      </c>
      <c r="BX63" s="131">
        <v>0</v>
      </c>
      <c r="BY63" s="131">
        <v>0</v>
      </c>
      <c r="BZ63" s="131">
        <v>0</v>
      </c>
      <c r="CA63" s="131">
        <v>0</v>
      </c>
      <c r="CB63" s="131">
        <v>0</v>
      </c>
      <c r="CC63" s="131">
        <v>0</v>
      </c>
    </row>
    <row r="64" spans="1:81" x14ac:dyDescent="0.15">
      <c r="A64" s="169" t="s">
        <v>253</v>
      </c>
      <c r="B64" s="131">
        <v>0</v>
      </c>
      <c r="C64" s="131">
        <v>0</v>
      </c>
      <c r="D64" s="131">
        <v>0</v>
      </c>
      <c r="E64" s="131">
        <v>0</v>
      </c>
      <c r="F64" s="131">
        <v>0</v>
      </c>
      <c r="G64" s="131">
        <v>0</v>
      </c>
      <c r="H64" s="131">
        <v>0</v>
      </c>
      <c r="I64" s="131">
        <v>0</v>
      </c>
      <c r="J64" s="131">
        <v>0</v>
      </c>
      <c r="K64" s="131">
        <v>0</v>
      </c>
      <c r="L64" s="131">
        <v>0</v>
      </c>
      <c r="M64" s="131">
        <v>0</v>
      </c>
      <c r="N64" s="131">
        <v>0</v>
      </c>
      <c r="O64" s="131">
        <v>9.954824126426268E-3</v>
      </c>
      <c r="P64" s="131">
        <v>7.8763654192966085E-4</v>
      </c>
      <c r="Q64" s="131">
        <v>0</v>
      </c>
      <c r="R64" s="131">
        <v>0</v>
      </c>
      <c r="S64" s="131">
        <v>0</v>
      </c>
      <c r="T64" s="131">
        <v>0</v>
      </c>
      <c r="U64" s="131">
        <v>0</v>
      </c>
      <c r="V64" s="131">
        <v>0</v>
      </c>
      <c r="W64" s="131">
        <v>0</v>
      </c>
      <c r="X64" s="131">
        <v>3.001440822980633E-3</v>
      </c>
      <c r="Y64" s="131">
        <v>3.3018764811058469E-4</v>
      </c>
      <c r="Z64" s="131">
        <v>0</v>
      </c>
      <c r="AA64" s="131">
        <v>0</v>
      </c>
      <c r="AB64" s="131">
        <v>0</v>
      </c>
      <c r="AC64" s="131">
        <v>4.0018447306137657E-3</v>
      </c>
      <c r="AD64" s="131">
        <v>0</v>
      </c>
      <c r="AE64" s="131">
        <v>0</v>
      </c>
      <c r="AF64" s="131">
        <v>5.2022285049890669E-2</v>
      </c>
      <c r="AG64" s="131">
        <v>0</v>
      </c>
      <c r="AH64" s="131">
        <v>0</v>
      </c>
      <c r="AI64" s="131">
        <v>0</v>
      </c>
      <c r="AJ64" s="131">
        <v>0</v>
      </c>
      <c r="AK64" s="131">
        <v>0</v>
      </c>
      <c r="AL64" s="131">
        <v>0</v>
      </c>
      <c r="AM64" s="131">
        <v>0</v>
      </c>
      <c r="AN64" s="131">
        <v>0</v>
      </c>
      <c r="AO64" s="131">
        <v>0</v>
      </c>
      <c r="AP64" s="131">
        <v>5.4024849554835236E-4</v>
      </c>
      <c r="AQ64" s="131">
        <v>6.302458351418053E-4</v>
      </c>
      <c r="AR64" s="131">
        <v>2.8087550893184115E-4</v>
      </c>
      <c r="AS64" s="131">
        <v>0</v>
      </c>
      <c r="AT64" s="131">
        <v>0</v>
      </c>
      <c r="AU64" s="131">
        <v>0</v>
      </c>
      <c r="AV64" s="131">
        <v>0</v>
      </c>
      <c r="AW64" s="131">
        <v>0</v>
      </c>
      <c r="AX64" s="131">
        <v>0</v>
      </c>
      <c r="AY64" s="131">
        <v>0</v>
      </c>
      <c r="AZ64" s="131">
        <v>0</v>
      </c>
      <c r="BA64" s="131">
        <v>0</v>
      </c>
      <c r="BB64" s="131">
        <v>1.7001700509881E-4</v>
      </c>
      <c r="BC64" s="131">
        <v>0</v>
      </c>
      <c r="BD64" s="131">
        <v>1.1007221697745347E-2</v>
      </c>
      <c r="BE64" s="131">
        <v>0</v>
      </c>
      <c r="BF64" s="131">
        <v>0</v>
      </c>
      <c r="BG64" s="131">
        <v>0</v>
      </c>
      <c r="BH64" s="131">
        <v>0</v>
      </c>
      <c r="BI64" s="131">
        <v>0</v>
      </c>
      <c r="BJ64" s="131">
        <v>0</v>
      </c>
      <c r="BK64" s="131">
        <v>0</v>
      </c>
      <c r="BL64" s="131">
        <v>0</v>
      </c>
      <c r="BM64" s="131">
        <v>0</v>
      </c>
      <c r="BN64" s="131">
        <v>0</v>
      </c>
      <c r="BO64" s="131">
        <v>0</v>
      </c>
      <c r="BP64" s="131">
        <v>0</v>
      </c>
      <c r="BQ64" s="131">
        <v>0</v>
      </c>
      <c r="BR64" s="131">
        <v>0</v>
      </c>
      <c r="BS64" s="131">
        <v>0</v>
      </c>
      <c r="BT64" s="131">
        <v>0</v>
      </c>
      <c r="BU64" s="131">
        <v>0</v>
      </c>
      <c r="BV64" s="131">
        <v>0</v>
      </c>
      <c r="BW64" s="131">
        <v>0</v>
      </c>
      <c r="BX64" s="131">
        <v>0</v>
      </c>
      <c r="BY64" s="131">
        <v>0</v>
      </c>
      <c r="BZ64" s="131">
        <v>0</v>
      </c>
      <c r="CA64" s="131">
        <v>0</v>
      </c>
      <c r="CB64" s="131">
        <v>0</v>
      </c>
      <c r="CC64" s="131">
        <v>0</v>
      </c>
    </row>
    <row r="65" spans="1:81" x14ac:dyDescent="0.15">
      <c r="A65" s="169" t="s">
        <v>254</v>
      </c>
      <c r="B65" s="131">
        <v>0</v>
      </c>
      <c r="C65" s="131">
        <v>0</v>
      </c>
      <c r="D65" s="131">
        <v>0</v>
      </c>
      <c r="E65" s="131">
        <v>0</v>
      </c>
      <c r="F65" s="131">
        <v>0</v>
      </c>
      <c r="G65" s="131">
        <v>0</v>
      </c>
      <c r="H65" s="131">
        <v>0</v>
      </c>
      <c r="I65" s="131">
        <v>0</v>
      </c>
      <c r="J65" s="131">
        <v>0</v>
      </c>
      <c r="K65" s="131">
        <v>0</v>
      </c>
      <c r="L65" s="131">
        <v>0</v>
      </c>
      <c r="M65" s="131">
        <v>0</v>
      </c>
      <c r="N65" s="131">
        <v>0</v>
      </c>
      <c r="O65" s="131">
        <v>7.8559146297701166E-2</v>
      </c>
      <c r="P65" s="131">
        <v>9.9753958217995275E-3</v>
      </c>
      <c r="Q65" s="131">
        <v>0</v>
      </c>
      <c r="R65" s="131">
        <v>0</v>
      </c>
      <c r="S65" s="131">
        <v>7.5142371618198479E-4</v>
      </c>
      <c r="T65" s="131">
        <v>0</v>
      </c>
      <c r="U65" s="131">
        <v>0</v>
      </c>
      <c r="V65" s="131">
        <v>0</v>
      </c>
      <c r="W65" s="131">
        <v>0</v>
      </c>
      <c r="X65" s="131">
        <v>1.4006723800576286E-2</v>
      </c>
      <c r="Y65" s="131">
        <v>3.7021037885126139E-2</v>
      </c>
      <c r="Z65" s="131">
        <v>0</v>
      </c>
      <c r="AA65" s="131">
        <v>0</v>
      </c>
      <c r="AB65" s="131">
        <v>0</v>
      </c>
      <c r="AC65" s="131">
        <v>6.202859093951333E-2</v>
      </c>
      <c r="AD65" s="131">
        <v>0</v>
      </c>
      <c r="AE65" s="131">
        <v>0</v>
      </c>
      <c r="AF65" s="131">
        <v>0</v>
      </c>
      <c r="AG65" s="131">
        <v>0</v>
      </c>
      <c r="AH65" s="131">
        <v>0</v>
      </c>
      <c r="AI65" s="131">
        <v>0</v>
      </c>
      <c r="AJ65" s="131">
        <v>0</v>
      </c>
      <c r="AK65" s="131">
        <v>0</v>
      </c>
      <c r="AL65" s="131">
        <v>0</v>
      </c>
      <c r="AM65" s="131">
        <v>0</v>
      </c>
      <c r="AN65" s="131">
        <v>0</v>
      </c>
      <c r="AO65" s="131">
        <v>0</v>
      </c>
      <c r="AP65" s="131">
        <v>2.7012426177417607E-2</v>
      </c>
      <c r="AQ65" s="131">
        <v>0</v>
      </c>
      <c r="AR65" s="131">
        <v>5.6385501793058956E-2</v>
      </c>
      <c r="AS65" s="131">
        <v>0</v>
      </c>
      <c r="AT65" s="131">
        <v>0</v>
      </c>
      <c r="AU65" s="131">
        <v>0</v>
      </c>
      <c r="AV65" s="131">
        <v>0</v>
      </c>
      <c r="AW65" s="131">
        <v>0</v>
      </c>
      <c r="AX65" s="131">
        <v>0</v>
      </c>
      <c r="AY65" s="131">
        <v>0</v>
      </c>
      <c r="AZ65" s="131">
        <v>0</v>
      </c>
      <c r="BA65" s="131">
        <v>0</v>
      </c>
      <c r="BB65" s="131">
        <v>8.6008602579398005E-2</v>
      </c>
      <c r="BC65" s="131">
        <v>0</v>
      </c>
      <c r="BD65" s="131">
        <v>1.3008536151880903E-2</v>
      </c>
      <c r="BE65" s="131">
        <v>4.6732235826177033E-2</v>
      </c>
      <c r="BF65" s="131">
        <v>3.099039305565275E-4</v>
      </c>
      <c r="BG65" s="131">
        <v>0</v>
      </c>
      <c r="BH65" s="131">
        <v>0</v>
      </c>
      <c r="BI65" s="131">
        <v>0</v>
      </c>
      <c r="BJ65" s="131">
        <v>0</v>
      </c>
      <c r="BK65" s="131">
        <v>0</v>
      </c>
      <c r="BL65" s="131">
        <v>0</v>
      </c>
      <c r="BM65" s="131">
        <v>0</v>
      </c>
      <c r="BN65" s="131">
        <v>0</v>
      </c>
      <c r="BO65" s="131">
        <v>0</v>
      </c>
      <c r="BP65" s="131">
        <v>0</v>
      </c>
      <c r="BQ65" s="131">
        <v>0</v>
      </c>
      <c r="BR65" s="131">
        <v>0</v>
      </c>
      <c r="BS65" s="131">
        <v>0</v>
      </c>
      <c r="BT65" s="131">
        <v>0</v>
      </c>
      <c r="BU65" s="131">
        <v>0</v>
      </c>
      <c r="BV65" s="131">
        <v>0</v>
      </c>
      <c r="BW65" s="131">
        <v>0</v>
      </c>
      <c r="BX65" s="131">
        <v>0</v>
      </c>
      <c r="BY65" s="131">
        <v>0</v>
      </c>
      <c r="BZ65" s="131">
        <v>0</v>
      </c>
      <c r="CA65" s="131">
        <v>0</v>
      </c>
      <c r="CB65" s="131">
        <v>0</v>
      </c>
      <c r="CC65" s="131">
        <v>0</v>
      </c>
    </row>
    <row r="66" spans="1:81" x14ac:dyDescent="0.15">
      <c r="A66" s="169" t="s">
        <v>255</v>
      </c>
      <c r="B66" s="131">
        <v>0</v>
      </c>
      <c r="C66" s="131">
        <v>0</v>
      </c>
      <c r="D66" s="131">
        <v>0</v>
      </c>
      <c r="E66" s="131">
        <v>0</v>
      </c>
      <c r="F66" s="131">
        <v>0</v>
      </c>
      <c r="G66" s="131">
        <v>0</v>
      </c>
      <c r="H66" s="131">
        <v>0</v>
      </c>
      <c r="I66" s="131">
        <v>0</v>
      </c>
      <c r="J66" s="131">
        <v>0</v>
      </c>
      <c r="K66" s="131">
        <v>0</v>
      </c>
      <c r="L66" s="131">
        <v>0</v>
      </c>
      <c r="M66" s="131">
        <v>0</v>
      </c>
      <c r="N66" s="131">
        <v>0</v>
      </c>
      <c r="O66" s="131">
        <v>0.20389397658945355</v>
      </c>
      <c r="P66" s="131">
        <v>6.7868678787593922E-2</v>
      </c>
      <c r="Q66" s="131">
        <v>0</v>
      </c>
      <c r="R66" s="131">
        <v>0</v>
      </c>
      <c r="S66" s="131">
        <v>7.5142366518198366E-5</v>
      </c>
      <c r="T66" s="131">
        <v>0</v>
      </c>
      <c r="U66" s="131">
        <v>0</v>
      </c>
      <c r="V66" s="131">
        <v>0</v>
      </c>
      <c r="W66" s="131">
        <v>0</v>
      </c>
      <c r="X66" s="131">
        <v>0.41619977995998092</v>
      </c>
      <c r="Y66" s="131">
        <v>0.21912453005520621</v>
      </c>
      <c r="Z66" s="131">
        <v>0</v>
      </c>
      <c r="AA66" s="131">
        <v>0</v>
      </c>
      <c r="AB66" s="131">
        <v>0</v>
      </c>
      <c r="AC66" s="131">
        <v>6.202859093951333E-2</v>
      </c>
      <c r="AD66" s="131">
        <v>0</v>
      </c>
      <c r="AE66" s="131">
        <v>0</v>
      </c>
      <c r="AF66" s="131">
        <v>5.00214232787411E-3</v>
      </c>
      <c r="AG66" s="131">
        <v>0</v>
      </c>
      <c r="AH66" s="131">
        <v>0</v>
      </c>
      <c r="AI66" s="131">
        <v>0</v>
      </c>
      <c r="AJ66" s="131">
        <v>0</v>
      </c>
      <c r="AK66" s="131">
        <v>0</v>
      </c>
      <c r="AL66" s="131">
        <v>0</v>
      </c>
      <c r="AM66" s="131">
        <v>0</v>
      </c>
      <c r="AN66" s="131">
        <v>0</v>
      </c>
      <c r="AO66" s="131">
        <v>2.4993275383902426E-4</v>
      </c>
      <c r="AP66" s="131">
        <v>5.0023009587810401E-3</v>
      </c>
      <c r="AQ66" s="131">
        <v>5.0019505411254394E-3</v>
      </c>
      <c r="AR66" s="131">
        <v>0.2345889434599284</v>
      </c>
      <c r="AS66" s="131">
        <v>0</v>
      </c>
      <c r="AT66" s="131">
        <v>8.9989469248979385E-4</v>
      </c>
      <c r="AU66" s="131">
        <v>2.7992163642180217E-4</v>
      </c>
      <c r="AV66" s="131">
        <v>0</v>
      </c>
      <c r="AW66" s="131">
        <v>0</v>
      </c>
      <c r="AX66" s="131">
        <v>5.1179529155537772E-2</v>
      </c>
      <c r="AY66" s="131">
        <v>8.9990999043035712E-3</v>
      </c>
      <c r="AZ66" s="131">
        <v>4.3122377983102388E-2</v>
      </c>
      <c r="BA66" s="131">
        <v>4.8118283469927525E-2</v>
      </c>
      <c r="BB66" s="131">
        <v>1.0001000299929999E-3</v>
      </c>
      <c r="BC66" s="131">
        <v>0</v>
      </c>
      <c r="BD66" s="131">
        <v>1.3008536151880903E-2</v>
      </c>
      <c r="BE66" s="131">
        <v>0</v>
      </c>
      <c r="BF66" s="131">
        <v>1.9993802971388867E-3</v>
      </c>
      <c r="BG66" s="131">
        <v>0</v>
      </c>
      <c r="BH66" s="131">
        <v>0</v>
      </c>
      <c r="BI66" s="131">
        <v>0</v>
      </c>
      <c r="BJ66" s="131">
        <v>0</v>
      </c>
      <c r="BK66" s="131">
        <v>0</v>
      </c>
      <c r="BL66" s="131">
        <v>0</v>
      </c>
      <c r="BM66" s="131">
        <v>0</v>
      </c>
      <c r="BN66" s="131">
        <v>0</v>
      </c>
      <c r="BO66" s="131">
        <v>0</v>
      </c>
      <c r="BP66" s="131">
        <v>0</v>
      </c>
      <c r="BQ66" s="131">
        <v>0</v>
      </c>
      <c r="BR66" s="131">
        <v>0</v>
      </c>
      <c r="BS66" s="131">
        <v>0</v>
      </c>
      <c r="BT66" s="131">
        <v>0</v>
      </c>
      <c r="BU66" s="131">
        <v>0</v>
      </c>
      <c r="BV66" s="131">
        <v>0</v>
      </c>
      <c r="BW66" s="131">
        <v>0</v>
      </c>
      <c r="BX66" s="131">
        <v>0</v>
      </c>
      <c r="BY66" s="131">
        <v>0</v>
      </c>
      <c r="BZ66" s="131">
        <v>0</v>
      </c>
      <c r="CA66" s="131">
        <v>0</v>
      </c>
      <c r="CB66" s="131">
        <v>0</v>
      </c>
      <c r="CC66" s="131">
        <v>0</v>
      </c>
    </row>
    <row r="67" spans="1:81" x14ac:dyDescent="0.15">
      <c r="A67" s="169" t="s">
        <v>256</v>
      </c>
      <c r="B67" s="131">
        <v>0</v>
      </c>
      <c r="C67" s="131">
        <v>0</v>
      </c>
      <c r="D67" s="131">
        <v>0</v>
      </c>
      <c r="E67" s="131">
        <v>0</v>
      </c>
      <c r="F67" s="131">
        <v>0</v>
      </c>
      <c r="G67" s="131">
        <v>0</v>
      </c>
      <c r="H67" s="131">
        <v>0</v>
      </c>
      <c r="I67" s="131">
        <v>0</v>
      </c>
      <c r="J67" s="131">
        <v>0</v>
      </c>
      <c r="K67" s="131">
        <v>0</v>
      </c>
      <c r="L67" s="131">
        <v>0</v>
      </c>
      <c r="M67" s="131">
        <v>0</v>
      </c>
      <c r="N67" s="131">
        <v>0</v>
      </c>
      <c r="O67" s="131">
        <v>9.954824126426268E-3</v>
      </c>
      <c r="P67" s="131">
        <v>9.9753958217995275E-3</v>
      </c>
      <c r="Q67" s="131">
        <v>0</v>
      </c>
      <c r="R67" s="131">
        <v>0</v>
      </c>
      <c r="S67" s="131">
        <v>0</v>
      </c>
      <c r="T67" s="131">
        <v>0</v>
      </c>
      <c r="U67" s="131">
        <v>0</v>
      </c>
      <c r="V67" s="131">
        <v>0</v>
      </c>
      <c r="W67" s="131">
        <v>0</v>
      </c>
      <c r="X67" s="131">
        <v>2.6012486172498801E-2</v>
      </c>
      <c r="Y67" s="131">
        <v>0</v>
      </c>
      <c r="Z67" s="131">
        <v>0</v>
      </c>
      <c r="AA67" s="131">
        <v>0</v>
      </c>
      <c r="AB67" s="131">
        <v>0</v>
      </c>
      <c r="AC67" s="131">
        <v>0</v>
      </c>
      <c r="AD67" s="131">
        <v>0</v>
      </c>
      <c r="AE67" s="131">
        <v>0</v>
      </c>
      <c r="AF67" s="131">
        <v>0</v>
      </c>
      <c r="AG67" s="131">
        <v>0</v>
      </c>
      <c r="AH67" s="131">
        <v>0</v>
      </c>
      <c r="AI67" s="131">
        <v>0</v>
      </c>
      <c r="AJ67" s="131">
        <v>0</v>
      </c>
      <c r="AK67" s="131">
        <v>0</v>
      </c>
      <c r="AL67" s="131">
        <v>0</v>
      </c>
      <c r="AM67" s="131">
        <v>0</v>
      </c>
      <c r="AN67" s="131">
        <v>0</v>
      </c>
      <c r="AO67" s="131">
        <v>0</v>
      </c>
      <c r="AP67" s="131">
        <v>7.0032219422934514E-2</v>
      </c>
      <c r="AQ67" s="131">
        <v>0</v>
      </c>
      <c r="AR67" s="131">
        <v>1.3885980441574177E-4</v>
      </c>
      <c r="AS67" s="131">
        <v>0</v>
      </c>
      <c r="AT67" s="131">
        <v>0</v>
      </c>
      <c r="AU67" s="131">
        <v>0</v>
      </c>
      <c r="AV67" s="131">
        <v>0</v>
      </c>
      <c r="AW67" s="131">
        <v>0</v>
      </c>
      <c r="AX67" s="131">
        <v>0</v>
      </c>
      <c r="AY67" s="131">
        <v>0</v>
      </c>
      <c r="AZ67" s="131">
        <v>0</v>
      </c>
      <c r="BA67" s="131">
        <v>0</v>
      </c>
      <c r="BB67" s="131">
        <v>2.0001998799859946E-2</v>
      </c>
      <c r="BC67" s="131">
        <v>0</v>
      </c>
      <c r="BD67" s="131">
        <v>1.0006567770677658E-3</v>
      </c>
      <c r="BE67" s="131">
        <v>0</v>
      </c>
      <c r="BF67" s="131">
        <v>9.9969009856944353E-4</v>
      </c>
      <c r="BG67" s="131">
        <v>0</v>
      </c>
      <c r="BH67" s="131">
        <v>0</v>
      </c>
      <c r="BI67" s="131">
        <v>0</v>
      </c>
      <c r="BJ67" s="131">
        <v>0</v>
      </c>
      <c r="BK67" s="131">
        <v>0</v>
      </c>
      <c r="BL67" s="131">
        <v>0</v>
      </c>
      <c r="BM67" s="131">
        <v>0</v>
      </c>
      <c r="BN67" s="131">
        <v>0</v>
      </c>
      <c r="BO67" s="131">
        <v>0</v>
      </c>
      <c r="BP67" s="131">
        <v>0</v>
      </c>
      <c r="BQ67" s="131">
        <v>0</v>
      </c>
      <c r="BR67" s="131">
        <v>0</v>
      </c>
      <c r="BS67" s="131">
        <v>0</v>
      </c>
      <c r="BT67" s="131">
        <v>0</v>
      </c>
      <c r="BU67" s="131">
        <v>0</v>
      </c>
      <c r="BV67" s="131">
        <v>0</v>
      </c>
      <c r="BW67" s="131">
        <v>0</v>
      </c>
      <c r="BX67" s="131">
        <v>0</v>
      </c>
      <c r="BY67" s="131">
        <v>0</v>
      </c>
      <c r="BZ67" s="131">
        <v>0</v>
      </c>
      <c r="CA67" s="131">
        <v>0</v>
      </c>
      <c r="CB67" s="131">
        <v>0</v>
      </c>
      <c r="CC67" s="131">
        <v>0</v>
      </c>
    </row>
    <row r="68" spans="1:81" x14ac:dyDescent="0.15">
      <c r="A68" s="169" t="s">
        <v>257</v>
      </c>
      <c r="B68" s="131">
        <v>0</v>
      </c>
      <c r="C68" s="131">
        <v>0</v>
      </c>
      <c r="D68" s="131">
        <v>0</v>
      </c>
      <c r="E68" s="131">
        <v>0</v>
      </c>
      <c r="F68" s="131">
        <v>0</v>
      </c>
      <c r="G68" s="131">
        <v>0</v>
      </c>
      <c r="H68" s="131">
        <v>0</v>
      </c>
      <c r="I68" s="131">
        <v>0</v>
      </c>
      <c r="J68" s="131">
        <v>0</v>
      </c>
      <c r="K68" s="131">
        <v>0</v>
      </c>
      <c r="L68" s="131">
        <v>0</v>
      </c>
      <c r="M68" s="131">
        <v>0</v>
      </c>
      <c r="N68" s="131">
        <v>0</v>
      </c>
      <c r="O68" s="131">
        <v>0</v>
      </c>
      <c r="P68" s="131">
        <v>0</v>
      </c>
      <c r="Q68" s="131">
        <v>0</v>
      </c>
      <c r="R68" s="131">
        <v>0</v>
      </c>
      <c r="S68" s="131">
        <v>0</v>
      </c>
      <c r="T68" s="131">
        <v>5.9870735065826061E-2</v>
      </c>
      <c r="U68" s="131">
        <v>3.3022290762768684E-2</v>
      </c>
      <c r="V68" s="131">
        <v>0</v>
      </c>
      <c r="W68" s="131">
        <v>0</v>
      </c>
      <c r="X68" s="131">
        <v>0.17308308447854978</v>
      </c>
      <c r="Y68" s="131">
        <v>0</v>
      </c>
      <c r="Z68" s="131">
        <v>0</v>
      </c>
      <c r="AA68" s="131">
        <v>0</v>
      </c>
      <c r="AB68" s="131">
        <v>0</v>
      </c>
      <c r="AC68" s="131">
        <v>0</v>
      </c>
      <c r="AD68" s="131">
        <v>0</v>
      </c>
      <c r="AE68" s="131">
        <v>0</v>
      </c>
      <c r="AF68" s="131">
        <v>0</v>
      </c>
      <c r="AG68" s="131">
        <v>0</v>
      </c>
      <c r="AH68" s="131">
        <v>0</v>
      </c>
      <c r="AI68" s="131">
        <v>0</v>
      </c>
      <c r="AJ68" s="131">
        <v>0</v>
      </c>
      <c r="AK68" s="131">
        <v>0</v>
      </c>
      <c r="AL68" s="131">
        <v>0</v>
      </c>
      <c r="AM68" s="131">
        <v>0</v>
      </c>
      <c r="AN68" s="131">
        <v>0</v>
      </c>
      <c r="AO68" s="131">
        <v>0</v>
      </c>
      <c r="AP68" s="131">
        <v>1.4006444184586899E-2</v>
      </c>
      <c r="AQ68" s="131">
        <v>0</v>
      </c>
      <c r="AR68" s="131">
        <v>0</v>
      </c>
      <c r="AS68" s="131">
        <v>0</v>
      </c>
      <c r="AT68" s="131">
        <v>0</v>
      </c>
      <c r="AU68" s="131">
        <v>0</v>
      </c>
      <c r="AV68" s="131">
        <v>0</v>
      </c>
      <c r="AW68" s="131">
        <v>0</v>
      </c>
      <c r="AX68" s="131">
        <v>0.35085966621081549</v>
      </c>
      <c r="AY68" s="131">
        <v>2.0997899776708337E-2</v>
      </c>
      <c r="AZ68" s="131">
        <v>9.2247881675221535E-2</v>
      </c>
      <c r="BA68" s="131">
        <v>5.5020907566445232E-2</v>
      </c>
      <c r="BB68" s="131">
        <v>8.6008602579398005E-2</v>
      </c>
      <c r="BC68" s="131">
        <v>0</v>
      </c>
      <c r="BD68" s="131">
        <v>0.12408141335640224</v>
      </c>
      <c r="BE68" s="131">
        <v>0</v>
      </c>
      <c r="BF68" s="131">
        <v>0.13795721480258322</v>
      </c>
      <c r="BG68" s="131">
        <v>0</v>
      </c>
      <c r="BH68" s="131">
        <v>0</v>
      </c>
      <c r="BI68" s="131">
        <v>6.0087382433466965E-2</v>
      </c>
      <c r="BJ68" s="131">
        <v>0</v>
      </c>
      <c r="BK68" s="131">
        <v>0</v>
      </c>
      <c r="BL68" s="131">
        <v>0</v>
      </c>
      <c r="BM68" s="131">
        <v>0</v>
      </c>
      <c r="BN68" s="131">
        <v>0</v>
      </c>
      <c r="BO68" s="131">
        <v>0</v>
      </c>
      <c r="BP68" s="131">
        <v>0</v>
      </c>
      <c r="BQ68" s="131">
        <v>0</v>
      </c>
      <c r="BR68" s="131">
        <v>0</v>
      </c>
      <c r="BS68" s="131">
        <v>0</v>
      </c>
      <c r="BT68" s="131">
        <v>0</v>
      </c>
      <c r="BU68" s="131">
        <v>0</v>
      </c>
      <c r="BV68" s="131">
        <v>0</v>
      </c>
      <c r="BW68" s="131">
        <v>0</v>
      </c>
      <c r="BX68" s="131">
        <v>0</v>
      </c>
      <c r="BY68" s="131">
        <v>0</v>
      </c>
      <c r="BZ68" s="131">
        <v>0</v>
      </c>
      <c r="CA68" s="131">
        <v>0</v>
      </c>
      <c r="CB68" s="131">
        <v>0</v>
      </c>
      <c r="CC68" s="131">
        <v>0</v>
      </c>
    </row>
    <row r="69" spans="1:81" x14ac:dyDescent="0.15">
      <c r="A69" s="169" t="s">
        <v>258</v>
      </c>
      <c r="B69" s="131">
        <v>0</v>
      </c>
      <c r="C69" s="131">
        <v>0</v>
      </c>
      <c r="D69" s="131">
        <v>0</v>
      </c>
      <c r="E69" s="131">
        <v>0</v>
      </c>
      <c r="F69" s="131">
        <v>0</v>
      </c>
      <c r="G69" s="131">
        <v>0</v>
      </c>
      <c r="H69" s="131">
        <v>0</v>
      </c>
      <c r="I69" s="131">
        <v>0</v>
      </c>
      <c r="J69" s="131">
        <v>0</v>
      </c>
      <c r="K69" s="131">
        <v>8.899431070234308E-2</v>
      </c>
      <c r="L69" s="131">
        <v>0</v>
      </c>
      <c r="M69" s="131">
        <v>0</v>
      </c>
      <c r="N69" s="131">
        <v>0</v>
      </c>
      <c r="O69" s="131">
        <v>0</v>
      </c>
      <c r="P69" s="131">
        <v>0</v>
      </c>
      <c r="Q69" s="131">
        <v>3.2017610555543967E-2</v>
      </c>
      <c r="R69" s="131">
        <v>0</v>
      </c>
      <c r="S69" s="131">
        <v>4.0022570861890068E-3</v>
      </c>
      <c r="T69" s="131">
        <v>7.5862920336831355E-2</v>
      </c>
      <c r="U69" s="131">
        <v>1.5010131846713027E-2</v>
      </c>
      <c r="V69" s="131">
        <v>0</v>
      </c>
      <c r="W69" s="131">
        <v>0</v>
      </c>
      <c r="X69" s="131">
        <v>4.0019210573075101E-2</v>
      </c>
      <c r="Y69" s="131">
        <v>0</v>
      </c>
      <c r="Z69" s="131">
        <v>0</v>
      </c>
      <c r="AA69" s="131">
        <v>0</v>
      </c>
      <c r="AB69" s="131">
        <v>0</v>
      </c>
      <c r="AC69" s="131">
        <v>0</v>
      </c>
      <c r="AD69" s="131">
        <v>0</v>
      </c>
      <c r="AE69" s="131">
        <v>0</v>
      </c>
      <c r="AF69" s="131">
        <v>9.1239088684423569E-2</v>
      </c>
      <c r="AG69" s="131">
        <v>0</v>
      </c>
      <c r="AH69" s="131">
        <v>0</v>
      </c>
      <c r="AI69" s="131">
        <v>1.2000239954809096E-2</v>
      </c>
      <c r="AJ69" s="131">
        <v>0</v>
      </c>
      <c r="AK69" s="131">
        <v>0</v>
      </c>
      <c r="AL69" s="131">
        <v>5.9999279264606829E-3</v>
      </c>
      <c r="AM69" s="131">
        <v>0</v>
      </c>
      <c r="AN69" s="131">
        <v>0</v>
      </c>
      <c r="AO69" s="131">
        <v>0</v>
      </c>
      <c r="AP69" s="131">
        <v>2.0009204535124156E-2</v>
      </c>
      <c r="AQ69" s="131">
        <v>4.1015997509228595E-2</v>
      </c>
      <c r="AR69" s="131">
        <v>6.3118092007155319E-2</v>
      </c>
      <c r="AS69" s="131">
        <v>0</v>
      </c>
      <c r="AT69" s="131">
        <v>4.0995206357868359E-2</v>
      </c>
      <c r="AU69" s="131">
        <v>0</v>
      </c>
      <c r="AV69" s="131">
        <v>0</v>
      </c>
      <c r="AW69" s="131">
        <v>0</v>
      </c>
      <c r="AX69" s="131">
        <v>0</v>
      </c>
      <c r="AY69" s="131">
        <v>5.899410257265672E-2</v>
      </c>
      <c r="AZ69" s="131">
        <v>5.4128090982966129E-2</v>
      </c>
      <c r="BA69" s="131">
        <v>2.0607831586704962E-2</v>
      </c>
      <c r="BB69" s="131">
        <v>6.2006207159566153E-2</v>
      </c>
      <c r="BC69" s="131">
        <v>0</v>
      </c>
      <c r="BD69" s="131">
        <v>3.5022978647371569E-2</v>
      </c>
      <c r="BE69" s="131">
        <v>0.14910282240257761</v>
      </c>
      <c r="BF69" s="131">
        <v>0</v>
      </c>
      <c r="BG69" s="131">
        <v>0</v>
      </c>
      <c r="BH69" s="131">
        <v>0</v>
      </c>
      <c r="BI69" s="131">
        <v>0</v>
      </c>
      <c r="BJ69" s="131">
        <v>0</v>
      </c>
      <c r="BK69" s="131">
        <v>0</v>
      </c>
      <c r="BL69" s="131">
        <v>0</v>
      </c>
      <c r="BM69" s="131">
        <v>0</v>
      </c>
      <c r="BN69" s="131">
        <v>0</v>
      </c>
      <c r="BO69" s="131">
        <v>0</v>
      </c>
      <c r="BP69" s="131">
        <v>0</v>
      </c>
      <c r="BQ69" s="131">
        <v>0</v>
      </c>
      <c r="BR69" s="131">
        <v>0</v>
      </c>
      <c r="BS69" s="131">
        <v>0</v>
      </c>
      <c r="BT69" s="131">
        <v>0</v>
      </c>
      <c r="BU69" s="131">
        <v>0</v>
      </c>
      <c r="BV69" s="131">
        <v>0</v>
      </c>
      <c r="BW69" s="131">
        <v>0</v>
      </c>
      <c r="BX69" s="131">
        <v>0</v>
      </c>
      <c r="BY69" s="131">
        <v>0</v>
      </c>
      <c r="BZ69" s="131">
        <v>0</v>
      </c>
      <c r="CA69" s="131">
        <v>0</v>
      </c>
      <c r="CB69" s="131">
        <v>0</v>
      </c>
      <c r="CC69" s="131">
        <v>0</v>
      </c>
    </row>
    <row r="70" spans="1:81" x14ac:dyDescent="0.15">
      <c r="A70" s="169" t="s">
        <v>259</v>
      </c>
      <c r="B70" s="131">
        <v>0</v>
      </c>
      <c r="C70" s="131">
        <v>0</v>
      </c>
      <c r="D70" s="131">
        <v>0</v>
      </c>
      <c r="E70" s="131">
        <v>0</v>
      </c>
      <c r="F70" s="131">
        <v>0</v>
      </c>
      <c r="G70" s="131">
        <v>0</v>
      </c>
      <c r="H70" s="131">
        <v>0</v>
      </c>
      <c r="I70" s="131">
        <v>0</v>
      </c>
      <c r="J70" s="131">
        <v>0</v>
      </c>
      <c r="K70" s="131">
        <v>8.899431070234308E-2</v>
      </c>
      <c r="L70" s="131">
        <v>0</v>
      </c>
      <c r="M70" s="131">
        <v>0</v>
      </c>
      <c r="N70" s="131">
        <v>0</v>
      </c>
      <c r="O70" s="131">
        <v>0.39179626597581263</v>
      </c>
      <c r="P70" s="131">
        <v>6.3870528859016867E-2</v>
      </c>
      <c r="Q70" s="131">
        <v>6.6136376247545495E-2</v>
      </c>
      <c r="R70" s="131">
        <v>0</v>
      </c>
      <c r="S70" s="131">
        <v>8.1145757647482011E-2</v>
      </c>
      <c r="T70" s="131">
        <v>0</v>
      </c>
      <c r="U70" s="131">
        <v>0</v>
      </c>
      <c r="V70" s="131">
        <v>0</v>
      </c>
      <c r="W70" s="131">
        <v>0</v>
      </c>
      <c r="X70" s="131">
        <v>9.2544421325236118E-2</v>
      </c>
      <c r="Y70" s="131">
        <v>0</v>
      </c>
      <c r="Z70" s="131">
        <v>0</v>
      </c>
      <c r="AA70" s="131">
        <v>6.0038305171236858E-3</v>
      </c>
      <c r="AB70" s="131">
        <v>0</v>
      </c>
      <c r="AC70" s="131">
        <v>0</v>
      </c>
      <c r="AD70" s="131">
        <v>0</v>
      </c>
      <c r="AE70" s="131">
        <v>0</v>
      </c>
      <c r="AF70" s="131">
        <v>0.20608827202841321</v>
      </c>
      <c r="AG70" s="131">
        <v>0</v>
      </c>
      <c r="AH70" s="131">
        <v>0</v>
      </c>
      <c r="AI70" s="131">
        <v>0</v>
      </c>
      <c r="AJ70" s="131">
        <v>0</v>
      </c>
      <c r="AK70" s="131">
        <v>0</v>
      </c>
      <c r="AL70" s="131">
        <v>2.299972411809928E-2</v>
      </c>
      <c r="AM70" s="131">
        <v>0</v>
      </c>
      <c r="AN70" s="131">
        <v>0</v>
      </c>
      <c r="AO70" s="131">
        <v>0</v>
      </c>
      <c r="AP70" s="131">
        <v>0.11805430702723251</v>
      </c>
      <c r="AQ70" s="131">
        <v>0.2030792000456928</v>
      </c>
      <c r="AR70" s="131">
        <v>0.27351174669767353</v>
      </c>
      <c r="AS70" s="131">
        <v>0</v>
      </c>
      <c r="AT70" s="131">
        <v>0.10998713108208591</v>
      </c>
      <c r="AU70" s="131">
        <v>0</v>
      </c>
      <c r="AV70" s="131">
        <v>0</v>
      </c>
      <c r="AW70" s="131">
        <v>0</v>
      </c>
      <c r="AX70" s="131">
        <v>0.10395841828468609</v>
      </c>
      <c r="AY70" s="131">
        <v>0.21997799766075399</v>
      </c>
      <c r="AZ70" s="131">
        <v>0.20310540368839414</v>
      </c>
      <c r="BA70" s="131">
        <v>9.8237332796816859E-2</v>
      </c>
      <c r="BB70" s="131">
        <v>0.127012703809111</v>
      </c>
      <c r="BC70" s="131">
        <v>0</v>
      </c>
      <c r="BD70" s="131">
        <v>0.11007222797745377</v>
      </c>
      <c r="BE70" s="131">
        <v>0.29920634680785713</v>
      </c>
      <c r="BF70" s="131">
        <v>0</v>
      </c>
      <c r="BG70" s="131">
        <v>0</v>
      </c>
      <c r="BH70" s="131">
        <v>0</v>
      </c>
      <c r="BI70" s="131">
        <v>0</v>
      </c>
      <c r="BJ70" s="131">
        <v>0</v>
      </c>
      <c r="BK70" s="131">
        <v>0</v>
      </c>
      <c r="BL70" s="131">
        <v>0</v>
      </c>
      <c r="BM70" s="131">
        <v>0</v>
      </c>
      <c r="BN70" s="131">
        <v>0</v>
      </c>
      <c r="BO70" s="131">
        <v>0</v>
      </c>
      <c r="BP70" s="131">
        <v>0</v>
      </c>
      <c r="BQ70" s="131">
        <v>0</v>
      </c>
      <c r="BR70" s="131">
        <v>0</v>
      </c>
      <c r="BS70" s="131">
        <v>0</v>
      </c>
      <c r="BT70" s="131">
        <v>0</v>
      </c>
      <c r="BU70" s="131">
        <v>0</v>
      </c>
      <c r="BV70" s="131">
        <v>0</v>
      </c>
      <c r="BW70" s="131">
        <v>0</v>
      </c>
      <c r="BX70" s="131">
        <v>0</v>
      </c>
      <c r="BY70" s="131">
        <v>0</v>
      </c>
      <c r="BZ70" s="131">
        <v>0</v>
      </c>
      <c r="CA70" s="131">
        <v>0</v>
      </c>
      <c r="CB70" s="131">
        <v>0</v>
      </c>
      <c r="CC70" s="131">
        <v>0</v>
      </c>
    </row>
    <row r="71" spans="1:81" x14ac:dyDescent="0.15">
      <c r="A71" s="169" t="s">
        <v>260</v>
      </c>
      <c r="B71" s="131">
        <v>0</v>
      </c>
      <c r="C71" s="131">
        <v>0</v>
      </c>
      <c r="D71" s="131">
        <v>0</v>
      </c>
      <c r="E71" s="131">
        <v>0</v>
      </c>
      <c r="F71" s="131">
        <v>0</v>
      </c>
      <c r="G71" s="131">
        <v>0</v>
      </c>
      <c r="H71" s="131">
        <v>0</v>
      </c>
      <c r="I71" s="131">
        <v>0</v>
      </c>
      <c r="J71" s="131">
        <v>0</v>
      </c>
      <c r="K71" s="131">
        <v>4.4997120355117263E-4</v>
      </c>
      <c r="L71" s="131">
        <v>0</v>
      </c>
      <c r="M71" s="131">
        <v>0</v>
      </c>
      <c r="N71" s="131">
        <v>0</v>
      </c>
      <c r="O71" s="131">
        <v>1.3992724177707598E-2</v>
      </c>
      <c r="P71" s="131">
        <v>2.6987546617894462E-2</v>
      </c>
      <c r="Q71" s="131">
        <v>0</v>
      </c>
      <c r="R71" s="131">
        <v>0</v>
      </c>
      <c r="S71" s="131">
        <v>0</v>
      </c>
      <c r="T71" s="131">
        <v>0</v>
      </c>
      <c r="U71" s="131">
        <v>0</v>
      </c>
      <c r="V71" s="131">
        <v>0</v>
      </c>
      <c r="W71" s="131">
        <v>0</v>
      </c>
      <c r="X71" s="131">
        <v>6.0228915862478079E-3</v>
      </c>
      <c r="Y71" s="131">
        <v>0</v>
      </c>
      <c r="Z71" s="131">
        <v>0</v>
      </c>
      <c r="AA71" s="131">
        <v>0</v>
      </c>
      <c r="AB71" s="131">
        <v>0</v>
      </c>
      <c r="AC71" s="131">
        <v>5.302444080313236E-4</v>
      </c>
      <c r="AD71" s="131">
        <v>0</v>
      </c>
      <c r="AE71" s="131">
        <v>0</v>
      </c>
      <c r="AF71" s="131">
        <v>1.0004285555748206E-3</v>
      </c>
      <c r="AG71" s="131">
        <v>0</v>
      </c>
      <c r="AH71" s="131">
        <v>0</v>
      </c>
      <c r="AI71" s="131">
        <v>0</v>
      </c>
      <c r="AJ71" s="131">
        <v>0</v>
      </c>
      <c r="AK71" s="131">
        <v>0</v>
      </c>
      <c r="AL71" s="131">
        <v>0</v>
      </c>
      <c r="AM71" s="131">
        <v>0</v>
      </c>
      <c r="AN71" s="131">
        <v>0</v>
      </c>
      <c r="AO71" s="131">
        <v>0</v>
      </c>
      <c r="AP71" s="131">
        <v>3.8017489686735885E-2</v>
      </c>
      <c r="AQ71" s="131">
        <v>0</v>
      </c>
      <c r="AR71" s="131">
        <v>0</v>
      </c>
      <c r="AS71" s="131">
        <v>0</v>
      </c>
      <c r="AT71" s="131">
        <v>0</v>
      </c>
      <c r="AU71" s="131">
        <v>0</v>
      </c>
      <c r="AV71" s="131">
        <v>0</v>
      </c>
      <c r="AW71" s="131">
        <v>0</v>
      </c>
      <c r="AX71" s="131">
        <v>0</v>
      </c>
      <c r="AY71" s="131">
        <v>8.0991899138732157E-2</v>
      </c>
      <c r="AZ71" s="131">
        <v>0.11906179216216216</v>
      </c>
      <c r="BA71" s="131">
        <v>1.8707110532591435E-2</v>
      </c>
      <c r="BB71" s="131">
        <v>3.9003901169726997E-2</v>
      </c>
      <c r="BC71" s="131">
        <v>0</v>
      </c>
      <c r="BD71" s="131">
        <v>0.10707024789625021</v>
      </c>
      <c r="BE71" s="131">
        <v>0</v>
      </c>
      <c r="BF71" s="131">
        <v>0</v>
      </c>
      <c r="BG71" s="131">
        <v>0</v>
      </c>
      <c r="BH71" s="131">
        <v>0</v>
      </c>
      <c r="BI71" s="131">
        <v>0</v>
      </c>
      <c r="BJ71" s="131">
        <v>0</v>
      </c>
      <c r="BK71" s="131">
        <v>0</v>
      </c>
      <c r="BL71" s="131">
        <v>0</v>
      </c>
      <c r="BM71" s="131">
        <v>0</v>
      </c>
      <c r="BN71" s="131">
        <v>0</v>
      </c>
      <c r="BO71" s="131">
        <v>0</v>
      </c>
      <c r="BP71" s="131">
        <v>0</v>
      </c>
      <c r="BQ71" s="131">
        <v>0</v>
      </c>
      <c r="BR71" s="131">
        <v>0</v>
      </c>
      <c r="BS71" s="131">
        <v>0</v>
      </c>
      <c r="BT71" s="131">
        <v>0</v>
      </c>
      <c r="BU71" s="131">
        <v>0</v>
      </c>
      <c r="BV71" s="131">
        <v>0</v>
      </c>
      <c r="BW71" s="131">
        <v>0</v>
      </c>
      <c r="BX71" s="131">
        <v>0</v>
      </c>
      <c r="BY71" s="131">
        <v>0</v>
      </c>
      <c r="BZ71" s="131">
        <v>0</v>
      </c>
      <c r="CA71" s="131">
        <v>0</v>
      </c>
      <c r="CB71" s="131">
        <v>0</v>
      </c>
      <c r="CC71" s="131">
        <v>0</v>
      </c>
    </row>
    <row r="72" spans="1:81" x14ac:dyDescent="0.15">
      <c r="A72" s="169" t="s">
        <v>261</v>
      </c>
      <c r="B72" s="131">
        <v>0</v>
      </c>
      <c r="C72" s="131">
        <v>0</v>
      </c>
      <c r="D72" s="131">
        <v>0</v>
      </c>
      <c r="E72" s="131">
        <v>0</v>
      </c>
      <c r="F72" s="131">
        <v>0</v>
      </c>
      <c r="G72" s="131">
        <v>0</v>
      </c>
      <c r="H72" s="131">
        <v>0</v>
      </c>
      <c r="I72" s="131">
        <v>0</v>
      </c>
      <c r="J72" s="131">
        <v>0</v>
      </c>
      <c r="K72" s="131">
        <v>0</v>
      </c>
      <c r="L72" s="131">
        <v>0</v>
      </c>
      <c r="M72" s="131">
        <v>0</v>
      </c>
      <c r="N72" s="131">
        <v>0</v>
      </c>
      <c r="O72" s="131">
        <v>0</v>
      </c>
      <c r="P72" s="131">
        <v>0</v>
      </c>
      <c r="Q72" s="131">
        <v>0</v>
      </c>
      <c r="R72" s="131">
        <v>0</v>
      </c>
      <c r="S72" s="131">
        <v>5.002821107736253E-4</v>
      </c>
      <c r="T72" s="131">
        <v>0</v>
      </c>
      <c r="U72" s="131">
        <v>0</v>
      </c>
      <c r="V72" s="131">
        <v>0</v>
      </c>
      <c r="W72" s="131">
        <v>0</v>
      </c>
      <c r="X72" s="131">
        <v>0</v>
      </c>
      <c r="Y72" s="131">
        <v>0</v>
      </c>
      <c r="Z72" s="131">
        <v>0</v>
      </c>
      <c r="AA72" s="131">
        <v>0</v>
      </c>
      <c r="AB72" s="131">
        <v>0</v>
      </c>
      <c r="AC72" s="131">
        <v>2.4011066463682564E-4</v>
      </c>
      <c r="AD72" s="131">
        <v>0</v>
      </c>
      <c r="AE72" s="131">
        <v>0</v>
      </c>
      <c r="AF72" s="131">
        <v>0</v>
      </c>
      <c r="AG72" s="131">
        <v>0</v>
      </c>
      <c r="AH72" s="131">
        <v>0</v>
      </c>
      <c r="AI72" s="131">
        <v>0</v>
      </c>
      <c r="AJ72" s="131">
        <v>2.9994003269346184E-3</v>
      </c>
      <c r="AK72" s="131">
        <v>0</v>
      </c>
      <c r="AL72" s="131">
        <v>4.7999422411685477E-2</v>
      </c>
      <c r="AM72" s="131">
        <v>1.0200510728255415E-2</v>
      </c>
      <c r="AN72" s="131">
        <v>5.0020962480479512E-3</v>
      </c>
      <c r="AO72" s="131">
        <v>2.6992740090614632E-2</v>
      </c>
      <c r="AP72" s="131">
        <v>1.0004602317562077E-2</v>
      </c>
      <c r="AQ72" s="131">
        <v>2.1008193504726845E-2</v>
      </c>
      <c r="AR72" s="131">
        <v>0</v>
      </c>
      <c r="AS72" s="131">
        <v>0</v>
      </c>
      <c r="AT72" s="131">
        <v>0</v>
      </c>
      <c r="AU72" s="131">
        <v>0</v>
      </c>
      <c r="AV72" s="131">
        <v>0</v>
      </c>
      <c r="AW72" s="131">
        <v>0</v>
      </c>
      <c r="AX72" s="131">
        <v>0</v>
      </c>
      <c r="AY72" s="131">
        <v>0</v>
      </c>
      <c r="AZ72" s="131">
        <v>0</v>
      </c>
      <c r="BA72" s="131">
        <v>0</v>
      </c>
      <c r="BB72" s="131">
        <v>1.1001100329922998E-2</v>
      </c>
      <c r="BC72" s="131">
        <v>0</v>
      </c>
      <c r="BD72" s="131">
        <v>0</v>
      </c>
      <c r="BE72" s="131">
        <v>0</v>
      </c>
      <c r="BF72" s="131">
        <v>0</v>
      </c>
      <c r="BG72" s="131">
        <v>0</v>
      </c>
      <c r="BH72" s="131">
        <v>0</v>
      </c>
      <c r="BI72" s="131">
        <v>0</v>
      </c>
      <c r="BJ72" s="131">
        <v>0</v>
      </c>
      <c r="BK72" s="131">
        <v>0</v>
      </c>
      <c r="BL72" s="131">
        <v>0</v>
      </c>
      <c r="BM72" s="131">
        <v>0</v>
      </c>
      <c r="BN72" s="131">
        <v>0</v>
      </c>
      <c r="BO72" s="131">
        <v>0</v>
      </c>
      <c r="BP72" s="131">
        <v>0</v>
      </c>
      <c r="BQ72" s="131">
        <v>0</v>
      </c>
      <c r="BR72" s="131">
        <v>0</v>
      </c>
      <c r="BS72" s="131">
        <v>0</v>
      </c>
      <c r="BT72" s="131">
        <v>0</v>
      </c>
      <c r="BU72" s="131">
        <v>0</v>
      </c>
      <c r="BV72" s="131">
        <v>0</v>
      </c>
      <c r="BW72" s="131">
        <v>0</v>
      </c>
      <c r="BX72" s="131">
        <v>0</v>
      </c>
      <c r="BY72" s="131">
        <v>0</v>
      </c>
      <c r="BZ72" s="131">
        <v>0</v>
      </c>
      <c r="CA72" s="131">
        <v>0</v>
      </c>
      <c r="CB72" s="131">
        <v>0</v>
      </c>
      <c r="CC72" s="131">
        <v>0</v>
      </c>
    </row>
    <row r="73" spans="1:81" x14ac:dyDescent="0.15">
      <c r="A73" s="169" t="s">
        <v>262</v>
      </c>
      <c r="B73" s="131">
        <v>0</v>
      </c>
      <c r="C73" s="131">
        <v>0</v>
      </c>
      <c r="D73" s="131">
        <v>0</v>
      </c>
      <c r="E73" s="131">
        <v>0</v>
      </c>
      <c r="F73" s="131">
        <v>0</v>
      </c>
      <c r="G73" s="131">
        <v>0</v>
      </c>
      <c r="H73" s="131">
        <v>0</v>
      </c>
      <c r="I73" s="131">
        <v>0</v>
      </c>
      <c r="J73" s="131">
        <v>0</v>
      </c>
      <c r="K73" s="131">
        <v>0</v>
      </c>
      <c r="L73" s="131">
        <v>0</v>
      </c>
      <c r="M73" s="131">
        <v>0</v>
      </c>
      <c r="N73" s="131">
        <v>0</v>
      </c>
      <c r="O73" s="131">
        <v>0</v>
      </c>
      <c r="P73" s="131">
        <v>0</v>
      </c>
      <c r="Q73" s="131">
        <v>0</v>
      </c>
      <c r="R73" s="131">
        <v>0</v>
      </c>
      <c r="S73" s="131">
        <v>0</v>
      </c>
      <c r="T73" s="131">
        <v>0</v>
      </c>
      <c r="U73" s="131">
        <v>0</v>
      </c>
      <c r="V73" s="131">
        <v>0</v>
      </c>
      <c r="W73" s="131">
        <v>0</v>
      </c>
      <c r="X73" s="131">
        <v>0</v>
      </c>
      <c r="Y73" s="131">
        <v>0</v>
      </c>
      <c r="Z73" s="131">
        <v>0</v>
      </c>
      <c r="AA73" s="131">
        <v>0</v>
      </c>
      <c r="AB73" s="131">
        <v>0</v>
      </c>
      <c r="AC73" s="131">
        <v>0</v>
      </c>
      <c r="AD73" s="131">
        <v>0</v>
      </c>
      <c r="AE73" s="131">
        <v>0</v>
      </c>
      <c r="AF73" s="131">
        <v>0</v>
      </c>
      <c r="AG73" s="131">
        <v>0</v>
      </c>
      <c r="AH73" s="131">
        <v>0</v>
      </c>
      <c r="AI73" s="131">
        <v>0</v>
      </c>
      <c r="AJ73" s="131">
        <v>0</v>
      </c>
      <c r="AK73" s="131">
        <v>4.9997499075046266E-5</v>
      </c>
      <c r="AL73" s="131">
        <v>2.9999639632303414E-3</v>
      </c>
      <c r="AM73" s="131">
        <v>2.5701285371192563E-3</v>
      </c>
      <c r="AN73" s="131">
        <v>0</v>
      </c>
      <c r="AO73" s="131">
        <v>0</v>
      </c>
      <c r="AP73" s="131">
        <v>0</v>
      </c>
      <c r="AQ73" s="131">
        <v>0</v>
      </c>
      <c r="AR73" s="131">
        <v>0</v>
      </c>
      <c r="AS73" s="131">
        <v>0</v>
      </c>
      <c r="AT73" s="131">
        <v>0</v>
      </c>
      <c r="AU73" s="131">
        <v>0</v>
      </c>
      <c r="AV73" s="131">
        <v>0</v>
      </c>
      <c r="AW73" s="131">
        <v>0</v>
      </c>
      <c r="AX73" s="131">
        <v>0</v>
      </c>
      <c r="AY73" s="131">
        <v>0</v>
      </c>
      <c r="AZ73" s="131">
        <v>0</v>
      </c>
      <c r="BA73" s="131">
        <v>0</v>
      </c>
      <c r="BB73" s="131">
        <v>0</v>
      </c>
      <c r="BC73" s="131">
        <v>0</v>
      </c>
      <c r="BD73" s="131">
        <v>0</v>
      </c>
      <c r="BE73" s="131">
        <v>0</v>
      </c>
      <c r="BF73" s="131">
        <v>0</v>
      </c>
      <c r="BG73" s="131">
        <v>5.6024647750410118E-4</v>
      </c>
      <c r="BH73" s="131">
        <v>0.56099998260900064</v>
      </c>
      <c r="BI73" s="131">
        <v>0</v>
      </c>
      <c r="BJ73" s="131">
        <v>0</v>
      </c>
      <c r="BK73" s="131">
        <v>0</v>
      </c>
      <c r="BL73" s="131">
        <v>0</v>
      </c>
      <c r="BM73" s="131">
        <v>0</v>
      </c>
      <c r="BN73" s="131">
        <v>0</v>
      </c>
      <c r="BO73" s="131">
        <v>0</v>
      </c>
      <c r="BP73" s="131">
        <v>0</v>
      </c>
      <c r="BQ73" s="131">
        <v>0</v>
      </c>
      <c r="BR73" s="131">
        <v>0</v>
      </c>
      <c r="BS73" s="131">
        <v>0</v>
      </c>
      <c r="BT73" s="131">
        <v>0</v>
      </c>
      <c r="BU73" s="131">
        <v>0</v>
      </c>
      <c r="BV73" s="131">
        <v>0</v>
      </c>
      <c r="BW73" s="131">
        <v>0</v>
      </c>
      <c r="BX73" s="131">
        <v>0</v>
      </c>
      <c r="BY73" s="131">
        <v>0</v>
      </c>
      <c r="BZ73" s="131">
        <v>0</v>
      </c>
      <c r="CA73" s="131">
        <v>0</v>
      </c>
      <c r="CB73" s="131">
        <v>0</v>
      </c>
      <c r="CC73" s="131">
        <v>0</v>
      </c>
    </row>
    <row r="74" spans="1:81" x14ac:dyDescent="0.15">
      <c r="A74" s="169" t="s">
        <v>263</v>
      </c>
      <c r="B74" s="131">
        <v>0</v>
      </c>
      <c r="C74" s="131">
        <v>0</v>
      </c>
      <c r="D74" s="131">
        <v>0</v>
      </c>
      <c r="E74" s="131">
        <v>0</v>
      </c>
      <c r="F74" s="131">
        <v>0</v>
      </c>
      <c r="G74" s="131">
        <v>0</v>
      </c>
      <c r="H74" s="131">
        <v>0</v>
      </c>
      <c r="I74" s="131">
        <v>0</v>
      </c>
      <c r="J74" s="131">
        <v>0</v>
      </c>
      <c r="K74" s="131">
        <v>0</v>
      </c>
      <c r="L74" s="131">
        <v>0</v>
      </c>
      <c r="M74" s="131">
        <v>0</v>
      </c>
      <c r="N74" s="131">
        <v>0</v>
      </c>
      <c r="O74" s="131">
        <v>0</v>
      </c>
      <c r="P74" s="131">
        <v>0</v>
      </c>
      <c r="Q74" s="131">
        <v>0</v>
      </c>
      <c r="R74" s="131">
        <v>0</v>
      </c>
      <c r="S74" s="131">
        <v>0</v>
      </c>
      <c r="T74" s="131">
        <v>0</v>
      </c>
      <c r="U74" s="131">
        <v>0</v>
      </c>
      <c r="V74" s="131">
        <v>0</v>
      </c>
      <c r="W74" s="131">
        <v>0</v>
      </c>
      <c r="X74" s="131">
        <v>0</v>
      </c>
      <c r="Y74" s="131">
        <v>0</v>
      </c>
      <c r="Z74" s="131">
        <v>0</v>
      </c>
      <c r="AA74" s="131">
        <v>0</v>
      </c>
      <c r="AB74" s="131">
        <v>0</v>
      </c>
      <c r="AC74" s="131">
        <v>0</v>
      </c>
      <c r="AD74" s="131">
        <v>0</v>
      </c>
      <c r="AE74" s="131">
        <v>0</v>
      </c>
      <c r="AF74" s="131">
        <v>0</v>
      </c>
      <c r="AG74" s="131">
        <v>0</v>
      </c>
      <c r="AH74" s="131">
        <v>0</v>
      </c>
      <c r="AI74" s="131">
        <v>0</v>
      </c>
      <c r="AJ74" s="131">
        <v>0</v>
      </c>
      <c r="AK74" s="131">
        <v>0</v>
      </c>
      <c r="AL74" s="131">
        <v>1.1999856552921356E-5</v>
      </c>
      <c r="AM74" s="131">
        <v>0</v>
      </c>
      <c r="AN74" s="131">
        <v>1.1004611745705491E-5</v>
      </c>
      <c r="AO74" s="131">
        <v>0</v>
      </c>
      <c r="AP74" s="131">
        <v>0</v>
      </c>
      <c r="AQ74" s="131">
        <v>0</v>
      </c>
      <c r="AR74" s="131">
        <v>0</v>
      </c>
      <c r="AS74" s="131">
        <v>0</v>
      </c>
      <c r="AT74" s="131">
        <v>0</v>
      </c>
      <c r="AU74" s="131">
        <v>0</v>
      </c>
      <c r="AV74" s="131">
        <v>0</v>
      </c>
      <c r="AW74" s="131">
        <v>0</v>
      </c>
      <c r="AX74" s="131">
        <v>0</v>
      </c>
      <c r="AY74" s="131">
        <v>0</v>
      </c>
      <c r="AZ74" s="131">
        <v>0</v>
      </c>
      <c r="BA74" s="131">
        <v>0</v>
      </c>
      <c r="BB74" s="131">
        <v>0</v>
      </c>
      <c r="BC74" s="131">
        <v>0</v>
      </c>
      <c r="BD74" s="131">
        <v>0</v>
      </c>
      <c r="BE74" s="131">
        <v>0</v>
      </c>
      <c r="BF74" s="131">
        <v>0</v>
      </c>
      <c r="BG74" s="131">
        <v>6.0026411232582339E-3</v>
      </c>
      <c r="BH74" s="131">
        <v>6.6999997923000071E-2</v>
      </c>
      <c r="BI74" s="131">
        <v>0</v>
      </c>
      <c r="BJ74" s="131">
        <v>0</v>
      </c>
      <c r="BK74" s="131">
        <v>0</v>
      </c>
      <c r="BL74" s="131">
        <v>0</v>
      </c>
      <c r="BM74" s="131">
        <v>0</v>
      </c>
      <c r="BN74" s="131">
        <v>0</v>
      </c>
      <c r="BO74" s="131">
        <v>0</v>
      </c>
      <c r="BP74" s="131">
        <v>0</v>
      </c>
      <c r="BQ74" s="131">
        <v>0</v>
      </c>
      <c r="BR74" s="131">
        <v>0</v>
      </c>
      <c r="BS74" s="131">
        <v>0</v>
      </c>
      <c r="BT74" s="131">
        <v>0</v>
      </c>
      <c r="BU74" s="131">
        <v>0</v>
      </c>
      <c r="BV74" s="131">
        <v>0</v>
      </c>
      <c r="BW74" s="131">
        <v>0</v>
      </c>
      <c r="BX74" s="131">
        <v>0</v>
      </c>
      <c r="BY74" s="131">
        <v>0</v>
      </c>
      <c r="BZ74" s="131">
        <v>0</v>
      </c>
      <c r="CA74" s="131">
        <v>0</v>
      </c>
      <c r="CB74" s="131">
        <v>0</v>
      </c>
      <c r="CC74" s="131">
        <v>0</v>
      </c>
    </row>
    <row r="75" spans="1:81" x14ac:dyDescent="0.15">
      <c r="A75" s="169" t="s">
        <v>264</v>
      </c>
      <c r="B75" s="131">
        <v>0</v>
      </c>
      <c r="C75" s="131">
        <v>0</v>
      </c>
      <c r="D75" s="131">
        <v>0</v>
      </c>
      <c r="E75" s="131">
        <v>0</v>
      </c>
      <c r="F75" s="131">
        <v>0</v>
      </c>
      <c r="G75" s="131">
        <v>0</v>
      </c>
      <c r="H75" s="131">
        <v>0</v>
      </c>
      <c r="I75" s="131">
        <v>0</v>
      </c>
      <c r="J75" s="131">
        <v>0</v>
      </c>
      <c r="K75" s="131">
        <v>0</v>
      </c>
      <c r="L75" s="131">
        <v>0</v>
      </c>
      <c r="M75" s="131">
        <v>0</v>
      </c>
      <c r="N75" s="131">
        <v>0</v>
      </c>
      <c r="O75" s="131">
        <v>0</v>
      </c>
      <c r="P75" s="131">
        <v>0</v>
      </c>
      <c r="Q75" s="131">
        <v>0</v>
      </c>
      <c r="R75" s="131">
        <v>0</v>
      </c>
      <c r="S75" s="131">
        <v>0</v>
      </c>
      <c r="T75" s="131">
        <v>0</v>
      </c>
      <c r="U75" s="131">
        <v>0</v>
      </c>
      <c r="V75" s="131">
        <v>0</v>
      </c>
      <c r="W75" s="131">
        <v>0</v>
      </c>
      <c r="X75" s="131">
        <v>0</v>
      </c>
      <c r="Y75" s="131">
        <v>0</v>
      </c>
      <c r="Z75" s="131">
        <v>0</v>
      </c>
      <c r="AA75" s="131">
        <v>0</v>
      </c>
      <c r="AB75" s="131">
        <v>0</v>
      </c>
      <c r="AC75" s="131">
        <v>9.1041957678963015E-4</v>
      </c>
      <c r="AD75" s="131">
        <v>0</v>
      </c>
      <c r="AE75" s="131">
        <v>0</v>
      </c>
      <c r="AF75" s="131">
        <v>0</v>
      </c>
      <c r="AG75" s="131">
        <v>0</v>
      </c>
      <c r="AH75" s="131">
        <v>0</v>
      </c>
      <c r="AI75" s="131">
        <v>0</v>
      </c>
      <c r="AJ75" s="131">
        <v>0</v>
      </c>
      <c r="AK75" s="131">
        <v>0</v>
      </c>
      <c r="AL75" s="131">
        <v>0</v>
      </c>
      <c r="AM75" s="131">
        <v>0</v>
      </c>
      <c r="AN75" s="131">
        <v>0</v>
      </c>
      <c r="AO75" s="131">
        <v>0</v>
      </c>
      <c r="AP75" s="131">
        <v>0</v>
      </c>
      <c r="AQ75" s="131">
        <v>0</v>
      </c>
      <c r="AR75" s="131">
        <v>5.7016683713130539E-2</v>
      </c>
      <c r="AS75" s="131">
        <v>0</v>
      </c>
      <c r="AT75" s="131">
        <v>0</v>
      </c>
      <c r="AU75" s="131">
        <v>0</v>
      </c>
      <c r="AV75" s="131">
        <v>0</v>
      </c>
      <c r="AW75" s="131">
        <v>0</v>
      </c>
      <c r="AX75" s="131">
        <v>0</v>
      </c>
      <c r="AY75" s="131">
        <v>0</v>
      </c>
      <c r="AZ75" s="131">
        <v>0</v>
      </c>
      <c r="BA75" s="131">
        <v>0</v>
      </c>
      <c r="BB75" s="131">
        <v>0</v>
      </c>
      <c r="BC75" s="131">
        <v>0</v>
      </c>
      <c r="BD75" s="131">
        <v>0</v>
      </c>
      <c r="BE75" s="131">
        <v>0</v>
      </c>
      <c r="BF75" s="131">
        <v>0</v>
      </c>
      <c r="BG75" s="131">
        <v>0</v>
      </c>
      <c r="BH75" s="131">
        <v>0</v>
      </c>
      <c r="BI75" s="131">
        <v>0</v>
      </c>
      <c r="BJ75" s="131">
        <v>0</v>
      </c>
      <c r="BK75" s="131">
        <v>0</v>
      </c>
      <c r="BL75" s="131">
        <v>0</v>
      </c>
      <c r="BM75" s="131">
        <v>0</v>
      </c>
      <c r="BN75" s="131">
        <v>0</v>
      </c>
      <c r="BO75" s="131">
        <v>0</v>
      </c>
      <c r="BP75" s="131">
        <v>0</v>
      </c>
      <c r="BQ75" s="131">
        <v>0</v>
      </c>
      <c r="BR75" s="131">
        <v>0</v>
      </c>
      <c r="BS75" s="131">
        <v>0</v>
      </c>
      <c r="BT75" s="131">
        <v>0</v>
      </c>
      <c r="BU75" s="131">
        <v>0</v>
      </c>
      <c r="BV75" s="131">
        <v>0</v>
      </c>
      <c r="BW75" s="131">
        <v>0</v>
      </c>
      <c r="BX75" s="131">
        <v>0</v>
      </c>
      <c r="BY75" s="131">
        <v>0</v>
      </c>
      <c r="BZ75" s="131">
        <v>0</v>
      </c>
      <c r="CA75" s="131">
        <v>0</v>
      </c>
      <c r="CB75" s="131">
        <v>0</v>
      </c>
      <c r="CC75" s="131">
        <v>0</v>
      </c>
    </row>
    <row r="76" spans="1:81" x14ac:dyDescent="0.15">
      <c r="A76" s="169" t="s">
        <v>265</v>
      </c>
      <c r="B76" s="131">
        <v>0</v>
      </c>
      <c r="C76" s="131">
        <v>0</v>
      </c>
      <c r="D76" s="131">
        <v>0</v>
      </c>
      <c r="E76" s="131">
        <v>0</v>
      </c>
      <c r="F76" s="131">
        <v>0</v>
      </c>
      <c r="G76" s="131">
        <v>0</v>
      </c>
      <c r="H76" s="131">
        <v>0</v>
      </c>
      <c r="I76" s="131">
        <v>0</v>
      </c>
      <c r="J76" s="131">
        <v>0</v>
      </c>
      <c r="K76" s="131">
        <v>0</v>
      </c>
      <c r="L76" s="131">
        <v>0</v>
      </c>
      <c r="M76" s="131">
        <v>0</v>
      </c>
      <c r="N76" s="131">
        <v>0</v>
      </c>
      <c r="O76" s="131">
        <v>0</v>
      </c>
      <c r="P76" s="131">
        <v>0</v>
      </c>
      <c r="Q76" s="131">
        <v>0</v>
      </c>
      <c r="R76" s="131">
        <v>0</v>
      </c>
      <c r="S76" s="131">
        <v>0</v>
      </c>
      <c r="T76" s="131">
        <v>0</v>
      </c>
      <c r="U76" s="131">
        <v>0</v>
      </c>
      <c r="V76" s="131">
        <v>0</v>
      </c>
      <c r="W76" s="131">
        <v>0</v>
      </c>
      <c r="X76" s="131">
        <v>0</v>
      </c>
      <c r="Y76" s="131">
        <v>0</v>
      </c>
      <c r="Z76" s="131">
        <v>0</v>
      </c>
      <c r="AA76" s="131">
        <v>0</v>
      </c>
      <c r="AB76" s="131">
        <v>0</v>
      </c>
      <c r="AC76" s="131">
        <v>0</v>
      </c>
      <c r="AD76" s="131">
        <v>0</v>
      </c>
      <c r="AE76" s="131">
        <v>0</v>
      </c>
      <c r="AF76" s="131">
        <v>0</v>
      </c>
      <c r="AG76" s="131">
        <v>0</v>
      </c>
      <c r="AH76" s="131">
        <v>0</v>
      </c>
      <c r="AI76" s="131">
        <v>0</v>
      </c>
      <c r="AJ76" s="131">
        <v>0</v>
      </c>
      <c r="AK76" s="131">
        <v>0</v>
      </c>
      <c r="AL76" s="131">
        <v>0</v>
      </c>
      <c r="AM76" s="131">
        <v>0</v>
      </c>
      <c r="AN76" s="131">
        <v>0</v>
      </c>
      <c r="AO76" s="131">
        <v>0</v>
      </c>
      <c r="AP76" s="131">
        <v>0</v>
      </c>
      <c r="AQ76" s="131">
        <v>9.9038620022283701E-4</v>
      </c>
      <c r="AR76" s="131">
        <v>3.9343611251126835E-2</v>
      </c>
      <c r="AS76" s="131">
        <v>0</v>
      </c>
      <c r="AT76" s="131">
        <v>2.0997543324761852E-4</v>
      </c>
      <c r="AU76" s="131">
        <v>0</v>
      </c>
      <c r="AV76" s="131">
        <v>0</v>
      </c>
      <c r="AW76" s="131">
        <v>0</v>
      </c>
      <c r="AX76" s="131">
        <v>0</v>
      </c>
      <c r="AY76" s="131">
        <v>0</v>
      </c>
      <c r="AZ76" s="131">
        <v>0</v>
      </c>
      <c r="BA76" s="131">
        <v>0</v>
      </c>
      <c r="BB76" s="131">
        <v>6.1006101829572991E-4</v>
      </c>
      <c r="BC76" s="131">
        <v>0</v>
      </c>
      <c r="BD76" s="131">
        <v>1.0006567770677658E-3</v>
      </c>
      <c r="BE76" s="131">
        <v>0</v>
      </c>
      <c r="BF76" s="131">
        <v>3.9987605942777733E-3</v>
      </c>
      <c r="BG76" s="131">
        <v>0</v>
      </c>
      <c r="BH76" s="131">
        <v>0</v>
      </c>
      <c r="BI76" s="131">
        <v>5.0089479694454169E-3</v>
      </c>
      <c r="BJ76" s="131">
        <v>0</v>
      </c>
      <c r="BK76" s="131">
        <v>0</v>
      </c>
      <c r="BL76" s="131">
        <v>0</v>
      </c>
      <c r="BM76" s="131">
        <v>0</v>
      </c>
      <c r="BN76" s="131">
        <v>0</v>
      </c>
      <c r="BO76" s="131">
        <v>0</v>
      </c>
      <c r="BP76" s="131">
        <v>0</v>
      </c>
      <c r="BQ76" s="131">
        <v>0</v>
      </c>
      <c r="BR76" s="131">
        <v>0</v>
      </c>
      <c r="BS76" s="131">
        <v>0</v>
      </c>
      <c r="BT76" s="131">
        <v>0</v>
      </c>
      <c r="BU76" s="131">
        <v>0</v>
      </c>
      <c r="BV76" s="131">
        <v>0</v>
      </c>
      <c r="BW76" s="131">
        <v>0</v>
      </c>
      <c r="BX76" s="131">
        <v>0</v>
      </c>
      <c r="BY76" s="131">
        <v>0</v>
      </c>
      <c r="BZ76" s="131">
        <v>0</v>
      </c>
      <c r="CA76" s="131">
        <v>0</v>
      </c>
      <c r="CB76" s="131">
        <v>0</v>
      </c>
      <c r="CC76" s="131">
        <v>0</v>
      </c>
    </row>
    <row r="77" spans="1:81" x14ac:dyDescent="0.15">
      <c r="A77" s="169" t="s">
        <v>266</v>
      </c>
      <c r="B77" s="131">
        <v>0</v>
      </c>
      <c r="C77" s="131">
        <v>0</v>
      </c>
      <c r="D77" s="131">
        <v>0</v>
      </c>
      <c r="E77" s="131">
        <v>0</v>
      </c>
      <c r="F77" s="131">
        <v>0</v>
      </c>
      <c r="G77" s="131">
        <v>0</v>
      </c>
      <c r="H77" s="131">
        <v>0</v>
      </c>
      <c r="I77" s="131">
        <v>0</v>
      </c>
      <c r="J77" s="131">
        <v>0</v>
      </c>
      <c r="K77" s="131">
        <v>0</v>
      </c>
      <c r="L77" s="131">
        <v>0</v>
      </c>
      <c r="M77" s="131">
        <v>0</v>
      </c>
      <c r="N77" s="131">
        <v>0</v>
      </c>
      <c r="O77" s="131">
        <v>0</v>
      </c>
      <c r="P77" s="131">
        <v>0</v>
      </c>
      <c r="Q77" s="131">
        <v>0</v>
      </c>
      <c r="R77" s="131">
        <v>0</v>
      </c>
      <c r="S77" s="131">
        <v>0</v>
      </c>
      <c r="T77" s="131">
        <v>0</v>
      </c>
      <c r="U77" s="131">
        <v>0</v>
      </c>
      <c r="V77" s="131">
        <v>0</v>
      </c>
      <c r="W77" s="131">
        <v>0</v>
      </c>
      <c r="X77" s="131">
        <v>0</v>
      </c>
      <c r="Y77" s="131">
        <v>0</v>
      </c>
      <c r="Z77" s="131">
        <v>0</v>
      </c>
      <c r="AA77" s="131">
        <v>0</v>
      </c>
      <c r="AB77" s="131">
        <v>0</v>
      </c>
      <c r="AC77" s="131">
        <v>0</v>
      </c>
      <c r="AD77" s="131">
        <v>0</v>
      </c>
      <c r="AE77" s="131">
        <v>0</v>
      </c>
      <c r="AF77" s="131">
        <v>0</v>
      </c>
      <c r="AG77" s="131">
        <v>0</v>
      </c>
      <c r="AH77" s="131">
        <v>0</v>
      </c>
      <c r="AI77" s="131">
        <v>0</v>
      </c>
      <c r="AJ77" s="131">
        <v>0</v>
      </c>
      <c r="AK77" s="131">
        <v>0</v>
      </c>
      <c r="AL77" s="131">
        <v>0</v>
      </c>
      <c r="AM77" s="131">
        <v>0</v>
      </c>
      <c r="AN77" s="131">
        <v>0</v>
      </c>
      <c r="AO77" s="131">
        <v>0</v>
      </c>
      <c r="AP77" s="131">
        <v>0</v>
      </c>
      <c r="AQ77" s="131">
        <v>0</v>
      </c>
      <c r="AR77" s="131">
        <v>0.13675587334883677</v>
      </c>
      <c r="AS77" s="131">
        <v>0</v>
      </c>
      <c r="AT77" s="131">
        <v>0</v>
      </c>
      <c r="AU77" s="131">
        <v>0</v>
      </c>
      <c r="AV77" s="131">
        <v>0</v>
      </c>
      <c r="AW77" s="131">
        <v>0</v>
      </c>
      <c r="AX77" s="131">
        <v>0</v>
      </c>
      <c r="AY77" s="131">
        <v>0</v>
      </c>
      <c r="AZ77" s="131">
        <v>0</v>
      </c>
      <c r="BA77" s="131">
        <v>0</v>
      </c>
      <c r="BB77" s="131">
        <v>1.0001000299929999E-3</v>
      </c>
      <c r="BC77" s="131">
        <v>0</v>
      </c>
      <c r="BD77" s="131">
        <v>1.0006567770677658E-3</v>
      </c>
      <c r="BE77" s="131">
        <v>0</v>
      </c>
      <c r="BF77" s="131">
        <v>1.3995661379972208E-2</v>
      </c>
      <c r="BG77" s="131">
        <v>0</v>
      </c>
      <c r="BH77" s="131">
        <v>0</v>
      </c>
      <c r="BI77" s="131">
        <v>9.9979019390127977E-4</v>
      </c>
      <c r="BJ77" s="131">
        <v>0</v>
      </c>
      <c r="BK77" s="131">
        <v>0</v>
      </c>
      <c r="BL77" s="131">
        <v>0</v>
      </c>
      <c r="BM77" s="131">
        <v>0</v>
      </c>
      <c r="BN77" s="131">
        <v>0</v>
      </c>
      <c r="BO77" s="131">
        <v>0</v>
      </c>
      <c r="BP77" s="131">
        <v>0</v>
      </c>
      <c r="BQ77" s="131">
        <v>0</v>
      </c>
      <c r="BR77" s="131">
        <v>0</v>
      </c>
      <c r="BS77" s="131">
        <v>0</v>
      </c>
      <c r="BT77" s="131">
        <v>0</v>
      </c>
      <c r="BU77" s="131">
        <v>0</v>
      </c>
      <c r="BV77" s="131">
        <v>0</v>
      </c>
      <c r="BW77" s="131">
        <v>0</v>
      </c>
      <c r="BX77" s="131">
        <v>0</v>
      </c>
      <c r="BY77" s="131">
        <v>0</v>
      </c>
      <c r="BZ77" s="131">
        <v>0</v>
      </c>
      <c r="CA77" s="131">
        <v>0</v>
      </c>
      <c r="CB77" s="131">
        <v>0</v>
      </c>
      <c r="CC77" s="131">
        <v>0</v>
      </c>
    </row>
    <row r="78" spans="1:81" x14ac:dyDescent="0.15">
      <c r="A78" s="169" t="s">
        <v>267</v>
      </c>
      <c r="B78" s="131">
        <v>0</v>
      </c>
      <c r="C78" s="131">
        <v>0</v>
      </c>
      <c r="D78" s="131">
        <v>0</v>
      </c>
      <c r="E78" s="131">
        <v>0</v>
      </c>
      <c r="F78" s="131">
        <v>0</v>
      </c>
      <c r="G78" s="131">
        <v>0</v>
      </c>
      <c r="H78" s="131">
        <v>0</v>
      </c>
      <c r="I78" s="131">
        <v>0</v>
      </c>
      <c r="J78" s="131">
        <v>0</v>
      </c>
      <c r="K78" s="131">
        <v>0</v>
      </c>
      <c r="L78" s="131">
        <v>0</v>
      </c>
      <c r="M78" s="131">
        <v>0</v>
      </c>
      <c r="N78" s="131">
        <v>0</v>
      </c>
      <c r="O78" s="131">
        <v>0</v>
      </c>
      <c r="P78" s="131">
        <v>0</v>
      </c>
      <c r="Q78" s="131">
        <v>0.18009905812493476</v>
      </c>
      <c r="R78" s="131">
        <v>0</v>
      </c>
      <c r="S78" s="131">
        <v>0</v>
      </c>
      <c r="T78" s="131">
        <v>0</v>
      </c>
      <c r="U78" s="131">
        <v>0</v>
      </c>
      <c r="V78" s="131">
        <v>0</v>
      </c>
      <c r="W78" s="131">
        <v>0</v>
      </c>
      <c r="X78" s="131">
        <v>0</v>
      </c>
      <c r="Y78" s="131">
        <v>0</v>
      </c>
      <c r="Z78" s="131">
        <v>0</v>
      </c>
      <c r="AA78" s="131">
        <v>0.10206511493110269</v>
      </c>
      <c r="AB78" s="131">
        <v>0</v>
      </c>
      <c r="AC78" s="131">
        <v>0</v>
      </c>
      <c r="AD78" s="131">
        <v>0</v>
      </c>
      <c r="AE78" s="131">
        <v>0</v>
      </c>
      <c r="AF78" s="131">
        <v>0</v>
      </c>
      <c r="AG78" s="131">
        <v>0</v>
      </c>
      <c r="AH78" s="131">
        <v>0</v>
      </c>
      <c r="AI78" s="131">
        <v>0</v>
      </c>
      <c r="AJ78" s="131">
        <v>0</v>
      </c>
      <c r="AK78" s="131">
        <v>0</v>
      </c>
      <c r="AL78" s="131">
        <v>0.23699715409519698</v>
      </c>
      <c r="AM78" s="131">
        <v>0</v>
      </c>
      <c r="AN78" s="131">
        <v>0</v>
      </c>
      <c r="AO78" s="131">
        <v>0</v>
      </c>
      <c r="AP78" s="131">
        <v>0</v>
      </c>
      <c r="AQ78" s="131">
        <v>0</v>
      </c>
      <c r="AR78" s="131">
        <v>0</v>
      </c>
      <c r="AS78" s="131">
        <v>0</v>
      </c>
      <c r="AT78" s="131">
        <v>0.1479826857649883</v>
      </c>
      <c r="AU78" s="131">
        <v>0</v>
      </c>
      <c r="AV78" s="131">
        <v>0</v>
      </c>
      <c r="AW78" s="131">
        <v>4.2981517124286516E-4</v>
      </c>
      <c r="AX78" s="131">
        <v>0.25089963886015598</v>
      </c>
      <c r="AY78" s="131">
        <v>9.8990104047339253E-2</v>
      </c>
      <c r="AZ78" s="131">
        <v>0</v>
      </c>
      <c r="BA78" s="131">
        <v>0</v>
      </c>
      <c r="BB78" s="131">
        <v>0.35403538861752132</v>
      </c>
      <c r="BC78" s="131">
        <v>1.0999878796413246E-5</v>
      </c>
      <c r="BD78" s="131">
        <v>9.156007247669995E-2</v>
      </c>
      <c r="BE78" s="131">
        <v>0</v>
      </c>
      <c r="BF78" s="131">
        <v>0</v>
      </c>
      <c r="BG78" s="131">
        <v>0.71631516470881562</v>
      </c>
      <c r="BH78" s="131">
        <v>0</v>
      </c>
      <c r="BI78" s="131">
        <v>0.86781775470631162</v>
      </c>
      <c r="BJ78" s="131">
        <v>0</v>
      </c>
      <c r="BK78" s="131">
        <v>0.7</v>
      </c>
      <c r="BL78" s="131">
        <v>0</v>
      </c>
      <c r="BM78" s="131">
        <v>0</v>
      </c>
      <c r="BN78" s="131">
        <v>0</v>
      </c>
      <c r="BO78" s="131">
        <v>0</v>
      </c>
      <c r="BP78" s="131">
        <v>0</v>
      </c>
      <c r="BQ78" s="131">
        <v>0</v>
      </c>
      <c r="BR78" s="131">
        <v>0</v>
      </c>
      <c r="BS78" s="131">
        <v>0</v>
      </c>
      <c r="BT78" s="131">
        <v>0</v>
      </c>
      <c r="BU78" s="131">
        <v>0</v>
      </c>
      <c r="BV78" s="131">
        <v>0</v>
      </c>
      <c r="BW78" s="131">
        <v>0</v>
      </c>
      <c r="BX78" s="131">
        <v>0</v>
      </c>
      <c r="BY78" s="131">
        <v>0</v>
      </c>
      <c r="BZ78" s="131">
        <v>0</v>
      </c>
      <c r="CA78" s="131">
        <v>0</v>
      </c>
      <c r="CB78" s="131">
        <v>0</v>
      </c>
      <c r="CC78" s="131">
        <v>0</v>
      </c>
    </row>
    <row r="79" spans="1:81" x14ac:dyDescent="0.15">
      <c r="A79" s="169" t="s">
        <v>268</v>
      </c>
      <c r="B79" s="131">
        <v>0</v>
      </c>
      <c r="C79" s="131">
        <v>0</v>
      </c>
      <c r="D79" s="131">
        <v>0</v>
      </c>
      <c r="E79" s="131">
        <v>0</v>
      </c>
      <c r="F79" s="131">
        <v>0</v>
      </c>
      <c r="G79" s="131">
        <v>0</v>
      </c>
      <c r="H79" s="131">
        <v>0</v>
      </c>
      <c r="I79" s="131">
        <v>0</v>
      </c>
      <c r="J79" s="131">
        <v>0</v>
      </c>
      <c r="K79" s="131">
        <v>0</v>
      </c>
      <c r="L79" s="131">
        <v>0</v>
      </c>
      <c r="M79" s="131">
        <v>0</v>
      </c>
      <c r="N79" s="131">
        <v>0</v>
      </c>
      <c r="O79" s="131">
        <v>0</v>
      </c>
      <c r="P79" s="131">
        <v>0</v>
      </c>
      <c r="Q79" s="131">
        <v>0</v>
      </c>
      <c r="R79" s="131">
        <v>0</v>
      </c>
      <c r="S79" s="131">
        <v>0</v>
      </c>
      <c r="T79" s="131">
        <v>0</v>
      </c>
      <c r="U79" s="131">
        <v>0</v>
      </c>
      <c r="V79" s="131">
        <v>0</v>
      </c>
      <c r="W79" s="131">
        <v>0</v>
      </c>
      <c r="X79" s="131">
        <v>0</v>
      </c>
      <c r="Y79" s="131">
        <v>0</v>
      </c>
      <c r="Z79" s="131">
        <v>0</v>
      </c>
      <c r="AA79" s="131">
        <v>0</v>
      </c>
      <c r="AB79" s="131">
        <v>0</v>
      </c>
      <c r="AC79" s="131">
        <v>0</v>
      </c>
      <c r="AD79" s="131">
        <v>0</v>
      </c>
      <c r="AE79" s="131">
        <v>0</v>
      </c>
      <c r="AF79" s="131">
        <v>0</v>
      </c>
      <c r="AG79" s="131">
        <v>0</v>
      </c>
      <c r="AH79" s="131">
        <v>0</v>
      </c>
      <c r="AI79" s="131">
        <v>0</v>
      </c>
      <c r="AJ79" s="131">
        <v>0</v>
      </c>
      <c r="AK79" s="131">
        <v>0</v>
      </c>
      <c r="AL79" s="131">
        <v>0</v>
      </c>
      <c r="AM79" s="131">
        <v>0</v>
      </c>
      <c r="AN79" s="131">
        <v>0</v>
      </c>
      <c r="AO79" s="131">
        <v>0</v>
      </c>
      <c r="AP79" s="131">
        <v>0</v>
      </c>
      <c r="AQ79" s="131">
        <v>0</v>
      </c>
      <c r="AR79" s="131">
        <v>0</v>
      </c>
      <c r="AS79" s="131">
        <v>0</v>
      </c>
      <c r="AT79" s="131">
        <v>0</v>
      </c>
      <c r="AU79" s="131">
        <v>0</v>
      </c>
      <c r="AV79" s="131">
        <v>0</v>
      </c>
      <c r="AW79" s="131">
        <v>5.8974643326346818E-2</v>
      </c>
      <c r="AX79" s="131">
        <v>0</v>
      </c>
      <c r="AY79" s="131">
        <v>0</v>
      </c>
      <c r="AZ79" s="131">
        <v>0</v>
      </c>
      <c r="BA79" s="131">
        <v>0.11804486436073727</v>
      </c>
      <c r="BB79" s="131">
        <v>0</v>
      </c>
      <c r="BC79" s="131">
        <v>0</v>
      </c>
      <c r="BD79" s="131">
        <v>0</v>
      </c>
      <c r="BE79" s="131">
        <v>0</v>
      </c>
      <c r="BF79" s="131">
        <v>0</v>
      </c>
      <c r="BG79" s="131">
        <v>0</v>
      </c>
      <c r="BH79" s="131">
        <v>0</v>
      </c>
      <c r="BI79" s="131">
        <v>0</v>
      </c>
      <c r="BJ79" s="131">
        <v>0</v>
      </c>
      <c r="BK79" s="131">
        <v>0</v>
      </c>
      <c r="BL79" s="131">
        <v>0</v>
      </c>
      <c r="BM79" s="131">
        <v>0</v>
      </c>
      <c r="BN79" s="131">
        <v>0</v>
      </c>
      <c r="BO79" s="131">
        <v>0</v>
      </c>
      <c r="BP79" s="131">
        <v>0</v>
      </c>
      <c r="BQ79" s="131">
        <v>0</v>
      </c>
      <c r="BR79" s="131">
        <v>0</v>
      </c>
      <c r="BS79" s="131">
        <v>0</v>
      </c>
      <c r="BT79" s="131">
        <v>0</v>
      </c>
      <c r="BU79" s="131">
        <v>0</v>
      </c>
      <c r="BV79" s="131">
        <v>0</v>
      </c>
      <c r="BW79" s="131">
        <v>0</v>
      </c>
      <c r="BX79" s="131">
        <v>0</v>
      </c>
      <c r="BY79" s="131">
        <v>0</v>
      </c>
      <c r="BZ79" s="131">
        <v>0</v>
      </c>
      <c r="CA79" s="131">
        <v>0</v>
      </c>
      <c r="CB79" s="131">
        <v>0</v>
      </c>
      <c r="CC79" s="131">
        <v>0</v>
      </c>
    </row>
    <row r="80" spans="1:81" x14ac:dyDescent="0.15">
      <c r="A80" s="169" t="s">
        <v>269</v>
      </c>
      <c r="B80" s="131">
        <v>0</v>
      </c>
      <c r="C80" s="131">
        <v>0</v>
      </c>
      <c r="D80" s="131">
        <v>0</v>
      </c>
      <c r="E80" s="131">
        <v>0</v>
      </c>
      <c r="F80" s="131">
        <v>0</v>
      </c>
      <c r="G80" s="131">
        <v>0</v>
      </c>
      <c r="H80" s="131">
        <v>0</v>
      </c>
      <c r="I80" s="131">
        <v>0</v>
      </c>
      <c r="J80" s="131">
        <v>0</v>
      </c>
      <c r="K80" s="131">
        <v>0</v>
      </c>
      <c r="L80" s="131">
        <v>0</v>
      </c>
      <c r="M80" s="131">
        <v>0</v>
      </c>
      <c r="N80" s="131">
        <v>0</v>
      </c>
      <c r="O80" s="131">
        <v>0</v>
      </c>
      <c r="P80" s="131">
        <v>0</v>
      </c>
      <c r="Q80" s="131">
        <v>0</v>
      </c>
      <c r="R80" s="131">
        <v>0</v>
      </c>
      <c r="S80" s="131">
        <v>0</v>
      </c>
      <c r="T80" s="131">
        <v>0</v>
      </c>
      <c r="U80" s="131">
        <v>0</v>
      </c>
      <c r="V80" s="131">
        <v>0</v>
      </c>
      <c r="W80" s="131">
        <v>0</v>
      </c>
      <c r="X80" s="131">
        <v>0</v>
      </c>
      <c r="Y80" s="131">
        <v>0</v>
      </c>
      <c r="Z80" s="131">
        <v>0</v>
      </c>
      <c r="AA80" s="131">
        <v>3.6022979622742153E-2</v>
      </c>
      <c r="AB80" s="131">
        <v>0</v>
      </c>
      <c r="AC80" s="131">
        <v>0</v>
      </c>
      <c r="AD80" s="131">
        <v>0</v>
      </c>
      <c r="AE80" s="131">
        <v>0</v>
      </c>
      <c r="AF80" s="131">
        <v>0</v>
      </c>
      <c r="AG80" s="131">
        <v>0</v>
      </c>
      <c r="AH80" s="131">
        <v>0</v>
      </c>
      <c r="AI80" s="131">
        <v>0</v>
      </c>
      <c r="AJ80" s="131">
        <v>7.0085981797705435E-2</v>
      </c>
      <c r="AK80" s="131">
        <v>0.69996498705064769</v>
      </c>
      <c r="AL80" s="131">
        <v>0.14699822519828684</v>
      </c>
      <c r="AM80" s="131">
        <v>0.16100804544599229</v>
      </c>
      <c r="AN80" s="131">
        <v>1.1004611445705477E-2</v>
      </c>
      <c r="AO80" s="131">
        <v>7.9978480268487768E-3</v>
      </c>
      <c r="AP80" s="131">
        <v>0</v>
      </c>
      <c r="AQ80" s="131">
        <v>0.57522434012942547</v>
      </c>
      <c r="AR80" s="131">
        <v>0</v>
      </c>
      <c r="AS80" s="131">
        <v>0</v>
      </c>
      <c r="AT80" s="131">
        <v>0</v>
      </c>
      <c r="AU80" s="131">
        <v>0</v>
      </c>
      <c r="AV80" s="131">
        <v>0</v>
      </c>
      <c r="AW80" s="131">
        <v>0</v>
      </c>
      <c r="AX80" s="131">
        <v>5.0179929172031165E-2</v>
      </c>
      <c r="AY80" s="131">
        <v>0</v>
      </c>
      <c r="AZ80" s="131">
        <v>5.3127572864796725E-2</v>
      </c>
      <c r="BA80" s="131">
        <v>0</v>
      </c>
      <c r="BB80" s="131">
        <v>0</v>
      </c>
      <c r="BC80" s="131">
        <v>0</v>
      </c>
      <c r="BD80" s="131">
        <v>0</v>
      </c>
      <c r="BE80" s="131">
        <v>0</v>
      </c>
      <c r="BF80" s="131">
        <v>0</v>
      </c>
      <c r="BG80" s="131">
        <v>6.9030371417469649E-2</v>
      </c>
      <c r="BH80" s="131">
        <v>0</v>
      </c>
      <c r="BI80" s="131">
        <v>0</v>
      </c>
      <c r="BJ80" s="131">
        <v>0</v>
      </c>
      <c r="BK80" s="131">
        <v>0.3</v>
      </c>
      <c r="BL80" s="131">
        <v>0</v>
      </c>
      <c r="BM80" s="131">
        <v>0</v>
      </c>
      <c r="BN80" s="131">
        <v>0</v>
      </c>
      <c r="BO80" s="131">
        <v>0</v>
      </c>
      <c r="BP80" s="131">
        <v>0</v>
      </c>
      <c r="BQ80" s="131">
        <v>0</v>
      </c>
      <c r="BR80" s="131">
        <v>0</v>
      </c>
      <c r="BS80" s="131">
        <v>0</v>
      </c>
      <c r="BT80" s="131">
        <v>0</v>
      </c>
      <c r="BU80" s="131">
        <v>0</v>
      </c>
      <c r="BV80" s="131">
        <v>0</v>
      </c>
      <c r="BW80" s="131">
        <v>0</v>
      </c>
      <c r="BX80" s="131">
        <v>0</v>
      </c>
      <c r="BY80" s="131">
        <v>0</v>
      </c>
      <c r="BZ80" s="131">
        <v>0</v>
      </c>
      <c r="CA80" s="131">
        <v>0</v>
      </c>
      <c r="CB80" s="131">
        <v>0</v>
      </c>
      <c r="CC80" s="131">
        <v>0</v>
      </c>
    </row>
    <row r="81" spans="1:81" x14ac:dyDescent="0.15">
      <c r="A81" s="169" t="s">
        <v>270</v>
      </c>
      <c r="B81" s="131">
        <v>0</v>
      </c>
      <c r="C81" s="131">
        <v>0</v>
      </c>
      <c r="D81" s="131">
        <v>0</v>
      </c>
      <c r="E81" s="131">
        <v>0</v>
      </c>
      <c r="F81" s="131">
        <v>0</v>
      </c>
      <c r="G81" s="131">
        <v>0</v>
      </c>
      <c r="H81" s="131">
        <v>0.10199887950274826</v>
      </c>
      <c r="I81" s="131">
        <v>0</v>
      </c>
      <c r="J81" s="131">
        <v>0</v>
      </c>
      <c r="K81" s="131">
        <v>0</v>
      </c>
      <c r="L81" s="131">
        <v>0</v>
      </c>
      <c r="M81" s="131">
        <v>0</v>
      </c>
      <c r="N81" s="131">
        <v>0</v>
      </c>
      <c r="O81" s="131">
        <v>0.11693919648512781</v>
      </c>
      <c r="P81" s="131">
        <v>0.35783486960763788</v>
      </c>
      <c r="Q81" s="131">
        <v>0.11006053690968239</v>
      </c>
      <c r="R81" s="131">
        <v>0</v>
      </c>
      <c r="S81" s="131">
        <v>0</v>
      </c>
      <c r="T81" s="131">
        <v>0.18890765383874997</v>
      </c>
      <c r="U81" s="131">
        <v>0.10907362651944805</v>
      </c>
      <c r="V81" s="131">
        <v>0</v>
      </c>
      <c r="W81" s="131">
        <v>0</v>
      </c>
      <c r="X81" s="131">
        <v>0</v>
      </c>
      <c r="Y81" s="131">
        <v>0</v>
      </c>
      <c r="Z81" s="131">
        <v>0</v>
      </c>
      <c r="AA81" s="131">
        <v>2.1013406779932901E-2</v>
      </c>
      <c r="AB81" s="131">
        <v>0</v>
      </c>
      <c r="AC81" s="131">
        <v>0.10204702754565081</v>
      </c>
      <c r="AD81" s="131">
        <v>0</v>
      </c>
      <c r="AE81" s="131">
        <v>0.4052150831418741</v>
      </c>
      <c r="AF81" s="131">
        <v>0.19108184924479082</v>
      </c>
      <c r="AG81" s="131">
        <v>0</v>
      </c>
      <c r="AH81" s="131">
        <v>0</v>
      </c>
      <c r="AI81" s="131">
        <v>0.19400388735274732</v>
      </c>
      <c r="AJ81" s="131">
        <v>0.73085381874640043</v>
      </c>
      <c r="AK81" s="131">
        <v>0.29998501545027723</v>
      </c>
      <c r="AL81" s="131">
        <v>0.21999735830355835</v>
      </c>
      <c r="AM81" s="131">
        <v>0.8190409562687434</v>
      </c>
      <c r="AN81" s="131">
        <v>0.98341204876622346</v>
      </c>
      <c r="AO81" s="131">
        <v>0.90875554405069237</v>
      </c>
      <c r="AP81" s="131">
        <v>0.6342917627734358</v>
      </c>
      <c r="AQ81" s="131">
        <v>0</v>
      </c>
      <c r="AR81" s="131">
        <v>0.13885981241574202</v>
      </c>
      <c r="AS81" s="131">
        <v>0.33312589561482397</v>
      </c>
      <c r="AT81" s="131">
        <v>0.48594313494448871</v>
      </c>
      <c r="AU81" s="131">
        <v>0</v>
      </c>
      <c r="AV81" s="131">
        <v>0</v>
      </c>
      <c r="AW81" s="131">
        <v>0</v>
      </c>
      <c r="AX81" s="131">
        <v>0.18092761601469434</v>
      </c>
      <c r="AY81" s="131">
        <v>0.34596539632100398</v>
      </c>
      <c r="AZ81" s="131">
        <v>5.4128090982966129E-2</v>
      </c>
      <c r="BA81" s="131">
        <v>0</v>
      </c>
      <c r="BB81" s="131">
        <v>0</v>
      </c>
      <c r="BC81" s="131">
        <v>0</v>
      </c>
      <c r="BD81" s="131">
        <v>0.2541667888752116</v>
      </c>
      <c r="BE81" s="131">
        <v>0</v>
      </c>
      <c r="BF81" s="131">
        <v>0.55582769920461061</v>
      </c>
      <c r="BG81" s="131">
        <v>0.20809157627295244</v>
      </c>
      <c r="BH81" s="131">
        <v>0</v>
      </c>
      <c r="BI81" s="131">
        <v>0</v>
      </c>
      <c r="BJ81" s="131">
        <v>0</v>
      </c>
      <c r="BK81" s="131">
        <v>0</v>
      </c>
      <c r="BL81" s="131">
        <v>0</v>
      </c>
      <c r="BM81" s="131">
        <v>0</v>
      </c>
      <c r="BN81" s="131">
        <v>0</v>
      </c>
      <c r="BO81" s="131">
        <v>0</v>
      </c>
      <c r="BP81" s="131">
        <v>0</v>
      </c>
      <c r="BQ81" s="131">
        <v>0</v>
      </c>
      <c r="BR81" s="131">
        <v>0</v>
      </c>
      <c r="BS81" s="131">
        <v>0</v>
      </c>
      <c r="BT81" s="131">
        <v>0</v>
      </c>
      <c r="BU81" s="131">
        <v>0</v>
      </c>
      <c r="BV81" s="131">
        <v>0</v>
      </c>
      <c r="BW81" s="131">
        <v>0</v>
      </c>
      <c r="BX81" s="131">
        <v>0</v>
      </c>
      <c r="BY81" s="131">
        <v>0</v>
      </c>
      <c r="BZ81" s="131">
        <v>0</v>
      </c>
      <c r="CA81" s="131">
        <v>0</v>
      </c>
      <c r="CB81" s="131">
        <v>0</v>
      </c>
      <c r="CC81" s="131">
        <v>0</v>
      </c>
    </row>
    <row r="82" spans="1:81" x14ac:dyDescent="0.15">
      <c r="A82" s="169" t="s">
        <v>285</v>
      </c>
      <c r="B82" s="131">
        <v>0.47299682853780556</v>
      </c>
      <c r="C82" s="131">
        <v>0.27</v>
      </c>
      <c r="D82" s="131">
        <v>0.98849424622001403</v>
      </c>
      <c r="E82" s="131">
        <v>0.81299999999999994</v>
      </c>
      <c r="F82" s="131">
        <v>0.22111432626791497</v>
      </c>
      <c r="G82" s="131">
        <v>0.1411127787722268</v>
      </c>
      <c r="H82" s="131">
        <v>0.13299853904770115</v>
      </c>
      <c r="I82" s="131">
        <v>9.8874416668891255E-2</v>
      </c>
      <c r="J82" s="131">
        <v>0</v>
      </c>
      <c r="K82" s="131">
        <v>0</v>
      </c>
      <c r="L82" s="131">
        <v>0.59694029999999998</v>
      </c>
      <c r="M82" s="131">
        <v>0.30357194328643589</v>
      </c>
      <c r="N82" s="131">
        <v>0.48482449403101374</v>
      </c>
      <c r="O82" s="131">
        <v>0.17490904222134485</v>
      </c>
      <c r="P82" s="131">
        <v>0.15992618814307857</v>
      </c>
      <c r="Q82" s="131">
        <v>0.14808143956939068</v>
      </c>
      <c r="R82" s="131">
        <v>0</v>
      </c>
      <c r="S82" s="131">
        <v>0.71740455944937886</v>
      </c>
      <c r="T82" s="131">
        <v>0.28386125126034395</v>
      </c>
      <c r="U82" s="131">
        <v>0</v>
      </c>
      <c r="V82" s="131">
        <v>0</v>
      </c>
      <c r="W82" s="131">
        <v>0.18699981075622107</v>
      </c>
      <c r="X82" s="131">
        <v>0.22910996128085467</v>
      </c>
      <c r="Y82" s="131">
        <v>0.39222288825863372</v>
      </c>
      <c r="Z82" s="131">
        <v>0.5312018507756826</v>
      </c>
      <c r="AA82" s="131">
        <v>0.25416216033823597</v>
      </c>
      <c r="AB82" s="131">
        <v>0.2</v>
      </c>
      <c r="AC82" s="131">
        <v>0.55525590841015926</v>
      </c>
      <c r="AD82" s="131">
        <v>0.20205455576917969</v>
      </c>
      <c r="AE82" s="131">
        <v>0</v>
      </c>
      <c r="AF82" s="131">
        <v>0.206088287028413</v>
      </c>
      <c r="AG82" s="131">
        <v>0.17200001872959975</v>
      </c>
      <c r="AH82" s="131">
        <v>0</v>
      </c>
      <c r="AI82" s="131">
        <v>0.15400307483671652</v>
      </c>
      <c r="AJ82" s="131">
        <v>9.9980006664487184E-2</v>
      </c>
      <c r="AK82" s="131">
        <v>0</v>
      </c>
      <c r="AL82" s="131">
        <v>0.30999629620046837</v>
      </c>
      <c r="AM82" s="131">
        <v>0</v>
      </c>
      <c r="AN82" s="131">
        <v>0</v>
      </c>
      <c r="AO82" s="131">
        <v>0</v>
      </c>
      <c r="AP82" s="131">
        <v>0</v>
      </c>
      <c r="AQ82" s="131">
        <v>0</v>
      </c>
      <c r="AR82" s="131">
        <v>0</v>
      </c>
      <c r="AS82" s="131">
        <v>0</v>
      </c>
      <c r="AT82" s="131">
        <v>0.1359840988651243</v>
      </c>
      <c r="AU82" s="131">
        <v>0.238933090627895</v>
      </c>
      <c r="AV82" s="131">
        <v>0.42308124132657554</v>
      </c>
      <c r="AW82" s="131">
        <v>0</v>
      </c>
      <c r="AX82" s="131">
        <v>0</v>
      </c>
      <c r="AY82" s="131">
        <v>0</v>
      </c>
      <c r="AZ82" s="131">
        <v>0</v>
      </c>
      <c r="BA82" s="131">
        <v>0.19607449158224075</v>
      </c>
      <c r="BB82" s="131">
        <v>0.16201620485886598</v>
      </c>
      <c r="BC82" s="131">
        <v>0</v>
      </c>
      <c r="BD82" s="131">
        <v>0.23800000643790017</v>
      </c>
      <c r="BE82" s="131">
        <v>0.42000000113399999</v>
      </c>
      <c r="BF82" s="131">
        <v>0.28391199959372193</v>
      </c>
      <c r="BG82" s="131">
        <v>0</v>
      </c>
      <c r="BH82" s="131">
        <v>0.36100001980899943</v>
      </c>
      <c r="BI82" s="131">
        <v>0</v>
      </c>
      <c r="BJ82" s="131">
        <v>0</v>
      </c>
      <c r="BK82" s="131">
        <v>0</v>
      </c>
      <c r="BL82" s="131">
        <v>0</v>
      </c>
      <c r="BM82" s="131">
        <v>0</v>
      </c>
      <c r="BN82" s="131">
        <v>0</v>
      </c>
      <c r="BO82" s="131">
        <v>0</v>
      </c>
      <c r="BP82" s="131">
        <v>0</v>
      </c>
      <c r="BQ82" s="131">
        <v>0</v>
      </c>
      <c r="BR82" s="131">
        <v>0</v>
      </c>
      <c r="BS82" s="131">
        <v>0</v>
      </c>
      <c r="BT82" s="131">
        <v>0</v>
      </c>
      <c r="BU82" s="131">
        <v>0</v>
      </c>
      <c r="BV82" s="131">
        <v>0</v>
      </c>
      <c r="BW82" s="131">
        <v>0</v>
      </c>
      <c r="BX82" s="131">
        <v>0</v>
      </c>
      <c r="BY82" s="131">
        <v>0</v>
      </c>
      <c r="BZ82" s="131">
        <v>0</v>
      </c>
      <c r="CA82" s="131">
        <v>0</v>
      </c>
      <c r="CB82" s="131">
        <v>0</v>
      </c>
      <c r="CC82" s="131">
        <v>0</v>
      </c>
    </row>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K185"/>
  <sheetViews>
    <sheetView workbookViewId="0">
      <pane xSplit="2" ySplit="1" topLeftCell="C4" activePane="bottomRight" state="frozen"/>
      <selection pane="topRight" activeCell="C1" sqref="C1"/>
      <selection pane="bottomLeft" activeCell="A2" sqref="A2"/>
      <selection pane="bottomRight" activeCell="J81" sqref="J81"/>
    </sheetView>
  </sheetViews>
  <sheetFormatPr baseColWidth="10" defaultColWidth="8.83203125" defaultRowHeight="13" x14ac:dyDescent="0.15"/>
  <cols>
    <col min="1" max="1" width="3.33203125" customWidth="1"/>
    <col min="2" max="2" width="29.6640625" customWidth="1"/>
    <col min="3" max="4" width="14.33203125" style="109" customWidth="1"/>
    <col min="5" max="6" width="14.33203125" style="108" customWidth="1"/>
    <col min="7" max="8" width="14.33203125" style="109" customWidth="1"/>
    <col min="9" max="11" width="14.33203125" customWidth="1"/>
  </cols>
  <sheetData>
    <row r="1" spans="1:11" ht="70" x14ac:dyDescent="0.15">
      <c r="A1" s="5" t="s">
        <v>20</v>
      </c>
      <c r="B1" s="1" t="s">
        <v>0</v>
      </c>
      <c r="C1" s="172" t="s">
        <v>264</v>
      </c>
      <c r="D1" s="172" t="s">
        <v>265</v>
      </c>
      <c r="E1" s="172" t="s">
        <v>266</v>
      </c>
      <c r="F1" s="172" t="s">
        <v>267</v>
      </c>
      <c r="G1" s="172" t="s">
        <v>268</v>
      </c>
      <c r="H1" s="172" t="s">
        <v>269</v>
      </c>
      <c r="I1" s="172" t="s">
        <v>270</v>
      </c>
      <c r="J1" s="172" t="s">
        <v>286</v>
      </c>
      <c r="K1" s="172" t="s">
        <v>287</v>
      </c>
    </row>
    <row r="2" spans="1:11" x14ac:dyDescent="0.15">
      <c r="A2">
        <v>1</v>
      </c>
      <c r="B2" s="171" t="s">
        <v>191</v>
      </c>
      <c r="C2" s="109">
        <v>0</v>
      </c>
      <c r="D2" s="109">
        <v>0</v>
      </c>
      <c r="E2" s="108">
        <v>0</v>
      </c>
      <c r="F2" s="108">
        <v>0</v>
      </c>
      <c r="G2" s="109">
        <v>0</v>
      </c>
      <c r="H2" s="109">
        <v>0</v>
      </c>
      <c r="I2">
        <v>1</v>
      </c>
      <c r="J2">
        <v>0</v>
      </c>
      <c r="K2">
        <f>SUM(C2:J2)</f>
        <v>1</v>
      </c>
    </row>
    <row r="3" spans="1:11" x14ac:dyDescent="0.15">
      <c r="A3">
        <v>2</v>
      </c>
      <c r="B3" s="171" t="s">
        <v>192</v>
      </c>
      <c r="C3" s="109">
        <v>0</v>
      </c>
      <c r="D3" s="109">
        <v>0</v>
      </c>
      <c r="E3" s="108">
        <v>0</v>
      </c>
      <c r="F3" s="108">
        <v>0</v>
      </c>
      <c r="G3" s="109">
        <v>0</v>
      </c>
      <c r="H3" s="109">
        <v>0</v>
      </c>
      <c r="I3">
        <v>1</v>
      </c>
      <c r="J3">
        <v>0</v>
      </c>
      <c r="K3">
        <f t="shared" ref="K3:K66" si="0">SUM(C3:J3)</f>
        <v>1</v>
      </c>
    </row>
    <row r="4" spans="1:11" x14ac:dyDescent="0.15">
      <c r="A4">
        <v>3</v>
      </c>
      <c r="B4" s="171" t="s">
        <v>193</v>
      </c>
      <c r="C4" s="109">
        <v>0</v>
      </c>
      <c r="D4" s="109">
        <v>0</v>
      </c>
      <c r="E4" s="108">
        <v>0</v>
      </c>
      <c r="F4" s="108">
        <v>0</v>
      </c>
      <c r="G4" s="109">
        <v>0</v>
      </c>
      <c r="H4" s="109">
        <v>0</v>
      </c>
      <c r="I4">
        <v>1</v>
      </c>
      <c r="J4">
        <v>0</v>
      </c>
      <c r="K4">
        <f t="shared" si="0"/>
        <v>1</v>
      </c>
    </row>
    <row r="5" spans="1:11" x14ac:dyDescent="0.15">
      <c r="A5">
        <v>4</v>
      </c>
      <c r="B5" s="171" t="s">
        <v>194</v>
      </c>
      <c r="C5" s="109">
        <v>0</v>
      </c>
      <c r="D5" s="109">
        <v>0</v>
      </c>
      <c r="E5" s="108">
        <v>0</v>
      </c>
      <c r="F5" s="108">
        <v>0</v>
      </c>
      <c r="G5" s="109">
        <v>0</v>
      </c>
      <c r="H5" s="109">
        <v>0</v>
      </c>
      <c r="I5">
        <v>1</v>
      </c>
      <c r="J5">
        <v>0</v>
      </c>
      <c r="K5">
        <f t="shared" si="0"/>
        <v>1</v>
      </c>
    </row>
    <row r="6" spans="1:11" x14ac:dyDescent="0.15">
      <c r="A6">
        <v>5</v>
      </c>
      <c r="B6" s="171" t="s">
        <v>195</v>
      </c>
      <c r="C6" s="109">
        <v>0</v>
      </c>
      <c r="D6" s="109">
        <v>0</v>
      </c>
      <c r="E6" s="108">
        <v>0</v>
      </c>
      <c r="F6" s="108">
        <v>0</v>
      </c>
      <c r="G6" s="109">
        <v>0</v>
      </c>
      <c r="H6" s="109">
        <v>0</v>
      </c>
      <c r="I6">
        <v>1</v>
      </c>
      <c r="J6">
        <v>0</v>
      </c>
      <c r="K6">
        <f t="shared" si="0"/>
        <v>1</v>
      </c>
    </row>
    <row r="7" spans="1:11" x14ac:dyDescent="0.15">
      <c r="A7">
        <v>6</v>
      </c>
      <c r="B7" s="171" t="s">
        <v>196</v>
      </c>
      <c r="C7" s="109">
        <v>0</v>
      </c>
      <c r="D7" s="109">
        <v>0</v>
      </c>
      <c r="E7" s="108">
        <v>0</v>
      </c>
      <c r="F7" s="108">
        <v>0</v>
      </c>
      <c r="G7" s="109">
        <v>0</v>
      </c>
      <c r="H7" s="109">
        <v>0</v>
      </c>
      <c r="I7">
        <v>1</v>
      </c>
      <c r="J7">
        <v>0</v>
      </c>
      <c r="K7">
        <f t="shared" si="0"/>
        <v>1</v>
      </c>
    </row>
    <row r="8" spans="1:11" x14ac:dyDescent="0.15">
      <c r="A8">
        <v>7</v>
      </c>
      <c r="B8" s="171" t="s">
        <v>197</v>
      </c>
      <c r="C8" s="109">
        <v>0</v>
      </c>
      <c r="D8" s="109">
        <v>0</v>
      </c>
      <c r="E8" s="108">
        <v>0</v>
      </c>
      <c r="F8" s="108">
        <v>0</v>
      </c>
      <c r="G8" s="109">
        <v>0</v>
      </c>
      <c r="H8" s="109">
        <v>0</v>
      </c>
      <c r="I8">
        <v>1</v>
      </c>
      <c r="J8">
        <v>0</v>
      </c>
      <c r="K8">
        <f t="shared" si="0"/>
        <v>1</v>
      </c>
    </row>
    <row r="9" spans="1:11" x14ac:dyDescent="0.15">
      <c r="A9">
        <v>8</v>
      </c>
      <c r="B9" s="171" t="s">
        <v>198</v>
      </c>
      <c r="C9" s="109">
        <v>0</v>
      </c>
      <c r="D9" s="109">
        <v>0</v>
      </c>
      <c r="E9" s="108">
        <v>0</v>
      </c>
      <c r="F9" s="108">
        <v>0</v>
      </c>
      <c r="G9" s="109">
        <v>0</v>
      </c>
      <c r="H9" s="109">
        <v>0</v>
      </c>
      <c r="I9">
        <v>1</v>
      </c>
      <c r="J9">
        <v>0</v>
      </c>
      <c r="K9">
        <f t="shared" si="0"/>
        <v>1</v>
      </c>
    </row>
    <row r="10" spans="1:11" x14ac:dyDescent="0.15">
      <c r="A10">
        <v>9</v>
      </c>
      <c r="B10" s="171" t="s">
        <v>199</v>
      </c>
      <c r="C10" s="109">
        <v>0</v>
      </c>
      <c r="D10" s="109">
        <v>0</v>
      </c>
      <c r="E10" s="108">
        <v>0</v>
      </c>
      <c r="F10" s="108">
        <v>0</v>
      </c>
      <c r="G10" s="109">
        <v>0</v>
      </c>
      <c r="H10" s="109">
        <v>0</v>
      </c>
      <c r="I10">
        <v>1</v>
      </c>
      <c r="J10">
        <v>0</v>
      </c>
      <c r="K10">
        <f t="shared" si="0"/>
        <v>1</v>
      </c>
    </row>
    <row r="11" spans="1:11" x14ac:dyDescent="0.15">
      <c r="A11">
        <v>10</v>
      </c>
      <c r="B11" s="171" t="s">
        <v>200</v>
      </c>
      <c r="C11" s="109">
        <v>0</v>
      </c>
      <c r="D11" s="109">
        <v>0</v>
      </c>
      <c r="E11" s="108">
        <v>0</v>
      </c>
      <c r="F11" s="108">
        <v>0</v>
      </c>
      <c r="G11" s="109">
        <v>0</v>
      </c>
      <c r="H11" s="109">
        <v>0</v>
      </c>
      <c r="I11">
        <v>1</v>
      </c>
      <c r="J11">
        <v>0</v>
      </c>
      <c r="K11">
        <f t="shared" si="0"/>
        <v>1</v>
      </c>
    </row>
    <row r="12" spans="1:11" x14ac:dyDescent="0.15">
      <c r="A12">
        <v>11</v>
      </c>
      <c r="B12" s="171" t="s">
        <v>201</v>
      </c>
      <c r="C12" s="109">
        <v>0</v>
      </c>
      <c r="D12" s="109">
        <v>0</v>
      </c>
      <c r="E12" s="108">
        <v>0</v>
      </c>
      <c r="F12" s="108">
        <v>0</v>
      </c>
      <c r="G12" s="109">
        <v>0</v>
      </c>
      <c r="H12" s="109">
        <v>0</v>
      </c>
      <c r="I12">
        <v>1</v>
      </c>
      <c r="J12">
        <v>0</v>
      </c>
      <c r="K12">
        <f t="shared" si="0"/>
        <v>1</v>
      </c>
    </row>
    <row r="13" spans="1:11" x14ac:dyDescent="0.15">
      <c r="A13">
        <v>12</v>
      </c>
      <c r="B13" s="171" t="s">
        <v>202</v>
      </c>
      <c r="C13" s="109">
        <v>0</v>
      </c>
      <c r="D13" s="109">
        <v>0</v>
      </c>
      <c r="E13" s="108">
        <v>0</v>
      </c>
      <c r="F13" s="108">
        <v>0</v>
      </c>
      <c r="G13" s="109">
        <v>0</v>
      </c>
      <c r="H13" s="109">
        <v>0</v>
      </c>
      <c r="I13">
        <v>1</v>
      </c>
      <c r="J13">
        <v>0</v>
      </c>
      <c r="K13">
        <f t="shared" si="0"/>
        <v>1</v>
      </c>
    </row>
    <row r="14" spans="1:11" x14ac:dyDescent="0.15">
      <c r="A14">
        <v>13</v>
      </c>
      <c r="B14" s="171" t="s">
        <v>203</v>
      </c>
      <c r="C14" s="109">
        <v>0</v>
      </c>
      <c r="D14" s="109">
        <v>0</v>
      </c>
      <c r="E14" s="108">
        <v>0</v>
      </c>
      <c r="F14" s="108">
        <v>0</v>
      </c>
      <c r="G14" s="109">
        <v>0</v>
      </c>
      <c r="H14" s="109">
        <v>0</v>
      </c>
      <c r="I14">
        <v>1</v>
      </c>
      <c r="J14">
        <v>0</v>
      </c>
      <c r="K14">
        <f t="shared" si="0"/>
        <v>1</v>
      </c>
    </row>
    <row r="15" spans="1:11" x14ac:dyDescent="0.15">
      <c r="A15">
        <v>14</v>
      </c>
      <c r="B15" s="171" t="s">
        <v>204</v>
      </c>
      <c r="C15" s="109">
        <v>0</v>
      </c>
      <c r="D15" s="109">
        <v>0</v>
      </c>
      <c r="E15" s="108">
        <v>0</v>
      </c>
      <c r="F15" s="108">
        <v>0</v>
      </c>
      <c r="G15" s="109">
        <v>0</v>
      </c>
      <c r="H15" s="109">
        <v>0</v>
      </c>
      <c r="I15">
        <v>1</v>
      </c>
      <c r="J15">
        <v>0</v>
      </c>
      <c r="K15">
        <f t="shared" si="0"/>
        <v>1</v>
      </c>
    </row>
    <row r="16" spans="1:11" x14ac:dyDescent="0.15">
      <c r="A16">
        <v>15</v>
      </c>
      <c r="B16" s="171" t="s">
        <v>205</v>
      </c>
      <c r="C16" s="109">
        <v>0</v>
      </c>
      <c r="D16" s="109">
        <v>0</v>
      </c>
      <c r="E16" s="108">
        <v>0</v>
      </c>
      <c r="F16" s="108">
        <v>0</v>
      </c>
      <c r="G16" s="109">
        <v>0</v>
      </c>
      <c r="H16" s="109">
        <v>0</v>
      </c>
      <c r="I16">
        <v>1</v>
      </c>
      <c r="J16">
        <v>0</v>
      </c>
      <c r="K16">
        <f t="shared" si="0"/>
        <v>1</v>
      </c>
    </row>
    <row r="17" spans="1:11" ht="15" customHeight="1" x14ac:dyDescent="0.15">
      <c r="A17">
        <v>16</v>
      </c>
      <c r="B17" s="171" t="s">
        <v>206</v>
      </c>
      <c r="C17" s="109">
        <v>0</v>
      </c>
      <c r="D17" s="109">
        <v>0</v>
      </c>
      <c r="E17" s="108">
        <v>0</v>
      </c>
      <c r="F17" s="108">
        <v>0.5</v>
      </c>
      <c r="G17" s="109">
        <v>0</v>
      </c>
      <c r="H17" s="109">
        <v>0</v>
      </c>
      <c r="I17">
        <v>0.5</v>
      </c>
      <c r="J17">
        <v>0</v>
      </c>
      <c r="K17">
        <f t="shared" si="0"/>
        <v>1</v>
      </c>
    </row>
    <row r="18" spans="1:11" ht="15" customHeight="1" x14ac:dyDescent="0.15">
      <c r="A18">
        <v>17</v>
      </c>
      <c r="B18" s="171" t="s">
        <v>207</v>
      </c>
      <c r="C18" s="109">
        <v>0</v>
      </c>
      <c r="D18" s="109">
        <v>0</v>
      </c>
      <c r="E18" s="108">
        <v>0</v>
      </c>
      <c r="F18" s="108">
        <v>0</v>
      </c>
      <c r="G18" s="109">
        <v>0</v>
      </c>
      <c r="H18" s="109">
        <v>0</v>
      </c>
      <c r="I18">
        <v>1</v>
      </c>
      <c r="J18">
        <v>0</v>
      </c>
      <c r="K18">
        <f t="shared" si="0"/>
        <v>1</v>
      </c>
    </row>
    <row r="19" spans="1:11" ht="15" customHeight="1" x14ac:dyDescent="0.15">
      <c r="A19">
        <v>18</v>
      </c>
      <c r="B19" s="171" t="s">
        <v>208</v>
      </c>
      <c r="C19" s="109">
        <v>0</v>
      </c>
      <c r="D19" s="109">
        <v>0</v>
      </c>
      <c r="E19" s="108">
        <v>0</v>
      </c>
      <c r="F19" s="108">
        <v>0</v>
      </c>
      <c r="G19" s="109">
        <v>0</v>
      </c>
      <c r="H19" s="109">
        <v>0</v>
      </c>
      <c r="I19">
        <v>1</v>
      </c>
      <c r="J19">
        <v>0</v>
      </c>
      <c r="K19">
        <f t="shared" si="0"/>
        <v>1</v>
      </c>
    </row>
    <row r="20" spans="1:11" ht="15" customHeight="1" x14ac:dyDescent="0.15">
      <c r="A20">
        <v>19</v>
      </c>
      <c r="B20" s="171" t="s">
        <v>209</v>
      </c>
      <c r="C20" s="109">
        <v>0</v>
      </c>
      <c r="D20" s="109">
        <v>0</v>
      </c>
      <c r="E20" s="108">
        <v>0</v>
      </c>
      <c r="F20" s="108">
        <v>0</v>
      </c>
      <c r="G20" s="109">
        <v>0</v>
      </c>
      <c r="H20" s="109">
        <v>0</v>
      </c>
      <c r="I20">
        <v>1</v>
      </c>
      <c r="J20">
        <v>0</v>
      </c>
      <c r="K20">
        <f t="shared" si="0"/>
        <v>1</v>
      </c>
    </row>
    <row r="21" spans="1:11" ht="15" customHeight="1" x14ac:dyDescent="0.15">
      <c r="A21">
        <v>20</v>
      </c>
      <c r="B21" s="171" t="s">
        <v>210</v>
      </c>
      <c r="C21" s="109">
        <v>0</v>
      </c>
      <c r="D21" s="109">
        <v>0</v>
      </c>
      <c r="E21" s="108">
        <v>0</v>
      </c>
      <c r="F21" s="108">
        <v>0</v>
      </c>
      <c r="G21" s="109">
        <v>0</v>
      </c>
      <c r="H21" s="109">
        <v>0</v>
      </c>
      <c r="I21">
        <v>1</v>
      </c>
      <c r="J21">
        <v>0</v>
      </c>
      <c r="K21">
        <f t="shared" si="0"/>
        <v>1</v>
      </c>
    </row>
    <row r="22" spans="1:11" ht="15" customHeight="1" x14ac:dyDescent="0.15">
      <c r="A22">
        <v>21</v>
      </c>
      <c r="B22" s="171" t="s">
        <v>211</v>
      </c>
      <c r="C22" s="109">
        <v>0</v>
      </c>
      <c r="D22" s="109">
        <v>0</v>
      </c>
      <c r="E22" s="108">
        <v>0</v>
      </c>
      <c r="F22" s="108">
        <v>0</v>
      </c>
      <c r="G22" s="109">
        <v>0</v>
      </c>
      <c r="H22" s="109">
        <v>0</v>
      </c>
      <c r="I22">
        <v>1</v>
      </c>
      <c r="J22">
        <v>0</v>
      </c>
      <c r="K22">
        <f t="shared" si="0"/>
        <v>1</v>
      </c>
    </row>
    <row r="23" spans="1:11" ht="15" customHeight="1" x14ac:dyDescent="0.15">
      <c r="A23">
        <v>22</v>
      </c>
      <c r="B23" s="171" t="s">
        <v>212</v>
      </c>
      <c r="C23" s="109">
        <v>0</v>
      </c>
      <c r="D23" s="109">
        <v>0</v>
      </c>
      <c r="E23" s="108">
        <v>0</v>
      </c>
      <c r="F23" s="108">
        <v>0</v>
      </c>
      <c r="G23" s="109">
        <v>0</v>
      </c>
      <c r="H23" s="109">
        <v>0</v>
      </c>
      <c r="I23">
        <v>1</v>
      </c>
      <c r="J23">
        <v>0</v>
      </c>
      <c r="K23">
        <f t="shared" si="0"/>
        <v>1</v>
      </c>
    </row>
    <row r="24" spans="1:11" ht="15" customHeight="1" x14ac:dyDescent="0.15">
      <c r="A24">
        <v>23</v>
      </c>
      <c r="B24" s="171" t="s">
        <v>213</v>
      </c>
      <c r="C24" s="109">
        <v>0</v>
      </c>
      <c r="D24" s="109">
        <v>0</v>
      </c>
      <c r="E24" s="108">
        <v>0</v>
      </c>
      <c r="F24" s="108">
        <v>0</v>
      </c>
      <c r="G24" s="109">
        <v>0</v>
      </c>
      <c r="H24" s="109">
        <v>0</v>
      </c>
      <c r="I24">
        <v>1</v>
      </c>
      <c r="J24">
        <v>0</v>
      </c>
      <c r="K24">
        <f t="shared" si="0"/>
        <v>1</v>
      </c>
    </row>
    <row r="25" spans="1:11" ht="15" customHeight="1" x14ac:dyDescent="0.15">
      <c r="A25">
        <v>24</v>
      </c>
      <c r="B25" s="171" t="s">
        <v>214</v>
      </c>
      <c r="C25" s="109">
        <v>0</v>
      </c>
      <c r="D25" s="109">
        <v>0</v>
      </c>
      <c r="E25" s="108">
        <v>0</v>
      </c>
      <c r="F25" s="108">
        <v>0</v>
      </c>
      <c r="G25" s="109">
        <v>0</v>
      </c>
      <c r="H25" s="109">
        <v>0</v>
      </c>
      <c r="I25">
        <v>1</v>
      </c>
      <c r="J25">
        <v>0</v>
      </c>
      <c r="K25">
        <f t="shared" si="0"/>
        <v>1</v>
      </c>
    </row>
    <row r="26" spans="1:11" ht="15" customHeight="1" x14ac:dyDescent="0.15">
      <c r="A26">
        <v>25</v>
      </c>
      <c r="B26" s="171" t="s">
        <v>215</v>
      </c>
      <c r="C26" s="109">
        <v>0</v>
      </c>
      <c r="D26" s="109">
        <v>0</v>
      </c>
      <c r="E26" s="108">
        <v>0</v>
      </c>
      <c r="F26" s="108">
        <v>0</v>
      </c>
      <c r="G26" s="109">
        <v>0</v>
      </c>
      <c r="H26" s="109">
        <v>0</v>
      </c>
      <c r="I26">
        <v>1</v>
      </c>
      <c r="J26">
        <v>0</v>
      </c>
      <c r="K26">
        <f t="shared" si="0"/>
        <v>1</v>
      </c>
    </row>
    <row r="27" spans="1:11" ht="15" customHeight="1" x14ac:dyDescent="0.15">
      <c r="A27">
        <v>26</v>
      </c>
      <c r="B27" s="171" t="s">
        <v>216</v>
      </c>
      <c r="C27" s="109">
        <v>0</v>
      </c>
      <c r="D27" s="109">
        <v>0</v>
      </c>
      <c r="E27" s="108">
        <v>0</v>
      </c>
      <c r="F27" s="108">
        <v>0.5</v>
      </c>
      <c r="G27" s="109">
        <v>0</v>
      </c>
      <c r="H27" s="109">
        <v>0.2</v>
      </c>
      <c r="I27">
        <v>0.3</v>
      </c>
      <c r="J27">
        <v>0</v>
      </c>
      <c r="K27">
        <f t="shared" si="0"/>
        <v>1</v>
      </c>
    </row>
    <row r="28" spans="1:11" ht="15" customHeight="1" x14ac:dyDescent="0.15">
      <c r="A28">
        <v>27</v>
      </c>
      <c r="B28" s="171" t="s">
        <v>217</v>
      </c>
      <c r="C28" s="109">
        <v>0</v>
      </c>
      <c r="D28" s="109">
        <v>0</v>
      </c>
      <c r="E28" s="108">
        <v>0</v>
      </c>
      <c r="F28" s="108">
        <v>0</v>
      </c>
      <c r="G28" s="109">
        <v>0</v>
      </c>
      <c r="H28" s="109">
        <v>0</v>
      </c>
      <c r="I28">
        <v>1</v>
      </c>
      <c r="J28">
        <v>0</v>
      </c>
      <c r="K28">
        <f t="shared" si="0"/>
        <v>1</v>
      </c>
    </row>
    <row r="29" spans="1:11" ht="15" customHeight="1" x14ac:dyDescent="0.15">
      <c r="A29">
        <v>28</v>
      </c>
      <c r="B29" s="171" t="s">
        <v>218</v>
      </c>
      <c r="C29" s="109">
        <v>0.5</v>
      </c>
      <c r="D29" s="109">
        <v>0</v>
      </c>
      <c r="E29" s="108">
        <v>0</v>
      </c>
      <c r="F29" s="108">
        <v>0</v>
      </c>
      <c r="G29" s="109">
        <v>0</v>
      </c>
      <c r="H29" s="109">
        <v>0</v>
      </c>
      <c r="I29">
        <v>0.5</v>
      </c>
      <c r="J29">
        <v>0</v>
      </c>
      <c r="K29">
        <f t="shared" si="0"/>
        <v>1</v>
      </c>
    </row>
    <row r="30" spans="1:11" ht="15" customHeight="1" x14ac:dyDescent="0.15">
      <c r="A30">
        <v>29</v>
      </c>
      <c r="B30" s="171" t="s">
        <v>219</v>
      </c>
      <c r="C30" s="109">
        <v>0</v>
      </c>
      <c r="D30" s="109">
        <v>0</v>
      </c>
      <c r="E30" s="108">
        <v>0</v>
      </c>
      <c r="F30" s="108">
        <v>0</v>
      </c>
      <c r="G30" s="109">
        <v>0</v>
      </c>
      <c r="H30" s="109">
        <v>0</v>
      </c>
      <c r="I30">
        <v>1</v>
      </c>
      <c r="J30">
        <v>0</v>
      </c>
      <c r="K30">
        <f t="shared" si="0"/>
        <v>1</v>
      </c>
    </row>
    <row r="31" spans="1:11" ht="15" customHeight="1" x14ac:dyDescent="0.15">
      <c r="A31">
        <v>30</v>
      </c>
      <c r="B31" s="171" t="s">
        <v>220</v>
      </c>
      <c r="C31" s="109">
        <v>0</v>
      </c>
      <c r="D31" s="109">
        <v>0</v>
      </c>
      <c r="E31" s="108">
        <v>0</v>
      </c>
      <c r="F31" s="108">
        <v>0</v>
      </c>
      <c r="G31" s="109">
        <v>0</v>
      </c>
      <c r="H31" s="109">
        <v>0</v>
      </c>
      <c r="I31">
        <v>1</v>
      </c>
      <c r="J31">
        <v>0</v>
      </c>
      <c r="K31">
        <f t="shared" si="0"/>
        <v>1</v>
      </c>
    </row>
    <row r="32" spans="1:11" ht="15" customHeight="1" x14ac:dyDescent="0.15">
      <c r="A32">
        <v>31</v>
      </c>
      <c r="B32" s="171" t="s">
        <v>221</v>
      </c>
      <c r="C32" s="109">
        <v>0</v>
      </c>
      <c r="D32" s="109">
        <v>0</v>
      </c>
      <c r="E32" s="108">
        <v>0</v>
      </c>
      <c r="F32" s="108">
        <v>0</v>
      </c>
      <c r="G32" s="109">
        <v>0</v>
      </c>
      <c r="H32" s="109">
        <v>0</v>
      </c>
      <c r="I32">
        <v>1</v>
      </c>
      <c r="J32">
        <v>0</v>
      </c>
      <c r="K32">
        <f t="shared" si="0"/>
        <v>1</v>
      </c>
    </row>
    <row r="33" spans="1:11" ht="15" customHeight="1" x14ac:dyDescent="0.15">
      <c r="A33">
        <v>32</v>
      </c>
      <c r="B33" s="171" t="s">
        <v>222</v>
      </c>
      <c r="C33" s="109">
        <v>0</v>
      </c>
      <c r="D33" s="109">
        <v>0</v>
      </c>
      <c r="E33" s="108">
        <v>0</v>
      </c>
      <c r="F33" s="108">
        <v>0</v>
      </c>
      <c r="G33" s="109">
        <v>0</v>
      </c>
      <c r="H33" s="109">
        <v>0</v>
      </c>
      <c r="I33">
        <v>1</v>
      </c>
      <c r="J33">
        <v>0</v>
      </c>
      <c r="K33">
        <f t="shared" si="0"/>
        <v>1</v>
      </c>
    </row>
    <row r="34" spans="1:11" ht="15" customHeight="1" x14ac:dyDescent="0.15">
      <c r="A34">
        <v>33</v>
      </c>
      <c r="B34" s="171" t="s">
        <v>223</v>
      </c>
      <c r="C34" s="109">
        <v>0</v>
      </c>
      <c r="D34" s="109">
        <v>0</v>
      </c>
      <c r="E34" s="108">
        <v>0</v>
      </c>
      <c r="F34" s="108">
        <v>0</v>
      </c>
      <c r="G34" s="109">
        <v>0</v>
      </c>
      <c r="H34" s="109">
        <v>0</v>
      </c>
      <c r="I34">
        <v>1</v>
      </c>
      <c r="J34">
        <v>0</v>
      </c>
      <c r="K34">
        <f t="shared" si="0"/>
        <v>1</v>
      </c>
    </row>
    <row r="35" spans="1:11" ht="15" customHeight="1" x14ac:dyDescent="0.15">
      <c r="A35">
        <v>34</v>
      </c>
      <c r="B35" s="171" t="s">
        <v>224</v>
      </c>
      <c r="C35" s="109">
        <v>0</v>
      </c>
      <c r="D35" s="109">
        <v>0</v>
      </c>
      <c r="E35" s="108">
        <v>0</v>
      </c>
      <c r="F35" s="108">
        <v>0</v>
      </c>
      <c r="G35" s="109">
        <v>0</v>
      </c>
      <c r="H35" s="109">
        <v>0</v>
      </c>
      <c r="I35">
        <v>1</v>
      </c>
      <c r="J35">
        <v>0</v>
      </c>
      <c r="K35">
        <f t="shared" si="0"/>
        <v>1</v>
      </c>
    </row>
    <row r="36" spans="1:11" ht="15" customHeight="1" x14ac:dyDescent="0.15">
      <c r="A36">
        <v>35</v>
      </c>
      <c r="B36" s="171" t="s">
        <v>225</v>
      </c>
      <c r="C36" s="109">
        <v>0</v>
      </c>
      <c r="D36" s="109">
        <v>0</v>
      </c>
      <c r="E36" s="109">
        <v>0</v>
      </c>
      <c r="F36" s="109">
        <v>0</v>
      </c>
      <c r="G36" s="109">
        <v>0</v>
      </c>
      <c r="H36" s="109">
        <v>0.5</v>
      </c>
      <c r="I36">
        <v>0.5</v>
      </c>
      <c r="J36">
        <v>0</v>
      </c>
      <c r="K36">
        <f t="shared" si="0"/>
        <v>1</v>
      </c>
    </row>
    <row r="37" spans="1:11" ht="15" customHeight="1" x14ac:dyDescent="0.15">
      <c r="A37">
        <v>36</v>
      </c>
      <c r="B37" s="171" t="s">
        <v>226</v>
      </c>
      <c r="C37" s="109">
        <v>0</v>
      </c>
      <c r="D37" s="109">
        <v>0</v>
      </c>
      <c r="E37" s="109">
        <v>0</v>
      </c>
      <c r="F37" s="109">
        <v>0</v>
      </c>
      <c r="G37" s="109">
        <v>0</v>
      </c>
      <c r="H37" s="109">
        <v>0.5</v>
      </c>
      <c r="I37">
        <v>0.5</v>
      </c>
      <c r="J37">
        <v>0</v>
      </c>
      <c r="K37">
        <f t="shared" si="0"/>
        <v>1</v>
      </c>
    </row>
    <row r="38" spans="1:11" ht="15" customHeight="1" x14ac:dyDescent="0.15">
      <c r="A38">
        <v>37</v>
      </c>
      <c r="B38" s="171" t="s">
        <v>227</v>
      </c>
      <c r="C38" s="109">
        <v>0</v>
      </c>
      <c r="D38" s="109">
        <v>0</v>
      </c>
      <c r="E38" s="109">
        <v>0</v>
      </c>
      <c r="F38" s="109">
        <v>0.5</v>
      </c>
      <c r="G38" s="109">
        <v>0</v>
      </c>
      <c r="H38" s="109">
        <v>0.2</v>
      </c>
      <c r="I38">
        <v>0.3</v>
      </c>
      <c r="J38">
        <v>0</v>
      </c>
      <c r="K38">
        <f t="shared" si="0"/>
        <v>1</v>
      </c>
    </row>
    <row r="39" spans="1:11" ht="15" customHeight="1" x14ac:dyDescent="0.15">
      <c r="A39">
        <v>38</v>
      </c>
      <c r="B39" s="171" t="s">
        <v>228</v>
      </c>
      <c r="C39" s="109">
        <v>0</v>
      </c>
      <c r="D39" s="109">
        <v>0</v>
      </c>
      <c r="E39" s="109">
        <v>0</v>
      </c>
      <c r="F39" s="109">
        <v>0</v>
      </c>
      <c r="G39" s="109">
        <v>0</v>
      </c>
      <c r="H39" s="109">
        <v>0.5</v>
      </c>
      <c r="I39">
        <v>0.5</v>
      </c>
      <c r="J39">
        <v>0</v>
      </c>
      <c r="K39">
        <f t="shared" si="0"/>
        <v>1</v>
      </c>
    </row>
    <row r="40" spans="1:11" ht="15" customHeight="1" x14ac:dyDescent="0.15">
      <c r="A40">
        <v>39</v>
      </c>
      <c r="B40" s="171" t="s">
        <v>229</v>
      </c>
      <c r="C40" s="109">
        <v>0</v>
      </c>
      <c r="D40" s="109">
        <v>0</v>
      </c>
      <c r="E40" s="109">
        <v>0</v>
      </c>
      <c r="F40" s="109">
        <v>0</v>
      </c>
      <c r="G40" s="109">
        <v>0</v>
      </c>
      <c r="H40" s="109">
        <v>0.5</v>
      </c>
      <c r="I40">
        <v>0.5</v>
      </c>
      <c r="J40">
        <v>0</v>
      </c>
      <c r="K40">
        <f t="shared" si="0"/>
        <v>1</v>
      </c>
    </row>
    <row r="41" spans="1:11" ht="15" customHeight="1" x14ac:dyDescent="0.15">
      <c r="A41">
        <v>40</v>
      </c>
      <c r="B41" s="171" t="s">
        <v>230</v>
      </c>
      <c r="C41" s="109">
        <v>0</v>
      </c>
      <c r="D41" s="109">
        <v>0</v>
      </c>
      <c r="E41" s="109">
        <v>0</v>
      </c>
      <c r="F41" s="109">
        <v>0</v>
      </c>
      <c r="G41" s="109">
        <v>0</v>
      </c>
      <c r="H41" s="109">
        <v>0.5</v>
      </c>
      <c r="I41">
        <v>0.5</v>
      </c>
      <c r="J41">
        <v>0</v>
      </c>
      <c r="K41">
        <f t="shared" si="0"/>
        <v>1</v>
      </c>
    </row>
    <row r="42" spans="1:11" ht="15" customHeight="1" x14ac:dyDescent="0.15">
      <c r="A42">
        <v>41</v>
      </c>
      <c r="B42" s="171" t="s">
        <v>231</v>
      </c>
      <c r="C42" s="109">
        <v>0</v>
      </c>
      <c r="D42" s="109">
        <v>0</v>
      </c>
      <c r="E42" s="109">
        <v>0</v>
      </c>
      <c r="F42" s="109">
        <v>0</v>
      </c>
      <c r="G42" s="109">
        <v>0</v>
      </c>
      <c r="H42" s="109">
        <v>0</v>
      </c>
      <c r="I42">
        <v>1</v>
      </c>
      <c r="J42">
        <v>0</v>
      </c>
      <c r="K42">
        <f t="shared" si="0"/>
        <v>1</v>
      </c>
    </row>
    <row r="43" spans="1:11" ht="15" customHeight="1" x14ac:dyDescent="0.15">
      <c r="A43">
        <v>42</v>
      </c>
      <c r="B43" s="171" t="s">
        <v>232</v>
      </c>
      <c r="C43" s="109">
        <v>0</v>
      </c>
      <c r="D43" s="109">
        <v>0.5</v>
      </c>
      <c r="E43" s="109">
        <v>0</v>
      </c>
      <c r="F43" s="109">
        <v>0</v>
      </c>
      <c r="G43" s="109">
        <v>0</v>
      </c>
      <c r="H43" s="109">
        <v>0.5</v>
      </c>
      <c r="I43">
        <v>0</v>
      </c>
      <c r="J43">
        <v>0</v>
      </c>
      <c r="K43">
        <f t="shared" si="0"/>
        <v>1</v>
      </c>
    </row>
    <row r="44" spans="1:11" ht="15" customHeight="1" x14ac:dyDescent="0.15">
      <c r="A44">
        <v>43</v>
      </c>
      <c r="B44" s="171" t="s">
        <v>233</v>
      </c>
      <c r="C44" s="109">
        <v>0.2</v>
      </c>
      <c r="D44" s="109">
        <v>0.2</v>
      </c>
      <c r="E44" s="108">
        <v>0.3</v>
      </c>
      <c r="F44" s="108">
        <v>0</v>
      </c>
      <c r="G44" s="109">
        <v>0</v>
      </c>
      <c r="H44" s="109">
        <v>0</v>
      </c>
      <c r="I44">
        <v>0.3</v>
      </c>
      <c r="J44">
        <v>0</v>
      </c>
      <c r="K44">
        <f t="shared" si="0"/>
        <v>1</v>
      </c>
    </row>
    <row r="45" spans="1:11" ht="15" customHeight="1" x14ac:dyDescent="0.15">
      <c r="A45">
        <v>44</v>
      </c>
      <c r="B45" s="171" t="s">
        <v>234</v>
      </c>
      <c r="C45" s="109">
        <v>0</v>
      </c>
      <c r="D45" s="109">
        <v>0</v>
      </c>
      <c r="E45" s="108">
        <v>0</v>
      </c>
      <c r="F45" s="108">
        <v>0</v>
      </c>
      <c r="G45" s="109">
        <v>0</v>
      </c>
      <c r="H45" s="109">
        <v>0</v>
      </c>
      <c r="I45">
        <v>1</v>
      </c>
      <c r="J45">
        <v>0</v>
      </c>
      <c r="K45">
        <f t="shared" si="0"/>
        <v>1</v>
      </c>
    </row>
    <row r="46" spans="1:11" ht="15" customHeight="1" x14ac:dyDescent="0.15">
      <c r="A46">
        <v>45</v>
      </c>
      <c r="B46" s="171" t="s">
        <v>235</v>
      </c>
      <c r="C46" s="109">
        <v>0</v>
      </c>
      <c r="D46" s="109">
        <v>0.2</v>
      </c>
      <c r="E46" s="109">
        <v>0</v>
      </c>
      <c r="F46" s="109">
        <v>0.3</v>
      </c>
      <c r="G46" s="109">
        <v>0</v>
      </c>
      <c r="H46" s="109">
        <v>0</v>
      </c>
      <c r="I46">
        <v>0.5</v>
      </c>
      <c r="J46">
        <v>0</v>
      </c>
      <c r="K46">
        <f t="shared" si="0"/>
        <v>1</v>
      </c>
    </row>
    <row r="47" spans="1:11" ht="15" customHeight="1" x14ac:dyDescent="0.15">
      <c r="A47">
        <v>46</v>
      </c>
      <c r="B47" s="171" t="s">
        <v>236</v>
      </c>
      <c r="C47" s="109">
        <v>0</v>
      </c>
      <c r="D47" s="109">
        <v>0</v>
      </c>
      <c r="E47" s="108">
        <v>0</v>
      </c>
      <c r="F47" s="108">
        <v>0</v>
      </c>
      <c r="G47" s="109">
        <v>0</v>
      </c>
      <c r="H47" s="109">
        <v>0</v>
      </c>
      <c r="I47">
        <v>1</v>
      </c>
      <c r="J47">
        <v>0</v>
      </c>
      <c r="K47">
        <f t="shared" si="0"/>
        <v>1</v>
      </c>
    </row>
    <row r="48" spans="1:11" ht="15" customHeight="1" x14ac:dyDescent="0.15">
      <c r="A48">
        <v>47</v>
      </c>
      <c r="B48" s="171" t="s">
        <v>237</v>
      </c>
      <c r="C48" s="109">
        <v>0</v>
      </c>
      <c r="D48" s="109">
        <v>0</v>
      </c>
      <c r="E48" s="108">
        <v>0</v>
      </c>
      <c r="F48" s="108">
        <v>0</v>
      </c>
      <c r="G48" s="109">
        <v>0</v>
      </c>
      <c r="H48" s="109">
        <v>0</v>
      </c>
      <c r="I48">
        <v>1</v>
      </c>
      <c r="J48">
        <v>0</v>
      </c>
      <c r="K48">
        <f t="shared" si="0"/>
        <v>1</v>
      </c>
    </row>
    <row r="49" spans="1:11" ht="15" customHeight="1" x14ac:dyDescent="0.15">
      <c r="A49">
        <v>48</v>
      </c>
      <c r="B49" s="171" t="s">
        <v>238</v>
      </c>
      <c r="C49" s="109">
        <v>0</v>
      </c>
      <c r="D49" s="109">
        <v>0</v>
      </c>
      <c r="E49" s="108">
        <v>0</v>
      </c>
      <c r="F49" s="108">
        <v>0.5</v>
      </c>
      <c r="G49" s="109">
        <v>0.5</v>
      </c>
      <c r="H49" s="109">
        <v>0</v>
      </c>
      <c r="I49">
        <v>0</v>
      </c>
      <c r="J49">
        <v>0</v>
      </c>
      <c r="K49">
        <f t="shared" si="0"/>
        <v>1</v>
      </c>
    </row>
    <row r="50" spans="1:11" ht="15" customHeight="1" x14ac:dyDescent="0.15">
      <c r="A50">
        <v>49</v>
      </c>
      <c r="B50" s="171" t="s">
        <v>239</v>
      </c>
      <c r="C50" s="109">
        <v>0</v>
      </c>
      <c r="D50" s="109">
        <v>0</v>
      </c>
      <c r="E50" s="108">
        <v>0</v>
      </c>
      <c r="F50" s="108">
        <v>0.5</v>
      </c>
      <c r="G50" s="109">
        <v>0</v>
      </c>
      <c r="H50" s="109">
        <v>0.2</v>
      </c>
      <c r="I50">
        <v>0.3</v>
      </c>
      <c r="J50">
        <v>0</v>
      </c>
      <c r="K50">
        <f t="shared" si="0"/>
        <v>1</v>
      </c>
    </row>
    <row r="51" spans="1:11" ht="15" customHeight="1" x14ac:dyDescent="0.15">
      <c r="A51">
        <v>50</v>
      </c>
      <c r="B51" s="171" t="s">
        <v>240</v>
      </c>
      <c r="C51" s="109">
        <v>0</v>
      </c>
      <c r="D51" s="109">
        <v>0</v>
      </c>
      <c r="E51" s="108">
        <v>0</v>
      </c>
      <c r="F51" s="108">
        <v>0.5</v>
      </c>
      <c r="G51" s="109">
        <v>0</v>
      </c>
      <c r="H51" s="109">
        <v>0</v>
      </c>
      <c r="I51">
        <v>0.5</v>
      </c>
      <c r="J51">
        <v>0</v>
      </c>
      <c r="K51">
        <f t="shared" si="0"/>
        <v>1</v>
      </c>
    </row>
    <row r="52" spans="1:11" ht="15" customHeight="1" x14ac:dyDescent="0.15">
      <c r="A52">
        <v>51</v>
      </c>
      <c r="B52" s="171" t="s">
        <v>241</v>
      </c>
      <c r="C52" s="109">
        <v>0</v>
      </c>
      <c r="D52" s="109">
        <v>0</v>
      </c>
      <c r="E52" s="108">
        <v>0</v>
      </c>
      <c r="F52" s="108">
        <v>0</v>
      </c>
      <c r="G52" s="109">
        <v>0</v>
      </c>
      <c r="H52" s="109">
        <v>0.5</v>
      </c>
      <c r="I52">
        <v>0.5</v>
      </c>
      <c r="J52">
        <v>0</v>
      </c>
      <c r="K52">
        <f t="shared" si="0"/>
        <v>1</v>
      </c>
    </row>
    <row r="53" spans="1:11" ht="15" customHeight="1" x14ac:dyDescent="0.15">
      <c r="A53">
        <v>52</v>
      </c>
      <c r="B53" s="171" t="s">
        <v>242</v>
      </c>
      <c r="C53" s="109">
        <v>0</v>
      </c>
      <c r="D53" s="109">
        <v>0</v>
      </c>
      <c r="E53" s="108">
        <v>0</v>
      </c>
      <c r="F53" s="108">
        <v>0</v>
      </c>
      <c r="G53" s="109">
        <v>1</v>
      </c>
      <c r="H53" s="109">
        <v>0</v>
      </c>
      <c r="I53">
        <v>0</v>
      </c>
      <c r="J53">
        <v>0</v>
      </c>
      <c r="K53">
        <f t="shared" si="0"/>
        <v>1</v>
      </c>
    </row>
    <row r="54" spans="1:11" ht="15" customHeight="1" x14ac:dyDescent="0.15">
      <c r="A54">
        <v>53</v>
      </c>
      <c r="B54" s="171" t="s">
        <v>243</v>
      </c>
      <c r="C54" s="109">
        <v>0</v>
      </c>
      <c r="D54" s="109">
        <v>0.2</v>
      </c>
      <c r="E54" s="108">
        <v>0.3</v>
      </c>
      <c r="F54" s="108">
        <v>0.5</v>
      </c>
      <c r="G54" s="109">
        <v>0</v>
      </c>
      <c r="H54" s="109">
        <v>0</v>
      </c>
      <c r="I54">
        <v>0</v>
      </c>
      <c r="J54">
        <v>0</v>
      </c>
      <c r="K54">
        <f t="shared" si="0"/>
        <v>1</v>
      </c>
    </row>
    <row r="55" spans="1:11" ht="15" customHeight="1" x14ac:dyDescent="0.15">
      <c r="A55">
        <v>54</v>
      </c>
      <c r="B55" s="171" t="s">
        <v>244</v>
      </c>
      <c r="C55" s="109">
        <v>0</v>
      </c>
      <c r="D55" s="109">
        <v>0</v>
      </c>
      <c r="E55" s="108">
        <v>0</v>
      </c>
      <c r="F55" s="108">
        <v>1</v>
      </c>
      <c r="G55" s="109">
        <v>0</v>
      </c>
      <c r="H55" s="109">
        <v>0</v>
      </c>
      <c r="I55">
        <v>0</v>
      </c>
      <c r="J55">
        <v>0</v>
      </c>
      <c r="K55">
        <f t="shared" si="0"/>
        <v>1</v>
      </c>
    </row>
    <row r="56" spans="1:11" ht="15" customHeight="1" x14ac:dyDescent="0.15">
      <c r="A56">
        <v>55</v>
      </c>
      <c r="B56" s="171" t="s">
        <v>245</v>
      </c>
      <c r="C56" s="109">
        <v>0</v>
      </c>
      <c r="D56" s="109">
        <v>0.2</v>
      </c>
      <c r="E56" s="108">
        <v>0.2</v>
      </c>
      <c r="F56" s="108">
        <v>0.1</v>
      </c>
      <c r="G56" s="109">
        <v>0</v>
      </c>
      <c r="H56" s="109">
        <v>0</v>
      </c>
      <c r="I56">
        <v>0.5</v>
      </c>
      <c r="J56">
        <v>0</v>
      </c>
      <c r="K56">
        <f t="shared" si="0"/>
        <v>1</v>
      </c>
    </row>
    <row r="57" spans="1:11" ht="15" customHeight="1" x14ac:dyDescent="0.15">
      <c r="A57">
        <v>56</v>
      </c>
      <c r="B57" s="171" t="s">
        <v>246</v>
      </c>
      <c r="C57" s="109">
        <v>0</v>
      </c>
      <c r="D57" s="109">
        <v>0</v>
      </c>
      <c r="E57" s="108">
        <v>0</v>
      </c>
      <c r="F57" s="108">
        <v>0</v>
      </c>
      <c r="G57" s="109">
        <v>0</v>
      </c>
      <c r="H57" s="109">
        <v>0</v>
      </c>
      <c r="I57">
        <v>1</v>
      </c>
      <c r="J57">
        <v>0</v>
      </c>
      <c r="K57">
        <f t="shared" si="0"/>
        <v>1</v>
      </c>
    </row>
    <row r="58" spans="1:11" ht="15" customHeight="1" x14ac:dyDescent="0.15">
      <c r="A58">
        <v>57</v>
      </c>
      <c r="B58" s="171" t="s">
        <v>247</v>
      </c>
      <c r="C58" s="109">
        <v>0</v>
      </c>
      <c r="D58" s="109">
        <v>0.2</v>
      </c>
      <c r="E58" s="108">
        <v>0.3</v>
      </c>
      <c r="F58" s="108">
        <v>0</v>
      </c>
      <c r="G58" s="109">
        <v>0</v>
      </c>
      <c r="H58" s="109">
        <v>0</v>
      </c>
      <c r="I58">
        <v>0.5</v>
      </c>
      <c r="J58">
        <v>0</v>
      </c>
      <c r="K58">
        <f t="shared" si="0"/>
        <v>1</v>
      </c>
    </row>
    <row r="59" spans="1:11" ht="15" customHeight="1" x14ac:dyDescent="0.15">
      <c r="A59">
        <v>58</v>
      </c>
      <c r="B59" s="171" t="s">
        <v>248</v>
      </c>
      <c r="C59" s="109">
        <v>0</v>
      </c>
      <c r="D59" s="109">
        <v>0</v>
      </c>
      <c r="E59" s="108">
        <v>0</v>
      </c>
      <c r="F59" s="108">
        <v>0.5</v>
      </c>
      <c r="G59" s="109">
        <v>0</v>
      </c>
      <c r="H59" s="109">
        <v>0.2</v>
      </c>
      <c r="I59">
        <v>0.3</v>
      </c>
      <c r="J59">
        <v>0</v>
      </c>
      <c r="K59">
        <f t="shared" si="0"/>
        <v>1</v>
      </c>
    </row>
    <row r="60" spans="1:11" ht="15" customHeight="1" x14ac:dyDescent="0.15">
      <c r="A60">
        <v>59</v>
      </c>
      <c r="B60" s="171" t="s">
        <v>249</v>
      </c>
      <c r="C60" s="109">
        <v>0</v>
      </c>
      <c r="D60" s="109">
        <v>0</v>
      </c>
      <c r="E60" s="108">
        <v>0</v>
      </c>
      <c r="F60" s="108">
        <v>0</v>
      </c>
      <c r="G60" s="109">
        <v>0</v>
      </c>
      <c r="H60" s="109">
        <v>0.6</v>
      </c>
      <c r="I60">
        <v>0.4</v>
      </c>
      <c r="J60">
        <v>0</v>
      </c>
      <c r="K60">
        <f t="shared" si="0"/>
        <v>1</v>
      </c>
    </row>
    <row r="61" spans="1:11" ht="15" customHeight="1" x14ac:dyDescent="0.15">
      <c r="A61">
        <v>60</v>
      </c>
      <c r="B61" s="171" t="s">
        <v>250</v>
      </c>
      <c r="C61" s="109">
        <v>0</v>
      </c>
      <c r="D61" s="109">
        <v>0.3</v>
      </c>
      <c r="E61" s="108">
        <v>0.2</v>
      </c>
      <c r="F61" s="108">
        <v>0.5</v>
      </c>
      <c r="G61" s="109">
        <v>0</v>
      </c>
      <c r="H61" s="109">
        <v>0</v>
      </c>
      <c r="I61">
        <v>0</v>
      </c>
      <c r="J61">
        <v>0</v>
      </c>
      <c r="K61">
        <f t="shared" si="0"/>
        <v>1</v>
      </c>
    </row>
    <row r="62" spans="1:11" ht="15" customHeight="1" x14ac:dyDescent="0.15">
      <c r="A62">
        <v>61</v>
      </c>
      <c r="B62" s="171" t="s">
        <v>251</v>
      </c>
      <c r="C62" s="109">
        <v>0</v>
      </c>
      <c r="D62" s="109">
        <v>0</v>
      </c>
      <c r="E62" s="108">
        <v>0</v>
      </c>
      <c r="F62" s="108">
        <v>0</v>
      </c>
      <c r="G62" s="109">
        <v>0</v>
      </c>
      <c r="H62" s="109">
        <v>0</v>
      </c>
      <c r="I62">
        <v>1</v>
      </c>
      <c r="J62">
        <v>0</v>
      </c>
      <c r="K62">
        <f t="shared" si="0"/>
        <v>1</v>
      </c>
    </row>
    <row r="63" spans="1:11" ht="15" customHeight="1" x14ac:dyDescent="0.15">
      <c r="A63">
        <v>62</v>
      </c>
      <c r="B63" s="171" t="s">
        <v>252</v>
      </c>
      <c r="C63" s="109">
        <v>0</v>
      </c>
      <c r="D63" s="109">
        <v>0</v>
      </c>
      <c r="E63" s="108">
        <v>0</v>
      </c>
      <c r="F63" s="108">
        <v>0.5</v>
      </c>
      <c r="G63" s="109">
        <v>0</v>
      </c>
      <c r="H63" s="109">
        <v>0.5</v>
      </c>
      <c r="I63">
        <v>0</v>
      </c>
      <c r="J63">
        <v>0</v>
      </c>
      <c r="K63">
        <f t="shared" si="0"/>
        <v>1</v>
      </c>
    </row>
    <row r="64" spans="1:11" ht="15" customHeight="1" x14ac:dyDescent="0.15">
      <c r="A64">
        <v>63</v>
      </c>
      <c r="B64" s="171" t="s">
        <v>253</v>
      </c>
      <c r="C64" s="109">
        <v>0</v>
      </c>
      <c r="D64" s="109">
        <v>0</v>
      </c>
      <c r="E64" s="108">
        <v>0</v>
      </c>
      <c r="F64" s="108">
        <v>0</v>
      </c>
      <c r="G64" s="109">
        <v>0</v>
      </c>
      <c r="H64" s="109">
        <v>0.9</v>
      </c>
      <c r="I64">
        <v>0.1</v>
      </c>
      <c r="J64">
        <v>0</v>
      </c>
      <c r="K64">
        <f t="shared" si="0"/>
        <v>1</v>
      </c>
    </row>
    <row r="65" spans="1:11" ht="15" customHeight="1" x14ac:dyDescent="0.15">
      <c r="A65">
        <v>64</v>
      </c>
      <c r="B65" s="171" t="s">
        <v>254</v>
      </c>
      <c r="C65" s="109">
        <v>0</v>
      </c>
      <c r="D65" s="109">
        <v>0</v>
      </c>
      <c r="E65" s="108">
        <v>0</v>
      </c>
      <c r="F65" s="108">
        <v>0</v>
      </c>
      <c r="G65" s="109">
        <v>0</v>
      </c>
      <c r="H65" s="109">
        <v>0.9</v>
      </c>
      <c r="I65">
        <v>0.1</v>
      </c>
      <c r="J65">
        <v>0</v>
      </c>
      <c r="K65">
        <f t="shared" si="0"/>
        <v>1</v>
      </c>
    </row>
    <row r="66" spans="1:11" ht="15" customHeight="1" x14ac:dyDescent="0.15">
      <c r="A66">
        <v>65</v>
      </c>
      <c r="B66" s="171" t="s">
        <v>255</v>
      </c>
      <c r="C66" s="109">
        <v>0</v>
      </c>
      <c r="D66" s="109">
        <v>0</v>
      </c>
      <c r="E66" s="108">
        <v>0</v>
      </c>
      <c r="F66" s="108">
        <v>0</v>
      </c>
      <c r="G66" s="109">
        <v>0</v>
      </c>
      <c r="H66" s="109">
        <v>1</v>
      </c>
      <c r="I66">
        <v>0</v>
      </c>
      <c r="J66">
        <v>0</v>
      </c>
      <c r="K66">
        <f t="shared" si="0"/>
        <v>1</v>
      </c>
    </row>
    <row r="67" spans="1:11" ht="15" customHeight="1" x14ac:dyDescent="0.15">
      <c r="A67">
        <v>66</v>
      </c>
      <c r="B67" s="171" t="s">
        <v>256</v>
      </c>
      <c r="C67" s="109">
        <v>0</v>
      </c>
      <c r="D67" s="109">
        <v>0</v>
      </c>
      <c r="E67" s="108">
        <v>0</v>
      </c>
      <c r="F67" s="108">
        <v>0</v>
      </c>
      <c r="G67" s="109">
        <v>0</v>
      </c>
      <c r="H67" s="109">
        <v>1</v>
      </c>
      <c r="I67">
        <v>0</v>
      </c>
      <c r="J67">
        <v>0</v>
      </c>
      <c r="K67">
        <f t="shared" ref="K67:K95" si="1">SUM(C67:J67)</f>
        <v>1</v>
      </c>
    </row>
    <row r="68" spans="1:11" ht="15" customHeight="1" x14ac:dyDescent="0.15">
      <c r="A68">
        <v>67</v>
      </c>
      <c r="B68" s="171" t="s">
        <v>257</v>
      </c>
      <c r="C68" s="109">
        <v>0</v>
      </c>
      <c r="D68" s="109">
        <v>0</v>
      </c>
      <c r="E68" s="108">
        <v>0</v>
      </c>
      <c r="F68" s="108">
        <v>0</v>
      </c>
      <c r="G68" s="109">
        <v>0</v>
      </c>
      <c r="H68" s="109">
        <v>1</v>
      </c>
      <c r="I68">
        <v>0</v>
      </c>
      <c r="J68">
        <v>0</v>
      </c>
      <c r="K68">
        <f t="shared" si="1"/>
        <v>1</v>
      </c>
    </row>
    <row r="69" spans="1:11" ht="15" customHeight="1" x14ac:dyDescent="0.15">
      <c r="A69">
        <v>68</v>
      </c>
      <c r="B69" s="171" t="s">
        <v>258</v>
      </c>
      <c r="C69" s="109">
        <v>0</v>
      </c>
      <c r="D69" s="109">
        <v>0</v>
      </c>
      <c r="E69" s="108">
        <v>0</v>
      </c>
      <c r="F69" s="108">
        <v>0</v>
      </c>
      <c r="G69" s="109">
        <v>0</v>
      </c>
      <c r="H69" s="109">
        <v>1</v>
      </c>
      <c r="I69">
        <v>0</v>
      </c>
      <c r="J69">
        <v>0</v>
      </c>
      <c r="K69">
        <f t="shared" si="1"/>
        <v>1</v>
      </c>
    </row>
    <row r="70" spans="1:11" ht="15" customHeight="1" x14ac:dyDescent="0.15">
      <c r="A70">
        <v>69</v>
      </c>
      <c r="B70" s="171" t="s">
        <v>259</v>
      </c>
      <c r="C70" s="109">
        <v>0</v>
      </c>
      <c r="D70" s="109">
        <v>0</v>
      </c>
      <c r="E70" s="108">
        <v>0</v>
      </c>
      <c r="F70" s="108">
        <v>0</v>
      </c>
      <c r="G70" s="109">
        <v>0</v>
      </c>
      <c r="H70" s="109">
        <v>1</v>
      </c>
      <c r="I70">
        <v>0</v>
      </c>
      <c r="J70">
        <v>0</v>
      </c>
      <c r="K70">
        <f t="shared" si="1"/>
        <v>1</v>
      </c>
    </row>
    <row r="71" spans="1:11" ht="15" customHeight="1" x14ac:dyDescent="0.15">
      <c r="A71">
        <v>70</v>
      </c>
      <c r="B71" s="171" t="s">
        <v>260</v>
      </c>
      <c r="C71" s="109">
        <v>0</v>
      </c>
      <c r="D71" s="109">
        <v>0</v>
      </c>
      <c r="E71" s="108">
        <v>0</v>
      </c>
      <c r="F71" s="108">
        <v>0</v>
      </c>
      <c r="G71" s="109">
        <v>0</v>
      </c>
      <c r="H71" s="109">
        <v>1</v>
      </c>
      <c r="I71">
        <v>0</v>
      </c>
      <c r="J71">
        <v>0</v>
      </c>
      <c r="K71">
        <f t="shared" si="1"/>
        <v>1</v>
      </c>
    </row>
    <row r="72" spans="1:11" ht="15" customHeight="1" x14ac:dyDescent="0.15">
      <c r="A72">
        <v>71</v>
      </c>
      <c r="B72" s="171" t="s">
        <v>261</v>
      </c>
      <c r="C72" s="109">
        <v>0</v>
      </c>
      <c r="D72" s="109">
        <v>0</v>
      </c>
      <c r="E72" s="108">
        <v>0</v>
      </c>
      <c r="F72" s="108">
        <v>0</v>
      </c>
      <c r="G72" s="109">
        <v>0</v>
      </c>
      <c r="H72" s="109">
        <v>1</v>
      </c>
      <c r="I72">
        <v>0</v>
      </c>
      <c r="J72">
        <v>0</v>
      </c>
      <c r="K72">
        <f t="shared" si="1"/>
        <v>1</v>
      </c>
    </row>
    <row r="73" spans="1:11" ht="15" customHeight="1" x14ac:dyDescent="0.15">
      <c r="A73">
        <v>72</v>
      </c>
      <c r="B73" s="171" t="s">
        <v>262</v>
      </c>
      <c r="C73" s="109">
        <v>0</v>
      </c>
      <c r="D73" s="109">
        <v>0</v>
      </c>
      <c r="E73" s="108">
        <v>0</v>
      </c>
      <c r="F73" s="108">
        <v>0</v>
      </c>
      <c r="G73" s="109">
        <v>0</v>
      </c>
      <c r="H73" s="109">
        <v>0.7</v>
      </c>
      <c r="I73">
        <v>0.3</v>
      </c>
      <c r="J73">
        <v>0</v>
      </c>
      <c r="K73">
        <f t="shared" si="1"/>
        <v>1</v>
      </c>
    </row>
    <row r="74" spans="1:11" ht="15" customHeight="1" x14ac:dyDescent="0.15">
      <c r="A74">
        <v>73</v>
      </c>
      <c r="B74" s="171" t="s">
        <v>263</v>
      </c>
      <c r="C74" s="109">
        <v>0</v>
      </c>
      <c r="D74" s="109">
        <v>0</v>
      </c>
      <c r="E74" s="108">
        <v>0</v>
      </c>
      <c r="F74" s="108">
        <v>0</v>
      </c>
      <c r="G74" s="109">
        <v>0</v>
      </c>
      <c r="H74" s="109">
        <v>0.7</v>
      </c>
      <c r="I74">
        <v>0.3</v>
      </c>
      <c r="J74">
        <v>0</v>
      </c>
      <c r="K74">
        <f t="shared" si="1"/>
        <v>1</v>
      </c>
    </row>
    <row r="75" spans="1:11" ht="15" customHeight="1" x14ac:dyDescent="0.15">
      <c r="A75">
        <v>74</v>
      </c>
      <c r="B75" s="171" t="s">
        <v>264</v>
      </c>
      <c r="C75" s="109">
        <v>0</v>
      </c>
      <c r="D75" s="109">
        <v>0</v>
      </c>
      <c r="E75" s="108">
        <v>0</v>
      </c>
      <c r="F75" s="108">
        <v>0</v>
      </c>
      <c r="G75" s="109">
        <v>0</v>
      </c>
      <c r="H75" s="109">
        <v>0</v>
      </c>
      <c r="I75" s="195">
        <v>1</v>
      </c>
      <c r="J75" s="195">
        <v>0</v>
      </c>
      <c r="K75">
        <f t="shared" si="1"/>
        <v>1</v>
      </c>
    </row>
    <row r="76" spans="1:11" ht="15" customHeight="1" x14ac:dyDescent="0.15">
      <c r="A76">
        <v>75</v>
      </c>
      <c r="B76" s="171" t="s">
        <v>265</v>
      </c>
      <c r="C76" s="109">
        <v>0</v>
      </c>
      <c r="D76" s="109">
        <v>0</v>
      </c>
      <c r="E76" s="108">
        <v>0</v>
      </c>
      <c r="F76" s="108">
        <v>0</v>
      </c>
      <c r="G76" s="109">
        <v>0</v>
      </c>
      <c r="H76" s="109">
        <v>0</v>
      </c>
      <c r="I76" s="195">
        <v>1</v>
      </c>
      <c r="J76" s="195">
        <v>0</v>
      </c>
      <c r="K76">
        <f t="shared" si="1"/>
        <v>1</v>
      </c>
    </row>
    <row r="77" spans="1:11" ht="15" customHeight="1" x14ac:dyDescent="0.15">
      <c r="A77">
        <v>76</v>
      </c>
      <c r="B77" s="171" t="s">
        <v>266</v>
      </c>
      <c r="C77" s="109">
        <v>0</v>
      </c>
      <c r="D77" s="109">
        <v>0</v>
      </c>
      <c r="E77" s="108">
        <v>0</v>
      </c>
      <c r="F77" s="108">
        <v>0</v>
      </c>
      <c r="G77" s="109">
        <v>0</v>
      </c>
      <c r="H77" s="109">
        <v>0</v>
      </c>
      <c r="I77" s="195">
        <v>1</v>
      </c>
      <c r="J77" s="195">
        <v>0</v>
      </c>
      <c r="K77">
        <f t="shared" si="1"/>
        <v>1</v>
      </c>
    </row>
    <row r="78" spans="1:11" ht="15" customHeight="1" x14ac:dyDescent="0.15">
      <c r="A78">
        <v>77</v>
      </c>
      <c r="B78" s="171" t="s">
        <v>267</v>
      </c>
      <c r="C78" s="109">
        <v>0</v>
      </c>
      <c r="D78" s="109">
        <v>0</v>
      </c>
      <c r="E78" s="108">
        <v>0</v>
      </c>
      <c r="F78" s="108">
        <v>0</v>
      </c>
      <c r="G78" s="109">
        <v>0</v>
      </c>
      <c r="H78" s="109">
        <v>0</v>
      </c>
      <c r="I78" s="195">
        <v>1</v>
      </c>
      <c r="J78" s="195">
        <v>0</v>
      </c>
      <c r="K78">
        <f t="shared" si="1"/>
        <v>1</v>
      </c>
    </row>
    <row r="79" spans="1:11" ht="15" customHeight="1" x14ac:dyDescent="0.15">
      <c r="A79">
        <v>78</v>
      </c>
      <c r="B79" s="171" t="s">
        <v>268</v>
      </c>
      <c r="C79" s="109">
        <v>0</v>
      </c>
      <c r="D79" s="109">
        <v>0</v>
      </c>
      <c r="E79" s="108">
        <v>0</v>
      </c>
      <c r="F79" s="108">
        <v>0</v>
      </c>
      <c r="G79" s="109">
        <v>0</v>
      </c>
      <c r="H79" s="109">
        <v>0</v>
      </c>
      <c r="I79" s="195">
        <v>1</v>
      </c>
      <c r="J79" s="195">
        <v>0</v>
      </c>
      <c r="K79">
        <f t="shared" si="1"/>
        <v>1</v>
      </c>
    </row>
    <row r="80" spans="1:11" ht="15" customHeight="1" x14ac:dyDescent="0.15">
      <c r="A80">
        <v>79</v>
      </c>
      <c r="B80" s="171" t="s">
        <v>269</v>
      </c>
      <c r="C80" s="109">
        <v>0</v>
      </c>
      <c r="D80" s="109">
        <v>0</v>
      </c>
      <c r="E80" s="108">
        <v>0</v>
      </c>
      <c r="F80" s="108">
        <v>0</v>
      </c>
      <c r="G80" s="109">
        <v>0</v>
      </c>
      <c r="H80" s="109">
        <v>0</v>
      </c>
      <c r="I80">
        <v>1</v>
      </c>
      <c r="J80">
        <v>0</v>
      </c>
      <c r="K80">
        <f t="shared" si="1"/>
        <v>1</v>
      </c>
    </row>
    <row r="81" spans="1:11" ht="15" customHeight="1" x14ac:dyDescent="0.15">
      <c r="A81">
        <v>80</v>
      </c>
      <c r="B81" s="171" t="s">
        <v>270</v>
      </c>
      <c r="C81" s="109">
        <v>0</v>
      </c>
      <c r="D81" s="109">
        <v>0</v>
      </c>
      <c r="E81" s="108">
        <v>0</v>
      </c>
      <c r="F81" s="108">
        <v>0</v>
      </c>
      <c r="G81" s="109">
        <v>0</v>
      </c>
      <c r="H81" s="109">
        <v>0</v>
      </c>
      <c r="I81">
        <v>0</v>
      </c>
      <c r="J81">
        <v>1</v>
      </c>
      <c r="K81">
        <f t="shared" si="1"/>
        <v>1</v>
      </c>
    </row>
    <row r="82" spans="1:11" ht="15" customHeight="1" x14ac:dyDescent="0.15">
      <c r="A82">
        <v>81</v>
      </c>
      <c r="B82" s="171" t="s">
        <v>271</v>
      </c>
      <c r="C82" s="194">
        <v>0</v>
      </c>
      <c r="D82" s="194">
        <v>0</v>
      </c>
      <c r="E82" s="194">
        <v>0</v>
      </c>
      <c r="F82" s="194">
        <v>1</v>
      </c>
      <c r="G82" s="109">
        <v>0</v>
      </c>
      <c r="H82" s="109">
        <v>0</v>
      </c>
      <c r="I82">
        <v>0</v>
      </c>
      <c r="J82" s="195">
        <v>0</v>
      </c>
      <c r="K82">
        <f t="shared" si="1"/>
        <v>1</v>
      </c>
    </row>
    <row r="83" spans="1:11" ht="15" customHeight="1" x14ac:dyDescent="0.15">
      <c r="A83">
        <v>82</v>
      </c>
      <c r="B83" s="171" t="s">
        <v>272</v>
      </c>
      <c r="C83" s="194">
        <v>0</v>
      </c>
      <c r="D83" s="194">
        <v>0</v>
      </c>
      <c r="E83" s="194">
        <v>0</v>
      </c>
      <c r="F83" s="194">
        <v>1</v>
      </c>
      <c r="G83" s="109">
        <v>0</v>
      </c>
      <c r="H83" s="109">
        <v>0</v>
      </c>
      <c r="I83">
        <v>0</v>
      </c>
      <c r="J83" s="195">
        <v>0</v>
      </c>
      <c r="K83">
        <f t="shared" si="1"/>
        <v>1</v>
      </c>
    </row>
    <row r="84" spans="1:11" ht="15" customHeight="1" x14ac:dyDescent="0.15">
      <c r="A84">
        <v>83</v>
      </c>
      <c r="B84" s="171" t="s">
        <v>273</v>
      </c>
      <c r="C84" s="194">
        <v>0</v>
      </c>
      <c r="D84" s="194">
        <v>0</v>
      </c>
      <c r="E84" s="194">
        <v>0</v>
      </c>
      <c r="F84" s="194">
        <v>1</v>
      </c>
      <c r="G84" s="109">
        <v>0</v>
      </c>
      <c r="H84" s="109">
        <v>0</v>
      </c>
      <c r="I84">
        <v>0</v>
      </c>
      <c r="J84" s="195">
        <v>0</v>
      </c>
      <c r="K84">
        <f t="shared" si="1"/>
        <v>1</v>
      </c>
    </row>
    <row r="85" spans="1:11" ht="15" customHeight="1" x14ac:dyDescent="0.15">
      <c r="A85">
        <v>84</v>
      </c>
      <c r="B85" s="171" t="s">
        <v>274</v>
      </c>
      <c r="C85" s="194">
        <v>0</v>
      </c>
      <c r="D85" s="194">
        <v>0</v>
      </c>
      <c r="E85" s="194">
        <v>0</v>
      </c>
      <c r="F85" s="194">
        <v>1</v>
      </c>
      <c r="G85" s="109">
        <v>0</v>
      </c>
      <c r="H85" s="109">
        <v>0</v>
      </c>
      <c r="I85">
        <v>0</v>
      </c>
      <c r="J85" s="195">
        <v>0</v>
      </c>
      <c r="K85">
        <f t="shared" si="1"/>
        <v>1</v>
      </c>
    </row>
    <row r="86" spans="1:11" ht="15" customHeight="1" x14ac:dyDescent="0.15">
      <c r="A86">
        <v>85</v>
      </c>
      <c r="B86" s="171" t="s">
        <v>275</v>
      </c>
      <c r="C86" s="194">
        <v>0</v>
      </c>
      <c r="D86" s="194">
        <v>0</v>
      </c>
      <c r="E86" s="194">
        <v>0</v>
      </c>
      <c r="F86" s="194">
        <v>1</v>
      </c>
      <c r="G86" s="109">
        <v>0</v>
      </c>
      <c r="H86" s="109">
        <v>0</v>
      </c>
      <c r="I86">
        <v>0</v>
      </c>
      <c r="J86" s="195">
        <v>0</v>
      </c>
      <c r="K86">
        <f t="shared" si="1"/>
        <v>1</v>
      </c>
    </row>
    <row r="87" spans="1:11" ht="15" customHeight="1" x14ac:dyDescent="0.15">
      <c r="A87">
        <v>86</v>
      </c>
      <c r="B87" s="171" t="s">
        <v>276</v>
      </c>
      <c r="C87" s="194">
        <v>0</v>
      </c>
      <c r="D87" s="194">
        <v>0</v>
      </c>
      <c r="E87" s="194">
        <v>0</v>
      </c>
      <c r="F87" s="194">
        <v>1</v>
      </c>
      <c r="G87" s="109">
        <v>0</v>
      </c>
      <c r="H87" s="109">
        <v>0</v>
      </c>
      <c r="I87">
        <v>0</v>
      </c>
      <c r="J87" s="195">
        <v>0</v>
      </c>
      <c r="K87">
        <f t="shared" si="1"/>
        <v>1</v>
      </c>
    </row>
    <row r="88" spans="1:11" ht="15" customHeight="1" x14ac:dyDescent="0.15">
      <c r="A88">
        <v>87</v>
      </c>
      <c r="B88" s="171" t="s">
        <v>277</v>
      </c>
      <c r="C88" s="194">
        <v>0</v>
      </c>
      <c r="D88" s="194">
        <v>0</v>
      </c>
      <c r="E88" s="194">
        <v>0</v>
      </c>
      <c r="F88" s="194">
        <v>1</v>
      </c>
      <c r="G88" s="109">
        <v>0</v>
      </c>
      <c r="H88" s="109">
        <v>0</v>
      </c>
      <c r="I88">
        <v>0</v>
      </c>
      <c r="J88" s="195">
        <v>0</v>
      </c>
      <c r="K88">
        <f t="shared" si="1"/>
        <v>1</v>
      </c>
    </row>
    <row r="89" spans="1:11" ht="15" customHeight="1" x14ac:dyDescent="0.15">
      <c r="A89">
        <v>88</v>
      </c>
      <c r="B89" s="171" t="s">
        <v>278</v>
      </c>
      <c r="C89" s="194">
        <v>0</v>
      </c>
      <c r="D89" s="194">
        <v>0</v>
      </c>
      <c r="E89" s="194">
        <v>0</v>
      </c>
      <c r="F89" s="194">
        <v>1</v>
      </c>
      <c r="G89" s="109">
        <v>0</v>
      </c>
      <c r="H89" s="109">
        <v>0</v>
      </c>
      <c r="I89">
        <v>0</v>
      </c>
      <c r="J89" s="195">
        <v>0</v>
      </c>
      <c r="K89">
        <f t="shared" si="1"/>
        <v>1</v>
      </c>
    </row>
    <row r="90" spans="1:11" ht="15" customHeight="1" x14ac:dyDescent="0.15">
      <c r="A90">
        <v>89</v>
      </c>
      <c r="B90" s="171" t="s">
        <v>279</v>
      </c>
      <c r="C90" s="194">
        <v>0</v>
      </c>
      <c r="D90" s="194">
        <v>0</v>
      </c>
      <c r="E90" s="194">
        <v>0</v>
      </c>
      <c r="F90" s="194">
        <v>1</v>
      </c>
      <c r="G90" s="109">
        <v>0</v>
      </c>
      <c r="H90" s="109">
        <v>0</v>
      </c>
      <c r="I90">
        <v>0</v>
      </c>
      <c r="J90" s="195">
        <v>0</v>
      </c>
      <c r="K90">
        <f t="shared" si="1"/>
        <v>1</v>
      </c>
    </row>
    <row r="91" spans="1:11" ht="15" customHeight="1" x14ac:dyDescent="0.15">
      <c r="A91">
        <v>90</v>
      </c>
      <c r="B91" s="171" t="s">
        <v>280</v>
      </c>
      <c r="C91" s="194">
        <v>0</v>
      </c>
      <c r="D91" s="194">
        <v>0</v>
      </c>
      <c r="E91" s="194">
        <v>0</v>
      </c>
      <c r="F91" s="194">
        <v>1</v>
      </c>
      <c r="G91" s="109">
        <v>0</v>
      </c>
      <c r="H91" s="109">
        <v>0</v>
      </c>
      <c r="I91">
        <v>0</v>
      </c>
      <c r="J91" s="195">
        <v>0</v>
      </c>
      <c r="K91">
        <f t="shared" si="1"/>
        <v>1</v>
      </c>
    </row>
    <row r="92" spans="1:11" ht="15" customHeight="1" x14ac:dyDescent="0.15">
      <c r="A92">
        <v>91</v>
      </c>
      <c r="B92" s="171" t="s">
        <v>281</v>
      </c>
      <c r="C92" s="194">
        <v>0</v>
      </c>
      <c r="D92" s="194">
        <v>0</v>
      </c>
      <c r="E92" s="194">
        <v>0</v>
      </c>
      <c r="F92" s="194">
        <v>1</v>
      </c>
      <c r="G92" s="109">
        <v>0</v>
      </c>
      <c r="H92" s="109">
        <v>0</v>
      </c>
      <c r="I92">
        <v>0</v>
      </c>
      <c r="J92" s="195">
        <v>0</v>
      </c>
      <c r="K92">
        <f t="shared" si="1"/>
        <v>1</v>
      </c>
    </row>
    <row r="93" spans="1:11" ht="15" customHeight="1" x14ac:dyDescent="0.15">
      <c r="A93">
        <v>92</v>
      </c>
      <c r="B93" s="171" t="s">
        <v>282</v>
      </c>
      <c r="C93" s="194">
        <v>0</v>
      </c>
      <c r="D93" s="194">
        <v>0</v>
      </c>
      <c r="E93" s="194">
        <v>0</v>
      </c>
      <c r="F93" s="194">
        <v>1</v>
      </c>
      <c r="G93" s="109">
        <v>0</v>
      </c>
      <c r="H93" s="109">
        <v>0</v>
      </c>
      <c r="I93">
        <v>0</v>
      </c>
      <c r="J93" s="195">
        <v>0</v>
      </c>
      <c r="K93">
        <f t="shared" si="1"/>
        <v>1</v>
      </c>
    </row>
    <row r="94" spans="1:11" ht="15" customHeight="1" x14ac:dyDescent="0.15">
      <c r="A94">
        <v>93</v>
      </c>
      <c r="B94" s="171" t="s">
        <v>283</v>
      </c>
      <c r="C94" s="194">
        <v>0</v>
      </c>
      <c r="D94" s="194">
        <v>0</v>
      </c>
      <c r="E94" s="194">
        <v>0</v>
      </c>
      <c r="F94" s="194">
        <v>1</v>
      </c>
      <c r="G94" s="109">
        <v>0</v>
      </c>
      <c r="H94" s="109">
        <v>0</v>
      </c>
      <c r="I94">
        <v>0</v>
      </c>
      <c r="J94" s="195">
        <v>0</v>
      </c>
      <c r="K94">
        <f t="shared" si="1"/>
        <v>1</v>
      </c>
    </row>
    <row r="95" spans="1:11" ht="15" customHeight="1" x14ac:dyDescent="0.15">
      <c r="A95">
        <v>94</v>
      </c>
      <c r="B95" s="171" t="s">
        <v>284</v>
      </c>
      <c r="C95" s="194">
        <v>0</v>
      </c>
      <c r="D95" s="194">
        <v>0</v>
      </c>
      <c r="E95" s="194">
        <v>0</v>
      </c>
      <c r="F95" s="194">
        <v>1</v>
      </c>
      <c r="G95" s="109">
        <v>0</v>
      </c>
      <c r="H95" s="109">
        <v>0</v>
      </c>
      <c r="I95">
        <v>0</v>
      </c>
      <c r="J95" s="195">
        <v>0</v>
      </c>
      <c r="K95">
        <f t="shared" si="1"/>
        <v>1</v>
      </c>
    </row>
    <row r="96" spans="1:11"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Q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29.6640625" bestFit="1" customWidth="1"/>
    <col min="3" max="3" width="7.83203125" bestFit="1" customWidth="1"/>
    <col min="4" max="5" width="8.83203125" bestFit="1" customWidth="1"/>
    <col min="6" max="6" width="9.83203125" customWidth="1"/>
    <col min="7" max="8" width="8.83203125" customWidth="1"/>
    <col min="9" max="9" width="6.83203125" customWidth="1"/>
    <col min="10" max="12" width="7.83203125" customWidth="1"/>
    <col min="13" max="15" width="8.83203125" customWidth="1"/>
    <col min="16" max="16" width="7.83203125" customWidth="1"/>
    <col min="17" max="17" width="12.83203125" customWidth="1"/>
  </cols>
  <sheetData>
    <row r="1" spans="1:17" s="110" customFormat="1" ht="112" x14ac:dyDescent="0.15">
      <c r="A1" s="5" t="s">
        <v>21</v>
      </c>
      <c r="B1" s="3" t="s">
        <v>0</v>
      </c>
      <c r="C1" s="174" t="s">
        <v>271</v>
      </c>
      <c r="D1" s="174" t="s">
        <v>272</v>
      </c>
      <c r="E1" s="174" t="s">
        <v>273</v>
      </c>
      <c r="F1" s="174" t="s">
        <v>274</v>
      </c>
      <c r="G1" s="174" t="s">
        <v>275</v>
      </c>
      <c r="H1" s="174" t="s">
        <v>276</v>
      </c>
      <c r="I1" s="174" t="s">
        <v>277</v>
      </c>
      <c r="J1" s="174" t="s">
        <v>278</v>
      </c>
      <c r="K1" s="174" t="s">
        <v>279</v>
      </c>
      <c r="L1" s="174" t="s">
        <v>280</v>
      </c>
      <c r="M1" s="174" t="s">
        <v>281</v>
      </c>
      <c r="N1" s="174" t="s">
        <v>282</v>
      </c>
      <c r="O1" s="174" t="s">
        <v>283</v>
      </c>
      <c r="P1" s="174" t="s">
        <v>284</v>
      </c>
      <c r="Q1" s="174" t="s">
        <v>288</v>
      </c>
    </row>
    <row r="2" spans="1:17" ht="15" customHeight="1" x14ac:dyDescent="0.15">
      <c r="A2">
        <v>1</v>
      </c>
      <c r="B2" s="173" t="s">
        <v>191</v>
      </c>
      <c r="C2">
        <v>0</v>
      </c>
      <c r="D2">
        <v>0</v>
      </c>
      <c r="E2">
        <v>0</v>
      </c>
      <c r="F2">
        <v>0</v>
      </c>
      <c r="G2">
        <v>0</v>
      </c>
      <c r="H2">
        <v>0</v>
      </c>
      <c r="I2">
        <v>0</v>
      </c>
      <c r="J2">
        <v>0</v>
      </c>
      <c r="K2">
        <v>0</v>
      </c>
      <c r="L2">
        <v>0</v>
      </c>
      <c r="M2">
        <v>0</v>
      </c>
      <c r="N2">
        <v>0</v>
      </c>
      <c r="O2">
        <v>0</v>
      </c>
      <c r="P2">
        <v>0</v>
      </c>
      <c r="Q2">
        <v>0</v>
      </c>
    </row>
    <row r="3" spans="1:17" ht="15" customHeight="1" x14ac:dyDescent="0.15">
      <c r="A3">
        <v>2</v>
      </c>
      <c r="B3" s="173" t="s">
        <v>192</v>
      </c>
      <c r="C3">
        <v>0</v>
      </c>
      <c r="D3">
        <v>0</v>
      </c>
      <c r="E3">
        <v>0</v>
      </c>
      <c r="F3">
        <v>0</v>
      </c>
      <c r="G3">
        <v>0</v>
      </c>
      <c r="H3">
        <v>0</v>
      </c>
      <c r="I3">
        <v>0</v>
      </c>
      <c r="J3">
        <v>0</v>
      </c>
      <c r="K3">
        <v>0</v>
      </c>
      <c r="L3">
        <v>0</v>
      </c>
      <c r="M3">
        <v>0</v>
      </c>
      <c r="N3">
        <v>0</v>
      </c>
      <c r="O3">
        <v>0</v>
      </c>
      <c r="P3">
        <v>0</v>
      </c>
      <c r="Q3">
        <v>0</v>
      </c>
    </row>
    <row r="4" spans="1:17" ht="15" customHeight="1" x14ac:dyDescent="0.15">
      <c r="A4">
        <v>3</v>
      </c>
      <c r="B4" s="173" t="s">
        <v>193</v>
      </c>
      <c r="C4">
        <v>0</v>
      </c>
      <c r="D4">
        <v>0</v>
      </c>
      <c r="E4">
        <v>0</v>
      </c>
      <c r="F4">
        <v>0</v>
      </c>
      <c r="G4">
        <v>0</v>
      </c>
      <c r="H4">
        <v>0</v>
      </c>
      <c r="I4">
        <v>0</v>
      </c>
      <c r="J4">
        <v>0</v>
      </c>
      <c r="K4">
        <v>0</v>
      </c>
      <c r="L4">
        <v>0</v>
      </c>
      <c r="M4">
        <v>0</v>
      </c>
      <c r="N4">
        <v>0</v>
      </c>
      <c r="O4">
        <v>0</v>
      </c>
      <c r="P4">
        <v>0</v>
      </c>
      <c r="Q4">
        <v>0</v>
      </c>
    </row>
    <row r="5" spans="1:17" ht="15" customHeight="1" x14ac:dyDescent="0.15">
      <c r="A5">
        <v>4</v>
      </c>
      <c r="B5" s="173" t="s">
        <v>194</v>
      </c>
      <c r="C5">
        <v>0</v>
      </c>
      <c r="D5">
        <v>0</v>
      </c>
      <c r="E5">
        <v>0</v>
      </c>
      <c r="F5">
        <v>0</v>
      </c>
      <c r="G5">
        <v>0</v>
      </c>
      <c r="H5">
        <v>0</v>
      </c>
      <c r="I5">
        <v>0</v>
      </c>
      <c r="J5">
        <v>0</v>
      </c>
      <c r="K5">
        <v>0</v>
      </c>
      <c r="L5">
        <v>0</v>
      </c>
      <c r="M5">
        <v>0</v>
      </c>
      <c r="N5">
        <v>0</v>
      </c>
      <c r="O5">
        <v>0</v>
      </c>
      <c r="P5">
        <v>0</v>
      </c>
      <c r="Q5">
        <v>0</v>
      </c>
    </row>
    <row r="6" spans="1:17" ht="15" customHeight="1" x14ac:dyDescent="0.15">
      <c r="A6">
        <v>5</v>
      </c>
      <c r="B6" s="173" t="s">
        <v>195</v>
      </c>
      <c r="C6">
        <v>0</v>
      </c>
      <c r="D6">
        <v>0</v>
      </c>
      <c r="E6">
        <v>1E-3</v>
      </c>
      <c r="F6">
        <v>6.5400000000000004E-5</v>
      </c>
      <c r="G6">
        <v>1E-3</v>
      </c>
      <c r="H6">
        <v>4.26E-4</v>
      </c>
      <c r="I6">
        <v>0</v>
      </c>
      <c r="J6">
        <v>0</v>
      </c>
      <c r="K6">
        <v>0</v>
      </c>
      <c r="L6">
        <v>0</v>
      </c>
      <c r="M6">
        <v>0</v>
      </c>
      <c r="N6">
        <v>0</v>
      </c>
      <c r="O6">
        <v>0</v>
      </c>
      <c r="P6">
        <v>0</v>
      </c>
      <c r="Q6">
        <v>2.4914000000000004E-3</v>
      </c>
    </row>
    <row r="7" spans="1:17" ht="15" customHeight="1" x14ac:dyDescent="0.15">
      <c r="A7">
        <v>6</v>
      </c>
      <c r="B7" s="173" t="s">
        <v>196</v>
      </c>
      <c r="C7">
        <v>0</v>
      </c>
      <c r="D7">
        <v>0</v>
      </c>
      <c r="E7">
        <v>1.1900000000000001E-3</v>
      </c>
      <c r="F7">
        <v>4.6E-5</v>
      </c>
      <c r="G7">
        <v>1.06E-6</v>
      </c>
      <c r="H7">
        <v>0</v>
      </c>
      <c r="I7">
        <v>0</v>
      </c>
      <c r="J7">
        <v>0</v>
      </c>
      <c r="K7">
        <v>0</v>
      </c>
      <c r="L7">
        <v>0</v>
      </c>
      <c r="M7">
        <v>0</v>
      </c>
      <c r="N7">
        <v>0</v>
      </c>
      <c r="O7">
        <v>0</v>
      </c>
      <c r="P7">
        <v>0</v>
      </c>
      <c r="Q7">
        <v>1.2370600000000001E-3</v>
      </c>
    </row>
    <row r="8" spans="1:17" ht="15" customHeight="1" x14ac:dyDescent="0.15">
      <c r="A8">
        <v>7</v>
      </c>
      <c r="B8" s="173" t="s">
        <v>197</v>
      </c>
      <c r="C8">
        <v>0</v>
      </c>
      <c r="D8">
        <v>0</v>
      </c>
      <c r="E8">
        <v>0</v>
      </c>
      <c r="F8">
        <v>0</v>
      </c>
      <c r="G8">
        <v>0</v>
      </c>
      <c r="H8">
        <v>0</v>
      </c>
      <c r="I8">
        <v>0</v>
      </c>
      <c r="J8">
        <v>0</v>
      </c>
      <c r="K8">
        <v>0</v>
      </c>
      <c r="L8">
        <v>0</v>
      </c>
      <c r="M8">
        <v>0</v>
      </c>
      <c r="N8">
        <v>0</v>
      </c>
      <c r="O8">
        <v>0</v>
      </c>
      <c r="P8">
        <v>0</v>
      </c>
      <c r="Q8">
        <v>0</v>
      </c>
    </row>
    <row r="9" spans="1:17" ht="15" customHeight="1" x14ac:dyDescent="0.15">
      <c r="A9">
        <v>8</v>
      </c>
      <c r="B9" s="173" t="s">
        <v>198</v>
      </c>
      <c r="C9">
        <v>0</v>
      </c>
      <c r="D9">
        <v>1.24E-3</v>
      </c>
      <c r="E9">
        <v>0.08</v>
      </c>
      <c r="F9">
        <v>6.4999999999999997E-3</v>
      </c>
      <c r="G9">
        <v>4.6699999999999997E-3</v>
      </c>
      <c r="H9">
        <v>0</v>
      </c>
      <c r="I9">
        <v>0</v>
      </c>
      <c r="J9">
        <v>0</v>
      </c>
      <c r="K9">
        <v>0</v>
      </c>
      <c r="L9">
        <v>0</v>
      </c>
      <c r="M9">
        <v>5.2100000000000002E-3</v>
      </c>
      <c r="N9">
        <v>0</v>
      </c>
      <c r="O9">
        <v>5.0000000000000004E-6</v>
      </c>
      <c r="P9">
        <v>5.6999999999999996E-6</v>
      </c>
      <c r="Q9">
        <v>9.7630700000000015E-2</v>
      </c>
    </row>
    <row r="10" spans="1:17" ht="15" customHeight="1" x14ac:dyDescent="0.15">
      <c r="A10">
        <v>9</v>
      </c>
      <c r="B10" s="173" t="s">
        <v>199</v>
      </c>
      <c r="C10">
        <v>0</v>
      </c>
      <c r="D10">
        <v>1.7000000000000001E-4</v>
      </c>
      <c r="E10">
        <v>8.9999999999999993E-3</v>
      </c>
      <c r="F10">
        <v>5.31E-4</v>
      </c>
      <c r="G10">
        <v>1.0999999999999999E-2</v>
      </c>
      <c r="H10">
        <v>3.7100000000000002E-4</v>
      </c>
      <c r="I10">
        <v>0</v>
      </c>
      <c r="J10">
        <v>0</v>
      </c>
      <c r="K10">
        <v>0</v>
      </c>
      <c r="L10">
        <v>0</v>
      </c>
      <c r="M10">
        <v>8.9999999999999993E-3</v>
      </c>
      <c r="N10">
        <v>4.6999999999999997E-5</v>
      </c>
      <c r="O10">
        <v>5.0000000000000004E-6</v>
      </c>
      <c r="P10">
        <v>1.1999999999999999E-7</v>
      </c>
      <c r="Q10">
        <v>3.0124119999999994E-2</v>
      </c>
    </row>
    <row r="11" spans="1:17" ht="15" customHeight="1" x14ac:dyDescent="0.15">
      <c r="A11">
        <v>10</v>
      </c>
      <c r="B11" s="173" t="s">
        <v>200</v>
      </c>
      <c r="C11">
        <v>0</v>
      </c>
      <c r="D11">
        <v>5.8699999999999997E-5</v>
      </c>
      <c r="E11">
        <v>8.8999999999999996E-2</v>
      </c>
      <c r="F11">
        <v>2.4E-2</v>
      </c>
      <c r="G11">
        <v>8.6099999999999996E-3</v>
      </c>
      <c r="H11">
        <v>0</v>
      </c>
      <c r="I11">
        <v>0</v>
      </c>
      <c r="J11">
        <v>0</v>
      </c>
      <c r="K11">
        <v>0</v>
      </c>
      <c r="L11">
        <v>0</v>
      </c>
      <c r="M11">
        <v>2.1700000000000001E-3</v>
      </c>
      <c r="N11">
        <v>1.97E-3</v>
      </c>
      <c r="O11">
        <v>5.0000000000000004E-6</v>
      </c>
      <c r="P11">
        <v>4.3999999999999997E-9</v>
      </c>
      <c r="Q11">
        <v>0.1258137044</v>
      </c>
    </row>
    <row r="12" spans="1:17" ht="15" customHeight="1" x14ac:dyDescent="0.15">
      <c r="A12">
        <v>11</v>
      </c>
      <c r="B12" s="173" t="s">
        <v>201</v>
      </c>
      <c r="C12">
        <v>0</v>
      </c>
      <c r="D12">
        <v>5.8399999999999997E-3</v>
      </c>
      <c r="E12">
        <v>3.2100000000000002E-3</v>
      </c>
      <c r="F12">
        <v>5.1000000000000004E-3</v>
      </c>
      <c r="G12">
        <v>7.6E-3</v>
      </c>
      <c r="H12">
        <v>0</v>
      </c>
      <c r="I12">
        <v>0</v>
      </c>
      <c r="J12">
        <v>0</v>
      </c>
      <c r="K12">
        <v>0</v>
      </c>
      <c r="L12">
        <v>0</v>
      </c>
      <c r="M12">
        <v>1.5699999999999999E-4</v>
      </c>
      <c r="N12">
        <v>1E-3</v>
      </c>
      <c r="O12">
        <v>0</v>
      </c>
      <c r="P12">
        <v>0</v>
      </c>
      <c r="Q12">
        <v>2.2907E-2</v>
      </c>
    </row>
    <row r="13" spans="1:17" ht="15" customHeight="1" x14ac:dyDescent="0.15">
      <c r="A13">
        <v>12</v>
      </c>
      <c r="B13" s="173" t="s">
        <v>202</v>
      </c>
      <c r="C13">
        <v>0</v>
      </c>
      <c r="D13">
        <v>0</v>
      </c>
      <c r="E13">
        <v>1.2E-4</v>
      </c>
      <c r="F13">
        <v>4.6699999999999997E-3</v>
      </c>
      <c r="G13">
        <v>1.6000000000000001E-3</v>
      </c>
      <c r="H13">
        <v>5.4000000000000001E-4</v>
      </c>
      <c r="I13">
        <v>0</v>
      </c>
      <c r="J13">
        <v>0</v>
      </c>
      <c r="K13">
        <v>0</v>
      </c>
      <c r="L13">
        <v>8.9499999999999996E-3</v>
      </c>
      <c r="M13">
        <v>6.1799999999999997E-3</v>
      </c>
      <c r="N13">
        <v>5.71E-4</v>
      </c>
      <c r="O13">
        <v>0</v>
      </c>
      <c r="P13">
        <v>2.9999999999999997E-4</v>
      </c>
      <c r="Q13">
        <v>2.2930999999999997E-2</v>
      </c>
    </row>
    <row r="14" spans="1:17" ht="15" customHeight="1" x14ac:dyDescent="0.15">
      <c r="A14">
        <v>13</v>
      </c>
      <c r="B14" s="173" t="s">
        <v>203</v>
      </c>
      <c r="C14">
        <v>0</v>
      </c>
      <c r="D14">
        <v>0</v>
      </c>
      <c r="E14">
        <v>0</v>
      </c>
      <c r="F14">
        <v>0</v>
      </c>
      <c r="G14">
        <v>3.81E-3</v>
      </c>
      <c r="H14">
        <v>8.94E-3</v>
      </c>
      <c r="I14">
        <v>0</v>
      </c>
      <c r="J14">
        <v>0</v>
      </c>
      <c r="K14">
        <v>0</v>
      </c>
      <c r="L14">
        <v>0</v>
      </c>
      <c r="M14">
        <v>5.27E-5</v>
      </c>
      <c r="N14">
        <v>0</v>
      </c>
      <c r="O14">
        <v>0</v>
      </c>
      <c r="P14">
        <v>0</v>
      </c>
      <c r="Q14">
        <v>1.28027E-2</v>
      </c>
    </row>
    <row r="15" spans="1:17" ht="15" customHeight="1" x14ac:dyDescent="0.15">
      <c r="A15">
        <v>14</v>
      </c>
      <c r="B15" s="173" t="s">
        <v>204</v>
      </c>
      <c r="C15">
        <v>0</v>
      </c>
      <c r="D15">
        <v>1.7999999999999999E-6</v>
      </c>
      <c r="E15">
        <v>1.1000000000000001E-6</v>
      </c>
      <c r="F15">
        <v>0</v>
      </c>
      <c r="G15">
        <v>8.6899999999999998E-6</v>
      </c>
      <c r="H15">
        <v>0</v>
      </c>
      <c r="I15">
        <v>0</v>
      </c>
      <c r="J15">
        <v>0</v>
      </c>
      <c r="K15">
        <v>0</v>
      </c>
      <c r="L15">
        <v>0</v>
      </c>
      <c r="M15">
        <v>0</v>
      </c>
      <c r="N15">
        <v>0</v>
      </c>
      <c r="O15">
        <v>0</v>
      </c>
      <c r="P15">
        <v>0</v>
      </c>
      <c r="Q15">
        <v>1.1589999999999999E-5</v>
      </c>
    </row>
    <row r="16" spans="1:17" ht="15" customHeight="1" x14ac:dyDescent="0.15">
      <c r="A16">
        <v>15</v>
      </c>
      <c r="B16" s="173" t="s">
        <v>205</v>
      </c>
      <c r="C16">
        <v>0</v>
      </c>
      <c r="D16">
        <v>0</v>
      </c>
      <c r="E16">
        <v>2.7099999999999997E-4</v>
      </c>
      <c r="F16">
        <v>6.0699999999999997E-7</v>
      </c>
      <c r="G16">
        <v>8.1999999999999994E-6</v>
      </c>
      <c r="H16">
        <v>0</v>
      </c>
      <c r="I16">
        <v>0</v>
      </c>
      <c r="J16">
        <v>0</v>
      </c>
      <c r="K16">
        <v>0</v>
      </c>
      <c r="L16">
        <v>0</v>
      </c>
      <c r="M16">
        <v>0</v>
      </c>
      <c r="N16">
        <v>0</v>
      </c>
      <c r="O16">
        <v>0</v>
      </c>
      <c r="P16">
        <v>0</v>
      </c>
      <c r="Q16">
        <v>2.7980699999999997E-4</v>
      </c>
    </row>
    <row r="17" spans="1:17" ht="15" customHeight="1" x14ac:dyDescent="0.15">
      <c r="A17">
        <v>16</v>
      </c>
      <c r="B17" s="173" t="s">
        <v>206</v>
      </c>
      <c r="C17">
        <v>0</v>
      </c>
      <c r="D17">
        <v>2.0699999999999998E-5</v>
      </c>
      <c r="E17">
        <v>9.0099999999999995E-5</v>
      </c>
      <c r="F17">
        <v>3.65E-5</v>
      </c>
      <c r="G17">
        <v>2.9799999999999999E-5</v>
      </c>
      <c r="H17">
        <v>0</v>
      </c>
      <c r="I17">
        <v>0</v>
      </c>
      <c r="J17">
        <v>0</v>
      </c>
      <c r="K17">
        <v>0</v>
      </c>
      <c r="L17">
        <v>1.4E-5</v>
      </c>
      <c r="M17">
        <v>0</v>
      </c>
      <c r="N17">
        <v>1.6999999999999999E-3</v>
      </c>
      <c r="O17">
        <v>0</v>
      </c>
      <c r="P17">
        <v>0</v>
      </c>
      <c r="Q17">
        <v>1.8910999999999999E-3</v>
      </c>
    </row>
    <row r="18" spans="1:17" ht="15" customHeight="1" x14ac:dyDescent="0.15">
      <c r="A18">
        <v>17</v>
      </c>
      <c r="B18" s="173" t="s">
        <v>207</v>
      </c>
      <c r="C18">
        <v>0</v>
      </c>
      <c r="D18">
        <v>1.21E-4</v>
      </c>
      <c r="E18">
        <v>0</v>
      </c>
      <c r="F18">
        <v>0</v>
      </c>
      <c r="G18">
        <v>0</v>
      </c>
      <c r="H18">
        <v>0</v>
      </c>
      <c r="I18">
        <v>0</v>
      </c>
      <c r="J18">
        <v>0</v>
      </c>
      <c r="K18">
        <v>0</v>
      </c>
      <c r="L18">
        <v>0</v>
      </c>
      <c r="M18">
        <v>1.22E-4</v>
      </c>
      <c r="N18">
        <v>0</v>
      </c>
      <c r="O18">
        <v>0</v>
      </c>
      <c r="P18">
        <v>0</v>
      </c>
      <c r="Q18">
        <v>2.43E-4</v>
      </c>
    </row>
    <row r="19" spans="1:17" ht="15" customHeight="1" x14ac:dyDescent="0.15">
      <c r="A19">
        <v>18</v>
      </c>
      <c r="B19" s="173" t="s">
        <v>208</v>
      </c>
      <c r="C19">
        <v>0</v>
      </c>
      <c r="D19">
        <v>6.0499999999999998E-3</v>
      </c>
      <c r="E19">
        <v>5.8800000000000002E-7</v>
      </c>
      <c r="F19">
        <v>3.9399999999999998E-4</v>
      </c>
      <c r="G19">
        <v>6.4899999999999997E-6</v>
      </c>
      <c r="H19">
        <v>0</v>
      </c>
      <c r="I19">
        <v>0</v>
      </c>
      <c r="J19">
        <v>0</v>
      </c>
      <c r="K19">
        <v>0</v>
      </c>
      <c r="L19">
        <v>0</v>
      </c>
      <c r="M19">
        <v>0</v>
      </c>
      <c r="N19">
        <v>1.1800000000000001E-5</v>
      </c>
      <c r="O19">
        <v>0</v>
      </c>
      <c r="P19">
        <v>0</v>
      </c>
      <c r="Q19">
        <v>6.462878E-3</v>
      </c>
    </row>
    <row r="20" spans="1:17" ht="15" customHeight="1" x14ac:dyDescent="0.15">
      <c r="A20">
        <v>19</v>
      </c>
      <c r="B20" s="173" t="s">
        <v>209</v>
      </c>
      <c r="C20">
        <v>0</v>
      </c>
      <c r="D20">
        <v>0</v>
      </c>
      <c r="E20">
        <v>0</v>
      </c>
      <c r="F20">
        <v>0</v>
      </c>
      <c r="G20">
        <v>0</v>
      </c>
      <c r="H20">
        <v>0</v>
      </c>
      <c r="I20">
        <v>0</v>
      </c>
      <c r="J20">
        <v>0</v>
      </c>
      <c r="K20">
        <v>0</v>
      </c>
      <c r="L20">
        <v>0</v>
      </c>
      <c r="M20">
        <v>0</v>
      </c>
      <c r="N20">
        <v>0</v>
      </c>
      <c r="O20">
        <v>0</v>
      </c>
      <c r="P20">
        <v>0</v>
      </c>
      <c r="Q20">
        <v>0</v>
      </c>
    </row>
    <row r="21" spans="1:17" ht="15" customHeight="1" x14ac:dyDescent="0.15">
      <c r="A21">
        <v>20</v>
      </c>
      <c r="B21" s="173" t="s">
        <v>210</v>
      </c>
      <c r="C21">
        <v>0</v>
      </c>
      <c r="D21">
        <v>0</v>
      </c>
      <c r="E21">
        <v>0</v>
      </c>
      <c r="F21">
        <v>1.5E-5</v>
      </c>
      <c r="G21">
        <v>2.6E-7</v>
      </c>
      <c r="H21">
        <v>0</v>
      </c>
      <c r="I21">
        <v>0</v>
      </c>
      <c r="J21">
        <v>0</v>
      </c>
      <c r="K21">
        <v>0</v>
      </c>
      <c r="L21">
        <v>0</v>
      </c>
      <c r="M21">
        <v>0</v>
      </c>
      <c r="N21">
        <v>0</v>
      </c>
      <c r="O21">
        <v>0</v>
      </c>
      <c r="P21">
        <v>0</v>
      </c>
      <c r="Q21">
        <v>1.526E-5</v>
      </c>
    </row>
    <row r="22" spans="1:17" ht="15" customHeight="1" x14ac:dyDescent="0.15">
      <c r="A22">
        <v>21</v>
      </c>
      <c r="B22" s="173" t="s">
        <v>211</v>
      </c>
      <c r="C22">
        <v>0</v>
      </c>
      <c r="D22">
        <v>3.6899999999999998E-6</v>
      </c>
      <c r="E22">
        <v>0</v>
      </c>
      <c r="F22">
        <v>1.3699999999999999E-5</v>
      </c>
      <c r="G22">
        <v>1.0000000000000001E-5</v>
      </c>
      <c r="H22">
        <v>1.17E-5</v>
      </c>
      <c r="I22">
        <v>0</v>
      </c>
      <c r="J22">
        <v>0</v>
      </c>
      <c r="K22">
        <v>0</v>
      </c>
      <c r="L22">
        <v>0</v>
      </c>
      <c r="M22">
        <v>1.7000000000000001E-4</v>
      </c>
      <c r="N22">
        <v>0</v>
      </c>
      <c r="O22">
        <v>0</v>
      </c>
      <c r="P22">
        <v>0</v>
      </c>
      <c r="Q22">
        <v>2.0909000000000002E-4</v>
      </c>
    </row>
    <row r="23" spans="1:17" ht="15" customHeight="1" x14ac:dyDescent="0.15">
      <c r="A23">
        <v>22</v>
      </c>
      <c r="B23" s="173" t="s">
        <v>212</v>
      </c>
      <c r="C23">
        <v>0</v>
      </c>
      <c r="D23">
        <v>0</v>
      </c>
      <c r="E23">
        <v>0</v>
      </c>
      <c r="F23">
        <v>0</v>
      </c>
      <c r="G23">
        <v>0</v>
      </c>
      <c r="H23">
        <v>0</v>
      </c>
      <c r="I23">
        <v>0</v>
      </c>
      <c r="J23">
        <v>0</v>
      </c>
      <c r="K23">
        <v>0</v>
      </c>
      <c r="L23">
        <v>0</v>
      </c>
      <c r="M23">
        <v>0</v>
      </c>
      <c r="N23">
        <v>0</v>
      </c>
      <c r="O23">
        <v>0</v>
      </c>
      <c r="P23">
        <v>0</v>
      </c>
      <c r="Q23">
        <v>0</v>
      </c>
    </row>
    <row r="24" spans="1:17" ht="15" customHeight="1" x14ac:dyDescent="0.15">
      <c r="A24">
        <v>23</v>
      </c>
      <c r="B24" s="173" t="s">
        <v>213</v>
      </c>
      <c r="C24">
        <v>0</v>
      </c>
      <c r="D24">
        <v>0</v>
      </c>
      <c r="E24">
        <v>0</v>
      </c>
      <c r="F24">
        <v>3.567E-4</v>
      </c>
      <c r="G24">
        <v>0</v>
      </c>
      <c r="H24">
        <v>1.5299999999999999E-5</v>
      </c>
      <c r="I24">
        <v>0</v>
      </c>
      <c r="J24">
        <v>0</v>
      </c>
      <c r="K24">
        <v>0</v>
      </c>
      <c r="L24">
        <v>0</v>
      </c>
      <c r="M24">
        <v>0</v>
      </c>
      <c r="N24">
        <v>0</v>
      </c>
      <c r="O24">
        <v>0</v>
      </c>
      <c r="P24">
        <v>0</v>
      </c>
      <c r="Q24">
        <v>3.7199999999999999E-4</v>
      </c>
    </row>
    <row r="25" spans="1:17" ht="15" customHeight="1" x14ac:dyDescent="0.15">
      <c r="A25">
        <v>24</v>
      </c>
      <c r="B25" s="173" t="s">
        <v>214</v>
      </c>
      <c r="C25">
        <v>0</v>
      </c>
      <c r="D25">
        <v>0</v>
      </c>
      <c r="E25">
        <v>0</v>
      </c>
      <c r="F25">
        <v>0</v>
      </c>
      <c r="G25">
        <v>0</v>
      </c>
      <c r="H25">
        <v>0</v>
      </c>
      <c r="I25">
        <v>0</v>
      </c>
      <c r="J25">
        <v>0</v>
      </c>
      <c r="K25">
        <v>0</v>
      </c>
      <c r="L25">
        <v>0</v>
      </c>
      <c r="M25">
        <v>0</v>
      </c>
      <c r="N25">
        <v>0</v>
      </c>
      <c r="O25">
        <v>0</v>
      </c>
      <c r="P25">
        <v>0</v>
      </c>
      <c r="Q25">
        <v>0</v>
      </c>
    </row>
    <row r="26" spans="1:17" ht="15" customHeight="1" x14ac:dyDescent="0.15">
      <c r="A26">
        <v>25</v>
      </c>
      <c r="B26" s="173" t="s">
        <v>215</v>
      </c>
      <c r="C26">
        <v>0</v>
      </c>
      <c r="D26">
        <v>0</v>
      </c>
      <c r="E26">
        <v>2.0900000000000001E-7</v>
      </c>
      <c r="F26">
        <v>2.6E-7</v>
      </c>
      <c r="G26">
        <v>5.0200000000000002E-7</v>
      </c>
      <c r="H26">
        <v>0</v>
      </c>
      <c r="I26">
        <v>0</v>
      </c>
      <c r="J26">
        <v>0</v>
      </c>
      <c r="K26">
        <v>0</v>
      </c>
      <c r="L26">
        <v>0</v>
      </c>
      <c r="M26">
        <v>0</v>
      </c>
      <c r="N26">
        <v>0</v>
      </c>
      <c r="O26">
        <v>0</v>
      </c>
      <c r="P26">
        <v>0</v>
      </c>
      <c r="Q26">
        <v>9.7100000000000011E-7</v>
      </c>
    </row>
    <row r="27" spans="1:17" ht="15" customHeight="1" x14ac:dyDescent="0.15">
      <c r="A27">
        <v>26</v>
      </c>
      <c r="B27" s="173" t="s">
        <v>216</v>
      </c>
      <c r="C27">
        <v>0</v>
      </c>
      <c r="D27">
        <v>1.15E-6</v>
      </c>
      <c r="E27">
        <v>0</v>
      </c>
      <c r="F27">
        <v>0</v>
      </c>
      <c r="G27">
        <v>0</v>
      </c>
      <c r="H27">
        <v>0</v>
      </c>
      <c r="I27">
        <v>0</v>
      </c>
      <c r="J27">
        <v>0</v>
      </c>
      <c r="K27">
        <v>0</v>
      </c>
      <c r="L27">
        <v>0</v>
      </c>
      <c r="M27">
        <v>0</v>
      </c>
      <c r="N27">
        <v>0</v>
      </c>
      <c r="O27">
        <v>0</v>
      </c>
      <c r="P27">
        <v>0</v>
      </c>
      <c r="Q27">
        <v>1.15E-6</v>
      </c>
    </row>
    <row r="28" spans="1:17" ht="15" customHeight="1" x14ac:dyDescent="0.15">
      <c r="A28">
        <v>27</v>
      </c>
      <c r="B28" s="173" t="s">
        <v>217</v>
      </c>
      <c r="C28">
        <v>0</v>
      </c>
      <c r="D28">
        <v>0</v>
      </c>
      <c r="E28">
        <v>0</v>
      </c>
      <c r="F28">
        <v>0</v>
      </c>
      <c r="G28">
        <v>0</v>
      </c>
      <c r="H28">
        <v>0</v>
      </c>
      <c r="I28">
        <v>0</v>
      </c>
      <c r="J28">
        <v>0</v>
      </c>
      <c r="K28">
        <v>0</v>
      </c>
      <c r="L28">
        <v>0</v>
      </c>
      <c r="M28">
        <v>0</v>
      </c>
      <c r="N28">
        <v>0</v>
      </c>
      <c r="O28">
        <v>0</v>
      </c>
      <c r="P28">
        <v>0</v>
      </c>
      <c r="Q28">
        <v>0</v>
      </c>
    </row>
    <row r="29" spans="1:17" ht="15" customHeight="1" x14ac:dyDescent="0.15">
      <c r="A29">
        <v>28</v>
      </c>
      <c r="B29" s="173" t="s">
        <v>218</v>
      </c>
      <c r="C29">
        <v>0</v>
      </c>
      <c r="D29">
        <v>0</v>
      </c>
      <c r="E29">
        <v>0</v>
      </c>
      <c r="F29">
        <v>0</v>
      </c>
      <c r="G29">
        <v>0</v>
      </c>
      <c r="H29">
        <v>0</v>
      </c>
      <c r="I29">
        <v>0</v>
      </c>
      <c r="J29">
        <v>0</v>
      </c>
      <c r="K29">
        <v>0</v>
      </c>
      <c r="L29">
        <v>0</v>
      </c>
      <c r="M29">
        <v>0</v>
      </c>
      <c r="N29">
        <v>0</v>
      </c>
      <c r="O29">
        <v>0</v>
      </c>
      <c r="P29">
        <v>0</v>
      </c>
      <c r="Q29">
        <v>0</v>
      </c>
    </row>
    <row r="30" spans="1:17" ht="15" customHeight="1" x14ac:dyDescent="0.15">
      <c r="A30">
        <v>29</v>
      </c>
      <c r="B30" s="173" t="s">
        <v>219</v>
      </c>
      <c r="C30">
        <v>0</v>
      </c>
      <c r="D30">
        <v>0</v>
      </c>
      <c r="E30">
        <v>0</v>
      </c>
      <c r="F30">
        <v>5.5799999999999997E-8</v>
      </c>
      <c r="G30">
        <v>0</v>
      </c>
      <c r="H30">
        <v>0</v>
      </c>
      <c r="I30">
        <v>0</v>
      </c>
      <c r="J30">
        <v>0</v>
      </c>
      <c r="K30">
        <v>0</v>
      </c>
      <c r="L30">
        <v>0</v>
      </c>
      <c r="M30">
        <v>0</v>
      </c>
      <c r="N30">
        <v>0</v>
      </c>
      <c r="O30">
        <v>0</v>
      </c>
      <c r="P30">
        <v>0</v>
      </c>
      <c r="Q30">
        <v>5.5799999999999997E-8</v>
      </c>
    </row>
    <row r="31" spans="1:17" ht="15" customHeight="1" x14ac:dyDescent="0.15">
      <c r="A31">
        <v>30</v>
      </c>
      <c r="B31" s="173" t="s">
        <v>220</v>
      </c>
      <c r="C31">
        <v>0</v>
      </c>
      <c r="D31">
        <v>0</v>
      </c>
      <c r="E31">
        <v>8.0699999999999996E-5</v>
      </c>
      <c r="F31">
        <v>0</v>
      </c>
      <c r="G31">
        <v>2.65E-5</v>
      </c>
      <c r="H31">
        <v>0</v>
      </c>
      <c r="I31">
        <v>0</v>
      </c>
      <c r="J31">
        <v>0</v>
      </c>
      <c r="K31">
        <v>0</v>
      </c>
      <c r="L31">
        <v>0</v>
      </c>
      <c r="M31">
        <v>0</v>
      </c>
      <c r="N31">
        <v>0</v>
      </c>
      <c r="O31">
        <v>0</v>
      </c>
      <c r="P31">
        <v>0</v>
      </c>
      <c r="Q31">
        <v>1.072E-4</v>
      </c>
    </row>
    <row r="32" spans="1:17" ht="15" customHeight="1" x14ac:dyDescent="0.15">
      <c r="A32">
        <v>31</v>
      </c>
      <c r="B32" s="173" t="s">
        <v>221</v>
      </c>
      <c r="C32">
        <v>0</v>
      </c>
      <c r="D32">
        <v>0</v>
      </c>
      <c r="E32">
        <v>0</v>
      </c>
      <c r="F32">
        <v>0</v>
      </c>
      <c r="G32">
        <v>0</v>
      </c>
      <c r="H32">
        <v>0</v>
      </c>
      <c r="I32">
        <v>0</v>
      </c>
      <c r="J32">
        <v>0</v>
      </c>
      <c r="K32">
        <v>0</v>
      </c>
      <c r="L32">
        <v>0</v>
      </c>
      <c r="M32">
        <v>0</v>
      </c>
      <c r="N32">
        <v>0</v>
      </c>
      <c r="O32">
        <v>0</v>
      </c>
      <c r="P32">
        <v>0</v>
      </c>
      <c r="Q32">
        <v>0</v>
      </c>
    </row>
    <row r="33" spans="1:17" ht="15" customHeight="1" x14ac:dyDescent="0.15">
      <c r="A33">
        <v>32</v>
      </c>
      <c r="B33" s="173" t="s">
        <v>222</v>
      </c>
      <c r="C33">
        <v>0</v>
      </c>
      <c r="D33">
        <v>0</v>
      </c>
      <c r="E33">
        <v>0</v>
      </c>
      <c r="F33">
        <v>0</v>
      </c>
      <c r="G33">
        <v>0</v>
      </c>
      <c r="H33">
        <v>0</v>
      </c>
      <c r="I33">
        <v>0</v>
      </c>
      <c r="J33">
        <v>0</v>
      </c>
      <c r="K33">
        <v>0</v>
      </c>
      <c r="L33">
        <v>0</v>
      </c>
      <c r="M33">
        <v>0</v>
      </c>
      <c r="N33">
        <v>0</v>
      </c>
      <c r="O33">
        <v>0</v>
      </c>
      <c r="P33">
        <v>0</v>
      </c>
      <c r="Q33">
        <v>0</v>
      </c>
    </row>
    <row r="34" spans="1:17" ht="15" customHeight="1" x14ac:dyDescent="0.15">
      <c r="A34">
        <v>33</v>
      </c>
      <c r="B34" s="173" t="s">
        <v>223</v>
      </c>
      <c r="C34">
        <v>0</v>
      </c>
      <c r="D34">
        <v>4.9400000000000001E-6</v>
      </c>
      <c r="E34">
        <v>1.5200000000000001E-3</v>
      </c>
      <c r="F34">
        <v>1.08E-4</v>
      </c>
      <c r="G34">
        <v>1.8799999999999999E-4</v>
      </c>
      <c r="H34">
        <v>0</v>
      </c>
      <c r="I34">
        <v>0</v>
      </c>
      <c r="J34">
        <v>0</v>
      </c>
      <c r="K34">
        <v>0</v>
      </c>
      <c r="L34">
        <v>0</v>
      </c>
      <c r="M34">
        <v>6.9999999999999994E-5</v>
      </c>
      <c r="N34">
        <v>0</v>
      </c>
      <c r="O34">
        <v>0</v>
      </c>
      <c r="P34">
        <v>6.9999999999999999E-4</v>
      </c>
      <c r="Q34">
        <v>2.5909399999999999E-3</v>
      </c>
    </row>
    <row r="35" spans="1:17" ht="15" customHeight="1" x14ac:dyDescent="0.15">
      <c r="A35">
        <v>34</v>
      </c>
      <c r="B35" s="173" t="s">
        <v>224</v>
      </c>
      <c r="C35">
        <v>0</v>
      </c>
      <c r="D35">
        <v>0</v>
      </c>
      <c r="E35">
        <v>0</v>
      </c>
      <c r="F35">
        <v>0</v>
      </c>
      <c r="G35">
        <v>0</v>
      </c>
      <c r="H35">
        <v>0</v>
      </c>
      <c r="I35">
        <v>0</v>
      </c>
      <c r="J35">
        <v>0</v>
      </c>
      <c r="K35">
        <v>0</v>
      </c>
      <c r="L35">
        <v>0</v>
      </c>
      <c r="M35">
        <v>0</v>
      </c>
      <c r="N35">
        <v>0</v>
      </c>
      <c r="O35">
        <v>0</v>
      </c>
      <c r="P35">
        <v>0</v>
      </c>
      <c r="Q35">
        <v>0</v>
      </c>
    </row>
    <row r="36" spans="1:17" ht="15" customHeight="1" x14ac:dyDescent="0.15">
      <c r="A36">
        <v>35</v>
      </c>
      <c r="B36" s="173" t="s">
        <v>225</v>
      </c>
      <c r="C36">
        <v>0</v>
      </c>
      <c r="D36">
        <v>0</v>
      </c>
      <c r="E36">
        <v>0</v>
      </c>
      <c r="F36">
        <v>0</v>
      </c>
      <c r="G36">
        <v>0</v>
      </c>
      <c r="H36">
        <v>0</v>
      </c>
      <c r="I36">
        <v>0</v>
      </c>
      <c r="J36">
        <v>0</v>
      </c>
      <c r="K36">
        <v>0</v>
      </c>
      <c r="L36">
        <v>0</v>
      </c>
      <c r="M36">
        <v>0</v>
      </c>
      <c r="N36">
        <v>0</v>
      </c>
      <c r="O36">
        <v>0</v>
      </c>
      <c r="P36">
        <v>0</v>
      </c>
      <c r="Q36">
        <v>0</v>
      </c>
    </row>
    <row r="37" spans="1:17" ht="15" customHeight="1" x14ac:dyDescent="0.15">
      <c r="A37">
        <v>36</v>
      </c>
      <c r="B37" s="173" t="s">
        <v>226</v>
      </c>
      <c r="C37">
        <v>0</v>
      </c>
      <c r="D37">
        <v>0</v>
      </c>
      <c r="E37">
        <v>0</v>
      </c>
      <c r="F37">
        <v>0</v>
      </c>
      <c r="G37">
        <v>0</v>
      </c>
      <c r="H37">
        <v>0</v>
      </c>
      <c r="I37">
        <v>0</v>
      </c>
      <c r="J37">
        <v>0</v>
      </c>
      <c r="K37">
        <v>0</v>
      </c>
      <c r="L37">
        <v>0</v>
      </c>
      <c r="M37">
        <v>0</v>
      </c>
      <c r="N37">
        <v>0</v>
      </c>
      <c r="O37">
        <v>0</v>
      </c>
      <c r="P37">
        <v>0</v>
      </c>
      <c r="Q37">
        <v>0</v>
      </c>
    </row>
    <row r="38" spans="1:17" ht="15" customHeight="1" x14ac:dyDescent="0.15">
      <c r="A38">
        <v>37</v>
      </c>
      <c r="B38" s="173" t="s">
        <v>227</v>
      </c>
      <c r="C38">
        <v>0</v>
      </c>
      <c r="D38">
        <v>0</v>
      </c>
      <c r="E38">
        <v>0</v>
      </c>
      <c r="F38">
        <v>0</v>
      </c>
      <c r="G38">
        <v>0</v>
      </c>
      <c r="H38">
        <v>0</v>
      </c>
      <c r="I38">
        <v>0</v>
      </c>
      <c r="J38">
        <v>0</v>
      </c>
      <c r="K38">
        <v>0</v>
      </c>
      <c r="L38">
        <v>0</v>
      </c>
      <c r="M38">
        <v>0</v>
      </c>
      <c r="N38">
        <v>0</v>
      </c>
      <c r="O38">
        <v>0</v>
      </c>
      <c r="P38">
        <v>0</v>
      </c>
      <c r="Q38">
        <v>0</v>
      </c>
    </row>
    <row r="39" spans="1:17" ht="15" customHeight="1" x14ac:dyDescent="0.15">
      <c r="A39">
        <v>38</v>
      </c>
      <c r="B39" s="173" t="s">
        <v>228</v>
      </c>
      <c r="C39">
        <v>0</v>
      </c>
      <c r="D39">
        <v>0</v>
      </c>
      <c r="E39">
        <v>0</v>
      </c>
      <c r="F39">
        <v>0</v>
      </c>
      <c r="G39">
        <v>0</v>
      </c>
      <c r="H39">
        <v>0</v>
      </c>
      <c r="I39">
        <v>0</v>
      </c>
      <c r="J39">
        <v>0</v>
      </c>
      <c r="K39">
        <v>0</v>
      </c>
      <c r="L39">
        <v>0</v>
      </c>
      <c r="M39">
        <v>0</v>
      </c>
      <c r="N39">
        <v>0</v>
      </c>
      <c r="O39">
        <v>0</v>
      </c>
      <c r="P39">
        <v>0</v>
      </c>
      <c r="Q39">
        <v>0</v>
      </c>
    </row>
    <row r="40" spans="1:17" ht="15" customHeight="1" x14ac:dyDescent="0.15">
      <c r="A40">
        <v>39</v>
      </c>
      <c r="B40" s="173" t="s">
        <v>229</v>
      </c>
      <c r="C40">
        <v>0</v>
      </c>
      <c r="D40">
        <v>0</v>
      </c>
      <c r="E40">
        <v>0</v>
      </c>
      <c r="F40">
        <v>0</v>
      </c>
      <c r="G40">
        <v>0</v>
      </c>
      <c r="H40">
        <v>0</v>
      </c>
      <c r="I40">
        <v>0</v>
      </c>
      <c r="J40">
        <v>0</v>
      </c>
      <c r="K40">
        <v>0</v>
      </c>
      <c r="L40">
        <v>0</v>
      </c>
      <c r="M40">
        <v>0</v>
      </c>
      <c r="N40">
        <v>0</v>
      </c>
      <c r="O40">
        <v>0</v>
      </c>
      <c r="P40">
        <v>0</v>
      </c>
      <c r="Q40">
        <v>0</v>
      </c>
    </row>
    <row r="41" spans="1:17" ht="15" customHeight="1" x14ac:dyDescent="0.15">
      <c r="A41">
        <v>40</v>
      </c>
      <c r="B41" s="173" t="s">
        <v>230</v>
      </c>
      <c r="C41">
        <v>0</v>
      </c>
      <c r="D41">
        <v>0</v>
      </c>
      <c r="E41">
        <v>0</v>
      </c>
      <c r="F41">
        <v>0</v>
      </c>
      <c r="G41">
        <v>0</v>
      </c>
      <c r="H41">
        <v>0</v>
      </c>
      <c r="I41">
        <v>0</v>
      </c>
      <c r="J41">
        <v>0</v>
      </c>
      <c r="K41">
        <v>0</v>
      </c>
      <c r="L41">
        <v>0</v>
      </c>
      <c r="M41">
        <v>0</v>
      </c>
      <c r="N41">
        <v>0</v>
      </c>
      <c r="O41">
        <v>0</v>
      </c>
      <c r="P41">
        <v>0</v>
      </c>
      <c r="Q41">
        <v>0</v>
      </c>
    </row>
    <row r="42" spans="1:17" ht="15" customHeight="1" x14ac:dyDescent="0.15">
      <c r="A42">
        <v>41</v>
      </c>
      <c r="B42" s="173" t="s">
        <v>231</v>
      </c>
      <c r="C42">
        <v>0</v>
      </c>
      <c r="D42">
        <v>0</v>
      </c>
      <c r="E42">
        <v>0</v>
      </c>
      <c r="F42">
        <v>0</v>
      </c>
      <c r="G42">
        <v>0</v>
      </c>
      <c r="H42">
        <v>0</v>
      </c>
      <c r="I42">
        <v>0</v>
      </c>
      <c r="J42">
        <v>0</v>
      </c>
      <c r="K42">
        <v>0</v>
      </c>
      <c r="L42">
        <v>0</v>
      </c>
      <c r="M42">
        <v>0</v>
      </c>
      <c r="N42">
        <v>0</v>
      </c>
      <c r="O42">
        <v>0</v>
      </c>
      <c r="P42">
        <v>0</v>
      </c>
      <c r="Q42">
        <v>0</v>
      </c>
    </row>
    <row r="43" spans="1:17" ht="15" customHeight="1" x14ac:dyDescent="0.15">
      <c r="A43">
        <v>42</v>
      </c>
      <c r="B43" s="173" t="s">
        <v>232</v>
      </c>
      <c r="C43">
        <v>0</v>
      </c>
      <c r="D43">
        <v>0</v>
      </c>
      <c r="E43">
        <v>0</v>
      </c>
      <c r="F43">
        <v>0</v>
      </c>
      <c r="G43">
        <v>0</v>
      </c>
      <c r="H43">
        <v>0</v>
      </c>
      <c r="I43">
        <v>0</v>
      </c>
      <c r="J43">
        <v>0</v>
      </c>
      <c r="K43">
        <v>0</v>
      </c>
      <c r="L43">
        <v>0</v>
      </c>
      <c r="M43">
        <v>0</v>
      </c>
      <c r="N43">
        <v>0</v>
      </c>
      <c r="O43">
        <v>0</v>
      </c>
      <c r="P43">
        <v>0</v>
      </c>
      <c r="Q43">
        <v>0</v>
      </c>
    </row>
    <row r="44" spans="1:17" ht="15" customHeight="1" x14ac:dyDescent="0.15">
      <c r="A44">
        <v>43</v>
      </c>
      <c r="B44" s="173" t="s">
        <v>233</v>
      </c>
      <c r="C44">
        <v>0</v>
      </c>
      <c r="D44">
        <v>0</v>
      </c>
      <c r="E44">
        <v>0</v>
      </c>
      <c r="F44">
        <v>0</v>
      </c>
      <c r="G44">
        <v>0</v>
      </c>
      <c r="H44">
        <v>0</v>
      </c>
      <c r="I44">
        <v>0</v>
      </c>
      <c r="J44">
        <v>0</v>
      </c>
      <c r="K44">
        <v>0</v>
      </c>
      <c r="L44">
        <v>0</v>
      </c>
      <c r="M44">
        <v>0</v>
      </c>
      <c r="N44">
        <v>0</v>
      </c>
      <c r="O44">
        <v>0</v>
      </c>
      <c r="P44">
        <v>0</v>
      </c>
      <c r="Q44">
        <v>0</v>
      </c>
    </row>
    <row r="45" spans="1:17" ht="15" customHeight="1" x14ac:dyDescent="0.15">
      <c r="A45">
        <v>44</v>
      </c>
      <c r="B45" s="173" t="s">
        <v>234</v>
      </c>
      <c r="C45">
        <v>0</v>
      </c>
      <c r="D45">
        <v>0</v>
      </c>
      <c r="E45">
        <v>0</v>
      </c>
      <c r="F45">
        <v>0</v>
      </c>
      <c r="G45">
        <v>0</v>
      </c>
      <c r="H45">
        <v>0</v>
      </c>
      <c r="I45">
        <v>0</v>
      </c>
      <c r="J45">
        <v>0</v>
      </c>
      <c r="K45">
        <v>0</v>
      </c>
      <c r="L45">
        <v>0</v>
      </c>
      <c r="M45">
        <v>0</v>
      </c>
      <c r="N45">
        <v>0</v>
      </c>
      <c r="O45">
        <v>0</v>
      </c>
      <c r="P45">
        <v>0</v>
      </c>
      <c r="Q45">
        <v>0</v>
      </c>
    </row>
    <row r="46" spans="1:17" ht="15" customHeight="1" x14ac:dyDescent="0.15">
      <c r="A46">
        <v>45</v>
      </c>
      <c r="B46" s="173" t="s">
        <v>235</v>
      </c>
      <c r="C46">
        <v>0</v>
      </c>
      <c r="D46">
        <v>0</v>
      </c>
      <c r="E46">
        <v>0</v>
      </c>
      <c r="F46">
        <v>0</v>
      </c>
      <c r="G46">
        <v>0</v>
      </c>
      <c r="H46">
        <v>0</v>
      </c>
      <c r="I46">
        <v>1.5900000000000001E-2</v>
      </c>
      <c r="J46">
        <v>0</v>
      </c>
      <c r="K46">
        <v>0</v>
      </c>
      <c r="L46">
        <v>0</v>
      </c>
      <c r="M46">
        <v>0</v>
      </c>
      <c r="N46">
        <v>0</v>
      </c>
      <c r="O46">
        <v>0</v>
      </c>
      <c r="P46">
        <v>4.8999999999999998E-4</v>
      </c>
      <c r="Q46">
        <v>1.6390000000000002E-2</v>
      </c>
    </row>
    <row r="47" spans="1:17" ht="15" customHeight="1" x14ac:dyDescent="0.15">
      <c r="A47">
        <v>46</v>
      </c>
      <c r="B47" s="173" t="s">
        <v>236</v>
      </c>
      <c r="C47">
        <v>0</v>
      </c>
      <c r="D47">
        <v>5.5799999999999997E-8</v>
      </c>
      <c r="E47">
        <v>0</v>
      </c>
      <c r="F47">
        <v>0</v>
      </c>
      <c r="G47">
        <v>0</v>
      </c>
      <c r="H47">
        <v>0</v>
      </c>
      <c r="I47">
        <v>0</v>
      </c>
      <c r="J47">
        <v>0</v>
      </c>
      <c r="K47">
        <v>0</v>
      </c>
      <c r="L47">
        <v>1.1000000000000001E-7</v>
      </c>
      <c r="M47">
        <v>0</v>
      </c>
      <c r="N47">
        <v>0</v>
      </c>
      <c r="O47">
        <v>0</v>
      </c>
      <c r="P47">
        <v>0</v>
      </c>
      <c r="Q47">
        <v>1.6580000000000002E-7</v>
      </c>
    </row>
    <row r="48" spans="1:17" ht="15" customHeight="1" x14ac:dyDescent="0.15">
      <c r="A48">
        <v>47</v>
      </c>
      <c r="B48" s="173" t="s">
        <v>237</v>
      </c>
      <c r="C48">
        <v>0</v>
      </c>
      <c r="D48">
        <v>0</v>
      </c>
      <c r="E48">
        <v>0</v>
      </c>
      <c r="F48">
        <v>0</v>
      </c>
      <c r="G48">
        <v>0</v>
      </c>
      <c r="H48">
        <v>0</v>
      </c>
      <c r="I48">
        <v>0</v>
      </c>
      <c r="J48">
        <v>0</v>
      </c>
      <c r="K48">
        <v>0</v>
      </c>
      <c r="L48">
        <v>0</v>
      </c>
      <c r="M48">
        <v>0</v>
      </c>
      <c r="N48">
        <v>0</v>
      </c>
      <c r="O48">
        <v>0</v>
      </c>
      <c r="P48">
        <v>0</v>
      </c>
      <c r="Q48">
        <v>0</v>
      </c>
    </row>
    <row r="49" spans="1:17" ht="15" customHeight="1" x14ac:dyDescent="0.15">
      <c r="A49">
        <v>48</v>
      </c>
      <c r="B49" s="173" t="s">
        <v>238</v>
      </c>
      <c r="C49">
        <v>5.1200000000000004E-3</v>
      </c>
      <c r="D49">
        <v>0</v>
      </c>
      <c r="E49">
        <v>0</v>
      </c>
      <c r="F49">
        <v>0</v>
      </c>
      <c r="G49">
        <v>0</v>
      </c>
      <c r="H49">
        <v>0</v>
      </c>
      <c r="I49">
        <v>8.9999999999999993E-3</v>
      </c>
      <c r="J49">
        <v>0</v>
      </c>
      <c r="K49">
        <v>0</v>
      </c>
      <c r="L49">
        <v>0</v>
      </c>
      <c r="M49">
        <v>0</v>
      </c>
      <c r="N49">
        <v>0</v>
      </c>
      <c r="O49">
        <v>1.4799999999999999E-4</v>
      </c>
      <c r="P49">
        <v>0</v>
      </c>
      <c r="Q49">
        <v>1.4268000000000001E-2</v>
      </c>
    </row>
    <row r="50" spans="1:17" x14ac:dyDescent="0.15">
      <c r="A50">
        <v>49</v>
      </c>
      <c r="B50" s="173" t="s">
        <v>239</v>
      </c>
      <c r="C50">
        <v>0</v>
      </c>
      <c r="D50">
        <v>0</v>
      </c>
      <c r="E50">
        <v>0</v>
      </c>
      <c r="F50">
        <v>0</v>
      </c>
      <c r="G50">
        <v>0</v>
      </c>
      <c r="H50">
        <v>0</v>
      </c>
      <c r="I50">
        <v>0</v>
      </c>
      <c r="J50">
        <v>0</v>
      </c>
      <c r="K50">
        <v>0</v>
      </c>
      <c r="L50">
        <v>0</v>
      </c>
      <c r="M50">
        <v>0</v>
      </c>
      <c r="N50">
        <v>0</v>
      </c>
      <c r="O50">
        <v>0</v>
      </c>
      <c r="P50">
        <v>0</v>
      </c>
      <c r="Q50">
        <v>0</v>
      </c>
    </row>
    <row r="51" spans="1:17" x14ac:dyDescent="0.15">
      <c r="A51">
        <v>50</v>
      </c>
      <c r="B51" s="173" t="s">
        <v>240</v>
      </c>
      <c r="C51">
        <v>0</v>
      </c>
      <c r="D51">
        <v>0</v>
      </c>
      <c r="E51">
        <v>0</v>
      </c>
      <c r="F51">
        <v>0</v>
      </c>
      <c r="G51">
        <v>0</v>
      </c>
      <c r="H51">
        <v>0</v>
      </c>
      <c r="I51">
        <v>0</v>
      </c>
      <c r="J51">
        <v>0</v>
      </c>
      <c r="K51">
        <v>0</v>
      </c>
      <c r="L51">
        <v>0</v>
      </c>
      <c r="M51">
        <v>0</v>
      </c>
      <c r="N51">
        <v>0</v>
      </c>
      <c r="O51">
        <v>0</v>
      </c>
      <c r="P51">
        <v>0</v>
      </c>
      <c r="Q51">
        <v>0</v>
      </c>
    </row>
    <row r="52" spans="1:17" x14ac:dyDescent="0.15">
      <c r="A52">
        <v>51</v>
      </c>
      <c r="B52" s="173" t="s">
        <v>241</v>
      </c>
      <c r="C52">
        <v>0.02</v>
      </c>
      <c r="D52">
        <v>0</v>
      </c>
      <c r="E52">
        <v>0</v>
      </c>
      <c r="F52">
        <v>0</v>
      </c>
      <c r="G52">
        <v>0</v>
      </c>
      <c r="H52">
        <v>0</v>
      </c>
      <c r="I52">
        <v>0</v>
      </c>
      <c r="J52">
        <v>0</v>
      </c>
      <c r="K52">
        <v>0</v>
      </c>
      <c r="L52">
        <v>0</v>
      </c>
      <c r="M52">
        <v>0</v>
      </c>
      <c r="N52">
        <v>0</v>
      </c>
      <c r="O52">
        <v>0</v>
      </c>
      <c r="P52">
        <v>0</v>
      </c>
      <c r="Q52">
        <v>0.02</v>
      </c>
    </row>
    <row r="53" spans="1:17" x14ac:dyDescent="0.15">
      <c r="A53">
        <v>52</v>
      </c>
      <c r="B53" s="173" t="s">
        <v>242</v>
      </c>
      <c r="C53">
        <v>0.42799999999999999</v>
      </c>
      <c r="D53">
        <v>0</v>
      </c>
      <c r="E53">
        <v>0</v>
      </c>
      <c r="F53">
        <v>0</v>
      </c>
      <c r="G53">
        <v>0</v>
      </c>
      <c r="H53">
        <v>0</v>
      </c>
      <c r="I53">
        <v>0</v>
      </c>
      <c r="J53">
        <v>0</v>
      </c>
      <c r="K53">
        <v>9.4500000000000001E-3</v>
      </c>
      <c r="L53">
        <v>0</v>
      </c>
      <c r="M53">
        <v>0</v>
      </c>
      <c r="N53">
        <v>0</v>
      </c>
      <c r="O53">
        <v>3.47E-3</v>
      </c>
      <c r="P53">
        <v>0</v>
      </c>
      <c r="Q53">
        <v>0.44091999999999998</v>
      </c>
    </row>
    <row r="54" spans="1:17" x14ac:dyDescent="0.15">
      <c r="A54">
        <v>53</v>
      </c>
      <c r="B54" s="173" t="s">
        <v>243</v>
      </c>
      <c r="C54">
        <v>0</v>
      </c>
      <c r="D54">
        <v>0</v>
      </c>
      <c r="E54">
        <v>0</v>
      </c>
      <c r="F54">
        <v>0</v>
      </c>
      <c r="G54">
        <v>0</v>
      </c>
      <c r="H54">
        <v>0</v>
      </c>
      <c r="I54">
        <v>0</v>
      </c>
      <c r="J54">
        <v>0</v>
      </c>
      <c r="K54">
        <v>0</v>
      </c>
      <c r="L54">
        <v>0</v>
      </c>
      <c r="M54">
        <v>0</v>
      </c>
      <c r="N54">
        <v>0</v>
      </c>
      <c r="O54">
        <v>0</v>
      </c>
      <c r="P54">
        <v>0</v>
      </c>
      <c r="Q54">
        <v>0</v>
      </c>
    </row>
    <row r="55" spans="1:17" x14ac:dyDescent="0.15">
      <c r="A55">
        <v>54</v>
      </c>
      <c r="B55" s="173" t="s">
        <v>244</v>
      </c>
      <c r="C55">
        <v>0</v>
      </c>
      <c r="D55">
        <v>0</v>
      </c>
      <c r="E55">
        <v>0</v>
      </c>
      <c r="F55">
        <v>0</v>
      </c>
      <c r="G55">
        <v>0</v>
      </c>
      <c r="H55">
        <v>0</v>
      </c>
      <c r="I55">
        <v>0</v>
      </c>
      <c r="J55">
        <v>0</v>
      </c>
      <c r="K55">
        <v>0</v>
      </c>
      <c r="L55">
        <v>0</v>
      </c>
      <c r="M55">
        <v>0</v>
      </c>
      <c r="N55">
        <v>0</v>
      </c>
      <c r="O55">
        <v>0</v>
      </c>
      <c r="P55">
        <v>0</v>
      </c>
      <c r="Q55">
        <v>0</v>
      </c>
    </row>
    <row r="56" spans="1:17" x14ac:dyDescent="0.15">
      <c r="A56">
        <v>55</v>
      </c>
      <c r="B56" s="173" t="s">
        <v>245</v>
      </c>
      <c r="C56">
        <v>0</v>
      </c>
      <c r="D56">
        <v>0</v>
      </c>
      <c r="E56">
        <v>0</v>
      </c>
      <c r="F56">
        <v>0</v>
      </c>
      <c r="G56">
        <v>0</v>
      </c>
      <c r="H56">
        <v>0</v>
      </c>
      <c r="I56">
        <v>0</v>
      </c>
      <c r="J56">
        <v>0</v>
      </c>
      <c r="K56">
        <v>0</v>
      </c>
      <c r="L56">
        <v>0</v>
      </c>
      <c r="M56">
        <v>0</v>
      </c>
      <c r="N56">
        <v>0</v>
      </c>
      <c r="O56">
        <v>0</v>
      </c>
      <c r="P56">
        <v>0</v>
      </c>
      <c r="Q56">
        <v>0</v>
      </c>
    </row>
    <row r="57" spans="1:17" x14ac:dyDescent="0.15">
      <c r="A57">
        <v>56</v>
      </c>
      <c r="B57" s="173" t="s">
        <v>246</v>
      </c>
      <c r="C57">
        <v>0</v>
      </c>
      <c r="D57">
        <v>0</v>
      </c>
      <c r="E57">
        <v>0</v>
      </c>
      <c r="F57">
        <v>0</v>
      </c>
      <c r="G57">
        <v>0</v>
      </c>
      <c r="H57">
        <v>0</v>
      </c>
      <c r="I57">
        <v>0</v>
      </c>
      <c r="J57">
        <v>0</v>
      </c>
      <c r="K57">
        <v>0</v>
      </c>
      <c r="L57">
        <v>0</v>
      </c>
      <c r="M57">
        <v>0</v>
      </c>
      <c r="N57">
        <v>0</v>
      </c>
      <c r="O57">
        <v>0</v>
      </c>
      <c r="P57">
        <v>0</v>
      </c>
      <c r="Q57">
        <v>0</v>
      </c>
    </row>
    <row r="58" spans="1:17" x14ac:dyDescent="0.15">
      <c r="A58">
        <v>57</v>
      </c>
      <c r="B58" s="173" t="s">
        <v>247</v>
      </c>
      <c r="C58">
        <v>0</v>
      </c>
      <c r="D58">
        <v>0</v>
      </c>
      <c r="E58">
        <v>0</v>
      </c>
      <c r="F58">
        <v>0</v>
      </c>
      <c r="G58">
        <v>0</v>
      </c>
      <c r="H58">
        <v>0</v>
      </c>
      <c r="I58">
        <v>0</v>
      </c>
      <c r="J58">
        <v>3.3500000000000001E-3</v>
      </c>
      <c r="K58">
        <v>0</v>
      </c>
      <c r="L58">
        <v>0</v>
      </c>
      <c r="M58">
        <v>0</v>
      </c>
      <c r="N58">
        <v>0</v>
      </c>
      <c r="O58">
        <v>0</v>
      </c>
      <c r="P58">
        <v>0</v>
      </c>
      <c r="Q58">
        <v>3.3500000000000001E-3</v>
      </c>
    </row>
    <row r="59" spans="1:17" x14ac:dyDescent="0.15">
      <c r="A59">
        <v>58</v>
      </c>
      <c r="B59" s="173" t="s">
        <v>248</v>
      </c>
      <c r="C59">
        <v>0</v>
      </c>
      <c r="D59">
        <v>0</v>
      </c>
      <c r="E59">
        <v>0</v>
      </c>
      <c r="F59">
        <v>0</v>
      </c>
      <c r="G59">
        <v>0</v>
      </c>
      <c r="H59">
        <v>0</v>
      </c>
      <c r="I59">
        <v>0</v>
      </c>
      <c r="J59">
        <v>0</v>
      </c>
      <c r="K59">
        <v>0</v>
      </c>
      <c r="L59">
        <v>0</v>
      </c>
      <c r="M59">
        <v>0</v>
      </c>
      <c r="N59">
        <v>0</v>
      </c>
      <c r="O59">
        <v>0</v>
      </c>
      <c r="P59">
        <v>0</v>
      </c>
      <c r="Q59">
        <v>0</v>
      </c>
    </row>
    <row r="60" spans="1:17" x14ac:dyDescent="0.15">
      <c r="A60">
        <v>59</v>
      </c>
      <c r="B60" s="173" t="s">
        <v>249</v>
      </c>
      <c r="C60">
        <v>0</v>
      </c>
      <c r="D60">
        <v>0</v>
      </c>
      <c r="E60">
        <v>0</v>
      </c>
      <c r="F60">
        <v>0</v>
      </c>
      <c r="G60">
        <v>0</v>
      </c>
      <c r="H60">
        <v>0</v>
      </c>
      <c r="I60">
        <v>0</v>
      </c>
      <c r="J60">
        <v>0</v>
      </c>
      <c r="K60">
        <v>0</v>
      </c>
      <c r="L60">
        <v>0</v>
      </c>
      <c r="M60">
        <v>0</v>
      </c>
      <c r="N60">
        <v>0</v>
      </c>
      <c r="O60">
        <v>0</v>
      </c>
      <c r="P60">
        <v>0</v>
      </c>
      <c r="Q60">
        <v>0</v>
      </c>
    </row>
    <row r="61" spans="1:17" x14ac:dyDescent="0.15">
      <c r="A61">
        <v>60</v>
      </c>
      <c r="B61" s="173" t="s">
        <v>250</v>
      </c>
      <c r="C61">
        <v>0</v>
      </c>
      <c r="D61">
        <v>0</v>
      </c>
      <c r="E61">
        <v>0</v>
      </c>
      <c r="F61">
        <v>0</v>
      </c>
      <c r="G61">
        <v>0</v>
      </c>
      <c r="H61">
        <v>0</v>
      </c>
      <c r="I61">
        <v>0</v>
      </c>
      <c r="J61">
        <v>0</v>
      </c>
      <c r="K61">
        <v>0</v>
      </c>
      <c r="L61">
        <v>0</v>
      </c>
      <c r="M61">
        <v>0</v>
      </c>
      <c r="N61">
        <v>0</v>
      </c>
      <c r="O61">
        <v>0</v>
      </c>
      <c r="P61">
        <v>0</v>
      </c>
      <c r="Q61">
        <v>0</v>
      </c>
    </row>
    <row r="62" spans="1:17" x14ac:dyDescent="0.15">
      <c r="A62">
        <v>61</v>
      </c>
      <c r="B62" s="173" t="s">
        <v>251</v>
      </c>
      <c r="C62">
        <v>0</v>
      </c>
      <c r="D62">
        <v>0</v>
      </c>
      <c r="E62">
        <v>0</v>
      </c>
      <c r="F62">
        <v>0</v>
      </c>
      <c r="G62">
        <v>0</v>
      </c>
      <c r="H62">
        <v>0</v>
      </c>
      <c r="I62">
        <v>0</v>
      </c>
      <c r="J62">
        <v>0</v>
      </c>
      <c r="K62">
        <v>0</v>
      </c>
      <c r="L62">
        <v>0</v>
      </c>
      <c r="M62">
        <v>0</v>
      </c>
      <c r="N62">
        <v>0</v>
      </c>
      <c r="O62">
        <v>0</v>
      </c>
      <c r="P62">
        <v>0</v>
      </c>
      <c r="Q62">
        <v>0</v>
      </c>
    </row>
    <row r="63" spans="1:17" x14ac:dyDescent="0.15">
      <c r="A63">
        <v>62</v>
      </c>
      <c r="B63" s="173" t="s">
        <v>252</v>
      </c>
      <c r="C63">
        <v>0</v>
      </c>
      <c r="D63">
        <v>0</v>
      </c>
      <c r="E63">
        <v>0</v>
      </c>
      <c r="F63">
        <v>0</v>
      </c>
      <c r="G63">
        <v>0</v>
      </c>
      <c r="H63">
        <v>0</v>
      </c>
      <c r="I63">
        <v>0</v>
      </c>
      <c r="J63">
        <v>0</v>
      </c>
      <c r="K63">
        <v>0</v>
      </c>
      <c r="L63">
        <v>0</v>
      </c>
      <c r="M63">
        <v>0</v>
      </c>
      <c r="N63">
        <v>0</v>
      </c>
      <c r="O63">
        <v>0</v>
      </c>
      <c r="P63">
        <v>0</v>
      </c>
      <c r="Q63">
        <v>0</v>
      </c>
    </row>
    <row r="64" spans="1:17" x14ac:dyDescent="0.15">
      <c r="A64">
        <v>63</v>
      </c>
      <c r="B64" s="173" t="s">
        <v>253</v>
      </c>
      <c r="C64">
        <v>0</v>
      </c>
      <c r="D64">
        <v>0</v>
      </c>
      <c r="E64">
        <v>0</v>
      </c>
      <c r="F64">
        <v>0</v>
      </c>
      <c r="G64">
        <v>0</v>
      </c>
      <c r="H64">
        <v>0</v>
      </c>
      <c r="I64">
        <v>0</v>
      </c>
      <c r="J64">
        <v>0</v>
      </c>
      <c r="K64">
        <v>0</v>
      </c>
      <c r="L64">
        <v>0</v>
      </c>
      <c r="M64">
        <v>0</v>
      </c>
      <c r="N64">
        <v>0</v>
      </c>
      <c r="O64">
        <v>0</v>
      </c>
      <c r="P64">
        <v>0</v>
      </c>
      <c r="Q64">
        <v>0</v>
      </c>
    </row>
    <row r="65" spans="1:17" x14ac:dyDescent="0.15">
      <c r="A65">
        <v>64</v>
      </c>
      <c r="B65" s="173" t="s">
        <v>254</v>
      </c>
      <c r="C65">
        <v>0</v>
      </c>
      <c r="D65">
        <v>0</v>
      </c>
      <c r="E65">
        <v>0</v>
      </c>
      <c r="F65">
        <v>0</v>
      </c>
      <c r="G65">
        <v>0</v>
      </c>
      <c r="H65">
        <v>0</v>
      </c>
      <c r="I65">
        <v>0</v>
      </c>
      <c r="J65">
        <v>0</v>
      </c>
      <c r="K65">
        <v>0</v>
      </c>
      <c r="L65">
        <v>0</v>
      </c>
      <c r="M65">
        <v>0</v>
      </c>
      <c r="N65">
        <v>0</v>
      </c>
      <c r="O65">
        <v>0</v>
      </c>
      <c r="P65">
        <v>0</v>
      </c>
      <c r="Q65">
        <v>0</v>
      </c>
    </row>
    <row r="66" spans="1:17" x14ac:dyDescent="0.15">
      <c r="A66">
        <v>65</v>
      </c>
      <c r="B66" s="173" t="s">
        <v>255</v>
      </c>
      <c r="C66">
        <v>0</v>
      </c>
      <c r="D66">
        <v>0</v>
      </c>
      <c r="E66">
        <v>0</v>
      </c>
      <c r="F66">
        <v>0</v>
      </c>
      <c r="G66">
        <v>0</v>
      </c>
      <c r="H66">
        <v>0</v>
      </c>
      <c r="I66">
        <v>0</v>
      </c>
      <c r="J66">
        <v>0</v>
      </c>
      <c r="K66">
        <v>0</v>
      </c>
      <c r="L66">
        <v>0</v>
      </c>
      <c r="M66">
        <v>0</v>
      </c>
      <c r="N66">
        <v>0</v>
      </c>
      <c r="O66">
        <v>0</v>
      </c>
      <c r="P66">
        <v>0</v>
      </c>
      <c r="Q66">
        <v>0</v>
      </c>
    </row>
    <row r="67" spans="1:17" x14ac:dyDescent="0.15">
      <c r="A67">
        <v>66</v>
      </c>
      <c r="B67" s="173" t="s">
        <v>256</v>
      </c>
      <c r="C67">
        <v>0</v>
      </c>
      <c r="D67">
        <v>0</v>
      </c>
      <c r="E67">
        <v>0</v>
      </c>
      <c r="F67">
        <v>0</v>
      </c>
      <c r="G67">
        <v>0</v>
      </c>
      <c r="H67">
        <v>0</v>
      </c>
      <c r="I67">
        <v>0</v>
      </c>
      <c r="J67">
        <v>0</v>
      </c>
      <c r="K67">
        <v>0</v>
      </c>
      <c r="L67">
        <v>0</v>
      </c>
      <c r="M67">
        <v>0</v>
      </c>
      <c r="N67">
        <v>0</v>
      </c>
      <c r="O67">
        <v>0</v>
      </c>
      <c r="P67">
        <v>0</v>
      </c>
      <c r="Q67">
        <v>0</v>
      </c>
    </row>
    <row r="68" spans="1:17" x14ac:dyDescent="0.15">
      <c r="A68">
        <v>67</v>
      </c>
      <c r="B68" s="173" t="s">
        <v>257</v>
      </c>
      <c r="C68">
        <v>0</v>
      </c>
      <c r="D68">
        <v>0</v>
      </c>
      <c r="E68">
        <v>0</v>
      </c>
      <c r="F68">
        <v>0</v>
      </c>
      <c r="G68">
        <v>0</v>
      </c>
      <c r="H68">
        <v>0</v>
      </c>
      <c r="I68">
        <v>0</v>
      </c>
      <c r="J68">
        <v>0</v>
      </c>
      <c r="K68">
        <v>0</v>
      </c>
      <c r="L68">
        <v>0</v>
      </c>
      <c r="M68">
        <v>0</v>
      </c>
      <c r="N68">
        <v>0</v>
      </c>
      <c r="O68">
        <v>0</v>
      </c>
      <c r="P68">
        <v>0</v>
      </c>
      <c r="Q68">
        <v>0</v>
      </c>
    </row>
    <row r="69" spans="1:17" x14ac:dyDescent="0.15">
      <c r="A69">
        <v>68</v>
      </c>
      <c r="B69" s="173" t="s">
        <v>258</v>
      </c>
      <c r="C69">
        <v>0</v>
      </c>
      <c r="D69">
        <v>0</v>
      </c>
      <c r="E69">
        <v>0</v>
      </c>
      <c r="F69">
        <v>0</v>
      </c>
      <c r="G69">
        <v>0</v>
      </c>
      <c r="H69">
        <v>0</v>
      </c>
      <c r="I69">
        <v>0</v>
      </c>
      <c r="J69">
        <v>0</v>
      </c>
      <c r="K69">
        <v>0</v>
      </c>
      <c r="L69">
        <v>0</v>
      </c>
      <c r="M69">
        <v>0</v>
      </c>
      <c r="N69">
        <v>0</v>
      </c>
      <c r="O69">
        <v>0</v>
      </c>
      <c r="P69">
        <v>0</v>
      </c>
      <c r="Q69">
        <v>0</v>
      </c>
    </row>
    <row r="70" spans="1:17" x14ac:dyDescent="0.15">
      <c r="A70">
        <v>69</v>
      </c>
      <c r="B70" s="173" t="s">
        <v>259</v>
      </c>
      <c r="C70">
        <v>0</v>
      </c>
      <c r="D70">
        <v>0</v>
      </c>
      <c r="E70">
        <v>0</v>
      </c>
      <c r="F70">
        <v>0</v>
      </c>
      <c r="G70">
        <v>0</v>
      </c>
      <c r="H70">
        <v>0</v>
      </c>
      <c r="I70">
        <v>0</v>
      </c>
      <c r="J70">
        <v>0</v>
      </c>
      <c r="K70">
        <v>0</v>
      </c>
      <c r="L70">
        <v>0</v>
      </c>
      <c r="M70">
        <v>0</v>
      </c>
      <c r="N70">
        <v>0</v>
      </c>
      <c r="O70">
        <v>0</v>
      </c>
      <c r="P70">
        <v>0</v>
      </c>
      <c r="Q70">
        <v>0</v>
      </c>
    </row>
    <row r="71" spans="1:17" x14ac:dyDescent="0.15">
      <c r="A71">
        <v>70</v>
      </c>
      <c r="B71" s="173" t="s">
        <v>260</v>
      </c>
      <c r="C71">
        <v>0</v>
      </c>
      <c r="D71">
        <v>0</v>
      </c>
      <c r="E71">
        <v>0</v>
      </c>
      <c r="F71">
        <v>0</v>
      </c>
      <c r="G71">
        <v>0</v>
      </c>
      <c r="H71">
        <v>0</v>
      </c>
      <c r="I71">
        <v>0</v>
      </c>
      <c r="J71">
        <v>0</v>
      </c>
      <c r="K71">
        <v>0</v>
      </c>
      <c r="L71">
        <v>0</v>
      </c>
      <c r="M71">
        <v>0</v>
      </c>
      <c r="N71">
        <v>0</v>
      </c>
      <c r="O71">
        <v>0</v>
      </c>
      <c r="P71">
        <v>0</v>
      </c>
      <c r="Q71">
        <v>0</v>
      </c>
    </row>
    <row r="72" spans="1:17" x14ac:dyDescent="0.15">
      <c r="A72">
        <v>71</v>
      </c>
      <c r="B72" s="173" t="s">
        <v>261</v>
      </c>
      <c r="C72">
        <v>0</v>
      </c>
      <c r="D72">
        <v>0</v>
      </c>
      <c r="E72">
        <v>0</v>
      </c>
      <c r="F72">
        <v>0</v>
      </c>
      <c r="G72">
        <v>0</v>
      </c>
      <c r="H72">
        <v>0</v>
      </c>
      <c r="I72">
        <v>0</v>
      </c>
      <c r="J72">
        <v>0</v>
      </c>
      <c r="K72">
        <v>0</v>
      </c>
      <c r="L72">
        <v>0</v>
      </c>
      <c r="M72">
        <v>0</v>
      </c>
      <c r="N72">
        <v>0</v>
      </c>
      <c r="O72">
        <v>0</v>
      </c>
      <c r="P72">
        <v>0</v>
      </c>
      <c r="Q72">
        <v>0</v>
      </c>
    </row>
    <row r="73" spans="1:17" x14ac:dyDescent="0.15">
      <c r="A73">
        <v>72</v>
      </c>
      <c r="B73" s="173" t="s">
        <v>262</v>
      </c>
      <c r="C73">
        <v>0</v>
      </c>
      <c r="D73">
        <v>0</v>
      </c>
      <c r="E73">
        <v>0</v>
      </c>
      <c r="F73">
        <v>0</v>
      </c>
      <c r="G73">
        <v>0</v>
      </c>
      <c r="H73">
        <v>0</v>
      </c>
      <c r="I73">
        <v>0</v>
      </c>
      <c r="J73">
        <v>0</v>
      </c>
      <c r="K73">
        <v>0</v>
      </c>
      <c r="L73">
        <v>0</v>
      </c>
      <c r="M73">
        <v>0</v>
      </c>
      <c r="N73">
        <v>0</v>
      </c>
      <c r="O73">
        <v>0</v>
      </c>
      <c r="P73">
        <v>0</v>
      </c>
      <c r="Q73">
        <v>0</v>
      </c>
    </row>
    <row r="74" spans="1:17" x14ac:dyDescent="0.15">
      <c r="A74">
        <v>73</v>
      </c>
      <c r="B74" s="173" t="s">
        <v>263</v>
      </c>
      <c r="C74">
        <v>0</v>
      </c>
      <c r="D74">
        <v>0</v>
      </c>
      <c r="E74">
        <v>0</v>
      </c>
      <c r="F74">
        <v>0</v>
      </c>
      <c r="G74">
        <v>0</v>
      </c>
      <c r="H74">
        <v>0</v>
      </c>
      <c r="I74">
        <v>0</v>
      </c>
      <c r="J74">
        <v>0</v>
      </c>
      <c r="K74">
        <v>0</v>
      </c>
      <c r="L74">
        <v>0</v>
      </c>
      <c r="M74">
        <v>0</v>
      </c>
      <c r="N74">
        <v>0</v>
      </c>
      <c r="O74">
        <v>0</v>
      </c>
      <c r="P74">
        <v>0</v>
      </c>
      <c r="Q74">
        <v>0</v>
      </c>
    </row>
    <row r="75" spans="1:17" x14ac:dyDescent="0.15">
      <c r="A75">
        <v>74</v>
      </c>
      <c r="B75" s="173" t="s">
        <v>264</v>
      </c>
      <c r="C75">
        <v>0</v>
      </c>
      <c r="D75">
        <v>0</v>
      </c>
      <c r="E75">
        <v>0</v>
      </c>
      <c r="F75">
        <v>0</v>
      </c>
      <c r="G75">
        <v>0</v>
      </c>
      <c r="H75">
        <v>0</v>
      </c>
      <c r="I75">
        <v>0</v>
      </c>
      <c r="J75">
        <v>0</v>
      </c>
      <c r="K75">
        <v>0</v>
      </c>
      <c r="L75">
        <v>0</v>
      </c>
      <c r="M75">
        <v>0</v>
      </c>
      <c r="N75">
        <v>0</v>
      </c>
      <c r="O75">
        <v>0</v>
      </c>
      <c r="P75">
        <v>0</v>
      </c>
      <c r="Q75">
        <v>0</v>
      </c>
    </row>
    <row r="76" spans="1:17" x14ac:dyDescent="0.15">
      <c r="A76">
        <v>75</v>
      </c>
      <c r="B76" s="173" t="s">
        <v>265</v>
      </c>
      <c r="C76">
        <v>0</v>
      </c>
      <c r="D76">
        <v>0</v>
      </c>
      <c r="E76">
        <v>0</v>
      </c>
      <c r="F76">
        <v>0</v>
      </c>
      <c r="G76">
        <v>0</v>
      </c>
      <c r="H76">
        <v>0</v>
      </c>
      <c r="I76">
        <v>0</v>
      </c>
      <c r="J76">
        <v>0</v>
      </c>
      <c r="K76">
        <v>0</v>
      </c>
      <c r="L76">
        <v>0</v>
      </c>
      <c r="M76">
        <v>0</v>
      </c>
      <c r="N76">
        <v>0</v>
      </c>
      <c r="O76">
        <v>0</v>
      </c>
      <c r="P76">
        <v>0</v>
      </c>
      <c r="Q76">
        <v>0</v>
      </c>
    </row>
    <row r="77" spans="1:17" x14ac:dyDescent="0.15">
      <c r="A77">
        <v>76</v>
      </c>
      <c r="B77" s="173" t="s">
        <v>266</v>
      </c>
      <c r="C77">
        <v>0</v>
      </c>
      <c r="D77">
        <v>0</v>
      </c>
      <c r="E77">
        <v>0</v>
      </c>
      <c r="F77">
        <v>0</v>
      </c>
      <c r="G77">
        <v>0</v>
      </c>
      <c r="H77">
        <v>0</v>
      </c>
      <c r="I77">
        <v>0</v>
      </c>
      <c r="J77">
        <v>0</v>
      </c>
      <c r="K77">
        <v>0</v>
      </c>
      <c r="L77">
        <v>0</v>
      </c>
      <c r="M77">
        <v>0</v>
      </c>
      <c r="N77">
        <v>0</v>
      </c>
      <c r="O77">
        <v>0</v>
      </c>
      <c r="P77">
        <v>0</v>
      </c>
      <c r="Q77">
        <v>0</v>
      </c>
    </row>
    <row r="78" spans="1:17" x14ac:dyDescent="0.15">
      <c r="A78">
        <v>77</v>
      </c>
      <c r="B78" s="173" t="s">
        <v>267</v>
      </c>
      <c r="C78">
        <v>0</v>
      </c>
      <c r="D78">
        <v>0</v>
      </c>
      <c r="E78">
        <v>0</v>
      </c>
      <c r="F78">
        <v>0</v>
      </c>
      <c r="G78">
        <v>0</v>
      </c>
      <c r="H78">
        <v>0</v>
      </c>
      <c r="I78">
        <v>0</v>
      </c>
      <c r="J78">
        <v>0</v>
      </c>
      <c r="K78">
        <v>0</v>
      </c>
      <c r="L78">
        <v>0</v>
      </c>
      <c r="M78">
        <v>0</v>
      </c>
      <c r="N78">
        <v>0</v>
      </c>
      <c r="O78">
        <v>0</v>
      </c>
      <c r="P78">
        <v>0</v>
      </c>
      <c r="Q78">
        <v>0</v>
      </c>
    </row>
    <row r="79" spans="1:17" x14ac:dyDescent="0.15">
      <c r="A79">
        <v>78</v>
      </c>
      <c r="B79" s="173" t="s">
        <v>268</v>
      </c>
      <c r="C79">
        <v>0</v>
      </c>
      <c r="D79">
        <v>0</v>
      </c>
      <c r="E79">
        <v>0</v>
      </c>
      <c r="F79">
        <v>0</v>
      </c>
      <c r="G79">
        <v>0</v>
      </c>
      <c r="H79">
        <v>0</v>
      </c>
      <c r="I79">
        <v>0</v>
      </c>
      <c r="J79">
        <v>0</v>
      </c>
      <c r="K79">
        <v>0</v>
      </c>
      <c r="L79">
        <v>0</v>
      </c>
      <c r="M79">
        <v>0</v>
      </c>
      <c r="N79">
        <v>0</v>
      </c>
      <c r="O79">
        <v>0</v>
      </c>
      <c r="P79">
        <v>0</v>
      </c>
      <c r="Q79">
        <v>0</v>
      </c>
    </row>
    <row r="80" spans="1:17" x14ac:dyDescent="0.15">
      <c r="A80">
        <v>79</v>
      </c>
      <c r="B80" s="173" t="s">
        <v>269</v>
      </c>
      <c r="C80">
        <v>0</v>
      </c>
      <c r="D80">
        <v>0</v>
      </c>
      <c r="E80">
        <v>0</v>
      </c>
      <c r="F80">
        <v>0</v>
      </c>
      <c r="G80">
        <v>0</v>
      </c>
      <c r="H80">
        <v>0</v>
      </c>
      <c r="I80">
        <v>0</v>
      </c>
      <c r="J80">
        <v>0</v>
      </c>
      <c r="K80">
        <v>0</v>
      </c>
      <c r="L80">
        <v>0</v>
      </c>
      <c r="M80">
        <v>0</v>
      </c>
      <c r="N80">
        <v>0</v>
      </c>
      <c r="O80">
        <v>0</v>
      </c>
      <c r="P80">
        <v>0</v>
      </c>
      <c r="Q80">
        <v>0</v>
      </c>
    </row>
    <row r="81" spans="1:17" x14ac:dyDescent="0.15">
      <c r="A81">
        <v>80</v>
      </c>
      <c r="B81" s="173" t="s">
        <v>270</v>
      </c>
      <c r="C81">
        <v>0</v>
      </c>
      <c r="D81">
        <v>0</v>
      </c>
      <c r="E81">
        <v>0</v>
      </c>
      <c r="F81">
        <v>0</v>
      </c>
      <c r="G81">
        <v>0</v>
      </c>
      <c r="H81">
        <v>0</v>
      </c>
      <c r="I81">
        <v>0</v>
      </c>
      <c r="J81">
        <v>0</v>
      </c>
      <c r="K81">
        <v>0</v>
      </c>
      <c r="L81">
        <v>0</v>
      </c>
      <c r="M81">
        <v>0</v>
      </c>
      <c r="N81">
        <v>0</v>
      </c>
      <c r="O81">
        <v>0</v>
      </c>
      <c r="P81">
        <v>0</v>
      </c>
      <c r="Q81">
        <v>0</v>
      </c>
    </row>
    <row r="82" spans="1:17" ht="15" customHeight="1" x14ac:dyDescent="0.15"/>
    <row r="83" spans="1:17" ht="15" customHeight="1" x14ac:dyDescent="0.15"/>
    <row r="84" spans="1:17" ht="15" customHeight="1" x14ac:dyDescent="0.15"/>
    <row r="85" spans="1:17" ht="15" customHeight="1" x14ac:dyDescent="0.15"/>
    <row r="86" spans="1:17" ht="15" customHeight="1" x14ac:dyDescent="0.15"/>
    <row r="87" spans="1:17" ht="15" customHeight="1" x14ac:dyDescent="0.15"/>
    <row r="88" spans="1:17" ht="15" customHeight="1" x14ac:dyDescent="0.15"/>
    <row r="89" spans="1:17" ht="15" customHeight="1" x14ac:dyDescent="0.15"/>
    <row r="90" spans="1:17" ht="15" customHeight="1" x14ac:dyDescent="0.15"/>
    <row r="91" spans="1:17" ht="15" customHeight="1" x14ac:dyDescent="0.15"/>
    <row r="92" spans="1:17" ht="15" customHeight="1" x14ac:dyDescent="0.15"/>
    <row r="93" spans="1:17" ht="15" customHeight="1" x14ac:dyDescent="0.15"/>
    <row r="94" spans="1:17" ht="15" customHeight="1" x14ac:dyDescent="0.15"/>
    <row r="95" spans="1:17" ht="15" customHeight="1" x14ac:dyDescent="0.15"/>
    <row r="96" spans="1:17"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Q81"/>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29.6640625" bestFit="1" customWidth="1"/>
    <col min="3" max="3" width="7.5" bestFit="1" customWidth="1"/>
    <col min="4" max="5" width="2.33203125" bestFit="1" customWidth="1"/>
    <col min="6" max="8" width="8.5" customWidth="1"/>
    <col min="9" max="16" width="2.33203125" customWidth="1"/>
    <col min="17" max="17" width="12.5" customWidth="1"/>
  </cols>
  <sheetData>
    <row r="1" spans="1:17" s="110" customFormat="1" ht="112" x14ac:dyDescent="0.15">
      <c r="A1" s="5" t="s">
        <v>22</v>
      </c>
      <c r="B1" s="3" t="s">
        <v>0</v>
      </c>
      <c r="C1" s="176" t="s">
        <v>271</v>
      </c>
      <c r="D1" s="176" t="s">
        <v>272</v>
      </c>
      <c r="E1" s="176" t="s">
        <v>273</v>
      </c>
      <c r="F1" s="176" t="s">
        <v>274</v>
      </c>
      <c r="G1" s="176" t="s">
        <v>275</v>
      </c>
      <c r="H1" s="176" t="s">
        <v>276</v>
      </c>
      <c r="I1" s="176" t="s">
        <v>277</v>
      </c>
      <c r="J1" s="176" t="s">
        <v>278</v>
      </c>
      <c r="K1" s="176" t="s">
        <v>279</v>
      </c>
      <c r="L1" s="176" t="s">
        <v>280</v>
      </c>
      <c r="M1" s="176" t="s">
        <v>281</v>
      </c>
      <c r="N1" s="176" t="s">
        <v>282</v>
      </c>
      <c r="O1" s="176" t="s">
        <v>283</v>
      </c>
      <c r="P1" s="176" t="s">
        <v>284</v>
      </c>
      <c r="Q1" s="176" t="s">
        <v>288</v>
      </c>
    </row>
    <row r="2" spans="1:17" x14ac:dyDescent="0.15">
      <c r="A2">
        <v>1</v>
      </c>
      <c r="B2" s="175" t="s">
        <v>191</v>
      </c>
      <c r="C2">
        <v>4.8000000000000001E-5</v>
      </c>
      <c r="D2">
        <v>0</v>
      </c>
      <c r="E2">
        <v>0</v>
      </c>
      <c r="F2">
        <v>4.8000000000000001E-5</v>
      </c>
      <c r="G2">
        <v>0</v>
      </c>
      <c r="H2">
        <v>0</v>
      </c>
      <c r="I2">
        <v>0</v>
      </c>
      <c r="J2">
        <v>0</v>
      </c>
      <c r="K2">
        <v>0</v>
      </c>
      <c r="L2">
        <v>0</v>
      </c>
      <c r="M2">
        <v>0</v>
      </c>
      <c r="N2">
        <v>0</v>
      </c>
      <c r="O2">
        <v>0</v>
      </c>
      <c r="P2">
        <v>0</v>
      </c>
      <c r="Q2">
        <v>9.6000000000000002E-5</v>
      </c>
    </row>
    <row r="3" spans="1:17" x14ac:dyDescent="0.15">
      <c r="A3">
        <v>2</v>
      </c>
      <c r="B3" s="175" t="s">
        <v>192</v>
      </c>
      <c r="C3">
        <v>0</v>
      </c>
      <c r="D3">
        <v>0</v>
      </c>
      <c r="E3">
        <v>0</v>
      </c>
      <c r="F3">
        <v>9.7E-5</v>
      </c>
      <c r="G3">
        <v>0</v>
      </c>
      <c r="H3">
        <v>0</v>
      </c>
      <c r="I3">
        <v>0</v>
      </c>
      <c r="J3">
        <v>0</v>
      </c>
      <c r="K3">
        <v>0</v>
      </c>
      <c r="L3">
        <v>0</v>
      </c>
      <c r="M3">
        <v>0</v>
      </c>
      <c r="N3">
        <v>0</v>
      </c>
      <c r="O3">
        <v>0</v>
      </c>
      <c r="P3">
        <v>0</v>
      </c>
      <c r="Q3">
        <v>9.7E-5</v>
      </c>
    </row>
    <row r="4" spans="1:17" x14ac:dyDescent="0.15">
      <c r="A4">
        <v>3</v>
      </c>
      <c r="B4" s="175" t="s">
        <v>193</v>
      </c>
      <c r="C4">
        <v>0</v>
      </c>
      <c r="D4">
        <v>0</v>
      </c>
      <c r="E4">
        <v>0</v>
      </c>
      <c r="F4">
        <v>6.0000000000000002E-5</v>
      </c>
      <c r="G4">
        <v>0</v>
      </c>
      <c r="H4">
        <v>0</v>
      </c>
      <c r="I4">
        <v>0</v>
      </c>
      <c r="J4">
        <v>0</v>
      </c>
      <c r="K4">
        <v>0</v>
      </c>
      <c r="L4">
        <v>0</v>
      </c>
      <c r="M4">
        <v>0</v>
      </c>
      <c r="N4">
        <v>0</v>
      </c>
      <c r="O4">
        <v>0</v>
      </c>
      <c r="P4">
        <v>0</v>
      </c>
      <c r="Q4">
        <v>6.0000000000000002E-5</v>
      </c>
    </row>
    <row r="5" spans="1:17" x14ac:dyDescent="0.15">
      <c r="A5">
        <v>4</v>
      </c>
      <c r="B5" s="175" t="s">
        <v>194</v>
      </c>
      <c r="C5">
        <v>0</v>
      </c>
      <c r="D5">
        <v>0</v>
      </c>
      <c r="E5">
        <v>0</v>
      </c>
      <c r="F5">
        <v>1.0000000000000001E-5</v>
      </c>
      <c r="G5">
        <v>0</v>
      </c>
      <c r="H5">
        <v>0</v>
      </c>
      <c r="I5">
        <v>0</v>
      </c>
      <c r="J5">
        <v>0</v>
      </c>
      <c r="K5">
        <v>0</v>
      </c>
      <c r="L5">
        <v>0</v>
      </c>
      <c r="M5">
        <v>0</v>
      </c>
      <c r="N5">
        <v>0</v>
      </c>
      <c r="O5">
        <v>0</v>
      </c>
      <c r="P5">
        <v>0</v>
      </c>
      <c r="Q5">
        <v>1.0000000000000001E-5</v>
      </c>
    </row>
    <row r="6" spans="1:17" x14ac:dyDescent="0.15">
      <c r="A6">
        <v>5</v>
      </c>
      <c r="B6" s="175" t="s">
        <v>195</v>
      </c>
      <c r="C6">
        <v>0</v>
      </c>
      <c r="D6">
        <v>0</v>
      </c>
      <c r="E6">
        <v>0</v>
      </c>
      <c r="F6">
        <v>6.2500000000000001E-5</v>
      </c>
      <c r="G6">
        <v>1.03E-5</v>
      </c>
      <c r="H6">
        <v>0</v>
      </c>
      <c r="I6">
        <v>0</v>
      </c>
      <c r="J6">
        <v>0</v>
      </c>
      <c r="K6">
        <v>0</v>
      </c>
      <c r="L6">
        <v>0</v>
      </c>
      <c r="M6">
        <v>0</v>
      </c>
      <c r="N6">
        <v>0</v>
      </c>
      <c r="O6">
        <v>0</v>
      </c>
      <c r="P6">
        <v>0</v>
      </c>
      <c r="Q6">
        <v>7.2800000000000008E-5</v>
      </c>
    </row>
    <row r="7" spans="1:17" x14ac:dyDescent="0.15">
      <c r="A7">
        <v>6</v>
      </c>
      <c r="B7" s="175" t="s">
        <v>196</v>
      </c>
      <c r="C7">
        <v>0</v>
      </c>
      <c r="D7">
        <v>0</v>
      </c>
      <c r="E7">
        <v>0</v>
      </c>
      <c r="F7">
        <v>0</v>
      </c>
      <c r="G7">
        <v>0</v>
      </c>
      <c r="H7">
        <v>0</v>
      </c>
      <c r="I7">
        <v>0</v>
      </c>
      <c r="J7">
        <v>0</v>
      </c>
      <c r="K7">
        <v>0</v>
      </c>
      <c r="L7">
        <v>0</v>
      </c>
      <c r="M7">
        <v>0</v>
      </c>
      <c r="N7">
        <v>0</v>
      </c>
      <c r="O7">
        <v>0</v>
      </c>
      <c r="P7">
        <v>0</v>
      </c>
      <c r="Q7">
        <v>0</v>
      </c>
    </row>
    <row r="8" spans="1:17" x14ac:dyDescent="0.15">
      <c r="A8">
        <v>7</v>
      </c>
      <c r="B8" s="175" t="s">
        <v>197</v>
      </c>
      <c r="C8">
        <v>0</v>
      </c>
      <c r="D8">
        <v>0</v>
      </c>
      <c r="E8">
        <v>0</v>
      </c>
      <c r="F8">
        <v>1E-8</v>
      </c>
      <c r="G8">
        <v>0</v>
      </c>
      <c r="H8">
        <v>0</v>
      </c>
      <c r="I8">
        <v>0</v>
      </c>
      <c r="J8">
        <v>0</v>
      </c>
      <c r="K8">
        <v>0</v>
      </c>
      <c r="L8">
        <v>0</v>
      </c>
      <c r="M8">
        <v>0</v>
      </c>
      <c r="N8">
        <v>0</v>
      </c>
      <c r="O8">
        <v>0</v>
      </c>
      <c r="P8">
        <v>0</v>
      </c>
      <c r="Q8">
        <v>1E-8</v>
      </c>
    </row>
    <row r="9" spans="1:17" x14ac:dyDescent="0.15">
      <c r="A9">
        <v>8</v>
      </c>
      <c r="B9" s="175" t="s">
        <v>198</v>
      </c>
      <c r="C9">
        <v>0</v>
      </c>
      <c r="D9">
        <v>0</v>
      </c>
      <c r="E9">
        <v>0</v>
      </c>
      <c r="F9">
        <v>0</v>
      </c>
      <c r="G9">
        <v>0</v>
      </c>
      <c r="H9">
        <v>0</v>
      </c>
      <c r="I9">
        <v>0</v>
      </c>
      <c r="J9">
        <v>0</v>
      </c>
      <c r="K9">
        <v>0</v>
      </c>
      <c r="L9">
        <v>0</v>
      </c>
      <c r="M9">
        <v>0</v>
      </c>
      <c r="N9">
        <v>0</v>
      </c>
      <c r="O9">
        <v>0</v>
      </c>
      <c r="P9">
        <v>0</v>
      </c>
      <c r="Q9">
        <v>0</v>
      </c>
    </row>
    <row r="10" spans="1:17" x14ac:dyDescent="0.15">
      <c r="A10">
        <v>9</v>
      </c>
      <c r="B10" s="175" t="s">
        <v>199</v>
      </c>
      <c r="C10">
        <v>0</v>
      </c>
      <c r="D10">
        <v>0</v>
      </c>
      <c r="E10">
        <v>0</v>
      </c>
      <c r="F10">
        <v>0</v>
      </c>
      <c r="G10">
        <v>0</v>
      </c>
      <c r="H10">
        <v>0</v>
      </c>
      <c r="I10">
        <v>0</v>
      </c>
      <c r="J10">
        <v>0</v>
      </c>
      <c r="K10">
        <v>0</v>
      </c>
      <c r="L10">
        <v>0</v>
      </c>
      <c r="M10">
        <v>0</v>
      </c>
      <c r="N10">
        <v>0</v>
      </c>
      <c r="O10">
        <v>0</v>
      </c>
      <c r="P10">
        <v>0</v>
      </c>
      <c r="Q10">
        <v>0</v>
      </c>
    </row>
    <row r="11" spans="1:17" x14ac:dyDescent="0.15">
      <c r="A11">
        <v>10</v>
      </c>
      <c r="B11" s="175" t="s">
        <v>200</v>
      </c>
      <c r="C11">
        <v>0</v>
      </c>
      <c r="D11">
        <v>0</v>
      </c>
      <c r="E11">
        <v>0</v>
      </c>
      <c r="F11">
        <v>0</v>
      </c>
      <c r="G11">
        <v>0</v>
      </c>
      <c r="H11">
        <v>0</v>
      </c>
      <c r="I11">
        <v>0</v>
      </c>
      <c r="J11">
        <v>0</v>
      </c>
      <c r="K11">
        <v>0</v>
      </c>
      <c r="L11">
        <v>0</v>
      </c>
      <c r="M11">
        <v>0</v>
      </c>
      <c r="N11">
        <v>0</v>
      </c>
      <c r="O11">
        <v>0</v>
      </c>
      <c r="P11">
        <v>0</v>
      </c>
      <c r="Q11">
        <v>0</v>
      </c>
    </row>
    <row r="12" spans="1:17" x14ac:dyDescent="0.15">
      <c r="A12">
        <v>11</v>
      </c>
      <c r="B12" s="175" t="s">
        <v>201</v>
      </c>
      <c r="C12">
        <v>0</v>
      </c>
      <c r="D12">
        <v>0</v>
      </c>
      <c r="E12">
        <v>0</v>
      </c>
      <c r="F12">
        <v>9.9999999999999995E-7</v>
      </c>
      <c r="G12">
        <v>0</v>
      </c>
      <c r="H12">
        <v>0</v>
      </c>
      <c r="I12">
        <v>0</v>
      </c>
      <c r="J12">
        <v>0</v>
      </c>
      <c r="K12">
        <v>0</v>
      </c>
      <c r="L12">
        <v>0</v>
      </c>
      <c r="M12">
        <v>0</v>
      </c>
      <c r="N12">
        <v>0</v>
      </c>
      <c r="O12">
        <v>0</v>
      </c>
      <c r="P12">
        <v>0</v>
      </c>
      <c r="Q12">
        <v>9.9999999999999995E-7</v>
      </c>
    </row>
    <row r="13" spans="1:17" x14ac:dyDescent="0.15">
      <c r="A13">
        <v>12</v>
      </c>
      <c r="B13" s="175" t="s">
        <v>202</v>
      </c>
      <c r="C13">
        <v>0</v>
      </c>
      <c r="D13">
        <v>0</v>
      </c>
      <c r="E13">
        <v>0</v>
      </c>
      <c r="F13">
        <v>1.4999999999999999E-4</v>
      </c>
      <c r="G13">
        <v>2.3999999999999998E-3</v>
      </c>
      <c r="H13">
        <v>1.5E-3</v>
      </c>
      <c r="I13">
        <v>0</v>
      </c>
      <c r="J13">
        <v>0</v>
      </c>
      <c r="K13">
        <v>0</v>
      </c>
      <c r="L13">
        <v>0</v>
      </c>
      <c r="M13">
        <v>0</v>
      </c>
      <c r="N13">
        <v>0</v>
      </c>
      <c r="O13">
        <v>0</v>
      </c>
      <c r="P13">
        <v>0</v>
      </c>
      <c r="Q13">
        <v>4.0499999999999998E-3</v>
      </c>
    </row>
    <row r="14" spans="1:17" x14ac:dyDescent="0.15">
      <c r="A14">
        <v>13</v>
      </c>
      <c r="B14" s="175" t="s">
        <v>203</v>
      </c>
      <c r="C14">
        <v>0</v>
      </c>
      <c r="D14">
        <v>0</v>
      </c>
      <c r="E14">
        <v>0</v>
      </c>
      <c r="F14">
        <v>0</v>
      </c>
      <c r="G14">
        <v>0</v>
      </c>
      <c r="H14">
        <v>0</v>
      </c>
      <c r="I14">
        <v>0</v>
      </c>
      <c r="J14">
        <v>0</v>
      </c>
      <c r="K14">
        <v>0</v>
      </c>
      <c r="L14">
        <v>0</v>
      </c>
      <c r="M14">
        <v>0</v>
      </c>
      <c r="N14">
        <v>0</v>
      </c>
      <c r="O14">
        <v>0</v>
      </c>
      <c r="P14">
        <v>0</v>
      </c>
      <c r="Q14">
        <v>0</v>
      </c>
    </row>
    <row r="15" spans="1:17" x14ac:dyDescent="0.15">
      <c r="A15">
        <v>14</v>
      </c>
      <c r="B15" s="175" t="s">
        <v>204</v>
      </c>
      <c r="C15">
        <v>0</v>
      </c>
      <c r="D15">
        <v>0</v>
      </c>
      <c r="E15">
        <v>0</v>
      </c>
      <c r="F15">
        <v>0</v>
      </c>
      <c r="G15">
        <v>0</v>
      </c>
      <c r="H15">
        <v>0</v>
      </c>
      <c r="I15">
        <v>0</v>
      </c>
      <c r="J15">
        <v>0</v>
      </c>
      <c r="K15">
        <v>0</v>
      </c>
      <c r="L15">
        <v>0</v>
      </c>
      <c r="M15">
        <v>0</v>
      </c>
      <c r="N15">
        <v>0</v>
      </c>
      <c r="O15">
        <v>0</v>
      </c>
      <c r="P15">
        <v>0</v>
      </c>
      <c r="Q15">
        <v>0</v>
      </c>
    </row>
    <row r="16" spans="1:17" x14ac:dyDescent="0.15">
      <c r="A16">
        <v>15</v>
      </c>
      <c r="B16" s="175" t="s">
        <v>205</v>
      </c>
      <c r="C16">
        <v>0</v>
      </c>
      <c r="D16">
        <v>0</v>
      </c>
      <c r="E16">
        <v>0</v>
      </c>
      <c r="F16">
        <v>0</v>
      </c>
      <c r="G16">
        <v>0</v>
      </c>
      <c r="H16">
        <v>0</v>
      </c>
      <c r="I16">
        <v>0</v>
      </c>
      <c r="J16">
        <v>0</v>
      </c>
      <c r="K16">
        <v>0</v>
      </c>
      <c r="L16">
        <v>0</v>
      </c>
      <c r="M16">
        <v>0</v>
      </c>
      <c r="N16">
        <v>0</v>
      </c>
      <c r="O16">
        <v>0</v>
      </c>
      <c r="P16">
        <v>0</v>
      </c>
      <c r="Q16">
        <v>0</v>
      </c>
    </row>
    <row r="17" spans="1:17" x14ac:dyDescent="0.15">
      <c r="A17">
        <v>16</v>
      </c>
      <c r="B17" s="175" t="s">
        <v>206</v>
      </c>
      <c r="C17">
        <v>0</v>
      </c>
      <c r="D17">
        <v>0</v>
      </c>
      <c r="E17">
        <v>0</v>
      </c>
      <c r="F17">
        <v>0</v>
      </c>
      <c r="G17">
        <v>0</v>
      </c>
      <c r="H17">
        <v>0</v>
      </c>
      <c r="I17">
        <v>0</v>
      </c>
      <c r="J17">
        <v>0</v>
      </c>
      <c r="K17">
        <v>0</v>
      </c>
      <c r="L17">
        <v>0</v>
      </c>
      <c r="M17">
        <v>0</v>
      </c>
      <c r="N17">
        <v>0</v>
      </c>
      <c r="O17">
        <v>0</v>
      </c>
      <c r="P17">
        <v>0</v>
      </c>
      <c r="Q17">
        <v>0</v>
      </c>
    </row>
    <row r="18" spans="1:17" x14ac:dyDescent="0.15">
      <c r="A18">
        <v>17</v>
      </c>
      <c r="B18" s="175" t="s">
        <v>207</v>
      </c>
      <c r="C18">
        <v>0</v>
      </c>
      <c r="D18">
        <v>0</v>
      </c>
      <c r="E18">
        <v>0</v>
      </c>
      <c r="F18">
        <v>0</v>
      </c>
      <c r="G18">
        <v>0</v>
      </c>
      <c r="H18">
        <v>0</v>
      </c>
      <c r="I18">
        <v>0</v>
      </c>
      <c r="J18">
        <v>0</v>
      </c>
      <c r="K18">
        <v>0</v>
      </c>
      <c r="L18">
        <v>0</v>
      </c>
      <c r="M18">
        <v>0</v>
      </c>
      <c r="N18">
        <v>0</v>
      </c>
      <c r="O18">
        <v>0</v>
      </c>
      <c r="P18">
        <v>0</v>
      </c>
      <c r="Q18">
        <v>0</v>
      </c>
    </row>
    <row r="19" spans="1:17" x14ac:dyDescent="0.15">
      <c r="A19">
        <v>18</v>
      </c>
      <c r="B19" s="175" t="s">
        <v>208</v>
      </c>
      <c r="C19">
        <v>0</v>
      </c>
      <c r="D19">
        <v>0</v>
      </c>
      <c r="E19">
        <v>0</v>
      </c>
      <c r="F19">
        <v>0</v>
      </c>
      <c r="G19">
        <v>0</v>
      </c>
      <c r="H19">
        <v>0</v>
      </c>
      <c r="I19">
        <v>0</v>
      </c>
      <c r="J19">
        <v>0</v>
      </c>
      <c r="K19">
        <v>0</v>
      </c>
      <c r="L19">
        <v>0</v>
      </c>
      <c r="M19">
        <v>0</v>
      </c>
      <c r="N19">
        <v>0</v>
      </c>
      <c r="O19">
        <v>0</v>
      </c>
      <c r="P19">
        <v>0</v>
      </c>
      <c r="Q19">
        <v>0</v>
      </c>
    </row>
    <row r="20" spans="1:17" x14ac:dyDescent="0.15">
      <c r="A20">
        <v>19</v>
      </c>
      <c r="B20" s="175" t="s">
        <v>209</v>
      </c>
      <c r="C20">
        <v>0</v>
      </c>
      <c r="D20">
        <v>0</v>
      </c>
      <c r="E20">
        <v>0</v>
      </c>
      <c r="F20">
        <v>0</v>
      </c>
      <c r="G20">
        <v>0</v>
      </c>
      <c r="H20">
        <v>0</v>
      </c>
      <c r="I20">
        <v>0</v>
      </c>
      <c r="J20">
        <v>0</v>
      </c>
      <c r="K20">
        <v>0</v>
      </c>
      <c r="L20">
        <v>0</v>
      </c>
      <c r="M20">
        <v>0</v>
      </c>
      <c r="N20">
        <v>0</v>
      </c>
      <c r="O20">
        <v>0</v>
      </c>
      <c r="P20">
        <v>0</v>
      </c>
      <c r="Q20">
        <v>0</v>
      </c>
    </row>
    <row r="21" spans="1:17" x14ac:dyDescent="0.15">
      <c r="A21">
        <v>20</v>
      </c>
      <c r="B21" s="175" t="s">
        <v>210</v>
      </c>
      <c r="C21">
        <v>0</v>
      </c>
      <c r="D21">
        <v>0</v>
      </c>
      <c r="E21">
        <v>0</v>
      </c>
      <c r="F21">
        <v>0</v>
      </c>
      <c r="G21">
        <v>0</v>
      </c>
      <c r="H21">
        <v>0</v>
      </c>
      <c r="I21">
        <v>0</v>
      </c>
      <c r="J21">
        <v>0</v>
      </c>
      <c r="K21">
        <v>0</v>
      </c>
      <c r="L21">
        <v>0</v>
      </c>
      <c r="M21">
        <v>0</v>
      </c>
      <c r="N21">
        <v>0</v>
      </c>
      <c r="O21">
        <v>0</v>
      </c>
      <c r="P21">
        <v>0</v>
      </c>
      <c r="Q21">
        <v>0</v>
      </c>
    </row>
    <row r="22" spans="1:17" x14ac:dyDescent="0.15">
      <c r="A22">
        <v>21</v>
      </c>
      <c r="B22" s="175" t="s">
        <v>211</v>
      </c>
      <c r="C22">
        <v>0</v>
      </c>
      <c r="D22">
        <v>0</v>
      </c>
      <c r="E22">
        <v>0</v>
      </c>
      <c r="F22">
        <v>1.7499999999999998E-5</v>
      </c>
      <c r="G22">
        <v>9.9999999999999994E-12</v>
      </c>
      <c r="H22">
        <v>1.7E-5</v>
      </c>
      <c r="I22">
        <v>0</v>
      </c>
      <c r="J22">
        <v>0</v>
      </c>
      <c r="K22">
        <v>0</v>
      </c>
      <c r="L22">
        <v>0</v>
      </c>
      <c r="M22">
        <v>0</v>
      </c>
      <c r="N22">
        <v>0</v>
      </c>
      <c r="O22">
        <v>0</v>
      </c>
      <c r="P22">
        <v>0</v>
      </c>
      <c r="Q22">
        <v>3.4500009999999999E-5</v>
      </c>
    </row>
    <row r="23" spans="1:17" x14ac:dyDescent="0.15">
      <c r="A23">
        <v>22</v>
      </c>
      <c r="B23" s="175" t="s">
        <v>212</v>
      </c>
      <c r="C23">
        <v>0</v>
      </c>
      <c r="D23">
        <v>0</v>
      </c>
      <c r="E23">
        <v>0</v>
      </c>
      <c r="F23">
        <v>0</v>
      </c>
      <c r="G23">
        <v>0</v>
      </c>
      <c r="H23">
        <v>0</v>
      </c>
      <c r="I23">
        <v>0</v>
      </c>
      <c r="J23">
        <v>0</v>
      </c>
      <c r="K23">
        <v>0</v>
      </c>
      <c r="L23">
        <v>0</v>
      </c>
      <c r="M23">
        <v>0</v>
      </c>
      <c r="N23">
        <v>0</v>
      </c>
      <c r="O23">
        <v>0</v>
      </c>
      <c r="P23">
        <v>0</v>
      </c>
      <c r="Q23">
        <v>0</v>
      </c>
    </row>
    <row r="24" spans="1:17" x14ac:dyDescent="0.15">
      <c r="A24">
        <v>23</v>
      </c>
      <c r="B24" s="175" t="s">
        <v>213</v>
      </c>
      <c r="C24">
        <v>0</v>
      </c>
      <c r="D24">
        <v>0</v>
      </c>
      <c r="E24">
        <v>0</v>
      </c>
      <c r="F24">
        <v>3.57E-5</v>
      </c>
      <c r="G24">
        <v>0</v>
      </c>
      <c r="H24">
        <v>1.5299999999999999E-5</v>
      </c>
      <c r="I24">
        <v>0</v>
      </c>
      <c r="J24">
        <v>0</v>
      </c>
      <c r="K24">
        <v>0</v>
      </c>
      <c r="L24">
        <v>0</v>
      </c>
      <c r="M24">
        <v>0</v>
      </c>
      <c r="N24">
        <v>0</v>
      </c>
      <c r="O24">
        <v>0</v>
      </c>
      <c r="P24">
        <v>0</v>
      </c>
      <c r="Q24">
        <v>5.1E-5</v>
      </c>
    </row>
    <row r="25" spans="1:17" x14ac:dyDescent="0.15">
      <c r="A25">
        <v>24</v>
      </c>
      <c r="B25" s="175" t="s">
        <v>214</v>
      </c>
      <c r="C25">
        <v>0</v>
      </c>
      <c r="D25">
        <v>0</v>
      </c>
      <c r="E25">
        <v>0</v>
      </c>
      <c r="F25">
        <v>0</v>
      </c>
      <c r="G25">
        <v>0</v>
      </c>
      <c r="H25">
        <v>0</v>
      </c>
      <c r="I25">
        <v>0</v>
      </c>
      <c r="J25">
        <v>0</v>
      </c>
      <c r="K25">
        <v>0</v>
      </c>
      <c r="L25">
        <v>0</v>
      </c>
      <c r="M25">
        <v>0</v>
      </c>
      <c r="N25">
        <v>0</v>
      </c>
      <c r="O25">
        <v>0</v>
      </c>
      <c r="P25">
        <v>0</v>
      </c>
      <c r="Q25">
        <v>0</v>
      </c>
    </row>
    <row r="26" spans="1:17" x14ac:dyDescent="0.15">
      <c r="A26">
        <v>25</v>
      </c>
      <c r="B26" s="175" t="s">
        <v>215</v>
      </c>
      <c r="C26">
        <v>0</v>
      </c>
      <c r="D26">
        <v>0</v>
      </c>
      <c r="E26">
        <v>0</v>
      </c>
      <c r="F26">
        <v>0</v>
      </c>
      <c r="G26">
        <v>0</v>
      </c>
      <c r="H26">
        <v>0</v>
      </c>
      <c r="I26">
        <v>0</v>
      </c>
      <c r="J26">
        <v>0</v>
      </c>
      <c r="K26">
        <v>0</v>
      </c>
      <c r="L26">
        <v>0</v>
      </c>
      <c r="M26">
        <v>0</v>
      </c>
      <c r="N26">
        <v>0</v>
      </c>
      <c r="O26">
        <v>0</v>
      </c>
      <c r="P26">
        <v>0</v>
      </c>
      <c r="Q26">
        <v>0</v>
      </c>
    </row>
    <row r="27" spans="1:17" x14ac:dyDescent="0.15">
      <c r="A27">
        <v>26</v>
      </c>
      <c r="B27" s="175" t="s">
        <v>216</v>
      </c>
      <c r="C27">
        <v>0</v>
      </c>
      <c r="D27">
        <v>0</v>
      </c>
      <c r="E27">
        <v>0</v>
      </c>
      <c r="F27">
        <v>0</v>
      </c>
      <c r="G27">
        <v>0</v>
      </c>
      <c r="H27">
        <v>0</v>
      </c>
      <c r="I27">
        <v>0</v>
      </c>
      <c r="J27">
        <v>0</v>
      </c>
      <c r="K27">
        <v>0</v>
      </c>
      <c r="L27">
        <v>0</v>
      </c>
      <c r="M27">
        <v>0</v>
      </c>
      <c r="N27">
        <v>0</v>
      </c>
      <c r="O27">
        <v>0</v>
      </c>
      <c r="P27">
        <v>0</v>
      </c>
      <c r="Q27">
        <v>0</v>
      </c>
    </row>
    <row r="28" spans="1:17" x14ac:dyDescent="0.15">
      <c r="A28">
        <v>27</v>
      </c>
      <c r="B28" s="175" t="s">
        <v>217</v>
      </c>
      <c r="C28">
        <v>0</v>
      </c>
      <c r="D28">
        <v>0</v>
      </c>
      <c r="E28">
        <v>0</v>
      </c>
      <c r="F28">
        <v>0</v>
      </c>
      <c r="G28">
        <v>0</v>
      </c>
      <c r="H28">
        <v>0</v>
      </c>
      <c r="I28">
        <v>0</v>
      </c>
      <c r="J28">
        <v>0</v>
      </c>
      <c r="K28">
        <v>0</v>
      </c>
      <c r="L28">
        <v>0</v>
      </c>
      <c r="M28">
        <v>0</v>
      </c>
      <c r="N28">
        <v>0</v>
      </c>
      <c r="O28">
        <v>0</v>
      </c>
      <c r="P28">
        <v>0</v>
      </c>
      <c r="Q28">
        <v>0</v>
      </c>
    </row>
    <row r="29" spans="1:17" x14ac:dyDescent="0.15">
      <c r="A29">
        <v>28</v>
      </c>
      <c r="B29" s="175" t="s">
        <v>218</v>
      </c>
      <c r="C29">
        <v>0</v>
      </c>
      <c r="D29">
        <v>0</v>
      </c>
      <c r="E29">
        <v>0</v>
      </c>
      <c r="F29">
        <v>0</v>
      </c>
      <c r="G29">
        <v>0</v>
      </c>
      <c r="H29">
        <v>0</v>
      </c>
      <c r="I29">
        <v>0</v>
      </c>
      <c r="J29">
        <v>0</v>
      </c>
      <c r="K29">
        <v>0</v>
      </c>
      <c r="L29">
        <v>0</v>
      </c>
      <c r="M29">
        <v>0</v>
      </c>
      <c r="N29">
        <v>0</v>
      </c>
      <c r="O29">
        <v>0</v>
      </c>
      <c r="P29">
        <v>0</v>
      </c>
      <c r="Q29">
        <v>0</v>
      </c>
    </row>
    <row r="30" spans="1:17" x14ac:dyDescent="0.15">
      <c r="A30">
        <v>29</v>
      </c>
      <c r="B30" s="175" t="s">
        <v>219</v>
      </c>
      <c r="C30">
        <v>0</v>
      </c>
      <c r="D30">
        <v>0</v>
      </c>
      <c r="E30">
        <v>0</v>
      </c>
      <c r="F30">
        <v>0</v>
      </c>
      <c r="G30">
        <v>0</v>
      </c>
      <c r="H30">
        <v>0</v>
      </c>
      <c r="I30">
        <v>0</v>
      </c>
      <c r="J30">
        <v>0</v>
      </c>
      <c r="K30">
        <v>0</v>
      </c>
      <c r="L30">
        <v>0</v>
      </c>
      <c r="M30">
        <v>0</v>
      </c>
      <c r="N30">
        <v>0</v>
      </c>
      <c r="O30">
        <v>0</v>
      </c>
      <c r="P30">
        <v>0</v>
      </c>
      <c r="Q30">
        <v>0</v>
      </c>
    </row>
    <row r="31" spans="1:17" x14ac:dyDescent="0.15">
      <c r="A31">
        <v>30</v>
      </c>
      <c r="B31" s="175" t="s">
        <v>220</v>
      </c>
      <c r="C31">
        <v>0</v>
      </c>
      <c r="D31">
        <v>0</v>
      </c>
      <c r="E31">
        <v>0</v>
      </c>
      <c r="F31">
        <v>0</v>
      </c>
      <c r="G31">
        <v>0</v>
      </c>
      <c r="H31">
        <v>0</v>
      </c>
      <c r="I31">
        <v>0</v>
      </c>
      <c r="J31">
        <v>0</v>
      </c>
      <c r="K31">
        <v>0</v>
      </c>
      <c r="L31">
        <v>0</v>
      </c>
      <c r="M31">
        <v>0</v>
      </c>
      <c r="N31">
        <v>0</v>
      </c>
      <c r="O31">
        <v>0</v>
      </c>
      <c r="P31">
        <v>0</v>
      </c>
      <c r="Q31">
        <v>0</v>
      </c>
    </row>
    <row r="32" spans="1:17" x14ac:dyDescent="0.15">
      <c r="A32">
        <v>31</v>
      </c>
      <c r="B32" s="175" t="s">
        <v>221</v>
      </c>
      <c r="C32">
        <v>0</v>
      </c>
      <c r="D32">
        <v>0</v>
      </c>
      <c r="E32">
        <v>0</v>
      </c>
      <c r="F32">
        <v>0</v>
      </c>
      <c r="G32">
        <v>0</v>
      </c>
      <c r="H32">
        <v>0</v>
      </c>
      <c r="I32">
        <v>0</v>
      </c>
      <c r="J32">
        <v>0</v>
      </c>
      <c r="K32">
        <v>0</v>
      </c>
      <c r="L32">
        <v>0</v>
      </c>
      <c r="M32">
        <v>0</v>
      </c>
      <c r="N32">
        <v>0</v>
      </c>
      <c r="O32">
        <v>0</v>
      </c>
      <c r="P32">
        <v>0</v>
      </c>
      <c r="Q32">
        <v>0</v>
      </c>
    </row>
    <row r="33" spans="1:17" x14ac:dyDescent="0.15">
      <c r="A33">
        <v>32</v>
      </c>
      <c r="B33" s="175" t="s">
        <v>222</v>
      </c>
      <c r="C33">
        <v>0</v>
      </c>
      <c r="D33">
        <v>0</v>
      </c>
      <c r="E33">
        <v>0</v>
      </c>
      <c r="F33">
        <v>0</v>
      </c>
      <c r="G33">
        <v>0</v>
      </c>
      <c r="H33">
        <v>0</v>
      </c>
      <c r="I33">
        <v>0</v>
      </c>
      <c r="J33">
        <v>0</v>
      </c>
      <c r="K33">
        <v>0</v>
      </c>
      <c r="L33">
        <v>0</v>
      </c>
      <c r="M33">
        <v>0</v>
      </c>
      <c r="N33">
        <v>0</v>
      </c>
      <c r="O33">
        <v>0</v>
      </c>
      <c r="P33">
        <v>0</v>
      </c>
      <c r="Q33">
        <v>0</v>
      </c>
    </row>
    <row r="34" spans="1:17" x14ac:dyDescent="0.15">
      <c r="A34">
        <v>33</v>
      </c>
      <c r="B34" s="175" t="s">
        <v>223</v>
      </c>
      <c r="C34">
        <v>0</v>
      </c>
      <c r="D34">
        <v>0</v>
      </c>
      <c r="E34">
        <v>0</v>
      </c>
      <c r="F34">
        <v>0</v>
      </c>
      <c r="G34">
        <v>0</v>
      </c>
      <c r="H34">
        <v>0</v>
      </c>
      <c r="I34">
        <v>0</v>
      </c>
      <c r="J34">
        <v>0</v>
      </c>
      <c r="K34">
        <v>0</v>
      </c>
      <c r="L34">
        <v>0</v>
      </c>
      <c r="M34">
        <v>0</v>
      </c>
      <c r="N34">
        <v>0</v>
      </c>
      <c r="O34">
        <v>0</v>
      </c>
      <c r="P34">
        <v>0</v>
      </c>
      <c r="Q34">
        <v>0</v>
      </c>
    </row>
    <row r="35" spans="1:17" x14ac:dyDescent="0.15">
      <c r="A35">
        <v>34</v>
      </c>
      <c r="B35" s="175" t="s">
        <v>224</v>
      </c>
      <c r="C35">
        <v>0</v>
      </c>
      <c r="D35">
        <v>0</v>
      </c>
      <c r="E35">
        <v>0</v>
      </c>
      <c r="F35">
        <v>0</v>
      </c>
      <c r="G35">
        <v>0</v>
      </c>
      <c r="H35">
        <v>0</v>
      </c>
      <c r="I35">
        <v>0</v>
      </c>
      <c r="J35">
        <v>0</v>
      </c>
      <c r="K35">
        <v>0</v>
      </c>
      <c r="L35">
        <v>0</v>
      </c>
      <c r="M35">
        <v>0</v>
      </c>
      <c r="N35">
        <v>0</v>
      </c>
      <c r="O35">
        <v>0</v>
      </c>
      <c r="P35">
        <v>0</v>
      </c>
      <c r="Q35">
        <v>0</v>
      </c>
    </row>
    <row r="36" spans="1:17" x14ac:dyDescent="0.15">
      <c r="A36">
        <v>35</v>
      </c>
      <c r="B36" s="175" t="s">
        <v>225</v>
      </c>
      <c r="C36">
        <v>0</v>
      </c>
      <c r="D36">
        <v>0</v>
      </c>
      <c r="E36">
        <v>0</v>
      </c>
      <c r="F36">
        <v>0</v>
      </c>
      <c r="G36">
        <v>0</v>
      </c>
      <c r="H36">
        <v>0</v>
      </c>
      <c r="I36">
        <v>0</v>
      </c>
      <c r="J36">
        <v>0</v>
      </c>
      <c r="K36">
        <v>0</v>
      </c>
      <c r="L36">
        <v>0</v>
      </c>
      <c r="M36">
        <v>0</v>
      </c>
      <c r="N36">
        <v>0</v>
      </c>
      <c r="O36">
        <v>0</v>
      </c>
      <c r="P36">
        <v>0</v>
      </c>
      <c r="Q36">
        <v>0</v>
      </c>
    </row>
    <row r="37" spans="1:17" x14ac:dyDescent="0.15">
      <c r="A37">
        <v>36</v>
      </c>
      <c r="B37" s="175" t="s">
        <v>226</v>
      </c>
      <c r="C37">
        <v>0</v>
      </c>
      <c r="D37">
        <v>0</v>
      </c>
      <c r="E37">
        <v>0</v>
      </c>
      <c r="F37">
        <v>0</v>
      </c>
      <c r="G37">
        <v>0</v>
      </c>
      <c r="H37">
        <v>0</v>
      </c>
      <c r="I37">
        <v>0</v>
      </c>
      <c r="J37">
        <v>0</v>
      </c>
      <c r="K37">
        <v>0</v>
      </c>
      <c r="L37">
        <v>0</v>
      </c>
      <c r="M37">
        <v>0</v>
      </c>
      <c r="N37">
        <v>0</v>
      </c>
      <c r="O37">
        <v>0</v>
      </c>
      <c r="P37">
        <v>0</v>
      </c>
      <c r="Q37">
        <v>0</v>
      </c>
    </row>
    <row r="38" spans="1:17" x14ac:dyDescent="0.15">
      <c r="A38">
        <v>37</v>
      </c>
      <c r="B38" s="175" t="s">
        <v>227</v>
      </c>
      <c r="C38">
        <v>0</v>
      </c>
      <c r="D38">
        <v>0</v>
      </c>
      <c r="E38">
        <v>0</v>
      </c>
      <c r="F38">
        <v>0</v>
      </c>
      <c r="G38">
        <v>0</v>
      </c>
      <c r="H38">
        <v>0</v>
      </c>
      <c r="I38">
        <v>0</v>
      </c>
      <c r="J38">
        <v>0</v>
      </c>
      <c r="K38">
        <v>0</v>
      </c>
      <c r="L38">
        <v>0</v>
      </c>
      <c r="M38">
        <v>0</v>
      </c>
      <c r="N38">
        <v>0</v>
      </c>
      <c r="O38">
        <v>0</v>
      </c>
      <c r="P38">
        <v>0</v>
      </c>
      <c r="Q38">
        <v>0</v>
      </c>
    </row>
    <row r="39" spans="1:17" x14ac:dyDescent="0.15">
      <c r="A39">
        <v>38</v>
      </c>
      <c r="B39" s="175" t="s">
        <v>228</v>
      </c>
      <c r="C39">
        <v>0</v>
      </c>
      <c r="D39">
        <v>0</v>
      </c>
      <c r="E39">
        <v>0</v>
      </c>
      <c r="F39">
        <v>0</v>
      </c>
      <c r="G39">
        <v>0</v>
      </c>
      <c r="H39">
        <v>0</v>
      </c>
      <c r="I39">
        <v>0</v>
      </c>
      <c r="J39">
        <v>0</v>
      </c>
      <c r="K39">
        <v>0</v>
      </c>
      <c r="L39">
        <v>0</v>
      </c>
      <c r="M39">
        <v>0</v>
      </c>
      <c r="N39">
        <v>0</v>
      </c>
      <c r="O39">
        <v>0</v>
      </c>
      <c r="P39">
        <v>0</v>
      </c>
      <c r="Q39">
        <v>0</v>
      </c>
    </row>
    <row r="40" spans="1:17" x14ac:dyDescent="0.15">
      <c r="A40">
        <v>39</v>
      </c>
      <c r="B40" s="175" t="s">
        <v>229</v>
      </c>
      <c r="C40">
        <v>0</v>
      </c>
      <c r="D40">
        <v>0</v>
      </c>
      <c r="E40">
        <v>0</v>
      </c>
      <c r="F40">
        <v>0</v>
      </c>
      <c r="G40">
        <v>0</v>
      </c>
      <c r="H40">
        <v>0</v>
      </c>
      <c r="I40">
        <v>0</v>
      </c>
      <c r="J40">
        <v>0</v>
      </c>
      <c r="K40">
        <v>0</v>
      </c>
      <c r="L40">
        <v>0</v>
      </c>
      <c r="M40">
        <v>0</v>
      </c>
      <c r="N40">
        <v>0</v>
      </c>
      <c r="O40">
        <v>0</v>
      </c>
      <c r="P40">
        <v>0</v>
      </c>
      <c r="Q40">
        <v>0</v>
      </c>
    </row>
    <row r="41" spans="1:17" x14ac:dyDescent="0.15">
      <c r="A41">
        <v>40</v>
      </c>
      <c r="B41" s="175" t="s">
        <v>230</v>
      </c>
      <c r="C41">
        <v>0</v>
      </c>
      <c r="D41">
        <v>0</v>
      </c>
      <c r="E41">
        <v>0</v>
      </c>
      <c r="F41">
        <v>0</v>
      </c>
      <c r="G41">
        <v>0</v>
      </c>
      <c r="H41">
        <v>0</v>
      </c>
      <c r="I41">
        <v>0</v>
      </c>
      <c r="J41">
        <v>0</v>
      </c>
      <c r="K41">
        <v>0</v>
      </c>
      <c r="L41">
        <v>0</v>
      </c>
      <c r="M41">
        <v>0</v>
      </c>
      <c r="N41">
        <v>0</v>
      </c>
      <c r="O41">
        <v>0</v>
      </c>
      <c r="P41">
        <v>0</v>
      </c>
      <c r="Q41">
        <v>0</v>
      </c>
    </row>
    <row r="42" spans="1:17" x14ac:dyDescent="0.15">
      <c r="A42">
        <v>41</v>
      </c>
      <c r="B42" s="175" t="s">
        <v>231</v>
      </c>
      <c r="C42">
        <v>0</v>
      </c>
      <c r="D42">
        <v>0</v>
      </c>
      <c r="E42">
        <v>0</v>
      </c>
      <c r="F42">
        <v>0</v>
      </c>
      <c r="G42">
        <v>0</v>
      </c>
      <c r="H42">
        <v>0</v>
      </c>
      <c r="I42">
        <v>0</v>
      </c>
      <c r="J42">
        <v>0</v>
      </c>
      <c r="K42">
        <v>0</v>
      </c>
      <c r="L42">
        <v>0</v>
      </c>
      <c r="M42">
        <v>0</v>
      </c>
      <c r="N42">
        <v>0</v>
      </c>
      <c r="O42">
        <v>0</v>
      </c>
      <c r="P42">
        <v>0</v>
      </c>
      <c r="Q42">
        <v>0</v>
      </c>
    </row>
    <row r="43" spans="1:17" x14ac:dyDescent="0.15">
      <c r="A43">
        <v>42</v>
      </c>
      <c r="B43" s="175" t="s">
        <v>232</v>
      </c>
      <c r="C43">
        <v>0</v>
      </c>
      <c r="D43">
        <v>0</v>
      </c>
      <c r="E43">
        <v>0</v>
      </c>
      <c r="F43">
        <v>0</v>
      </c>
      <c r="G43">
        <v>0</v>
      </c>
      <c r="H43">
        <v>0</v>
      </c>
      <c r="I43">
        <v>0</v>
      </c>
      <c r="J43">
        <v>0</v>
      </c>
      <c r="K43">
        <v>0</v>
      </c>
      <c r="L43">
        <v>0</v>
      </c>
      <c r="M43">
        <v>0</v>
      </c>
      <c r="N43">
        <v>0</v>
      </c>
      <c r="O43">
        <v>0</v>
      </c>
      <c r="P43">
        <v>0</v>
      </c>
      <c r="Q43">
        <v>0</v>
      </c>
    </row>
    <row r="44" spans="1:17" x14ac:dyDescent="0.15">
      <c r="A44">
        <v>43</v>
      </c>
      <c r="B44" s="175" t="s">
        <v>233</v>
      </c>
      <c r="C44">
        <v>0</v>
      </c>
      <c r="D44">
        <v>0</v>
      </c>
      <c r="E44">
        <v>0</v>
      </c>
      <c r="F44">
        <v>0</v>
      </c>
      <c r="G44">
        <v>0</v>
      </c>
      <c r="H44">
        <v>0</v>
      </c>
      <c r="I44">
        <v>0</v>
      </c>
      <c r="J44">
        <v>0</v>
      </c>
      <c r="K44">
        <v>0</v>
      </c>
      <c r="L44">
        <v>0</v>
      </c>
      <c r="M44">
        <v>0</v>
      </c>
      <c r="N44">
        <v>0</v>
      </c>
      <c r="O44">
        <v>0</v>
      </c>
      <c r="P44">
        <v>0</v>
      </c>
      <c r="Q44">
        <v>0</v>
      </c>
    </row>
    <row r="45" spans="1:17" x14ac:dyDescent="0.15">
      <c r="A45">
        <v>44</v>
      </c>
      <c r="B45" s="175" t="s">
        <v>234</v>
      </c>
      <c r="C45">
        <v>0</v>
      </c>
      <c r="D45">
        <v>0</v>
      </c>
      <c r="E45">
        <v>0</v>
      </c>
      <c r="F45">
        <v>0</v>
      </c>
      <c r="G45">
        <v>0</v>
      </c>
      <c r="H45">
        <v>0</v>
      </c>
      <c r="I45">
        <v>0</v>
      </c>
      <c r="J45">
        <v>0</v>
      </c>
      <c r="K45">
        <v>0</v>
      </c>
      <c r="L45">
        <v>0</v>
      </c>
      <c r="M45">
        <v>0</v>
      </c>
      <c r="N45">
        <v>0</v>
      </c>
      <c r="O45">
        <v>0</v>
      </c>
      <c r="P45">
        <v>0</v>
      </c>
      <c r="Q45">
        <v>0</v>
      </c>
    </row>
    <row r="46" spans="1:17" x14ac:dyDescent="0.15">
      <c r="A46">
        <v>45</v>
      </c>
      <c r="B46" s="175" t="s">
        <v>235</v>
      </c>
      <c r="C46">
        <v>0</v>
      </c>
      <c r="D46">
        <v>0</v>
      </c>
      <c r="E46">
        <v>0</v>
      </c>
      <c r="F46">
        <v>0</v>
      </c>
      <c r="G46">
        <v>0</v>
      </c>
      <c r="H46">
        <v>0</v>
      </c>
      <c r="I46">
        <v>0</v>
      </c>
      <c r="J46">
        <v>0</v>
      </c>
      <c r="K46">
        <v>0</v>
      </c>
      <c r="L46">
        <v>0</v>
      </c>
      <c r="M46">
        <v>0</v>
      </c>
      <c r="N46">
        <v>0</v>
      </c>
      <c r="O46">
        <v>0</v>
      </c>
      <c r="P46">
        <v>0</v>
      </c>
      <c r="Q46">
        <v>0</v>
      </c>
    </row>
    <row r="47" spans="1:17" x14ac:dyDescent="0.15">
      <c r="A47">
        <v>46</v>
      </c>
      <c r="B47" s="175" t="s">
        <v>236</v>
      </c>
      <c r="C47">
        <v>0</v>
      </c>
      <c r="D47">
        <v>0</v>
      </c>
      <c r="E47">
        <v>0</v>
      </c>
      <c r="F47">
        <v>0</v>
      </c>
      <c r="G47">
        <v>0</v>
      </c>
      <c r="H47">
        <v>0</v>
      </c>
      <c r="I47">
        <v>0</v>
      </c>
      <c r="J47">
        <v>0</v>
      </c>
      <c r="K47">
        <v>0</v>
      </c>
      <c r="L47">
        <v>0</v>
      </c>
      <c r="M47">
        <v>0</v>
      </c>
      <c r="N47">
        <v>0</v>
      </c>
      <c r="O47">
        <v>0</v>
      </c>
      <c r="P47">
        <v>0</v>
      </c>
      <c r="Q47">
        <v>0</v>
      </c>
    </row>
    <row r="48" spans="1:17" x14ac:dyDescent="0.15">
      <c r="A48">
        <v>47</v>
      </c>
      <c r="B48" s="175" t="s">
        <v>237</v>
      </c>
      <c r="C48">
        <v>0</v>
      </c>
      <c r="D48">
        <v>0</v>
      </c>
      <c r="E48">
        <v>0</v>
      </c>
      <c r="F48">
        <v>0</v>
      </c>
      <c r="G48">
        <v>0</v>
      </c>
      <c r="H48">
        <v>0</v>
      </c>
      <c r="I48">
        <v>0</v>
      </c>
      <c r="J48">
        <v>0</v>
      </c>
      <c r="K48">
        <v>0</v>
      </c>
      <c r="L48">
        <v>0</v>
      </c>
      <c r="M48">
        <v>0</v>
      </c>
      <c r="N48">
        <v>0</v>
      </c>
      <c r="O48">
        <v>0</v>
      </c>
      <c r="P48">
        <v>0</v>
      </c>
      <c r="Q48">
        <v>0</v>
      </c>
    </row>
    <row r="49" spans="1:17" x14ac:dyDescent="0.15">
      <c r="A49">
        <v>48</v>
      </c>
      <c r="B49" s="175" t="s">
        <v>238</v>
      </c>
      <c r="C49">
        <v>0.1</v>
      </c>
      <c r="D49">
        <v>0</v>
      </c>
      <c r="E49">
        <v>0</v>
      </c>
      <c r="F49">
        <v>0</v>
      </c>
      <c r="G49">
        <v>0</v>
      </c>
      <c r="H49">
        <v>0</v>
      </c>
      <c r="I49">
        <v>0</v>
      </c>
      <c r="J49">
        <v>0</v>
      </c>
      <c r="K49">
        <v>0</v>
      </c>
      <c r="L49">
        <v>0</v>
      </c>
      <c r="M49">
        <v>0</v>
      </c>
      <c r="N49">
        <v>0</v>
      </c>
      <c r="O49">
        <v>0</v>
      </c>
      <c r="P49">
        <v>0</v>
      </c>
      <c r="Q49">
        <v>0.1</v>
      </c>
    </row>
    <row r="50" spans="1:17" x14ac:dyDescent="0.15">
      <c r="A50">
        <v>49</v>
      </c>
      <c r="B50" s="175" t="s">
        <v>239</v>
      </c>
      <c r="C50">
        <v>0</v>
      </c>
      <c r="D50">
        <v>0</v>
      </c>
      <c r="E50">
        <v>0</v>
      </c>
      <c r="F50">
        <v>0</v>
      </c>
      <c r="G50">
        <v>0</v>
      </c>
      <c r="H50">
        <v>0</v>
      </c>
      <c r="I50">
        <v>0</v>
      </c>
      <c r="J50">
        <v>0</v>
      </c>
      <c r="K50">
        <v>0</v>
      </c>
      <c r="L50">
        <v>0</v>
      </c>
      <c r="M50">
        <v>0</v>
      </c>
      <c r="N50">
        <v>0</v>
      </c>
      <c r="O50">
        <v>0</v>
      </c>
      <c r="P50">
        <v>0</v>
      </c>
      <c r="Q50">
        <v>0</v>
      </c>
    </row>
    <row r="51" spans="1:17" x14ac:dyDescent="0.15">
      <c r="A51">
        <v>50</v>
      </c>
      <c r="B51" s="175" t="s">
        <v>240</v>
      </c>
      <c r="C51">
        <v>0</v>
      </c>
      <c r="D51">
        <v>0</v>
      </c>
      <c r="E51">
        <v>0</v>
      </c>
      <c r="F51">
        <v>0</v>
      </c>
      <c r="G51">
        <v>0</v>
      </c>
      <c r="H51">
        <v>0</v>
      </c>
      <c r="I51">
        <v>0</v>
      </c>
      <c r="J51">
        <v>0</v>
      </c>
      <c r="K51">
        <v>0</v>
      </c>
      <c r="L51">
        <v>0</v>
      </c>
      <c r="M51">
        <v>0</v>
      </c>
      <c r="N51">
        <v>0</v>
      </c>
      <c r="O51">
        <v>0</v>
      </c>
      <c r="P51">
        <v>0</v>
      </c>
      <c r="Q51">
        <v>0</v>
      </c>
    </row>
    <row r="52" spans="1:17" x14ac:dyDescent="0.15">
      <c r="A52">
        <v>51</v>
      </c>
      <c r="B52" s="175" t="s">
        <v>241</v>
      </c>
      <c r="C52">
        <v>0</v>
      </c>
      <c r="D52">
        <v>0</v>
      </c>
      <c r="E52">
        <v>0</v>
      </c>
      <c r="F52">
        <v>0</v>
      </c>
      <c r="G52">
        <v>0</v>
      </c>
      <c r="H52">
        <v>0</v>
      </c>
      <c r="I52">
        <v>0</v>
      </c>
      <c r="J52">
        <v>0</v>
      </c>
      <c r="K52">
        <v>0</v>
      </c>
      <c r="L52">
        <v>0</v>
      </c>
      <c r="M52">
        <v>0</v>
      </c>
      <c r="N52">
        <v>0</v>
      </c>
      <c r="O52">
        <v>0</v>
      </c>
      <c r="P52">
        <v>0</v>
      </c>
      <c r="Q52">
        <v>0</v>
      </c>
    </row>
    <row r="53" spans="1:17" x14ac:dyDescent="0.15">
      <c r="A53">
        <v>52</v>
      </c>
      <c r="B53" s="175" t="s">
        <v>242</v>
      </c>
      <c r="C53">
        <v>0</v>
      </c>
      <c r="D53">
        <v>0</v>
      </c>
      <c r="E53">
        <v>0</v>
      </c>
      <c r="F53">
        <v>0</v>
      </c>
      <c r="G53">
        <v>0</v>
      </c>
      <c r="H53">
        <v>0</v>
      </c>
      <c r="I53">
        <v>0</v>
      </c>
      <c r="J53">
        <v>0</v>
      </c>
      <c r="K53">
        <v>0</v>
      </c>
      <c r="L53">
        <v>0</v>
      </c>
      <c r="M53">
        <v>0</v>
      </c>
      <c r="N53">
        <v>0</v>
      </c>
      <c r="O53">
        <v>0</v>
      </c>
      <c r="P53">
        <v>0</v>
      </c>
      <c r="Q53">
        <v>0</v>
      </c>
    </row>
    <row r="54" spans="1:17" x14ac:dyDescent="0.15">
      <c r="A54">
        <v>53</v>
      </c>
      <c r="B54" s="175" t="s">
        <v>243</v>
      </c>
      <c r="C54">
        <v>0</v>
      </c>
      <c r="D54">
        <v>0</v>
      </c>
      <c r="E54">
        <v>0</v>
      </c>
      <c r="F54">
        <v>0</v>
      </c>
      <c r="G54">
        <v>0</v>
      </c>
      <c r="H54">
        <v>0</v>
      </c>
      <c r="I54">
        <v>0</v>
      </c>
      <c r="J54">
        <v>0</v>
      </c>
      <c r="K54">
        <v>0</v>
      </c>
      <c r="L54">
        <v>0</v>
      </c>
      <c r="M54">
        <v>0</v>
      </c>
      <c r="N54">
        <v>0</v>
      </c>
      <c r="O54">
        <v>0</v>
      </c>
      <c r="P54">
        <v>0</v>
      </c>
      <c r="Q54">
        <v>0</v>
      </c>
    </row>
    <row r="55" spans="1:17" x14ac:dyDescent="0.15">
      <c r="A55">
        <v>54</v>
      </c>
      <c r="B55" s="175" t="s">
        <v>244</v>
      </c>
      <c r="C55">
        <v>0</v>
      </c>
      <c r="D55">
        <v>0</v>
      </c>
      <c r="E55">
        <v>0</v>
      </c>
      <c r="F55">
        <v>0</v>
      </c>
      <c r="G55">
        <v>0</v>
      </c>
      <c r="H55">
        <v>0</v>
      </c>
      <c r="I55">
        <v>0</v>
      </c>
      <c r="J55">
        <v>0</v>
      </c>
      <c r="K55">
        <v>0</v>
      </c>
      <c r="L55">
        <v>0</v>
      </c>
      <c r="M55">
        <v>0</v>
      </c>
      <c r="N55">
        <v>0</v>
      </c>
      <c r="O55">
        <v>0</v>
      </c>
      <c r="P55">
        <v>0</v>
      </c>
      <c r="Q55">
        <v>0</v>
      </c>
    </row>
    <row r="56" spans="1:17" x14ac:dyDescent="0.15">
      <c r="A56">
        <v>55</v>
      </c>
      <c r="B56" s="175" t="s">
        <v>245</v>
      </c>
      <c r="C56">
        <v>0</v>
      </c>
      <c r="D56">
        <v>0</v>
      </c>
      <c r="E56">
        <v>0</v>
      </c>
      <c r="F56">
        <v>0</v>
      </c>
      <c r="G56">
        <v>0</v>
      </c>
      <c r="H56">
        <v>0</v>
      </c>
      <c r="I56">
        <v>0</v>
      </c>
      <c r="J56">
        <v>0</v>
      </c>
      <c r="K56">
        <v>0</v>
      </c>
      <c r="L56">
        <v>0</v>
      </c>
      <c r="M56">
        <v>0</v>
      </c>
      <c r="N56">
        <v>0</v>
      </c>
      <c r="O56">
        <v>0</v>
      </c>
      <c r="P56">
        <v>0</v>
      </c>
      <c r="Q56">
        <v>0</v>
      </c>
    </row>
    <row r="57" spans="1:17" x14ac:dyDescent="0.15">
      <c r="A57">
        <v>56</v>
      </c>
      <c r="B57" s="175" t="s">
        <v>246</v>
      </c>
      <c r="C57">
        <v>0</v>
      </c>
      <c r="D57">
        <v>0</v>
      </c>
      <c r="E57">
        <v>0</v>
      </c>
      <c r="F57">
        <v>1.0000000000000001E-5</v>
      </c>
      <c r="G57">
        <v>0</v>
      </c>
      <c r="H57">
        <v>0</v>
      </c>
      <c r="I57">
        <v>0</v>
      </c>
      <c r="J57">
        <v>0</v>
      </c>
      <c r="K57">
        <v>0</v>
      </c>
      <c r="L57">
        <v>0</v>
      </c>
      <c r="M57">
        <v>0</v>
      </c>
      <c r="N57">
        <v>0</v>
      </c>
      <c r="O57">
        <v>0</v>
      </c>
      <c r="P57">
        <v>0</v>
      </c>
      <c r="Q57">
        <v>1.0000000000000001E-5</v>
      </c>
    </row>
    <row r="58" spans="1:17" x14ac:dyDescent="0.15">
      <c r="A58">
        <v>57</v>
      </c>
      <c r="B58" s="175" t="s">
        <v>247</v>
      </c>
      <c r="C58">
        <v>0</v>
      </c>
      <c r="D58">
        <v>0</v>
      </c>
      <c r="E58">
        <v>0</v>
      </c>
      <c r="F58">
        <v>0</v>
      </c>
      <c r="G58">
        <v>0</v>
      </c>
      <c r="H58">
        <v>0</v>
      </c>
      <c r="I58">
        <v>0</v>
      </c>
      <c r="J58">
        <v>0</v>
      </c>
      <c r="K58">
        <v>0</v>
      </c>
      <c r="L58">
        <v>0</v>
      </c>
      <c r="M58">
        <v>0</v>
      </c>
      <c r="N58">
        <v>0</v>
      </c>
      <c r="O58">
        <v>0</v>
      </c>
      <c r="P58">
        <v>0</v>
      </c>
      <c r="Q58">
        <v>0</v>
      </c>
    </row>
    <row r="59" spans="1:17" x14ac:dyDescent="0.15">
      <c r="A59">
        <v>58</v>
      </c>
      <c r="B59" s="175" t="s">
        <v>248</v>
      </c>
      <c r="C59">
        <v>0</v>
      </c>
      <c r="D59">
        <v>0</v>
      </c>
      <c r="E59">
        <v>0</v>
      </c>
      <c r="F59">
        <v>0</v>
      </c>
      <c r="G59">
        <v>0</v>
      </c>
      <c r="H59">
        <v>0</v>
      </c>
      <c r="I59">
        <v>0</v>
      </c>
      <c r="J59">
        <v>0</v>
      </c>
      <c r="K59">
        <v>0</v>
      </c>
      <c r="L59">
        <v>0</v>
      </c>
      <c r="M59">
        <v>0</v>
      </c>
      <c r="N59">
        <v>0</v>
      </c>
      <c r="O59">
        <v>0</v>
      </c>
      <c r="P59">
        <v>0</v>
      </c>
      <c r="Q59">
        <v>0</v>
      </c>
    </row>
    <row r="60" spans="1:17" x14ac:dyDescent="0.15">
      <c r="A60">
        <v>59</v>
      </c>
      <c r="B60" s="175" t="s">
        <v>249</v>
      </c>
      <c r="C60">
        <v>0</v>
      </c>
      <c r="D60">
        <v>0</v>
      </c>
      <c r="E60">
        <v>0</v>
      </c>
      <c r="F60">
        <v>0</v>
      </c>
      <c r="G60">
        <v>0</v>
      </c>
      <c r="H60">
        <v>0</v>
      </c>
      <c r="I60">
        <v>0</v>
      </c>
      <c r="J60">
        <v>0</v>
      </c>
      <c r="K60">
        <v>0</v>
      </c>
      <c r="L60">
        <v>0</v>
      </c>
      <c r="M60">
        <v>0</v>
      </c>
      <c r="N60">
        <v>0</v>
      </c>
      <c r="O60">
        <v>0</v>
      </c>
      <c r="P60">
        <v>0</v>
      </c>
      <c r="Q60">
        <v>0</v>
      </c>
    </row>
    <row r="61" spans="1:17" x14ac:dyDescent="0.15">
      <c r="A61">
        <v>60</v>
      </c>
      <c r="B61" s="175" t="s">
        <v>250</v>
      </c>
      <c r="C61">
        <v>0</v>
      </c>
      <c r="D61">
        <v>0</v>
      </c>
      <c r="E61">
        <v>0</v>
      </c>
      <c r="F61">
        <v>0</v>
      </c>
      <c r="G61">
        <v>0</v>
      </c>
      <c r="H61">
        <v>0</v>
      </c>
      <c r="I61">
        <v>0</v>
      </c>
      <c r="J61">
        <v>0</v>
      </c>
      <c r="K61">
        <v>0</v>
      </c>
      <c r="L61">
        <v>0</v>
      </c>
      <c r="M61">
        <v>0</v>
      </c>
      <c r="N61">
        <v>0</v>
      </c>
      <c r="O61">
        <v>0</v>
      </c>
      <c r="P61">
        <v>0</v>
      </c>
      <c r="Q61">
        <v>0</v>
      </c>
    </row>
    <row r="62" spans="1:17" x14ac:dyDescent="0.15">
      <c r="A62">
        <v>61</v>
      </c>
      <c r="B62" s="175" t="s">
        <v>251</v>
      </c>
      <c r="C62">
        <v>0</v>
      </c>
      <c r="D62">
        <v>0</v>
      </c>
      <c r="E62">
        <v>0</v>
      </c>
      <c r="F62">
        <v>0</v>
      </c>
      <c r="G62">
        <v>0</v>
      </c>
      <c r="H62">
        <v>0</v>
      </c>
      <c r="I62">
        <v>0</v>
      </c>
      <c r="J62">
        <v>0</v>
      </c>
      <c r="K62">
        <v>0</v>
      </c>
      <c r="L62">
        <v>0</v>
      </c>
      <c r="M62">
        <v>0</v>
      </c>
      <c r="N62">
        <v>0</v>
      </c>
      <c r="O62">
        <v>0</v>
      </c>
      <c r="P62">
        <v>0</v>
      </c>
      <c r="Q62">
        <v>0</v>
      </c>
    </row>
    <row r="63" spans="1:17" x14ac:dyDescent="0.15">
      <c r="A63">
        <v>62</v>
      </c>
      <c r="B63" s="175" t="s">
        <v>252</v>
      </c>
      <c r="C63">
        <v>0</v>
      </c>
      <c r="D63">
        <v>0</v>
      </c>
      <c r="E63">
        <v>0</v>
      </c>
      <c r="F63">
        <v>0</v>
      </c>
      <c r="G63">
        <v>0</v>
      </c>
      <c r="H63">
        <v>0</v>
      </c>
      <c r="I63">
        <v>0</v>
      </c>
      <c r="J63">
        <v>0</v>
      </c>
      <c r="K63">
        <v>0</v>
      </c>
      <c r="L63">
        <v>0</v>
      </c>
      <c r="M63">
        <v>0</v>
      </c>
      <c r="N63">
        <v>0</v>
      </c>
      <c r="O63">
        <v>0</v>
      </c>
      <c r="P63">
        <v>0</v>
      </c>
      <c r="Q63">
        <v>0</v>
      </c>
    </row>
    <row r="64" spans="1:17" x14ac:dyDescent="0.15">
      <c r="A64">
        <v>63</v>
      </c>
      <c r="B64" s="175" t="s">
        <v>253</v>
      </c>
      <c r="C64">
        <v>0</v>
      </c>
      <c r="D64">
        <v>0</v>
      </c>
      <c r="E64">
        <v>0</v>
      </c>
      <c r="F64">
        <v>0</v>
      </c>
      <c r="G64">
        <v>0</v>
      </c>
      <c r="H64">
        <v>0</v>
      </c>
      <c r="I64">
        <v>0</v>
      </c>
      <c r="J64">
        <v>0</v>
      </c>
      <c r="K64">
        <v>0</v>
      </c>
      <c r="L64">
        <v>0</v>
      </c>
      <c r="M64">
        <v>0</v>
      </c>
      <c r="N64">
        <v>0</v>
      </c>
      <c r="O64">
        <v>0</v>
      </c>
      <c r="P64">
        <v>0</v>
      </c>
      <c r="Q64">
        <v>0</v>
      </c>
    </row>
    <row r="65" spans="1:17" x14ac:dyDescent="0.15">
      <c r="A65">
        <v>64</v>
      </c>
      <c r="B65" s="175" t="s">
        <v>254</v>
      </c>
      <c r="C65">
        <v>0</v>
      </c>
      <c r="D65">
        <v>0</v>
      </c>
      <c r="E65">
        <v>0</v>
      </c>
      <c r="F65">
        <v>0</v>
      </c>
      <c r="G65">
        <v>0</v>
      </c>
      <c r="H65">
        <v>0</v>
      </c>
      <c r="I65">
        <v>0</v>
      </c>
      <c r="J65">
        <v>0</v>
      </c>
      <c r="K65">
        <v>0</v>
      </c>
      <c r="L65">
        <v>0</v>
      </c>
      <c r="M65">
        <v>0</v>
      </c>
      <c r="N65">
        <v>0</v>
      </c>
      <c r="O65">
        <v>0</v>
      </c>
      <c r="P65">
        <v>0</v>
      </c>
      <c r="Q65">
        <v>0</v>
      </c>
    </row>
    <row r="66" spans="1:17" x14ac:dyDescent="0.15">
      <c r="A66">
        <v>65</v>
      </c>
      <c r="B66" s="175" t="s">
        <v>255</v>
      </c>
      <c r="C66">
        <v>0</v>
      </c>
      <c r="D66">
        <v>0</v>
      </c>
      <c r="E66">
        <v>0</v>
      </c>
      <c r="F66">
        <v>0</v>
      </c>
      <c r="G66">
        <v>0</v>
      </c>
      <c r="H66">
        <v>0</v>
      </c>
      <c r="I66">
        <v>0</v>
      </c>
      <c r="J66">
        <v>0</v>
      </c>
      <c r="K66">
        <v>0</v>
      </c>
      <c r="L66">
        <v>0</v>
      </c>
      <c r="M66">
        <v>0</v>
      </c>
      <c r="N66">
        <v>0</v>
      </c>
      <c r="O66">
        <v>0</v>
      </c>
      <c r="P66">
        <v>0</v>
      </c>
      <c r="Q66">
        <v>0</v>
      </c>
    </row>
    <row r="67" spans="1:17" x14ac:dyDescent="0.15">
      <c r="A67">
        <v>66</v>
      </c>
      <c r="B67" s="175" t="s">
        <v>256</v>
      </c>
      <c r="C67">
        <v>0</v>
      </c>
      <c r="D67">
        <v>0</v>
      </c>
      <c r="E67">
        <v>0</v>
      </c>
      <c r="F67">
        <v>0</v>
      </c>
      <c r="G67">
        <v>0</v>
      </c>
      <c r="H67">
        <v>0</v>
      </c>
      <c r="I67">
        <v>0</v>
      </c>
      <c r="J67">
        <v>0</v>
      </c>
      <c r="K67">
        <v>0</v>
      </c>
      <c r="L67">
        <v>0</v>
      </c>
      <c r="M67">
        <v>0</v>
      </c>
      <c r="N67">
        <v>0</v>
      </c>
      <c r="O67">
        <v>0</v>
      </c>
      <c r="P67">
        <v>0</v>
      </c>
      <c r="Q67">
        <v>0</v>
      </c>
    </row>
    <row r="68" spans="1:17" x14ac:dyDescent="0.15">
      <c r="A68">
        <v>67</v>
      </c>
      <c r="B68" s="175" t="s">
        <v>257</v>
      </c>
      <c r="C68">
        <v>0</v>
      </c>
      <c r="D68">
        <v>0</v>
      </c>
      <c r="E68">
        <v>0</v>
      </c>
      <c r="F68">
        <v>0</v>
      </c>
      <c r="G68">
        <v>0</v>
      </c>
      <c r="H68">
        <v>0</v>
      </c>
      <c r="I68">
        <v>0</v>
      </c>
      <c r="J68">
        <v>0</v>
      </c>
      <c r="K68">
        <v>0</v>
      </c>
      <c r="L68">
        <v>0</v>
      </c>
      <c r="M68">
        <v>0</v>
      </c>
      <c r="N68">
        <v>0</v>
      </c>
      <c r="O68">
        <v>0</v>
      </c>
      <c r="P68">
        <v>0</v>
      </c>
      <c r="Q68">
        <v>0</v>
      </c>
    </row>
    <row r="69" spans="1:17" x14ac:dyDescent="0.15">
      <c r="A69">
        <v>68</v>
      </c>
      <c r="B69" s="175" t="s">
        <v>258</v>
      </c>
      <c r="C69">
        <v>0</v>
      </c>
      <c r="D69">
        <v>0</v>
      </c>
      <c r="E69">
        <v>0</v>
      </c>
      <c r="F69">
        <v>0</v>
      </c>
      <c r="G69">
        <v>0</v>
      </c>
      <c r="H69">
        <v>0</v>
      </c>
      <c r="I69">
        <v>0</v>
      </c>
      <c r="J69">
        <v>0</v>
      </c>
      <c r="K69">
        <v>0</v>
      </c>
      <c r="L69">
        <v>0</v>
      </c>
      <c r="M69">
        <v>0</v>
      </c>
      <c r="N69">
        <v>0</v>
      </c>
      <c r="O69">
        <v>0</v>
      </c>
      <c r="P69">
        <v>0</v>
      </c>
      <c r="Q69">
        <v>0</v>
      </c>
    </row>
    <row r="70" spans="1:17" x14ac:dyDescent="0.15">
      <c r="A70">
        <v>69</v>
      </c>
      <c r="B70" s="175" t="s">
        <v>259</v>
      </c>
      <c r="C70">
        <v>0</v>
      </c>
      <c r="D70">
        <v>0</v>
      </c>
      <c r="E70">
        <v>0</v>
      </c>
      <c r="F70">
        <v>0</v>
      </c>
      <c r="G70">
        <v>0</v>
      </c>
      <c r="H70">
        <v>0</v>
      </c>
      <c r="I70">
        <v>0</v>
      </c>
      <c r="J70">
        <v>0</v>
      </c>
      <c r="K70">
        <v>0</v>
      </c>
      <c r="L70">
        <v>0</v>
      </c>
      <c r="M70">
        <v>0</v>
      </c>
      <c r="N70">
        <v>0</v>
      </c>
      <c r="O70">
        <v>0</v>
      </c>
      <c r="P70">
        <v>0</v>
      </c>
      <c r="Q70">
        <v>0</v>
      </c>
    </row>
    <row r="71" spans="1:17" x14ac:dyDescent="0.15">
      <c r="A71">
        <v>70</v>
      </c>
      <c r="B71" s="175" t="s">
        <v>260</v>
      </c>
      <c r="C71">
        <v>0</v>
      </c>
      <c r="D71">
        <v>0</v>
      </c>
      <c r="E71">
        <v>0</v>
      </c>
      <c r="F71">
        <v>0</v>
      </c>
      <c r="G71">
        <v>0</v>
      </c>
      <c r="H71">
        <v>0</v>
      </c>
      <c r="I71">
        <v>0</v>
      </c>
      <c r="J71">
        <v>0</v>
      </c>
      <c r="K71">
        <v>0</v>
      </c>
      <c r="L71">
        <v>0</v>
      </c>
      <c r="M71">
        <v>0</v>
      </c>
      <c r="N71">
        <v>0</v>
      </c>
      <c r="O71">
        <v>0</v>
      </c>
      <c r="P71">
        <v>0</v>
      </c>
      <c r="Q71">
        <v>0</v>
      </c>
    </row>
    <row r="72" spans="1:17" x14ac:dyDescent="0.15">
      <c r="A72">
        <v>71</v>
      </c>
      <c r="B72" s="175" t="s">
        <v>261</v>
      </c>
      <c r="C72">
        <v>0</v>
      </c>
      <c r="D72">
        <v>0</v>
      </c>
      <c r="E72">
        <v>0</v>
      </c>
      <c r="F72">
        <v>0</v>
      </c>
      <c r="G72">
        <v>0</v>
      </c>
      <c r="H72">
        <v>0</v>
      </c>
      <c r="I72">
        <v>0</v>
      </c>
      <c r="J72">
        <v>0</v>
      </c>
      <c r="K72">
        <v>0</v>
      </c>
      <c r="L72">
        <v>0</v>
      </c>
      <c r="M72">
        <v>0</v>
      </c>
      <c r="N72">
        <v>0</v>
      </c>
      <c r="O72">
        <v>0</v>
      </c>
      <c r="P72">
        <v>0</v>
      </c>
      <c r="Q72">
        <v>0</v>
      </c>
    </row>
    <row r="73" spans="1:17" x14ac:dyDescent="0.15">
      <c r="A73">
        <v>72</v>
      </c>
      <c r="B73" s="175" t="s">
        <v>262</v>
      </c>
      <c r="C73">
        <v>0</v>
      </c>
      <c r="D73">
        <v>0</v>
      </c>
      <c r="E73">
        <v>0</v>
      </c>
      <c r="F73">
        <v>0</v>
      </c>
      <c r="G73">
        <v>0</v>
      </c>
      <c r="H73">
        <v>0</v>
      </c>
      <c r="I73">
        <v>0</v>
      </c>
      <c r="J73">
        <v>0</v>
      </c>
      <c r="K73">
        <v>0</v>
      </c>
      <c r="L73">
        <v>0</v>
      </c>
      <c r="M73">
        <v>0</v>
      </c>
      <c r="N73">
        <v>0</v>
      </c>
      <c r="O73">
        <v>0</v>
      </c>
      <c r="P73">
        <v>0</v>
      </c>
      <c r="Q73">
        <v>0</v>
      </c>
    </row>
    <row r="74" spans="1:17" x14ac:dyDescent="0.15">
      <c r="A74">
        <v>73</v>
      </c>
      <c r="B74" s="175" t="s">
        <v>263</v>
      </c>
      <c r="C74">
        <v>0</v>
      </c>
      <c r="D74">
        <v>0</v>
      </c>
      <c r="E74">
        <v>0</v>
      </c>
      <c r="F74">
        <v>0</v>
      </c>
      <c r="G74">
        <v>0</v>
      </c>
      <c r="H74">
        <v>0</v>
      </c>
      <c r="I74">
        <v>0</v>
      </c>
      <c r="J74">
        <v>0</v>
      </c>
      <c r="K74">
        <v>0</v>
      </c>
      <c r="L74">
        <v>0</v>
      </c>
      <c r="M74">
        <v>0</v>
      </c>
      <c r="N74">
        <v>0</v>
      </c>
      <c r="O74">
        <v>0</v>
      </c>
      <c r="P74">
        <v>0</v>
      </c>
      <c r="Q74">
        <v>0</v>
      </c>
    </row>
    <row r="75" spans="1:17" x14ac:dyDescent="0.15">
      <c r="A75">
        <v>74</v>
      </c>
      <c r="B75" s="175" t="s">
        <v>264</v>
      </c>
      <c r="C75">
        <v>0</v>
      </c>
      <c r="D75">
        <v>0</v>
      </c>
      <c r="E75">
        <v>0</v>
      </c>
      <c r="F75">
        <v>0</v>
      </c>
      <c r="G75">
        <v>0</v>
      </c>
      <c r="H75">
        <v>0</v>
      </c>
      <c r="I75">
        <v>0</v>
      </c>
      <c r="J75">
        <v>0</v>
      </c>
      <c r="K75">
        <v>0</v>
      </c>
      <c r="L75">
        <v>0</v>
      </c>
      <c r="M75">
        <v>0</v>
      </c>
      <c r="N75">
        <v>0</v>
      </c>
      <c r="O75">
        <v>0</v>
      </c>
      <c r="P75">
        <v>0</v>
      </c>
      <c r="Q75">
        <v>0</v>
      </c>
    </row>
    <row r="76" spans="1:17" x14ac:dyDescent="0.15">
      <c r="A76">
        <v>75</v>
      </c>
      <c r="B76" s="175" t="s">
        <v>265</v>
      </c>
      <c r="C76">
        <v>0</v>
      </c>
      <c r="D76">
        <v>0</v>
      </c>
      <c r="E76">
        <v>0</v>
      </c>
      <c r="F76">
        <v>0</v>
      </c>
      <c r="G76">
        <v>0</v>
      </c>
      <c r="H76">
        <v>0</v>
      </c>
      <c r="I76">
        <v>0</v>
      </c>
      <c r="J76">
        <v>0</v>
      </c>
      <c r="K76">
        <v>0</v>
      </c>
      <c r="L76">
        <v>0</v>
      </c>
      <c r="M76">
        <v>0</v>
      </c>
      <c r="N76">
        <v>0</v>
      </c>
      <c r="O76">
        <v>0</v>
      </c>
      <c r="P76">
        <v>0</v>
      </c>
      <c r="Q76">
        <v>0</v>
      </c>
    </row>
    <row r="77" spans="1:17" x14ac:dyDescent="0.15">
      <c r="A77">
        <v>76</v>
      </c>
      <c r="B77" s="175" t="s">
        <v>266</v>
      </c>
      <c r="C77">
        <v>0</v>
      </c>
      <c r="D77">
        <v>0</v>
      </c>
      <c r="E77">
        <v>0</v>
      </c>
      <c r="F77">
        <v>0</v>
      </c>
      <c r="G77">
        <v>0</v>
      </c>
      <c r="H77">
        <v>0</v>
      </c>
      <c r="I77">
        <v>0</v>
      </c>
      <c r="J77">
        <v>0</v>
      </c>
      <c r="K77">
        <v>0</v>
      </c>
      <c r="L77">
        <v>0</v>
      </c>
      <c r="M77">
        <v>0</v>
      </c>
      <c r="N77">
        <v>0</v>
      </c>
      <c r="O77">
        <v>0</v>
      </c>
      <c r="P77">
        <v>0</v>
      </c>
      <c r="Q77">
        <v>0</v>
      </c>
    </row>
    <row r="78" spans="1:17" x14ac:dyDescent="0.15">
      <c r="A78">
        <v>77</v>
      </c>
      <c r="B78" s="175" t="s">
        <v>267</v>
      </c>
      <c r="C78">
        <v>0</v>
      </c>
      <c r="D78">
        <v>0</v>
      </c>
      <c r="E78">
        <v>0</v>
      </c>
      <c r="F78">
        <v>0</v>
      </c>
      <c r="G78">
        <v>0</v>
      </c>
      <c r="H78">
        <v>0</v>
      </c>
      <c r="I78">
        <v>0</v>
      </c>
      <c r="J78">
        <v>0</v>
      </c>
      <c r="K78">
        <v>0</v>
      </c>
      <c r="L78">
        <v>0</v>
      </c>
      <c r="M78">
        <v>0</v>
      </c>
      <c r="N78">
        <v>0</v>
      </c>
      <c r="O78">
        <v>0</v>
      </c>
      <c r="P78">
        <v>0</v>
      </c>
      <c r="Q78">
        <v>0</v>
      </c>
    </row>
    <row r="79" spans="1:17" x14ac:dyDescent="0.15">
      <c r="A79">
        <v>78</v>
      </c>
      <c r="B79" s="175" t="s">
        <v>268</v>
      </c>
      <c r="C79">
        <v>0</v>
      </c>
      <c r="D79">
        <v>0</v>
      </c>
      <c r="E79">
        <v>0</v>
      </c>
      <c r="F79">
        <v>0</v>
      </c>
      <c r="G79">
        <v>0</v>
      </c>
      <c r="H79">
        <v>0</v>
      </c>
      <c r="I79">
        <v>0</v>
      </c>
      <c r="J79">
        <v>0</v>
      </c>
      <c r="K79">
        <v>0</v>
      </c>
      <c r="L79">
        <v>0</v>
      </c>
      <c r="M79">
        <v>0</v>
      </c>
      <c r="N79">
        <v>0</v>
      </c>
      <c r="O79">
        <v>0</v>
      </c>
      <c r="P79">
        <v>0</v>
      </c>
      <c r="Q79">
        <v>0</v>
      </c>
    </row>
    <row r="80" spans="1:17" x14ac:dyDescent="0.15">
      <c r="A80">
        <v>79</v>
      </c>
      <c r="B80" s="175" t="s">
        <v>269</v>
      </c>
      <c r="C80">
        <v>0</v>
      </c>
      <c r="D80">
        <v>0</v>
      </c>
      <c r="E80">
        <v>0</v>
      </c>
      <c r="F80">
        <v>0</v>
      </c>
      <c r="G80">
        <v>0</v>
      </c>
      <c r="H80">
        <v>0</v>
      </c>
      <c r="I80">
        <v>0</v>
      </c>
      <c r="J80">
        <v>0</v>
      </c>
      <c r="K80">
        <v>0</v>
      </c>
      <c r="L80">
        <v>0</v>
      </c>
      <c r="M80">
        <v>0</v>
      </c>
      <c r="N80">
        <v>0</v>
      </c>
      <c r="O80">
        <v>0</v>
      </c>
      <c r="P80">
        <v>0</v>
      </c>
      <c r="Q80">
        <v>0</v>
      </c>
    </row>
    <row r="81" spans="1:17" x14ac:dyDescent="0.15">
      <c r="A81">
        <v>80</v>
      </c>
      <c r="B81" s="175" t="s">
        <v>270</v>
      </c>
      <c r="C81">
        <v>0</v>
      </c>
      <c r="D81">
        <v>0</v>
      </c>
      <c r="E81">
        <v>0</v>
      </c>
      <c r="F81">
        <v>0</v>
      </c>
      <c r="G81">
        <v>0</v>
      </c>
      <c r="H81">
        <v>0</v>
      </c>
      <c r="I81">
        <v>0</v>
      </c>
      <c r="J81">
        <v>0</v>
      </c>
      <c r="K81">
        <v>0</v>
      </c>
      <c r="L81">
        <v>0</v>
      </c>
      <c r="M81">
        <v>0</v>
      </c>
      <c r="N81">
        <v>0</v>
      </c>
      <c r="O81">
        <v>0</v>
      </c>
      <c r="P81">
        <v>0</v>
      </c>
      <c r="Q81">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29.6640625" bestFit="1" customWidth="1"/>
    <col min="6" max="6" width="4.83203125" bestFit="1" customWidth="1"/>
    <col min="7" max="9" width="3.83203125" bestFit="1" customWidth="1"/>
    <col min="10" max="11" width="4.83203125" style="109"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11" customFormat="1" ht="14" thickBot="1" x14ac:dyDescent="0.2">
      <c r="D1" s="112" t="s">
        <v>8</v>
      </c>
      <c r="E1" s="112" t="s">
        <v>0</v>
      </c>
      <c r="F1" s="113" t="s">
        <v>99</v>
      </c>
      <c r="G1" s="114" t="s">
        <v>84</v>
      </c>
      <c r="H1" s="114" t="s">
        <v>85</v>
      </c>
      <c r="I1" s="114" t="s">
        <v>86</v>
      </c>
      <c r="J1" s="114" t="s">
        <v>87</v>
      </c>
      <c r="K1" s="114" t="s">
        <v>88</v>
      </c>
      <c r="L1" s="115" t="s">
        <v>89</v>
      </c>
      <c r="M1" s="115" t="s">
        <v>93</v>
      </c>
      <c r="N1" s="115" t="s">
        <v>92</v>
      </c>
      <c r="O1" s="115" t="s">
        <v>90</v>
      </c>
      <c r="P1" s="115" t="s">
        <v>91</v>
      </c>
      <c r="Q1" s="116" t="s">
        <v>94</v>
      </c>
      <c r="R1" s="116" t="s">
        <v>95</v>
      </c>
      <c r="S1" s="116" t="s">
        <v>96</v>
      </c>
      <c r="T1" s="116" t="s">
        <v>97</v>
      </c>
      <c r="U1" s="116" t="s">
        <v>98</v>
      </c>
      <c r="V1" s="114" t="s">
        <v>100</v>
      </c>
      <c r="W1" s="114" t="s">
        <v>101</v>
      </c>
      <c r="X1" s="114" t="s">
        <v>102</v>
      </c>
      <c r="Y1" s="114" t="s">
        <v>134</v>
      </c>
      <c r="Z1" s="115" t="s">
        <v>103</v>
      </c>
      <c r="AA1" s="115" t="s">
        <v>104</v>
      </c>
      <c r="AB1" s="115" t="s">
        <v>105</v>
      </c>
      <c r="AC1" s="117" t="s">
        <v>135</v>
      </c>
      <c r="AD1" s="116" t="s">
        <v>106</v>
      </c>
      <c r="AE1" s="116" t="s">
        <v>107</v>
      </c>
      <c r="AF1" s="116" t="s">
        <v>108</v>
      </c>
      <c r="AG1" s="116" t="s">
        <v>136</v>
      </c>
      <c r="AH1" s="114" t="s">
        <v>109</v>
      </c>
      <c r="AI1" s="114" t="s">
        <v>111</v>
      </c>
      <c r="AJ1" s="114" t="s">
        <v>110</v>
      </c>
      <c r="AK1" s="115" t="s">
        <v>115</v>
      </c>
      <c r="AL1" s="115" t="s">
        <v>116</v>
      </c>
      <c r="AM1" s="115" t="s">
        <v>117</v>
      </c>
      <c r="AN1" s="116" t="s">
        <v>112</v>
      </c>
      <c r="AO1" s="116" t="s">
        <v>113</v>
      </c>
      <c r="AP1" s="116" t="s">
        <v>114</v>
      </c>
    </row>
    <row r="2" spans="1:42" x14ac:dyDescent="0.15">
      <c r="A2" s="118" t="s">
        <v>74</v>
      </c>
      <c r="B2" s="119">
        <v>1</v>
      </c>
      <c r="D2">
        <v>1</v>
      </c>
      <c r="E2" s="177" t="s">
        <v>191</v>
      </c>
      <c r="F2">
        <v>0.98</v>
      </c>
      <c r="G2">
        <v>0.8</v>
      </c>
      <c r="H2">
        <v>0.8</v>
      </c>
      <c r="I2">
        <v>0.8</v>
      </c>
      <c r="J2" s="109">
        <v>0.25</v>
      </c>
      <c r="K2" s="109">
        <v>0.05</v>
      </c>
    </row>
    <row r="3" spans="1:42" x14ac:dyDescent="0.15">
      <c r="A3" s="118" t="s">
        <v>75</v>
      </c>
      <c r="B3" s="120">
        <v>1</v>
      </c>
      <c r="D3">
        <v>2</v>
      </c>
      <c r="E3" s="177" t="s">
        <v>192</v>
      </c>
      <c r="F3">
        <v>0.98</v>
      </c>
      <c r="G3">
        <v>0.8</v>
      </c>
      <c r="H3">
        <v>0.8</v>
      </c>
      <c r="I3">
        <v>0.8</v>
      </c>
      <c r="J3" s="109">
        <v>0.25</v>
      </c>
      <c r="K3" s="109">
        <v>0.05</v>
      </c>
    </row>
    <row r="4" spans="1:42" x14ac:dyDescent="0.15">
      <c r="A4" s="118" t="s">
        <v>76</v>
      </c>
      <c r="B4" s="120">
        <v>1</v>
      </c>
      <c r="D4">
        <v>3</v>
      </c>
      <c r="E4" s="177" t="s">
        <v>193</v>
      </c>
      <c r="F4">
        <v>0.98</v>
      </c>
      <c r="G4">
        <v>0.8</v>
      </c>
      <c r="H4">
        <v>0.8</v>
      </c>
      <c r="I4">
        <v>0.8</v>
      </c>
      <c r="J4" s="109">
        <v>0.25</v>
      </c>
      <c r="K4" s="109">
        <v>0.05</v>
      </c>
    </row>
    <row r="5" spans="1:42" x14ac:dyDescent="0.15">
      <c r="A5" s="118" t="s">
        <v>77</v>
      </c>
      <c r="B5" s="120">
        <v>1</v>
      </c>
      <c r="D5">
        <v>4</v>
      </c>
      <c r="E5" s="177" t="s">
        <v>194</v>
      </c>
      <c r="F5">
        <v>0.98</v>
      </c>
      <c r="G5">
        <v>0.8</v>
      </c>
      <c r="H5">
        <v>0.8</v>
      </c>
      <c r="I5">
        <v>0.8</v>
      </c>
      <c r="J5" s="109">
        <v>0.25</v>
      </c>
      <c r="K5" s="109">
        <v>0.05</v>
      </c>
    </row>
    <row r="6" spans="1:42" x14ac:dyDescent="0.15">
      <c r="A6" s="118" t="s">
        <v>78</v>
      </c>
      <c r="B6" s="120">
        <v>1</v>
      </c>
      <c r="D6">
        <v>5</v>
      </c>
      <c r="E6" s="177" t="s">
        <v>195</v>
      </c>
      <c r="F6">
        <v>0.98</v>
      </c>
      <c r="G6">
        <v>0.8</v>
      </c>
      <c r="H6">
        <v>0.8</v>
      </c>
      <c r="I6">
        <v>0.8</v>
      </c>
      <c r="J6" s="109">
        <v>0.25</v>
      </c>
      <c r="K6" s="109">
        <v>0.05</v>
      </c>
    </row>
    <row r="7" spans="1:42" x14ac:dyDescent="0.15">
      <c r="A7" s="118" t="s">
        <v>79</v>
      </c>
      <c r="B7" s="120">
        <v>1</v>
      </c>
      <c r="D7">
        <v>6</v>
      </c>
      <c r="E7" s="177" t="s">
        <v>196</v>
      </c>
      <c r="F7">
        <v>0.98</v>
      </c>
      <c r="G7">
        <v>0.8</v>
      </c>
      <c r="H7">
        <v>0.8</v>
      </c>
      <c r="I7">
        <v>0.8</v>
      </c>
      <c r="J7" s="109">
        <v>0.25</v>
      </c>
      <c r="K7" s="109">
        <v>0.05</v>
      </c>
    </row>
    <row r="8" spans="1:42" x14ac:dyDescent="0.15">
      <c r="A8" s="118" t="s">
        <v>80</v>
      </c>
      <c r="B8" s="120">
        <v>1</v>
      </c>
      <c r="D8">
        <v>7</v>
      </c>
      <c r="E8" s="177" t="s">
        <v>197</v>
      </c>
      <c r="F8">
        <v>0.98</v>
      </c>
      <c r="G8">
        <v>0.8</v>
      </c>
      <c r="H8">
        <v>0.8</v>
      </c>
      <c r="I8">
        <v>0.8</v>
      </c>
      <c r="J8" s="109">
        <v>0.25</v>
      </c>
      <c r="K8" s="109">
        <v>0.05</v>
      </c>
    </row>
    <row r="9" spans="1:42" x14ac:dyDescent="0.15">
      <c r="A9" s="118" t="s">
        <v>81</v>
      </c>
      <c r="B9" s="120">
        <v>0.1</v>
      </c>
      <c r="C9" s="61" t="s">
        <v>150</v>
      </c>
      <c r="D9">
        <v>8</v>
      </c>
      <c r="E9" s="177" t="s">
        <v>198</v>
      </c>
      <c r="F9">
        <v>0.98</v>
      </c>
      <c r="G9">
        <v>0.8</v>
      </c>
      <c r="H9">
        <v>0.8</v>
      </c>
      <c r="I9">
        <v>0.8</v>
      </c>
      <c r="J9" s="109">
        <v>0.25</v>
      </c>
      <c r="K9" s="109">
        <v>0.05</v>
      </c>
    </row>
    <row r="10" spans="1:42" ht="14" thickBot="1" x14ac:dyDescent="0.2">
      <c r="A10" s="118" t="s">
        <v>149</v>
      </c>
      <c r="B10" s="121">
        <f>1/3</f>
        <v>0.33333333333333331</v>
      </c>
      <c r="C10" s="61" t="s">
        <v>150</v>
      </c>
      <c r="D10">
        <v>9</v>
      </c>
      <c r="E10" s="177" t="s">
        <v>199</v>
      </c>
      <c r="F10">
        <v>0.98</v>
      </c>
      <c r="G10">
        <v>0.8</v>
      </c>
      <c r="H10">
        <v>0.8</v>
      </c>
      <c r="I10">
        <v>0.8</v>
      </c>
      <c r="J10" s="109">
        <v>0.25</v>
      </c>
      <c r="K10" s="109">
        <v>0.05</v>
      </c>
    </row>
    <row r="11" spans="1:42" x14ac:dyDescent="0.15">
      <c r="D11">
        <v>10</v>
      </c>
      <c r="E11" s="177" t="s">
        <v>200</v>
      </c>
      <c r="F11">
        <v>0.98</v>
      </c>
      <c r="G11">
        <v>0.8</v>
      </c>
      <c r="H11">
        <v>0.8</v>
      </c>
      <c r="I11">
        <v>0.8</v>
      </c>
      <c r="J11" s="109">
        <v>0.25</v>
      </c>
      <c r="K11" s="109">
        <v>0.05</v>
      </c>
    </row>
    <row r="12" spans="1:42" x14ac:dyDescent="0.15">
      <c r="D12">
        <v>11</v>
      </c>
      <c r="E12" s="177" t="s">
        <v>201</v>
      </c>
      <c r="F12">
        <v>0.98</v>
      </c>
      <c r="G12">
        <v>0.8</v>
      </c>
      <c r="H12">
        <v>0.8</v>
      </c>
      <c r="I12">
        <v>0.8</v>
      </c>
      <c r="J12" s="109">
        <v>0.25</v>
      </c>
      <c r="K12" s="109">
        <v>0.05</v>
      </c>
    </row>
    <row r="13" spans="1:42" x14ac:dyDescent="0.15">
      <c r="D13">
        <v>12</v>
      </c>
      <c r="E13" s="177" t="s">
        <v>202</v>
      </c>
      <c r="F13">
        <v>0.98</v>
      </c>
      <c r="G13">
        <v>0.8</v>
      </c>
      <c r="H13">
        <v>0.8</v>
      </c>
      <c r="I13">
        <v>0.8</v>
      </c>
      <c r="J13" s="109">
        <v>0.25</v>
      </c>
      <c r="K13" s="109">
        <v>0.05</v>
      </c>
    </row>
    <row r="14" spans="1:42" x14ac:dyDescent="0.15">
      <c r="D14">
        <v>13</v>
      </c>
      <c r="E14" s="177" t="s">
        <v>203</v>
      </c>
      <c r="F14">
        <v>0.98</v>
      </c>
      <c r="G14">
        <v>0.8</v>
      </c>
      <c r="H14">
        <v>0.8</v>
      </c>
      <c r="I14">
        <v>0.8</v>
      </c>
      <c r="J14" s="109">
        <v>0.25</v>
      </c>
      <c r="K14" s="109">
        <v>0.05</v>
      </c>
    </row>
    <row r="15" spans="1:42" x14ac:dyDescent="0.15">
      <c r="D15">
        <v>14</v>
      </c>
      <c r="E15" s="177" t="s">
        <v>204</v>
      </c>
      <c r="F15">
        <v>0.98</v>
      </c>
      <c r="G15">
        <v>0.8</v>
      </c>
      <c r="H15">
        <v>0.8</v>
      </c>
      <c r="I15">
        <v>0.8</v>
      </c>
      <c r="J15" s="109">
        <v>0.25</v>
      </c>
      <c r="K15" s="109">
        <v>0.05</v>
      </c>
    </row>
    <row r="16" spans="1:42" x14ac:dyDescent="0.15">
      <c r="D16">
        <v>15</v>
      </c>
      <c r="E16" s="177" t="s">
        <v>205</v>
      </c>
      <c r="F16">
        <v>0.98</v>
      </c>
      <c r="G16">
        <v>0.8</v>
      </c>
      <c r="H16">
        <v>0.8</v>
      </c>
      <c r="I16">
        <v>0.8</v>
      </c>
      <c r="J16" s="109">
        <v>0.25</v>
      </c>
      <c r="K16" s="109">
        <v>0.05</v>
      </c>
    </row>
    <row r="17" spans="4:33" ht="15" customHeight="1" x14ac:dyDescent="0.15">
      <c r="D17">
        <v>16</v>
      </c>
      <c r="E17" s="177" t="s">
        <v>206</v>
      </c>
      <c r="F17">
        <v>0.98</v>
      </c>
      <c r="G17">
        <v>0.8</v>
      </c>
      <c r="H17">
        <v>0.8</v>
      </c>
      <c r="I17">
        <v>0.8</v>
      </c>
      <c r="J17" s="109">
        <v>0.25</v>
      </c>
      <c r="K17" s="109">
        <v>0.05</v>
      </c>
    </row>
    <row r="18" spans="4:33" ht="15" customHeight="1" x14ac:dyDescent="0.15">
      <c r="D18">
        <v>17</v>
      </c>
      <c r="E18" s="177" t="s">
        <v>207</v>
      </c>
      <c r="F18">
        <v>0.98</v>
      </c>
      <c r="G18">
        <v>0.8</v>
      </c>
      <c r="H18">
        <v>0.8</v>
      </c>
      <c r="I18">
        <v>0.8</v>
      </c>
      <c r="J18" s="109">
        <v>0.25</v>
      </c>
      <c r="K18" s="109">
        <v>0.05</v>
      </c>
    </row>
    <row r="19" spans="4:33" ht="15" customHeight="1" x14ac:dyDescent="0.15">
      <c r="D19">
        <v>18</v>
      </c>
      <c r="E19" s="177" t="s">
        <v>208</v>
      </c>
      <c r="F19">
        <v>0.98</v>
      </c>
      <c r="G19">
        <v>0.8</v>
      </c>
      <c r="H19">
        <v>0.8</v>
      </c>
      <c r="I19">
        <v>0.8</v>
      </c>
      <c r="J19" s="109">
        <v>0.25</v>
      </c>
      <c r="K19" s="109">
        <v>0.05</v>
      </c>
    </row>
    <row r="20" spans="4:33" ht="15" customHeight="1" x14ac:dyDescent="0.15">
      <c r="D20">
        <v>19</v>
      </c>
      <c r="E20" s="177" t="s">
        <v>209</v>
      </c>
      <c r="F20">
        <v>0.98</v>
      </c>
      <c r="G20">
        <v>0.8</v>
      </c>
      <c r="H20">
        <v>0.8</v>
      </c>
      <c r="I20">
        <v>0.8</v>
      </c>
      <c r="J20" s="109">
        <v>0.25</v>
      </c>
      <c r="K20" s="109">
        <v>0.05</v>
      </c>
    </row>
    <row r="21" spans="4:33" ht="15" customHeight="1" x14ac:dyDescent="0.15">
      <c r="D21">
        <v>20</v>
      </c>
      <c r="E21" s="177" t="s">
        <v>210</v>
      </c>
      <c r="F21">
        <v>0.98</v>
      </c>
      <c r="G21">
        <v>0.8</v>
      </c>
      <c r="H21">
        <v>0.8</v>
      </c>
      <c r="I21">
        <v>0.8</v>
      </c>
      <c r="J21" s="109">
        <v>0.25</v>
      </c>
      <c r="K21" s="109">
        <v>0.05</v>
      </c>
    </row>
    <row r="22" spans="4:33" ht="15" customHeight="1" x14ac:dyDescent="0.15">
      <c r="D22">
        <v>21</v>
      </c>
      <c r="E22" s="177" t="s">
        <v>211</v>
      </c>
      <c r="F22">
        <v>0.98</v>
      </c>
      <c r="G22">
        <v>0.8</v>
      </c>
      <c r="H22">
        <v>0.8</v>
      </c>
      <c r="I22">
        <v>0.8</v>
      </c>
      <c r="J22" s="109">
        <v>0.25</v>
      </c>
      <c r="K22" s="109">
        <v>0.05</v>
      </c>
    </row>
    <row r="23" spans="4:33" ht="15" customHeight="1" x14ac:dyDescent="0.15">
      <c r="D23">
        <v>22</v>
      </c>
      <c r="E23" s="177" t="s">
        <v>212</v>
      </c>
      <c r="F23">
        <v>0.98</v>
      </c>
      <c r="G23">
        <v>0.8</v>
      </c>
      <c r="H23">
        <v>0.8</v>
      </c>
      <c r="I23">
        <v>0.8</v>
      </c>
      <c r="J23" s="109">
        <v>0.25</v>
      </c>
      <c r="K23" s="109">
        <v>0.05</v>
      </c>
    </row>
    <row r="24" spans="4:33" ht="15" customHeight="1" x14ac:dyDescent="0.15">
      <c r="D24">
        <v>23</v>
      </c>
      <c r="E24" s="177" t="s">
        <v>213</v>
      </c>
      <c r="F24">
        <v>0.98</v>
      </c>
      <c r="G24">
        <v>0.8</v>
      </c>
      <c r="H24">
        <v>0.8</v>
      </c>
      <c r="I24">
        <v>0.8</v>
      </c>
      <c r="J24" s="109">
        <v>0.25</v>
      </c>
      <c r="K24" s="109">
        <v>0.05</v>
      </c>
    </row>
    <row r="25" spans="4:33" ht="15" customHeight="1" x14ac:dyDescent="0.15">
      <c r="D25">
        <v>24</v>
      </c>
      <c r="E25" s="177" t="s">
        <v>214</v>
      </c>
      <c r="F25">
        <v>0.98</v>
      </c>
      <c r="G25">
        <v>0.8</v>
      </c>
      <c r="H25">
        <v>0.8</v>
      </c>
      <c r="I25">
        <v>0.8</v>
      </c>
      <c r="J25" s="109">
        <v>0.25</v>
      </c>
      <c r="K25" s="109">
        <v>0.05</v>
      </c>
    </row>
    <row r="26" spans="4:33" ht="15" customHeight="1" x14ac:dyDescent="0.15">
      <c r="D26">
        <v>25</v>
      </c>
      <c r="E26" s="177" t="s">
        <v>215</v>
      </c>
      <c r="F26">
        <v>0.98</v>
      </c>
      <c r="G26">
        <v>0.8</v>
      </c>
      <c r="H26">
        <v>0.8</v>
      </c>
      <c r="I26">
        <v>0.8</v>
      </c>
      <c r="J26" s="109">
        <v>0.25</v>
      </c>
      <c r="K26" s="109">
        <v>0.05</v>
      </c>
    </row>
    <row r="27" spans="4:33" ht="15" customHeight="1" x14ac:dyDescent="0.15">
      <c r="D27">
        <v>26</v>
      </c>
      <c r="E27" s="177" t="s">
        <v>216</v>
      </c>
      <c r="F27">
        <v>0.98</v>
      </c>
      <c r="G27">
        <v>0.8</v>
      </c>
      <c r="H27">
        <v>0.8</v>
      </c>
      <c r="I27">
        <v>0.8</v>
      </c>
      <c r="J27" s="109">
        <v>0.25</v>
      </c>
      <c r="K27" s="109">
        <v>0.05</v>
      </c>
    </row>
    <row r="28" spans="4:33" ht="15" customHeight="1" x14ac:dyDescent="0.15">
      <c r="D28">
        <v>27</v>
      </c>
      <c r="E28" s="177" t="s">
        <v>217</v>
      </c>
      <c r="F28">
        <v>0.98</v>
      </c>
      <c r="G28">
        <v>0.8</v>
      </c>
      <c r="H28">
        <v>0.8</v>
      </c>
      <c r="I28">
        <v>0.8</v>
      </c>
      <c r="J28" s="109">
        <v>0.25</v>
      </c>
      <c r="K28" s="109">
        <v>0.05</v>
      </c>
    </row>
    <row r="29" spans="4:33" ht="15" customHeight="1" x14ac:dyDescent="0.15">
      <c r="D29">
        <v>28</v>
      </c>
      <c r="E29" s="177" t="s">
        <v>218</v>
      </c>
      <c r="F29">
        <v>0.98</v>
      </c>
      <c r="G29">
        <v>0.8</v>
      </c>
      <c r="H29">
        <v>0.8</v>
      </c>
      <c r="I29">
        <v>0.8</v>
      </c>
      <c r="J29" s="109">
        <v>0.25</v>
      </c>
      <c r="K29" s="109">
        <v>0.05</v>
      </c>
      <c r="Y29"/>
      <c r="AC29"/>
      <c r="AG29"/>
    </row>
    <row r="30" spans="4:33" ht="15" customHeight="1" x14ac:dyDescent="0.15">
      <c r="D30">
        <v>29</v>
      </c>
      <c r="E30" s="177" t="s">
        <v>219</v>
      </c>
      <c r="F30">
        <v>0.98</v>
      </c>
      <c r="G30">
        <v>0.8</v>
      </c>
      <c r="H30">
        <v>0.8</v>
      </c>
      <c r="I30">
        <v>0.8</v>
      </c>
      <c r="J30" s="109">
        <v>0.25</v>
      </c>
      <c r="K30" s="109">
        <v>0.05</v>
      </c>
      <c r="Y30"/>
      <c r="AC30"/>
      <c r="AG30"/>
    </row>
    <row r="31" spans="4:33" ht="15" customHeight="1" x14ac:dyDescent="0.15">
      <c r="D31">
        <v>30</v>
      </c>
      <c r="E31" s="177" t="s">
        <v>220</v>
      </c>
      <c r="F31">
        <v>0.98</v>
      </c>
      <c r="G31">
        <v>0.8</v>
      </c>
      <c r="H31">
        <v>0.8</v>
      </c>
      <c r="I31">
        <v>0.8</v>
      </c>
      <c r="J31" s="109">
        <v>0.25</v>
      </c>
      <c r="K31" s="109">
        <v>0.05</v>
      </c>
      <c r="Y31"/>
      <c r="AC31"/>
      <c r="AG31"/>
    </row>
    <row r="32" spans="4:33" ht="15" customHeight="1" x14ac:dyDescent="0.15">
      <c r="D32">
        <v>31</v>
      </c>
      <c r="E32" s="177" t="s">
        <v>221</v>
      </c>
      <c r="F32">
        <v>0.98</v>
      </c>
      <c r="G32">
        <v>0.8</v>
      </c>
      <c r="H32">
        <v>0.8</v>
      </c>
      <c r="I32">
        <v>0.8</v>
      </c>
      <c r="J32" s="109">
        <v>0.25</v>
      </c>
      <c r="K32" s="109">
        <v>0.05</v>
      </c>
      <c r="Y32"/>
      <c r="AC32"/>
      <c r="AG32"/>
    </row>
    <row r="33" spans="4:33" ht="15" customHeight="1" x14ac:dyDescent="0.15">
      <c r="D33">
        <v>32</v>
      </c>
      <c r="E33" s="177" t="s">
        <v>222</v>
      </c>
      <c r="F33">
        <v>0.98</v>
      </c>
      <c r="G33">
        <v>0.8</v>
      </c>
      <c r="H33">
        <v>0.8</v>
      </c>
      <c r="I33">
        <v>0.8</v>
      </c>
      <c r="J33" s="109">
        <v>0.25</v>
      </c>
      <c r="K33" s="109">
        <v>0.05</v>
      </c>
      <c r="Y33"/>
      <c r="AC33"/>
      <c r="AG33"/>
    </row>
    <row r="34" spans="4:33" ht="15" customHeight="1" x14ac:dyDescent="0.15">
      <c r="D34">
        <v>33</v>
      </c>
      <c r="E34" s="177" t="s">
        <v>223</v>
      </c>
      <c r="F34">
        <v>0.98</v>
      </c>
      <c r="G34">
        <v>0.8</v>
      </c>
      <c r="H34">
        <v>0.8</v>
      </c>
      <c r="I34">
        <v>0.8</v>
      </c>
      <c r="J34" s="109">
        <v>0.25</v>
      </c>
      <c r="K34" s="109">
        <v>0.05</v>
      </c>
      <c r="Y34"/>
      <c r="AC34"/>
      <c r="AG34"/>
    </row>
    <row r="35" spans="4:33" ht="15" customHeight="1" x14ac:dyDescent="0.15">
      <c r="D35">
        <v>34</v>
      </c>
      <c r="E35" s="177" t="s">
        <v>224</v>
      </c>
      <c r="F35">
        <v>0.98</v>
      </c>
      <c r="G35">
        <v>0.8</v>
      </c>
      <c r="H35">
        <v>0.8</v>
      </c>
      <c r="I35">
        <v>0.8</v>
      </c>
      <c r="J35" s="109">
        <v>0.25</v>
      </c>
      <c r="K35" s="109">
        <v>0.05</v>
      </c>
      <c r="Y35"/>
      <c r="AC35"/>
      <c r="AG35"/>
    </row>
    <row r="36" spans="4:33" ht="15" customHeight="1" x14ac:dyDescent="0.15">
      <c r="D36">
        <v>35</v>
      </c>
      <c r="E36" s="177" t="s">
        <v>225</v>
      </c>
      <c r="F36">
        <v>0.98</v>
      </c>
      <c r="G36">
        <v>0.8</v>
      </c>
      <c r="H36">
        <v>0.8</v>
      </c>
      <c r="I36">
        <v>0.8</v>
      </c>
      <c r="J36" s="109">
        <v>0.25</v>
      </c>
      <c r="K36" s="109">
        <v>0.05</v>
      </c>
      <c r="Y36"/>
      <c r="AC36"/>
      <c r="AG36"/>
    </row>
    <row r="37" spans="4:33" ht="15" customHeight="1" x14ac:dyDescent="0.15">
      <c r="D37">
        <v>36</v>
      </c>
      <c r="E37" s="177" t="s">
        <v>226</v>
      </c>
      <c r="F37">
        <v>0.98</v>
      </c>
      <c r="G37">
        <v>0.8</v>
      </c>
      <c r="H37">
        <v>0.8</v>
      </c>
      <c r="I37">
        <v>0.8</v>
      </c>
      <c r="J37" s="109">
        <v>0.25</v>
      </c>
      <c r="K37" s="109">
        <v>0.05</v>
      </c>
      <c r="Y37"/>
      <c r="AC37"/>
      <c r="AG37"/>
    </row>
    <row r="38" spans="4:33" ht="15" customHeight="1" x14ac:dyDescent="0.15">
      <c r="D38">
        <v>37</v>
      </c>
      <c r="E38" s="177" t="s">
        <v>227</v>
      </c>
      <c r="F38">
        <v>0.98</v>
      </c>
      <c r="G38">
        <v>0.8</v>
      </c>
      <c r="H38">
        <v>0.8</v>
      </c>
      <c r="I38">
        <v>0.8</v>
      </c>
      <c r="J38" s="109">
        <v>0.25</v>
      </c>
      <c r="K38" s="109">
        <v>0.05</v>
      </c>
      <c r="Y38"/>
      <c r="AC38"/>
      <c r="AG38"/>
    </row>
    <row r="39" spans="4:33" ht="15" customHeight="1" x14ac:dyDescent="0.15">
      <c r="D39">
        <v>38</v>
      </c>
      <c r="E39" s="177" t="s">
        <v>228</v>
      </c>
      <c r="F39">
        <v>0.98</v>
      </c>
      <c r="G39">
        <v>0.8</v>
      </c>
      <c r="H39">
        <v>0.8</v>
      </c>
      <c r="I39">
        <v>0.8</v>
      </c>
      <c r="J39" s="109">
        <v>0.25</v>
      </c>
      <c r="K39" s="109">
        <v>0.05</v>
      </c>
    </row>
    <row r="40" spans="4:33" ht="15" customHeight="1" x14ac:dyDescent="0.15">
      <c r="D40">
        <v>39</v>
      </c>
      <c r="E40" s="177" t="s">
        <v>229</v>
      </c>
      <c r="F40">
        <v>0.98</v>
      </c>
      <c r="G40">
        <v>0.8</v>
      </c>
      <c r="H40">
        <v>0.8</v>
      </c>
      <c r="I40">
        <v>0.8</v>
      </c>
      <c r="J40" s="109">
        <v>0.25</v>
      </c>
      <c r="K40" s="109">
        <v>0.05</v>
      </c>
      <c r="Y40"/>
      <c r="AC40"/>
      <c r="AG40"/>
    </row>
    <row r="41" spans="4:33" ht="15" customHeight="1" x14ac:dyDescent="0.15">
      <c r="D41">
        <v>40</v>
      </c>
      <c r="E41" s="177" t="s">
        <v>230</v>
      </c>
      <c r="F41">
        <v>0.98</v>
      </c>
      <c r="G41">
        <v>0.8</v>
      </c>
      <c r="H41">
        <v>0.8</v>
      </c>
      <c r="I41">
        <v>0.8</v>
      </c>
      <c r="J41" s="109">
        <v>0.25</v>
      </c>
      <c r="K41" s="109">
        <v>0.05</v>
      </c>
      <c r="Y41"/>
      <c r="AC41"/>
      <c r="AG41"/>
    </row>
    <row r="42" spans="4:33" ht="15" customHeight="1" x14ac:dyDescent="0.15">
      <c r="D42">
        <v>41</v>
      </c>
      <c r="E42" s="177" t="s">
        <v>231</v>
      </c>
      <c r="F42">
        <v>0.98</v>
      </c>
      <c r="G42">
        <v>0.8</v>
      </c>
      <c r="H42">
        <v>0.8</v>
      </c>
      <c r="I42">
        <v>0.8</v>
      </c>
      <c r="J42" s="109">
        <v>0.25</v>
      </c>
      <c r="K42" s="109">
        <v>0.05</v>
      </c>
      <c r="Y42"/>
      <c r="AC42"/>
      <c r="AG42"/>
    </row>
    <row r="43" spans="4:33" ht="15" customHeight="1" x14ac:dyDescent="0.15">
      <c r="D43">
        <v>42</v>
      </c>
      <c r="E43" s="177" t="s">
        <v>232</v>
      </c>
      <c r="F43">
        <v>0.98</v>
      </c>
      <c r="G43">
        <v>0.8</v>
      </c>
      <c r="H43">
        <v>0.8</v>
      </c>
      <c r="I43">
        <v>0.8</v>
      </c>
      <c r="J43" s="109">
        <v>0.25</v>
      </c>
      <c r="K43" s="109">
        <v>0.05</v>
      </c>
      <c r="Y43"/>
      <c r="AC43"/>
      <c r="AG43"/>
    </row>
    <row r="44" spans="4:33" ht="15" customHeight="1" x14ac:dyDescent="0.15">
      <c r="D44">
        <v>43</v>
      </c>
      <c r="E44" s="177" t="s">
        <v>233</v>
      </c>
      <c r="F44">
        <v>0.98</v>
      </c>
      <c r="G44">
        <v>0.8</v>
      </c>
      <c r="H44">
        <v>0.8</v>
      </c>
      <c r="I44">
        <v>0.8</v>
      </c>
      <c r="J44" s="109">
        <v>0.25</v>
      </c>
      <c r="K44" s="109">
        <v>0.05</v>
      </c>
      <c r="Y44"/>
      <c r="AC44"/>
      <c r="AG44"/>
    </row>
    <row r="45" spans="4:33" ht="15" customHeight="1" x14ac:dyDescent="0.15">
      <c r="D45">
        <v>44</v>
      </c>
      <c r="E45" s="177" t="s">
        <v>234</v>
      </c>
      <c r="F45">
        <v>0.98</v>
      </c>
      <c r="G45">
        <v>0.8</v>
      </c>
      <c r="H45">
        <v>0.8</v>
      </c>
      <c r="I45">
        <v>0.8</v>
      </c>
      <c r="J45" s="109">
        <v>0.25</v>
      </c>
      <c r="K45" s="109">
        <v>0.05</v>
      </c>
      <c r="Y45"/>
      <c r="AC45"/>
      <c r="AG45"/>
    </row>
    <row r="46" spans="4:33" ht="15" customHeight="1" x14ac:dyDescent="0.15">
      <c r="D46">
        <v>45</v>
      </c>
      <c r="E46" s="177" t="s">
        <v>235</v>
      </c>
      <c r="F46">
        <v>0.98</v>
      </c>
      <c r="G46">
        <v>0.8</v>
      </c>
      <c r="H46">
        <v>0.8</v>
      </c>
      <c r="I46">
        <v>0.8</v>
      </c>
      <c r="J46" s="109">
        <v>0.25</v>
      </c>
      <c r="K46" s="109">
        <v>0.05</v>
      </c>
      <c r="Y46"/>
      <c r="AC46"/>
      <c r="AG46"/>
    </row>
    <row r="47" spans="4:33" ht="15" customHeight="1" x14ac:dyDescent="0.15">
      <c r="D47">
        <v>46</v>
      </c>
      <c r="E47" s="177" t="s">
        <v>236</v>
      </c>
      <c r="F47">
        <v>0.98</v>
      </c>
      <c r="G47">
        <v>0.8</v>
      </c>
      <c r="H47">
        <v>0.8</v>
      </c>
      <c r="I47">
        <v>0.8</v>
      </c>
      <c r="J47" s="109">
        <v>0.25</v>
      </c>
      <c r="K47" s="109">
        <v>0.05</v>
      </c>
      <c r="Y47"/>
      <c r="AC47"/>
      <c r="AG47"/>
    </row>
    <row r="48" spans="4:33" ht="15" customHeight="1" x14ac:dyDescent="0.15">
      <c r="D48">
        <v>47</v>
      </c>
      <c r="E48" s="177" t="s">
        <v>237</v>
      </c>
      <c r="F48">
        <v>0.98</v>
      </c>
      <c r="G48">
        <v>0.8</v>
      </c>
      <c r="H48">
        <v>0.8</v>
      </c>
      <c r="I48">
        <v>0.8</v>
      </c>
      <c r="J48" s="109">
        <v>0.25</v>
      </c>
      <c r="K48" s="109">
        <v>0.05</v>
      </c>
      <c r="Y48"/>
      <c r="AC48"/>
      <c r="AG48"/>
    </row>
    <row r="49" spans="4:33" ht="15" customHeight="1" x14ac:dyDescent="0.15">
      <c r="D49">
        <v>48</v>
      </c>
      <c r="E49" s="177" t="s">
        <v>238</v>
      </c>
      <c r="F49">
        <v>0.98</v>
      </c>
      <c r="G49">
        <v>0.8</v>
      </c>
      <c r="H49">
        <v>0.8</v>
      </c>
      <c r="I49">
        <v>0.8</v>
      </c>
      <c r="J49" s="109">
        <v>0.25</v>
      </c>
      <c r="K49" s="109">
        <v>0.05</v>
      </c>
      <c r="Y49"/>
      <c r="AC49"/>
      <c r="AG49"/>
    </row>
    <row r="50" spans="4:33" ht="15" customHeight="1" x14ac:dyDescent="0.15">
      <c r="D50">
        <v>49</v>
      </c>
      <c r="E50" s="177" t="s">
        <v>239</v>
      </c>
      <c r="F50">
        <v>0.98</v>
      </c>
      <c r="G50">
        <v>0.8</v>
      </c>
      <c r="H50">
        <v>0.8</v>
      </c>
      <c r="I50">
        <v>0.8</v>
      </c>
      <c r="J50" s="109">
        <v>0.25</v>
      </c>
      <c r="K50" s="109">
        <v>0.05</v>
      </c>
      <c r="Y50"/>
      <c r="AC50"/>
      <c r="AG50"/>
    </row>
    <row r="51" spans="4:33" ht="15" customHeight="1" x14ac:dyDescent="0.15">
      <c r="D51">
        <v>50</v>
      </c>
      <c r="E51" s="177" t="s">
        <v>240</v>
      </c>
      <c r="F51">
        <v>0.98</v>
      </c>
      <c r="G51">
        <v>0.8</v>
      </c>
      <c r="H51">
        <v>0.8</v>
      </c>
      <c r="I51">
        <v>0.8</v>
      </c>
      <c r="J51" s="109">
        <v>0.25</v>
      </c>
      <c r="K51" s="109">
        <v>0.05</v>
      </c>
      <c r="Y51"/>
      <c r="AC51"/>
      <c r="AG51"/>
    </row>
    <row r="52" spans="4:33" ht="15" customHeight="1" x14ac:dyDescent="0.15">
      <c r="D52">
        <v>51</v>
      </c>
      <c r="E52" s="177" t="s">
        <v>241</v>
      </c>
      <c r="F52">
        <v>0.98</v>
      </c>
      <c r="G52">
        <v>0.8</v>
      </c>
      <c r="H52">
        <v>0.8</v>
      </c>
      <c r="I52">
        <v>0.8</v>
      </c>
      <c r="J52" s="109">
        <v>0.25</v>
      </c>
      <c r="K52" s="109">
        <v>0.05</v>
      </c>
      <c r="Y52"/>
      <c r="AC52"/>
      <c r="AG52"/>
    </row>
    <row r="53" spans="4:33" ht="15" customHeight="1" x14ac:dyDescent="0.15">
      <c r="D53">
        <v>52</v>
      </c>
      <c r="E53" s="177" t="s">
        <v>242</v>
      </c>
      <c r="F53">
        <v>0.98</v>
      </c>
      <c r="G53">
        <v>0.8</v>
      </c>
      <c r="H53">
        <v>0.8</v>
      </c>
      <c r="I53">
        <v>0.8</v>
      </c>
      <c r="J53" s="109">
        <v>0.25</v>
      </c>
      <c r="K53" s="109">
        <v>0.05</v>
      </c>
      <c r="Y53"/>
      <c r="AC53"/>
      <c r="AG53"/>
    </row>
    <row r="54" spans="4:33" ht="15" customHeight="1" x14ac:dyDescent="0.15">
      <c r="D54">
        <v>53</v>
      </c>
      <c r="E54" s="177" t="s">
        <v>243</v>
      </c>
      <c r="F54">
        <v>0.98</v>
      </c>
      <c r="G54">
        <v>0.8</v>
      </c>
      <c r="H54">
        <v>0.8</v>
      </c>
      <c r="I54">
        <v>0.8</v>
      </c>
      <c r="J54" s="109">
        <v>0.25</v>
      </c>
      <c r="K54" s="109">
        <v>0.05</v>
      </c>
      <c r="Y54"/>
      <c r="AC54"/>
      <c r="AG54"/>
    </row>
    <row r="55" spans="4:33" ht="15" customHeight="1" x14ac:dyDescent="0.15">
      <c r="D55">
        <v>54</v>
      </c>
      <c r="E55" s="177" t="s">
        <v>244</v>
      </c>
      <c r="F55">
        <v>0.98</v>
      </c>
      <c r="G55">
        <v>0.8</v>
      </c>
      <c r="H55">
        <v>0.8</v>
      </c>
      <c r="I55">
        <v>0.8</v>
      </c>
      <c r="J55" s="109">
        <v>0.25</v>
      </c>
      <c r="K55" s="109">
        <v>0.05</v>
      </c>
      <c r="Y55"/>
      <c r="AC55"/>
      <c r="AG55"/>
    </row>
    <row r="56" spans="4:33" ht="15" customHeight="1" x14ac:dyDescent="0.15">
      <c r="D56">
        <v>55</v>
      </c>
      <c r="E56" s="177" t="s">
        <v>245</v>
      </c>
      <c r="F56">
        <v>0.98</v>
      </c>
      <c r="G56">
        <v>0.8</v>
      </c>
      <c r="H56">
        <v>0.8</v>
      </c>
      <c r="I56">
        <v>0.8</v>
      </c>
      <c r="J56" s="109">
        <v>0.25</v>
      </c>
      <c r="K56" s="109">
        <v>0.05</v>
      </c>
      <c r="Y56"/>
      <c r="AC56"/>
      <c r="AG56"/>
    </row>
    <row r="57" spans="4:33" ht="15" customHeight="1" x14ac:dyDescent="0.15">
      <c r="D57">
        <v>56</v>
      </c>
      <c r="E57" s="177" t="s">
        <v>246</v>
      </c>
      <c r="F57">
        <v>0.98</v>
      </c>
      <c r="G57">
        <v>0.8</v>
      </c>
      <c r="H57">
        <v>0.8</v>
      </c>
      <c r="I57">
        <v>0.8</v>
      </c>
      <c r="J57" s="109">
        <v>0.25</v>
      </c>
      <c r="K57" s="109">
        <v>0.05</v>
      </c>
      <c r="Y57"/>
      <c r="AC57"/>
      <c r="AG57"/>
    </row>
    <row r="58" spans="4:33" ht="15" customHeight="1" x14ac:dyDescent="0.15">
      <c r="D58">
        <v>57</v>
      </c>
      <c r="E58" s="177" t="s">
        <v>247</v>
      </c>
      <c r="F58">
        <v>0.98</v>
      </c>
      <c r="G58">
        <v>0.8</v>
      </c>
      <c r="H58">
        <v>0.8</v>
      </c>
      <c r="I58">
        <v>0.8</v>
      </c>
      <c r="J58" s="109">
        <v>0.25</v>
      </c>
      <c r="K58" s="109">
        <v>0.05</v>
      </c>
      <c r="Y58"/>
      <c r="AC58"/>
      <c r="AG58"/>
    </row>
    <row r="59" spans="4:33" ht="15" customHeight="1" x14ac:dyDescent="0.15">
      <c r="D59">
        <v>58</v>
      </c>
      <c r="E59" s="177" t="s">
        <v>248</v>
      </c>
      <c r="F59">
        <v>0.98</v>
      </c>
      <c r="G59">
        <v>0.8</v>
      </c>
      <c r="H59">
        <v>0.8</v>
      </c>
      <c r="I59">
        <v>0.8</v>
      </c>
      <c r="J59" s="109">
        <v>0.25</v>
      </c>
      <c r="K59" s="109">
        <v>0.05</v>
      </c>
      <c r="Y59"/>
      <c r="AC59"/>
      <c r="AG59"/>
    </row>
    <row r="60" spans="4:33" ht="15" customHeight="1" x14ac:dyDescent="0.15">
      <c r="D60">
        <v>59</v>
      </c>
      <c r="E60" s="177" t="s">
        <v>249</v>
      </c>
      <c r="F60">
        <v>0.98</v>
      </c>
      <c r="G60">
        <v>0.8</v>
      </c>
      <c r="H60">
        <v>0.8</v>
      </c>
      <c r="I60">
        <v>0.8</v>
      </c>
      <c r="J60" s="109">
        <v>0.25</v>
      </c>
      <c r="K60" s="109">
        <v>0.05</v>
      </c>
      <c r="Y60"/>
      <c r="AC60"/>
      <c r="AG60"/>
    </row>
    <row r="61" spans="4:33" ht="15" customHeight="1" x14ac:dyDescent="0.15">
      <c r="D61">
        <v>60</v>
      </c>
      <c r="E61" s="177" t="s">
        <v>250</v>
      </c>
      <c r="F61">
        <v>0.98</v>
      </c>
      <c r="G61">
        <v>0.8</v>
      </c>
      <c r="H61">
        <v>0.8</v>
      </c>
      <c r="I61">
        <v>0.8</v>
      </c>
      <c r="J61" s="109">
        <v>0.25</v>
      </c>
      <c r="K61" s="109">
        <v>0.05</v>
      </c>
      <c r="Y61"/>
      <c r="AC61"/>
      <c r="AG61"/>
    </row>
    <row r="62" spans="4:33" ht="15" customHeight="1" x14ac:dyDescent="0.15">
      <c r="D62">
        <v>61</v>
      </c>
      <c r="E62" s="177" t="s">
        <v>251</v>
      </c>
      <c r="F62">
        <v>0.98</v>
      </c>
      <c r="G62">
        <v>0.8</v>
      </c>
      <c r="H62">
        <v>0.8</v>
      </c>
      <c r="I62">
        <v>0.8</v>
      </c>
      <c r="J62" s="109">
        <v>0.25</v>
      </c>
      <c r="K62" s="109">
        <v>0.05</v>
      </c>
      <c r="Y62"/>
      <c r="AC62"/>
      <c r="AG62"/>
    </row>
    <row r="63" spans="4:33" ht="15" customHeight="1" x14ac:dyDescent="0.15">
      <c r="D63">
        <v>62</v>
      </c>
      <c r="E63" s="177" t="s">
        <v>252</v>
      </c>
      <c r="F63">
        <v>0.98</v>
      </c>
      <c r="G63">
        <v>0.8</v>
      </c>
      <c r="H63">
        <v>0.8</v>
      </c>
      <c r="I63">
        <v>0.8</v>
      </c>
      <c r="J63" s="109">
        <v>0.25</v>
      </c>
      <c r="K63" s="109">
        <v>0.05</v>
      </c>
      <c r="Y63"/>
      <c r="AC63"/>
      <c r="AG63"/>
    </row>
    <row r="64" spans="4:33" ht="15" customHeight="1" x14ac:dyDescent="0.15">
      <c r="D64">
        <v>63</v>
      </c>
      <c r="E64" s="177" t="s">
        <v>253</v>
      </c>
      <c r="F64">
        <v>0.98</v>
      </c>
      <c r="G64">
        <v>0.8</v>
      </c>
      <c r="H64">
        <v>0.8</v>
      </c>
      <c r="I64">
        <v>0</v>
      </c>
      <c r="J64" s="109">
        <v>0</v>
      </c>
      <c r="K64" s="109">
        <v>0</v>
      </c>
      <c r="Y64"/>
      <c r="AC64"/>
      <c r="AG64"/>
    </row>
    <row r="65" spans="4:33" ht="15" customHeight="1" x14ac:dyDescent="0.15">
      <c r="D65">
        <v>64</v>
      </c>
      <c r="E65" s="177" t="s">
        <v>254</v>
      </c>
      <c r="F65">
        <v>0.98</v>
      </c>
      <c r="G65">
        <v>0.8</v>
      </c>
      <c r="H65">
        <v>0.8</v>
      </c>
      <c r="I65">
        <v>0</v>
      </c>
      <c r="J65" s="109">
        <v>0</v>
      </c>
      <c r="K65" s="109">
        <v>0</v>
      </c>
      <c r="Y65"/>
      <c r="AC65"/>
      <c r="AG65"/>
    </row>
    <row r="66" spans="4:33" ht="15" customHeight="1" x14ac:dyDescent="0.15">
      <c r="D66">
        <v>65</v>
      </c>
      <c r="E66" s="177" t="s">
        <v>255</v>
      </c>
      <c r="F66">
        <v>0.98</v>
      </c>
      <c r="G66">
        <v>0.8</v>
      </c>
      <c r="H66">
        <v>0.8</v>
      </c>
      <c r="I66">
        <v>0</v>
      </c>
      <c r="J66" s="109">
        <v>0</v>
      </c>
      <c r="K66" s="109">
        <v>0</v>
      </c>
      <c r="Y66"/>
      <c r="AC66"/>
      <c r="AG66"/>
    </row>
    <row r="67" spans="4:33" ht="15" customHeight="1" x14ac:dyDescent="0.15">
      <c r="D67">
        <v>66</v>
      </c>
      <c r="E67" s="177" t="s">
        <v>256</v>
      </c>
      <c r="F67">
        <v>0.98</v>
      </c>
      <c r="G67">
        <v>0.8</v>
      </c>
      <c r="H67">
        <v>0.8</v>
      </c>
      <c r="I67">
        <v>0</v>
      </c>
      <c r="J67" s="109">
        <v>0</v>
      </c>
      <c r="K67" s="109">
        <v>0</v>
      </c>
      <c r="Y67"/>
      <c r="AC67"/>
      <c r="AG67"/>
    </row>
    <row r="68" spans="4:33" ht="15" customHeight="1" x14ac:dyDescent="0.15">
      <c r="D68">
        <v>67</v>
      </c>
      <c r="E68" s="177" t="s">
        <v>257</v>
      </c>
      <c r="F68">
        <v>0.98</v>
      </c>
      <c r="G68">
        <v>0.8</v>
      </c>
      <c r="H68">
        <v>0.8</v>
      </c>
      <c r="I68">
        <v>0</v>
      </c>
      <c r="J68" s="109">
        <v>0</v>
      </c>
      <c r="K68" s="109">
        <v>0</v>
      </c>
      <c r="Y68"/>
      <c r="AC68"/>
      <c r="AG68"/>
    </row>
    <row r="69" spans="4:33" ht="15" customHeight="1" x14ac:dyDescent="0.15">
      <c r="D69">
        <v>68</v>
      </c>
      <c r="E69" s="177" t="s">
        <v>258</v>
      </c>
      <c r="F69">
        <v>0.98</v>
      </c>
      <c r="G69">
        <v>0.8</v>
      </c>
      <c r="H69">
        <v>0.8</v>
      </c>
      <c r="I69">
        <v>0</v>
      </c>
      <c r="J69" s="109">
        <v>0</v>
      </c>
      <c r="K69" s="109">
        <v>0</v>
      </c>
      <c r="Y69"/>
      <c r="AC69"/>
      <c r="AG69"/>
    </row>
    <row r="70" spans="4:33" ht="15" customHeight="1" x14ac:dyDescent="0.15">
      <c r="D70">
        <v>69</v>
      </c>
      <c r="E70" s="177" t="s">
        <v>259</v>
      </c>
      <c r="F70">
        <v>0.98</v>
      </c>
      <c r="G70">
        <v>0.8</v>
      </c>
      <c r="H70">
        <v>0.8</v>
      </c>
      <c r="I70">
        <v>0</v>
      </c>
      <c r="J70" s="109">
        <v>0</v>
      </c>
      <c r="K70" s="109">
        <v>0</v>
      </c>
      <c r="Y70"/>
      <c r="AC70"/>
      <c r="AG70"/>
    </row>
    <row r="71" spans="4:33" ht="15" customHeight="1" x14ac:dyDescent="0.15">
      <c r="D71">
        <v>70</v>
      </c>
      <c r="E71" s="177" t="s">
        <v>260</v>
      </c>
      <c r="F71">
        <v>0.98</v>
      </c>
      <c r="G71">
        <v>0.8</v>
      </c>
      <c r="H71">
        <v>0.8</v>
      </c>
      <c r="I71">
        <v>0</v>
      </c>
      <c r="J71" s="109">
        <v>0</v>
      </c>
      <c r="K71" s="109">
        <v>0</v>
      </c>
      <c r="Y71"/>
      <c r="AC71"/>
      <c r="AG71"/>
    </row>
    <row r="72" spans="4:33" ht="15" customHeight="1" x14ac:dyDescent="0.15">
      <c r="D72">
        <v>71</v>
      </c>
      <c r="E72" s="177" t="s">
        <v>261</v>
      </c>
      <c r="F72">
        <v>0.98</v>
      </c>
      <c r="G72">
        <v>0.8</v>
      </c>
      <c r="H72">
        <v>0.8</v>
      </c>
      <c r="I72">
        <v>0</v>
      </c>
      <c r="J72" s="109">
        <v>0</v>
      </c>
      <c r="K72" s="109">
        <v>0</v>
      </c>
      <c r="Y72"/>
      <c r="AC72"/>
      <c r="AG72"/>
    </row>
    <row r="73" spans="4:33" ht="15" customHeight="1" x14ac:dyDescent="0.15">
      <c r="D73">
        <v>72</v>
      </c>
      <c r="E73" s="177" t="s">
        <v>262</v>
      </c>
      <c r="F73">
        <v>0.98</v>
      </c>
      <c r="G73">
        <v>0.8</v>
      </c>
      <c r="H73">
        <v>0.8</v>
      </c>
      <c r="I73">
        <v>0</v>
      </c>
      <c r="J73" s="109">
        <v>0</v>
      </c>
      <c r="K73" s="109">
        <v>0</v>
      </c>
      <c r="Y73"/>
      <c r="AC73"/>
      <c r="AG73"/>
    </row>
    <row r="74" spans="4:33" ht="15" customHeight="1" x14ac:dyDescent="0.15">
      <c r="D74">
        <v>73</v>
      </c>
      <c r="E74" s="177" t="s">
        <v>263</v>
      </c>
      <c r="F74">
        <v>0.98</v>
      </c>
      <c r="G74">
        <v>0.8</v>
      </c>
      <c r="H74">
        <v>0.8</v>
      </c>
      <c r="I74">
        <v>0</v>
      </c>
      <c r="J74" s="109">
        <v>0</v>
      </c>
      <c r="K74" s="109">
        <v>0</v>
      </c>
      <c r="Y74"/>
      <c r="AC74"/>
      <c r="AG74"/>
    </row>
    <row r="75" spans="4:33" ht="15" customHeight="1" x14ac:dyDescent="0.15">
      <c r="D75">
        <v>74</v>
      </c>
      <c r="E75" s="177" t="s">
        <v>264</v>
      </c>
      <c r="F75">
        <v>0.98</v>
      </c>
      <c r="G75">
        <v>0.8</v>
      </c>
      <c r="H75">
        <v>0</v>
      </c>
      <c r="I75">
        <v>0</v>
      </c>
      <c r="J75" s="109">
        <v>0</v>
      </c>
      <c r="K75" s="109">
        <v>0</v>
      </c>
      <c r="Y75"/>
      <c r="AC75"/>
      <c r="AG75"/>
    </row>
    <row r="76" spans="4:33" ht="15" customHeight="1" x14ac:dyDescent="0.15">
      <c r="D76">
        <v>75</v>
      </c>
      <c r="E76" s="177" t="s">
        <v>265</v>
      </c>
      <c r="F76">
        <v>0.98</v>
      </c>
      <c r="G76">
        <v>0.8</v>
      </c>
      <c r="H76">
        <v>0</v>
      </c>
      <c r="I76">
        <v>0</v>
      </c>
      <c r="J76" s="109">
        <v>0</v>
      </c>
      <c r="K76" s="109">
        <v>0</v>
      </c>
    </row>
    <row r="77" spans="4:33" ht="15" customHeight="1" x14ac:dyDescent="0.15">
      <c r="D77">
        <v>76</v>
      </c>
      <c r="E77" s="177" t="s">
        <v>266</v>
      </c>
      <c r="F77">
        <v>0.98</v>
      </c>
      <c r="G77">
        <v>0.8</v>
      </c>
      <c r="H77">
        <v>0</v>
      </c>
      <c r="I77">
        <v>0</v>
      </c>
      <c r="J77" s="109">
        <v>0</v>
      </c>
      <c r="K77" s="109">
        <v>0</v>
      </c>
    </row>
    <row r="78" spans="4:33" ht="15" customHeight="1" x14ac:dyDescent="0.15">
      <c r="D78">
        <v>77</v>
      </c>
      <c r="E78" s="177" t="s">
        <v>267</v>
      </c>
      <c r="F78">
        <v>0.98</v>
      </c>
      <c r="G78">
        <v>0.8</v>
      </c>
      <c r="H78">
        <v>0</v>
      </c>
      <c r="I78">
        <v>0</v>
      </c>
      <c r="J78" s="109">
        <v>0</v>
      </c>
      <c r="K78" s="109">
        <v>0</v>
      </c>
    </row>
    <row r="79" spans="4:33" ht="15" customHeight="1" x14ac:dyDescent="0.15">
      <c r="D79">
        <v>78</v>
      </c>
      <c r="E79" s="177" t="s">
        <v>268</v>
      </c>
      <c r="F79">
        <v>0.98</v>
      </c>
      <c r="G79">
        <v>0.8</v>
      </c>
      <c r="H79">
        <v>0</v>
      </c>
      <c r="I79">
        <v>0</v>
      </c>
      <c r="J79" s="109">
        <v>0</v>
      </c>
      <c r="K79" s="109">
        <v>0</v>
      </c>
    </row>
    <row r="80" spans="4:33" ht="15" customHeight="1" x14ac:dyDescent="0.15">
      <c r="D80">
        <v>79</v>
      </c>
      <c r="E80" s="177" t="s">
        <v>269</v>
      </c>
      <c r="F80">
        <v>0.98</v>
      </c>
      <c r="G80">
        <v>0.8</v>
      </c>
      <c r="H80">
        <v>0</v>
      </c>
      <c r="I80">
        <v>0</v>
      </c>
      <c r="J80" s="109">
        <v>0</v>
      </c>
      <c r="K80" s="109">
        <v>0</v>
      </c>
    </row>
    <row r="81" spans="4:33" ht="15" customHeight="1" x14ac:dyDescent="0.15">
      <c r="D81">
        <v>80</v>
      </c>
      <c r="E81" s="177" t="s">
        <v>270</v>
      </c>
      <c r="F81">
        <v>0.98</v>
      </c>
      <c r="G81">
        <v>0.8</v>
      </c>
      <c r="H81">
        <v>0</v>
      </c>
      <c r="I81">
        <v>0</v>
      </c>
      <c r="J81" s="109">
        <v>0</v>
      </c>
      <c r="K81" s="109">
        <v>0</v>
      </c>
    </row>
    <row r="82" spans="4:33" ht="15" customHeight="1" x14ac:dyDescent="0.15">
      <c r="J82"/>
      <c r="K82"/>
    </row>
    <row r="83" spans="4:33" ht="15" customHeight="1" x14ac:dyDescent="0.15">
      <c r="J83"/>
      <c r="K83"/>
      <c r="Y83"/>
      <c r="AC83"/>
      <c r="AG83"/>
    </row>
    <row r="84" spans="4:33" ht="15" customHeight="1" x14ac:dyDescent="0.15">
      <c r="J84"/>
      <c r="K84"/>
      <c r="Y84"/>
      <c r="AC84"/>
      <c r="AG84"/>
    </row>
    <row r="85" spans="4:33" ht="15" customHeight="1" x14ac:dyDescent="0.15">
      <c r="J85"/>
      <c r="K85"/>
      <c r="Y85"/>
      <c r="AC85"/>
      <c r="AG85"/>
    </row>
    <row r="86" spans="4:33" ht="15" customHeight="1" x14ac:dyDescent="0.15">
      <c r="J86"/>
      <c r="K86"/>
      <c r="Y86"/>
      <c r="AC86"/>
      <c r="AG86"/>
    </row>
    <row r="87" spans="4:33" ht="15" customHeight="1" x14ac:dyDescent="0.15">
      <c r="J87"/>
      <c r="K87"/>
      <c r="Y87"/>
      <c r="AC87"/>
      <c r="AG87"/>
    </row>
    <row r="88" spans="4:33" ht="15" customHeight="1" x14ac:dyDescent="0.15">
      <c r="J88"/>
      <c r="K88"/>
      <c r="Y88"/>
      <c r="AC88"/>
      <c r="AG88"/>
    </row>
    <row r="89" spans="4:33" ht="15" customHeight="1" x14ac:dyDescent="0.15">
      <c r="J89"/>
      <c r="K89"/>
      <c r="Y89"/>
      <c r="AC89"/>
      <c r="AG89"/>
    </row>
    <row r="90" spans="4:33" ht="15" customHeight="1" x14ac:dyDescent="0.15">
      <c r="J90"/>
      <c r="K90"/>
      <c r="Y90"/>
      <c r="AC90"/>
      <c r="AG90"/>
    </row>
    <row r="91" spans="4:33" ht="15" customHeight="1" x14ac:dyDescent="0.15">
      <c r="J91"/>
      <c r="K91"/>
      <c r="Y91"/>
      <c r="AC91"/>
      <c r="AG91"/>
    </row>
    <row r="92" spans="4:33" ht="15" customHeight="1" x14ac:dyDescent="0.15">
      <c r="J92"/>
      <c r="K92"/>
      <c r="Y92"/>
      <c r="AC92"/>
      <c r="AG92"/>
    </row>
    <row r="93" spans="4:33" ht="15" customHeight="1" x14ac:dyDescent="0.15">
      <c r="J93"/>
      <c r="K93"/>
      <c r="Y93"/>
      <c r="AC93"/>
      <c r="AG93"/>
    </row>
    <row r="94" spans="4:33" ht="15" customHeight="1" x14ac:dyDescent="0.15">
      <c r="J94"/>
      <c r="K94"/>
      <c r="Y94"/>
      <c r="AC94"/>
      <c r="AG94"/>
    </row>
    <row r="95" spans="4:33" ht="15" customHeight="1" x14ac:dyDescent="0.15">
      <c r="J95"/>
      <c r="K95"/>
      <c r="Y95"/>
      <c r="AC95"/>
      <c r="AG95"/>
    </row>
    <row r="96" spans="4: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CC82"/>
  <sheetViews>
    <sheetView workbookViewId="0">
      <selection activeCell="A3" sqref="A3"/>
    </sheetView>
  </sheetViews>
  <sheetFormatPr baseColWidth="10" defaultRowHeight="13" x14ac:dyDescent="0.15"/>
  <cols>
    <col min="1" max="1" width="29.6640625" style="107" bestFit="1" customWidth="1"/>
    <col min="2" max="63" width="3.83203125" style="107" customWidth="1"/>
    <col min="64" max="81" width="2.33203125" style="107" customWidth="1"/>
    <col min="82" max="16384" width="10.83203125" style="107"/>
  </cols>
  <sheetData>
    <row r="1" spans="1:81" x14ac:dyDescent="0.15">
      <c r="A1" s="63" t="s">
        <v>118</v>
      </c>
      <c r="B1" s="179" t="s">
        <v>191</v>
      </c>
      <c r="C1" s="179" t="s">
        <v>192</v>
      </c>
      <c r="D1" s="179" t="s">
        <v>193</v>
      </c>
      <c r="E1" s="179" t="s">
        <v>194</v>
      </c>
      <c r="F1" s="179" t="s">
        <v>195</v>
      </c>
      <c r="G1" s="179" t="s">
        <v>196</v>
      </c>
      <c r="H1" s="179" t="s">
        <v>197</v>
      </c>
      <c r="I1" s="179" t="s">
        <v>198</v>
      </c>
      <c r="J1" s="179" t="s">
        <v>199</v>
      </c>
      <c r="K1" s="179" t="s">
        <v>200</v>
      </c>
      <c r="L1" s="179" t="s">
        <v>201</v>
      </c>
      <c r="M1" s="179" t="s">
        <v>202</v>
      </c>
      <c r="N1" s="179" t="s">
        <v>203</v>
      </c>
      <c r="O1" s="179" t="s">
        <v>204</v>
      </c>
      <c r="P1" s="179" t="s">
        <v>205</v>
      </c>
      <c r="Q1" s="179" t="s">
        <v>206</v>
      </c>
      <c r="R1" s="179" t="s">
        <v>207</v>
      </c>
      <c r="S1" s="179" t="s">
        <v>208</v>
      </c>
      <c r="T1" s="179" t="s">
        <v>209</v>
      </c>
      <c r="U1" s="179" t="s">
        <v>210</v>
      </c>
      <c r="V1" s="179" t="s">
        <v>211</v>
      </c>
      <c r="W1" s="179" t="s">
        <v>212</v>
      </c>
      <c r="X1" s="179" t="s">
        <v>213</v>
      </c>
      <c r="Y1" s="179" t="s">
        <v>214</v>
      </c>
      <c r="Z1" s="179" t="s">
        <v>215</v>
      </c>
      <c r="AA1" s="179" t="s">
        <v>216</v>
      </c>
      <c r="AB1" s="179" t="s">
        <v>217</v>
      </c>
      <c r="AC1" s="179" t="s">
        <v>218</v>
      </c>
      <c r="AD1" s="179" t="s">
        <v>219</v>
      </c>
      <c r="AE1" s="179" t="s">
        <v>220</v>
      </c>
      <c r="AF1" s="179" t="s">
        <v>221</v>
      </c>
      <c r="AG1" s="179" t="s">
        <v>222</v>
      </c>
      <c r="AH1" s="179" t="s">
        <v>223</v>
      </c>
      <c r="AI1" s="179" t="s">
        <v>224</v>
      </c>
      <c r="AJ1" s="179" t="s">
        <v>225</v>
      </c>
      <c r="AK1" s="179" t="s">
        <v>226</v>
      </c>
      <c r="AL1" s="179" t="s">
        <v>227</v>
      </c>
      <c r="AM1" s="179" t="s">
        <v>228</v>
      </c>
      <c r="AN1" s="179" t="s">
        <v>229</v>
      </c>
      <c r="AO1" s="179" t="s">
        <v>230</v>
      </c>
      <c r="AP1" s="179" t="s">
        <v>231</v>
      </c>
      <c r="AQ1" s="179" t="s">
        <v>232</v>
      </c>
      <c r="AR1" s="179" t="s">
        <v>233</v>
      </c>
      <c r="AS1" s="179" t="s">
        <v>234</v>
      </c>
      <c r="AT1" s="179" t="s">
        <v>235</v>
      </c>
      <c r="AU1" s="179" t="s">
        <v>236</v>
      </c>
      <c r="AV1" s="179" t="s">
        <v>237</v>
      </c>
      <c r="AW1" s="179" t="s">
        <v>238</v>
      </c>
      <c r="AX1" s="179" t="s">
        <v>239</v>
      </c>
      <c r="AY1" s="179" t="s">
        <v>240</v>
      </c>
      <c r="AZ1" s="179" t="s">
        <v>241</v>
      </c>
      <c r="BA1" s="179" t="s">
        <v>242</v>
      </c>
      <c r="BB1" s="179" t="s">
        <v>243</v>
      </c>
      <c r="BC1" s="179" t="s">
        <v>244</v>
      </c>
      <c r="BD1" s="179" t="s">
        <v>245</v>
      </c>
      <c r="BE1" s="179" t="s">
        <v>246</v>
      </c>
      <c r="BF1" s="179" t="s">
        <v>247</v>
      </c>
      <c r="BG1" s="179" t="s">
        <v>248</v>
      </c>
      <c r="BH1" s="179" t="s">
        <v>249</v>
      </c>
      <c r="BI1" s="179" t="s">
        <v>250</v>
      </c>
      <c r="BJ1" s="179" t="s">
        <v>251</v>
      </c>
      <c r="BK1" s="179" t="s">
        <v>252</v>
      </c>
      <c r="BL1" s="179" t="s">
        <v>253</v>
      </c>
      <c r="BM1" s="179" t="s">
        <v>254</v>
      </c>
      <c r="BN1" s="179" t="s">
        <v>255</v>
      </c>
      <c r="BO1" s="179" t="s">
        <v>256</v>
      </c>
      <c r="BP1" s="179" t="s">
        <v>257</v>
      </c>
      <c r="BQ1" s="179" t="s">
        <v>258</v>
      </c>
      <c r="BR1" s="179" t="s">
        <v>259</v>
      </c>
      <c r="BS1" s="179" t="s">
        <v>260</v>
      </c>
      <c r="BT1" s="179" t="s">
        <v>261</v>
      </c>
      <c r="BU1" s="179" t="s">
        <v>262</v>
      </c>
      <c r="BV1" s="179" t="s">
        <v>263</v>
      </c>
      <c r="BW1" s="179" t="s">
        <v>264</v>
      </c>
      <c r="BX1" s="179" t="s">
        <v>265</v>
      </c>
      <c r="BY1" s="179" t="s">
        <v>266</v>
      </c>
      <c r="BZ1" s="179" t="s">
        <v>267</v>
      </c>
      <c r="CA1" s="179" t="s">
        <v>268</v>
      </c>
      <c r="CB1" s="179" t="s">
        <v>269</v>
      </c>
      <c r="CC1" s="179" t="s">
        <v>270</v>
      </c>
    </row>
    <row r="2" spans="1:81" customFormat="1" x14ac:dyDescent="0.15">
      <c r="A2" s="178" t="s">
        <v>191</v>
      </c>
      <c r="B2" s="107">
        <v>0</v>
      </c>
      <c r="C2" s="107">
        <v>0</v>
      </c>
      <c r="D2" s="107">
        <v>0</v>
      </c>
      <c r="E2" s="107">
        <v>0</v>
      </c>
      <c r="F2" s="107">
        <v>0.8</v>
      </c>
      <c r="G2" s="107">
        <v>0</v>
      </c>
      <c r="H2" s="107">
        <v>0</v>
      </c>
      <c r="I2" s="107">
        <v>0</v>
      </c>
      <c r="J2" s="107">
        <v>0</v>
      </c>
      <c r="K2" s="107">
        <v>0</v>
      </c>
      <c r="L2" s="107">
        <v>0</v>
      </c>
      <c r="M2" s="107">
        <v>0</v>
      </c>
      <c r="N2" s="107">
        <v>0</v>
      </c>
      <c r="O2" s="107">
        <v>0</v>
      </c>
      <c r="P2" s="107">
        <v>0</v>
      </c>
      <c r="Q2" s="107">
        <v>0</v>
      </c>
      <c r="R2" s="107">
        <v>0</v>
      </c>
      <c r="S2" s="107">
        <v>0</v>
      </c>
      <c r="T2" s="107">
        <v>0</v>
      </c>
      <c r="U2" s="107">
        <v>0</v>
      </c>
      <c r="V2" s="107">
        <v>0</v>
      </c>
      <c r="W2" s="107">
        <v>0</v>
      </c>
      <c r="X2" s="107">
        <v>0</v>
      </c>
      <c r="Y2" s="107">
        <v>0</v>
      </c>
      <c r="Z2" s="107">
        <v>0</v>
      </c>
      <c r="AA2" s="107">
        <v>0</v>
      </c>
      <c r="AB2" s="107">
        <v>0</v>
      </c>
      <c r="AC2" s="107">
        <v>0</v>
      </c>
      <c r="AD2" s="107">
        <v>0</v>
      </c>
      <c r="AE2" s="107">
        <v>0</v>
      </c>
      <c r="AF2" s="107">
        <v>0</v>
      </c>
      <c r="AG2" s="107">
        <v>0</v>
      </c>
      <c r="AH2" s="107">
        <v>0</v>
      </c>
      <c r="AI2" s="107">
        <v>0</v>
      </c>
      <c r="AJ2" s="107">
        <v>0</v>
      </c>
      <c r="AK2" s="107">
        <v>0</v>
      </c>
      <c r="AL2" s="107">
        <v>0</v>
      </c>
      <c r="AM2" s="107">
        <v>0</v>
      </c>
      <c r="AN2" s="107">
        <v>0</v>
      </c>
      <c r="AO2" s="107">
        <v>0</v>
      </c>
      <c r="AP2" s="107">
        <v>0</v>
      </c>
      <c r="AQ2" s="107">
        <v>0</v>
      </c>
      <c r="AR2" s="107">
        <v>0</v>
      </c>
      <c r="AS2" s="107">
        <v>0</v>
      </c>
      <c r="AT2" s="107">
        <v>0</v>
      </c>
      <c r="AU2" s="107">
        <v>0</v>
      </c>
      <c r="AV2" s="107">
        <v>0</v>
      </c>
      <c r="AW2" s="107">
        <v>0</v>
      </c>
      <c r="AX2" s="107">
        <v>0</v>
      </c>
      <c r="AY2" s="107">
        <v>0</v>
      </c>
      <c r="AZ2" s="107">
        <v>0</v>
      </c>
      <c r="BA2" s="107">
        <v>0</v>
      </c>
      <c r="BB2" s="107">
        <v>0</v>
      </c>
      <c r="BC2" s="107">
        <v>0</v>
      </c>
      <c r="BD2" s="107">
        <v>0</v>
      </c>
      <c r="BE2" s="107">
        <v>0</v>
      </c>
      <c r="BF2" s="107">
        <v>0</v>
      </c>
      <c r="BG2" s="107">
        <v>0</v>
      </c>
      <c r="BH2" s="107">
        <v>0</v>
      </c>
      <c r="BI2" s="107">
        <v>0</v>
      </c>
      <c r="BJ2" s="107">
        <v>0</v>
      </c>
      <c r="BK2" s="107">
        <v>0</v>
      </c>
      <c r="BL2" s="107">
        <v>0</v>
      </c>
      <c r="BM2" s="107">
        <v>0</v>
      </c>
      <c r="BN2" s="107">
        <v>0</v>
      </c>
      <c r="BO2" s="107">
        <v>0</v>
      </c>
      <c r="BP2" s="107">
        <v>0</v>
      </c>
      <c r="BQ2" s="107">
        <v>0</v>
      </c>
      <c r="BR2" s="107">
        <v>0</v>
      </c>
      <c r="BS2" s="107">
        <v>0</v>
      </c>
      <c r="BT2" s="107">
        <v>0</v>
      </c>
      <c r="BU2" s="107">
        <v>0</v>
      </c>
      <c r="BV2" s="107">
        <v>0</v>
      </c>
      <c r="BW2" s="107">
        <v>0</v>
      </c>
      <c r="BX2" s="107">
        <v>0</v>
      </c>
      <c r="BY2" s="107">
        <v>0</v>
      </c>
      <c r="BZ2" s="107">
        <v>0</v>
      </c>
      <c r="CA2" s="107">
        <v>0</v>
      </c>
      <c r="CB2" s="107">
        <v>0</v>
      </c>
      <c r="CC2" s="107">
        <v>0</v>
      </c>
    </row>
    <row r="3" spans="1:81" customFormat="1" x14ac:dyDescent="0.15">
      <c r="A3" s="178" t="s">
        <v>192</v>
      </c>
      <c r="B3" s="107">
        <v>0</v>
      </c>
      <c r="C3" s="107">
        <v>0</v>
      </c>
      <c r="D3" s="107">
        <v>0</v>
      </c>
      <c r="E3" s="107">
        <v>0</v>
      </c>
      <c r="F3" s="107">
        <v>0.8</v>
      </c>
      <c r="G3" s="107">
        <v>0</v>
      </c>
      <c r="H3" s="107">
        <v>0</v>
      </c>
      <c r="I3" s="107">
        <v>0</v>
      </c>
      <c r="J3" s="107">
        <v>0</v>
      </c>
      <c r="K3" s="107">
        <v>0</v>
      </c>
      <c r="L3" s="107">
        <v>0</v>
      </c>
      <c r="M3" s="107">
        <v>0</v>
      </c>
      <c r="N3" s="107">
        <v>0</v>
      </c>
      <c r="O3" s="107">
        <v>0</v>
      </c>
      <c r="P3" s="107">
        <v>0</v>
      </c>
      <c r="Q3" s="107">
        <v>0</v>
      </c>
      <c r="R3" s="107">
        <v>0</v>
      </c>
      <c r="S3" s="107">
        <v>0</v>
      </c>
      <c r="T3" s="107">
        <v>0</v>
      </c>
      <c r="U3" s="107">
        <v>0</v>
      </c>
      <c r="V3" s="107">
        <v>0</v>
      </c>
      <c r="W3" s="107">
        <v>0</v>
      </c>
      <c r="X3" s="107">
        <v>0</v>
      </c>
      <c r="Y3" s="107">
        <v>0</v>
      </c>
      <c r="Z3" s="107">
        <v>0</v>
      </c>
      <c r="AA3" s="107">
        <v>0</v>
      </c>
      <c r="AB3" s="107">
        <v>0</v>
      </c>
      <c r="AC3" s="107">
        <v>0</v>
      </c>
      <c r="AD3" s="107">
        <v>0</v>
      </c>
      <c r="AE3" s="107">
        <v>0</v>
      </c>
      <c r="AF3" s="107">
        <v>0</v>
      </c>
      <c r="AG3" s="107">
        <v>0</v>
      </c>
      <c r="AH3" s="107">
        <v>0</v>
      </c>
      <c r="AI3" s="107">
        <v>0</v>
      </c>
      <c r="AJ3" s="107">
        <v>0</v>
      </c>
      <c r="AK3" s="107">
        <v>0</v>
      </c>
      <c r="AL3" s="107">
        <v>0</v>
      </c>
      <c r="AM3" s="107">
        <v>0</v>
      </c>
      <c r="AN3" s="107">
        <v>0</v>
      </c>
      <c r="AO3" s="107">
        <v>0</v>
      </c>
      <c r="AP3" s="107">
        <v>0</v>
      </c>
      <c r="AQ3" s="107">
        <v>0</v>
      </c>
      <c r="AR3" s="107">
        <v>0</v>
      </c>
      <c r="AS3" s="107">
        <v>0</v>
      </c>
      <c r="AT3" s="107">
        <v>0</v>
      </c>
      <c r="AU3" s="107">
        <v>0</v>
      </c>
      <c r="AV3" s="107">
        <v>0</v>
      </c>
      <c r="AW3" s="107">
        <v>0</v>
      </c>
      <c r="AX3" s="107">
        <v>0</v>
      </c>
      <c r="AY3" s="107">
        <v>0</v>
      </c>
      <c r="AZ3" s="107">
        <v>0</v>
      </c>
      <c r="BA3" s="107">
        <v>0</v>
      </c>
      <c r="BB3" s="107">
        <v>0</v>
      </c>
      <c r="BC3" s="107">
        <v>0</v>
      </c>
      <c r="BD3" s="107">
        <v>0</v>
      </c>
      <c r="BE3" s="107">
        <v>0</v>
      </c>
      <c r="BF3" s="107">
        <v>0</v>
      </c>
      <c r="BG3" s="107">
        <v>0</v>
      </c>
      <c r="BH3" s="107">
        <v>0</v>
      </c>
      <c r="BI3" s="107">
        <v>0</v>
      </c>
      <c r="BJ3" s="107">
        <v>0</v>
      </c>
      <c r="BK3" s="107">
        <v>0</v>
      </c>
      <c r="BL3" s="107">
        <v>0</v>
      </c>
      <c r="BM3" s="107">
        <v>0</v>
      </c>
      <c r="BN3" s="107">
        <v>0</v>
      </c>
      <c r="BO3" s="107">
        <v>0</v>
      </c>
      <c r="BP3" s="107">
        <v>0</v>
      </c>
      <c r="BQ3" s="107">
        <v>0</v>
      </c>
      <c r="BR3" s="107">
        <v>0</v>
      </c>
      <c r="BS3" s="107">
        <v>0</v>
      </c>
      <c r="BT3" s="107">
        <v>0</v>
      </c>
      <c r="BU3" s="107">
        <v>0</v>
      </c>
      <c r="BV3" s="107">
        <v>0</v>
      </c>
      <c r="BW3" s="107">
        <v>0</v>
      </c>
      <c r="BX3" s="107">
        <v>0</v>
      </c>
      <c r="BY3" s="107">
        <v>0</v>
      </c>
      <c r="BZ3" s="107">
        <v>0</v>
      </c>
      <c r="CA3" s="107">
        <v>0</v>
      </c>
      <c r="CB3" s="107">
        <v>0</v>
      </c>
      <c r="CC3" s="107">
        <v>0</v>
      </c>
    </row>
    <row r="4" spans="1:81" customFormat="1" x14ac:dyDescent="0.15">
      <c r="A4" s="178" t="s">
        <v>193</v>
      </c>
      <c r="B4" s="107">
        <v>0</v>
      </c>
      <c r="C4" s="107">
        <v>0</v>
      </c>
      <c r="D4" s="107">
        <v>0</v>
      </c>
      <c r="E4" s="107">
        <v>0</v>
      </c>
      <c r="F4" s="107">
        <v>0</v>
      </c>
      <c r="G4" s="107">
        <v>0</v>
      </c>
      <c r="H4" s="107">
        <v>0</v>
      </c>
      <c r="I4" s="107">
        <v>0</v>
      </c>
      <c r="J4" s="107">
        <v>0</v>
      </c>
      <c r="K4" s="107">
        <v>0</v>
      </c>
      <c r="L4" s="107">
        <v>0</v>
      </c>
      <c r="M4" s="107">
        <v>0</v>
      </c>
      <c r="N4" s="107">
        <v>0</v>
      </c>
      <c r="O4" s="107">
        <v>0</v>
      </c>
      <c r="P4" s="107">
        <v>0</v>
      </c>
      <c r="Q4" s="107">
        <v>0</v>
      </c>
      <c r="R4" s="107">
        <v>0.8</v>
      </c>
      <c r="S4" s="107">
        <v>0</v>
      </c>
      <c r="T4" s="107">
        <v>0</v>
      </c>
      <c r="U4" s="107">
        <v>0</v>
      </c>
      <c r="V4" s="107">
        <v>0</v>
      </c>
      <c r="W4" s="107">
        <v>0</v>
      </c>
      <c r="X4" s="107">
        <v>0</v>
      </c>
      <c r="Y4" s="107">
        <v>0</v>
      </c>
      <c r="Z4" s="107">
        <v>0</v>
      </c>
      <c r="AA4" s="107">
        <v>0</v>
      </c>
      <c r="AB4" s="107">
        <v>0</v>
      </c>
      <c r="AC4" s="107">
        <v>0</v>
      </c>
      <c r="AD4" s="107">
        <v>0</v>
      </c>
      <c r="AE4" s="107">
        <v>0</v>
      </c>
      <c r="AF4" s="107">
        <v>0</v>
      </c>
      <c r="AG4" s="107">
        <v>0</v>
      </c>
      <c r="AH4" s="107">
        <v>0</v>
      </c>
      <c r="AI4" s="107">
        <v>0</v>
      </c>
      <c r="AJ4" s="107">
        <v>0</v>
      </c>
      <c r="AK4" s="107">
        <v>0</v>
      </c>
      <c r="AL4" s="107">
        <v>0</v>
      </c>
      <c r="AM4" s="107">
        <v>0</v>
      </c>
      <c r="AN4" s="107">
        <v>0</v>
      </c>
      <c r="AO4" s="107">
        <v>0</v>
      </c>
      <c r="AP4" s="107">
        <v>0</v>
      </c>
      <c r="AQ4" s="107">
        <v>0</v>
      </c>
      <c r="AR4" s="107">
        <v>0</v>
      </c>
      <c r="AS4" s="107">
        <v>0</v>
      </c>
      <c r="AT4" s="107">
        <v>0</v>
      </c>
      <c r="AU4" s="107">
        <v>0</v>
      </c>
      <c r="AV4" s="107">
        <v>0</v>
      </c>
      <c r="AW4" s="107">
        <v>0</v>
      </c>
      <c r="AX4" s="107">
        <v>0</v>
      </c>
      <c r="AY4" s="107">
        <v>0</v>
      </c>
      <c r="AZ4" s="107">
        <v>0</v>
      </c>
      <c r="BA4" s="107">
        <v>0</v>
      </c>
      <c r="BB4" s="107">
        <v>0</v>
      </c>
      <c r="BC4" s="107">
        <v>0</v>
      </c>
      <c r="BD4" s="107">
        <v>0</v>
      </c>
      <c r="BE4" s="107">
        <v>0</v>
      </c>
      <c r="BF4" s="107">
        <v>0</v>
      </c>
      <c r="BG4" s="107">
        <v>0</v>
      </c>
      <c r="BH4" s="107">
        <v>0</v>
      </c>
      <c r="BI4" s="107">
        <v>0</v>
      </c>
      <c r="BJ4" s="107">
        <v>0</v>
      </c>
      <c r="BK4" s="107">
        <v>0</v>
      </c>
      <c r="BL4" s="107">
        <v>0</v>
      </c>
      <c r="BM4" s="107">
        <v>0</v>
      </c>
      <c r="BN4" s="107">
        <v>0</v>
      </c>
      <c r="BO4" s="107">
        <v>0</v>
      </c>
      <c r="BP4" s="107">
        <v>0</v>
      </c>
      <c r="BQ4" s="107">
        <v>0</v>
      </c>
      <c r="BR4" s="107">
        <v>0</v>
      </c>
      <c r="BS4" s="107">
        <v>0</v>
      </c>
      <c r="BT4" s="107">
        <v>0</v>
      </c>
      <c r="BU4" s="107">
        <v>0</v>
      </c>
      <c r="BV4" s="107">
        <v>0</v>
      </c>
      <c r="BW4" s="107">
        <v>0</v>
      </c>
      <c r="BX4" s="107">
        <v>0</v>
      </c>
      <c r="BY4" s="107">
        <v>0</v>
      </c>
      <c r="BZ4" s="107">
        <v>0</v>
      </c>
      <c r="CA4" s="107">
        <v>0</v>
      </c>
      <c r="CB4" s="107">
        <v>0</v>
      </c>
      <c r="CC4" s="107">
        <v>0</v>
      </c>
    </row>
    <row r="5" spans="1:81" customFormat="1" x14ac:dyDescent="0.15">
      <c r="A5" s="178" t="s">
        <v>194</v>
      </c>
      <c r="B5" s="107">
        <v>0</v>
      </c>
      <c r="C5" s="107">
        <v>0</v>
      </c>
      <c r="D5" s="107">
        <v>0</v>
      </c>
      <c r="E5" s="107">
        <v>0</v>
      </c>
      <c r="F5" s="107">
        <v>0.8</v>
      </c>
      <c r="G5" s="107">
        <v>0</v>
      </c>
      <c r="H5" s="107">
        <v>0</v>
      </c>
      <c r="I5" s="107">
        <v>0</v>
      </c>
      <c r="J5" s="107">
        <v>0</v>
      </c>
      <c r="K5" s="107">
        <v>0</v>
      </c>
      <c r="L5" s="107">
        <v>0</v>
      </c>
      <c r="M5" s="107">
        <v>0</v>
      </c>
      <c r="N5" s="107">
        <v>0</v>
      </c>
      <c r="O5" s="107">
        <v>0</v>
      </c>
      <c r="P5" s="107">
        <v>0</v>
      </c>
      <c r="Q5" s="107">
        <v>0</v>
      </c>
      <c r="R5" s="107">
        <v>0</v>
      </c>
      <c r="S5" s="107">
        <v>0</v>
      </c>
      <c r="T5" s="107">
        <v>0</v>
      </c>
      <c r="U5" s="107">
        <v>0</v>
      </c>
      <c r="V5" s="107">
        <v>0</v>
      </c>
      <c r="W5" s="107">
        <v>0</v>
      </c>
      <c r="X5" s="107">
        <v>0</v>
      </c>
      <c r="Y5" s="107">
        <v>0</v>
      </c>
      <c r="Z5" s="107">
        <v>0</v>
      </c>
      <c r="AA5" s="107">
        <v>0</v>
      </c>
      <c r="AB5" s="107">
        <v>0</v>
      </c>
      <c r="AC5" s="107">
        <v>0</v>
      </c>
      <c r="AD5" s="107">
        <v>0</v>
      </c>
      <c r="AE5" s="107">
        <v>0</v>
      </c>
      <c r="AF5" s="107">
        <v>0</v>
      </c>
      <c r="AG5" s="107">
        <v>0</v>
      </c>
      <c r="AH5" s="107">
        <v>0</v>
      </c>
      <c r="AI5" s="107">
        <v>0</v>
      </c>
      <c r="AJ5" s="107">
        <v>0</v>
      </c>
      <c r="AK5" s="107">
        <v>0</v>
      </c>
      <c r="AL5" s="107">
        <v>0</v>
      </c>
      <c r="AM5" s="107">
        <v>0</v>
      </c>
      <c r="AN5" s="107">
        <v>0</v>
      </c>
      <c r="AO5" s="107">
        <v>0</v>
      </c>
      <c r="AP5" s="107">
        <v>0</v>
      </c>
      <c r="AQ5" s="107">
        <v>0</v>
      </c>
      <c r="AR5" s="107">
        <v>0</v>
      </c>
      <c r="AS5" s="107">
        <v>0</v>
      </c>
      <c r="AT5" s="107">
        <v>0</v>
      </c>
      <c r="AU5" s="107">
        <v>0</v>
      </c>
      <c r="AV5" s="107">
        <v>0</v>
      </c>
      <c r="AW5" s="107">
        <v>0</v>
      </c>
      <c r="AX5" s="107">
        <v>0</v>
      </c>
      <c r="AY5" s="107">
        <v>0</v>
      </c>
      <c r="AZ5" s="107">
        <v>0</v>
      </c>
      <c r="BA5" s="107">
        <v>0</v>
      </c>
      <c r="BB5" s="107">
        <v>0</v>
      </c>
      <c r="BC5" s="107">
        <v>0</v>
      </c>
      <c r="BD5" s="107">
        <v>0</v>
      </c>
      <c r="BE5" s="107">
        <v>0</v>
      </c>
      <c r="BF5" s="107">
        <v>0</v>
      </c>
      <c r="BG5" s="107">
        <v>0</v>
      </c>
      <c r="BH5" s="107">
        <v>0</v>
      </c>
      <c r="BI5" s="107">
        <v>0</v>
      </c>
      <c r="BJ5" s="107">
        <v>0</v>
      </c>
      <c r="BK5" s="107">
        <v>0</v>
      </c>
      <c r="BL5" s="107">
        <v>0</v>
      </c>
      <c r="BM5" s="107">
        <v>0</v>
      </c>
      <c r="BN5" s="107">
        <v>0</v>
      </c>
      <c r="BO5" s="107">
        <v>0</v>
      </c>
      <c r="BP5" s="107">
        <v>0</v>
      </c>
      <c r="BQ5" s="107">
        <v>0</v>
      </c>
      <c r="BR5" s="107">
        <v>0</v>
      </c>
      <c r="BS5" s="107">
        <v>0</v>
      </c>
      <c r="BT5" s="107">
        <v>0</v>
      </c>
      <c r="BU5" s="107">
        <v>0</v>
      </c>
      <c r="BV5" s="107">
        <v>0</v>
      </c>
      <c r="BW5" s="107">
        <v>0</v>
      </c>
      <c r="BX5" s="107">
        <v>0</v>
      </c>
      <c r="BY5" s="107">
        <v>0</v>
      </c>
      <c r="BZ5" s="107">
        <v>0</v>
      </c>
      <c r="CA5" s="107">
        <v>0</v>
      </c>
      <c r="CB5" s="107">
        <v>0</v>
      </c>
      <c r="CC5" s="107">
        <v>0</v>
      </c>
    </row>
    <row r="6" spans="1:81" customFormat="1" x14ac:dyDescent="0.15">
      <c r="A6" s="178" t="s">
        <v>195</v>
      </c>
      <c r="B6" s="107">
        <v>0</v>
      </c>
      <c r="C6" s="107">
        <v>0</v>
      </c>
      <c r="D6" s="107">
        <v>0</v>
      </c>
      <c r="E6" s="107">
        <v>0</v>
      </c>
      <c r="F6" s="107">
        <v>0.8</v>
      </c>
      <c r="G6" s="107">
        <v>0</v>
      </c>
      <c r="H6" s="107">
        <v>0</v>
      </c>
      <c r="I6" s="107">
        <v>0</v>
      </c>
      <c r="J6" s="107">
        <v>0</v>
      </c>
      <c r="K6" s="107">
        <v>0</v>
      </c>
      <c r="L6" s="107">
        <v>0</v>
      </c>
      <c r="M6" s="107">
        <v>0</v>
      </c>
      <c r="N6" s="107">
        <v>0</v>
      </c>
      <c r="O6" s="107">
        <v>0</v>
      </c>
      <c r="P6" s="107">
        <v>0</v>
      </c>
      <c r="Q6" s="107">
        <v>0</v>
      </c>
      <c r="R6" s="107">
        <v>0</v>
      </c>
      <c r="S6" s="107">
        <v>0</v>
      </c>
      <c r="T6" s="107">
        <v>0</v>
      </c>
      <c r="U6" s="107">
        <v>0</v>
      </c>
      <c r="V6" s="107">
        <v>0</v>
      </c>
      <c r="W6" s="107">
        <v>0</v>
      </c>
      <c r="X6" s="107">
        <v>0</v>
      </c>
      <c r="Y6" s="107">
        <v>0</v>
      </c>
      <c r="Z6" s="107">
        <v>0</v>
      </c>
      <c r="AA6" s="107">
        <v>0</v>
      </c>
      <c r="AB6" s="107">
        <v>0</v>
      </c>
      <c r="AC6" s="107">
        <v>0</v>
      </c>
      <c r="AD6" s="107">
        <v>0</v>
      </c>
      <c r="AE6" s="107">
        <v>0</v>
      </c>
      <c r="AF6" s="107">
        <v>0</v>
      </c>
      <c r="AG6" s="107">
        <v>0</v>
      </c>
      <c r="AH6" s="107">
        <v>0</v>
      </c>
      <c r="AI6" s="107">
        <v>0</v>
      </c>
      <c r="AJ6" s="107">
        <v>0</v>
      </c>
      <c r="AK6" s="107">
        <v>0</v>
      </c>
      <c r="AL6" s="107">
        <v>0</v>
      </c>
      <c r="AM6" s="107">
        <v>0</v>
      </c>
      <c r="AN6" s="107">
        <v>0</v>
      </c>
      <c r="AO6" s="107">
        <v>0</v>
      </c>
      <c r="AP6" s="107">
        <v>0</v>
      </c>
      <c r="AQ6" s="107">
        <v>0</v>
      </c>
      <c r="AR6" s="107">
        <v>0</v>
      </c>
      <c r="AS6" s="107">
        <v>0</v>
      </c>
      <c r="AT6" s="107">
        <v>0</v>
      </c>
      <c r="AU6" s="107">
        <v>0</v>
      </c>
      <c r="AV6" s="107">
        <v>0</v>
      </c>
      <c r="AW6" s="107">
        <v>0</v>
      </c>
      <c r="AX6" s="107">
        <v>0</v>
      </c>
      <c r="AY6" s="107">
        <v>0</v>
      </c>
      <c r="AZ6" s="107">
        <v>0</v>
      </c>
      <c r="BA6" s="107">
        <v>0</v>
      </c>
      <c r="BB6" s="107">
        <v>0</v>
      </c>
      <c r="BC6" s="107">
        <v>0</v>
      </c>
      <c r="BD6" s="107">
        <v>0</v>
      </c>
      <c r="BE6" s="107">
        <v>0</v>
      </c>
      <c r="BF6" s="107">
        <v>0</v>
      </c>
      <c r="BG6" s="107">
        <v>0</v>
      </c>
      <c r="BH6" s="107">
        <v>0</v>
      </c>
      <c r="BI6" s="107">
        <v>0</v>
      </c>
      <c r="BJ6" s="107">
        <v>0</v>
      </c>
      <c r="BK6" s="107">
        <v>0</v>
      </c>
      <c r="BL6" s="107">
        <v>0</v>
      </c>
      <c r="BM6" s="107">
        <v>0</v>
      </c>
      <c r="BN6" s="107">
        <v>0</v>
      </c>
      <c r="BO6" s="107">
        <v>0</v>
      </c>
      <c r="BP6" s="107">
        <v>0</v>
      </c>
      <c r="BQ6" s="107">
        <v>0</v>
      </c>
      <c r="BR6" s="107">
        <v>0</v>
      </c>
      <c r="BS6" s="107">
        <v>0</v>
      </c>
      <c r="BT6" s="107">
        <v>0</v>
      </c>
      <c r="BU6" s="107">
        <v>0</v>
      </c>
      <c r="BV6" s="107">
        <v>0</v>
      </c>
      <c r="BW6" s="107">
        <v>0</v>
      </c>
      <c r="BX6" s="107">
        <v>0</v>
      </c>
      <c r="BY6" s="107">
        <v>0</v>
      </c>
      <c r="BZ6" s="107">
        <v>0</v>
      </c>
      <c r="CA6" s="107">
        <v>0</v>
      </c>
      <c r="CB6" s="107">
        <v>0</v>
      </c>
      <c r="CC6" s="107">
        <v>0</v>
      </c>
    </row>
    <row r="7" spans="1:81" customFormat="1" x14ac:dyDescent="0.15">
      <c r="A7" s="178" t="s">
        <v>196</v>
      </c>
      <c r="B7" s="107">
        <v>0</v>
      </c>
      <c r="C7" s="107">
        <v>0</v>
      </c>
      <c r="D7" s="107">
        <v>0</v>
      </c>
      <c r="E7" s="107">
        <v>0</v>
      </c>
      <c r="F7" s="107">
        <v>0.8</v>
      </c>
      <c r="G7" s="107">
        <v>0</v>
      </c>
      <c r="H7" s="107">
        <v>0</v>
      </c>
      <c r="I7" s="107">
        <v>0</v>
      </c>
      <c r="J7" s="107">
        <v>0</v>
      </c>
      <c r="K7" s="107">
        <v>0</v>
      </c>
      <c r="L7" s="107">
        <v>0</v>
      </c>
      <c r="M7" s="107">
        <v>0</v>
      </c>
      <c r="N7" s="107">
        <v>0</v>
      </c>
      <c r="O7" s="107">
        <v>0</v>
      </c>
      <c r="P7" s="107">
        <v>0</v>
      </c>
      <c r="Q7" s="107">
        <v>0</v>
      </c>
      <c r="R7" s="107">
        <v>0</v>
      </c>
      <c r="S7" s="107">
        <v>0</v>
      </c>
      <c r="T7" s="107">
        <v>0</v>
      </c>
      <c r="U7" s="107">
        <v>0</v>
      </c>
      <c r="V7" s="107">
        <v>0</v>
      </c>
      <c r="W7" s="107">
        <v>0</v>
      </c>
      <c r="X7" s="107">
        <v>0</v>
      </c>
      <c r="Y7" s="107">
        <v>0</v>
      </c>
      <c r="Z7" s="107">
        <v>0</v>
      </c>
      <c r="AA7" s="107">
        <v>0</v>
      </c>
      <c r="AB7" s="107">
        <v>0</v>
      </c>
      <c r="AC7" s="107">
        <v>0</v>
      </c>
      <c r="AD7" s="107">
        <v>0</v>
      </c>
      <c r="AE7" s="107">
        <v>0</v>
      </c>
      <c r="AF7" s="107">
        <v>0</v>
      </c>
      <c r="AG7" s="107">
        <v>0</v>
      </c>
      <c r="AH7" s="107">
        <v>0</v>
      </c>
      <c r="AI7" s="107">
        <v>0</v>
      </c>
      <c r="AJ7" s="107">
        <v>0</v>
      </c>
      <c r="AK7" s="107">
        <v>0</v>
      </c>
      <c r="AL7" s="107">
        <v>0</v>
      </c>
      <c r="AM7" s="107">
        <v>0</v>
      </c>
      <c r="AN7" s="107">
        <v>0</v>
      </c>
      <c r="AO7" s="107">
        <v>0</v>
      </c>
      <c r="AP7" s="107">
        <v>0</v>
      </c>
      <c r="AQ7" s="107">
        <v>0</v>
      </c>
      <c r="AR7" s="107">
        <v>0</v>
      </c>
      <c r="AS7" s="107">
        <v>0</v>
      </c>
      <c r="AT7" s="107">
        <v>0</v>
      </c>
      <c r="AU7" s="107">
        <v>0</v>
      </c>
      <c r="AV7" s="107">
        <v>0</v>
      </c>
      <c r="AW7" s="107">
        <v>0</v>
      </c>
      <c r="AX7" s="107">
        <v>0</v>
      </c>
      <c r="AY7" s="107">
        <v>0</v>
      </c>
      <c r="AZ7" s="107">
        <v>0</v>
      </c>
      <c r="BA7" s="107">
        <v>0</v>
      </c>
      <c r="BB7" s="107">
        <v>0</v>
      </c>
      <c r="BC7" s="107">
        <v>0</v>
      </c>
      <c r="BD7" s="107">
        <v>0</v>
      </c>
      <c r="BE7" s="107">
        <v>0</v>
      </c>
      <c r="BF7" s="107">
        <v>0</v>
      </c>
      <c r="BG7" s="107">
        <v>0</v>
      </c>
      <c r="BH7" s="107">
        <v>0</v>
      </c>
      <c r="BI7" s="107">
        <v>0</v>
      </c>
      <c r="BJ7" s="107">
        <v>0</v>
      </c>
      <c r="BK7" s="107">
        <v>0</v>
      </c>
      <c r="BL7" s="107">
        <v>0</v>
      </c>
      <c r="BM7" s="107">
        <v>0</v>
      </c>
      <c r="BN7" s="107">
        <v>0</v>
      </c>
      <c r="BO7" s="107">
        <v>0</v>
      </c>
      <c r="BP7" s="107">
        <v>0</v>
      </c>
      <c r="BQ7" s="107">
        <v>0</v>
      </c>
      <c r="BR7" s="107">
        <v>0</v>
      </c>
      <c r="BS7" s="107">
        <v>0</v>
      </c>
      <c r="BT7" s="107">
        <v>0</v>
      </c>
      <c r="BU7" s="107">
        <v>0</v>
      </c>
      <c r="BV7" s="107">
        <v>0</v>
      </c>
      <c r="BW7" s="107">
        <v>0</v>
      </c>
      <c r="BX7" s="107">
        <v>0</v>
      </c>
      <c r="BY7" s="107">
        <v>0</v>
      </c>
      <c r="BZ7" s="107">
        <v>0</v>
      </c>
      <c r="CA7" s="107">
        <v>0</v>
      </c>
      <c r="CB7" s="107">
        <v>0</v>
      </c>
      <c r="CC7" s="107">
        <v>0</v>
      </c>
    </row>
    <row r="8" spans="1:81" customFormat="1" x14ac:dyDescent="0.15">
      <c r="A8" s="178" t="s">
        <v>197</v>
      </c>
      <c r="B8" s="107">
        <v>0</v>
      </c>
      <c r="C8" s="107">
        <v>0</v>
      </c>
      <c r="D8" s="107">
        <v>0</v>
      </c>
      <c r="E8" s="107">
        <v>0</v>
      </c>
      <c r="F8" s="107">
        <v>0.8</v>
      </c>
      <c r="G8" s="107">
        <v>0.8</v>
      </c>
      <c r="H8" s="107">
        <v>0</v>
      </c>
      <c r="I8" s="107">
        <v>0</v>
      </c>
      <c r="J8" s="107">
        <v>0</v>
      </c>
      <c r="K8" s="107">
        <v>0</v>
      </c>
      <c r="L8" s="107">
        <v>0</v>
      </c>
      <c r="M8" s="107">
        <v>0</v>
      </c>
      <c r="N8" s="107">
        <v>0</v>
      </c>
      <c r="O8" s="107">
        <v>0</v>
      </c>
      <c r="P8" s="107">
        <v>0</v>
      </c>
      <c r="Q8" s="107">
        <v>0</v>
      </c>
      <c r="R8" s="107">
        <v>0</v>
      </c>
      <c r="S8" s="107">
        <v>0</v>
      </c>
      <c r="T8" s="107">
        <v>0</v>
      </c>
      <c r="U8" s="107">
        <v>0</v>
      </c>
      <c r="V8" s="107">
        <v>0</v>
      </c>
      <c r="W8" s="107">
        <v>0</v>
      </c>
      <c r="X8" s="107">
        <v>0</v>
      </c>
      <c r="Y8" s="107">
        <v>0</v>
      </c>
      <c r="Z8" s="107">
        <v>0</v>
      </c>
      <c r="AA8" s="107">
        <v>0</v>
      </c>
      <c r="AB8" s="107">
        <v>0</v>
      </c>
      <c r="AC8" s="107">
        <v>0</v>
      </c>
      <c r="AD8" s="107">
        <v>0</v>
      </c>
      <c r="AE8" s="107">
        <v>0</v>
      </c>
      <c r="AF8" s="107">
        <v>0</v>
      </c>
      <c r="AG8" s="107">
        <v>0</v>
      </c>
      <c r="AH8" s="107">
        <v>0</v>
      </c>
      <c r="AI8" s="107">
        <v>0</v>
      </c>
      <c r="AJ8" s="107">
        <v>0</v>
      </c>
      <c r="AK8" s="107">
        <v>0</v>
      </c>
      <c r="AL8" s="107">
        <v>0</v>
      </c>
      <c r="AM8" s="107">
        <v>0</v>
      </c>
      <c r="AN8" s="107">
        <v>0</v>
      </c>
      <c r="AO8" s="107">
        <v>0</v>
      </c>
      <c r="AP8" s="107">
        <v>0</v>
      </c>
      <c r="AQ8" s="107">
        <v>0</v>
      </c>
      <c r="AR8" s="107">
        <v>0</v>
      </c>
      <c r="AS8" s="107">
        <v>0</v>
      </c>
      <c r="AT8" s="107">
        <v>0</v>
      </c>
      <c r="AU8" s="107">
        <v>0</v>
      </c>
      <c r="AV8" s="107">
        <v>0</v>
      </c>
      <c r="AW8" s="107">
        <v>0</v>
      </c>
      <c r="AX8" s="107">
        <v>0</v>
      </c>
      <c r="AY8" s="107">
        <v>0</v>
      </c>
      <c r="AZ8" s="107">
        <v>0</v>
      </c>
      <c r="BA8" s="107">
        <v>0</v>
      </c>
      <c r="BB8" s="107">
        <v>0</v>
      </c>
      <c r="BC8" s="107">
        <v>0</v>
      </c>
      <c r="BD8" s="107">
        <v>0</v>
      </c>
      <c r="BE8" s="107">
        <v>0</v>
      </c>
      <c r="BF8" s="107">
        <v>0</v>
      </c>
      <c r="BG8" s="107">
        <v>0</v>
      </c>
      <c r="BH8" s="107">
        <v>0</v>
      </c>
      <c r="BI8" s="107">
        <v>0</v>
      </c>
      <c r="BJ8" s="107">
        <v>0</v>
      </c>
      <c r="BK8" s="107">
        <v>0</v>
      </c>
      <c r="BL8" s="107">
        <v>0</v>
      </c>
      <c r="BM8" s="107">
        <v>0</v>
      </c>
      <c r="BN8" s="107">
        <v>0</v>
      </c>
      <c r="BO8" s="107">
        <v>0</v>
      </c>
      <c r="BP8" s="107">
        <v>0</v>
      </c>
      <c r="BQ8" s="107">
        <v>0</v>
      </c>
      <c r="BR8" s="107">
        <v>0</v>
      </c>
      <c r="BS8" s="107">
        <v>0</v>
      </c>
      <c r="BT8" s="107">
        <v>0</v>
      </c>
      <c r="BU8" s="107">
        <v>0</v>
      </c>
      <c r="BV8" s="107">
        <v>0</v>
      </c>
      <c r="BW8" s="107">
        <v>0</v>
      </c>
      <c r="BX8" s="107">
        <v>0</v>
      </c>
      <c r="BY8" s="107">
        <v>0</v>
      </c>
      <c r="BZ8" s="107">
        <v>0</v>
      </c>
      <c r="CA8" s="107">
        <v>0</v>
      </c>
      <c r="CB8" s="107">
        <v>0</v>
      </c>
      <c r="CC8" s="107">
        <v>0</v>
      </c>
    </row>
    <row r="9" spans="1:81" customFormat="1" x14ac:dyDescent="0.15">
      <c r="A9" s="178" t="s">
        <v>198</v>
      </c>
      <c r="B9" s="107">
        <v>0</v>
      </c>
      <c r="C9" s="107">
        <v>0</v>
      </c>
      <c r="D9" s="107">
        <v>0</v>
      </c>
      <c r="E9" s="107">
        <v>0</v>
      </c>
      <c r="F9" s="107">
        <v>0.8</v>
      </c>
      <c r="G9" s="107">
        <v>0.8</v>
      </c>
      <c r="H9" s="107">
        <v>0</v>
      </c>
      <c r="I9" s="107">
        <v>0</v>
      </c>
      <c r="J9" s="107">
        <v>0</v>
      </c>
      <c r="K9" s="107">
        <v>0</v>
      </c>
      <c r="L9" s="107">
        <v>0</v>
      </c>
      <c r="M9" s="107">
        <v>0</v>
      </c>
      <c r="N9" s="107">
        <v>0</v>
      </c>
      <c r="O9" s="107">
        <v>0</v>
      </c>
      <c r="P9" s="107">
        <v>0</v>
      </c>
      <c r="Q9" s="107">
        <v>0</v>
      </c>
      <c r="R9" s="107">
        <v>0</v>
      </c>
      <c r="S9" s="107">
        <v>0</v>
      </c>
      <c r="T9" s="107">
        <v>0</v>
      </c>
      <c r="U9" s="107">
        <v>0</v>
      </c>
      <c r="V9" s="107">
        <v>0</v>
      </c>
      <c r="W9" s="107">
        <v>0</v>
      </c>
      <c r="X9" s="107">
        <v>0</v>
      </c>
      <c r="Y9" s="107">
        <v>0</v>
      </c>
      <c r="Z9" s="107">
        <v>0</v>
      </c>
      <c r="AA9" s="107">
        <v>0</v>
      </c>
      <c r="AB9" s="107">
        <v>0</v>
      </c>
      <c r="AC9" s="107">
        <v>0</v>
      </c>
      <c r="AD9" s="107">
        <v>0</v>
      </c>
      <c r="AE9" s="107">
        <v>0</v>
      </c>
      <c r="AF9" s="107">
        <v>0</v>
      </c>
      <c r="AG9" s="107">
        <v>0</v>
      </c>
      <c r="AH9" s="107">
        <v>0</v>
      </c>
      <c r="AI9" s="107">
        <v>0</v>
      </c>
      <c r="AJ9" s="107">
        <v>0</v>
      </c>
      <c r="AK9" s="107">
        <v>0</v>
      </c>
      <c r="AL9" s="107">
        <v>0</v>
      </c>
      <c r="AM9" s="107">
        <v>0</v>
      </c>
      <c r="AN9" s="107">
        <v>0</v>
      </c>
      <c r="AO9" s="107">
        <v>0</v>
      </c>
      <c r="AP9" s="107">
        <v>0</v>
      </c>
      <c r="AQ9" s="107">
        <v>0</v>
      </c>
      <c r="AR9" s="107">
        <v>0</v>
      </c>
      <c r="AS9" s="107">
        <v>0</v>
      </c>
      <c r="AT9" s="107">
        <v>0</v>
      </c>
      <c r="AU9" s="107">
        <v>0</v>
      </c>
      <c r="AV9" s="107">
        <v>0</v>
      </c>
      <c r="AW9" s="107">
        <v>0</v>
      </c>
      <c r="AX9" s="107">
        <v>0</v>
      </c>
      <c r="AY9" s="107">
        <v>0</v>
      </c>
      <c r="AZ9" s="107">
        <v>0</v>
      </c>
      <c r="BA9" s="107">
        <v>0</v>
      </c>
      <c r="BB9" s="107">
        <v>0</v>
      </c>
      <c r="BC9" s="107">
        <v>0</v>
      </c>
      <c r="BD9" s="107">
        <v>0</v>
      </c>
      <c r="BE9" s="107">
        <v>0</v>
      </c>
      <c r="BF9" s="107">
        <v>0</v>
      </c>
      <c r="BG9" s="107">
        <v>0</v>
      </c>
      <c r="BH9" s="107">
        <v>0</v>
      </c>
      <c r="BI9" s="107">
        <v>0</v>
      </c>
      <c r="BJ9" s="107">
        <v>0</v>
      </c>
      <c r="BK9" s="107">
        <v>0</v>
      </c>
      <c r="BL9" s="107">
        <v>0</v>
      </c>
      <c r="BM9" s="107">
        <v>0</v>
      </c>
      <c r="BN9" s="107">
        <v>0</v>
      </c>
      <c r="BO9" s="107">
        <v>0</v>
      </c>
      <c r="BP9" s="107">
        <v>0</v>
      </c>
      <c r="BQ9" s="107">
        <v>0</v>
      </c>
      <c r="BR9" s="107">
        <v>0</v>
      </c>
      <c r="BS9" s="107">
        <v>0</v>
      </c>
      <c r="BT9" s="107">
        <v>0</v>
      </c>
      <c r="BU9" s="107">
        <v>0</v>
      </c>
      <c r="BV9" s="107">
        <v>0</v>
      </c>
      <c r="BW9" s="107">
        <v>0</v>
      </c>
      <c r="BX9" s="107">
        <v>0</v>
      </c>
      <c r="BY9" s="107">
        <v>0</v>
      </c>
      <c r="BZ9" s="107">
        <v>0</v>
      </c>
      <c r="CA9" s="107">
        <v>0</v>
      </c>
      <c r="CB9" s="107">
        <v>0</v>
      </c>
      <c r="CC9" s="107">
        <v>0</v>
      </c>
    </row>
    <row r="10" spans="1:81" customFormat="1" x14ac:dyDescent="0.15">
      <c r="A10" s="178" t="s">
        <v>199</v>
      </c>
      <c r="B10" s="107">
        <v>0.8</v>
      </c>
      <c r="C10" s="107">
        <v>0</v>
      </c>
      <c r="D10" s="107">
        <v>0</v>
      </c>
      <c r="E10" s="107">
        <v>0</v>
      </c>
      <c r="F10" s="107">
        <v>0.8</v>
      </c>
      <c r="G10" s="107">
        <v>0</v>
      </c>
      <c r="H10" s="107">
        <v>0</v>
      </c>
      <c r="I10" s="107">
        <v>0.8</v>
      </c>
      <c r="J10" s="107">
        <v>0</v>
      </c>
      <c r="K10" s="107">
        <v>0</v>
      </c>
      <c r="L10" s="107">
        <v>0</v>
      </c>
      <c r="M10" s="107">
        <v>0</v>
      </c>
      <c r="N10" s="107">
        <v>0</v>
      </c>
      <c r="O10" s="107">
        <v>0</v>
      </c>
      <c r="P10" s="107">
        <v>0</v>
      </c>
      <c r="Q10" s="107">
        <v>0</v>
      </c>
      <c r="R10" s="107">
        <v>0</v>
      </c>
      <c r="S10" s="107">
        <v>0</v>
      </c>
      <c r="T10" s="107">
        <v>0</v>
      </c>
      <c r="U10" s="107">
        <v>0</v>
      </c>
      <c r="V10" s="107">
        <v>0</v>
      </c>
      <c r="W10" s="107">
        <v>0</v>
      </c>
      <c r="X10" s="107">
        <v>0</v>
      </c>
      <c r="Y10" s="107">
        <v>0</v>
      </c>
      <c r="Z10" s="107">
        <v>0</v>
      </c>
      <c r="AA10" s="107">
        <v>0</v>
      </c>
      <c r="AB10" s="107">
        <v>0</v>
      </c>
      <c r="AC10" s="107">
        <v>0</v>
      </c>
      <c r="AD10" s="107">
        <v>0</v>
      </c>
      <c r="AE10" s="107">
        <v>0</v>
      </c>
      <c r="AF10" s="107">
        <v>0</v>
      </c>
      <c r="AG10" s="107">
        <v>0</v>
      </c>
      <c r="AH10" s="107">
        <v>0</v>
      </c>
      <c r="AI10" s="107">
        <v>0</v>
      </c>
      <c r="AJ10" s="107">
        <v>0</v>
      </c>
      <c r="AK10" s="107">
        <v>0</v>
      </c>
      <c r="AL10" s="107">
        <v>0</v>
      </c>
      <c r="AM10" s="107">
        <v>0</v>
      </c>
      <c r="AN10" s="107">
        <v>0</v>
      </c>
      <c r="AO10" s="107">
        <v>0</v>
      </c>
      <c r="AP10" s="107">
        <v>0</v>
      </c>
      <c r="AQ10" s="107">
        <v>0</v>
      </c>
      <c r="AR10" s="107">
        <v>0</v>
      </c>
      <c r="AS10" s="107">
        <v>0</v>
      </c>
      <c r="AT10" s="107">
        <v>0</v>
      </c>
      <c r="AU10" s="107">
        <v>0</v>
      </c>
      <c r="AV10" s="107">
        <v>0</v>
      </c>
      <c r="AW10" s="107">
        <v>0</v>
      </c>
      <c r="AX10" s="107">
        <v>0</v>
      </c>
      <c r="AY10" s="107">
        <v>0</v>
      </c>
      <c r="AZ10" s="107">
        <v>0</v>
      </c>
      <c r="BA10" s="107">
        <v>0</v>
      </c>
      <c r="BB10" s="107">
        <v>0</v>
      </c>
      <c r="BC10" s="107">
        <v>0</v>
      </c>
      <c r="BD10" s="107">
        <v>0</v>
      </c>
      <c r="BE10" s="107">
        <v>0</v>
      </c>
      <c r="BF10" s="107">
        <v>0</v>
      </c>
      <c r="BG10" s="107">
        <v>0</v>
      </c>
      <c r="BH10" s="107">
        <v>0</v>
      </c>
      <c r="BI10" s="107">
        <v>0</v>
      </c>
      <c r="BJ10" s="107">
        <v>0</v>
      </c>
      <c r="BK10" s="107">
        <v>0</v>
      </c>
      <c r="BL10" s="107">
        <v>0</v>
      </c>
      <c r="BM10" s="107">
        <v>0</v>
      </c>
      <c r="BN10" s="107">
        <v>0</v>
      </c>
      <c r="BO10" s="107">
        <v>0</v>
      </c>
      <c r="BP10" s="107">
        <v>0</v>
      </c>
      <c r="BQ10" s="107">
        <v>0</v>
      </c>
      <c r="BR10" s="107">
        <v>0</v>
      </c>
      <c r="BS10" s="107">
        <v>0</v>
      </c>
      <c r="BT10" s="107">
        <v>0</v>
      </c>
      <c r="BU10" s="107">
        <v>0</v>
      </c>
      <c r="BV10" s="107">
        <v>0</v>
      </c>
      <c r="BW10" s="107">
        <v>0</v>
      </c>
      <c r="BX10" s="107">
        <v>0</v>
      </c>
      <c r="BY10" s="107">
        <v>0</v>
      </c>
      <c r="BZ10" s="107">
        <v>0</v>
      </c>
      <c r="CA10" s="107">
        <v>0</v>
      </c>
      <c r="CB10" s="107">
        <v>0</v>
      </c>
      <c r="CC10" s="107">
        <v>0</v>
      </c>
    </row>
    <row r="11" spans="1:81" customFormat="1" x14ac:dyDescent="0.15">
      <c r="A11" s="178" t="s">
        <v>200</v>
      </c>
      <c r="B11" s="107">
        <v>0</v>
      </c>
      <c r="C11" s="107">
        <v>0</v>
      </c>
      <c r="D11" s="107">
        <v>0</v>
      </c>
      <c r="E11" s="107">
        <v>0</v>
      </c>
      <c r="F11" s="107">
        <v>0.8</v>
      </c>
      <c r="G11" s="107">
        <v>0</v>
      </c>
      <c r="H11" s="107">
        <v>0</v>
      </c>
      <c r="I11" s="107">
        <v>0.8</v>
      </c>
      <c r="J11" s="107">
        <v>0</v>
      </c>
      <c r="K11" s="107">
        <v>0</v>
      </c>
      <c r="L11" s="107">
        <v>0</v>
      </c>
      <c r="M11" s="107">
        <v>0</v>
      </c>
      <c r="N11" s="107">
        <v>0</v>
      </c>
      <c r="O11" s="107">
        <v>0</v>
      </c>
      <c r="P11" s="107">
        <v>0</v>
      </c>
      <c r="Q11" s="107">
        <v>0</v>
      </c>
      <c r="R11" s="107">
        <v>0</v>
      </c>
      <c r="S11" s="107">
        <v>0</v>
      </c>
      <c r="T11" s="107">
        <v>0</v>
      </c>
      <c r="U11" s="107">
        <v>0</v>
      </c>
      <c r="V11" s="107">
        <v>0</v>
      </c>
      <c r="W11" s="107">
        <v>0</v>
      </c>
      <c r="X11" s="107">
        <v>0</v>
      </c>
      <c r="Y11" s="107">
        <v>0</v>
      </c>
      <c r="Z11" s="107">
        <v>0</v>
      </c>
      <c r="AA11" s="107">
        <v>0</v>
      </c>
      <c r="AB11" s="107">
        <v>0</v>
      </c>
      <c r="AC11" s="107">
        <v>0</v>
      </c>
      <c r="AD11" s="107">
        <v>0</v>
      </c>
      <c r="AE11" s="107">
        <v>0</v>
      </c>
      <c r="AF11" s="107">
        <v>0</v>
      </c>
      <c r="AG11" s="107">
        <v>0</v>
      </c>
      <c r="AH11" s="107">
        <v>0</v>
      </c>
      <c r="AI11" s="107">
        <v>0</v>
      </c>
      <c r="AJ11" s="107">
        <v>0</v>
      </c>
      <c r="AK11" s="107">
        <v>0</v>
      </c>
      <c r="AL11" s="107">
        <v>0</v>
      </c>
      <c r="AM11" s="107">
        <v>0</v>
      </c>
      <c r="AN11" s="107">
        <v>0</v>
      </c>
      <c r="AO11" s="107">
        <v>0</v>
      </c>
      <c r="AP11" s="107">
        <v>0</v>
      </c>
      <c r="AQ11" s="107">
        <v>0</v>
      </c>
      <c r="AR11" s="107">
        <v>0</v>
      </c>
      <c r="AS11" s="107">
        <v>0</v>
      </c>
      <c r="AT11" s="107">
        <v>0</v>
      </c>
      <c r="AU11" s="107">
        <v>0</v>
      </c>
      <c r="AV11" s="107">
        <v>0</v>
      </c>
      <c r="AW11" s="107">
        <v>0</v>
      </c>
      <c r="AX11" s="107">
        <v>0</v>
      </c>
      <c r="AY11" s="107">
        <v>0</v>
      </c>
      <c r="AZ11" s="107">
        <v>0</v>
      </c>
      <c r="BA11" s="107">
        <v>0</v>
      </c>
      <c r="BB11" s="107">
        <v>0</v>
      </c>
      <c r="BC11" s="107">
        <v>0</v>
      </c>
      <c r="BD11" s="107">
        <v>0</v>
      </c>
      <c r="BE11" s="107">
        <v>0</v>
      </c>
      <c r="BF11" s="107">
        <v>0</v>
      </c>
      <c r="BG11" s="107">
        <v>0</v>
      </c>
      <c r="BH11" s="107">
        <v>0</v>
      </c>
      <c r="BI11" s="107">
        <v>0</v>
      </c>
      <c r="BJ11" s="107">
        <v>0</v>
      </c>
      <c r="BK11" s="107">
        <v>0</v>
      </c>
      <c r="BL11" s="107">
        <v>0</v>
      </c>
      <c r="BM11" s="107">
        <v>0</v>
      </c>
      <c r="BN11" s="107">
        <v>0</v>
      </c>
      <c r="BO11" s="107">
        <v>0</v>
      </c>
      <c r="BP11" s="107">
        <v>0</v>
      </c>
      <c r="BQ11" s="107">
        <v>0</v>
      </c>
      <c r="BR11" s="107">
        <v>0</v>
      </c>
      <c r="BS11" s="107">
        <v>0</v>
      </c>
      <c r="BT11" s="107">
        <v>0</v>
      </c>
      <c r="BU11" s="107">
        <v>0</v>
      </c>
      <c r="BV11" s="107">
        <v>0</v>
      </c>
      <c r="BW11" s="107">
        <v>0</v>
      </c>
      <c r="BX11" s="107">
        <v>0</v>
      </c>
      <c r="BY11" s="107">
        <v>0</v>
      </c>
      <c r="BZ11" s="107">
        <v>0</v>
      </c>
      <c r="CA11" s="107">
        <v>0</v>
      </c>
      <c r="CB11" s="107">
        <v>0</v>
      </c>
      <c r="CC11" s="107">
        <v>0</v>
      </c>
    </row>
    <row r="12" spans="1:81" customFormat="1" x14ac:dyDescent="0.15">
      <c r="A12" s="178" t="s">
        <v>201</v>
      </c>
      <c r="B12" s="107">
        <v>0.8</v>
      </c>
      <c r="C12" s="107">
        <v>0</v>
      </c>
      <c r="D12" s="107">
        <v>0</v>
      </c>
      <c r="E12" s="107">
        <v>0</v>
      </c>
      <c r="F12" s="107">
        <v>0.8</v>
      </c>
      <c r="G12" s="107">
        <v>0</v>
      </c>
      <c r="H12" s="107">
        <v>0</v>
      </c>
      <c r="I12" s="107">
        <v>0.8</v>
      </c>
      <c r="J12" s="107">
        <v>0</v>
      </c>
      <c r="K12" s="107">
        <v>0</v>
      </c>
      <c r="L12" s="107">
        <v>0</v>
      </c>
      <c r="M12" s="107">
        <v>0</v>
      </c>
      <c r="N12" s="107">
        <v>0</v>
      </c>
      <c r="O12" s="107">
        <v>0</v>
      </c>
      <c r="P12" s="107">
        <v>0</v>
      </c>
      <c r="Q12" s="107">
        <v>0</v>
      </c>
      <c r="R12" s="107">
        <v>0.8</v>
      </c>
      <c r="S12" s="107">
        <v>0</v>
      </c>
      <c r="T12" s="107">
        <v>0</v>
      </c>
      <c r="U12" s="107">
        <v>0</v>
      </c>
      <c r="V12" s="107">
        <v>0.8</v>
      </c>
      <c r="W12" s="107">
        <v>0</v>
      </c>
      <c r="X12" s="107">
        <v>0</v>
      </c>
      <c r="Y12" s="107">
        <v>0</v>
      </c>
      <c r="Z12" s="107">
        <v>0.8</v>
      </c>
      <c r="AA12" s="107">
        <v>0</v>
      </c>
      <c r="AB12" s="107">
        <v>0</v>
      </c>
      <c r="AC12" s="107">
        <v>0</v>
      </c>
      <c r="AD12" s="107">
        <v>0.8</v>
      </c>
      <c r="AE12" s="107">
        <v>0</v>
      </c>
      <c r="AF12" s="107">
        <v>0</v>
      </c>
      <c r="AG12" s="107">
        <v>0</v>
      </c>
      <c r="AH12" s="107">
        <v>0</v>
      </c>
      <c r="AI12" s="107">
        <v>0</v>
      </c>
      <c r="AJ12" s="107">
        <v>0</v>
      </c>
      <c r="AK12" s="107">
        <v>0</v>
      </c>
      <c r="AL12" s="107">
        <v>0</v>
      </c>
      <c r="AM12" s="107">
        <v>0</v>
      </c>
      <c r="AN12" s="107">
        <v>0</v>
      </c>
      <c r="AO12" s="107">
        <v>0</v>
      </c>
      <c r="AP12" s="107">
        <v>0</v>
      </c>
      <c r="AQ12" s="107">
        <v>0</v>
      </c>
      <c r="AR12" s="107">
        <v>0</v>
      </c>
      <c r="AS12" s="107">
        <v>0</v>
      </c>
      <c r="AT12" s="107">
        <v>0</v>
      </c>
      <c r="AU12" s="107">
        <v>0</v>
      </c>
      <c r="AV12" s="107">
        <v>0</v>
      </c>
      <c r="AW12" s="107">
        <v>0</v>
      </c>
      <c r="AX12" s="107">
        <v>0</v>
      </c>
      <c r="AY12" s="107">
        <v>0</v>
      </c>
      <c r="AZ12" s="107">
        <v>0</v>
      </c>
      <c r="BA12" s="107">
        <v>0</v>
      </c>
      <c r="BB12" s="107">
        <v>0</v>
      </c>
      <c r="BC12" s="107">
        <v>0</v>
      </c>
      <c r="BD12" s="107">
        <v>0</v>
      </c>
      <c r="BE12" s="107">
        <v>0</v>
      </c>
      <c r="BF12" s="107">
        <v>0</v>
      </c>
      <c r="BG12" s="107">
        <v>0</v>
      </c>
      <c r="BH12" s="107">
        <v>0</v>
      </c>
      <c r="BI12" s="107">
        <v>0</v>
      </c>
      <c r="BJ12" s="107">
        <v>0</v>
      </c>
      <c r="BK12" s="107">
        <v>0</v>
      </c>
      <c r="BL12" s="107">
        <v>0</v>
      </c>
      <c r="BM12" s="107">
        <v>0</v>
      </c>
      <c r="BN12" s="107">
        <v>0</v>
      </c>
      <c r="BO12" s="107">
        <v>0</v>
      </c>
      <c r="BP12" s="107">
        <v>0</v>
      </c>
      <c r="BQ12" s="107">
        <v>0</v>
      </c>
      <c r="BR12" s="107">
        <v>0</v>
      </c>
      <c r="BS12" s="107">
        <v>0</v>
      </c>
      <c r="BT12" s="107">
        <v>0</v>
      </c>
      <c r="BU12" s="107">
        <v>0</v>
      </c>
      <c r="BV12" s="107">
        <v>0</v>
      </c>
      <c r="BW12" s="107">
        <v>0</v>
      </c>
      <c r="BX12" s="107">
        <v>0</v>
      </c>
      <c r="BY12" s="107">
        <v>0</v>
      </c>
      <c r="BZ12" s="107">
        <v>0</v>
      </c>
      <c r="CA12" s="107">
        <v>0</v>
      </c>
      <c r="CB12" s="107">
        <v>0</v>
      </c>
      <c r="CC12" s="107">
        <v>0</v>
      </c>
    </row>
    <row r="13" spans="1:81" customFormat="1" x14ac:dyDescent="0.15">
      <c r="A13" s="178" t="s">
        <v>202</v>
      </c>
      <c r="B13" s="107">
        <v>0.8</v>
      </c>
      <c r="C13" s="107">
        <v>0</v>
      </c>
      <c r="D13" s="107">
        <v>0</v>
      </c>
      <c r="E13" s="107">
        <v>0</v>
      </c>
      <c r="F13" s="107">
        <v>0.8</v>
      </c>
      <c r="G13" s="107">
        <v>0.8</v>
      </c>
      <c r="H13" s="107">
        <v>0</v>
      </c>
      <c r="I13" s="107">
        <v>0.8</v>
      </c>
      <c r="J13" s="107">
        <v>0</v>
      </c>
      <c r="K13" s="107">
        <v>0</v>
      </c>
      <c r="L13" s="107">
        <v>0</v>
      </c>
      <c r="M13" s="107">
        <v>0</v>
      </c>
      <c r="N13" s="107">
        <v>0</v>
      </c>
      <c r="O13" s="107">
        <v>0</v>
      </c>
      <c r="P13" s="107">
        <v>0</v>
      </c>
      <c r="Q13" s="107">
        <v>0</v>
      </c>
      <c r="R13" s="107">
        <v>0</v>
      </c>
      <c r="S13" s="107">
        <v>0</v>
      </c>
      <c r="T13" s="107">
        <v>0</v>
      </c>
      <c r="U13" s="107">
        <v>0</v>
      </c>
      <c r="V13" s="107">
        <v>0</v>
      </c>
      <c r="W13" s="107">
        <v>0</v>
      </c>
      <c r="X13" s="107">
        <v>0</v>
      </c>
      <c r="Y13" s="107">
        <v>0</v>
      </c>
      <c r="Z13" s="107">
        <v>0</v>
      </c>
      <c r="AA13" s="107">
        <v>0</v>
      </c>
      <c r="AB13" s="107">
        <v>0</v>
      </c>
      <c r="AC13" s="107">
        <v>0</v>
      </c>
      <c r="AD13" s="107">
        <v>0</v>
      </c>
      <c r="AE13" s="107">
        <v>0</v>
      </c>
      <c r="AF13" s="107">
        <v>0</v>
      </c>
      <c r="AG13" s="107">
        <v>0</v>
      </c>
      <c r="AH13" s="107">
        <v>0</v>
      </c>
      <c r="AI13" s="107">
        <v>0</v>
      </c>
      <c r="AJ13" s="107">
        <v>0</v>
      </c>
      <c r="AK13" s="107">
        <v>0</v>
      </c>
      <c r="AL13" s="107">
        <v>0</v>
      </c>
      <c r="AM13" s="107">
        <v>0</v>
      </c>
      <c r="AN13" s="107">
        <v>0</v>
      </c>
      <c r="AO13" s="107">
        <v>0</v>
      </c>
      <c r="AP13" s="107">
        <v>0</v>
      </c>
      <c r="AQ13" s="107">
        <v>0</v>
      </c>
      <c r="AR13" s="107">
        <v>0</v>
      </c>
      <c r="AS13" s="107">
        <v>0</v>
      </c>
      <c r="AT13" s="107">
        <v>0</v>
      </c>
      <c r="AU13" s="107">
        <v>0</v>
      </c>
      <c r="AV13" s="107">
        <v>0</v>
      </c>
      <c r="AW13" s="107">
        <v>0</v>
      </c>
      <c r="AX13" s="107">
        <v>0</v>
      </c>
      <c r="AY13" s="107">
        <v>0</v>
      </c>
      <c r="AZ13" s="107">
        <v>0</v>
      </c>
      <c r="BA13" s="107">
        <v>0</v>
      </c>
      <c r="BB13" s="107">
        <v>0</v>
      </c>
      <c r="BC13" s="107">
        <v>0</v>
      </c>
      <c r="BD13" s="107">
        <v>0</v>
      </c>
      <c r="BE13" s="107">
        <v>0</v>
      </c>
      <c r="BF13" s="107">
        <v>0</v>
      </c>
      <c r="BG13" s="107">
        <v>0</v>
      </c>
      <c r="BH13" s="107">
        <v>0</v>
      </c>
      <c r="BI13" s="107">
        <v>0</v>
      </c>
      <c r="BJ13" s="107">
        <v>0</v>
      </c>
      <c r="BK13" s="107">
        <v>0</v>
      </c>
      <c r="BL13" s="107">
        <v>0</v>
      </c>
      <c r="BM13" s="107">
        <v>0</v>
      </c>
      <c r="BN13" s="107">
        <v>0</v>
      </c>
      <c r="BO13" s="107">
        <v>0</v>
      </c>
      <c r="BP13" s="107">
        <v>0</v>
      </c>
      <c r="BQ13" s="107">
        <v>0</v>
      </c>
      <c r="BR13" s="107">
        <v>0</v>
      </c>
      <c r="BS13" s="107">
        <v>0</v>
      </c>
      <c r="BT13" s="107">
        <v>0</v>
      </c>
      <c r="BU13" s="107">
        <v>0</v>
      </c>
      <c r="BV13" s="107">
        <v>0</v>
      </c>
      <c r="BW13" s="107">
        <v>0</v>
      </c>
      <c r="BX13" s="107">
        <v>0</v>
      </c>
      <c r="BY13" s="107">
        <v>0</v>
      </c>
      <c r="BZ13" s="107">
        <v>0</v>
      </c>
      <c r="CA13" s="107">
        <v>0</v>
      </c>
      <c r="CB13" s="107">
        <v>0</v>
      </c>
      <c r="CC13" s="107">
        <v>0</v>
      </c>
    </row>
    <row r="14" spans="1:81" customFormat="1" x14ac:dyDescent="0.15">
      <c r="A14" s="178" t="s">
        <v>203</v>
      </c>
      <c r="B14" s="107">
        <v>0</v>
      </c>
      <c r="C14" s="107">
        <v>0</v>
      </c>
      <c r="D14" s="107">
        <v>0</v>
      </c>
      <c r="E14" s="107">
        <v>0</v>
      </c>
      <c r="F14" s="107">
        <v>0.8</v>
      </c>
      <c r="G14" s="107">
        <v>0</v>
      </c>
      <c r="H14" s="107">
        <v>0</v>
      </c>
      <c r="I14" s="107">
        <v>0.8</v>
      </c>
      <c r="J14" s="107">
        <v>0</v>
      </c>
      <c r="K14" s="107">
        <v>0</v>
      </c>
      <c r="L14" s="107">
        <v>0</v>
      </c>
      <c r="M14" s="107">
        <v>0</v>
      </c>
      <c r="N14" s="107">
        <v>0</v>
      </c>
      <c r="O14" s="107">
        <v>0</v>
      </c>
      <c r="P14" s="107">
        <v>0</v>
      </c>
      <c r="Q14" s="107">
        <v>0</v>
      </c>
      <c r="R14" s="107">
        <v>0</v>
      </c>
      <c r="S14" s="107">
        <v>0</v>
      </c>
      <c r="T14" s="107">
        <v>0</v>
      </c>
      <c r="U14" s="107">
        <v>0</v>
      </c>
      <c r="V14" s="107">
        <v>0</v>
      </c>
      <c r="W14" s="107">
        <v>0</v>
      </c>
      <c r="X14" s="107">
        <v>0</v>
      </c>
      <c r="Y14" s="107">
        <v>0</v>
      </c>
      <c r="Z14" s="107">
        <v>0</v>
      </c>
      <c r="AA14" s="107">
        <v>0</v>
      </c>
      <c r="AB14" s="107">
        <v>0</v>
      </c>
      <c r="AC14" s="107">
        <v>0</v>
      </c>
      <c r="AD14" s="107">
        <v>0</v>
      </c>
      <c r="AE14" s="107">
        <v>0</v>
      </c>
      <c r="AF14" s="107">
        <v>0</v>
      </c>
      <c r="AG14" s="107">
        <v>0</v>
      </c>
      <c r="AH14" s="107">
        <v>0</v>
      </c>
      <c r="AI14" s="107">
        <v>0</v>
      </c>
      <c r="AJ14" s="107">
        <v>0</v>
      </c>
      <c r="AK14" s="107">
        <v>0</v>
      </c>
      <c r="AL14" s="107">
        <v>0</v>
      </c>
      <c r="AM14" s="107">
        <v>0</v>
      </c>
      <c r="AN14" s="107">
        <v>0</v>
      </c>
      <c r="AO14" s="107">
        <v>0</v>
      </c>
      <c r="AP14" s="107">
        <v>0</v>
      </c>
      <c r="AQ14" s="107">
        <v>0</v>
      </c>
      <c r="AR14" s="107">
        <v>0</v>
      </c>
      <c r="AS14" s="107">
        <v>0</v>
      </c>
      <c r="AT14" s="107">
        <v>0</v>
      </c>
      <c r="AU14" s="107">
        <v>0</v>
      </c>
      <c r="AV14" s="107">
        <v>0</v>
      </c>
      <c r="AW14" s="107">
        <v>0</v>
      </c>
      <c r="AX14" s="107">
        <v>0</v>
      </c>
      <c r="AY14" s="107">
        <v>0</v>
      </c>
      <c r="AZ14" s="107">
        <v>0</v>
      </c>
      <c r="BA14" s="107">
        <v>0</v>
      </c>
      <c r="BB14" s="107">
        <v>0</v>
      </c>
      <c r="BC14" s="107">
        <v>0</v>
      </c>
      <c r="BD14" s="107">
        <v>0</v>
      </c>
      <c r="BE14" s="107">
        <v>0</v>
      </c>
      <c r="BF14" s="107">
        <v>0</v>
      </c>
      <c r="BG14" s="107">
        <v>0</v>
      </c>
      <c r="BH14" s="107">
        <v>0</v>
      </c>
      <c r="BI14" s="107">
        <v>0</v>
      </c>
      <c r="BJ14" s="107">
        <v>0</v>
      </c>
      <c r="BK14" s="107">
        <v>0</v>
      </c>
      <c r="BL14" s="107">
        <v>0</v>
      </c>
      <c r="BM14" s="107">
        <v>0</v>
      </c>
      <c r="BN14" s="107">
        <v>0</v>
      </c>
      <c r="BO14" s="107">
        <v>0</v>
      </c>
      <c r="BP14" s="107">
        <v>0</v>
      </c>
      <c r="BQ14" s="107">
        <v>0</v>
      </c>
      <c r="BR14" s="107">
        <v>0</v>
      </c>
      <c r="BS14" s="107">
        <v>0</v>
      </c>
      <c r="BT14" s="107">
        <v>0</v>
      </c>
      <c r="BU14" s="107">
        <v>0</v>
      </c>
      <c r="BV14" s="107">
        <v>0</v>
      </c>
      <c r="BW14" s="107">
        <v>0</v>
      </c>
      <c r="BX14" s="107">
        <v>0</v>
      </c>
      <c r="BY14" s="107">
        <v>0</v>
      </c>
      <c r="BZ14" s="107">
        <v>0</v>
      </c>
      <c r="CA14" s="107">
        <v>0</v>
      </c>
      <c r="CB14" s="107">
        <v>0</v>
      </c>
      <c r="CC14" s="107">
        <v>0</v>
      </c>
    </row>
    <row r="15" spans="1:81" customFormat="1" x14ac:dyDescent="0.15">
      <c r="A15" s="178" t="s">
        <v>204</v>
      </c>
      <c r="B15" s="107">
        <v>0</v>
      </c>
      <c r="C15" s="107">
        <v>0.8</v>
      </c>
      <c r="D15" s="107">
        <v>0</v>
      </c>
      <c r="E15" s="107">
        <v>0</v>
      </c>
      <c r="F15" s="107">
        <v>0</v>
      </c>
      <c r="G15" s="107">
        <v>0</v>
      </c>
      <c r="H15" s="107">
        <v>0.8</v>
      </c>
      <c r="I15" s="107">
        <v>0.8</v>
      </c>
      <c r="J15" s="107">
        <v>0</v>
      </c>
      <c r="K15" s="107">
        <v>0</v>
      </c>
      <c r="L15" s="107">
        <v>0</v>
      </c>
      <c r="M15" s="107">
        <v>0</v>
      </c>
      <c r="N15" s="107">
        <v>0</v>
      </c>
      <c r="O15" s="107">
        <v>0</v>
      </c>
      <c r="P15" s="107">
        <v>0.8</v>
      </c>
      <c r="Q15" s="107">
        <v>0</v>
      </c>
      <c r="R15" s="107">
        <v>0</v>
      </c>
      <c r="S15" s="107">
        <v>0</v>
      </c>
      <c r="T15" s="107">
        <v>0</v>
      </c>
      <c r="U15" s="107">
        <v>0</v>
      </c>
      <c r="V15" s="107">
        <v>0.8</v>
      </c>
      <c r="W15" s="107">
        <v>0</v>
      </c>
      <c r="X15" s="107">
        <v>0</v>
      </c>
      <c r="Y15" s="107">
        <v>0.8</v>
      </c>
      <c r="Z15" s="107">
        <v>0.8</v>
      </c>
      <c r="AA15" s="107">
        <v>0</v>
      </c>
      <c r="AB15" s="107">
        <v>0</v>
      </c>
      <c r="AC15" s="107">
        <v>0</v>
      </c>
      <c r="AD15" s="107">
        <v>0</v>
      </c>
      <c r="AE15" s="107">
        <v>0</v>
      </c>
      <c r="AF15" s="107">
        <v>0.8</v>
      </c>
      <c r="AG15" s="107">
        <v>0</v>
      </c>
      <c r="AH15" s="107">
        <v>0</v>
      </c>
      <c r="AI15" s="107">
        <v>0</v>
      </c>
      <c r="AJ15" s="107">
        <v>0</v>
      </c>
      <c r="AK15" s="107">
        <v>0</v>
      </c>
      <c r="AL15" s="107">
        <v>0</v>
      </c>
      <c r="AM15" s="107">
        <v>0</v>
      </c>
      <c r="AN15" s="107">
        <v>0</v>
      </c>
      <c r="AO15" s="107">
        <v>0</v>
      </c>
      <c r="AP15" s="107">
        <v>0</v>
      </c>
      <c r="AQ15" s="107">
        <v>0</v>
      </c>
      <c r="AR15" s="107">
        <v>0</v>
      </c>
      <c r="AS15" s="107">
        <v>0</v>
      </c>
      <c r="AT15" s="107">
        <v>0</v>
      </c>
      <c r="AU15" s="107">
        <v>0</v>
      </c>
      <c r="AV15" s="107">
        <v>0</v>
      </c>
      <c r="AW15" s="107">
        <v>0</v>
      </c>
      <c r="AX15" s="107">
        <v>0</v>
      </c>
      <c r="AY15" s="107">
        <v>0</v>
      </c>
      <c r="AZ15" s="107">
        <v>0</v>
      </c>
      <c r="BA15" s="107">
        <v>0</v>
      </c>
      <c r="BB15" s="107">
        <v>0</v>
      </c>
      <c r="BC15" s="107">
        <v>0</v>
      </c>
      <c r="BD15" s="107">
        <v>0</v>
      </c>
      <c r="BE15" s="107">
        <v>0</v>
      </c>
      <c r="BF15" s="107">
        <v>0</v>
      </c>
      <c r="BG15" s="107">
        <v>0</v>
      </c>
      <c r="BH15" s="107">
        <v>0</v>
      </c>
      <c r="BI15" s="107">
        <v>0</v>
      </c>
      <c r="BJ15" s="107">
        <v>0</v>
      </c>
      <c r="BK15" s="107">
        <v>0</v>
      </c>
      <c r="BL15" s="107">
        <v>0</v>
      </c>
      <c r="BM15" s="107">
        <v>0</v>
      </c>
      <c r="BN15" s="107">
        <v>0</v>
      </c>
      <c r="BO15" s="107">
        <v>0</v>
      </c>
      <c r="BP15" s="107">
        <v>0</v>
      </c>
      <c r="BQ15" s="107">
        <v>0</v>
      </c>
      <c r="BR15" s="107">
        <v>0</v>
      </c>
      <c r="BS15" s="107">
        <v>0</v>
      </c>
      <c r="BT15" s="107">
        <v>0</v>
      </c>
      <c r="BU15" s="107">
        <v>0</v>
      </c>
      <c r="BV15" s="107">
        <v>0</v>
      </c>
      <c r="BW15" s="107">
        <v>0</v>
      </c>
      <c r="BX15" s="107">
        <v>0</v>
      </c>
      <c r="BY15" s="107">
        <v>0</v>
      </c>
      <c r="BZ15" s="107">
        <v>0</v>
      </c>
      <c r="CA15" s="107">
        <v>0</v>
      </c>
      <c r="CB15" s="107">
        <v>0</v>
      </c>
      <c r="CC15" s="107">
        <v>0</v>
      </c>
    </row>
    <row r="16" spans="1:81" customFormat="1" x14ac:dyDescent="0.15">
      <c r="A16" s="178" t="s">
        <v>205</v>
      </c>
      <c r="B16" s="107">
        <v>0</v>
      </c>
      <c r="C16" s="107">
        <v>0</v>
      </c>
      <c r="D16" s="107">
        <v>0</v>
      </c>
      <c r="E16" s="107">
        <v>0</v>
      </c>
      <c r="F16" s="107">
        <v>0</v>
      </c>
      <c r="G16" s="107">
        <v>0.8</v>
      </c>
      <c r="H16" s="107">
        <v>0.8</v>
      </c>
      <c r="I16" s="107">
        <v>0.8</v>
      </c>
      <c r="J16" s="107">
        <v>0.8</v>
      </c>
      <c r="K16" s="107">
        <v>0.8</v>
      </c>
      <c r="L16" s="107">
        <v>0</v>
      </c>
      <c r="M16" s="107">
        <v>0</v>
      </c>
      <c r="N16" s="107">
        <v>0</v>
      </c>
      <c r="O16" s="107">
        <v>0</v>
      </c>
      <c r="P16" s="107">
        <v>0</v>
      </c>
      <c r="Q16" s="107">
        <v>0</v>
      </c>
      <c r="R16" s="107">
        <v>0</v>
      </c>
      <c r="S16" s="107">
        <v>0</v>
      </c>
      <c r="T16" s="107">
        <v>0</v>
      </c>
      <c r="U16" s="107">
        <v>0</v>
      </c>
      <c r="V16" s="107">
        <v>0.8</v>
      </c>
      <c r="W16" s="107">
        <v>0</v>
      </c>
      <c r="X16" s="107">
        <v>0</v>
      </c>
      <c r="Y16" s="107">
        <v>0</v>
      </c>
      <c r="Z16" s="107">
        <v>0</v>
      </c>
      <c r="AA16" s="107">
        <v>0</v>
      </c>
      <c r="AB16" s="107">
        <v>0</v>
      </c>
      <c r="AC16" s="107">
        <v>0</v>
      </c>
      <c r="AD16" s="107">
        <v>0</v>
      </c>
      <c r="AE16" s="107">
        <v>0</v>
      </c>
      <c r="AF16" s="107">
        <v>0</v>
      </c>
      <c r="AG16" s="107">
        <v>0</v>
      </c>
      <c r="AH16" s="107">
        <v>0</v>
      </c>
      <c r="AI16" s="107">
        <v>0</v>
      </c>
      <c r="AJ16" s="107">
        <v>0</v>
      </c>
      <c r="AK16" s="107">
        <v>0</v>
      </c>
      <c r="AL16" s="107">
        <v>0</v>
      </c>
      <c r="AM16" s="107">
        <v>0</v>
      </c>
      <c r="AN16" s="107">
        <v>0</v>
      </c>
      <c r="AO16" s="107">
        <v>0</v>
      </c>
      <c r="AP16" s="107">
        <v>0</v>
      </c>
      <c r="AQ16" s="107">
        <v>0</v>
      </c>
      <c r="AR16" s="107">
        <v>0</v>
      </c>
      <c r="AS16" s="107">
        <v>0</v>
      </c>
      <c r="AT16" s="107">
        <v>0</v>
      </c>
      <c r="AU16" s="107">
        <v>0</v>
      </c>
      <c r="AV16" s="107">
        <v>0</v>
      </c>
      <c r="AW16" s="107">
        <v>0</v>
      </c>
      <c r="AX16" s="107">
        <v>0</v>
      </c>
      <c r="AY16" s="107">
        <v>0</v>
      </c>
      <c r="AZ16" s="107">
        <v>0</v>
      </c>
      <c r="BA16" s="107">
        <v>0</v>
      </c>
      <c r="BB16" s="107">
        <v>0</v>
      </c>
      <c r="BC16" s="107">
        <v>0</v>
      </c>
      <c r="BD16" s="107">
        <v>0</v>
      </c>
      <c r="BE16" s="107">
        <v>0</v>
      </c>
      <c r="BF16" s="107">
        <v>0</v>
      </c>
      <c r="BG16" s="107">
        <v>0</v>
      </c>
      <c r="BH16" s="107">
        <v>0</v>
      </c>
      <c r="BI16" s="107">
        <v>0</v>
      </c>
      <c r="BJ16" s="107">
        <v>0</v>
      </c>
      <c r="BK16" s="107">
        <v>0</v>
      </c>
      <c r="BL16" s="107">
        <v>0</v>
      </c>
      <c r="BM16" s="107">
        <v>0</v>
      </c>
      <c r="BN16" s="107">
        <v>0</v>
      </c>
      <c r="BO16" s="107">
        <v>0</v>
      </c>
      <c r="BP16" s="107">
        <v>0</v>
      </c>
      <c r="BQ16" s="107">
        <v>0</v>
      </c>
      <c r="BR16" s="107">
        <v>0</v>
      </c>
      <c r="BS16" s="107">
        <v>0</v>
      </c>
      <c r="BT16" s="107">
        <v>0</v>
      </c>
      <c r="BU16" s="107">
        <v>0</v>
      </c>
      <c r="BV16" s="107">
        <v>0</v>
      </c>
      <c r="BW16" s="107">
        <v>0</v>
      </c>
      <c r="BX16" s="107">
        <v>0</v>
      </c>
      <c r="BY16" s="107">
        <v>0</v>
      </c>
      <c r="BZ16" s="107">
        <v>0</v>
      </c>
      <c r="CA16" s="107">
        <v>0</v>
      </c>
      <c r="CB16" s="107">
        <v>0</v>
      </c>
      <c r="CC16" s="107">
        <v>0</v>
      </c>
    </row>
    <row r="17" spans="1:81" customFormat="1" x14ac:dyDescent="0.15">
      <c r="A17" s="178" t="s">
        <v>206</v>
      </c>
      <c r="B17" s="107">
        <v>0</v>
      </c>
      <c r="C17" s="107">
        <v>0</v>
      </c>
      <c r="D17" s="107">
        <v>0</v>
      </c>
      <c r="E17" s="107">
        <v>0.8</v>
      </c>
      <c r="F17" s="107">
        <v>0</v>
      </c>
      <c r="G17" s="107">
        <v>0</v>
      </c>
      <c r="H17" s="107">
        <v>0.8</v>
      </c>
      <c r="I17" s="107">
        <v>0.8</v>
      </c>
      <c r="J17" s="107">
        <v>0.8</v>
      </c>
      <c r="K17" s="107">
        <v>0.8</v>
      </c>
      <c r="L17" s="107">
        <v>0</v>
      </c>
      <c r="M17" s="107">
        <v>0</v>
      </c>
      <c r="N17" s="107">
        <v>0.8</v>
      </c>
      <c r="O17" s="107">
        <v>0</v>
      </c>
      <c r="P17" s="107">
        <v>0.8</v>
      </c>
      <c r="Q17" s="107">
        <v>0</v>
      </c>
      <c r="R17" s="107">
        <v>0</v>
      </c>
      <c r="S17" s="107">
        <v>0</v>
      </c>
      <c r="T17" s="107">
        <v>0</v>
      </c>
      <c r="U17" s="107">
        <v>0</v>
      </c>
      <c r="V17" s="107">
        <v>0</v>
      </c>
      <c r="W17" s="107">
        <v>0</v>
      </c>
      <c r="X17" s="107">
        <v>0</v>
      </c>
      <c r="Y17" s="107">
        <v>0.8</v>
      </c>
      <c r="Z17" s="107">
        <v>0.8</v>
      </c>
      <c r="AA17" s="107">
        <v>0</v>
      </c>
      <c r="AB17" s="107">
        <v>0</v>
      </c>
      <c r="AC17" s="107">
        <v>0</v>
      </c>
      <c r="AD17" s="107">
        <v>0</v>
      </c>
      <c r="AE17" s="107">
        <v>0</v>
      </c>
      <c r="AF17" s="107">
        <v>0.8</v>
      </c>
      <c r="AG17" s="107">
        <v>0</v>
      </c>
      <c r="AH17" s="107">
        <v>0</v>
      </c>
      <c r="AI17" s="107">
        <v>0</v>
      </c>
      <c r="AJ17" s="107">
        <v>0</v>
      </c>
      <c r="AK17" s="107">
        <v>0</v>
      </c>
      <c r="AL17" s="107">
        <v>0</v>
      </c>
      <c r="AM17" s="107">
        <v>0</v>
      </c>
      <c r="AN17" s="107">
        <v>0</v>
      </c>
      <c r="AO17" s="107">
        <v>0</v>
      </c>
      <c r="AP17" s="107">
        <v>0</v>
      </c>
      <c r="AQ17" s="107">
        <v>0</v>
      </c>
      <c r="AR17" s="107">
        <v>0</v>
      </c>
      <c r="AS17" s="107">
        <v>0</v>
      </c>
      <c r="AT17" s="107">
        <v>0</v>
      </c>
      <c r="AU17" s="107">
        <v>0.8</v>
      </c>
      <c r="AV17" s="107">
        <v>0</v>
      </c>
      <c r="AW17" s="107">
        <v>0</v>
      </c>
      <c r="AX17" s="107">
        <v>0</v>
      </c>
      <c r="AY17" s="107">
        <v>0</v>
      </c>
      <c r="AZ17" s="107">
        <v>0</v>
      </c>
      <c r="BA17" s="107">
        <v>0</v>
      </c>
      <c r="BB17" s="107">
        <v>0</v>
      </c>
      <c r="BC17" s="107">
        <v>0</v>
      </c>
      <c r="BD17" s="107">
        <v>0</v>
      </c>
      <c r="BE17" s="107">
        <v>0</v>
      </c>
      <c r="BF17" s="107">
        <v>0</v>
      </c>
      <c r="BG17" s="107">
        <v>0</v>
      </c>
      <c r="BH17" s="107">
        <v>0</v>
      </c>
      <c r="BI17" s="107">
        <v>0</v>
      </c>
      <c r="BJ17" s="107">
        <v>0</v>
      </c>
      <c r="BK17" s="107">
        <v>0</v>
      </c>
      <c r="BL17" s="107">
        <v>0</v>
      </c>
      <c r="BM17" s="107">
        <v>0</v>
      </c>
      <c r="BN17" s="107">
        <v>0</v>
      </c>
      <c r="BO17" s="107">
        <v>0</v>
      </c>
      <c r="BP17" s="107">
        <v>0</v>
      </c>
      <c r="BQ17" s="107">
        <v>0</v>
      </c>
      <c r="BR17" s="107">
        <v>0</v>
      </c>
      <c r="BS17" s="107">
        <v>0</v>
      </c>
      <c r="BT17" s="107">
        <v>0</v>
      </c>
      <c r="BU17" s="107">
        <v>0</v>
      </c>
      <c r="BV17" s="107">
        <v>0</v>
      </c>
      <c r="BW17" s="107">
        <v>0</v>
      </c>
      <c r="BX17" s="107">
        <v>0</v>
      </c>
      <c r="BY17" s="107">
        <v>0</v>
      </c>
      <c r="BZ17" s="107">
        <v>0</v>
      </c>
      <c r="CA17" s="107">
        <v>0</v>
      </c>
      <c r="CB17" s="107">
        <v>0</v>
      </c>
      <c r="CC17" s="107">
        <v>0</v>
      </c>
    </row>
    <row r="18" spans="1:81" customFormat="1" x14ac:dyDescent="0.15">
      <c r="A18" s="178" t="s">
        <v>207</v>
      </c>
      <c r="B18" s="107">
        <v>0</v>
      </c>
      <c r="C18" s="107">
        <v>0</v>
      </c>
      <c r="D18" s="107">
        <v>0</v>
      </c>
      <c r="E18" s="107">
        <v>0</v>
      </c>
      <c r="F18" s="107">
        <v>0.8</v>
      </c>
      <c r="G18" s="107">
        <v>0.8</v>
      </c>
      <c r="H18" s="107">
        <v>0</v>
      </c>
      <c r="I18" s="107">
        <v>0.8</v>
      </c>
      <c r="J18" s="107">
        <v>0.8</v>
      </c>
      <c r="K18" s="107">
        <v>0.8</v>
      </c>
      <c r="L18" s="107">
        <v>0</v>
      </c>
      <c r="M18" s="107">
        <v>0</v>
      </c>
      <c r="N18" s="107">
        <v>0.8</v>
      </c>
      <c r="O18" s="107">
        <v>0</v>
      </c>
      <c r="P18" s="107">
        <v>0</v>
      </c>
      <c r="Q18" s="107">
        <v>0</v>
      </c>
      <c r="R18" s="107">
        <v>0</v>
      </c>
      <c r="S18" s="107">
        <v>0</v>
      </c>
      <c r="T18" s="107">
        <v>0</v>
      </c>
      <c r="U18" s="107">
        <v>0</v>
      </c>
      <c r="V18" s="107">
        <v>0</v>
      </c>
      <c r="W18" s="107">
        <v>0</v>
      </c>
      <c r="X18" s="107">
        <v>0</v>
      </c>
      <c r="Y18" s="107">
        <v>0.8</v>
      </c>
      <c r="Z18" s="107">
        <v>0</v>
      </c>
      <c r="AA18" s="107">
        <v>0</v>
      </c>
      <c r="AB18" s="107">
        <v>0</v>
      </c>
      <c r="AC18" s="107">
        <v>0</v>
      </c>
      <c r="AD18" s="107">
        <v>0</v>
      </c>
      <c r="AE18" s="107">
        <v>0</v>
      </c>
      <c r="AF18" s="107">
        <v>0</v>
      </c>
      <c r="AG18" s="107">
        <v>0</v>
      </c>
      <c r="AH18" s="107">
        <v>0</v>
      </c>
      <c r="AI18" s="107">
        <v>0</v>
      </c>
      <c r="AJ18" s="107">
        <v>0</v>
      </c>
      <c r="AK18" s="107">
        <v>0</v>
      </c>
      <c r="AL18" s="107">
        <v>0</v>
      </c>
      <c r="AM18" s="107">
        <v>0</v>
      </c>
      <c r="AN18" s="107">
        <v>0</v>
      </c>
      <c r="AO18" s="107">
        <v>0</v>
      </c>
      <c r="AP18" s="107">
        <v>0</v>
      </c>
      <c r="AQ18" s="107">
        <v>0</v>
      </c>
      <c r="AR18" s="107">
        <v>0</v>
      </c>
      <c r="AS18" s="107">
        <v>0</v>
      </c>
      <c r="AT18" s="107">
        <v>0</v>
      </c>
      <c r="AU18" s="107">
        <v>0</v>
      </c>
      <c r="AV18" s="107">
        <v>0</v>
      </c>
      <c r="AW18" s="107">
        <v>0</v>
      </c>
      <c r="AX18" s="107">
        <v>0</v>
      </c>
      <c r="AY18" s="107">
        <v>0</v>
      </c>
      <c r="AZ18" s="107">
        <v>0</v>
      </c>
      <c r="BA18" s="107">
        <v>0</v>
      </c>
      <c r="BB18" s="107">
        <v>0</v>
      </c>
      <c r="BC18" s="107">
        <v>0</v>
      </c>
      <c r="BD18" s="107">
        <v>0</v>
      </c>
      <c r="BE18" s="107">
        <v>0</v>
      </c>
      <c r="BF18" s="107">
        <v>0</v>
      </c>
      <c r="BG18" s="107">
        <v>0</v>
      </c>
      <c r="BH18" s="107">
        <v>0</v>
      </c>
      <c r="BI18" s="107">
        <v>0</v>
      </c>
      <c r="BJ18" s="107">
        <v>0</v>
      </c>
      <c r="BK18" s="107">
        <v>0</v>
      </c>
      <c r="BL18" s="107">
        <v>0</v>
      </c>
      <c r="BM18" s="107">
        <v>0</v>
      </c>
      <c r="BN18" s="107">
        <v>0</v>
      </c>
      <c r="BO18" s="107">
        <v>0</v>
      </c>
      <c r="BP18" s="107">
        <v>0</v>
      </c>
      <c r="BQ18" s="107">
        <v>0</v>
      </c>
      <c r="BR18" s="107">
        <v>0</v>
      </c>
      <c r="BS18" s="107">
        <v>0</v>
      </c>
      <c r="BT18" s="107">
        <v>0</v>
      </c>
      <c r="BU18" s="107">
        <v>0</v>
      </c>
      <c r="BV18" s="107">
        <v>0</v>
      </c>
      <c r="BW18" s="107">
        <v>0</v>
      </c>
      <c r="BX18" s="107">
        <v>0</v>
      </c>
      <c r="BY18" s="107">
        <v>0</v>
      </c>
      <c r="BZ18" s="107">
        <v>0</v>
      </c>
      <c r="CA18" s="107">
        <v>0</v>
      </c>
      <c r="CB18" s="107">
        <v>0</v>
      </c>
      <c r="CC18" s="107">
        <v>0</v>
      </c>
    </row>
    <row r="19" spans="1:81" customFormat="1" x14ac:dyDescent="0.15">
      <c r="A19" s="178" t="s">
        <v>208</v>
      </c>
      <c r="B19" s="107">
        <v>0</v>
      </c>
      <c r="C19" s="107">
        <v>0</v>
      </c>
      <c r="D19" s="107">
        <v>0</v>
      </c>
      <c r="E19" s="107">
        <v>0</v>
      </c>
      <c r="F19" s="107">
        <v>0.8</v>
      </c>
      <c r="G19" s="107">
        <v>0</v>
      </c>
      <c r="H19" s="107">
        <v>0</v>
      </c>
      <c r="I19" s="107">
        <v>0</v>
      </c>
      <c r="J19" s="107">
        <v>0</v>
      </c>
      <c r="K19" s="107">
        <v>0</v>
      </c>
      <c r="L19" s="107">
        <v>0</v>
      </c>
      <c r="M19" s="107">
        <v>0</v>
      </c>
      <c r="N19" s="107">
        <v>0</v>
      </c>
      <c r="O19" s="107">
        <v>0</v>
      </c>
      <c r="P19" s="107">
        <v>0</v>
      </c>
      <c r="Q19" s="107">
        <v>0</v>
      </c>
      <c r="R19" s="107">
        <v>0.8</v>
      </c>
      <c r="S19" s="107">
        <v>0</v>
      </c>
      <c r="T19" s="107">
        <v>0</v>
      </c>
      <c r="U19" s="107">
        <v>0</v>
      </c>
      <c r="V19" s="107">
        <v>0</v>
      </c>
      <c r="W19" s="107">
        <v>0</v>
      </c>
      <c r="X19" s="107">
        <v>0</v>
      </c>
      <c r="Y19" s="107">
        <v>0</v>
      </c>
      <c r="Z19" s="107">
        <v>0</v>
      </c>
      <c r="AA19" s="107">
        <v>0</v>
      </c>
      <c r="AB19" s="107">
        <v>0</v>
      </c>
      <c r="AC19" s="107">
        <v>0</v>
      </c>
      <c r="AD19" s="107">
        <v>0</v>
      </c>
      <c r="AE19" s="107">
        <v>0</v>
      </c>
      <c r="AF19" s="107">
        <v>0</v>
      </c>
      <c r="AG19" s="107">
        <v>0</v>
      </c>
      <c r="AH19" s="107">
        <v>0</v>
      </c>
      <c r="AI19" s="107">
        <v>0</v>
      </c>
      <c r="AJ19" s="107">
        <v>0</v>
      </c>
      <c r="AK19" s="107">
        <v>0</v>
      </c>
      <c r="AL19" s="107">
        <v>0</v>
      </c>
      <c r="AM19" s="107">
        <v>0</v>
      </c>
      <c r="AN19" s="107">
        <v>0</v>
      </c>
      <c r="AO19" s="107">
        <v>0</v>
      </c>
      <c r="AP19" s="107">
        <v>0</v>
      </c>
      <c r="AQ19" s="107">
        <v>0</v>
      </c>
      <c r="AR19" s="107">
        <v>0</v>
      </c>
      <c r="AS19" s="107">
        <v>0</v>
      </c>
      <c r="AT19" s="107">
        <v>0</v>
      </c>
      <c r="AU19" s="107">
        <v>0</v>
      </c>
      <c r="AV19" s="107">
        <v>0</v>
      </c>
      <c r="AW19" s="107">
        <v>0</v>
      </c>
      <c r="AX19" s="107">
        <v>0</v>
      </c>
      <c r="AY19" s="107">
        <v>0</v>
      </c>
      <c r="AZ19" s="107">
        <v>0</v>
      </c>
      <c r="BA19" s="107">
        <v>0</v>
      </c>
      <c r="BB19" s="107">
        <v>0</v>
      </c>
      <c r="BC19" s="107">
        <v>0</v>
      </c>
      <c r="BD19" s="107">
        <v>0</v>
      </c>
      <c r="BE19" s="107">
        <v>0</v>
      </c>
      <c r="BF19" s="107">
        <v>0</v>
      </c>
      <c r="BG19" s="107">
        <v>0</v>
      </c>
      <c r="BH19" s="107">
        <v>0</v>
      </c>
      <c r="BI19" s="107">
        <v>0</v>
      </c>
      <c r="BJ19" s="107">
        <v>0</v>
      </c>
      <c r="BK19" s="107">
        <v>0</v>
      </c>
      <c r="BL19" s="107">
        <v>0</v>
      </c>
      <c r="BM19" s="107">
        <v>0</v>
      </c>
      <c r="BN19" s="107">
        <v>0</v>
      </c>
      <c r="BO19" s="107">
        <v>0</v>
      </c>
      <c r="BP19" s="107">
        <v>0</v>
      </c>
      <c r="BQ19" s="107">
        <v>0</v>
      </c>
      <c r="BR19" s="107">
        <v>0</v>
      </c>
      <c r="BS19" s="107">
        <v>0</v>
      </c>
      <c r="BT19" s="107">
        <v>0</v>
      </c>
      <c r="BU19" s="107">
        <v>0</v>
      </c>
      <c r="BV19" s="107">
        <v>0</v>
      </c>
      <c r="BW19" s="107">
        <v>0</v>
      </c>
      <c r="BX19" s="107">
        <v>0</v>
      </c>
      <c r="BY19" s="107">
        <v>0</v>
      </c>
      <c r="BZ19" s="107">
        <v>0</v>
      </c>
      <c r="CA19" s="107">
        <v>0</v>
      </c>
      <c r="CB19" s="107">
        <v>0</v>
      </c>
      <c r="CC19" s="107">
        <v>0</v>
      </c>
    </row>
    <row r="20" spans="1:81" customFormat="1" x14ac:dyDescent="0.15">
      <c r="A20" s="178" t="s">
        <v>209</v>
      </c>
      <c r="B20" s="107">
        <v>0</v>
      </c>
      <c r="C20" s="107">
        <v>0</v>
      </c>
      <c r="D20" s="107">
        <v>0</v>
      </c>
      <c r="E20" s="107">
        <v>0.8</v>
      </c>
      <c r="F20" s="107">
        <v>0.8</v>
      </c>
      <c r="G20" s="107">
        <v>0.8</v>
      </c>
      <c r="H20" s="107">
        <v>0</v>
      </c>
      <c r="I20" s="107">
        <v>0</v>
      </c>
      <c r="J20" s="107">
        <v>0</v>
      </c>
      <c r="K20" s="107">
        <v>0.8</v>
      </c>
      <c r="L20" s="107">
        <v>0</v>
      </c>
      <c r="M20" s="107">
        <v>0</v>
      </c>
      <c r="N20" s="107">
        <v>0.8</v>
      </c>
      <c r="O20" s="107">
        <v>0</v>
      </c>
      <c r="P20" s="107">
        <v>0</v>
      </c>
      <c r="Q20" s="107">
        <v>0</v>
      </c>
      <c r="R20" s="107">
        <v>0.8</v>
      </c>
      <c r="S20" s="107">
        <v>0</v>
      </c>
      <c r="T20" s="107">
        <v>0</v>
      </c>
      <c r="U20" s="107">
        <v>0.8</v>
      </c>
      <c r="V20" s="107">
        <v>0</v>
      </c>
      <c r="W20" s="107">
        <v>0</v>
      </c>
      <c r="X20" s="107">
        <v>0</v>
      </c>
      <c r="Y20" s="107">
        <v>0.8</v>
      </c>
      <c r="Z20" s="107">
        <v>0</v>
      </c>
      <c r="AA20" s="107">
        <v>0</v>
      </c>
      <c r="AB20" s="107">
        <v>0</v>
      </c>
      <c r="AC20" s="107">
        <v>0</v>
      </c>
      <c r="AD20" s="107">
        <v>0</v>
      </c>
      <c r="AE20" s="107">
        <v>0</v>
      </c>
      <c r="AF20" s="107">
        <v>0</v>
      </c>
      <c r="AG20" s="107">
        <v>0</v>
      </c>
      <c r="AH20" s="107">
        <v>0</v>
      </c>
      <c r="AI20" s="107">
        <v>0</v>
      </c>
      <c r="AJ20" s="107">
        <v>0</v>
      </c>
      <c r="AK20" s="107">
        <v>0</v>
      </c>
      <c r="AL20" s="107">
        <v>0</v>
      </c>
      <c r="AM20" s="107">
        <v>0</v>
      </c>
      <c r="AN20" s="107">
        <v>0</v>
      </c>
      <c r="AO20" s="107">
        <v>0</v>
      </c>
      <c r="AP20" s="107">
        <v>0</v>
      </c>
      <c r="AQ20" s="107">
        <v>0</v>
      </c>
      <c r="AR20" s="107">
        <v>0</v>
      </c>
      <c r="AS20" s="107">
        <v>0</v>
      </c>
      <c r="AT20" s="107">
        <v>0</v>
      </c>
      <c r="AU20" s="107">
        <v>0</v>
      </c>
      <c r="AV20" s="107">
        <v>0</v>
      </c>
      <c r="AW20" s="107">
        <v>0</v>
      </c>
      <c r="AX20" s="107">
        <v>0</v>
      </c>
      <c r="AY20" s="107">
        <v>0</v>
      </c>
      <c r="AZ20" s="107">
        <v>0</v>
      </c>
      <c r="BA20" s="107">
        <v>0</v>
      </c>
      <c r="BB20" s="107">
        <v>0</v>
      </c>
      <c r="BC20" s="107">
        <v>0</v>
      </c>
      <c r="BD20" s="107">
        <v>0</v>
      </c>
      <c r="BE20" s="107">
        <v>0</v>
      </c>
      <c r="BF20" s="107">
        <v>0</v>
      </c>
      <c r="BG20" s="107">
        <v>0</v>
      </c>
      <c r="BH20" s="107">
        <v>0</v>
      </c>
      <c r="BI20" s="107">
        <v>0</v>
      </c>
      <c r="BJ20" s="107">
        <v>0</v>
      </c>
      <c r="BK20" s="107">
        <v>0</v>
      </c>
      <c r="BL20" s="107">
        <v>0</v>
      </c>
      <c r="BM20" s="107">
        <v>0</v>
      </c>
      <c r="BN20" s="107">
        <v>0</v>
      </c>
      <c r="BO20" s="107">
        <v>0</v>
      </c>
      <c r="BP20" s="107">
        <v>0</v>
      </c>
      <c r="BQ20" s="107">
        <v>0</v>
      </c>
      <c r="BR20" s="107">
        <v>0</v>
      </c>
      <c r="BS20" s="107">
        <v>0</v>
      </c>
      <c r="BT20" s="107">
        <v>0</v>
      </c>
      <c r="BU20" s="107">
        <v>0</v>
      </c>
      <c r="BV20" s="107">
        <v>0</v>
      </c>
      <c r="BW20" s="107">
        <v>0</v>
      </c>
      <c r="BX20" s="107">
        <v>0</v>
      </c>
      <c r="BY20" s="107">
        <v>0</v>
      </c>
      <c r="BZ20" s="107">
        <v>0</v>
      </c>
      <c r="CA20" s="107">
        <v>0</v>
      </c>
      <c r="CB20" s="107">
        <v>0</v>
      </c>
      <c r="CC20" s="107">
        <v>0</v>
      </c>
    </row>
    <row r="21" spans="1:81" customFormat="1" x14ac:dyDescent="0.15">
      <c r="A21" s="178" t="s">
        <v>210</v>
      </c>
      <c r="B21" s="107">
        <v>0</v>
      </c>
      <c r="C21" s="107">
        <v>0</v>
      </c>
      <c r="D21" s="107">
        <v>0.8</v>
      </c>
      <c r="E21" s="107">
        <v>0</v>
      </c>
      <c r="F21" s="107">
        <v>0</v>
      </c>
      <c r="G21" s="107">
        <v>0</v>
      </c>
      <c r="H21" s="107">
        <v>0</v>
      </c>
      <c r="I21" s="107">
        <v>0.8</v>
      </c>
      <c r="J21" s="107">
        <v>0</v>
      </c>
      <c r="K21" s="107">
        <v>0</v>
      </c>
      <c r="L21" s="107">
        <v>0</v>
      </c>
      <c r="M21" s="107">
        <v>0</v>
      </c>
      <c r="N21" s="107">
        <v>0.8</v>
      </c>
      <c r="O21" s="107">
        <v>0</v>
      </c>
      <c r="P21" s="107">
        <v>0.8</v>
      </c>
      <c r="Q21" s="107">
        <v>0</v>
      </c>
      <c r="R21" s="107">
        <v>0.8</v>
      </c>
      <c r="S21" s="107">
        <v>0</v>
      </c>
      <c r="T21" s="107">
        <v>0.8</v>
      </c>
      <c r="U21" s="107">
        <v>0</v>
      </c>
      <c r="V21" s="107">
        <v>0</v>
      </c>
      <c r="W21" s="107">
        <v>0</v>
      </c>
      <c r="X21" s="107">
        <v>0</v>
      </c>
      <c r="Y21" s="107">
        <v>0</v>
      </c>
      <c r="Z21" s="107">
        <v>0</v>
      </c>
      <c r="AA21" s="107">
        <v>0</v>
      </c>
      <c r="AB21" s="107">
        <v>0</v>
      </c>
      <c r="AC21" s="107">
        <v>0</v>
      </c>
      <c r="AD21" s="107">
        <v>0</v>
      </c>
      <c r="AE21" s="107">
        <v>0</v>
      </c>
      <c r="AF21" s="107">
        <v>0</v>
      </c>
      <c r="AG21" s="107">
        <v>0</v>
      </c>
      <c r="AH21" s="107">
        <v>0</v>
      </c>
      <c r="AI21" s="107">
        <v>0</v>
      </c>
      <c r="AJ21" s="107">
        <v>0</v>
      </c>
      <c r="AK21" s="107">
        <v>0</v>
      </c>
      <c r="AL21" s="107">
        <v>0</v>
      </c>
      <c r="AM21" s="107">
        <v>0</v>
      </c>
      <c r="AN21" s="107">
        <v>0</v>
      </c>
      <c r="AO21" s="107">
        <v>0</v>
      </c>
      <c r="AP21" s="107">
        <v>0</v>
      </c>
      <c r="AQ21" s="107">
        <v>0</v>
      </c>
      <c r="AR21" s="107">
        <v>0</v>
      </c>
      <c r="AS21" s="107">
        <v>0</v>
      </c>
      <c r="AT21" s="107">
        <v>0</v>
      </c>
      <c r="AU21" s="107">
        <v>0</v>
      </c>
      <c r="AV21" s="107">
        <v>0</v>
      </c>
      <c r="AW21" s="107">
        <v>0</v>
      </c>
      <c r="AX21" s="107">
        <v>0</v>
      </c>
      <c r="AY21" s="107">
        <v>0</v>
      </c>
      <c r="AZ21" s="107">
        <v>0</v>
      </c>
      <c r="BA21" s="107">
        <v>0</v>
      </c>
      <c r="BB21" s="107">
        <v>0</v>
      </c>
      <c r="BC21" s="107">
        <v>0</v>
      </c>
      <c r="BD21" s="107">
        <v>0</v>
      </c>
      <c r="BE21" s="107">
        <v>0</v>
      </c>
      <c r="BF21" s="107">
        <v>0</v>
      </c>
      <c r="BG21" s="107">
        <v>0</v>
      </c>
      <c r="BH21" s="107">
        <v>0</v>
      </c>
      <c r="BI21" s="107">
        <v>0</v>
      </c>
      <c r="BJ21" s="107">
        <v>0</v>
      </c>
      <c r="BK21" s="107">
        <v>0</v>
      </c>
      <c r="BL21" s="107">
        <v>0</v>
      </c>
      <c r="BM21" s="107">
        <v>0</v>
      </c>
      <c r="BN21" s="107">
        <v>0</v>
      </c>
      <c r="BO21" s="107">
        <v>0</v>
      </c>
      <c r="BP21" s="107">
        <v>0</v>
      </c>
      <c r="BQ21" s="107">
        <v>0</v>
      </c>
      <c r="BR21" s="107">
        <v>0</v>
      </c>
      <c r="BS21" s="107">
        <v>0</v>
      </c>
      <c r="BT21" s="107">
        <v>0</v>
      </c>
      <c r="BU21" s="107">
        <v>0</v>
      </c>
      <c r="BV21" s="107">
        <v>0</v>
      </c>
      <c r="BW21" s="107">
        <v>0</v>
      </c>
      <c r="BX21" s="107">
        <v>0</v>
      </c>
      <c r="BY21" s="107">
        <v>0</v>
      </c>
      <c r="BZ21" s="107">
        <v>0</v>
      </c>
      <c r="CA21" s="107">
        <v>0</v>
      </c>
      <c r="CB21" s="107">
        <v>0</v>
      </c>
      <c r="CC21" s="107">
        <v>0</v>
      </c>
    </row>
    <row r="22" spans="1:81" customFormat="1" x14ac:dyDescent="0.15">
      <c r="A22" s="178" t="s">
        <v>211</v>
      </c>
      <c r="B22" s="107">
        <v>0</v>
      </c>
      <c r="C22" s="107">
        <v>0</v>
      </c>
      <c r="D22" s="107">
        <v>0</v>
      </c>
      <c r="E22" s="107">
        <v>0</v>
      </c>
      <c r="F22" s="107">
        <v>0.8</v>
      </c>
      <c r="G22" s="107">
        <v>0.8</v>
      </c>
      <c r="H22" s="107">
        <v>0</v>
      </c>
      <c r="I22" s="107">
        <v>0</v>
      </c>
      <c r="J22" s="107">
        <v>0.8</v>
      </c>
      <c r="K22" s="107">
        <v>0</v>
      </c>
      <c r="L22" s="107">
        <v>0</v>
      </c>
      <c r="M22" s="107">
        <v>0</v>
      </c>
      <c r="N22" s="107">
        <v>0</v>
      </c>
      <c r="O22" s="107">
        <v>0</v>
      </c>
      <c r="P22" s="107">
        <v>0</v>
      </c>
      <c r="Q22" s="107">
        <v>0</v>
      </c>
      <c r="R22" s="107">
        <v>0.8</v>
      </c>
      <c r="S22" s="107">
        <v>0</v>
      </c>
      <c r="T22" s="107">
        <v>0</v>
      </c>
      <c r="U22" s="107">
        <v>0</v>
      </c>
      <c r="V22" s="107">
        <v>0</v>
      </c>
      <c r="W22" s="107">
        <v>0</v>
      </c>
      <c r="X22" s="107">
        <v>0</v>
      </c>
      <c r="Y22" s="107">
        <v>0</v>
      </c>
      <c r="Z22" s="107">
        <v>0</v>
      </c>
      <c r="AA22" s="107">
        <v>0</v>
      </c>
      <c r="AB22" s="107">
        <v>0</v>
      </c>
      <c r="AC22" s="107">
        <v>0</v>
      </c>
      <c r="AD22" s="107">
        <v>0</v>
      </c>
      <c r="AE22" s="107">
        <v>0</v>
      </c>
      <c r="AF22" s="107">
        <v>0</v>
      </c>
      <c r="AG22" s="107">
        <v>0</v>
      </c>
      <c r="AH22" s="107">
        <v>0</v>
      </c>
      <c r="AI22" s="107">
        <v>0</v>
      </c>
      <c r="AJ22" s="107">
        <v>0</v>
      </c>
      <c r="AK22" s="107">
        <v>0</v>
      </c>
      <c r="AL22" s="107">
        <v>0</v>
      </c>
      <c r="AM22" s="107">
        <v>0</v>
      </c>
      <c r="AN22" s="107">
        <v>0</v>
      </c>
      <c r="AO22" s="107">
        <v>0</v>
      </c>
      <c r="AP22" s="107">
        <v>0</v>
      </c>
      <c r="AQ22" s="107">
        <v>0</v>
      </c>
      <c r="AR22" s="107">
        <v>0</v>
      </c>
      <c r="AS22" s="107">
        <v>0</v>
      </c>
      <c r="AT22" s="107">
        <v>0</v>
      </c>
      <c r="AU22" s="107">
        <v>0</v>
      </c>
      <c r="AV22" s="107">
        <v>0</v>
      </c>
      <c r="AW22" s="107">
        <v>0</v>
      </c>
      <c r="AX22" s="107">
        <v>0</v>
      </c>
      <c r="AY22" s="107">
        <v>0</v>
      </c>
      <c r="AZ22" s="107">
        <v>0</v>
      </c>
      <c r="BA22" s="107">
        <v>0</v>
      </c>
      <c r="BB22" s="107">
        <v>0</v>
      </c>
      <c r="BC22" s="107">
        <v>0</v>
      </c>
      <c r="BD22" s="107">
        <v>0</v>
      </c>
      <c r="BE22" s="107">
        <v>0</v>
      </c>
      <c r="BF22" s="107">
        <v>0</v>
      </c>
      <c r="BG22" s="107">
        <v>0</v>
      </c>
      <c r="BH22" s="107">
        <v>0</v>
      </c>
      <c r="BI22" s="107">
        <v>0</v>
      </c>
      <c r="BJ22" s="107">
        <v>0</v>
      </c>
      <c r="BK22" s="107">
        <v>0</v>
      </c>
      <c r="BL22" s="107">
        <v>0</v>
      </c>
      <c r="BM22" s="107">
        <v>0</v>
      </c>
      <c r="BN22" s="107">
        <v>0</v>
      </c>
      <c r="BO22" s="107">
        <v>0</v>
      </c>
      <c r="BP22" s="107">
        <v>0</v>
      </c>
      <c r="BQ22" s="107">
        <v>0</v>
      </c>
      <c r="BR22" s="107">
        <v>0</v>
      </c>
      <c r="BS22" s="107">
        <v>0</v>
      </c>
      <c r="BT22" s="107">
        <v>0</v>
      </c>
      <c r="BU22" s="107">
        <v>0</v>
      </c>
      <c r="BV22" s="107">
        <v>0</v>
      </c>
      <c r="BW22" s="107">
        <v>0</v>
      </c>
      <c r="BX22" s="107">
        <v>0</v>
      </c>
      <c r="BY22" s="107">
        <v>0</v>
      </c>
      <c r="BZ22" s="107">
        <v>0</v>
      </c>
      <c r="CA22" s="107">
        <v>0</v>
      </c>
      <c r="CB22" s="107">
        <v>0</v>
      </c>
      <c r="CC22" s="107">
        <v>0</v>
      </c>
    </row>
    <row r="23" spans="1:81" customFormat="1" x14ac:dyDescent="0.15">
      <c r="A23" s="178" t="s">
        <v>212</v>
      </c>
      <c r="B23" s="107">
        <v>0.8</v>
      </c>
      <c r="C23" s="107">
        <v>0</v>
      </c>
      <c r="D23" s="107">
        <v>0</v>
      </c>
      <c r="E23" s="107">
        <v>0.8</v>
      </c>
      <c r="F23" s="107">
        <v>0</v>
      </c>
      <c r="G23" s="107">
        <v>0</v>
      </c>
      <c r="H23" s="107">
        <v>0</v>
      </c>
      <c r="I23" s="107">
        <v>0</v>
      </c>
      <c r="J23" s="107">
        <v>0</v>
      </c>
      <c r="K23" s="107">
        <v>0</v>
      </c>
      <c r="L23" s="107">
        <v>0</v>
      </c>
      <c r="M23" s="107">
        <v>0</v>
      </c>
      <c r="N23" s="107">
        <v>0</v>
      </c>
      <c r="O23" s="107">
        <v>0</v>
      </c>
      <c r="P23" s="107">
        <v>0</v>
      </c>
      <c r="Q23" s="107">
        <v>0</v>
      </c>
      <c r="R23" s="107">
        <v>0</v>
      </c>
      <c r="S23" s="107">
        <v>0</v>
      </c>
      <c r="T23" s="107">
        <v>0</v>
      </c>
      <c r="U23" s="107">
        <v>0</v>
      </c>
      <c r="V23" s="107">
        <v>0</v>
      </c>
      <c r="W23" s="107">
        <v>0</v>
      </c>
      <c r="X23" s="107">
        <v>0</v>
      </c>
      <c r="Y23" s="107">
        <v>0</v>
      </c>
      <c r="Z23" s="107">
        <v>0</v>
      </c>
      <c r="AA23" s="107">
        <v>0</v>
      </c>
      <c r="AB23" s="107">
        <v>0</v>
      </c>
      <c r="AC23" s="107">
        <v>0</v>
      </c>
      <c r="AD23" s="107">
        <v>0</v>
      </c>
      <c r="AE23" s="107">
        <v>0</v>
      </c>
      <c r="AF23" s="107">
        <v>0</v>
      </c>
      <c r="AG23" s="107">
        <v>0</v>
      </c>
      <c r="AH23" s="107">
        <v>0.8</v>
      </c>
      <c r="AI23" s="107">
        <v>0</v>
      </c>
      <c r="AJ23" s="107">
        <v>0</v>
      </c>
      <c r="AK23" s="107">
        <v>0</v>
      </c>
      <c r="AL23" s="107">
        <v>0</v>
      </c>
      <c r="AM23" s="107">
        <v>0</v>
      </c>
      <c r="AN23" s="107">
        <v>0</v>
      </c>
      <c r="AO23" s="107">
        <v>0</v>
      </c>
      <c r="AP23" s="107">
        <v>0</v>
      </c>
      <c r="AQ23" s="107">
        <v>0</v>
      </c>
      <c r="AR23" s="107">
        <v>0</v>
      </c>
      <c r="AS23" s="107">
        <v>0</v>
      </c>
      <c r="AT23" s="107">
        <v>0</v>
      </c>
      <c r="AU23" s="107">
        <v>0</v>
      </c>
      <c r="AV23" s="107">
        <v>0</v>
      </c>
      <c r="AW23" s="107">
        <v>0</v>
      </c>
      <c r="AX23" s="107">
        <v>0</v>
      </c>
      <c r="AY23" s="107">
        <v>0</v>
      </c>
      <c r="AZ23" s="107">
        <v>0</v>
      </c>
      <c r="BA23" s="107">
        <v>0</v>
      </c>
      <c r="BB23" s="107">
        <v>0</v>
      </c>
      <c r="BC23" s="107">
        <v>0</v>
      </c>
      <c r="BD23" s="107">
        <v>0</v>
      </c>
      <c r="BE23" s="107">
        <v>0</v>
      </c>
      <c r="BF23" s="107">
        <v>0</v>
      </c>
      <c r="BG23" s="107">
        <v>0</v>
      </c>
      <c r="BH23" s="107">
        <v>0</v>
      </c>
      <c r="BI23" s="107">
        <v>0</v>
      </c>
      <c r="BJ23" s="107">
        <v>0</v>
      </c>
      <c r="BK23" s="107">
        <v>0</v>
      </c>
      <c r="BL23" s="107">
        <v>0</v>
      </c>
      <c r="BM23" s="107">
        <v>0</v>
      </c>
      <c r="BN23" s="107">
        <v>0</v>
      </c>
      <c r="BO23" s="107">
        <v>0</v>
      </c>
      <c r="BP23" s="107">
        <v>0</v>
      </c>
      <c r="BQ23" s="107">
        <v>0</v>
      </c>
      <c r="BR23" s="107">
        <v>0</v>
      </c>
      <c r="BS23" s="107">
        <v>0</v>
      </c>
      <c r="BT23" s="107">
        <v>0</v>
      </c>
      <c r="BU23" s="107">
        <v>0</v>
      </c>
      <c r="BV23" s="107">
        <v>0</v>
      </c>
      <c r="BW23" s="107">
        <v>0</v>
      </c>
      <c r="BX23" s="107">
        <v>0</v>
      </c>
      <c r="BY23" s="107">
        <v>0</v>
      </c>
      <c r="BZ23" s="107">
        <v>0</v>
      </c>
      <c r="CA23" s="107">
        <v>0</v>
      </c>
      <c r="CB23" s="107">
        <v>0</v>
      </c>
      <c r="CC23" s="107">
        <v>0</v>
      </c>
    </row>
    <row r="24" spans="1:81" customFormat="1" x14ac:dyDescent="0.15">
      <c r="A24" s="178" t="s">
        <v>213</v>
      </c>
      <c r="B24" s="107">
        <v>0</v>
      </c>
      <c r="C24" s="107">
        <v>0</v>
      </c>
      <c r="D24" s="107">
        <v>0</v>
      </c>
      <c r="E24" s="107">
        <v>0</v>
      </c>
      <c r="F24" s="107">
        <v>0</v>
      </c>
      <c r="G24" s="107">
        <v>0</v>
      </c>
      <c r="H24" s="107">
        <v>0</v>
      </c>
      <c r="I24" s="107">
        <v>0</v>
      </c>
      <c r="J24" s="107">
        <v>0.8</v>
      </c>
      <c r="K24" s="107">
        <v>0.8</v>
      </c>
      <c r="L24" s="107">
        <v>0</v>
      </c>
      <c r="M24" s="107">
        <v>0</v>
      </c>
      <c r="N24" s="107">
        <v>0</v>
      </c>
      <c r="O24" s="107">
        <v>0</v>
      </c>
      <c r="P24" s="107">
        <v>0</v>
      </c>
      <c r="Q24" s="107">
        <v>0</v>
      </c>
      <c r="R24" s="107">
        <v>0.8</v>
      </c>
      <c r="S24" s="107">
        <v>0</v>
      </c>
      <c r="T24" s="107">
        <v>0</v>
      </c>
      <c r="U24" s="107">
        <v>0</v>
      </c>
      <c r="V24" s="107">
        <v>0</v>
      </c>
      <c r="W24" s="107">
        <v>0</v>
      </c>
      <c r="X24" s="107">
        <v>0</v>
      </c>
      <c r="Y24" s="107">
        <v>0</v>
      </c>
      <c r="Z24" s="107">
        <v>0</v>
      </c>
      <c r="AA24" s="107">
        <v>0</v>
      </c>
      <c r="AB24" s="107">
        <v>0</v>
      </c>
      <c r="AC24" s="107">
        <v>0</v>
      </c>
      <c r="AD24" s="107">
        <v>0</v>
      </c>
      <c r="AE24" s="107">
        <v>0</v>
      </c>
      <c r="AF24" s="107">
        <v>0</v>
      </c>
      <c r="AG24" s="107">
        <v>0</v>
      </c>
      <c r="AH24" s="107">
        <v>0</v>
      </c>
      <c r="AI24" s="107">
        <v>0</v>
      </c>
      <c r="AJ24" s="107">
        <v>0</v>
      </c>
      <c r="AK24" s="107">
        <v>0</v>
      </c>
      <c r="AL24" s="107">
        <v>0</v>
      </c>
      <c r="AM24" s="107">
        <v>0</v>
      </c>
      <c r="AN24" s="107">
        <v>0</v>
      </c>
      <c r="AO24" s="107">
        <v>0</v>
      </c>
      <c r="AP24" s="107">
        <v>0</v>
      </c>
      <c r="AQ24" s="107">
        <v>0</v>
      </c>
      <c r="AR24" s="107">
        <v>0</v>
      </c>
      <c r="AS24" s="107">
        <v>0</v>
      </c>
      <c r="AT24" s="107">
        <v>0</v>
      </c>
      <c r="AU24" s="107">
        <v>0</v>
      </c>
      <c r="AV24" s="107">
        <v>0</v>
      </c>
      <c r="AW24" s="107">
        <v>0</v>
      </c>
      <c r="AX24" s="107">
        <v>0</v>
      </c>
      <c r="AY24" s="107">
        <v>0</v>
      </c>
      <c r="AZ24" s="107">
        <v>0</v>
      </c>
      <c r="BA24" s="107">
        <v>0</v>
      </c>
      <c r="BB24" s="107">
        <v>0</v>
      </c>
      <c r="BC24" s="107">
        <v>0</v>
      </c>
      <c r="BD24" s="107">
        <v>0</v>
      </c>
      <c r="BE24" s="107">
        <v>0</v>
      </c>
      <c r="BF24" s="107">
        <v>0</v>
      </c>
      <c r="BG24" s="107">
        <v>0</v>
      </c>
      <c r="BH24" s="107">
        <v>0</v>
      </c>
      <c r="BI24" s="107">
        <v>0</v>
      </c>
      <c r="BJ24" s="107">
        <v>0</v>
      </c>
      <c r="BK24" s="107">
        <v>0</v>
      </c>
      <c r="BL24" s="107">
        <v>0</v>
      </c>
      <c r="BM24" s="107">
        <v>0</v>
      </c>
      <c r="BN24" s="107">
        <v>0</v>
      </c>
      <c r="BO24" s="107">
        <v>0</v>
      </c>
      <c r="BP24" s="107">
        <v>0</v>
      </c>
      <c r="BQ24" s="107">
        <v>0</v>
      </c>
      <c r="BR24" s="107">
        <v>0</v>
      </c>
      <c r="BS24" s="107">
        <v>0</v>
      </c>
      <c r="BT24" s="107">
        <v>0</v>
      </c>
      <c r="BU24" s="107">
        <v>0</v>
      </c>
      <c r="BV24" s="107">
        <v>0</v>
      </c>
      <c r="BW24" s="107">
        <v>0</v>
      </c>
      <c r="BX24" s="107">
        <v>0</v>
      </c>
      <c r="BY24" s="107">
        <v>0</v>
      </c>
      <c r="BZ24" s="107">
        <v>0</v>
      </c>
      <c r="CA24" s="107">
        <v>0</v>
      </c>
      <c r="CB24" s="107">
        <v>0</v>
      </c>
      <c r="CC24" s="107">
        <v>0</v>
      </c>
    </row>
    <row r="25" spans="1:81" customFormat="1" x14ac:dyDescent="0.15">
      <c r="A25" s="178" t="s">
        <v>214</v>
      </c>
      <c r="B25" s="107">
        <v>0.8</v>
      </c>
      <c r="C25" s="107">
        <v>0.8</v>
      </c>
      <c r="D25" s="107">
        <v>0</v>
      </c>
      <c r="E25" s="107">
        <v>0</v>
      </c>
      <c r="F25" s="107">
        <v>0.8</v>
      </c>
      <c r="G25" s="107">
        <v>0</v>
      </c>
      <c r="H25" s="107">
        <v>0</v>
      </c>
      <c r="I25" s="107">
        <v>0</v>
      </c>
      <c r="J25" s="107">
        <v>0.8</v>
      </c>
      <c r="K25" s="107">
        <v>0.8</v>
      </c>
      <c r="L25" s="107">
        <v>0.8</v>
      </c>
      <c r="M25" s="107">
        <v>0.8</v>
      </c>
      <c r="N25" s="107">
        <v>0.8</v>
      </c>
      <c r="O25" s="107">
        <v>0</v>
      </c>
      <c r="P25" s="107">
        <v>0</v>
      </c>
      <c r="Q25" s="107">
        <v>0</v>
      </c>
      <c r="R25" s="107">
        <v>0</v>
      </c>
      <c r="S25" s="107">
        <v>0</v>
      </c>
      <c r="T25" s="107">
        <v>0</v>
      </c>
      <c r="U25" s="107">
        <v>0</v>
      </c>
      <c r="V25" s="107">
        <v>0</v>
      </c>
      <c r="W25" s="107">
        <v>0</v>
      </c>
      <c r="X25" s="107">
        <v>0</v>
      </c>
      <c r="Y25" s="107">
        <v>0</v>
      </c>
      <c r="Z25" s="107">
        <v>0</v>
      </c>
      <c r="AA25" s="107">
        <v>0</v>
      </c>
      <c r="AB25" s="107">
        <v>0</v>
      </c>
      <c r="AC25" s="107">
        <v>0</v>
      </c>
      <c r="AD25" s="107">
        <v>0</v>
      </c>
      <c r="AE25" s="107">
        <v>0</v>
      </c>
      <c r="AF25" s="107">
        <v>0</v>
      </c>
      <c r="AG25" s="107">
        <v>0</v>
      </c>
      <c r="AH25" s="107">
        <v>0</v>
      </c>
      <c r="AI25" s="107">
        <v>0</v>
      </c>
      <c r="AJ25" s="107">
        <v>0</v>
      </c>
      <c r="AK25" s="107">
        <v>0</v>
      </c>
      <c r="AL25" s="107">
        <v>0</v>
      </c>
      <c r="AM25" s="107">
        <v>0</v>
      </c>
      <c r="AN25" s="107">
        <v>0</v>
      </c>
      <c r="AO25" s="107">
        <v>0</v>
      </c>
      <c r="AP25" s="107">
        <v>0</v>
      </c>
      <c r="AQ25" s="107">
        <v>0</v>
      </c>
      <c r="AR25" s="107">
        <v>0</v>
      </c>
      <c r="AS25" s="107">
        <v>0</v>
      </c>
      <c r="AT25" s="107">
        <v>0</v>
      </c>
      <c r="AU25" s="107">
        <v>0</v>
      </c>
      <c r="AV25" s="107">
        <v>0</v>
      </c>
      <c r="AW25" s="107">
        <v>0</v>
      </c>
      <c r="AX25" s="107">
        <v>0</v>
      </c>
      <c r="AY25" s="107">
        <v>0</v>
      </c>
      <c r="AZ25" s="107">
        <v>0</v>
      </c>
      <c r="BA25" s="107">
        <v>0</v>
      </c>
      <c r="BB25" s="107">
        <v>0</v>
      </c>
      <c r="BC25" s="107">
        <v>0</v>
      </c>
      <c r="BD25" s="107">
        <v>0</v>
      </c>
      <c r="BE25" s="107">
        <v>0</v>
      </c>
      <c r="BF25" s="107">
        <v>0</v>
      </c>
      <c r="BG25" s="107">
        <v>0</v>
      </c>
      <c r="BH25" s="107">
        <v>0</v>
      </c>
      <c r="BI25" s="107">
        <v>0</v>
      </c>
      <c r="BJ25" s="107">
        <v>0</v>
      </c>
      <c r="BK25" s="107">
        <v>0</v>
      </c>
      <c r="BL25" s="107">
        <v>0</v>
      </c>
      <c r="BM25" s="107">
        <v>0</v>
      </c>
      <c r="BN25" s="107">
        <v>0</v>
      </c>
      <c r="BO25" s="107">
        <v>0</v>
      </c>
      <c r="BP25" s="107">
        <v>0</v>
      </c>
      <c r="BQ25" s="107">
        <v>0</v>
      </c>
      <c r="BR25" s="107">
        <v>0</v>
      </c>
      <c r="BS25" s="107">
        <v>0</v>
      </c>
      <c r="BT25" s="107">
        <v>0</v>
      </c>
      <c r="BU25" s="107">
        <v>0</v>
      </c>
      <c r="BV25" s="107">
        <v>0</v>
      </c>
      <c r="BW25" s="107">
        <v>0</v>
      </c>
      <c r="BX25" s="107">
        <v>0</v>
      </c>
      <c r="BY25" s="107">
        <v>0</v>
      </c>
      <c r="BZ25" s="107">
        <v>0</v>
      </c>
      <c r="CA25" s="107">
        <v>0</v>
      </c>
      <c r="CB25" s="107">
        <v>0</v>
      </c>
      <c r="CC25" s="107">
        <v>0</v>
      </c>
    </row>
    <row r="26" spans="1:81" customFormat="1" x14ac:dyDescent="0.15">
      <c r="A26" s="178" t="s">
        <v>215</v>
      </c>
      <c r="B26" s="107">
        <v>0</v>
      </c>
      <c r="C26" s="107">
        <v>0</v>
      </c>
      <c r="D26" s="107">
        <v>0</v>
      </c>
      <c r="E26" s="107">
        <v>0</v>
      </c>
      <c r="F26" s="107">
        <v>0.8</v>
      </c>
      <c r="G26" s="107">
        <v>0</v>
      </c>
      <c r="H26" s="107">
        <v>0</v>
      </c>
      <c r="I26" s="107">
        <v>0.8</v>
      </c>
      <c r="J26" s="107">
        <v>0.8</v>
      </c>
      <c r="K26" s="107">
        <v>0</v>
      </c>
      <c r="L26" s="107">
        <v>0</v>
      </c>
      <c r="M26" s="107">
        <v>0</v>
      </c>
      <c r="N26" s="107">
        <v>0</v>
      </c>
      <c r="O26" s="107">
        <v>0</v>
      </c>
      <c r="P26" s="107">
        <v>0</v>
      </c>
      <c r="Q26" s="107">
        <v>0</v>
      </c>
      <c r="R26" s="107">
        <v>0</v>
      </c>
      <c r="S26" s="107">
        <v>0</v>
      </c>
      <c r="T26" s="107">
        <v>0</v>
      </c>
      <c r="U26" s="107">
        <v>0</v>
      </c>
      <c r="V26" s="107">
        <v>0</v>
      </c>
      <c r="W26" s="107">
        <v>0</v>
      </c>
      <c r="X26" s="107">
        <v>0</v>
      </c>
      <c r="Y26" s="107">
        <v>0</v>
      </c>
      <c r="Z26" s="107">
        <v>0</v>
      </c>
      <c r="AA26" s="107">
        <v>0</v>
      </c>
      <c r="AB26" s="107">
        <v>0</v>
      </c>
      <c r="AC26" s="107">
        <v>0</v>
      </c>
      <c r="AD26" s="107">
        <v>0</v>
      </c>
      <c r="AE26" s="107">
        <v>0</v>
      </c>
      <c r="AF26" s="107">
        <v>0</v>
      </c>
      <c r="AG26" s="107">
        <v>0</v>
      </c>
      <c r="AH26" s="107">
        <v>0</v>
      </c>
      <c r="AI26" s="107">
        <v>0</v>
      </c>
      <c r="AJ26" s="107">
        <v>0</v>
      </c>
      <c r="AK26" s="107">
        <v>0</v>
      </c>
      <c r="AL26" s="107">
        <v>0</v>
      </c>
      <c r="AM26" s="107">
        <v>0</v>
      </c>
      <c r="AN26" s="107">
        <v>0</v>
      </c>
      <c r="AO26" s="107">
        <v>0</v>
      </c>
      <c r="AP26" s="107">
        <v>0</v>
      </c>
      <c r="AQ26" s="107">
        <v>0</v>
      </c>
      <c r="AR26" s="107">
        <v>0</v>
      </c>
      <c r="AS26" s="107">
        <v>0</v>
      </c>
      <c r="AT26" s="107">
        <v>0</v>
      </c>
      <c r="AU26" s="107">
        <v>0</v>
      </c>
      <c r="AV26" s="107">
        <v>0</v>
      </c>
      <c r="AW26" s="107">
        <v>0</v>
      </c>
      <c r="AX26" s="107">
        <v>0</v>
      </c>
      <c r="AY26" s="107">
        <v>0</v>
      </c>
      <c r="AZ26" s="107">
        <v>0</v>
      </c>
      <c r="BA26" s="107">
        <v>0</v>
      </c>
      <c r="BB26" s="107">
        <v>0</v>
      </c>
      <c r="BC26" s="107">
        <v>0</v>
      </c>
      <c r="BD26" s="107">
        <v>0</v>
      </c>
      <c r="BE26" s="107">
        <v>0</v>
      </c>
      <c r="BF26" s="107">
        <v>0</v>
      </c>
      <c r="BG26" s="107">
        <v>0</v>
      </c>
      <c r="BH26" s="107">
        <v>0</v>
      </c>
      <c r="BI26" s="107">
        <v>0</v>
      </c>
      <c r="BJ26" s="107">
        <v>0</v>
      </c>
      <c r="BK26" s="107">
        <v>0</v>
      </c>
      <c r="BL26" s="107">
        <v>0</v>
      </c>
      <c r="BM26" s="107">
        <v>0</v>
      </c>
      <c r="BN26" s="107">
        <v>0</v>
      </c>
      <c r="BO26" s="107">
        <v>0</v>
      </c>
      <c r="BP26" s="107">
        <v>0</v>
      </c>
      <c r="BQ26" s="107">
        <v>0</v>
      </c>
      <c r="BR26" s="107">
        <v>0</v>
      </c>
      <c r="BS26" s="107">
        <v>0</v>
      </c>
      <c r="BT26" s="107">
        <v>0</v>
      </c>
      <c r="BU26" s="107">
        <v>0</v>
      </c>
      <c r="BV26" s="107">
        <v>0</v>
      </c>
      <c r="BW26" s="107">
        <v>0</v>
      </c>
      <c r="BX26" s="107">
        <v>0</v>
      </c>
      <c r="BY26" s="107">
        <v>0</v>
      </c>
      <c r="BZ26" s="107">
        <v>0</v>
      </c>
      <c r="CA26" s="107">
        <v>0</v>
      </c>
      <c r="CB26" s="107">
        <v>0</v>
      </c>
      <c r="CC26" s="107">
        <v>0</v>
      </c>
    </row>
    <row r="27" spans="1:81" customFormat="1" x14ac:dyDescent="0.15">
      <c r="A27" s="178" t="s">
        <v>216</v>
      </c>
      <c r="B27" s="107">
        <v>0</v>
      </c>
      <c r="C27" s="107">
        <v>0</v>
      </c>
      <c r="D27" s="107">
        <v>0</v>
      </c>
      <c r="E27" s="107">
        <v>0</v>
      </c>
      <c r="F27" s="107">
        <v>0</v>
      </c>
      <c r="G27" s="107">
        <v>0</v>
      </c>
      <c r="H27" s="107">
        <v>0</v>
      </c>
      <c r="I27" s="107">
        <v>0</v>
      </c>
      <c r="J27" s="107">
        <v>0</v>
      </c>
      <c r="K27" s="107">
        <v>0</v>
      </c>
      <c r="L27" s="107">
        <v>0</v>
      </c>
      <c r="M27" s="107">
        <v>0</v>
      </c>
      <c r="N27" s="107">
        <v>0</v>
      </c>
      <c r="O27" s="107">
        <v>0</v>
      </c>
      <c r="P27" s="107">
        <v>0.8</v>
      </c>
      <c r="Q27" s="107">
        <v>0</v>
      </c>
      <c r="R27" s="107">
        <v>0</v>
      </c>
      <c r="S27" s="107">
        <v>0</v>
      </c>
      <c r="T27" s="107">
        <v>0</v>
      </c>
      <c r="U27" s="107">
        <v>0</v>
      </c>
      <c r="V27" s="107">
        <v>0</v>
      </c>
      <c r="W27" s="107">
        <v>0</v>
      </c>
      <c r="X27" s="107">
        <v>0</v>
      </c>
      <c r="Y27" s="107">
        <v>0</v>
      </c>
      <c r="Z27" s="107">
        <v>0</v>
      </c>
      <c r="AA27" s="107">
        <v>0</v>
      </c>
      <c r="AB27" s="107">
        <v>0</v>
      </c>
      <c r="AC27" s="107">
        <v>0</v>
      </c>
      <c r="AD27" s="107">
        <v>0</v>
      </c>
      <c r="AE27" s="107">
        <v>0</v>
      </c>
      <c r="AF27" s="107">
        <v>0</v>
      </c>
      <c r="AG27" s="107">
        <v>0</v>
      </c>
      <c r="AH27" s="107">
        <v>0</v>
      </c>
      <c r="AI27" s="107">
        <v>0</v>
      </c>
      <c r="AJ27" s="107">
        <v>0</v>
      </c>
      <c r="AK27" s="107">
        <v>0</v>
      </c>
      <c r="AL27" s="107">
        <v>0</v>
      </c>
      <c r="AM27" s="107">
        <v>0</v>
      </c>
      <c r="AN27" s="107">
        <v>0</v>
      </c>
      <c r="AO27" s="107">
        <v>0</v>
      </c>
      <c r="AP27" s="107">
        <v>0</v>
      </c>
      <c r="AQ27" s="107">
        <v>0</v>
      </c>
      <c r="AR27" s="107">
        <v>0</v>
      </c>
      <c r="AS27" s="107">
        <v>0</v>
      </c>
      <c r="AT27" s="107">
        <v>0</v>
      </c>
      <c r="AU27" s="107">
        <v>0.8</v>
      </c>
      <c r="AV27" s="107">
        <v>0</v>
      </c>
      <c r="AW27" s="107">
        <v>0</v>
      </c>
      <c r="AX27" s="107">
        <v>0</v>
      </c>
      <c r="AY27" s="107">
        <v>0</v>
      </c>
      <c r="AZ27" s="107">
        <v>0</v>
      </c>
      <c r="BA27" s="107">
        <v>0</v>
      </c>
      <c r="BB27" s="107">
        <v>0</v>
      </c>
      <c r="BC27" s="107">
        <v>0</v>
      </c>
      <c r="BD27" s="107">
        <v>0</v>
      </c>
      <c r="BE27" s="107">
        <v>0</v>
      </c>
      <c r="BF27" s="107">
        <v>0</v>
      </c>
      <c r="BG27" s="107">
        <v>0</v>
      </c>
      <c r="BH27" s="107">
        <v>0</v>
      </c>
      <c r="BI27" s="107">
        <v>0</v>
      </c>
      <c r="BJ27" s="107">
        <v>0</v>
      </c>
      <c r="BK27" s="107">
        <v>0</v>
      </c>
      <c r="BL27" s="107">
        <v>0</v>
      </c>
      <c r="BM27" s="107">
        <v>0</v>
      </c>
      <c r="BN27" s="107">
        <v>0</v>
      </c>
      <c r="BO27" s="107">
        <v>0</v>
      </c>
      <c r="BP27" s="107">
        <v>0</v>
      </c>
      <c r="BQ27" s="107">
        <v>0</v>
      </c>
      <c r="BR27" s="107">
        <v>0</v>
      </c>
      <c r="BS27" s="107">
        <v>0</v>
      </c>
      <c r="BT27" s="107">
        <v>0</v>
      </c>
      <c r="BU27" s="107">
        <v>0</v>
      </c>
      <c r="BV27" s="107">
        <v>0</v>
      </c>
      <c r="BW27" s="107">
        <v>0</v>
      </c>
      <c r="BX27" s="107">
        <v>0</v>
      </c>
      <c r="BY27" s="107">
        <v>0</v>
      </c>
      <c r="BZ27" s="107">
        <v>0</v>
      </c>
      <c r="CA27" s="107">
        <v>0</v>
      </c>
      <c r="CB27" s="107">
        <v>0</v>
      </c>
      <c r="CC27" s="107">
        <v>0</v>
      </c>
    </row>
    <row r="28" spans="1:81" customFormat="1" x14ac:dyDescent="0.15">
      <c r="A28" s="178" t="s">
        <v>217</v>
      </c>
      <c r="B28" s="107">
        <v>0.8</v>
      </c>
      <c r="C28" s="107">
        <v>0</v>
      </c>
      <c r="D28" s="107">
        <v>0</v>
      </c>
      <c r="E28" s="107">
        <v>0</v>
      </c>
      <c r="F28" s="107">
        <v>0</v>
      </c>
      <c r="G28" s="107">
        <v>0</v>
      </c>
      <c r="H28" s="107">
        <v>0</v>
      </c>
      <c r="I28" s="107">
        <v>0.8</v>
      </c>
      <c r="J28" s="107">
        <v>0</v>
      </c>
      <c r="K28" s="107">
        <v>0</v>
      </c>
      <c r="L28" s="107">
        <v>0</v>
      </c>
      <c r="M28" s="107">
        <v>0</v>
      </c>
      <c r="N28" s="107">
        <v>0</v>
      </c>
      <c r="O28" s="107">
        <v>0</v>
      </c>
      <c r="P28" s="107">
        <v>0</v>
      </c>
      <c r="Q28" s="107">
        <v>0</v>
      </c>
      <c r="R28" s="107">
        <v>0</v>
      </c>
      <c r="S28" s="107">
        <v>0</v>
      </c>
      <c r="T28" s="107">
        <v>0</v>
      </c>
      <c r="U28" s="107">
        <v>0</v>
      </c>
      <c r="V28" s="107">
        <v>0</v>
      </c>
      <c r="W28" s="107">
        <v>0</v>
      </c>
      <c r="X28" s="107">
        <v>0</v>
      </c>
      <c r="Y28" s="107">
        <v>0</v>
      </c>
      <c r="Z28" s="107">
        <v>0.8</v>
      </c>
      <c r="AA28" s="107">
        <v>0</v>
      </c>
      <c r="AB28" s="107">
        <v>0</v>
      </c>
      <c r="AC28" s="107">
        <v>0</v>
      </c>
      <c r="AD28" s="107">
        <v>0</v>
      </c>
      <c r="AE28" s="107">
        <v>0</v>
      </c>
      <c r="AF28" s="107">
        <v>0</v>
      </c>
      <c r="AG28" s="107">
        <v>0</v>
      </c>
      <c r="AH28" s="107">
        <v>0</v>
      </c>
      <c r="AI28" s="107">
        <v>0</v>
      </c>
      <c r="AJ28" s="107">
        <v>0</v>
      </c>
      <c r="AK28" s="107">
        <v>0</v>
      </c>
      <c r="AL28" s="107">
        <v>0</v>
      </c>
      <c r="AM28" s="107">
        <v>0</v>
      </c>
      <c r="AN28" s="107">
        <v>0</v>
      </c>
      <c r="AO28" s="107">
        <v>0</v>
      </c>
      <c r="AP28" s="107">
        <v>0</v>
      </c>
      <c r="AQ28" s="107">
        <v>0</v>
      </c>
      <c r="AR28" s="107">
        <v>0</v>
      </c>
      <c r="AS28" s="107">
        <v>0</v>
      </c>
      <c r="AT28" s="107">
        <v>0</v>
      </c>
      <c r="AU28" s="107">
        <v>0</v>
      </c>
      <c r="AV28" s="107">
        <v>0</v>
      </c>
      <c r="AW28" s="107">
        <v>0</v>
      </c>
      <c r="AX28" s="107">
        <v>0</v>
      </c>
      <c r="AY28" s="107">
        <v>0</v>
      </c>
      <c r="AZ28" s="107">
        <v>0</v>
      </c>
      <c r="BA28" s="107">
        <v>0</v>
      </c>
      <c r="BB28" s="107">
        <v>0</v>
      </c>
      <c r="BC28" s="107">
        <v>0</v>
      </c>
      <c r="BD28" s="107">
        <v>0</v>
      </c>
      <c r="BE28" s="107">
        <v>0</v>
      </c>
      <c r="BF28" s="107">
        <v>0</v>
      </c>
      <c r="BG28" s="107">
        <v>0</v>
      </c>
      <c r="BH28" s="107">
        <v>0</v>
      </c>
      <c r="BI28" s="107">
        <v>0</v>
      </c>
      <c r="BJ28" s="107">
        <v>0</v>
      </c>
      <c r="BK28" s="107">
        <v>0</v>
      </c>
      <c r="BL28" s="107">
        <v>0</v>
      </c>
      <c r="BM28" s="107">
        <v>0</v>
      </c>
      <c r="BN28" s="107">
        <v>0</v>
      </c>
      <c r="BO28" s="107">
        <v>0</v>
      </c>
      <c r="BP28" s="107">
        <v>0</v>
      </c>
      <c r="BQ28" s="107">
        <v>0</v>
      </c>
      <c r="BR28" s="107">
        <v>0</v>
      </c>
      <c r="BS28" s="107">
        <v>0</v>
      </c>
      <c r="BT28" s="107">
        <v>0</v>
      </c>
      <c r="BU28" s="107">
        <v>0</v>
      </c>
      <c r="BV28" s="107">
        <v>0</v>
      </c>
      <c r="BW28" s="107">
        <v>0</v>
      </c>
      <c r="BX28" s="107">
        <v>0</v>
      </c>
      <c r="BY28" s="107">
        <v>0</v>
      </c>
      <c r="BZ28" s="107">
        <v>0</v>
      </c>
      <c r="CA28" s="107">
        <v>0</v>
      </c>
      <c r="CB28" s="107">
        <v>0</v>
      </c>
      <c r="CC28" s="107">
        <v>0</v>
      </c>
    </row>
    <row r="29" spans="1:81" customFormat="1" x14ac:dyDescent="0.15">
      <c r="A29" s="178" t="s">
        <v>218</v>
      </c>
      <c r="B29" s="107">
        <v>0.8</v>
      </c>
      <c r="C29" s="107">
        <v>0</v>
      </c>
      <c r="D29" s="107">
        <v>0</v>
      </c>
      <c r="E29" s="107">
        <v>0</v>
      </c>
      <c r="F29" s="107">
        <v>0</v>
      </c>
      <c r="G29" s="107">
        <v>0.8</v>
      </c>
      <c r="H29" s="107">
        <v>0.8</v>
      </c>
      <c r="I29" s="107">
        <v>0</v>
      </c>
      <c r="J29" s="107">
        <v>0</v>
      </c>
      <c r="K29" s="107">
        <v>0</v>
      </c>
      <c r="L29" s="107">
        <v>0</v>
      </c>
      <c r="M29" s="107">
        <v>0</v>
      </c>
      <c r="N29" s="107">
        <v>0</v>
      </c>
      <c r="O29" s="107">
        <v>0</v>
      </c>
      <c r="P29" s="107">
        <v>0</v>
      </c>
      <c r="Q29" s="107">
        <v>0</v>
      </c>
      <c r="R29" s="107">
        <v>0.8</v>
      </c>
      <c r="S29" s="107">
        <v>0</v>
      </c>
      <c r="T29" s="107">
        <v>0</v>
      </c>
      <c r="U29" s="107">
        <v>0</v>
      </c>
      <c r="V29" s="107">
        <v>0</v>
      </c>
      <c r="W29" s="107">
        <v>0</v>
      </c>
      <c r="X29" s="107">
        <v>0</v>
      </c>
      <c r="Y29" s="107">
        <v>0</v>
      </c>
      <c r="Z29" s="107">
        <v>0</v>
      </c>
      <c r="AA29" s="107">
        <v>0</v>
      </c>
      <c r="AB29" s="107">
        <v>0</v>
      </c>
      <c r="AC29" s="107">
        <v>0</v>
      </c>
      <c r="AD29" s="107">
        <v>0.8</v>
      </c>
      <c r="AE29" s="107">
        <v>0</v>
      </c>
      <c r="AF29" s="107">
        <v>0</v>
      </c>
      <c r="AG29" s="107">
        <v>0</v>
      </c>
      <c r="AH29" s="107">
        <v>0</v>
      </c>
      <c r="AI29" s="107">
        <v>0</v>
      </c>
      <c r="AJ29" s="107">
        <v>0</v>
      </c>
      <c r="AK29" s="107">
        <v>0</v>
      </c>
      <c r="AL29" s="107">
        <v>0</v>
      </c>
      <c r="AM29" s="107">
        <v>0</v>
      </c>
      <c r="AN29" s="107">
        <v>0</v>
      </c>
      <c r="AO29" s="107">
        <v>0</v>
      </c>
      <c r="AP29" s="107">
        <v>0</v>
      </c>
      <c r="AQ29" s="107">
        <v>0</v>
      </c>
      <c r="AR29" s="107">
        <v>0</v>
      </c>
      <c r="AS29" s="107">
        <v>0</v>
      </c>
      <c r="AT29" s="107">
        <v>0</v>
      </c>
      <c r="AU29" s="107">
        <v>0</v>
      </c>
      <c r="AV29" s="107">
        <v>0</v>
      </c>
      <c r="AW29" s="107">
        <v>0</v>
      </c>
      <c r="AX29" s="107">
        <v>0</v>
      </c>
      <c r="AY29" s="107">
        <v>0</v>
      </c>
      <c r="AZ29" s="107">
        <v>0</v>
      </c>
      <c r="BA29" s="107">
        <v>0</v>
      </c>
      <c r="BB29" s="107">
        <v>0</v>
      </c>
      <c r="BC29" s="107">
        <v>0</v>
      </c>
      <c r="BD29" s="107">
        <v>0</v>
      </c>
      <c r="BE29" s="107">
        <v>0</v>
      </c>
      <c r="BF29" s="107">
        <v>0</v>
      </c>
      <c r="BG29" s="107">
        <v>0</v>
      </c>
      <c r="BH29" s="107">
        <v>0</v>
      </c>
      <c r="BI29" s="107">
        <v>0</v>
      </c>
      <c r="BJ29" s="107">
        <v>0</v>
      </c>
      <c r="BK29" s="107">
        <v>0</v>
      </c>
      <c r="BL29" s="107">
        <v>0</v>
      </c>
      <c r="BM29" s="107">
        <v>0</v>
      </c>
      <c r="BN29" s="107">
        <v>0</v>
      </c>
      <c r="BO29" s="107">
        <v>0</v>
      </c>
      <c r="BP29" s="107">
        <v>0</v>
      </c>
      <c r="BQ29" s="107">
        <v>0</v>
      </c>
      <c r="BR29" s="107">
        <v>0</v>
      </c>
      <c r="BS29" s="107">
        <v>0</v>
      </c>
      <c r="BT29" s="107">
        <v>0</v>
      </c>
      <c r="BU29" s="107">
        <v>0</v>
      </c>
      <c r="BV29" s="107">
        <v>0</v>
      </c>
      <c r="BW29" s="107">
        <v>0</v>
      </c>
      <c r="BX29" s="107">
        <v>0</v>
      </c>
      <c r="BY29" s="107">
        <v>0</v>
      </c>
      <c r="BZ29" s="107">
        <v>0</v>
      </c>
      <c r="CA29" s="107">
        <v>0</v>
      </c>
      <c r="CB29" s="107">
        <v>0</v>
      </c>
      <c r="CC29" s="107">
        <v>0</v>
      </c>
    </row>
    <row r="30" spans="1:81" customFormat="1" x14ac:dyDescent="0.15">
      <c r="A30" s="178" t="s">
        <v>219</v>
      </c>
      <c r="B30" s="107">
        <v>0</v>
      </c>
      <c r="C30" s="107">
        <v>0</v>
      </c>
      <c r="D30" s="107">
        <v>0</v>
      </c>
      <c r="E30" s="107">
        <v>0</v>
      </c>
      <c r="F30" s="107">
        <v>0.8</v>
      </c>
      <c r="G30" s="107">
        <v>0.8</v>
      </c>
      <c r="H30" s="107">
        <v>0</v>
      </c>
      <c r="I30" s="107">
        <v>0</v>
      </c>
      <c r="J30" s="107">
        <v>0</v>
      </c>
      <c r="K30" s="107">
        <v>0</v>
      </c>
      <c r="L30" s="107">
        <v>0</v>
      </c>
      <c r="M30" s="107">
        <v>0</v>
      </c>
      <c r="N30" s="107">
        <v>0</v>
      </c>
      <c r="O30" s="107">
        <v>0</v>
      </c>
      <c r="P30" s="107">
        <v>0</v>
      </c>
      <c r="Q30" s="107">
        <v>0</v>
      </c>
      <c r="R30" s="107">
        <v>0</v>
      </c>
      <c r="S30" s="107">
        <v>0</v>
      </c>
      <c r="T30" s="107">
        <v>0</v>
      </c>
      <c r="U30" s="107">
        <v>0</v>
      </c>
      <c r="V30" s="107">
        <v>0</v>
      </c>
      <c r="W30" s="107">
        <v>0</v>
      </c>
      <c r="X30" s="107">
        <v>0</v>
      </c>
      <c r="Y30" s="107">
        <v>0</v>
      </c>
      <c r="Z30" s="107">
        <v>0</v>
      </c>
      <c r="AA30" s="107">
        <v>0</v>
      </c>
      <c r="AB30" s="107">
        <v>0</v>
      </c>
      <c r="AC30" s="107">
        <v>0</v>
      </c>
      <c r="AD30" s="107">
        <v>0</v>
      </c>
      <c r="AE30" s="107">
        <v>0</v>
      </c>
      <c r="AF30" s="107">
        <v>0</v>
      </c>
      <c r="AG30" s="107">
        <v>0</v>
      </c>
      <c r="AH30" s="107">
        <v>0</v>
      </c>
      <c r="AI30" s="107">
        <v>0</v>
      </c>
      <c r="AJ30" s="107">
        <v>0</v>
      </c>
      <c r="AK30" s="107">
        <v>0</v>
      </c>
      <c r="AL30" s="107">
        <v>0</v>
      </c>
      <c r="AM30" s="107">
        <v>0</v>
      </c>
      <c r="AN30" s="107">
        <v>0</v>
      </c>
      <c r="AO30" s="107">
        <v>0</v>
      </c>
      <c r="AP30" s="107">
        <v>0</v>
      </c>
      <c r="AQ30" s="107">
        <v>0</v>
      </c>
      <c r="AR30" s="107">
        <v>0</v>
      </c>
      <c r="AS30" s="107">
        <v>0</v>
      </c>
      <c r="AT30" s="107">
        <v>0</v>
      </c>
      <c r="AU30" s="107">
        <v>0</v>
      </c>
      <c r="AV30" s="107">
        <v>0</v>
      </c>
      <c r="AW30" s="107">
        <v>0</v>
      </c>
      <c r="AX30" s="107">
        <v>0</v>
      </c>
      <c r="AY30" s="107">
        <v>0</v>
      </c>
      <c r="AZ30" s="107">
        <v>0</v>
      </c>
      <c r="BA30" s="107">
        <v>0</v>
      </c>
      <c r="BB30" s="107">
        <v>0</v>
      </c>
      <c r="BC30" s="107">
        <v>0</v>
      </c>
      <c r="BD30" s="107">
        <v>0</v>
      </c>
      <c r="BE30" s="107">
        <v>0</v>
      </c>
      <c r="BF30" s="107">
        <v>0</v>
      </c>
      <c r="BG30" s="107">
        <v>0</v>
      </c>
      <c r="BH30" s="107">
        <v>0</v>
      </c>
      <c r="BI30" s="107">
        <v>0</v>
      </c>
      <c r="BJ30" s="107">
        <v>0</v>
      </c>
      <c r="BK30" s="107">
        <v>0</v>
      </c>
      <c r="BL30" s="107">
        <v>0</v>
      </c>
      <c r="BM30" s="107">
        <v>0</v>
      </c>
      <c r="BN30" s="107">
        <v>0</v>
      </c>
      <c r="BO30" s="107">
        <v>0</v>
      </c>
      <c r="BP30" s="107">
        <v>0</v>
      </c>
      <c r="BQ30" s="107">
        <v>0</v>
      </c>
      <c r="BR30" s="107">
        <v>0</v>
      </c>
      <c r="BS30" s="107">
        <v>0</v>
      </c>
      <c r="BT30" s="107">
        <v>0</v>
      </c>
      <c r="BU30" s="107">
        <v>0</v>
      </c>
      <c r="BV30" s="107">
        <v>0</v>
      </c>
      <c r="BW30" s="107">
        <v>0</v>
      </c>
      <c r="BX30" s="107">
        <v>0</v>
      </c>
      <c r="BY30" s="107">
        <v>0</v>
      </c>
      <c r="BZ30" s="107">
        <v>0</v>
      </c>
      <c r="CA30" s="107">
        <v>0</v>
      </c>
      <c r="CB30" s="107">
        <v>0</v>
      </c>
      <c r="CC30" s="107">
        <v>0</v>
      </c>
    </row>
    <row r="31" spans="1:81" customFormat="1" x14ac:dyDescent="0.15">
      <c r="A31" s="178" t="s">
        <v>220</v>
      </c>
      <c r="B31" s="107">
        <v>0</v>
      </c>
      <c r="C31" s="107">
        <v>0</v>
      </c>
      <c r="D31" s="107">
        <v>0</v>
      </c>
      <c r="E31" s="107">
        <v>0</v>
      </c>
      <c r="F31" s="107">
        <v>0</v>
      </c>
      <c r="G31" s="107">
        <v>0</v>
      </c>
      <c r="H31" s="107">
        <v>0</v>
      </c>
      <c r="I31" s="107">
        <v>0.8</v>
      </c>
      <c r="J31" s="107">
        <v>0</v>
      </c>
      <c r="K31" s="107">
        <v>0</v>
      </c>
      <c r="L31" s="107">
        <v>0</v>
      </c>
      <c r="M31" s="107">
        <v>0</v>
      </c>
      <c r="N31" s="107">
        <v>0</v>
      </c>
      <c r="O31" s="107">
        <v>0</v>
      </c>
      <c r="P31" s="107">
        <v>0</v>
      </c>
      <c r="Q31" s="107">
        <v>0</v>
      </c>
      <c r="R31" s="107">
        <v>0</v>
      </c>
      <c r="S31" s="107">
        <v>0</v>
      </c>
      <c r="T31" s="107">
        <v>0</v>
      </c>
      <c r="U31" s="107">
        <v>0</v>
      </c>
      <c r="V31" s="107">
        <v>0</v>
      </c>
      <c r="W31" s="107">
        <v>0</v>
      </c>
      <c r="X31" s="107">
        <v>0</v>
      </c>
      <c r="Y31" s="107">
        <v>0</v>
      </c>
      <c r="Z31" s="107">
        <v>0</v>
      </c>
      <c r="AA31" s="107">
        <v>0</v>
      </c>
      <c r="AB31" s="107">
        <v>0</v>
      </c>
      <c r="AC31" s="107">
        <v>0</v>
      </c>
      <c r="AD31" s="107">
        <v>0.8</v>
      </c>
      <c r="AE31" s="107">
        <v>0</v>
      </c>
      <c r="AF31" s="107">
        <v>0</v>
      </c>
      <c r="AG31" s="107">
        <v>0</v>
      </c>
      <c r="AH31" s="107">
        <v>0</v>
      </c>
      <c r="AI31" s="107">
        <v>0</v>
      </c>
      <c r="AJ31" s="107">
        <v>0</v>
      </c>
      <c r="AK31" s="107">
        <v>0</v>
      </c>
      <c r="AL31" s="107">
        <v>0</v>
      </c>
      <c r="AM31" s="107">
        <v>0</v>
      </c>
      <c r="AN31" s="107">
        <v>0</v>
      </c>
      <c r="AO31" s="107">
        <v>0</v>
      </c>
      <c r="AP31" s="107">
        <v>0</v>
      </c>
      <c r="AQ31" s="107">
        <v>0</v>
      </c>
      <c r="AR31" s="107">
        <v>0</v>
      </c>
      <c r="AS31" s="107">
        <v>0</v>
      </c>
      <c r="AT31" s="107">
        <v>0</v>
      </c>
      <c r="AU31" s="107">
        <v>0</v>
      </c>
      <c r="AV31" s="107">
        <v>0</v>
      </c>
      <c r="AW31" s="107">
        <v>0</v>
      </c>
      <c r="AX31" s="107">
        <v>0</v>
      </c>
      <c r="AY31" s="107">
        <v>0</v>
      </c>
      <c r="AZ31" s="107">
        <v>0</v>
      </c>
      <c r="BA31" s="107">
        <v>0</v>
      </c>
      <c r="BB31" s="107">
        <v>0</v>
      </c>
      <c r="BC31" s="107">
        <v>0</v>
      </c>
      <c r="BD31" s="107">
        <v>0</v>
      </c>
      <c r="BE31" s="107">
        <v>0</v>
      </c>
      <c r="BF31" s="107">
        <v>0</v>
      </c>
      <c r="BG31" s="107">
        <v>0</v>
      </c>
      <c r="BH31" s="107">
        <v>0</v>
      </c>
      <c r="BI31" s="107">
        <v>0</v>
      </c>
      <c r="BJ31" s="107">
        <v>0</v>
      </c>
      <c r="BK31" s="107">
        <v>0</v>
      </c>
      <c r="BL31" s="107">
        <v>0</v>
      </c>
      <c r="BM31" s="107">
        <v>0</v>
      </c>
      <c r="BN31" s="107">
        <v>0</v>
      </c>
      <c r="BO31" s="107">
        <v>0</v>
      </c>
      <c r="BP31" s="107">
        <v>0</v>
      </c>
      <c r="BQ31" s="107">
        <v>0</v>
      </c>
      <c r="BR31" s="107">
        <v>0</v>
      </c>
      <c r="BS31" s="107">
        <v>0</v>
      </c>
      <c r="BT31" s="107">
        <v>0</v>
      </c>
      <c r="BU31" s="107">
        <v>0</v>
      </c>
      <c r="BV31" s="107">
        <v>0</v>
      </c>
      <c r="BW31" s="107">
        <v>0</v>
      </c>
      <c r="BX31" s="107">
        <v>0</v>
      </c>
      <c r="BY31" s="107">
        <v>0</v>
      </c>
      <c r="BZ31" s="107">
        <v>0</v>
      </c>
      <c r="CA31" s="107">
        <v>0</v>
      </c>
      <c r="CB31" s="107">
        <v>0</v>
      </c>
      <c r="CC31" s="107">
        <v>0</v>
      </c>
    </row>
    <row r="32" spans="1:81" customFormat="1" x14ac:dyDescent="0.15">
      <c r="A32" s="178" t="s">
        <v>221</v>
      </c>
      <c r="B32" s="107">
        <v>0</v>
      </c>
      <c r="C32" s="107">
        <v>0</v>
      </c>
      <c r="D32" s="107">
        <v>0</v>
      </c>
      <c r="E32" s="107">
        <v>0</v>
      </c>
      <c r="F32" s="107">
        <v>0</v>
      </c>
      <c r="G32" s="107">
        <v>0</v>
      </c>
      <c r="H32" s="107">
        <v>0</v>
      </c>
      <c r="I32" s="107">
        <v>0.8</v>
      </c>
      <c r="J32" s="107">
        <v>0</v>
      </c>
      <c r="K32" s="107">
        <v>0</v>
      </c>
      <c r="L32" s="107">
        <v>0</v>
      </c>
      <c r="M32" s="107">
        <v>0</v>
      </c>
      <c r="N32" s="107">
        <v>0</v>
      </c>
      <c r="O32" s="107">
        <v>0</v>
      </c>
      <c r="P32" s="107">
        <v>0</v>
      </c>
      <c r="Q32" s="107">
        <v>0</v>
      </c>
      <c r="R32" s="107">
        <v>0</v>
      </c>
      <c r="S32" s="107">
        <v>0</v>
      </c>
      <c r="T32" s="107">
        <v>0.8</v>
      </c>
      <c r="U32" s="107">
        <v>0</v>
      </c>
      <c r="V32" s="107">
        <v>0</v>
      </c>
      <c r="W32" s="107">
        <v>0</v>
      </c>
      <c r="X32" s="107">
        <v>0</v>
      </c>
      <c r="Y32" s="107">
        <v>0</v>
      </c>
      <c r="Z32" s="107">
        <v>0</v>
      </c>
      <c r="AA32" s="107">
        <v>0</v>
      </c>
      <c r="AB32" s="107">
        <v>0</v>
      </c>
      <c r="AC32" s="107">
        <v>0</v>
      </c>
      <c r="AD32" s="107">
        <v>0</v>
      </c>
      <c r="AE32" s="107">
        <v>0</v>
      </c>
      <c r="AF32" s="107">
        <v>0</v>
      </c>
      <c r="AG32" s="107">
        <v>0</v>
      </c>
      <c r="AH32" s="107">
        <v>0</v>
      </c>
      <c r="AI32" s="107">
        <v>0</v>
      </c>
      <c r="AJ32" s="107">
        <v>0</v>
      </c>
      <c r="AK32" s="107">
        <v>0</v>
      </c>
      <c r="AL32" s="107">
        <v>0</v>
      </c>
      <c r="AM32" s="107">
        <v>0</v>
      </c>
      <c r="AN32" s="107">
        <v>0</v>
      </c>
      <c r="AO32" s="107">
        <v>0</v>
      </c>
      <c r="AP32" s="107">
        <v>0</v>
      </c>
      <c r="AQ32" s="107">
        <v>0</v>
      </c>
      <c r="AR32" s="107">
        <v>0</v>
      </c>
      <c r="AS32" s="107">
        <v>0</v>
      </c>
      <c r="AT32" s="107">
        <v>0</v>
      </c>
      <c r="AU32" s="107">
        <v>0</v>
      </c>
      <c r="AV32" s="107">
        <v>0</v>
      </c>
      <c r="AW32" s="107">
        <v>0</v>
      </c>
      <c r="AX32" s="107">
        <v>0</v>
      </c>
      <c r="AY32" s="107">
        <v>0</v>
      </c>
      <c r="AZ32" s="107">
        <v>0</v>
      </c>
      <c r="BA32" s="107">
        <v>0</v>
      </c>
      <c r="BB32" s="107">
        <v>0</v>
      </c>
      <c r="BC32" s="107">
        <v>0</v>
      </c>
      <c r="BD32" s="107">
        <v>0</v>
      </c>
      <c r="BE32" s="107">
        <v>0</v>
      </c>
      <c r="BF32" s="107">
        <v>0</v>
      </c>
      <c r="BG32" s="107">
        <v>0</v>
      </c>
      <c r="BH32" s="107">
        <v>0</v>
      </c>
      <c r="BI32" s="107">
        <v>0</v>
      </c>
      <c r="BJ32" s="107">
        <v>0</v>
      </c>
      <c r="BK32" s="107">
        <v>0</v>
      </c>
      <c r="BL32" s="107">
        <v>0</v>
      </c>
      <c r="BM32" s="107">
        <v>0</v>
      </c>
      <c r="BN32" s="107">
        <v>0</v>
      </c>
      <c r="BO32" s="107">
        <v>0</v>
      </c>
      <c r="BP32" s="107">
        <v>0</v>
      </c>
      <c r="BQ32" s="107">
        <v>0</v>
      </c>
      <c r="BR32" s="107">
        <v>0</v>
      </c>
      <c r="BS32" s="107">
        <v>0</v>
      </c>
      <c r="BT32" s="107">
        <v>0</v>
      </c>
      <c r="BU32" s="107">
        <v>0</v>
      </c>
      <c r="BV32" s="107">
        <v>0</v>
      </c>
      <c r="BW32" s="107">
        <v>0</v>
      </c>
      <c r="BX32" s="107">
        <v>0</v>
      </c>
      <c r="BY32" s="107">
        <v>0</v>
      </c>
      <c r="BZ32" s="107">
        <v>0</v>
      </c>
      <c r="CA32" s="107">
        <v>0</v>
      </c>
      <c r="CB32" s="107">
        <v>0</v>
      </c>
      <c r="CC32" s="107">
        <v>0</v>
      </c>
    </row>
    <row r="33" spans="1:81" x14ac:dyDescent="0.15">
      <c r="A33" s="178" t="s">
        <v>222</v>
      </c>
      <c r="B33" s="107">
        <v>0</v>
      </c>
      <c r="C33" s="107">
        <v>0</v>
      </c>
      <c r="D33" s="107">
        <v>0</v>
      </c>
      <c r="E33" s="107">
        <v>0</v>
      </c>
      <c r="F33" s="107">
        <v>0</v>
      </c>
      <c r="G33" s="107">
        <v>0</v>
      </c>
      <c r="H33" s="107">
        <v>0</v>
      </c>
      <c r="I33" s="107">
        <v>0.8</v>
      </c>
      <c r="J33" s="107">
        <v>0</v>
      </c>
      <c r="K33" s="107">
        <v>0</v>
      </c>
      <c r="L33" s="107">
        <v>0</v>
      </c>
      <c r="M33" s="107">
        <v>0</v>
      </c>
      <c r="N33" s="107">
        <v>0</v>
      </c>
      <c r="O33" s="107">
        <v>0</v>
      </c>
      <c r="P33" s="107">
        <v>0</v>
      </c>
      <c r="Q33" s="107">
        <v>0</v>
      </c>
      <c r="R33" s="107">
        <v>0</v>
      </c>
      <c r="S33" s="107">
        <v>0</v>
      </c>
      <c r="T33" s="107">
        <v>0</v>
      </c>
      <c r="U33" s="107">
        <v>0</v>
      </c>
      <c r="V33" s="107">
        <v>0</v>
      </c>
      <c r="W33" s="107">
        <v>0</v>
      </c>
      <c r="X33" s="107">
        <v>0</v>
      </c>
      <c r="Y33" s="107">
        <v>0</v>
      </c>
      <c r="Z33" s="107">
        <v>0</v>
      </c>
      <c r="AA33" s="107">
        <v>0</v>
      </c>
      <c r="AB33" s="107">
        <v>0</v>
      </c>
      <c r="AC33" s="107">
        <v>0</v>
      </c>
      <c r="AD33" s="107">
        <v>0</v>
      </c>
      <c r="AE33" s="107">
        <v>0</v>
      </c>
      <c r="AF33" s="107">
        <v>0</v>
      </c>
      <c r="AG33" s="107">
        <v>0</v>
      </c>
      <c r="AH33" s="107">
        <v>0</v>
      </c>
      <c r="AI33" s="107">
        <v>0</v>
      </c>
      <c r="AJ33" s="107">
        <v>0</v>
      </c>
      <c r="AK33" s="107">
        <v>0</v>
      </c>
      <c r="AL33" s="107">
        <v>0</v>
      </c>
      <c r="AM33" s="107">
        <v>0</v>
      </c>
      <c r="AN33" s="107">
        <v>0</v>
      </c>
      <c r="AO33" s="107">
        <v>0</v>
      </c>
      <c r="AP33" s="107">
        <v>0</v>
      </c>
      <c r="AQ33" s="107">
        <v>0</v>
      </c>
      <c r="AR33" s="107">
        <v>0</v>
      </c>
      <c r="AS33" s="107">
        <v>0</v>
      </c>
      <c r="AT33" s="107">
        <v>0</v>
      </c>
      <c r="AU33" s="107">
        <v>0</v>
      </c>
      <c r="AV33" s="107">
        <v>0</v>
      </c>
      <c r="AW33" s="107">
        <v>0</v>
      </c>
      <c r="AX33" s="107">
        <v>0</v>
      </c>
      <c r="AY33" s="107">
        <v>0</v>
      </c>
      <c r="AZ33" s="107">
        <v>0</v>
      </c>
      <c r="BA33" s="107">
        <v>0</v>
      </c>
      <c r="BB33" s="107">
        <v>0</v>
      </c>
      <c r="BC33" s="107">
        <v>0</v>
      </c>
      <c r="BD33" s="107">
        <v>0</v>
      </c>
      <c r="BE33" s="107">
        <v>0</v>
      </c>
      <c r="BF33" s="107">
        <v>0</v>
      </c>
      <c r="BG33" s="107">
        <v>0</v>
      </c>
      <c r="BH33" s="107">
        <v>0</v>
      </c>
      <c r="BI33" s="107">
        <v>0</v>
      </c>
      <c r="BJ33" s="107">
        <v>0</v>
      </c>
      <c r="BK33" s="107">
        <v>0</v>
      </c>
      <c r="BL33" s="107">
        <v>0</v>
      </c>
      <c r="BM33" s="107">
        <v>0</v>
      </c>
      <c r="BN33" s="107">
        <v>0</v>
      </c>
      <c r="BO33" s="107">
        <v>0</v>
      </c>
      <c r="BP33" s="107">
        <v>0</v>
      </c>
      <c r="BQ33" s="107">
        <v>0</v>
      </c>
      <c r="BR33" s="107">
        <v>0</v>
      </c>
      <c r="BS33" s="107">
        <v>0</v>
      </c>
      <c r="BT33" s="107">
        <v>0</v>
      </c>
      <c r="BU33" s="107">
        <v>0</v>
      </c>
      <c r="BV33" s="107">
        <v>0</v>
      </c>
      <c r="BW33" s="107">
        <v>0</v>
      </c>
      <c r="BX33" s="107">
        <v>0</v>
      </c>
      <c r="BY33" s="107">
        <v>0</v>
      </c>
      <c r="BZ33" s="107">
        <v>0</v>
      </c>
      <c r="CA33" s="107">
        <v>0</v>
      </c>
      <c r="CB33" s="107">
        <v>0</v>
      </c>
      <c r="CC33" s="107">
        <v>0</v>
      </c>
    </row>
    <row r="34" spans="1:81" x14ac:dyDescent="0.15">
      <c r="A34" s="178" t="s">
        <v>223</v>
      </c>
      <c r="B34" s="107">
        <v>0</v>
      </c>
      <c r="C34" s="107">
        <v>0</v>
      </c>
      <c r="D34" s="107">
        <v>0</v>
      </c>
      <c r="E34" s="107">
        <v>0</v>
      </c>
      <c r="F34" s="107">
        <v>0</v>
      </c>
      <c r="G34" s="107">
        <v>0.8</v>
      </c>
      <c r="H34" s="107">
        <v>0</v>
      </c>
      <c r="I34" s="107">
        <v>0</v>
      </c>
      <c r="J34" s="107">
        <v>0</v>
      </c>
      <c r="K34" s="107">
        <v>0</v>
      </c>
      <c r="L34" s="107">
        <v>0</v>
      </c>
      <c r="M34" s="107">
        <v>0</v>
      </c>
      <c r="N34" s="107">
        <v>0</v>
      </c>
      <c r="O34" s="107">
        <v>0</v>
      </c>
      <c r="P34" s="107">
        <v>0</v>
      </c>
      <c r="Q34" s="107">
        <v>0</v>
      </c>
      <c r="R34" s="107">
        <v>0</v>
      </c>
      <c r="S34" s="107">
        <v>0</v>
      </c>
      <c r="T34" s="107">
        <v>0</v>
      </c>
      <c r="U34" s="107">
        <v>0</v>
      </c>
      <c r="V34" s="107">
        <v>0</v>
      </c>
      <c r="W34" s="107">
        <v>0</v>
      </c>
      <c r="X34" s="107">
        <v>0</v>
      </c>
      <c r="Y34" s="107">
        <v>0</v>
      </c>
      <c r="Z34" s="107">
        <v>0</v>
      </c>
      <c r="AA34" s="107">
        <v>0</v>
      </c>
      <c r="AB34" s="107">
        <v>0</v>
      </c>
      <c r="AC34" s="107">
        <v>0</v>
      </c>
      <c r="AD34" s="107">
        <v>0</v>
      </c>
      <c r="AE34" s="107">
        <v>0</v>
      </c>
      <c r="AF34" s="107">
        <v>0</v>
      </c>
      <c r="AG34" s="107">
        <v>0</v>
      </c>
      <c r="AH34" s="107">
        <v>0</v>
      </c>
      <c r="AI34" s="107">
        <v>0</v>
      </c>
      <c r="AJ34" s="107">
        <v>0</v>
      </c>
      <c r="AK34" s="107">
        <v>0</v>
      </c>
      <c r="AL34" s="107">
        <v>0</v>
      </c>
      <c r="AM34" s="107">
        <v>0</v>
      </c>
      <c r="AN34" s="107">
        <v>0</v>
      </c>
      <c r="AO34" s="107">
        <v>0</v>
      </c>
      <c r="AP34" s="107">
        <v>0</v>
      </c>
      <c r="AQ34" s="107">
        <v>0</v>
      </c>
      <c r="AR34" s="107">
        <v>0</v>
      </c>
      <c r="AS34" s="107">
        <v>0</v>
      </c>
      <c r="AT34" s="107">
        <v>0</v>
      </c>
      <c r="AU34" s="107">
        <v>0</v>
      </c>
      <c r="AV34" s="107">
        <v>0</v>
      </c>
      <c r="AW34" s="107">
        <v>0</v>
      </c>
      <c r="AX34" s="107">
        <v>0</v>
      </c>
      <c r="AY34" s="107">
        <v>0</v>
      </c>
      <c r="AZ34" s="107">
        <v>0</v>
      </c>
      <c r="BA34" s="107">
        <v>0</v>
      </c>
      <c r="BB34" s="107">
        <v>0</v>
      </c>
      <c r="BC34" s="107">
        <v>0</v>
      </c>
      <c r="BD34" s="107">
        <v>0</v>
      </c>
      <c r="BE34" s="107">
        <v>0</v>
      </c>
      <c r="BF34" s="107">
        <v>0</v>
      </c>
      <c r="BG34" s="107">
        <v>0</v>
      </c>
      <c r="BH34" s="107">
        <v>0</v>
      </c>
      <c r="BI34" s="107">
        <v>0</v>
      </c>
      <c r="BJ34" s="107">
        <v>0</v>
      </c>
      <c r="BK34" s="107">
        <v>0</v>
      </c>
      <c r="BL34" s="107">
        <v>0</v>
      </c>
      <c r="BM34" s="107">
        <v>0</v>
      </c>
      <c r="BN34" s="107">
        <v>0</v>
      </c>
      <c r="BO34" s="107">
        <v>0</v>
      </c>
      <c r="BP34" s="107">
        <v>0</v>
      </c>
      <c r="BQ34" s="107">
        <v>0</v>
      </c>
      <c r="BR34" s="107">
        <v>0</v>
      </c>
      <c r="BS34" s="107">
        <v>0</v>
      </c>
      <c r="BT34" s="107">
        <v>0</v>
      </c>
      <c r="BU34" s="107">
        <v>0</v>
      </c>
      <c r="BV34" s="107">
        <v>0</v>
      </c>
      <c r="BW34" s="107">
        <v>0</v>
      </c>
      <c r="BX34" s="107">
        <v>0</v>
      </c>
      <c r="BY34" s="107">
        <v>0</v>
      </c>
      <c r="BZ34" s="107">
        <v>0</v>
      </c>
      <c r="CA34" s="107">
        <v>0</v>
      </c>
      <c r="CB34" s="107">
        <v>0</v>
      </c>
      <c r="CC34" s="107">
        <v>0</v>
      </c>
    </row>
    <row r="35" spans="1:81" x14ac:dyDescent="0.15">
      <c r="A35" s="178" t="s">
        <v>224</v>
      </c>
      <c r="B35" s="107">
        <v>0.8</v>
      </c>
      <c r="C35" s="107">
        <v>0</v>
      </c>
      <c r="D35" s="107">
        <v>0</v>
      </c>
      <c r="E35" s="107">
        <v>0</v>
      </c>
      <c r="F35" s="107">
        <v>0</v>
      </c>
      <c r="G35" s="107">
        <v>0</v>
      </c>
      <c r="H35" s="107">
        <v>0</v>
      </c>
      <c r="I35" s="107">
        <v>0</v>
      </c>
      <c r="J35" s="107">
        <v>0</v>
      </c>
      <c r="K35" s="107">
        <v>0</v>
      </c>
      <c r="L35" s="107">
        <v>0</v>
      </c>
      <c r="M35" s="107">
        <v>0</v>
      </c>
      <c r="N35" s="107">
        <v>0</v>
      </c>
      <c r="O35" s="107">
        <v>0</v>
      </c>
      <c r="P35" s="107">
        <v>0</v>
      </c>
      <c r="Q35" s="107">
        <v>0</v>
      </c>
      <c r="R35" s="107">
        <v>0</v>
      </c>
      <c r="S35" s="107">
        <v>0</v>
      </c>
      <c r="T35" s="107">
        <v>0</v>
      </c>
      <c r="U35" s="107">
        <v>0</v>
      </c>
      <c r="V35" s="107">
        <v>0</v>
      </c>
      <c r="W35" s="107">
        <v>0</v>
      </c>
      <c r="X35" s="107">
        <v>0</v>
      </c>
      <c r="Y35" s="107">
        <v>0</v>
      </c>
      <c r="Z35" s="107">
        <v>0</v>
      </c>
      <c r="AA35" s="107">
        <v>0</v>
      </c>
      <c r="AB35" s="107">
        <v>0</v>
      </c>
      <c r="AC35" s="107">
        <v>0</v>
      </c>
      <c r="AD35" s="107">
        <v>0</v>
      </c>
      <c r="AE35" s="107">
        <v>0</v>
      </c>
      <c r="AF35" s="107">
        <v>0</v>
      </c>
      <c r="AG35" s="107">
        <v>0</v>
      </c>
      <c r="AH35" s="107">
        <v>0</v>
      </c>
      <c r="AI35" s="107">
        <v>0</v>
      </c>
      <c r="AJ35" s="107">
        <v>0</v>
      </c>
      <c r="AK35" s="107">
        <v>0</v>
      </c>
      <c r="AL35" s="107">
        <v>0</v>
      </c>
      <c r="AM35" s="107">
        <v>0</v>
      </c>
      <c r="AN35" s="107">
        <v>0</v>
      </c>
      <c r="AO35" s="107">
        <v>0</v>
      </c>
      <c r="AP35" s="107">
        <v>0</v>
      </c>
      <c r="AQ35" s="107">
        <v>0</v>
      </c>
      <c r="AR35" s="107">
        <v>0</v>
      </c>
      <c r="AS35" s="107">
        <v>0</v>
      </c>
      <c r="AT35" s="107">
        <v>0</v>
      </c>
      <c r="AU35" s="107">
        <v>0</v>
      </c>
      <c r="AV35" s="107">
        <v>0.8</v>
      </c>
      <c r="AW35" s="107">
        <v>0</v>
      </c>
      <c r="AX35" s="107">
        <v>0</v>
      </c>
      <c r="AY35" s="107">
        <v>0</v>
      </c>
      <c r="AZ35" s="107">
        <v>0</v>
      </c>
      <c r="BA35" s="107">
        <v>0</v>
      </c>
      <c r="BB35" s="107">
        <v>0</v>
      </c>
      <c r="BC35" s="107">
        <v>0</v>
      </c>
      <c r="BD35" s="107">
        <v>0</v>
      </c>
      <c r="BE35" s="107">
        <v>0</v>
      </c>
      <c r="BF35" s="107">
        <v>0</v>
      </c>
      <c r="BG35" s="107">
        <v>0</v>
      </c>
      <c r="BH35" s="107">
        <v>0</v>
      </c>
      <c r="BI35" s="107">
        <v>0</v>
      </c>
      <c r="BJ35" s="107">
        <v>0</v>
      </c>
      <c r="BK35" s="107">
        <v>0</v>
      </c>
      <c r="BL35" s="107">
        <v>0</v>
      </c>
      <c r="BM35" s="107">
        <v>0</v>
      </c>
      <c r="BN35" s="107">
        <v>0</v>
      </c>
      <c r="BO35" s="107">
        <v>0</v>
      </c>
      <c r="BP35" s="107">
        <v>0</v>
      </c>
      <c r="BQ35" s="107">
        <v>0</v>
      </c>
      <c r="BR35" s="107">
        <v>0</v>
      </c>
      <c r="BS35" s="107">
        <v>0</v>
      </c>
      <c r="BT35" s="107">
        <v>0</v>
      </c>
      <c r="BU35" s="107">
        <v>0</v>
      </c>
      <c r="BV35" s="107">
        <v>0</v>
      </c>
      <c r="BW35" s="107">
        <v>0</v>
      </c>
      <c r="BX35" s="107">
        <v>0</v>
      </c>
      <c r="BY35" s="107">
        <v>0</v>
      </c>
      <c r="BZ35" s="107">
        <v>0</v>
      </c>
      <c r="CA35" s="107">
        <v>0</v>
      </c>
      <c r="CB35" s="107">
        <v>0</v>
      </c>
      <c r="CC35" s="107">
        <v>0</v>
      </c>
    </row>
    <row r="36" spans="1:81" x14ac:dyDescent="0.15">
      <c r="A36" s="178" t="s">
        <v>225</v>
      </c>
      <c r="B36" s="107">
        <v>0</v>
      </c>
      <c r="C36" s="107">
        <v>0</v>
      </c>
      <c r="D36" s="107">
        <v>0</v>
      </c>
      <c r="E36" s="107">
        <v>0</v>
      </c>
      <c r="F36" s="107">
        <v>0</v>
      </c>
      <c r="G36" s="107">
        <v>0</v>
      </c>
      <c r="H36" s="107">
        <v>0.8</v>
      </c>
      <c r="I36" s="107">
        <v>0</v>
      </c>
      <c r="J36" s="107">
        <v>0</v>
      </c>
      <c r="K36" s="107">
        <v>0</v>
      </c>
      <c r="L36" s="107">
        <v>0.8</v>
      </c>
      <c r="M36" s="107">
        <v>0.8</v>
      </c>
      <c r="N36" s="107">
        <v>0.8</v>
      </c>
      <c r="O36" s="107">
        <v>0</v>
      </c>
      <c r="P36" s="107">
        <v>0.8</v>
      </c>
      <c r="Q36" s="107">
        <v>0</v>
      </c>
      <c r="R36" s="107">
        <v>0</v>
      </c>
      <c r="S36" s="107">
        <v>0</v>
      </c>
      <c r="T36" s="107">
        <v>0.8</v>
      </c>
      <c r="U36" s="107">
        <v>0</v>
      </c>
      <c r="V36" s="107">
        <v>0</v>
      </c>
      <c r="W36" s="107">
        <v>0</v>
      </c>
      <c r="X36" s="107">
        <v>0</v>
      </c>
      <c r="Y36" s="107">
        <v>0.8</v>
      </c>
      <c r="Z36" s="107">
        <v>0</v>
      </c>
      <c r="AA36" s="107">
        <v>0</v>
      </c>
      <c r="AB36" s="107">
        <v>0</v>
      </c>
      <c r="AC36" s="107">
        <v>0</v>
      </c>
      <c r="AD36" s="107">
        <v>0</v>
      </c>
      <c r="AE36" s="107">
        <v>0.8</v>
      </c>
      <c r="AF36" s="107">
        <v>0</v>
      </c>
      <c r="AG36" s="107">
        <v>0</v>
      </c>
      <c r="AH36" s="107">
        <v>0</v>
      </c>
      <c r="AI36" s="107">
        <v>0</v>
      </c>
      <c r="AJ36" s="107">
        <v>0</v>
      </c>
      <c r="AK36" s="107">
        <v>0</v>
      </c>
      <c r="AL36" s="107">
        <v>0</v>
      </c>
      <c r="AM36" s="107">
        <v>0</v>
      </c>
      <c r="AN36" s="107">
        <v>0</v>
      </c>
      <c r="AO36" s="107">
        <v>0</v>
      </c>
      <c r="AP36" s="107">
        <v>0</v>
      </c>
      <c r="AQ36" s="107">
        <v>0.8</v>
      </c>
      <c r="AR36" s="107">
        <v>0</v>
      </c>
      <c r="AS36" s="107">
        <v>0.8</v>
      </c>
      <c r="AT36" s="107">
        <v>0.8</v>
      </c>
      <c r="AU36" s="107">
        <v>0</v>
      </c>
      <c r="AV36" s="107">
        <v>0</v>
      </c>
      <c r="AW36" s="107">
        <v>0</v>
      </c>
      <c r="AX36" s="107">
        <v>0</v>
      </c>
      <c r="AY36" s="107">
        <v>0.8</v>
      </c>
      <c r="AZ36" s="107">
        <v>0.8</v>
      </c>
      <c r="BA36" s="107">
        <v>0.8</v>
      </c>
      <c r="BB36" s="107">
        <v>0.8</v>
      </c>
      <c r="BC36" s="107">
        <v>0.8</v>
      </c>
      <c r="BD36" s="107">
        <v>0</v>
      </c>
      <c r="BE36" s="107">
        <v>0.8</v>
      </c>
      <c r="BF36" s="107">
        <v>0</v>
      </c>
      <c r="BG36" s="107">
        <v>0</v>
      </c>
      <c r="BH36" s="107">
        <v>0</v>
      </c>
      <c r="BI36" s="107">
        <v>0</v>
      </c>
      <c r="BJ36" s="107">
        <v>0</v>
      </c>
      <c r="BK36" s="107">
        <v>0</v>
      </c>
      <c r="BL36" s="107">
        <v>0</v>
      </c>
      <c r="BM36" s="107">
        <v>0</v>
      </c>
      <c r="BN36" s="107">
        <v>0</v>
      </c>
      <c r="BO36" s="107">
        <v>0</v>
      </c>
      <c r="BP36" s="107">
        <v>0</v>
      </c>
      <c r="BQ36" s="107">
        <v>0</v>
      </c>
      <c r="BR36" s="107">
        <v>0</v>
      </c>
      <c r="BS36" s="107">
        <v>0</v>
      </c>
      <c r="BT36" s="107">
        <v>0</v>
      </c>
      <c r="BU36" s="107">
        <v>0</v>
      </c>
      <c r="BV36" s="107">
        <v>0</v>
      </c>
      <c r="BW36" s="107">
        <v>0</v>
      </c>
      <c r="BX36" s="107">
        <v>0</v>
      </c>
      <c r="BY36" s="107">
        <v>0</v>
      </c>
      <c r="BZ36" s="107">
        <v>0</v>
      </c>
      <c r="CA36" s="107">
        <v>0</v>
      </c>
      <c r="CB36" s="107">
        <v>0</v>
      </c>
      <c r="CC36" s="107">
        <v>0</v>
      </c>
    </row>
    <row r="37" spans="1:81" x14ac:dyDescent="0.15">
      <c r="A37" s="178" t="s">
        <v>226</v>
      </c>
      <c r="B37" s="107">
        <v>0</v>
      </c>
      <c r="C37" s="107">
        <v>0</v>
      </c>
      <c r="D37" s="107">
        <v>0</v>
      </c>
      <c r="E37" s="107">
        <v>0</v>
      </c>
      <c r="F37" s="107">
        <v>0</v>
      </c>
      <c r="G37" s="107">
        <v>0</v>
      </c>
      <c r="H37" s="107">
        <v>0</v>
      </c>
      <c r="I37" s="107">
        <v>0</v>
      </c>
      <c r="J37" s="107">
        <v>0</v>
      </c>
      <c r="K37" s="107">
        <v>0.8</v>
      </c>
      <c r="L37" s="107">
        <v>0</v>
      </c>
      <c r="M37" s="107">
        <v>0</v>
      </c>
      <c r="N37" s="107">
        <v>0</v>
      </c>
      <c r="O37" s="107">
        <v>0</v>
      </c>
      <c r="P37" s="107">
        <v>0.8</v>
      </c>
      <c r="Q37" s="107">
        <v>0.8</v>
      </c>
      <c r="R37" s="107">
        <v>0</v>
      </c>
      <c r="S37" s="107">
        <v>0</v>
      </c>
      <c r="T37" s="107">
        <v>0.8</v>
      </c>
      <c r="U37" s="107">
        <v>0</v>
      </c>
      <c r="V37" s="107">
        <v>0</v>
      </c>
      <c r="W37" s="107">
        <v>0</v>
      </c>
      <c r="X37" s="107">
        <v>0</v>
      </c>
      <c r="Y37" s="107">
        <v>0.8</v>
      </c>
      <c r="Z37" s="107">
        <v>0</v>
      </c>
      <c r="AA37" s="107">
        <v>0</v>
      </c>
      <c r="AB37" s="107">
        <v>0</v>
      </c>
      <c r="AC37" s="107">
        <v>0</v>
      </c>
      <c r="AD37" s="107">
        <v>0</v>
      </c>
      <c r="AE37" s="107">
        <v>0</v>
      </c>
      <c r="AF37" s="107">
        <v>0.8</v>
      </c>
      <c r="AG37" s="107">
        <v>0</v>
      </c>
      <c r="AH37" s="107">
        <v>0</v>
      </c>
      <c r="AI37" s="107">
        <v>0</v>
      </c>
      <c r="AJ37" s="107">
        <v>0</v>
      </c>
      <c r="AK37" s="107">
        <v>0</v>
      </c>
      <c r="AL37" s="107">
        <v>0</v>
      </c>
      <c r="AM37" s="107">
        <v>0</v>
      </c>
      <c r="AN37" s="107">
        <v>0</v>
      </c>
      <c r="AO37" s="107">
        <v>0</v>
      </c>
      <c r="AP37" s="107">
        <v>0</v>
      </c>
      <c r="AQ37" s="107">
        <v>0</v>
      </c>
      <c r="AR37" s="107">
        <v>0</v>
      </c>
      <c r="AS37" s="107">
        <v>0</v>
      </c>
      <c r="AT37" s="107">
        <v>0</v>
      </c>
      <c r="AU37" s="107">
        <v>0</v>
      </c>
      <c r="AV37" s="107">
        <v>0</v>
      </c>
      <c r="AW37" s="107">
        <v>0</v>
      </c>
      <c r="AX37" s="107">
        <v>0</v>
      </c>
      <c r="AY37" s="107">
        <v>0</v>
      </c>
      <c r="AZ37" s="107">
        <v>0.8</v>
      </c>
      <c r="BA37" s="107">
        <v>0</v>
      </c>
      <c r="BB37" s="107">
        <v>0.8</v>
      </c>
      <c r="BC37" s="107">
        <v>0</v>
      </c>
      <c r="BD37" s="107">
        <v>0</v>
      </c>
      <c r="BE37" s="107">
        <v>0</v>
      </c>
      <c r="BF37" s="107">
        <v>0</v>
      </c>
      <c r="BG37" s="107">
        <v>0</v>
      </c>
      <c r="BH37" s="107">
        <v>0</v>
      </c>
      <c r="BI37" s="107">
        <v>0</v>
      </c>
      <c r="BJ37" s="107">
        <v>0</v>
      </c>
      <c r="BK37" s="107">
        <v>0</v>
      </c>
      <c r="BL37" s="107">
        <v>0</v>
      </c>
      <c r="BM37" s="107">
        <v>0</v>
      </c>
      <c r="BN37" s="107">
        <v>0</v>
      </c>
      <c r="BO37" s="107">
        <v>0</v>
      </c>
      <c r="BP37" s="107">
        <v>0</v>
      </c>
      <c r="BQ37" s="107">
        <v>0</v>
      </c>
      <c r="BR37" s="107">
        <v>0</v>
      </c>
      <c r="BS37" s="107">
        <v>0</v>
      </c>
      <c r="BT37" s="107">
        <v>0</v>
      </c>
      <c r="BU37" s="107">
        <v>0</v>
      </c>
      <c r="BV37" s="107">
        <v>0</v>
      </c>
      <c r="BW37" s="107">
        <v>0</v>
      </c>
      <c r="BX37" s="107">
        <v>0</v>
      </c>
      <c r="BY37" s="107">
        <v>0</v>
      </c>
      <c r="BZ37" s="107">
        <v>0</v>
      </c>
      <c r="CA37" s="107">
        <v>0</v>
      </c>
      <c r="CB37" s="107">
        <v>0</v>
      </c>
      <c r="CC37" s="107">
        <v>0</v>
      </c>
    </row>
    <row r="38" spans="1:81" x14ac:dyDescent="0.15">
      <c r="A38" s="178" t="s">
        <v>227</v>
      </c>
      <c r="B38" s="107">
        <v>0</v>
      </c>
      <c r="C38" s="107">
        <v>0</v>
      </c>
      <c r="D38" s="107">
        <v>0</v>
      </c>
      <c r="E38" s="107">
        <v>0</v>
      </c>
      <c r="F38" s="107">
        <v>0</v>
      </c>
      <c r="G38" s="107">
        <v>0</v>
      </c>
      <c r="H38" s="107">
        <v>0</v>
      </c>
      <c r="I38" s="107">
        <v>0</v>
      </c>
      <c r="J38" s="107">
        <v>0</v>
      </c>
      <c r="K38" s="107">
        <v>0</v>
      </c>
      <c r="L38" s="107">
        <v>0.8</v>
      </c>
      <c r="M38" s="107">
        <v>0.8</v>
      </c>
      <c r="N38" s="107">
        <v>0</v>
      </c>
      <c r="O38" s="107">
        <v>0</v>
      </c>
      <c r="P38" s="107">
        <v>0.8</v>
      </c>
      <c r="Q38" s="107">
        <v>0</v>
      </c>
      <c r="R38" s="107">
        <v>0.8</v>
      </c>
      <c r="S38" s="107">
        <v>0</v>
      </c>
      <c r="T38" s="107">
        <v>0.8</v>
      </c>
      <c r="U38" s="107">
        <v>0</v>
      </c>
      <c r="V38" s="107">
        <v>0</v>
      </c>
      <c r="W38" s="107">
        <v>0</v>
      </c>
      <c r="X38" s="107">
        <v>0</v>
      </c>
      <c r="Y38" s="107">
        <v>0</v>
      </c>
      <c r="Z38" s="107">
        <v>0.8</v>
      </c>
      <c r="AA38" s="107">
        <v>0.8</v>
      </c>
      <c r="AB38" s="107">
        <v>0</v>
      </c>
      <c r="AC38" s="107">
        <v>0.8</v>
      </c>
      <c r="AD38" s="107">
        <v>0.8</v>
      </c>
      <c r="AE38" s="107">
        <v>0.8</v>
      </c>
      <c r="AF38" s="107">
        <v>0</v>
      </c>
      <c r="AG38" s="107">
        <v>0</v>
      </c>
      <c r="AH38" s="107">
        <v>0.8</v>
      </c>
      <c r="AI38" s="107">
        <v>0</v>
      </c>
      <c r="AJ38" s="107">
        <v>0</v>
      </c>
      <c r="AK38" s="107">
        <v>0</v>
      </c>
      <c r="AL38" s="107">
        <v>0</v>
      </c>
      <c r="AM38" s="107">
        <v>0</v>
      </c>
      <c r="AN38" s="107">
        <v>0</v>
      </c>
      <c r="AO38" s="107">
        <v>0.8</v>
      </c>
      <c r="AP38" s="107">
        <v>0.8</v>
      </c>
      <c r="AQ38" s="107">
        <v>0.8</v>
      </c>
      <c r="AR38" s="107">
        <v>0</v>
      </c>
      <c r="AS38" s="107">
        <v>0.8</v>
      </c>
      <c r="AT38" s="107">
        <v>0</v>
      </c>
      <c r="AU38" s="107">
        <v>0</v>
      </c>
      <c r="AV38" s="107">
        <v>0.8</v>
      </c>
      <c r="AW38" s="107">
        <v>0</v>
      </c>
      <c r="AX38" s="107">
        <v>0.8</v>
      </c>
      <c r="AY38" s="107">
        <v>0.8</v>
      </c>
      <c r="AZ38" s="107">
        <v>0.8</v>
      </c>
      <c r="BA38" s="107">
        <v>0.8</v>
      </c>
      <c r="BB38" s="107">
        <v>0.8</v>
      </c>
      <c r="BC38" s="107">
        <v>0</v>
      </c>
      <c r="BD38" s="107">
        <v>0</v>
      </c>
      <c r="BE38" s="107">
        <v>0</v>
      </c>
      <c r="BF38" s="107">
        <v>0</v>
      </c>
      <c r="BG38" s="107">
        <v>0</v>
      </c>
      <c r="BH38" s="107">
        <v>0</v>
      </c>
      <c r="BI38" s="107">
        <v>0.8</v>
      </c>
      <c r="BJ38" s="107">
        <v>0</v>
      </c>
      <c r="BK38" s="107">
        <v>0</v>
      </c>
      <c r="BL38" s="107">
        <v>0</v>
      </c>
      <c r="BM38" s="107">
        <v>0</v>
      </c>
      <c r="BN38" s="107">
        <v>0</v>
      </c>
      <c r="BO38" s="107">
        <v>0</v>
      </c>
      <c r="BP38" s="107">
        <v>0</v>
      </c>
      <c r="BQ38" s="107">
        <v>0</v>
      </c>
      <c r="BR38" s="107">
        <v>0</v>
      </c>
      <c r="BS38" s="107">
        <v>0</v>
      </c>
      <c r="BT38" s="107">
        <v>0</v>
      </c>
      <c r="BU38" s="107">
        <v>0</v>
      </c>
      <c r="BV38" s="107">
        <v>0</v>
      </c>
      <c r="BW38" s="107">
        <v>0</v>
      </c>
      <c r="BX38" s="107">
        <v>0</v>
      </c>
      <c r="BY38" s="107">
        <v>0</v>
      </c>
      <c r="BZ38" s="107">
        <v>0</v>
      </c>
      <c r="CA38" s="107">
        <v>0</v>
      </c>
      <c r="CB38" s="107">
        <v>0</v>
      </c>
      <c r="CC38" s="107">
        <v>0</v>
      </c>
    </row>
    <row r="39" spans="1:81" x14ac:dyDescent="0.15">
      <c r="A39" s="178" t="s">
        <v>228</v>
      </c>
      <c r="B39" s="107">
        <v>0</v>
      </c>
      <c r="C39" s="107">
        <v>0</v>
      </c>
      <c r="D39" s="107">
        <v>0</v>
      </c>
      <c r="E39" s="107">
        <v>0</v>
      </c>
      <c r="F39" s="107">
        <v>0</v>
      </c>
      <c r="G39" s="107">
        <v>0</v>
      </c>
      <c r="H39" s="107">
        <v>0</v>
      </c>
      <c r="I39" s="107">
        <v>0</v>
      </c>
      <c r="J39" s="107">
        <v>0</v>
      </c>
      <c r="K39" s="107">
        <v>0</v>
      </c>
      <c r="L39" s="107">
        <v>0</v>
      </c>
      <c r="M39" s="107">
        <v>0</v>
      </c>
      <c r="N39" s="107">
        <v>0</v>
      </c>
      <c r="O39" s="107">
        <v>0</v>
      </c>
      <c r="P39" s="107">
        <v>0</v>
      </c>
      <c r="Q39" s="107">
        <v>0</v>
      </c>
      <c r="R39" s="107">
        <v>0.8</v>
      </c>
      <c r="S39" s="107">
        <v>0</v>
      </c>
      <c r="T39" s="107">
        <v>0</v>
      </c>
      <c r="U39" s="107">
        <v>0</v>
      </c>
      <c r="V39" s="107">
        <v>0</v>
      </c>
      <c r="W39" s="107">
        <v>0</v>
      </c>
      <c r="X39" s="107">
        <v>0</v>
      </c>
      <c r="Y39" s="107">
        <v>0</v>
      </c>
      <c r="Z39" s="107">
        <v>0</v>
      </c>
      <c r="AA39" s="107">
        <v>0</v>
      </c>
      <c r="AB39" s="107">
        <v>0</v>
      </c>
      <c r="AC39" s="107">
        <v>0.8</v>
      </c>
      <c r="AD39" s="107">
        <v>0</v>
      </c>
      <c r="AE39" s="107">
        <v>0</v>
      </c>
      <c r="AF39" s="107">
        <v>0</v>
      </c>
      <c r="AG39" s="107">
        <v>0</v>
      </c>
      <c r="AH39" s="107">
        <v>0.8</v>
      </c>
      <c r="AI39" s="107">
        <v>0</v>
      </c>
      <c r="AJ39" s="107">
        <v>0</v>
      </c>
      <c r="AK39" s="107">
        <v>0</v>
      </c>
      <c r="AL39" s="107">
        <v>0</v>
      </c>
      <c r="AM39" s="107">
        <v>0</v>
      </c>
      <c r="AN39" s="107">
        <v>0</v>
      </c>
      <c r="AO39" s="107">
        <v>0</v>
      </c>
      <c r="AP39" s="107">
        <v>0</v>
      </c>
      <c r="AQ39" s="107">
        <v>0</v>
      </c>
      <c r="AR39" s="107">
        <v>0</v>
      </c>
      <c r="AS39" s="107">
        <v>0.8</v>
      </c>
      <c r="AT39" s="107">
        <v>0</v>
      </c>
      <c r="AU39" s="107">
        <v>0</v>
      </c>
      <c r="AV39" s="107">
        <v>0</v>
      </c>
      <c r="AW39" s="107">
        <v>0</v>
      </c>
      <c r="AX39" s="107">
        <v>0</v>
      </c>
      <c r="AY39" s="107">
        <v>0</v>
      </c>
      <c r="AZ39" s="107">
        <v>0.8</v>
      </c>
      <c r="BA39" s="107">
        <v>0</v>
      </c>
      <c r="BB39" s="107">
        <v>0</v>
      </c>
      <c r="BC39" s="107">
        <v>0</v>
      </c>
      <c r="BD39" s="107">
        <v>0</v>
      </c>
      <c r="BE39" s="107">
        <v>0</v>
      </c>
      <c r="BF39" s="107">
        <v>0</v>
      </c>
      <c r="BG39" s="107">
        <v>0</v>
      </c>
      <c r="BH39" s="107">
        <v>0</v>
      </c>
      <c r="BI39" s="107">
        <v>0</v>
      </c>
      <c r="BJ39" s="107">
        <v>0</v>
      </c>
      <c r="BK39" s="107">
        <v>0</v>
      </c>
      <c r="BL39" s="107">
        <v>0</v>
      </c>
      <c r="BM39" s="107">
        <v>0</v>
      </c>
      <c r="BN39" s="107">
        <v>0</v>
      </c>
      <c r="BO39" s="107">
        <v>0</v>
      </c>
      <c r="BP39" s="107">
        <v>0</v>
      </c>
      <c r="BQ39" s="107">
        <v>0</v>
      </c>
      <c r="BR39" s="107">
        <v>0</v>
      </c>
      <c r="BS39" s="107">
        <v>0</v>
      </c>
      <c r="BT39" s="107">
        <v>0</v>
      </c>
      <c r="BU39" s="107">
        <v>0</v>
      </c>
      <c r="BV39" s="107">
        <v>0</v>
      </c>
      <c r="BW39" s="107">
        <v>0</v>
      </c>
      <c r="BX39" s="107">
        <v>0</v>
      </c>
      <c r="BY39" s="107">
        <v>0</v>
      </c>
      <c r="BZ39" s="107">
        <v>0</v>
      </c>
      <c r="CA39" s="107">
        <v>0</v>
      </c>
      <c r="CB39" s="107">
        <v>0</v>
      </c>
      <c r="CC39" s="107">
        <v>0</v>
      </c>
    </row>
    <row r="40" spans="1:81" x14ac:dyDescent="0.15">
      <c r="A40" s="178" t="s">
        <v>229</v>
      </c>
      <c r="B40" s="107">
        <v>0</v>
      </c>
      <c r="C40" s="107">
        <v>0</v>
      </c>
      <c r="D40" s="107">
        <v>0</v>
      </c>
      <c r="E40" s="107">
        <v>0</v>
      </c>
      <c r="F40" s="107">
        <v>0</v>
      </c>
      <c r="G40" s="107">
        <v>0</v>
      </c>
      <c r="H40" s="107">
        <v>0.8</v>
      </c>
      <c r="I40" s="107">
        <v>0</v>
      </c>
      <c r="J40" s="107">
        <v>0</v>
      </c>
      <c r="K40" s="107">
        <v>0</v>
      </c>
      <c r="L40" s="107">
        <v>0</v>
      </c>
      <c r="M40" s="107">
        <v>0</v>
      </c>
      <c r="N40" s="107">
        <v>0</v>
      </c>
      <c r="O40" s="107">
        <v>0</v>
      </c>
      <c r="P40" s="107">
        <v>0.8</v>
      </c>
      <c r="Q40" s="107">
        <v>0</v>
      </c>
      <c r="R40" s="107">
        <v>0.8</v>
      </c>
      <c r="S40" s="107">
        <v>0</v>
      </c>
      <c r="T40" s="107">
        <v>0</v>
      </c>
      <c r="U40" s="107">
        <v>0</v>
      </c>
      <c r="V40" s="107">
        <v>0</v>
      </c>
      <c r="W40" s="107">
        <v>0</v>
      </c>
      <c r="X40" s="107">
        <v>0</v>
      </c>
      <c r="Y40" s="107">
        <v>0</v>
      </c>
      <c r="Z40" s="107">
        <v>0</v>
      </c>
      <c r="AA40" s="107">
        <v>0</v>
      </c>
      <c r="AB40" s="107">
        <v>0</v>
      </c>
      <c r="AC40" s="107">
        <v>0</v>
      </c>
      <c r="AD40" s="107">
        <v>0</v>
      </c>
      <c r="AE40" s="107">
        <v>0</v>
      </c>
      <c r="AF40" s="107">
        <v>0</v>
      </c>
      <c r="AG40" s="107">
        <v>0</v>
      </c>
      <c r="AH40" s="107">
        <v>0</v>
      </c>
      <c r="AI40" s="107">
        <v>0</v>
      </c>
      <c r="AJ40" s="107">
        <v>0</v>
      </c>
      <c r="AK40" s="107">
        <v>0</v>
      </c>
      <c r="AL40" s="107">
        <v>0</v>
      </c>
      <c r="AM40" s="107">
        <v>0</v>
      </c>
      <c r="AN40" s="107">
        <v>0</v>
      </c>
      <c r="AO40" s="107">
        <v>0</v>
      </c>
      <c r="AP40" s="107">
        <v>0</v>
      </c>
      <c r="AQ40" s="107">
        <v>0</v>
      </c>
      <c r="AR40" s="107">
        <v>0</v>
      </c>
      <c r="AS40" s="107">
        <v>0</v>
      </c>
      <c r="AT40" s="107">
        <v>0.8</v>
      </c>
      <c r="AU40" s="107">
        <v>0</v>
      </c>
      <c r="AV40" s="107">
        <v>0</v>
      </c>
      <c r="AW40" s="107">
        <v>0</v>
      </c>
      <c r="AX40" s="107">
        <v>0</v>
      </c>
      <c r="AY40" s="107">
        <v>0</v>
      </c>
      <c r="AZ40" s="107">
        <v>0.8</v>
      </c>
      <c r="BA40" s="107">
        <v>0.8</v>
      </c>
      <c r="BB40" s="107">
        <v>0</v>
      </c>
      <c r="BC40" s="107">
        <v>0.8</v>
      </c>
      <c r="BD40" s="107">
        <v>0</v>
      </c>
      <c r="BE40" s="107">
        <v>0</v>
      </c>
      <c r="BF40" s="107">
        <v>0</v>
      </c>
      <c r="BG40" s="107">
        <v>0</v>
      </c>
      <c r="BH40" s="107">
        <v>0</v>
      </c>
      <c r="BI40" s="107">
        <v>0</v>
      </c>
      <c r="BJ40" s="107">
        <v>0</v>
      </c>
      <c r="BK40" s="107">
        <v>0</v>
      </c>
      <c r="BL40" s="107">
        <v>0</v>
      </c>
      <c r="BM40" s="107">
        <v>0</v>
      </c>
      <c r="BN40" s="107">
        <v>0</v>
      </c>
      <c r="BO40" s="107">
        <v>0</v>
      </c>
      <c r="BP40" s="107">
        <v>0</v>
      </c>
      <c r="BQ40" s="107">
        <v>0</v>
      </c>
      <c r="BR40" s="107">
        <v>0</v>
      </c>
      <c r="BS40" s="107">
        <v>0</v>
      </c>
      <c r="BT40" s="107">
        <v>0</v>
      </c>
      <c r="BU40" s="107">
        <v>0</v>
      </c>
      <c r="BV40" s="107">
        <v>0</v>
      </c>
      <c r="BW40" s="107">
        <v>0</v>
      </c>
      <c r="BX40" s="107">
        <v>0</v>
      </c>
      <c r="BY40" s="107">
        <v>0</v>
      </c>
      <c r="BZ40" s="107">
        <v>0</v>
      </c>
      <c r="CA40" s="107">
        <v>0</v>
      </c>
      <c r="CB40" s="107">
        <v>0</v>
      </c>
      <c r="CC40" s="107">
        <v>0</v>
      </c>
    </row>
    <row r="41" spans="1:81" x14ac:dyDescent="0.15">
      <c r="A41" s="178" t="s">
        <v>230</v>
      </c>
      <c r="B41" s="107">
        <v>0</v>
      </c>
      <c r="C41" s="107">
        <v>0</v>
      </c>
      <c r="D41" s="107">
        <v>0.8</v>
      </c>
      <c r="E41" s="107">
        <v>0</v>
      </c>
      <c r="F41" s="107">
        <v>0</v>
      </c>
      <c r="G41" s="107">
        <v>0</v>
      </c>
      <c r="H41" s="107">
        <v>0.8</v>
      </c>
      <c r="I41" s="107">
        <v>0</v>
      </c>
      <c r="J41" s="107">
        <v>0</v>
      </c>
      <c r="K41" s="107">
        <v>0</v>
      </c>
      <c r="L41" s="107">
        <v>0.8</v>
      </c>
      <c r="M41" s="107">
        <v>0.8</v>
      </c>
      <c r="N41" s="107">
        <v>0</v>
      </c>
      <c r="O41" s="107">
        <v>0</v>
      </c>
      <c r="P41" s="107">
        <v>0.8</v>
      </c>
      <c r="Q41" s="107">
        <v>0</v>
      </c>
      <c r="R41" s="107">
        <v>0</v>
      </c>
      <c r="S41" s="107">
        <v>0.8</v>
      </c>
      <c r="T41" s="107">
        <v>0.8</v>
      </c>
      <c r="U41" s="107">
        <v>0</v>
      </c>
      <c r="V41" s="107">
        <v>0</v>
      </c>
      <c r="W41" s="107">
        <v>0</v>
      </c>
      <c r="X41" s="107">
        <v>0</v>
      </c>
      <c r="Y41" s="107">
        <v>0</v>
      </c>
      <c r="Z41" s="107">
        <v>0</v>
      </c>
      <c r="AA41" s="107">
        <v>0</v>
      </c>
      <c r="AB41" s="107">
        <v>0</v>
      </c>
      <c r="AC41" s="107">
        <v>0</v>
      </c>
      <c r="AD41" s="107">
        <v>0</v>
      </c>
      <c r="AE41" s="107">
        <v>0</v>
      </c>
      <c r="AF41" s="107">
        <v>0</v>
      </c>
      <c r="AG41" s="107">
        <v>0</v>
      </c>
      <c r="AH41" s="107">
        <v>0</v>
      </c>
      <c r="AI41" s="107">
        <v>0</v>
      </c>
      <c r="AJ41" s="107">
        <v>0</v>
      </c>
      <c r="AK41" s="107">
        <v>0</v>
      </c>
      <c r="AL41" s="107">
        <v>0</v>
      </c>
      <c r="AM41" s="107">
        <v>0</v>
      </c>
      <c r="AN41" s="107">
        <v>0</v>
      </c>
      <c r="AO41" s="107">
        <v>0</v>
      </c>
      <c r="AP41" s="107">
        <v>0</v>
      </c>
      <c r="AQ41" s="107">
        <v>0</v>
      </c>
      <c r="AR41" s="107">
        <v>0</v>
      </c>
      <c r="AS41" s="107">
        <v>0.8</v>
      </c>
      <c r="AT41" s="107">
        <v>0.8</v>
      </c>
      <c r="AU41" s="107">
        <v>0</v>
      </c>
      <c r="AV41" s="107">
        <v>0</v>
      </c>
      <c r="AW41" s="107">
        <v>0</v>
      </c>
      <c r="AX41" s="107">
        <v>0</v>
      </c>
      <c r="AY41" s="107">
        <v>0</v>
      </c>
      <c r="AZ41" s="107">
        <v>0</v>
      </c>
      <c r="BA41" s="107">
        <v>0</v>
      </c>
      <c r="BB41" s="107">
        <v>0</v>
      </c>
      <c r="BC41" s="107">
        <v>0</v>
      </c>
      <c r="BD41" s="107">
        <v>0</v>
      </c>
      <c r="BE41" s="107">
        <v>0</v>
      </c>
      <c r="BF41" s="107">
        <v>0</v>
      </c>
      <c r="BG41" s="107">
        <v>0</v>
      </c>
      <c r="BH41" s="107">
        <v>0</v>
      </c>
      <c r="BI41" s="107">
        <v>0</v>
      </c>
      <c r="BJ41" s="107">
        <v>0</v>
      </c>
      <c r="BK41" s="107">
        <v>0</v>
      </c>
      <c r="BL41" s="107">
        <v>0</v>
      </c>
      <c r="BM41" s="107">
        <v>0</v>
      </c>
      <c r="BN41" s="107">
        <v>0</v>
      </c>
      <c r="BO41" s="107">
        <v>0</v>
      </c>
      <c r="BP41" s="107">
        <v>0</v>
      </c>
      <c r="BQ41" s="107">
        <v>0</v>
      </c>
      <c r="BR41" s="107">
        <v>0</v>
      </c>
      <c r="BS41" s="107">
        <v>0</v>
      </c>
      <c r="BT41" s="107">
        <v>0</v>
      </c>
      <c r="BU41" s="107">
        <v>0</v>
      </c>
      <c r="BV41" s="107">
        <v>0</v>
      </c>
      <c r="BW41" s="107">
        <v>0</v>
      </c>
      <c r="BX41" s="107">
        <v>0</v>
      </c>
      <c r="BY41" s="107">
        <v>0</v>
      </c>
      <c r="BZ41" s="107">
        <v>0</v>
      </c>
      <c r="CA41" s="107">
        <v>0</v>
      </c>
      <c r="CB41" s="107">
        <v>0</v>
      </c>
      <c r="CC41" s="107">
        <v>0</v>
      </c>
    </row>
    <row r="42" spans="1:81" x14ac:dyDescent="0.15">
      <c r="A42" s="178" t="s">
        <v>231</v>
      </c>
      <c r="B42" s="107">
        <v>0</v>
      </c>
      <c r="C42" s="107">
        <v>0</v>
      </c>
      <c r="D42" s="107">
        <v>0</v>
      </c>
      <c r="E42" s="107">
        <v>0</v>
      </c>
      <c r="F42" s="107">
        <v>0</v>
      </c>
      <c r="G42" s="107">
        <v>0</v>
      </c>
      <c r="H42" s="107">
        <v>0.8</v>
      </c>
      <c r="I42" s="107">
        <v>0</v>
      </c>
      <c r="J42" s="107">
        <v>0.8</v>
      </c>
      <c r="K42" s="107">
        <v>0</v>
      </c>
      <c r="L42" s="107">
        <v>0.8</v>
      </c>
      <c r="M42" s="107">
        <v>0.8</v>
      </c>
      <c r="N42" s="107">
        <v>0</v>
      </c>
      <c r="O42" s="107">
        <v>0</v>
      </c>
      <c r="P42" s="107">
        <v>0</v>
      </c>
      <c r="Q42" s="107">
        <v>0.8</v>
      </c>
      <c r="R42" s="107">
        <v>0</v>
      </c>
      <c r="S42" s="107">
        <v>0</v>
      </c>
      <c r="T42" s="107">
        <v>0.8</v>
      </c>
      <c r="U42" s="107">
        <v>0.8</v>
      </c>
      <c r="V42" s="107">
        <v>0.8</v>
      </c>
      <c r="W42" s="107">
        <v>0.8</v>
      </c>
      <c r="X42" s="107">
        <v>0</v>
      </c>
      <c r="Y42" s="107">
        <v>0.8</v>
      </c>
      <c r="Z42" s="107">
        <v>0</v>
      </c>
      <c r="AA42" s="107">
        <v>0.8</v>
      </c>
      <c r="AB42" s="107">
        <v>0</v>
      </c>
      <c r="AC42" s="107">
        <v>0.8</v>
      </c>
      <c r="AD42" s="107">
        <v>0</v>
      </c>
      <c r="AE42" s="107">
        <v>0.8</v>
      </c>
      <c r="AF42" s="107">
        <v>0.8</v>
      </c>
      <c r="AG42" s="107">
        <v>0</v>
      </c>
      <c r="AH42" s="107">
        <v>0.8</v>
      </c>
      <c r="AI42" s="107">
        <v>0</v>
      </c>
      <c r="AJ42" s="107">
        <v>0</v>
      </c>
      <c r="AK42" s="107">
        <v>0</v>
      </c>
      <c r="AL42" s="107">
        <v>0</v>
      </c>
      <c r="AM42" s="107">
        <v>0</v>
      </c>
      <c r="AN42" s="107">
        <v>0</v>
      </c>
      <c r="AO42" s="107">
        <v>0</v>
      </c>
      <c r="AP42" s="107">
        <v>0</v>
      </c>
      <c r="AQ42" s="107">
        <v>0</v>
      </c>
      <c r="AR42" s="107">
        <v>0</v>
      </c>
      <c r="AS42" s="107">
        <v>0.8</v>
      </c>
      <c r="AT42" s="107">
        <v>0.8</v>
      </c>
      <c r="AU42" s="107">
        <v>0</v>
      </c>
      <c r="AV42" s="107">
        <v>0</v>
      </c>
      <c r="AW42" s="107">
        <v>0</v>
      </c>
      <c r="AX42" s="107">
        <v>0.8</v>
      </c>
      <c r="AY42" s="107">
        <v>0.8</v>
      </c>
      <c r="AZ42" s="107">
        <v>0.8</v>
      </c>
      <c r="BA42" s="107">
        <v>0.8</v>
      </c>
      <c r="BB42" s="107">
        <v>0</v>
      </c>
      <c r="BC42" s="107">
        <v>0.8</v>
      </c>
      <c r="BD42" s="107">
        <v>0</v>
      </c>
      <c r="BE42" s="107">
        <v>0</v>
      </c>
      <c r="BF42" s="107">
        <v>0</v>
      </c>
      <c r="BG42" s="107">
        <v>0</v>
      </c>
      <c r="BH42" s="107">
        <v>0</v>
      </c>
      <c r="BI42" s="107">
        <v>0</v>
      </c>
      <c r="BJ42" s="107">
        <v>0</v>
      </c>
      <c r="BK42" s="107">
        <v>0</v>
      </c>
      <c r="BL42" s="107">
        <v>0</v>
      </c>
      <c r="BM42" s="107">
        <v>0</v>
      </c>
      <c r="BN42" s="107">
        <v>0</v>
      </c>
      <c r="BO42" s="107">
        <v>0</v>
      </c>
      <c r="BP42" s="107">
        <v>0</v>
      </c>
      <c r="BQ42" s="107">
        <v>0</v>
      </c>
      <c r="BR42" s="107">
        <v>0</v>
      </c>
      <c r="BS42" s="107">
        <v>0</v>
      </c>
      <c r="BT42" s="107">
        <v>0</v>
      </c>
      <c r="BU42" s="107">
        <v>0</v>
      </c>
      <c r="BV42" s="107">
        <v>0</v>
      </c>
      <c r="BW42" s="107">
        <v>0</v>
      </c>
      <c r="BX42" s="107">
        <v>0</v>
      </c>
      <c r="BY42" s="107">
        <v>0</v>
      </c>
      <c r="BZ42" s="107">
        <v>0</v>
      </c>
      <c r="CA42" s="107">
        <v>0</v>
      </c>
      <c r="CB42" s="107">
        <v>0</v>
      </c>
      <c r="CC42" s="107">
        <v>0</v>
      </c>
    </row>
    <row r="43" spans="1:81" x14ac:dyDescent="0.15">
      <c r="A43" s="178" t="s">
        <v>232</v>
      </c>
      <c r="B43" s="107">
        <v>0</v>
      </c>
      <c r="C43" s="107">
        <v>0</v>
      </c>
      <c r="D43" s="107">
        <v>0</v>
      </c>
      <c r="E43" s="107">
        <v>0</v>
      </c>
      <c r="F43" s="107">
        <v>0</v>
      </c>
      <c r="G43" s="107">
        <v>0</v>
      </c>
      <c r="H43" s="107">
        <v>0.8</v>
      </c>
      <c r="I43" s="107">
        <v>0</v>
      </c>
      <c r="J43" s="107">
        <v>0</v>
      </c>
      <c r="K43" s="107">
        <v>0.8</v>
      </c>
      <c r="L43" s="107">
        <v>0.8</v>
      </c>
      <c r="M43" s="107">
        <v>0.8</v>
      </c>
      <c r="N43" s="107">
        <v>0</v>
      </c>
      <c r="O43" s="107">
        <v>0</v>
      </c>
      <c r="P43" s="107">
        <v>0</v>
      </c>
      <c r="Q43" s="107">
        <v>0.8</v>
      </c>
      <c r="R43" s="107">
        <v>0.8</v>
      </c>
      <c r="S43" s="107">
        <v>0.8</v>
      </c>
      <c r="T43" s="107">
        <v>0.8</v>
      </c>
      <c r="U43" s="107">
        <v>0.8</v>
      </c>
      <c r="V43" s="107">
        <v>0.8</v>
      </c>
      <c r="W43" s="107">
        <v>0</v>
      </c>
      <c r="X43" s="107">
        <v>0</v>
      </c>
      <c r="Y43" s="107">
        <v>0.8</v>
      </c>
      <c r="Z43" s="107">
        <v>0.8</v>
      </c>
      <c r="AA43" s="107">
        <v>0.8</v>
      </c>
      <c r="AB43" s="107">
        <v>0</v>
      </c>
      <c r="AC43" s="107">
        <v>0</v>
      </c>
      <c r="AD43" s="107">
        <v>0.8</v>
      </c>
      <c r="AE43" s="107">
        <v>0</v>
      </c>
      <c r="AF43" s="107">
        <v>0</v>
      </c>
      <c r="AG43" s="107">
        <v>0.8</v>
      </c>
      <c r="AH43" s="107">
        <v>0</v>
      </c>
      <c r="AI43" s="107">
        <v>0</v>
      </c>
      <c r="AJ43" s="107">
        <v>0</v>
      </c>
      <c r="AK43" s="107">
        <v>0</v>
      </c>
      <c r="AL43" s="107">
        <v>0</v>
      </c>
      <c r="AM43" s="107">
        <v>0</v>
      </c>
      <c r="AN43" s="107">
        <v>0</v>
      </c>
      <c r="AO43" s="107">
        <v>0</v>
      </c>
      <c r="AP43" s="107">
        <v>0</v>
      </c>
      <c r="AQ43" s="107">
        <v>0</v>
      </c>
      <c r="AR43" s="107">
        <v>0</v>
      </c>
      <c r="AS43" s="107">
        <v>0.8</v>
      </c>
      <c r="AT43" s="107">
        <v>0</v>
      </c>
      <c r="AU43" s="107">
        <v>0.8</v>
      </c>
      <c r="AV43" s="107">
        <v>0.8</v>
      </c>
      <c r="AW43" s="107">
        <v>0</v>
      </c>
      <c r="AX43" s="107">
        <v>0</v>
      </c>
      <c r="AY43" s="107">
        <v>0.8</v>
      </c>
      <c r="AZ43" s="107">
        <v>0.8</v>
      </c>
      <c r="BA43" s="107">
        <v>0.8</v>
      </c>
      <c r="BB43" s="107">
        <v>0</v>
      </c>
      <c r="BC43" s="107">
        <v>0.8</v>
      </c>
      <c r="BD43" s="107">
        <v>0</v>
      </c>
      <c r="BE43" s="107">
        <v>0</v>
      </c>
      <c r="BF43" s="107">
        <v>0</v>
      </c>
      <c r="BG43" s="107">
        <v>0</v>
      </c>
      <c r="BH43" s="107">
        <v>0</v>
      </c>
      <c r="BI43" s="107">
        <v>0</v>
      </c>
      <c r="BJ43" s="107">
        <v>0</v>
      </c>
      <c r="BK43" s="107">
        <v>0</v>
      </c>
      <c r="BL43" s="107">
        <v>0</v>
      </c>
      <c r="BM43" s="107">
        <v>0</v>
      </c>
      <c r="BN43" s="107">
        <v>0</v>
      </c>
      <c r="BO43" s="107">
        <v>0</v>
      </c>
      <c r="BP43" s="107">
        <v>0</v>
      </c>
      <c r="BQ43" s="107">
        <v>0</v>
      </c>
      <c r="BR43" s="107">
        <v>0</v>
      </c>
      <c r="BS43" s="107">
        <v>0</v>
      </c>
      <c r="BT43" s="107">
        <v>0</v>
      </c>
      <c r="BU43" s="107">
        <v>0</v>
      </c>
      <c r="BV43" s="107">
        <v>0</v>
      </c>
      <c r="BW43" s="107">
        <v>0</v>
      </c>
      <c r="BX43" s="107">
        <v>0</v>
      </c>
      <c r="BY43" s="107">
        <v>0</v>
      </c>
      <c r="BZ43" s="107">
        <v>0</v>
      </c>
      <c r="CA43" s="107">
        <v>0</v>
      </c>
      <c r="CB43" s="107">
        <v>0</v>
      </c>
      <c r="CC43" s="107">
        <v>0</v>
      </c>
    </row>
    <row r="44" spans="1:81" x14ac:dyDescent="0.15">
      <c r="A44" s="178" t="s">
        <v>233</v>
      </c>
      <c r="B44" s="107">
        <v>0</v>
      </c>
      <c r="C44" s="107">
        <v>0</v>
      </c>
      <c r="D44" s="107">
        <v>0</v>
      </c>
      <c r="E44" s="107">
        <v>0</v>
      </c>
      <c r="F44" s="107">
        <v>0</v>
      </c>
      <c r="G44" s="107">
        <v>0</v>
      </c>
      <c r="H44" s="107">
        <v>0</v>
      </c>
      <c r="I44" s="107">
        <v>0</v>
      </c>
      <c r="J44" s="107">
        <v>0.8</v>
      </c>
      <c r="K44" s="107">
        <v>0.8</v>
      </c>
      <c r="L44" s="107">
        <v>0.8</v>
      </c>
      <c r="M44" s="107">
        <v>0.8</v>
      </c>
      <c r="N44" s="107">
        <v>0.8</v>
      </c>
      <c r="O44" s="107">
        <v>0</v>
      </c>
      <c r="P44" s="107">
        <v>0</v>
      </c>
      <c r="Q44" s="107">
        <v>0</v>
      </c>
      <c r="R44" s="107">
        <v>0.8</v>
      </c>
      <c r="S44" s="107">
        <v>0.8</v>
      </c>
      <c r="T44" s="107">
        <v>0.8</v>
      </c>
      <c r="U44" s="107">
        <v>0</v>
      </c>
      <c r="V44" s="107">
        <v>0.8</v>
      </c>
      <c r="W44" s="107">
        <v>0</v>
      </c>
      <c r="X44" s="107">
        <v>0</v>
      </c>
      <c r="Y44" s="107">
        <v>0.8</v>
      </c>
      <c r="Z44" s="107">
        <v>0.8</v>
      </c>
      <c r="AA44" s="107">
        <v>0</v>
      </c>
      <c r="AB44" s="107">
        <v>0</v>
      </c>
      <c r="AC44" s="107">
        <v>0</v>
      </c>
      <c r="AD44" s="107">
        <v>0.8</v>
      </c>
      <c r="AE44" s="107">
        <v>0.8</v>
      </c>
      <c r="AF44" s="107">
        <v>0.8</v>
      </c>
      <c r="AG44" s="107">
        <v>0.8</v>
      </c>
      <c r="AH44" s="107">
        <v>0.8</v>
      </c>
      <c r="AI44" s="107">
        <v>0</v>
      </c>
      <c r="AJ44" s="107">
        <v>0</v>
      </c>
      <c r="AK44" s="107">
        <v>0</v>
      </c>
      <c r="AL44" s="107">
        <v>0</v>
      </c>
      <c r="AM44" s="107">
        <v>0</v>
      </c>
      <c r="AN44" s="107">
        <v>0</v>
      </c>
      <c r="AO44" s="107">
        <v>0</v>
      </c>
      <c r="AP44" s="107">
        <v>0</v>
      </c>
      <c r="AQ44" s="107">
        <v>0</v>
      </c>
      <c r="AR44" s="107">
        <v>0</v>
      </c>
      <c r="AS44" s="107">
        <v>0.8</v>
      </c>
      <c r="AT44" s="107">
        <v>0.8</v>
      </c>
      <c r="AU44" s="107">
        <v>0.8</v>
      </c>
      <c r="AV44" s="107">
        <v>0</v>
      </c>
      <c r="AW44" s="107">
        <v>0.8</v>
      </c>
      <c r="AX44" s="107">
        <v>0</v>
      </c>
      <c r="AY44" s="107">
        <v>0</v>
      </c>
      <c r="AZ44" s="107">
        <v>0.8</v>
      </c>
      <c r="BA44" s="107">
        <v>0.8</v>
      </c>
      <c r="BB44" s="107">
        <v>0</v>
      </c>
      <c r="BC44" s="107">
        <v>0.8</v>
      </c>
      <c r="BD44" s="107">
        <v>0</v>
      </c>
      <c r="BE44" s="107">
        <v>0</v>
      </c>
      <c r="BF44" s="107">
        <v>0</v>
      </c>
      <c r="BG44" s="107">
        <v>0</v>
      </c>
      <c r="BH44" s="107">
        <v>0</v>
      </c>
      <c r="BI44" s="107">
        <v>0</v>
      </c>
      <c r="BJ44" s="107">
        <v>0</v>
      </c>
      <c r="BK44" s="107">
        <v>0</v>
      </c>
      <c r="BL44" s="107">
        <v>0</v>
      </c>
      <c r="BM44" s="107">
        <v>0</v>
      </c>
      <c r="BN44" s="107">
        <v>0</v>
      </c>
      <c r="BO44" s="107">
        <v>0</v>
      </c>
      <c r="BP44" s="107">
        <v>0</v>
      </c>
      <c r="BQ44" s="107">
        <v>0</v>
      </c>
      <c r="BR44" s="107">
        <v>0</v>
      </c>
      <c r="BS44" s="107">
        <v>0</v>
      </c>
      <c r="BT44" s="107">
        <v>0</v>
      </c>
      <c r="BU44" s="107">
        <v>0</v>
      </c>
      <c r="BV44" s="107">
        <v>0</v>
      </c>
      <c r="BW44" s="107">
        <v>0</v>
      </c>
      <c r="BX44" s="107">
        <v>0</v>
      </c>
      <c r="BY44" s="107">
        <v>0</v>
      </c>
      <c r="BZ44" s="107">
        <v>0</v>
      </c>
      <c r="CA44" s="107">
        <v>0</v>
      </c>
      <c r="CB44" s="107">
        <v>0</v>
      </c>
      <c r="CC44" s="107">
        <v>0</v>
      </c>
    </row>
    <row r="45" spans="1:81" x14ac:dyDescent="0.15">
      <c r="A45" s="178" t="s">
        <v>234</v>
      </c>
      <c r="B45" s="107">
        <v>0</v>
      </c>
      <c r="C45" s="107">
        <v>0</v>
      </c>
      <c r="D45" s="107">
        <v>0</v>
      </c>
      <c r="E45" s="107">
        <v>0</v>
      </c>
      <c r="F45" s="107">
        <v>0</v>
      </c>
      <c r="G45" s="107">
        <v>0.8</v>
      </c>
      <c r="H45" s="107">
        <v>0.8</v>
      </c>
      <c r="I45" s="107">
        <v>0</v>
      </c>
      <c r="J45" s="107">
        <v>0</v>
      </c>
      <c r="K45" s="107">
        <v>0.8</v>
      </c>
      <c r="L45" s="107">
        <v>0</v>
      </c>
      <c r="M45" s="107">
        <v>0</v>
      </c>
      <c r="N45" s="107">
        <v>0</v>
      </c>
      <c r="O45" s="107">
        <v>0</v>
      </c>
      <c r="P45" s="107">
        <v>0.8</v>
      </c>
      <c r="Q45" s="107">
        <v>0.8</v>
      </c>
      <c r="R45" s="107">
        <v>0</v>
      </c>
      <c r="S45" s="107">
        <v>0</v>
      </c>
      <c r="T45" s="107">
        <v>0.8</v>
      </c>
      <c r="U45" s="107">
        <v>0</v>
      </c>
      <c r="V45" s="107">
        <v>0</v>
      </c>
      <c r="W45" s="107">
        <v>0</v>
      </c>
      <c r="X45" s="107">
        <v>0</v>
      </c>
      <c r="Y45" s="107">
        <v>0.8</v>
      </c>
      <c r="Z45" s="107">
        <v>0</v>
      </c>
      <c r="AA45" s="107">
        <v>0</v>
      </c>
      <c r="AB45" s="107">
        <v>0</v>
      </c>
      <c r="AC45" s="107">
        <v>0.8</v>
      </c>
      <c r="AD45" s="107">
        <v>0</v>
      </c>
      <c r="AE45" s="107">
        <v>0</v>
      </c>
      <c r="AF45" s="107">
        <v>0</v>
      </c>
      <c r="AG45" s="107">
        <v>0</v>
      </c>
      <c r="AH45" s="107">
        <v>0</v>
      </c>
      <c r="AI45" s="107">
        <v>0</v>
      </c>
      <c r="AJ45" s="107">
        <v>0</v>
      </c>
      <c r="AK45" s="107">
        <v>0</v>
      </c>
      <c r="AL45" s="107">
        <v>0</v>
      </c>
      <c r="AM45" s="107">
        <v>0</v>
      </c>
      <c r="AN45" s="107">
        <v>0</v>
      </c>
      <c r="AO45" s="107">
        <v>0</v>
      </c>
      <c r="AP45" s="107">
        <v>0</v>
      </c>
      <c r="AQ45" s="107">
        <v>0</v>
      </c>
      <c r="AR45" s="107">
        <v>0</v>
      </c>
      <c r="AS45" s="107">
        <v>0</v>
      </c>
      <c r="AT45" s="107">
        <v>0.8</v>
      </c>
      <c r="AU45" s="107">
        <v>0</v>
      </c>
      <c r="AV45" s="107">
        <v>0</v>
      </c>
      <c r="AW45" s="107">
        <v>0</v>
      </c>
      <c r="AX45" s="107">
        <v>0</v>
      </c>
      <c r="AY45" s="107">
        <v>0</v>
      </c>
      <c r="AZ45" s="107">
        <v>0</v>
      </c>
      <c r="BA45" s="107">
        <v>0</v>
      </c>
      <c r="BB45" s="107">
        <v>0</v>
      </c>
      <c r="BC45" s="107">
        <v>0</v>
      </c>
      <c r="BD45" s="107">
        <v>0</v>
      </c>
      <c r="BE45" s="107">
        <v>0</v>
      </c>
      <c r="BF45" s="107">
        <v>0</v>
      </c>
      <c r="BG45" s="107">
        <v>0</v>
      </c>
      <c r="BH45" s="107">
        <v>0</v>
      </c>
      <c r="BI45" s="107">
        <v>0</v>
      </c>
      <c r="BJ45" s="107">
        <v>0</v>
      </c>
      <c r="BK45" s="107">
        <v>0</v>
      </c>
      <c r="BL45" s="107">
        <v>0</v>
      </c>
      <c r="BM45" s="107">
        <v>0</v>
      </c>
      <c r="BN45" s="107">
        <v>0</v>
      </c>
      <c r="BO45" s="107">
        <v>0</v>
      </c>
      <c r="BP45" s="107">
        <v>0</v>
      </c>
      <c r="BQ45" s="107">
        <v>0</v>
      </c>
      <c r="BR45" s="107">
        <v>0</v>
      </c>
      <c r="BS45" s="107">
        <v>0</v>
      </c>
      <c r="BT45" s="107">
        <v>0</v>
      </c>
      <c r="BU45" s="107">
        <v>0</v>
      </c>
      <c r="BV45" s="107">
        <v>0</v>
      </c>
      <c r="BW45" s="107">
        <v>0</v>
      </c>
      <c r="BX45" s="107">
        <v>0</v>
      </c>
      <c r="BY45" s="107">
        <v>0</v>
      </c>
      <c r="BZ45" s="107">
        <v>0</v>
      </c>
      <c r="CA45" s="107">
        <v>0</v>
      </c>
      <c r="CB45" s="107">
        <v>0</v>
      </c>
      <c r="CC45" s="107">
        <v>0</v>
      </c>
    </row>
    <row r="46" spans="1:81" x14ac:dyDescent="0.15">
      <c r="A46" s="178" t="s">
        <v>235</v>
      </c>
      <c r="B46" s="107">
        <v>0.8</v>
      </c>
      <c r="C46" s="107">
        <v>0</v>
      </c>
      <c r="D46" s="107">
        <v>0</v>
      </c>
      <c r="E46" s="107">
        <v>0</v>
      </c>
      <c r="F46" s="107">
        <v>0</v>
      </c>
      <c r="G46" s="107">
        <v>0.8</v>
      </c>
      <c r="H46" s="107">
        <v>0.8</v>
      </c>
      <c r="I46" s="107">
        <v>0</v>
      </c>
      <c r="J46" s="107">
        <v>0.8</v>
      </c>
      <c r="K46" s="107">
        <v>0.8</v>
      </c>
      <c r="L46" s="107">
        <v>0.8</v>
      </c>
      <c r="M46" s="107">
        <v>0.8</v>
      </c>
      <c r="N46" s="107">
        <v>0.8</v>
      </c>
      <c r="O46" s="107">
        <v>0</v>
      </c>
      <c r="P46" s="107">
        <v>0</v>
      </c>
      <c r="Q46" s="107">
        <v>0.8</v>
      </c>
      <c r="R46" s="107">
        <v>0</v>
      </c>
      <c r="S46" s="107">
        <v>0</v>
      </c>
      <c r="T46" s="107">
        <v>0.8</v>
      </c>
      <c r="U46" s="107">
        <v>0</v>
      </c>
      <c r="V46" s="107">
        <v>0</v>
      </c>
      <c r="W46" s="107">
        <v>0</v>
      </c>
      <c r="X46" s="107">
        <v>0</v>
      </c>
      <c r="Y46" s="107">
        <v>0.8</v>
      </c>
      <c r="Z46" s="107">
        <v>0.8</v>
      </c>
      <c r="AA46" s="107">
        <v>0.8</v>
      </c>
      <c r="AB46" s="107">
        <v>0</v>
      </c>
      <c r="AC46" s="107">
        <v>0.8</v>
      </c>
      <c r="AD46" s="107">
        <v>0</v>
      </c>
      <c r="AE46" s="107">
        <v>0.8</v>
      </c>
      <c r="AF46" s="107">
        <v>0</v>
      </c>
      <c r="AG46" s="107">
        <v>0.8</v>
      </c>
      <c r="AH46" s="107">
        <v>0.8</v>
      </c>
      <c r="AI46" s="107">
        <v>0</v>
      </c>
      <c r="AJ46" s="107">
        <v>0</v>
      </c>
      <c r="AK46" s="107">
        <v>0</v>
      </c>
      <c r="AL46" s="107">
        <v>0</v>
      </c>
      <c r="AM46" s="107">
        <v>0</v>
      </c>
      <c r="AN46" s="107">
        <v>0</v>
      </c>
      <c r="AO46" s="107">
        <v>0</v>
      </c>
      <c r="AP46" s="107">
        <v>0</v>
      </c>
      <c r="AQ46" s="107">
        <v>0</v>
      </c>
      <c r="AR46" s="107">
        <v>0</v>
      </c>
      <c r="AS46" s="107">
        <v>0</v>
      </c>
      <c r="AT46" s="107">
        <v>0</v>
      </c>
      <c r="AU46" s="107">
        <v>0.8</v>
      </c>
      <c r="AV46" s="107">
        <v>0.8</v>
      </c>
      <c r="AW46" s="107">
        <v>0.8</v>
      </c>
      <c r="AX46" s="107">
        <v>0</v>
      </c>
      <c r="AY46" s="107">
        <v>0</v>
      </c>
      <c r="AZ46" s="107">
        <v>0.8</v>
      </c>
      <c r="BA46" s="107">
        <v>0.8</v>
      </c>
      <c r="BB46" s="107">
        <v>0</v>
      </c>
      <c r="BC46" s="107">
        <v>0</v>
      </c>
      <c r="BD46" s="107">
        <v>0</v>
      </c>
      <c r="BE46" s="107">
        <v>0.8</v>
      </c>
      <c r="BF46" s="107">
        <v>0</v>
      </c>
      <c r="BG46" s="107">
        <v>0</v>
      </c>
      <c r="BH46" s="107">
        <v>0</v>
      </c>
      <c r="BI46" s="107">
        <v>0</v>
      </c>
      <c r="BJ46" s="107">
        <v>0</v>
      </c>
      <c r="BK46" s="107">
        <v>0</v>
      </c>
      <c r="BL46" s="107">
        <v>0</v>
      </c>
      <c r="BM46" s="107">
        <v>0</v>
      </c>
      <c r="BN46" s="107">
        <v>0</v>
      </c>
      <c r="BO46" s="107">
        <v>0</v>
      </c>
      <c r="BP46" s="107">
        <v>0</v>
      </c>
      <c r="BQ46" s="107">
        <v>0</v>
      </c>
      <c r="BR46" s="107">
        <v>0</v>
      </c>
      <c r="BS46" s="107">
        <v>0</v>
      </c>
      <c r="BT46" s="107">
        <v>0</v>
      </c>
      <c r="BU46" s="107">
        <v>0</v>
      </c>
      <c r="BV46" s="107">
        <v>0</v>
      </c>
      <c r="BW46" s="107">
        <v>0</v>
      </c>
      <c r="BX46" s="107">
        <v>0</v>
      </c>
      <c r="BY46" s="107">
        <v>0</v>
      </c>
      <c r="BZ46" s="107">
        <v>0</v>
      </c>
      <c r="CA46" s="107">
        <v>0</v>
      </c>
      <c r="CB46" s="107">
        <v>0</v>
      </c>
      <c r="CC46" s="107">
        <v>0</v>
      </c>
    </row>
    <row r="47" spans="1:81" x14ac:dyDescent="0.15">
      <c r="A47" s="178" t="s">
        <v>236</v>
      </c>
      <c r="B47" s="107">
        <v>0.8</v>
      </c>
      <c r="C47" s="107">
        <v>0.8</v>
      </c>
      <c r="D47" s="107">
        <v>0</v>
      </c>
      <c r="E47" s="107">
        <v>0</v>
      </c>
      <c r="F47" s="107">
        <v>0.8</v>
      </c>
      <c r="G47" s="107">
        <v>0.8</v>
      </c>
      <c r="H47" s="107">
        <v>0</v>
      </c>
      <c r="I47" s="107">
        <v>0.8</v>
      </c>
      <c r="J47" s="107">
        <v>0</v>
      </c>
      <c r="K47" s="107">
        <v>0</v>
      </c>
      <c r="L47" s="107">
        <v>0</v>
      </c>
      <c r="M47" s="107">
        <v>0</v>
      </c>
      <c r="N47" s="107">
        <v>0</v>
      </c>
      <c r="O47" s="107">
        <v>0</v>
      </c>
      <c r="P47" s="107">
        <v>0</v>
      </c>
      <c r="Q47" s="107">
        <v>0</v>
      </c>
      <c r="R47" s="107">
        <v>0</v>
      </c>
      <c r="S47" s="107">
        <v>0</v>
      </c>
      <c r="T47" s="107">
        <v>0</v>
      </c>
      <c r="U47" s="107">
        <v>0.8</v>
      </c>
      <c r="V47" s="107">
        <v>0.8</v>
      </c>
      <c r="W47" s="107">
        <v>0</v>
      </c>
      <c r="X47" s="107">
        <v>0</v>
      </c>
      <c r="Y47" s="107">
        <v>0</v>
      </c>
      <c r="Z47" s="107">
        <v>0.8</v>
      </c>
      <c r="AA47" s="107">
        <v>0</v>
      </c>
      <c r="AB47" s="107">
        <v>0</v>
      </c>
      <c r="AC47" s="107">
        <v>0</v>
      </c>
      <c r="AD47" s="107">
        <v>0</v>
      </c>
      <c r="AE47" s="107">
        <v>0</v>
      </c>
      <c r="AF47" s="107">
        <v>0</v>
      </c>
      <c r="AG47" s="107">
        <v>0.8</v>
      </c>
      <c r="AH47" s="107">
        <v>0.8</v>
      </c>
      <c r="AI47" s="107">
        <v>0</v>
      </c>
      <c r="AJ47" s="107">
        <v>0</v>
      </c>
      <c r="AK47" s="107">
        <v>0</v>
      </c>
      <c r="AL47" s="107">
        <v>0</v>
      </c>
      <c r="AM47" s="107">
        <v>0</v>
      </c>
      <c r="AN47" s="107">
        <v>0</v>
      </c>
      <c r="AO47" s="107">
        <v>0</v>
      </c>
      <c r="AP47" s="107">
        <v>0</v>
      </c>
      <c r="AQ47" s="107">
        <v>0</v>
      </c>
      <c r="AR47" s="107">
        <v>0</v>
      </c>
      <c r="AS47" s="107">
        <v>0</v>
      </c>
      <c r="AT47" s="107">
        <v>0</v>
      </c>
      <c r="AU47" s="107">
        <v>0</v>
      </c>
      <c r="AV47" s="107">
        <v>0.8</v>
      </c>
      <c r="AW47" s="107">
        <v>0.8</v>
      </c>
      <c r="AX47" s="107">
        <v>0</v>
      </c>
      <c r="AY47" s="107">
        <v>0</v>
      </c>
      <c r="AZ47" s="107">
        <v>0</v>
      </c>
      <c r="BA47" s="107">
        <v>0</v>
      </c>
      <c r="BB47" s="107">
        <v>0</v>
      </c>
      <c r="BC47" s="107">
        <v>0</v>
      </c>
      <c r="BD47" s="107">
        <v>0</v>
      </c>
      <c r="BE47" s="107">
        <v>0</v>
      </c>
      <c r="BF47" s="107">
        <v>0</v>
      </c>
      <c r="BG47" s="107">
        <v>0</v>
      </c>
      <c r="BH47" s="107">
        <v>0</v>
      </c>
      <c r="BI47" s="107">
        <v>0</v>
      </c>
      <c r="BJ47" s="107">
        <v>0</v>
      </c>
      <c r="BK47" s="107">
        <v>0</v>
      </c>
      <c r="BL47" s="107">
        <v>0</v>
      </c>
      <c r="BM47" s="107">
        <v>0</v>
      </c>
      <c r="BN47" s="107">
        <v>0</v>
      </c>
      <c r="BO47" s="107">
        <v>0</v>
      </c>
      <c r="BP47" s="107">
        <v>0</v>
      </c>
      <c r="BQ47" s="107">
        <v>0</v>
      </c>
      <c r="BR47" s="107">
        <v>0</v>
      </c>
      <c r="BS47" s="107">
        <v>0</v>
      </c>
      <c r="BT47" s="107">
        <v>0</v>
      </c>
      <c r="BU47" s="107">
        <v>0</v>
      </c>
      <c r="BV47" s="107">
        <v>0</v>
      </c>
      <c r="BW47" s="107">
        <v>0</v>
      </c>
      <c r="BX47" s="107">
        <v>0</v>
      </c>
      <c r="BY47" s="107">
        <v>0</v>
      </c>
      <c r="BZ47" s="107">
        <v>0</v>
      </c>
      <c r="CA47" s="107">
        <v>0</v>
      </c>
      <c r="CB47" s="107">
        <v>0</v>
      </c>
      <c r="CC47" s="107">
        <v>0</v>
      </c>
    </row>
    <row r="48" spans="1:81" x14ac:dyDescent="0.15">
      <c r="A48" s="178" t="s">
        <v>237</v>
      </c>
      <c r="B48" s="107">
        <v>0.8</v>
      </c>
      <c r="C48" s="107">
        <v>0.8</v>
      </c>
      <c r="D48" s="107">
        <v>0</v>
      </c>
      <c r="E48" s="107">
        <v>0</v>
      </c>
      <c r="F48" s="107">
        <v>0.8</v>
      </c>
      <c r="G48" s="107">
        <v>0.8</v>
      </c>
      <c r="H48" s="107">
        <v>0</v>
      </c>
      <c r="I48" s="107">
        <v>0.8</v>
      </c>
      <c r="J48" s="107">
        <v>0</v>
      </c>
      <c r="K48" s="107">
        <v>0</v>
      </c>
      <c r="L48" s="107">
        <v>0</v>
      </c>
      <c r="M48" s="107">
        <v>0</v>
      </c>
      <c r="N48" s="107">
        <v>0.8</v>
      </c>
      <c r="O48" s="107">
        <v>0</v>
      </c>
      <c r="P48" s="107">
        <v>0</v>
      </c>
      <c r="Q48" s="107">
        <v>0</v>
      </c>
      <c r="R48" s="107">
        <v>0</v>
      </c>
      <c r="S48" s="107">
        <v>0</v>
      </c>
      <c r="T48" s="107">
        <v>0</v>
      </c>
      <c r="U48" s="107">
        <v>0</v>
      </c>
      <c r="V48" s="107">
        <v>0.8</v>
      </c>
      <c r="W48" s="107">
        <v>0</v>
      </c>
      <c r="X48" s="107">
        <v>0</v>
      </c>
      <c r="Y48" s="107">
        <v>0</v>
      </c>
      <c r="Z48" s="107">
        <v>0.8</v>
      </c>
      <c r="AA48" s="107">
        <v>0.8</v>
      </c>
      <c r="AB48" s="107">
        <v>0</v>
      </c>
      <c r="AC48" s="107">
        <v>0</v>
      </c>
      <c r="AD48" s="107">
        <v>0</v>
      </c>
      <c r="AE48" s="107">
        <v>0</v>
      </c>
      <c r="AF48" s="107">
        <v>0.8</v>
      </c>
      <c r="AG48" s="107">
        <v>0.8</v>
      </c>
      <c r="AH48" s="107">
        <v>0.8</v>
      </c>
      <c r="AI48" s="107">
        <v>0.8</v>
      </c>
      <c r="AJ48" s="107">
        <v>0</v>
      </c>
      <c r="AK48" s="107">
        <v>0</v>
      </c>
      <c r="AL48" s="107">
        <v>0</v>
      </c>
      <c r="AM48" s="107">
        <v>0</v>
      </c>
      <c r="AN48" s="107">
        <v>0</v>
      </c>
      <c r="AO48" s="107">
        <v>0</v>
      </c>
      <c r="AP48" s="107">
        <v>0</v>
      </c>
      <c r="AQ48" s="107">
        <v>0</v>
      </c>
      <c r="AR48" s="107">
        <v>0</v>
      </c>
      <c r="AS48" s="107">
        <v>0</v>
      </c>
      <c r="AT48" s="107">
        <v>0</v>
      </c>
      <c r="AU48" s="107">
        <v>0</v>
      </c>
      <c r="AV48" s="107">
        <v>0</v>
      </c>
      <c r="AW48" s="107">
        <v>0</v>
      </c>
      <c r="AX48" s="107">
        <v>0</v>
      </c>
      <c r="AY48" s="107">
        <v>0</v>
      </c>
      <c r="AZ48" s="107">
        <v>0</v>
      </c>
      <c r="BA48" s="107">
        <v>0</v>
      </c>
      <c r="BB48" s="107">
        <v>0</v>
      </c>
      <c r="BC48" s="107">
        <v>0</v>
      </c>
      <c r="BD48" s="107">
        <v>0</v>
      </c>
      <c r="BE48" s="107">
        <v>0</v>
      </c>
      <c r="BF48" s="107">
        <v>0</v>
      </c>
      <c r="BG48" s="107">
        <v>0</v>
      </c>
      <c r="BH48" s="107">
        <v>0</v>
      </c>
      <c r="BI48" s="107">
        <v>0</v>
      </c>
      <c r="BJ48" s="107">
        <v>0</v>
      </c>
      <c r="BK48" s="107">
        <v>0</v>
      </c>
      <c r="BL48" s="107">
        <v>0</v>
      </c>
      <c r="BM48" s="107">
        <v>0</v>
      </c>
      <c r="BN48" s="107">
        <v>0</v>
      </c>
      <c r="BO48" s="107">
        <v>0</v>
      </c>
      <c r="BP48" s="107">
        <v>0</v>
      </c>
      <c r="BQ48" s="107">
        <v>0</v>
      </c>
      <c r="BR48" s="107">
        <v>0</v>
      </c>
      <c r="BS48" s="107">
        <v>0</v>
      </c>
      <c r="BT48" s="107">
        <v>0</v>
      </c>
      <c r="BU48" s="107">
        <v>0</v>
      </c>
      <c r="BV48" s="107">
        <v>0</v>
      </c>
      <c r="BW48" s="107">
        <v>0</v>
      </c>
      <c r="BX48" s="107">
        <v>0</v>
      </c>
      <c r="BY48" s="107">
        <v>0</v>
      </c>
      <c r="BZ48" s="107">
        <v>0</v>
      </c>
      <c r="CA48" s="107">
        <v>0</v>
      </c>
      <c r="CB48" s="107">
        <v>0</v>
      </c>
      <c r="CC48" s="107">
        <v>0</v>
      </c>
    </row>
    <row r="49" spans="1:81" x14ac:dyDescent="0.15">
      <c r="A49" s="178" t="s">
        <v>238</v>
      </c>
      <c r="B49" s="107">
        <v>0</v>
      </c>
      <c r="C49" s="107">
        <v>0.8</v>
      </c>
      <c r="D49" s="107">
        <v>0</v>
      </c>
      <c r="E49" s="107">
        <v>0</v>
      </c>
      <c r="F49" s="107">
        <v>0.8</v>
      </c>
      <c r="G49" s="107">
        <v>0.8</v>
      </c>
      <c r="H49" s="107">
        <v>0.8</v>
      </c>
      <c r="I49" s="107">
        <v>0.8</v>
      </c>
      <c r="J49" s="107">
        <v>0.8</v>
      </c>
      <c r="K49" s="107">
        <v>0.8</v>
      </c>
      <c r="L49" s="107">
        <v>0</v>
      </c>
      <c r="M49" s="107">
        <v>0</v>
      </c>
      <c r="N49" s="107">
        <v>0.8</v>
      </c>
      <c r="O49" s="107">
        <v>0</v>
      </c>
      <c r="P49" s="107">
        <v>0</v>
      </c>
      <c r="Q49" s="107">
        <v>0</v>
      </c>
      <c r="R49" s="107">
        <v>0</v>
      </c>
      <c r="S49" s="107">
        <v>0</v>
      </c>
      <c r="T49" s="107">
        <v>0.8</v>
      </c>
      <c r="U49" s="107">
        <v>0.8</v>
      </c>
      <c r="V49" s="107">
        <v>0.8</v>
      </c>
      <c r="W49" s="107">
        <v>0</v>
      </c>
      <c r="X49" s="107">
        <v>0</v>
      </c>
      <c r="Y49" s="107">
        <v>0</v>
      </c>
      <c r="Z49" s="107">
        <v>0.8</v>
      </c>
      <c r="AA49" s="107">
        <v>0</v>
      </c>
      <c r="AB49" s="107">
        <v>0</v>
      </c>
      <c r="AC49" s="107">
        <v>0.8</v>
      </c>
      <c r="AD49" s="107">
        <v>0.8</v>
      </c>
      <c r="AE49" s="107">
        <v>0.8</v>
      </c>
      <c r="AF49" s="107">
        <v>0.8</v>
      </c>
      <c r="AG49" s="107">
        <v>0.8</v>
      </c>
      <c r="AH49" s="107">
        <v>0</v>
      </c>
      <c r="AI49" s="107">
        <v>0</v>
      </c>
      <c r="AJ49" s="107">
        <v>0</v>
      </c>
      <c r="AK49" s="107">
        <v>0</v>
      </c>
      <c r="AL49" s="107">
        <v>0</v>
      </c>
      <c r="AM49" s="107">
        <v>0</v>
      </c>
      <c r="AN49" s="107">
        <v>0</v>
      </c>
      <c r="AO49" s="107">
        <v>0</v>
      </c>
      <c r="AP49" s="107">
        <v>0</v>
      </c>
      <c r="AQ49" s="107">
        <v>0</v>
      </c>
      <c r="AR49" s="107">
        <v>0</v>
      </c>
      <c r="AS49" s="107">
        <v>0</v>
      </c>
      <c r="AT49" s="107">
        <v>0</v>
      </c>
      <c r="AU49" s="107">
        <v>0</v>
      </c>
      <c r="AV49" s="107">
        <v>0</v>
      </c>
      <c r="AW49" s="107">
        <v>0</v>
      </c>
      <c r="AX49" s="107">
        <v>0</v>
      </c>
      <c r="AY49" s="107">
        <v>0</v>
      </c>
      <c r="AZ49" s="107">
        <v>0</v>
      </c>
      <c r="BA49" s="107">
        <v>0</v>
      </c>
      <c r="BB49" s="107">
        <v>0</v>
      </c>
      <c r="BC49" s="107">
        <v>0</v>
      </c>
      <c r="BD49" s="107">
        <v>0</v>
      </c>
      <c r="BE49" s="107">
        <v>0</v>
      </c>
      <c r="BF49" s="107">
        <v>0.8</v>
      </c>
      <c r="BG49" s="107">
        <v>0</v>
      </c>
      <c r="BH49" s="107">
        <v>0</v>
      </c>
      <c r="BI49" s="107">
        <v>0</v>
      </c>
      <c r="BJ49" s="107">
        <v>0</v>
      </c>
      <c r="BK49" s="107">
        <v>0</v>
      </c>
      <c r="BL49" s="107">
        <v>0</v>
      </c>
      <c r="BM49" s="107">
        <v>0</v>
      </c>
      <c r="BN49" s="107">
        <v>0</v>
      </c>
      <c r="BO49" s="107">
        <v>0</v>
      </c>
      <c r="BP49" s="107">
        <v>0</v>
      </c>
      <c r="BQ49" s="107">
        <v>0</v>
      </c>
      <c r="BR49" s="107">
        <v>0</v>
      </c>
      <c r="BS49" s="107">
        <v>0</v>
      </c>
      <c r="BT49" s="107">
        <v>0</v>
      </c>
      <c r="BU49" s="107">
        <v>0</v>
      </c>
      <c r="BV49" s="107">
        <v>0</v>
      </c>
      <c r="BW49" s="107">
        <v>0</v>
      </c>
      <c r="BX49" s="107">
        <v>0</v>
      </c>
      <c r="BY49" s="107">
        <v>0</v>
      </c>
      <c r="BZ49" s="107">
        <v>0</v>
      </c>
      <c r="CA49" s="107">
        <v>0</v>
      </c>
      <c r="CB49" s="107">
        <v>0</v>
      </c>
      <c r="CC49" s="107">
        <v>0</v>
      </c>
    </row>
    <row r="50" spans="1:81" x14ac:dyDescent="0.15">
      <c r="A50" s="178" t="s">
        <v>239</v>
      </c>
      <c r="B50" s="107">
        <v>0</v>
      </c>
      <c r="C50" s="107">
        <v>0</v>
      </c>
      <c r="D50" s="107">
        <v>0</v>
      </c>
      <c r="E50" s="107">
        <v>0</v>
      </c>
      <c r="F50" s="107">
        <v>0</v>
      </c>
      <c r="G50" s="107">
        <v>0</v>
      </c>
      <c r="H50" s="107">
        <v>0</v>
      </c>
      <c r="I50" s="107">
        <v>0</v>
      </c>
      <c r="J50" s="107">
        <v>0.8</v>
      </c>
      <c r="K50" s="107">
        <v>0</v>
      </c>
      <c r="L50" s="107">
        <v>0</v>
      </c>
      <c r="M50" s="107">
        <v>0</v>
      </c>
      <c r="N50" s="107">
        <v>0.8</v>
      </c>
      <c r="O50" s="107">
        <v>0</v>
      </c>
      <c r="P50" s="107">
        <v>0.8</v>
      </c>
      <c r="Q50" s="107">
        <v>0.8</v>
      </c>
      <c r="R50" s="107">
        <v>0</v>
      </c>
      <c r="S50" s="107">
        <v>0</v>
      </c>
      <c r="T50" s="107">
        <v>0</v>
      </c>
      <c r="U50" s="107">
        <v>0.8</v>
      </c>
      <c r="V50" s="107">
        <v>0.8</v>
      </c>
      <c r="W50" s="107">
        <v>0</v>
      </c>
      <c r="X50" s="107">
        <v>0</v>
      </c>
      <c r="Y50" s="107">
        <v>0</v>
      </c>
      <c r="Z50" s="107">
        <v>0.8</v>
      </c>
      <c r="AA50" s="107">
        <v>0</v>
      </c>
      <c r="AB50" s="107">
        <v>0</v>
      </c>
      <c r="AC50" s="107">
        <v>0.8</v>
      </c>
      <c r="AD50" s="107">
        <v>0</v>
      </c>
      <c r="AE50" s="107">
        <v>0</v>
      </c>
      <c r="AF50" s="107">
        <v>0</v>
      </c>
      <c r="AG50" s="107">
        <v>0.8</v>
      </c>
      <c r="AH50" s="107">
        <v>0</v>
      </c>
      <c r="AI50" s="107">
        <v>0</v>
      </c>
      <c r="AJ50" s="107">
        <v>0</v>
      </c>
      <c r="AK50" s="107">
        <v>0</v>
      </c>
      <c r="AL50" s="107">
        <v>0</v>
      </c>
      <c r="AM50" s="107">
        <v>0</v>
      </c>
      <c r="AN50" s="107">
        <v>0</v>
      </c>
      <c r="AO50" s="107">
        <v>0</v>
      </c>
      <c r="AP50" s="107">
        <v>0</v>
      </c>
      <c r="AQ50" s="107">
        <v>0</v>
      </c>
      <c r="AR50" s="107">
        <v>0</v>
      </c>
      <c r="AS50" s="107">
        <v>0</v>
      </c>
      <c r="AT50" s="107">
        <v>0</v>
      </c>
      <c r="AU50" s="107">
        <v>0</v>
      </c>
      <c r="AV50" s="107">
        <v>0</v>
      </c>
      <c r="AW50" s="107">
        <v>0</v>
      </c>
      <c r="AX50" s="107">
        <v>0</v>
      </c>
      <c r="AY50" s="107">
        <v>0</v>
      </c>
      <c r="AZ50" s="107">
        <v>0</v>
      </c>
      <c r="BA50" s="107">
        <v>0.8</v>
      </c>
      <c r="BB50" s="107">
        <v>0</v>
      </c>
      <c r="BC50" s="107">
        <v>0</v>
      </c>
      <c r="BD50" s="107">
        <v>0</v>
      </c>
      <c r="BE50" s="107">
        <v>0</v>
      </c>
      <c r="BF50" s="107">
        <v>0</v>
      </c>
      <c r="BG50" s="107">
        <v>0</v>
      </c>
      <c r="BH50" s="107">
        <v>0</v>
      </c>
      <c r="BI50" s="107">
        <v>0</v>
      </c>
      <c r="BJ50" s="107">
        <v>0</v>
      </c>
      <c r="BK50" s="107">
        <v>0</v>
      </c>
      <c r="BL50" s="107">
        <v>0</v>
      </c>
      <c r="BM50" s="107">
        <v>0</v>
      </c>
      <c r="BN50" s="107">
        <v>0</v>
      </c>
      <c r="BO50" s="107">
        <v>0</v>
      </c>
      <c r="BP50" s="107">
        <v>0</v>
      </c>
      <c r="BQ50" s="107">
        <v>0</v>
      </c>
      <c r="BR50" s="107">
        <v>0</v>
      </c>
      <c r="BS50" s="107">
        <v>0</v>
      </c>
      <c r="BT50" s="107">
        <v>0</v>
      </c>
      <c r="BU50" s="107">
        <v>0</v>
      </c>
      <c r="BV50" s="107">
        <v>0</v>
      </c>
      <c r="BW50" s="107">
        <v>0</v>
      </c>
      <c r="BX50" s="107">
        <v>0</v>
      </c>
      <c r="BY50" s="107">
        <v>0</v>
      </c>
      <c r="BZ50" s="107">
        <v>0</v>
      </c>
      <c r="CA50" s="107">
        <v>0</v>
      </c>
      <c r="CB50" s="107">
        <v>0</v>
      </c>
      <c r="CC50" s="107">
        <v>0</v>
      </c>
    </row>
    <row r="51" spans="1:81" x14ac:dyDescent="0.15">
      <c r="A51" s="178" t="s">
        <v>240</v>
      </c>
      <c r="B51" s="107">
        <v>0</v>
      </c>
      <c r="C51" s="107">
        <v>0</v>
      </c>
      <c r="D51" s="107">
        <v>0</v>
      </c>
      <c r="E51" s="107">
        <v>0</v>
      </c>
      <c r="F51" s="107">
        <v>0</v>
      </c>
      <c r="G51" s="107">
        <v>0</v>
      </c>
      <c r="H51" s="107">
        <v>0</v>
      </c>
      <c r="I51" s="107">
        <v>0</v>
      </c>
      <c r="J51" s="107">
        <v>0</v>
      </c>
      <c r="K51" s="107">
        <v>0</v>
      </c>
      <c r="L51" s="107">
        <v>0.8</v>
      </c>
      <c r="M51" s="107">
        <v>0</v>
      </c>
      <c r="N51" s="107">
        <v>0.8</v>
      </c>
      <c r="O51" s="107">
        <v>0</v>
      </c>
      <c r="P51" s="107">
        <v>0</v>
      </c>
      <c r="Q51" s="107">
        <v>0.8</v>
      </c>
      <c r="R51" s="107">
        <v>0</v>
      </c>
      <c r="S51" s="107">
        <v>0</v>
      </c>
      <c r="T51" s="107">
        <v>0.8</v>
      </c>
      <c r="U51" s="107">
        <v>0.8</v>
      </c>
      <c r="V51" s="107">
        <v>0</v>
      </c>
      <c r="W51" s="107">
        <v>0</v>
      </c>
      <c r="X51" s="107">
        <v>0</v>
      </c>
      <c r="Y51" s="107">
        <v>0.8</v>
      </c>
      <c r="Z51" s="107">
        <v>0.8</v>
      </c>
      <c r="AA51" s="107">
        <v>0</v>
      </c>
      <c r="AB51" s="107">
        <v>0</v>
      </c>
      <c r="AC51" s="107">
        <v>0</v>
      </c>
      <c r="AD51" s="107">
        <v>0</v>
      </c>
      <c r="AE51" s="107">
        <v>0.8</v>
      </c>
      <c r="AF51" s="107">
        <v>0.8</v>
      </c>
      <c r="AG51" s="107">
        <v>0</v>
      </c>
      <c r="AH51" s="107">
        <v>0</v>
      </c>
      <c r="AI51" s="107">
        <v>0</v>
      </c>
      <c r="AJ51" s="107">
        <v>0</v>
      </c>
      <c r="AK51" s="107">
        <v>0</v>
      </c>
      <c r="AL51" s="107">
        <v>0</v>
      </c>
      <c r="AM51" s="107">
        <v>0</v>
      </c>
      <c r="AN51" s="107">
        <v>0</v>
      </c>
      <c r="AO51" s="107">
        <v>0</v>
      </c>
      <c r="AP51" s="107">
        <v>0</v>
      </c>
      <c r="AQ51" s="107">
        <v>0</v>
      </c>
      <c r="AR51" s="107">
        <v>0</v>
      </c>
      <c r="AS51" s="107">
        <v>0</v>
      </c>
      <c r="AT51" s="107">
        <v>0</v>
      </c>
      <c r="AU51" s="107">
        <v>0</v>
      </c>
      <c r="AV51" s="107">
        <v>0</v>
      </c>
      <c r="AW51" s="107">
        <v>0.8</v>
      </c>
      <c r="AX51" s="107">
        <v>0</v>
      </c>
      <c r="AY51" s="107">
        <v>0</v>
      </c>
      <c r="AZ51" s="107">
        <v>0</v>
      </c>
      <c r="BA51" s="107">
        <v>0.8</v>
      </c>
      <c r="BB51" s="107">
        <v>0</v>
      </c>
      <c r="BC51" s="107">
        <v>0</v>
      </c>
      <c r="BD51" s="107">
        <v>0</v>
      </c>
      <c r="BE51" s="107">
        <v>0</v>
      </c>
      <c r="BF51" s="107">
        <v>0</v>
      </c>
      <c r="BG51" s="107">
        <v>0</v>
      </c>
      <c r="BH51" s="107">
        <v>0</v>
      </c>
      <c r="BI51" s="107">
        <v>0</v>
      </c>
      <c r="BJ51" s="107">
        <v>0</v>
      </c>
      <c r="BK51" s="107">
        <v>0</v>
      </c>
      <c r="BL51" s="107">
        <v>0</v>
      </c>
      <c r="BM51" s="107">
        <v>0</v>
      </c>
      <c r="BN51" s="107">
        <v>0</v>
      </c>
      <c r="BO51" s="107">
        <v>0</v>
      </c>
      <c r="BP51" s="107">
        <v>0</v>
      </c>
      <c r="BQ51" s="107">
        <v>0</v>
      </c>
      <c r="BR51" s="107">
        <v>0</v>
      </c>
      <c r="BS51" s="107">
        <v>0</v>
      </c>
      <c r="BT51" s="107">
        <v>0</v>
      </c>
      <c r="BU51" s="107">
        <v>0</v>
      </c>
      <c r="BV51" s="107">
        <v>0</v>
      </c>
      <c r="BW51" s="107">
        <v>0</v>
      </c>
      <c r="BX51" s="107">
        <v>0</v>
      </c>
      <c r="BY51" s="107">
        <v>0</v>
      </c>
      <c r="BZ51" s="107">
        <v>0</v>
      </c>
      <c r="CA51" s="107">
        <v>0</v>
      </c>
      <c r="CB51" s="107">
        <v>0</v>
      </c>
      <c r="CC51" s="107">
        <v>0</v>
      </c>
    </row>
    <row r="52" spans="1:81" x14ac:dyDescent="0.15">
      <c r="A52" s="178" t="s">
        <v>241</v>
      </c>
      <c r="B52" s="107">
        <v>0</v>
      </c>
      <c r="C52" s="107">
        <v>0.8</v>
      </c>
      <c r="D52" s="107">
        <v>0</v>
      </c>
      <c r="E52" s="107">
        <v>0</v>
      </c>
      <c r="F52" s="107">
        <v>0</v>
      </c>
      <c r="G52" s="107">
        <v>0</v>
      </c>
      <c r="H52" s="107">
        <v>0.8</v>
      </c>
      <c r="I52" s="107">
        <v>0.8</v>
      </c>
      <c r="J52" s="107">
        <v>0</v>
      </c>
      <c r="K52" s="107">
        <v>0</v>
      </c>
      <c r="L52" s="107">
        <v>0.8</v>
      </c>
      <c r="M52" s="107">
        <v>0</v>
      </c>
      <c r="N52" s="107">
        <v>0.8</v>
      </c>
      <c r="O52" s="107">
        <v>0</v>
      </c>
      <c r="P52" s="107">
        <v>0</v>
      </c>
      <c r="Q52" s="107">
        <v>0.8</v>
      </c>
      <c r="R52" s="107">
        <v>0.8</v>
      </c>
      <c r="S52" s="107">
        <v>0</v>
      </c>
      <c r="T52" s="107">
        <v>0.8</v>
      </c>
      <c r="U52" s="107">
        <v>0.8</v>
      </c>
      <c r="V52" s="107">
        <v>0.8</v>
      </c>
      <c r="W52" s="107">
        <v>0</v>
      </c>
      <c r="X52" s="107">
        <v>0</v>
      </c>
      <c r="Y52" s="107">
        <v>0.8</v>
      </c>
      <c r="Z52" s="107">
        <v>0</v>
      </c>
      <c r="AA52" s="107">
        <v>0.8</v>
      </c>
      <c r="AB52" s="107">
        <v>0</v>
      </c>
      <c r="AC52" s="107">
        <v>0.8</v>
      </c>
      <c r="AD52" s="107">
        <v>0.8</v>
      </c>
      <c r="AE52" s="107">
        <v>0.8</v>
      </c>
      <c r="AF52" s="107">
        <v>0.8</v>
      </c>
      <c r="AG52" s="107">
        <v>0</v>
      </c>
      <c r="AH52" s="107">
        <v>0</v>
      </c>
      <c r="AI52" s="107">
        <v>0</v>
      </c>
      <c r="AJ52" s="107">
        <v>0</v>
      </c>
      <c r="AK52" s="107">
        <v>0</v>
      </c>
      <c r="AL52" s="107">
        <v>0</v>
      </c>
      <c r="AM52" s="107">
        <v>0</v>
      </c>
      <c r="AN52" s="107">
        <v>0</v>
      </c>
      <c r="AO52" s="107">
        <v>0</v>
      </c>
      <c r="AP52" s="107">
        <v>0</v>
      </c>
      <c r="AQ52" s="107">
        <v>0</v>
      </c>
      <c r="AR52" s="107">
        <v>0</v>
      </c>
      <c r="AS52" s="107">
        <v>0.8</v>
      </c>
      <c r="AT52" s="107">
        <v>0</v>
      </c>
      <c r="AU52" s="107">
        <v>0</v>
      </c>
      <c r="AV52" s="107">
        <v>0</v>
      </c>
      <c r="AW52" s="107">
        <v>0.8</v>
      </c>
      <c r="AX52" s="107">
        <v>0</v>
      </c>
      <c r="AY52" s="107">
        <v>0</v>
      </c>
      <c r="AZ52" s="107">
        <v>0</v>
      </c>
      <c r="BA52" s="107">
        <v>0.8</v>
      </c>
      <c r="BB52" s="107">
        <v>0</v>
      </c>
      <c r="BC52" s="107">
        <v>0</v>
      </c>
      <c r="BD52" s="107">
        <v>0</v>
      </c>
      <c r="BE52" s="107">
        <v>0</v>
      </c>
      <c r="BF52" s="107">
        <v>0</v>
      </c>
      <c r="BG52" s="107">
        <v>0</v>
      </c>
      <c r="BH52" s="107">
        <v>0</v>
      </c>
      <c r="BI52" s="107">
        <v>0</v>
      </c>
      <c r="BJ52" s="107">
        <v>0</v>
      </c>
      <c r="BK52" s="107">
        <v>0</v>
      </c>
      <c r="BL52" s="107">
        <v>0</v>
      </c>
      <c r="BM52" s="107">
        <v>0</v>
      </c>
      <c r="BN52" s="107">
        <v>0</v>
      </c>
      <c r="BO52" s="107">
        <v>0</v>
      </c>
      <c r="BP52" s="107">
        <v>0</v>
      </c>
      <c r="BQ52" s="107">
        <v>0</v>
      </c>
      <c r="BR52" s="107">
        <v>0</v>
      </c>
      <c r="BS52" s="107">
        <v>0</v>
      </c>
      <c r="BT52" s="107">
        <v>0</v>
      </c>
      <c r="BU52" s="107">
        <v>0</v>
      </c>
      <c r="BV52" s="107">
        <v>0</v>
      </c>
      <c r="BW52" s="107">
        <v>0</v>
      </c>
      <c r="BX52" s="107">
        <v>0</v>
      </c>
      <c r="BY52" s="107">
        <v>0</v>
      </c>
      <c r="BZ52" s="107">
        <v>0</v>
      </c>
      <c r="CA52" s="107">
        <v>0</v>
      </c>
      <c r="CB52" s="107">
        <v>0</v>
      </c>
      <c r="CC52" s="107">
        <v>0</v>
      </c>
    </row>
    <row r="53" spans="1:81" x14ac:dyDescent="0.15">
      <c r="A53" s="178" t="s">
        <v>242</v>
      </c>
      <c r="B53" s="107">
        <v>0</v>
      </c>
      <c r="C53" s="107">
        <v>0.8</v>
      </c>
      <c r="D53" s="107">
        <v>0</v>
      </c>
      <c r="E53" s="107">
        <v>0</v>
      </c>
      <c r="F53" s="107">
        <v>0.8</v>
      </c>
      <c r="G53" s="107">
        <v>0</v>
      </c>
      <c r="H53" s="107">
        <v>0.8</v>
      </c>
      <c r="I53" s="107">
        <v>0.8</v>
      </c>
      <c r="J53" s="107">
        <v>0.8</v>
      </c>
      <c r="K53" s="107">
        <v>0.8</v>
      </c>
      <c r="L53" s="107">
        <v>0</v>
      </c>
      <c r="M53" s="107">
        <v>0</v>
      </c>
      <c r="N53" s="107">
        <v>0.8</v>
      </c>
      <c r="O53" s="107">
        <v>0</v>
      </c>
      <c r="P53" s="107">
        <v>0</v>
      </c>
      <c r="Q53" s="107">
        <v>0</v>
      </c>
      <c r="R53" s="107">
        <v>0.8</v>
      </c>
      <c r="S53" s="107">
        <v>0</v>
      </c>
      <c r="T53" s="107">
        <v>0</v>
      </c>
      <c r="U53" s="107">
        <v>0</v>
      </c>
      <c r="V53" s="107">
        <v>0.8</v>
      </c>
      <c r="W53" s="107">
        <v>0</v>
      </c>
      <c r="X53" s="107">
        <v>0</v>
      </c>
      <c r="Y53" s="107">
        <v>0.8</v>
      </c>
      <c r="Z53" s="107">
        <v>0</v>
      </c>
      <c r="AA53" s="107">
        <v>0.8</v>
      </c>
      <c r="AB53" s="107">
        <v>0</v>
      </c>
      <c r="AC53" s="107">
        <v>0.8</v>
      </c>
      <c r="AD53" s="107">
        <v>0.8</v>
      </c>
      <c r="AE53" s="107">
        <v>0.8</v>
      </c>
      <c r="AF53" s="107">
        <v>0.8</v>
      </c>
      <c r="AG53" s="107">
        <v>0</v>
      </c>
      <c r="AH53" s="107">
        <v>0</v>
      </c>
      <c r="AI53" s="107">
        <v>0</v>
      </c>
      <c r="AJ53" s="107">
        <v>0</v>
      </c>
      <c r="AK53" s="107">
        <v>0</v>
      </c>
      <c r="AL53" s="107">
        <v>0</v>
      </c>
      <c r="AM53" s="107">
        <v>0</v>
      </c>
      <c r="AN53" s="107">
        <v>0</v>
      </c>
      <c r="AO53" s="107">
        <v>0</v>
      </c>
      <c r="AP53" s="107">
        <v>0</v>
      </c>
      <c r="AQ53" s="107">
        <v>0</v>
      </c>
      <c r="AR53" s="107">
        <v>0</v>
      </c>
      <c r="AS53" s="107">
        <v>0</v>
      </c>
      <c r="AT53" s="107">
        <v>0</v>
      </c>
      <c r="AU53" s="107">
        <v>0</v>
      </c>
      <c r="AV53" s="107">
        <v>0</v>
      </c>
      <c r="AW53" s="107">
        <v>0.8</v>
      </c>
      <c r="AX53" s="107">
        <v>0</v>
      </c>
      <c r="AY53" s="107">
        <v>0</v>
      </c>
      <c r="AZ53" s="107">
        <v>0</v>
      </c>
      <c r="BA53" s="107">
        <v>0</v>
      </c>
      <c r="BB53" s="107">
        <v>0</v>
      </c>
      <c r="BC53" s="107">
        <v>0</v>
      </c>
      <c r="BD53" s="107">
        <v>0</v>
      </c>
      <c r="BE53" s="107">
        <v>0</v>
      </c>
      <c r="BF53" s="107">
        <v>0</v>
      </c>
      <c r="BG53" s="107">
        <v>0</v>
      </c>
      <c r="BH53" s="107">
        <v>0</v>
      </c>
      <c r="BI53" s="107">
        <v>0</v>
      </c>
      <c r="BJ53" s="107">
        <v>0</v>
      </c>
      <c r="BK53" s="107">
        <v>0</v>
      </c>
      <c r="BL53" s="107">
        <v>0</v>
      </c>
      <c r="BM53" s="107">
        <v>0</v>
      </c>
      <c r="BN53" s="107">
        <v>0</v>
      </c>
      <c r="BO53" s="107">
        <v>0</v>
      </c>
      <c r="BP53" s="107">
        <v>0</v>
      </c>
      <c r="BQ53" s="107">
        <v>0</v>
      </c>
      <c r="BR53" s="107">
        <v>0</v>
      </c>
      <c r="BS53" s="107">
        <v>0</v>
      </c>
      <c r="BT53" s="107">
        <v>0</v>
      </c>
      <c r="BU53" s="107">
        <v>0</v>
      </c>
      <c r="BV53" s="107">
        <v>0</v>
      </c>
      <c r="BW53" s="107">
        <v>0</v>
      </c>
      <c r="BX53" s="107">
        <v>0</v>
      </c>
      <c r="BY53" s="107">
        <v>0</v>
      </c>
      <c r="BZ53" s="107">
        <v>0</v>
      </c>
      <c r="CA53" s="107">
        <v>0</v>
      </c>
      <c r="CB53" s="107">
        <v>0</v>
      </c>
      <c r="CC53" s="107">
        <v>0</v>
      </c>
    </row>
    <row r="54" spans="1:81" x14ac:dyDescent="0.15">
      <c r="A54" s="178" t="s">
        <v>243</v>
      </c>
      <c r="B54" s="107">
        <v>0</v>
      </c>
      <c r="C54" s="107">
        <v>0</v>
      </c>
      <c r="D54" s="107">
        <v>0</v>
      </c>
      <c r="E54" s="107">
        <v>0</v>
      </c>
      <c r="F54" s="107">
        <v>0</v>
      </c>
      <c r="G54" s="107">
        <v>0</v>
      </c>
      <c r="H54" s="107">
        <v>0</v>
      </c>
      <c r="I54" s="107">
        <v>0</v>
      </c>
      <c r="J54" s="107">
        <v>0</v>
      </c>
      <c r="K54" s="107">
        <v>0</v>
      </c>
      <c r="L54" s="107">
        <v>0</v>
      </c>
      <c r="M54" s="107">
        <v>0</v>
      </c>
      <c r="N54" s="107">
        <v>0</v>
      </c>
      <c r="O54" s="107">
        <v>0</v>
      </c>
      <c r="P54" s="107">
        <v>0.8</v>
      </c>
      <c r="Q54" s="107">
        <v>0.8</v>
      </c>
      <c r="R54" s="107">
        <v>0.8</v>
      </c>
      <c r="S54" s="107">
        <v>0</v>
      </c>
      <c r="T54" s="107">
        <v>0</v>
      </c>
      <c r="U54" s="107">
        <v>0</v>
      </c>
      <c r="V54" s="107">
        <v>0</v>
      </c>
      <c r="W54" s="107">
        <v>0</v>
      </c>
      <c r="X54" s="107">
        <v>0</v>
      </c>
      <c r="Y54" s="107">
        <v>0.8</v>
      </c>
      <c r="Z54" s="107">
        <v>0</v>
      </c>
      <c r="AA54" s="107">
        <v>0</v>
      </c>
      <c r="AB54" s="107">
        <v>0</v>
      </c>
      <c r="AC54" s="107">
        <v>0</v>
      </c>
      <c r="AD54" s="107">
        <v>0</v>
      </c>
      <c r="AE54" s="107">
        <v>0.8</v>
      </c>
      <c r="AF54" s="107">
        <v>0.8</v>
      </c>
      <c r="AG54" s="107">
        <v>0</v>
      </c>
      <c r="AH54" s="107">
        <v>0</v>
      </c>
      <c r="AI54" s="107">
        <v>0</v>
      </c>
      <c r="AJ54" s="107">
        <v>0</v>
      </c>
      <c r="AK54" s="107">
        <v>0</v>
      </c>
      <c r="AL54" s="107">
        <v>0</v>
      </c>
      <c r="AM54" s="107">
        <v>0</v>
      </c>
      <c r="AN54" s="107">
        <v>0</v>
      </c>
      <c r="AO54" s="107">
        <v>0</v>
      </c>
      <c r="AP54" s="107">
        <v>0</v>
      </c>
      <c r="AQ54" s="107">
        <v>0</v>
      </c>
      <c r="AR54" s="107">
        <v>0</v>
      </c>
      <c r="AS54" s="107">
        <v>0</v>
      </c>
      <c r="AT54" s="107">
        <v>0.8</v>
      </c>
      <c r="AU54" s="107">
        <v>0</v>
      </c>
      <c r="AV54" s="107">
        <v>0</v>
      </c>
      <c r="AW54" s="107">
        <v>0</v>
      </c>
      <c r="AX54" s="107">
        <v>0</v>
      </c>
      <c r="AY54" s="107">
        <v>0.8</v>
      </c>
      <c r="AZ54" s="107">
        <v>0.8</v>
      </c>
      <c r="BA54" s="107">
        <v>0.8</v>
      </c>
      <c r="BB54" s="107">
        <v>0</v>
      </c>
      <c r="BC54" s="107">
        <v>0</v>
      </c>
      <c r="BD54" s="107">
        <v>0</v>
      </c>
      <c r="BE54" s="107">
        <v>0</v>
      </c>
      <c r="BF54" s="107">
        <v>0</v>
      </c>
      <c r="BG54" s="107">
        <v>0</v>
      </c>
      <c r="BH54" s="107">
        <v>0</v>
      </c>
      <c r="BI54" s="107">
        <v>0</v>
      </c>
      <c r="BJ54" s="107">
        <v>0</v>
      </c>
      <c r="BK54" s="107">
        <v>0</v>
      </c>
      <c r="BL54" s="107">
        <v>0</v>
      </c>
      <c r="BM54" s="107">
        <v>0</v>
      </c>
      <c r="BN54" s="107">
        <v>0</v>
      </c>
      <c r="BO54" s="107">
        <v>0</v>
      </c>
      <c r="BP54" s="107">
        <v>0</v>
      </c>
      <c r="BQ54" s="107">
        <v>0</v>
      </c>
      <c r="BR54" s="107">
        <v>0</v>
      </c>
      <c r="BS54" s="107">
        <v>0</v>
      </c>
      <c r="BT54" s="107">
        <v>0</v>
      </c>
      <c r="BU54" s="107">
        <v>0</v>
      </c>
      <c r="BV54" s="107">
        <v>0</v>
      </c>
      <c r="BW54" s="107">
        <v>0</v>
      </c>
      <c r="BX54" s="107">
        <v>0</v>
      </c>
      <c r="BY54" s="107">
        <v>0</v>
      </c>
      <c r="BZ54" s="107">
        <v>0</v>
      </c>
      <c r="CA54" s="107">
        <v>0</v>
      </c>
      <c r="CB54" s="107">
        <v>0</v>
      </c>
      <c r="CC54" s="107">
        <v>0</v>
      </c>
    </row>
    <row r="55" spans="1:81" x14ac:dyDescent="0.15">
      <c r="A55" s="178" t="s">
        <v>244</v>
      </c>
      <c r="B55" s="107">
        <v>0</v>
      </c>
      <c r="C55" s="107">
        <v>0</v>
      </c>
      <c r="D55" s="107">
        <v>0</v>
      </c>
      <c r="E55" s="107">
        <v>0</v>
      </c>
      <c r="F55" s="107">
        <v>0</v>
      </c>
      <c r="G55" s="107">
        <v>0</v>
      </c>
      <c r="H55" s="107">
        <v>0.8</v>
      </c>
      <c r="I55" s="107">
        <v>0</v>
      </c>
      <c r="J55" s="107">
        <v>0.8</v>
      </c>
      <c r="K55" s="107">
        <v>0</v>
      </c>
      <c r="L55" s="107">
        <v>0</v>
      </c>
      <c r="M55" s="107">
        <v>0</v>
      </c>
      <c r="N55" s="107">
        <v>0</v>
      </c>
      <c r="O55" s="107">
        <v>0</v>
      </c>
      <c r="P55" s="107">
        <v>0</v>
      </c>
      <c r="Q55" s="107">
        <v>0</v>
      </c>
      <c r="R55" s="107">
        <v>0</v>
      </c>
      <c r="S55" s="107">
        <v>0</v>
      </c>
      <c r="T55" s="107">
        <v>0</v>
      </c>
      <c r="U55" s="107">
        <v>0.8</v>
      </c>
      <c r="V55" s="107">
        <v>0</v>
      </c>
      <c r="W55" s="107">
        <v>0</v>
      </c>
      <c r="X55" s="107">
        <v>0</v>
      </c>
      <c r="Y55" s="107">
        <v>0</v>
      </c>
      <c r="Z55" s="107">
        <v>0</v>
      </c>
      <c r="AA55" s="107">
        <v>0.8</v>
      </c>
      <c r="AB55" s="107">
        <v>0</v>
      </c>
      <c r="AC55" s="107">
        <v>0.8</v>
      </c>
      <c r="AD55" s="107">
        <v>0</v>
      </c>
      <c r="AE55" s="107">
        <v>0.8</v>
      </c>
      <c r="AF55" s="107">
        <v>0.8</v>
      </c>
      <c r="AG55" s="107">
        <v>0</v>
      </c>
      <c r="AH55" s="107">
        <v>0</v>
      </c>
      <c r="AI55" s="107">
        <v>0</v>
      </c>
      <c r="AJ55" s="107">
        <v>0</v>
      </c>
      <c r="AK55" s="107">
        <v>0</v>
      </c>
      <c r="AL55" s="107">
        <v>0</v>
      </c>
      <c r="AM55" s="107">
        <v>0</v>
      </c>
      <c r="AN55" s="107">
        <v>0</v>
      </c>
      <c r="AO55" s="107">
        <v>0</v>
      </c>
      <c r="AP55" s="107">
        <v>0</v>
      </c>
      <c r="AQ55" s="107">
        <v>0</v>
      </c>
      <c r="AR55" s="107">
        <v>0</v>
      </c>
      <c r="AS55" s="107">
        <v>0</v>
      </c>
      <c r="AT55" s="107">
        <v>0.8</v>
      </c>
      <c r="AU55" s="107">
        <v>0</v>
      </c>
      <c r="AV55" s="107">
        <v>0</v>
      </c>
      <c r="AW55" s="107">
        <v>0</v>
      </c>
      <c r="AX55" s="107">
        <v>0</v>
      </c>
      <c r="AY55" s="107">
        <v>0</v>
      </c>
      <c r="AZ55" s="107">
        <v>0</v>
      </c>
      <c r="BA55" s="107">
        <v>0</v>
      </c>
      <c r="BB55" s="107">
        <v>0</v>
      </c>
      <c r="BC55" s="107">
        <v>0</v>
      </c>
      <c r="BD55" s="107">
        <v>0</v>
      </c>
      <c r="BE55" s="107">
        <v>0</v>
      </c>
      <c r="BF55" s="107">
        <v>0</v>
      </c>
      <c r="BG55" s="107">
        <v>0</v>
      </c>
      <c r="BH55" s="107">
        <v>0</v>
      </c>
      <c r="BI55" s="107">
        <v>0</v>
      </c>
      <c r="BJ55" s="107">
        <v>0</v>
      </c>
      <c r="BK55" s="107">
        <v>0</v>
      </c>
      <c r="BL55" s="107">
        <v>0</v>
      </c>
      <c r="BM55" s="107">
        <v>0</v>
      </c>
      <c r="BN55" s="107">
        <v>0</v>
      </c>
      <c r="BO55" s="107">
        <v>0</v>
      </c>
      <c r="BP55" s="107">
        <v>0</v>
      </c>
      <c r="BQ55" s="107">
        <v>0</v>
      </c>
      <c r="BR55" s="107">
        <v>0</v>
      </c>
      <c r="BS55" s="107">
        <v>0</v>
      </c>
      <c r="BT55" s="107">
        <v>0</v>
      </c>
      <c r="BU55" s="107">
        <v>0</v>
      </c>
      <c r="BV55" s="107">
        <v>0</v>
      </c>
      <c r="BW55" s="107">
        <v>0</v>
      </c>
      <c r="BX55" s="107">
        <v>0</v>
      </c>
      <c r="BY55" s="107">
        <v>0</v>
      </c>
      <c r="BZ55" s="107">
        <v>0</v>
      </c>
      <c r="CA55" s="107">
        <v>0</v>
      </c>
      <c r="CB55" s="107">
        <v>0</v>
      </c>
      <c r="CC55" s="107">
        <v>0</v>
      </c>
    </row>
    <row r="56" spans="1:81" x14ac:dyDescent="0.15">
      <c r="A56" s="178" t="s">
        <v>245</v>
      </c>
      <c r="B56" s="107">
        <v>0</v>
      </c>
      <c r="C56" s="107">
        <v>0</v>
      </c>
      <c r="D56" s="107">
        <v>0</v>
      </c>
      <c r="E56" s="107">
        <v>0</v>
      </c>
      <c r="F56" s="107">
        <v>0</v>
      </c>
      <c r="G56" s="107">
        <v>0</v>
      </c>
      <c r="H56" s="107">
        <v>0.8</v>
      </c>
      <c r="I56" s="107">
        <v>0</v>
      </c>
      <c r="J56" s="107">
        <v>0.8</v>
      </c>
      <c r="K56" s="107">
        <v>0.8</v>
      </c>
      <c r="L56" s="107">
        <v>0.8</v>
      </c>
      <c r="M56" s="107">
        <v>0</v>
      </c>
      <c r="N56" s="107">
        <v>0</v>
      </c>
      <c r="O56" s="107">
        <v>0</v>
      </c>
      <c r="P56" s="107">
        <v>0.8</v>
      </c>
      <c r="Q56" s="107">
        <v>0</v>
      </c>
      <c r="R56" s="107">
        <v>0</v>
      </c>
      <c r="S56" s="107">
        <v>0</v>
      </c>
      <c r="T56" s="107">
        <v>0</v>
      </c>
      <c r="U56" s="107">
        <v>0.8</v>
      </c>
      <c r="V56" s="107">
        <v>0.8</v>
      </c>
      <c r="W56" s="107">
        <v>0</v>
      </c>
      <c r="X56" s="107">
        <v>0</v>
      </c>
      <c r="Y56" s="107">
        <v>0.8</v>
      </c>
      <c r="Z56" s="107">
        <v>0</v>
      </c>
      <c r="AA56" s="107">
        <v>0.8</v>
      </c>
      <c r="AB56" s="107">
        <v>0</v>
      </c>
      <c r="AC56" s="107">
        <v>0</v>
      </c>
      <c r="AD56" s="107">
        <v>0.8</v>
      </c>
      <c r="AE56" s="107">
        <v>0.8</v>
      </c>
      <c r="AF56" s="107">
        <v>0</v>
      </c>
      <c r="AG56" s="107">
        <v>0</v>
      </c>
      <c r="AH56" s="107">
        <v>0</v>
      </c>
      <c r="AI56" s="107">
        <v>0</v>
      </c>
      <c r="AJ56" s="107">
        <v>0</v>
      </c>
      <c r="AK56" s="107">
        <v>0</v>
      </c>
      <c r="AL56" s="107">
        <v>0</v>
      </c>
      <c r="AM56" s="107">
        <v>0</v>
      </c>
      <c r="AN56" s="107">
        <v>0</v>
      </c>
      <c r="AO56" s="107">
        <v>0</v>
      </c>
      <c r="AP56" s="107">
        <v>0</v>
      </c>
      <c r="AQ56" s="107">
        <v>0</v>
      </c>
      <c r="AR56" s="107">
        <v>0</v>
      </c>
      <c r="AS56" s="107">
        <v>0</v>
      </c>
      <c r="AT56" s="107">
        <v>0</v>
      </c>
      <c r="AU56" s="107">
        <v>0</v>
      </c>
      <c r="AV56" s="107">
        <v>0.8</v>
      </c>
      <c r="AW56" s="107">
        <v>0</v>
      </c>
      <c r="AX56" s="107">
        <v>0</v>
      </c>
      <c r="AY56" s="107">
        <v>0</v>
      </c>
      <c r="AZ56" s="107">
        <v>0</v>
      </c>
      <c r="BA56" s="107">
        <v>0</v>
      </c>
      <c r="BB56" s="107">
        <v>0</v>
      </c>
      <c r="BC56" s="107">
        <v>0</v>
      </c>
      <c r="BD56" s="107">
        <v>0</v>
      </c>
      <c r="BE56" s="107">
        <v>0</v>
      </c>
      <c r="BF56" s="107">
        <v>0</v>
      </c>
      <c r="BG56" s="107">
        <v>0</v>
      </c>
      <c r="BH56" s="107">
        <v>0</v>
      </c>
      <c r="BI56" s="107">
        <v>0</v>
      </c>
      <c r="BJ56" s="107">
        <v>0</v>
      </c>
      <c r="BK56" s="107">
        <v>0</v>
      </c>
      <c r="BL56" s="107">
        <v>0</v>
      </c>
      <c r="BM56" s="107">
        <v>0</v>
      </c>
      <c r="BN56" s="107">
        <v>0</v>
      </c>
      <c r="BO56" s="107">
        <v>0</v>
      </c>
      <c r="BP56" s="107">
        <v>0</v>
      </c>
      <c r="BQ56" s="107">
        <v>0</v>
      </c>
      <c r="BR56" s="107">
        <v>0</v>
      </c>
      <c r="BS56" s="107">
        <v>0</v>
      </c>
      <c r="BT56" s="107">
        <v>0</v>
      </c>
      <c r="BU56" s="107">
        <v>0</v>
      </c>
      <c r="BV56" s="107">
        <v>0</v>
      </c>
      <c r="BW56" s="107">
        <v>0</v>
      </c>
      <c r="BX56" s="107">
        <v>0</v>
      </c>
      <c r="BY56" s="107">
        <v>0</v>
      </c>
      <c r="BZ56" s="107">
        <v>0</v>
      </c>
      <c r="CA56" s="107">
        <v>0</v>
      </c>
      <c r="CB56" s="107">
        <v>0</v>
      </c>
      <c r="CC56" s="107">
        <v>0</v>
      </c>
    </row>
    <row r="57" spans="1:81" x14ac:dyDescent="0.15">
      <c r="A57" s="178" t="s">
        <v>246</v>
      </c>
      <c r="B57" s="107">
        <v>0</v>
      </c>
      <c r="C57" s="107">
        <v>0</v>
      </c>
      <c r="D57" s="107">
        <v>0</v>
      </c>
      <c r="E57" s="107">
        <v>0</v>
      </c>
      <c r="F57" s="107">
        <v>0</v>
      </c>
      <c r="G57" s="107">
        <v>0</v>
      </c>
      <c r="H57" s="107">
        <v>0</v>
      </c>
      <c r="I57" s="107">
        <v>0</v>
      </c>
      <c r="J57" s="107">
        <v>0</v>
      </c>
      <c r="K57" s="107">
        <v>0</v>
      </c>
      <c r="L57" s="107">
        <v>0</v>
      </c>
      <c r="M57" s="107">
        <v>0</v>
      </c>
      <c r="N57" s="107">
        <v>0</v>
      </c>
      <c r="O57" s="107">
        <v>0</v>
      </c>
      <c r="P57" s="107">
        <v>0</v>
      </c>
      <c r="Q57" s="107">
        <v>0</v>
      </c>
      <c r="R57" s="107">
        <v>0</v>
      </c>
      <c r="S57" s="107">
        <v>0</v>
      </c>
      <c r="T57" s="107">
        <v>0</v>
      </c>
      <c r="U57" s="107">
        <v>0</v>
      </c>
      <c r="V57" s="107">
        <v>0</v>
      </c>
      <c r="W57" s="107">
        <v>0</v>
      </c>
      <c r="X57" s="107">
        <v>0</v>
      </c>
      <c r="Y57" s="107">
        <v>0</v>
      </c>
      <c r="Z57" s="107">
        <v>0</v>
      </c>
      <c r="AA57" s="107">
        <v>0</v>
      </c>
      <c r="AB57" s="107">
        <v>0</v>
      </c>
      <c r="AC57" s="107">
        <v>0</v>
      </c>
      <c r="AD57" s="107">
        <v>0</v>
      </c>
      <c r="AE57" s="107">
        <v>0</v>
      </c>
      <c r="AF57" s="107">
        <v>0</v>
      </c>
      <c r="AG57" s="107">
        <v>0</v>
      </c>
      <c r="AH57" s="107">
        <v>0</v>
      </c>
      <c r="AI57" s="107">
        <v>0</v>
      </c>
      <c r="AJ57" s="107">
        <v>0</v>
      </c>
      <c r="AK57" s="107">
        <v>0</v>
      </c>
      <c r="AL57" s="107">
        <v>0</v>
      </c>
      <c r="AM57" s="107">
        <v>0</v>
      </c>
      <c r="AN57" s="107">
        <v>0</v>
      </c>
      <c r="AO57" s="107">
        <v>0</v>
      </c>
      <c r="AP57" s="107">
        <v>0</v>
      </c>
      <c r="AQ57" s="107">
        <v>0</v>
      </c>
      <c r="AR57" s="107">
        <v>0</v>
      </c>
      <c r="AS57" s="107">
        <v>0</v>
      </c>
      <c r="AT57" s="107">
        <v>0</v>
      </c>
      <c r="AU57" s="107">
        <v>0</v>
      </c>
      <c r="AV57" s="107">
        <v>0</v>
      </c>
      <c r="AW57" s="107">
        <v>0</v>
      </c>
      <c r="AX57" s="107">
        <v>0</v>
      </c>
      <c r="AY57" s="107">
        <v>0</v>
      </c>
      <c r="AZ57" s="107">
        <v>0</v>
      </c>
      <c r="BA57" s="107">
        <v>0</v>
      </c>
      <c r="BB57" s="107">
        <v>0</v>
      </c>
      <c r="BC57" s="107">
        <v>0</v>
      </c>
      <c r="BD57" s="107">
        <v>0</v>
      </c>
      <c r="BE57" s="107">
        <v>0</v>
      </c>
      <c r="BF57" s="107">
        <v>0</v>
      </c>
      <c r="BG57" s="107">
        <v>0</v>
      </c>
      <c r="BH57" s="107">
        <v>0</v>
      </c>
      <c r="BI57" s="107">
        <v>0</v>
      </c>
      <c r="BJ57" s="107">
        <v>0</v>
      </c>
      <c r="BK57" s="107">
        <v>0</v>
      </c>
      <c r="BL57" s="107">
        <v>0</v>
      </c>
      <c r="BM57" s="107">
        <v>0</v>
      </c>
      <c r="BN57" s="107">
        <v>0</v>
      </c>
      <c r="BO57" s="107">
        <v>0</v>
      </c>
      <c r="BP57" s="107">
        <v>0</v>
      </c>
      <c r="BQ57" s="107">
        <v>0</v>
      </c>
      <c r="BR57" s="107">
        <v>0</v>
      </c>
      <c r="BS57" s="107">
        <v>0</v>
      </c>
      <c r="BT57" s="107">
        <v>0</v>
      </c>
      <c r="BU57" s="107">
        <v>0</v>
      </c>
      <c r="BV57" s="107">
        <v>0</v>
      </c>
      <c r="BW57" s="107">
        <v>0</v>
      </c>
      <c r="BX57" s="107">
        <v>0</v>
      </c>
      <c r="BY57" s="107">
        <v>0</v>
      </c>
      <c r="BZ57" s="107">
        <v>0</v>
      </c>
      <c r="CA57" s="107">
        <v>0</v>
      </c>
      <c r="CB57" s="107">
        <v>0</v>
      </c>
      <c r="CC57" s="107">
        <v>0</v>
      </c>
    </row>
    <row r="58" spans="1:81" x14ac:dyDescent="0.15">
      <c r="A58" s="178" t="s">
        <v>247</v>
      </c>
      <c r="B58" s="107">
        <v>0</v>
      </c>
      <c r="C58" s="107">
        <v>0</v>
      </c>
      <c r="D58" s="107">
        <v>0</v>
      </c>
      <c r="E58" s="107">
        <v>0</v>
      </c>
      <c r="F58" s="107">
        <v>0</v>
      </c>
      <c r="G58" s="107">
        <v>0</v>
      </c>
      <c r="H58" s="107">
        <v>0</v>
      </c>
      <c r="I58" s="107">
        <v>0</v>
      </c>
      <c r="J58" s="107">
        <v>0</v>
      </c>
      <c r="K58" s="107">
        <v>0</v>
      </c>
      <c r="L58" s="107">
        <v>0</v>
      </c>
      <c r="M58" s="107">
        <v>0</v>
      </c>
      <c r="N58" s="107">
        <v>0</v>
      </c>
      <c r="O58" s="107">
        <v>0</v>
      </c>
      <c r="P58" s="107">
        <v>0</v>
      </c>
      <c r="Q58" s="107">
        <v>0</v>
      </c>
      <c r="R58" s="107">
        <v>0</v>
      </c>
      <c r="S58" s="107">
        <v>0</v>
      </c>
      <c r="T58" s="107">
        <v>0</v>
      </c>
      <c r="U58" s="107">
        <v>0</v>
      </c>
      <c r="V58" s="107">
        <v>0</v>
      </c>
      <c r="W58" s="107">
        <v>0</v>
      </c>
      <c r="X58" s="107">
        <v>0</v>
      </c>
      <c r="Y58" s="107">
        <v>0</v>
      </c>
      <c r="Z58" s="107">
        <v>0</v>
      </c>
      <c r="AA58" s="107">
        <v>0</v>
      </c>
      <c r="AB58" s="107">
        <v>0</v>
      </c>
      <c r="AC58" s="107">
        <v>0</v>
      </c>
      <c r="AD58" s="107">
        <v>0</v>
      </c>
      <c r="AE58" s="107">
        <v>0</v>
      </c>
      <c r="AF58" s="107">
        <v>0</v>
      </c>
      <c r="AG58" s="107">
        <v>0</v>
      </c>
      <c r="AH58" s="107">
        <v>0</v>
      </c>
      <c r="AI58" s="107">
        <v>0</v>
      </c>
      <c r="AJ58" s="107">
        <v>0</v>
      </c>
      <c r="AK58" s="107">
        <v>0</v>
      </c>
      <c r="AL58" s="107">
        <v>0</v>
      </c>
      <c r="AM58" s="107">
        <v>0</v>
      </c>
      <c r="AN58" s="107">
        <v>0</v>
      </c>
      <c r="AO58" s="107">
        <v>0</v>
      </c>
      <c r="AP58" s="107">
        <v>0</v>
      </c>
      <c r="AQ58" s="107">
        <v>0</v>
      </c>
      <c r="AR58" s="107">
        <v>0</v>
      </c>
      <c r="AS58" s="107">
        <v>0</v>
      </c>
      <c r="AT58" s="107">
        <v>0</v>
      </c>
      <c r="AU58" s="107">
        <v>0</v>
      </c>
      <c r="AV58" s="107">
        <v>0</v>
      </c>
      <c r="AW58" s="107">
        <v>0.8</v>
      </c>
      <c r="AX58" s="107">
        <v>0</v>
      </c>
      <c r="AY58" s="107">
        <v>0</v>
      </c>
      <c r="AZ58" s="107">
        <v>0</v>
      </c>
      <c r="BA58" s="107">
        <v>0</v>
      </c>
      <c r="BB58" s="107">
        <v>0</v>
      </c>
      <c r="BC58" s="107">
        <v>0</v>
      </c>
      <c r="BD58" s="107">
        <v>0</v>
      </c>
      <c r="BE58" s="107">
        <v>0</v>
      </c>
      <c r="BF58" s="107">
        <v>0</v>
      </c>
      <c r="BG58" s="107">
        <v>0</v>
      </c>
      <c r="BH58" s="107">
        <v>0</v>
      </c>
      <c r="BI58" s="107">
        <v>0</v>
      </c>
      <c r="BJ58" s="107">
        <v>0</v>
      </c>
      <c r="BK58" s="107">
        <v>0</v>
      </c>
      <c r="BL58" s="107">
        <v>0</v>
      </c>
      <c r="BM58" s="107">
        <v>0</v>
      </c>
      <c r="BN58" s="107">
        <v>0</v>
      </c>
      <c r="BO58" s="107">
        <v>0</v>
      </c>
      <c r="BP58" s="107">
        <v>0</v>
      </c>
      <c r="BQ58" s="107">
        <v>0</v>
      </c>
      <c r="BR58" s="107">
        <v>0</v>
      </c>
      <c r="BS58" s="107">
        <v>0</v>
      </c>
      <c r="BT58" s="107">
        <v>0</v>
      </c>
      <c r="BU58" s="107">
        <v>0</v>
      </c>
      <c r="BV58" s="107">
        <v>0</v>
      </c>
      <c r="BW58" s="107">
        <v>0</v>
      </c>
      <c r="BX58" s="107">
        <v>0</v>
      </c>
      <c r="BY58" s="107">
        <v>0</v>
      </c>
      <c r="BZ58" s="107">
        <v>0</v>
      </c>
      <c r="CA58" s="107">
        <v>0</v>
      </c>
      <c r="CB58" s="107">
        <v>0</v>
      </c>
      <c r="CC58" s="107">
        <v>0</v>
      </c>
    </row>
    <row r="59" spans="1:81" x14ac:dyDescent="0.15">
      <c r="A59" s="178" t="s">
        <v>248</v>
      </c>
      <c r="B59" s="107">
        <v>0</v>
      </c>
      <c r="C59" s="107">
        <v>0</v>
      </c>
      <c r="D59" s="107">
        <v>0</v>
      </c>
      <c r="E59" s="107">
        <v>0</v>
      </c>
      <c r="F59" s="107">
        <v>0</v>
      </c>
      <c r="G59" s="107">
        <v>0</v>
      </c>
      <c r="H59" s="107">
        <v>0</v>
      </c>
      <c r="I59" s="107">
        <v>0</v>
      </c>
      <c r="J59" s="107">
        <v>0</v>
      </c>
      <c r="K59" s="107">
        <v>0</v>
      </c>
      <c r="L59" s="107">
        <v>0</v>
      </c>
      <c r="M59" s="107">
        <v>0</v>
      </c>
      <c r="N59" s="107">
        <v>0</v>
      </c>
      <c r="O59" s="107">
        <v>0</v>
      </c>
      <c r="P59" s="107">
        <v>0</v>
      </c>
      <c r="Q59" s="107">
        <v>0</v>
      </c>
      <c r="R59" s="107">
        <v>0</v>
      </c>
      <c r="S59" s="107">
        <v>0</v>
      </c>
      <c r="T59" s="107">
        <v>0</v>
      </c>
      <c r="U59" s="107">
        <v>0</v>
      </c>
      <c r="V59" s="107">
        <v>0</v>
      </c>
      <c r="W59" s="107">
        <v>0.8</v>
      </c>
      <c r="X59" s="107">
        <v>0</v>
      </c>
      <c r="Y59" s="107">
        <v>0</v>
      </c>
      <c r="Z59" s="107">
        <v>0</v>
      </c>
      <c r="AA59" s="107">
        <v>0</v>
      </c>
      <c r="AB59" s="107">
        <v>0.8</v>
      </c>
      <c r="AC59" s="107">
        <v>0</v>
      </c>
      <c r="AD59" s="107">
        <v>0</v>
      </c>
      <c r="AE59" s="107">
        <v>0</v>
      </c>
      <c r="AF59" s="107">
        <v>0</v>
      </c>
      <c r="AG59" s="107">
        <v>0</v>
      </c>
      <c r="AH59" s="107">
        <v>0</v>
      </c>
      <c r="AI59" s="107">
        <v>0</v>
      </c>
      <c r="AJ59" s="107">
        <v>0</v>
      </c>
      <c r="AK59" s="107">
        <v>0</v>
      </c>
      <c r="AL59" s="107">
        <v>0</v>
      </c>
      <c r="AM59" s="107">
        <v>0</v>
      </c>
      <c r="AN59" s="107">
        <v>0</v>
      </c>
      <c r="AO59" s="107">
        <v>0</v>
      </c>
      <c r="AP59" s="107">
        <v>0</v>
      </c>
      <c r="AQ59" s="107">
        <v>0</v>
      </c>
      <c r="AR59" s="107">
        <v>0</v>
      </c>
      <c r="AS59" s="107">
        <v>0</v>
      </c>
      <c r="AT59" s="107">
        <v>0</v>
      </c>
      <c r="AU59" s="107">
        <v>0</v>
      </c>
      <c r="AV59" s="107">
        <v>0</v>
      </c>
      <c r="AW59" s="107">
        <v>0</v>
      </c>
      <c r="AX59" s="107">
        <v>0</v>
      </c>
      <c r="AY59" s="107">
        <v>0</v>
      </c>
      <c r="AZ59" s="107">
        <v>0</v>
      </c>
      <c r="BA59" s="107">
        <v>0</v>
      </c>
      <c r="BB59" s="107">
        <v>0</v>
      </c>
      <c r="BC59" s="107">
        <v>0</v>
      </c>
      <c r="BD59" s="107">
        <v>0</v>
      </c>
      <c r="BE59" s="107">
        <v>0</v>
      </c>
      <c r="BF59" s="107">
        <v>0</v>
      </c>
      <c r="BG59" s="107">
        <v>0</v>
      </c>
      <c r="BH59" s="107">
        <v>0.8</v>
      </c>
      <c r="BI59" s="107">
        <v>0</v>
      </c>
      <c r="BJ59" s="107">
        <v>0</v>
      </c>
      <c r="BK59" s="107">
        <v>0</v>
      </c>
      <c r="BL59" s="107">
        <v>0</v>
      </c>
      <c r="BM59" s="107">
        <v>0</v>
      </c>
      <c r="BN59" s="107">
        <v>0</v>
      </c>
      <c r="BO59" s="107">
        <v>0</v>
      </c>
      <c r="BP59" s="107">
        <v>0</v>
      </c>
      <c r="BQ59" s="107">
        <v>0</v>
      </c>
      <c r="BR59" s="107">
        <v>0</v>
      </c>
      <c r="BS59" s="107">
        <v>0</v>
      </c>
      <c r="BT59" s="107">
        <v>0</v>
      </c>
      <c r="BU59" s="107">
        <v>0</v>
      </c>
      <c r="BV59" s="107">
        <v>0</v>
      </c>
      <c r="BW59" s="107">
        <v>0</v>
      </c>
      <c r="BX59" s="107">
        <v>0</v>
      </c>
      <c r="BY59" s="107">
        <v>0</v>
      </c>
      <c r="BZ59" s="107">
        <v>0</v>
      </c>
      <c r="CA59" s="107">
        <v>0</v>
      </c>
      <c r="CB59" s="107">
        <v>0</v>
      </c>
      <c r="CC59" s="107">
        <v>0</v>
      </c>
    </row>
    <row r="60" spans="1:81" x14ac:dyDescent="0.15">
      <c r="A60" s="178" t="s">
        <v>249</v>
      </c>
      <c r="B60" s="107">
        <v>0</v>
      </c>
      <c r="C60" s="107">
        <v>0</v>
      </c>
      <c r="D60" s="107">
        <v>0</v>
      </c>
      <c r="E60" s="107">
        <v>0</v>
      </c>
      <c r="F60" s="107">
        <v>0</v>
      </c>
      <c r="G60" s="107">
        <v>0</v>
      </c>
      <c r="H60" s="107">
        <v>0</v>
      </c>
      <c r="I60" s="107">
        <v>0</v>
      </c>
      <c r="J60" s="107">
        <v>0</v>
      </c>
      <c r="K60" s="107">
        <v>0</v>
      </c>
      <c r="L60" s="107">
        <v>0</v>
      </c>
      <c r="M60" s="107">
        <v>0</v>
      </c>
      <c r="N60" s="107">
        <v>0</v>
      </c>
      <c r="O60" s="107">
        <v>0</v>
      </c>
      <c r="P60" s="107">
        <v>0</v>
      </c>
      <c r="Q60" s="107">
        <v>0</v>
      </c>
      <c r="R60" s="107">
        <v>0</v>
      </c>
      <c r="S60" s="107">
        <v>0</v>
      </c>
      <c r="T60" s="107">
        <v>0</v>
      </c>
      <c r="U60" s="107">
        <v>0</v>
      </c>
      <c r="V60" s="107">
        <v>0</v>
      </c>
      <c r="W60" s="107">
        <v>0.8</v>
      </c>
      <c r="X60" s="107">
        <v>0</v>
      </c>
      <c r="Y60" s="107">
        <v>0</v>
      </c>
      <c r="Z60" s="107">
        <v>0</v>
      </c>
      <c r="AA60" s="107">
        <v>0</v>
      </c>
      <c r="AB60" s="107">
        <v>0.8</v>
      </c>
      <c r="AC60" s="107">
        <v>0</v>
      </c>
      <c r="AD60" s="107">
        <v>0</v>
      </c>
      <c r="AE60" s="107">
        <v>0</v>
      </c>
      <c r="AF60" s="107">
        <v>0</v>
      </c>
      <c r="AG60" s="107">
        <v>0</v>
      </c>
      <c r="AH60" s="107">
        <v>0</v>
      </c>
      <c r="AI60" s="107">
        <v>0.8</v>
      </c>
      <c r="AJ60" s="107">
        <v>0</v>
      </c>
      <c r="AK60" s="107">
        <v>0</v>
      </c>
      <c r="AL60" s="107">
        <v>0</v>
      </c>
      <c r="AM60" s="107">
        <v>0</v>
      </c>
      <c r="AN60" s="107">
        <v>0</v>
      </c>
      <c r="AO60" s="107">
        <v>0</v>
      </c>
      <c r="AP60" s="107">
        <v>0</v>
      </c>
      <c r="AQ60" s="107">
        <v>0</v>
      </c>
      <c r="AR60" s="107">
        <v>0</v>
      </c>
      <c r="AS60" s="107">
        <v>0</v>
      </c>
      <c r="AT60" s="107">
        <v>0</v>
      </c>
      <c r="AU60" s="107">
        <v>0</v>
      </c>
      <c r="AV60" s="107">
        <v>0</v>
      </c>
      <c r="AW60" s="107">
        <v>0</v>
      </c>
      <c r="AX60" s="107">
        <v>0</v>
      </c>
      <c r="AY60" s="107">
        <v>0</v>
      </c>
      <c r="AZ60" s="107">
        <v>0</v>
      </c>
      <c r="BA60" s="107">
        <v>0</v>
      </c>
      <c r="BB60" s="107">
        <v>0</v>
      </c>
      <c r="BC60" s="107">
        <v>0</v>
      </c>
      <c r="BD60" s="107">
        <v>0</v>
      </c>
      <c r="BE60" s="107">
        <v>0</v>
      </c>
      <c r="BF60" s="107">
        <v>0</v>
      </c>
      <c r="BG60" s="107">
        <v>0</v>
      </c>
      <c r="BH60" s="107">
        <v>0</v>
      </c>
      <c r="BI60" s="107">
        <v>0</v>
      </c>
      <c r="BJ60" s="107">
        <v>0.8</v>
      </c>
      <c r="BK60" s="107">
        <v>0</v>
      </c>
      <c r="BL60" s="107">
        <v>0</v>
      </c>
      <c r="BM60" s="107">
        <v>0</v>
      </c>
      <c r="BN60" s="107">
        <v>0</v>
      </c>
      <c r="BO60" s="107">
        <v>0</v>
      </c>
      <c r="BP60" s="107">
        <v>0</v>
      </c>
      <c r="BQ60" s="107">
        <v>0</v>
      </c>
      <c r="BR60" s="107">
        <v>0</v>
      </c>
      <c r="BS60" s="107">
        <v>0</v>
      </c>
      <c r="BT60" s="107">
        <v>0</v>
      </c>
      <c r="BU60" s="107">
        <v>0</v>
      </c>
      <c r="BV60" s="107">
        <v>0</v>
      </c>
      <c r="BW60" s="107">
        <v>0</v>
      </c>
      <c r="BX60" s="107">
        <v>0</v>
      </c>
      <c r="BY60" s="107">
        <v>0</v>
      </c>
      <c r="BZ60" s="107">
        <v>0</v>
      </c>
      <c r="CA60" s="107">
        <v>0</v>
      </c>
      <c r="CB60" s="107">
        <v>0</v>
      </c>
      <c r="CC60" s="107">
        <v>0</v>
      </c>
    </row>
    <row r="61" spans="1:81" x14ac:dyDescent="0.15">
      <c r="A61" s="178" t="s">
        <v>250</v>
      </c>
      <c r="B61" s="107">
        <v>0</v>
      </c>
      <c r="C61" s="107">
        <v>0</v>
      </c>
      <c r="D61" s="107">
        <v>0</v>
      </c>
      <c r="E61" s="107">
        <v>0</v>
      </c>
      <c r="F61" s="107">
        <v>0</v>
      </c>
      <c r="G61" s="107">
        <v>0</v>
      </c>
      <c r="H61" s="107">
        <v>0</v>
      </c>
      <c r="I61" s="107">
        <v>0</v>
      </c>
      <c r="J61" s="107">
        <v>0</v>
      </c>
      <c r="K61" s="107">
        <v>0</v>
      </c>
      <c r="L61" s="107">
        <v>0</v>
      </c>
      <c r="M61" s="107">
        <v>0</v>
      </c>
      <c r="N61" s="107">
        <v>0</v>
      </c>
      <c r="O61" s="107">
        <v>0</v>
      </c>
      <c r="P61" s="107">
        <v>0</v>
      </c>
      <c r="Q61" s="107">
        <v>0</v>
      </c>
      <c r="R61" s="107">
        <v>0</v>
      </c>
      <c r="S61" s="107">
        <v>0</v>
      </c>
      <c r="T61" s="107">
        <v>0</v>
      </c>
      <c r="U61" s="107">
        <v>0.8</v>
      </c>
      <c r="V61" s="107">
        <v>0</v>
      </c>
      <c r="W61" s="107">
        <v>0</v>
      </c>
      <c r="X61" s="107">
        <v>0</v>
      </c>
      <c r="Y61" s="107">
        <v>0.8</v>
      </c>
      <c r="Z61" s="107">
        <v>0</v>
      </c>
      <c r="AA61" s="107">
        <v>0</v>
      </c>
      <c r="AB61" s="107">
        <v>0</v>
      </c>
      <c r="AC61" s="107">
        <v>0.8</v>
      </c>
      <c r="AD61" s="107">
        <v>0</v>
      </c>
      <c r="AE61" s="107">
        <v>0</v>
      </c>
      <c r="AF61" s="107">
        <v>0.8</v>
      </c>
      <c r="AG61" s="107">
        <v>0.8</v>
      </c>
      <c r="AH61" s="107">
        <v>0</v>
      </c>
      <c r="AI61" s="107">
        <v>0</v>
      </c>
      <c r="AJ61" s="107">
        <v>0</v>
      </c>
      <c r="AK61" s="107">
        <v>0</v>
      </c>
      <c r="AL61" s="107">
        <v>0</v>
      </c>
      <c r="AM61" s="107">
        <v>0</v>
      </c>
      <c r="AN61" s="107">
        <v>0</v>
      </c>
      <c r="AO61" s="107">
        <v>0</v>
      </c>
      <c r="AP61" s="107">
        <v>0</v>
      </c>
      <c r="AQ61" s="107">
        <v>0</v>
      </c>
      <c r="AR61" s="107">
        <v>0</v>
      </c>
      <c r="AS61" s="107">
        <v>0</v>
      </c>
      <c r="AT61" s="107">
        <v>0</v>
      </c>
      <c r="AU61" s="107">
        <v>0</v>
      </c>
      <c r="AV61" s="107">
        <v>0</v>
      </c>
      <c r="AW61" s="107">
        <v>0</v>
      </c>
      <c r="AX61" s="107">
        <v>0</v>
      </c>
      <c r="AY61" s="107">
        <v>0</v>
      </c>
      <c r="AZ61" s="107">
        <v>0</v>
      </c>
      <c r="BA61" s="107">
        <v>0</v>
      </c>
      <c r="BB61" s="107">
        <v>0</v>
      </c>
      <c r="BC61" s="107">
        <v>0</v>
      </c>
      <c r="BD61" s="107">
        <v>0</v>
      </c>
      <c r="BE61" s="107">
        <v>0</v>
      </c>
      <c r="BF61" s="107">
        <v>0</v>
      </c>
      <c r="BG61" s="107">
        <v>0</v>
      </c>
      <c r="BH61" s="107">
        <v>0</v>
      </c>
      <c r="BI61" s="107">
        <v>0</v>
      </c>
      <c r="BJ61" s="107">
        <v>0.8</v>
      </c>
      <c r="BK61" s="107">
        <v>0</v>
      </c>
      <c r="BL61" s="107">
        <v>0</v>
      </c>
      <c r="BM61" s="107">
        <v>0</v>
      </c>
      <c r="BN61" s="107">
        <v>0</v>
      </c>
      <c r="BO61" s="107">
        <v>0</v>
      </c>
      <c r="BP61" s="107">
        <v>0</v>
      </c>
      <c r="BQ61" s="107">
        <v>0</v>
      </c>
      <c r="BR61" s="107">
        <v>0</v>
      </c>
      <c r="BS61" s="107">
        <v>0</v>
      </c>
      <c r="BT61" s="107">
        <v>0</v>
      </c>
      <c r="BU61" s="107">
        <v>0</v>
      </c>
      <c r="BV61" s="107">
        <v>0</v>
      </c>
      <c r="BW61" s="107">
        <v>0</v>
      </c>
      <c r="BX61" s="107">
        <v>0</v>
      </c>
      <c r="BY61" s="107">
        <v>0</v>
      </c>
      <c r="BZ61" s="107">
        <v>0</v>
      </c>
      <c r="CA61" s="107">
        <v>0</v>
      </c>
      <c r="CB61" s="107">
        <v>0</v>
      </c>
      <c r="CC61" s="107">
        <v>0</v>
      </c>
    </row>
    <row r="62" spans="1:81" x14ac:dyDescent="0.15">
      <c r="A62" s="178" t="s">
        <v>251</v>
      </c>
      <c r="B62" s="107">
        <v>0</v>
      </c>
      <c r="C62" s="107">
        <v>0</v>
      </c>
      <c r="D62" s="107">
        <v>0</v>
      </c>
      <c r="E62" s="107">
        <v>0</v>
      </c>
      <c r="F62" s="107">
        <v>0</v>
      </c>
      <c r="G62" s="107">
        <v>0</v>
      </c>
      <c r="H62" s="107">
        <v>0</v>
      </c>
      <c r="I62" s="107">
        <v>0</v>
      </c>
      <c r="J62" s="107">
        <v>0</v>
      </c>
      <c r="K62" s="107">
        <v>0</v>
      </c>
      <c r="L62" s="107">
        <v>0</v>
      </c>
      <c r="M62" s="107">
        <v>0</v>
      </c>
      <c r="N62" s="107">
        <v>0</v>
      </c>
      <c r="O62" s="107">
        <v>0</v>
      </c>
      <c r="P62" s="107">
        <v>0</v>
      </c>
      <c r="Q62" s="107">
        <v>0</v>
      </c>
      <c r="R62" s="107">
        <v>0</v>
      </c>
      <c r="S62" s="107">
        <v>0</v>
      </c>
      <c r="T62" s="107">
        <v>0</v>
      </c>
      <c r="U62" s="107">
        <v>0</v>
      </c>
      <c r="V62" s="107">
        <v>0</v>
      </c>
      <c r="W62" s="107">
        <v>0</v>
      </c>
      <c r="X62" s="107">
        <v>0</v>
      </c>
      <c r="Y62" s="107">
        <v>0</v>
      </c>
      <c r="Z62" s="107">
        <v>0</v>
      </c>
      <c r="AA62" s="107">
        <v>0</v>
      </c>
      <c r="AB62" s="107">
        <v>0</v>
      </c>
      <c r="AC62" s="107">
        <v>0</v>
      </c>
      <c r="AD62" s="107">
        <v>0</v>
      </c>
      <c r="AE62" s="107">
        <v>0</v>
      </c>
      <c r="AF62" s="107">
        <v>0</v>
      </c>
      <c r="AG62" s="107">
        <v>0</v>
      </c>
      <c r="AH62" s="107">
        <v>0</v>
      </c>
      <c r="AI62" s="107">
        <v>0</v>
      </c>
      <c r="AJ62" s="107">
        <v>0</v>
      </c>
      <c r="AK62" s="107">
        <v>0</v>
      </c>
      <c r="AL62" s="107">
        <v>0</v>
      </c>
      <c r="AM62" s="107">
        <v>0</v>
      </c>
      <c r="AN62" s="107">
        <v>0</v>
      </c>
      <c r="AO62" s="107">
        <v>0</v>
      </c>
      <c r="AP62" s="107">
        <v>0</v>
      </c>
      <c r="AQ62" s="107">
        <v>0</v>
      </c>
      <c r="AR62" s="107">
        <v>0</v>
      </c>
      <c r="AS62" s="107">
        <v>0</v>
      </c>
      <c r="AT62" s="107">
        <v>0</v>
      </c>
      <c r="AU62" s="107">
        <v>0</v>
      </c>
      <c r="AV62" s="107">
        <v>0</v>
      </c>
      <c r="AW62" s="107">
        <v>0</v>
      </c>
      <c r="AX62" s="107">
        <v>0</v>
      </c>
      <c r="AY62" s="107">
        <v>0</v>
      </c>
      <c r="AZ62" s="107">
        <v>0</v>
      </c>
      <c r="BA62" s="107">
        <v>0</v>
      </c>
      <c r="BB62" s="107">
        <v>0</v>
      </c>
      <c r="BC62" s="107">
        <v>0</v>
      </c>
      <c r="BD62" s="107">
        <v>0</v>
      </c>
      <c r="BE62" s="107">
        <v>0</v>
      </c>
      <c r="BF62" s="107">
        <v>0</v>
      </c>
      <c r="BG62" s="107">
        <v>0</v>
      </c>
      <c r="BH62" s="107">
        <v>0</v>
      </c>
      <c r="BI62" s="107">
        <v>0</v>
      </c>
      <c r="BJ62" s="107">
        <v>0</v>
      </c>
      <c r="BK62" s="107">
        <v>0</v>
      </c>
      <c r="BL62" s="107">
        <v>0</v>
      </c>
      <c r="BM62" s="107">
        <v>0</v>
      </c>
      <c r="BN62" s="107">
        <v>0</v>
      </c>
      <c r="BO62" s="107">
        <v>0</v>
      </c>
      <c r="BP62" s="107">
        <v>0</v>
      </c>
      <c r="BQ62" s="107">
        <v>0</v>
      </c>
      <c r="BR62" s="107">
        <v>0</v>
      </c>
      <c r="BS62" s="107">
        <v>0</v>
      </c>
      <c r="BT62" s="107">
        <v>0</v>
      </c>
      <c r="BU62" s="107">
        <v>0</v>
      </c>
      <c r="BV62" s="107">
        <v>0</v>
      </c>
      <c r="BW62" s="107">
        <v>0</v>
      </c>
      <c r="BX62" s="107">
        <v>0</v>
      </c>
      <c r="BY62" s="107">
        <v>0</v>
      </c>
      <c r="BZ62" s="107">
        <v>0</v>
      </c>
      <c r="CA62" s="107">
        <v>0</v>
      </c>
      <c r="CB62" s="107">
        <v>0</v>
      </c>
      <c r="CC62" s="107">
        <v>0</v>
      </c>
    </row>
    <row r="63" spans="1:81" x14ac:dyDescent="0.15">
      <c r="A63" s="178" t="s">
        <v>252</v>
      </c>
      <c r="B63" s="107">
        <v>0</v>
      </c>
      <c r="C63" s="107">
        <v>0</v>
      </c>
      <c r="D63" s="107">
        <v>0</v>
      </c>
      <c r="E63" s="107">
        <v>0</v>
      </c>
      <c r="F63" s="107">
        <v>0</v>
      </c>
      <c r="G63" s="107">
        <v>0</v>
      </c>
      <c r="H63" s="107">
        <v>0</v>
      </c>
      <c r="I63" s="107">
        <v>0</v>
      </c>
      <c r="J63" s="107">
        <v>0</v>
      </c>
      <c r="K63" s="107">
        <v>0</v>
      </c>
      <c r="L63" s="107">
        <v>0</v>
      </c>
      <c r="M63" s="107">
        <v>0</v>
      </c>
      <c r="N63" s="107">
        <v>0</v>
      </c>
      <c r="O63" s="107">
        <v>0</v>
      </c>
      <c r="P63" s="107">
        <v>0</v>
      </c>
      <c r="Q63" s="107">
        <v>0</v>
      </c>
      <c r="R63" s="107">
        <v>0</v>
      </c>
      <c r="S63" s="107">
        <v>0</v>
      </c>
      <c r="T63" s="107">
        <v>0</v>
      </c>
      <c r="U63" s="107">
        <v>0</v>
      </c>
      <c r="V63" s="107">
        <v>0</v>
      </c>
      <c r="W63" s="107">
        <v>0</v>
      </c>
      <c r="X63" s="107">
        <v>0</v>
      </c>
      <c r="Y63" s="107">
        <v>0</v>
      </c>
      <c r="Z63" s="107">
        <v>0</v>
      </c>
      <c r="AA63" s="107">
        <v>0</v>
      </c>
      <c r="AB63" s="107">
        <v>0</v>
      </c>
      <c r="AC63" s="107">
        <v>0</v>
      </c>
      <c r="AD63" s="107">
        <v>0</v>
      </c>
      <c r="AE63" s="107">
        <v>0</v>
      </c>
      <c r="AF63" s="107">
        <v>0</v>
      </c>
      <c r="AG63" s="107">
        <v>0</v>
      </c>
      <c r="AH63" s="107">
        <v>0</v>
      </c>
      <c r="AI63" s="107">
        <v>0</v>
      </c>
      <c r="AJ63" s="107">
        <v>0.8</v>
      </c>
      <c r="AK63" s="107">
        <v>0</v>
      </c>
      <c r="AL63" s="107">
        <v>0.8</v>
      </c>
      <c r="AM63" s="107">
        <v>0.8</v>
      </c>
      <c r="AN63" s="107">
        <v>0.8</v>
      </c>
      <c r="AO63" s="107">
        <v>0.8</v>
      </c>
      <c r="AP63" s="107">
        <v>0.8</v>
      </c>
      <c r="AQ63" s="107">
        <v>0.8</v>
      </c>
      <c r="AR63" s="107">
        <v>0</v>
      </c>
      <c r="AS63" s="107">
        <v>0</v>
      </c>
      <c r="AT63" s="107">
        <v>0</v>
      </c>
      <c r="AU63" s="107">
        <v>0</v>
      </c>
      <c r="AV63" s="107">
        <v>0</v>
      </c>
      <c r="AW63" s="107">
        <v>0</v>
      </c>
      <c r="AX63" s="107">
        <v>0</v>
      </c>
      <c r="AY63" s="107">
        <v>0</v>
      </c>
      <c r="AZ63" s="107">
        <v>0</v>
      </c>
      <c r="BA63" s="107">
        <v>0</v>
      </c>
      <c r="BB63" s="107">
        <v>0.8</v>
      </c>
      <c r="BC63" s="107">
        <v>0</v>
      </c>
      <c r="BD63" s="107">
        <v>0</v>
      </c>
      <c r="BE63" s="107">
        <v>0</v>
      </c>
      <c r="BF63" s="107">
        <v>0</v>
      </c>
      <c r="BG63" s="107">
        <v>0</v>
      </c>
      <c r="BH63" s="107">
        <v>0</v>
      </c>
      <c r="BI63" s="107">
        <v>0.8</v>
      </c>
      <c r="BJ63" s="107">
        <v>0</v>
      </c>
      <c r="BK63" s="107">
        <v>0</v>
      </c>
      <c r="BL63" s="107">
        <v>0</v>
      </c>
      <c r="BM63" s="107">
        <v>0</v>
      </c>
      <c r="BN63" s="107">
        <v>0</v>
      </c>
      <c r="BO63" s="107">
        <v>0</v>
      </c>
      <c r="BP63" s="107">
        <v>0</v>
      </c>
      <c r="BQ63" s="107">
        <v>0</v>
      </c>
      <c r="BR63" s="107">
        <v>0</v>
      </c>
      <c r="BS63" s="107">
        <v>0</v>
      </c>
      <c r="BT63" s="107">
        <v>0</v>
      </c>
      <c r="BU63" s="107">
        <v>0</v>
      </c>
      <c r="BV63" s="107">
        <v>0</v>
      </c>
      <c r="BW63" s="107">
        <v>0</v>
      </c>
      <c r="BX63" s="107">
        <v>0</v>
      </c>
      <c r="BY63" s="107">
        <v>0</v>
      </c>
      <c r="BZ63" s="107">
        <v>0</v>
      </c>
      <c r="CA63" s="107">
        <v>0</v>
      </c>
      <c r="CB63" s="107">
        <v>0</v>
      </c>
      <c r="CC63" s="107">
        <v>0</v>
      </c>
    </row>
    <row r="64" spans="1:81" x14ac:dyDescent="0.15">
      <c r="A64" s="178" t="s">
        <v>253</v>
      </c>
      <c r="B64" s="107">
        <v>0</v>
      </c>
      <c r="C64" s="107">
        <v>0</v>
      </c>
      <c r="D64" s="107">
        <v>0</v>
      </c>
      <c r="E64" s="107">
        <v>0</v>
      </c>
      <c r="F64" s="107">
        <v>0</v>
      </c>
      <c r="G64" s="107">
        <v>0</v>
      </c>
      <c r="H64" s="107">
        <v>0</v>
      </c>
      <c r="I64" s="107">
        <v>0</v>
      </c>
      <c r="J64" s="107">
        <v>0</v>
      </c>
      <c r="K64" s="107">
        <v>0</v>
      </c>
      <c r="L64" s="107">
        <v>0</v>
      </c>
      <c r="M64" s="107">
        <v>0</v>
      </c>
      <c r="N64" s="107">
        <v>0</v>
      </c>
      <c r="O64" s="107">
        <v>0.8</v>
      </c>
      <c r="P64" s="107">
        <v>0.8</v>
      </c>
      <c r="Q64" s="107">
        <v>0</v>
      </c>
      <c r="R64" s="107">
        <v>0</v>
      </c>
      <c r="S64" s="107">
        <v>0</v>
      </c>
      <c r="T64" s="107">
        <v>0</v>
      </c>
      <c r="U64" s="107">
        <v>0</v>
      </c>
      <c r="V64" s="107">
        <v>0</v>
      </c>
      <c r="W64" s="107">
        <v>0</v>
      </c>
      <c r="X64" s="107">
        <v>0.8</v>
      </c>
      <c r="Y64" s="107">
        <v>0.8</v>
      </c>
      <c r="Z64" s="107">
        <v>0</v>
      </c>
      <c r="AA64" s="107">
        <v>0</v>
      </c>
      <c r="AB64" s="107">
        <v>0</v>
      </c>
      <c r="AC64" s="107">
        <v>0.8</v>
      </c>
      <c r="AD64" s="107">
        <v>0</v>
      </c>
      <c r="AE64" s="107">
        <v>0</v>
      </c>
      <c r="AF64" s="107">
        <v>0.8</v>
      </c>
      <c r="AG64" s="107">
        <v>0</v>
      </c>
      <c r="AH64" s="107">
        <v>0</v>
      </c>
      <c r="AI64" s="107">
        <v>0</v>
      </c>
      <c r="AJ64" s="107">
        <v>0</v>
      </c>
      <c r="AK64" s="107">
        <v>0</v>
      </c>
      <c r="AL64" s="107">
        <v>0</v>
      </c>
      <c r="AM64" s="107">
        <v>0</v>
      </c>
      <c r="AN64" s="107">
        <v>0</v>
      </c>
      <c r="AO64" s="107">
        <v>0</v>
      </c>
      <c r="AP64" s="107">
        <v>0.8</v>
      </c>
      <c r="AQ64" s="107">
        <v>0.8</v>
      </c>
      <c r="AR64" s="107">
        <v>0.8</v>
      </c>
      <c r="AS64" s="107">
        <v>0</v>
      </c>
      <c r="AT64" s="107">
        <v>0</v>
      </c>
      <c r="AU64" s="107">
        <v>0</v>
      </c>
      <c r="AV64" s="107">
        <v>0</v>
      </c>
      <c r="AW64" s="107">
        <v>0</v>
      </c>
      <c r="AX64" s="107">
        <v>0</v>
      </c>
      <c r="AY64" s="107">
        <v>0</v>
      </c>
      <c r="AZ64" s="107">
        <v>0</v>
      </c>
      <c r="BA64" s="107">
        <v>0</v>
      </c>
      <c r="BB64" s="107">
        <v>0.8</v>
      </c>
      <c r="BC64" s="107">
        <v>0</v>
      </c>
      <c r="BD64" s="107">
        <v>0.8</v>
      </c>
      <c r="BE64" s="107">
        <v>0</v>
      </c>
      <c r="BF64" s="107">
        <v>0</v>
      </c>
      <c r="BG64" s="107">
        <v>0</v>
      </c>
      <c r="BH64" s="107">
        <v>0</v>
      </c>
      <c r="BI64" s="107">
        <v>0</v>
      </c>
      <c r="BJ64" s="107">
        <v>0</v>
      </c>
      <c r="BK64" s="107">
        <v>0</v>
      </c>
      <c r="BL64" s="107">
        <v>0</v>
      </c>
      <c r="BM64" s="107">
        <v>0</v>
      </c>
      <c r="BN64" s="107">
        <v>0</v>
      </c>
      <c r="BO64" s="107">
        <v>0</v>
      </c>
      <c r="BP64" s="107">
        <v>0</v>
      </c>
      <c r="BQ64" s="107">
        <v>0</v>
      </c>
      <c r="BR64" s="107">
        <v>0</v>
      </c>
      <c r="BS64" s="107">
        <v>0</v>
      </c>
      <c r="BT64" s="107">
        <v>0</v>
      </c>
      <c r="BU64" s="107">
        <v>0</v>
      </c>
      <c r="BV64" s="107">
        <v>0</v>
      </c>
      <c r="BW64" s="107">
        <v>0</v>
      </c>
      <c r="BX64" s="107">
        <v>0</v>
      </c>
      <c r="BY64" s="107">
        <v>0</v>
      </c>
      <c r="BZ64" s="107">
        <v>0</v>
      </c>
      <c r="CA64" s="107">
        <v>0</v>
      </c>
      <c r="CB64" s="107">
        <v>0</v>
      </c>
      <c r="CC64" s="107">
        <v>0</v>
      </c>
    </row>
    <row r="65" spans="1:81" x14ac:dyDescent="0.15">
      <c r="A65" s="178" t="s">
        <v>254</v>
      </c>
      <c r="B65" s="107">
        <v>0</v>
      </c>
      <c r="C65" s="107">
        <v>0</v>
      </c>
      <c r="D65" s="107">
        <v>0</v>
      </c>
      <c r="E65" s="107">
        <v>0</v>
      </c>
      <c r="F65" s="107">
        <v>0</v>
      </c>
      <c r="G65" s="107">
        <v>0</v>
      </c>
      <c r="H65" s="107">
        <v>0</v>
      </c>
      <c r="I65" s="107">
        <v>0</v>
      </c>
      <c r="J65" s="107">
        <v>0</v>
      </c>
      <c r="K65" s="107">
        <v>0</v>
      </c>
      <c r="L65" s="107">
        <v>0</v>
      </c>
      <c r="M65" s="107">
        <v>0</v>
      </c>
      <c r="N65" s="107">
        <v>0</v>
      </c>
      <c r="O65" s="107">
        <v>0.8</v>
      </c>
      <c r="P65" s="107">
        <v>0.8</v>
      </c>
      <c r="Q65" s="107">
        <v>0</v>
      </c>
      <c r="R65" s="107">
        <v>0</v>
      </c>
      <c r="S65" s="107">
        <v>0.8</v>
      </c>
      <c r="T65" s="107">
        <v>0</v>
      </c>
      <c r="U65" s="107">
        <v>0</v>
      </c>
      <c r="V65" s="107">
        <v>0</v>
      </c>
      <c r="W65" s="107">
        <v>0</v>
      </c>
      <c r="X65" s="107">
        <v>0.8</v>
      </c>
      <c r="Y65" s="107">
        <v>0.8</v>
      </c>
      <c r="Z65" s="107">
        <v>0</v>
      </c>
      <c r="AA65" s="107">
        <v>0</v>
      </c>
      <c r="AB65" s="107">
        <v>0</v>
      </c>
      <c r="AC65" s="107">
        <v>0.8</v>
      </c>
      <c r="AD65" s="107">
        <v>0</v>
      </c>
      <c r="AE65" s="107">
        <v>0</v>
      </c>
      <c r="AF65" s="107">
        <v>0</v>
      </c>
      <c r="AG65" s="107">
        <v>0</v>
      </c>
      <c r="AH65" s="107">
        <v>0</v>
      </c>
      <c r="AI65" s="107">
        <v>0</v>
      </c>
      <c r="AJ65" s="107">
        <v>0</v>
      </c>
      <c r="AK65" s="107">
        <v>0</v>
      </c>
      <c r="AL65" s="107">
        <v>0</v>
      </c>
      <c r="AM65" s="107">
        <v>0</v>
      </c>
      <c r="AN65" s="107">
        <v>0</v>
      </c>
      <c r="AO65" s="107">
        <v>0</v>
      </c>
      <c r="AP65" s="107">
        <v>0.8</v>
      </c>
      <c r="AQ65" s="107">
        <v>0</v>
      </c>
      <c r="AR65" s="107">
        <v>0.8</v>
      </c>
      <c r="AS65" s="107">
        <v>0</v>
      </c>
      <c r="AT65" s="107">
        <v>0</v>
      </c>
      <c r="AU65" s="107">
        <v>0</v>
      </c>
      <c r="AV65" s="107">
        <v>0</v>
      </c>
      <c r="AW65" s="107">
        <v>0</v>
      </c>
      <c r="AX65" s="107">
        <v>0</v>
      </c>
      <c r="AY65" s="107">
        <v>0</v>
      </c>
      <c r="AZ65" s="107">
        <v>0</v>
      </c>
      <c r="BA65" s="107">
        <v>0</v>
      </c>
      <c r="BB65" s="107">
        <v>0.8</v>
      </c>
      <c r="BC65" s="107">
        <v>0</v>
      </c>
      <c r="BD65" s="107">
        <v>0.8</v>
      </c>
      <c r="BE65" s="107">
        <v>0.8</v>
      </c>
      <c r="BF65" s="107">
        <v>0.8</v>
      </c>
      <c r="BG65" s="107">
        <v>0</v>
      </c>
      <c r="BH65" s="107">
        <v>0</v>
      </c>
      <c r="BI65" s="107">
        <v>0</v>
      </c>
      <c r="BJ65" s="107">
        <v>0</v>
      </c>
      <c r="BK65" s="107">
        <v>0</v>
      </c>
      <c r="BL65" s="107">
        <v>0</v>
      </c>
      <c r="BM65" s="107">
        <v>0</v>
      </c>
      <c r="BN65" s="107">
        <v>0</v>
      </c>
      <c r="BO65" s="107">
        <v>0</v>
      </c>
      <c r="BP65" s="107">
        <v>0</v>
      </c>
      <c r="BQ65" s="107">
        <v>0</v>
      </c>
      <c r="BR65" s="107">
        <v>0</v>
      </c>
      <c r="BS65" s="107">
        <v>0</v>
      </c>
      <c r="BT65" s="107">
        <v>0</v>
      </c>
      <c r="BU65" s="107">
        <v>0</v>
      </c>
      <c r="BV65" s="107">
        <v>0</v>
      </c>
      <c r="BW65" s="107">
        <v>0</v>
      </c>
      <c r="BX65" s="107">
        <v>0</v>
      </c>
      <c r="BY65" s="107">
        <v>0</v>
      </c>
      <c r="BZ65" s="107">
        <v>0</v>
      </c>
      <c r="CA65" s="107">
        <v>0</v>
      </c>
      <c r="CB65" s="107">
        <v>0</v>
      </c>
      <c r="CC65" s="107">
        <v>0</v>
      </c>
    </row>
    <row r="66" spans="1:81" x14ac:dyDescent="0.15">
      <c r="A66" s="178" t="s">
        <v>255</v>
      </c>
      <c r="B66" s="107">
        <v>0</v>
      </c>
      <c r="C66" s="107">
        <v>0</v>
      </c>
      <c r="D66" s="107">
        <v>0</v>
      </c>
      <c r="E66" s="107">
        <v>0</v>
      </c>
      <c r="F66" s="107">
        <v>0</v>
      </c>
      <c r="G66" s="107">
        <v>0</v>
      </c>
      <c r="H66" s="107">
        <v>0</v>
      </c>
      <c r="I66" s="107">
        <v>0</v>
      </c>
      <c r="J66" s="107">
        <v>0</v>
      </c>
      <c r="K66" s="107">
        <v>0</v>
      </c>
      <c r="L66" s="107">
        <v>0</v>
      </c>
      <c r="M66" s="107">
        <v>0</v>
      </c>
      <c r="N66" s="107">
        <v>0</v>
      </c>
      <c r="O66" s="107">
        <v>0.8</v>
      </c>
      <c r="P66" s="107">
        <v>0.8</v>
      </c>
      <c r="Q66" s="107">
        <v>0</v>
      </c>
      <c r="R66" s="107">
        <v>0</v>
      </c>
      <c r="S66" s="107">
        <v>0.8</v>
      </c>
      <c r="T66" s="107">
        <v>0</v>
      </c>
      <c r="U66" s="107">
        <v>0</v>
      </c>
      <c r="V66" s="107">
        <v>0</v>
      </c>
      <c r="W66" s="107">
        <v>0</v>
      </c>
      <c r="X66" s="107">
        <v>0.8</v>
      </c>
      <c r="Y66" s="107">
        <v>0.8</v>
      </c>
      <c r="Z66" s="107">
        <v>0</v>
      </c>
      <c r="AA66" s="107">
        <v>0</v>
      </c>
      <c r="AB66" s="107">
        <v>0</v>
      </c>
      <c r="AC66" s="107">
        <v>0.8</v>
      </c>
      <c r="AD66" s="107">
        <v>0</v>
      </c>
      <c r="AE66" s="107">
        <v>0</v>
      </c>
      <c r="AF66" s="107">
        <v>0.8</v>
      </c>
      <c r="AG66" s="107">
        <v>0</v>
      </c>
      <c r="AH66" s="107">
        <v>0</v>
      </c>
      <c r="AI66" s="107">
        <v>0</v>
      </c>
      <c r="AJ66" s="107">
        <v>0</v>
      </c>
      <c r="AK66" s="107">
        <v>0</v>
      </c>
      <c r="AL66" s="107">
        <v>0</v>
      </c>
      <c r="AM66" s="107">
        <v>0</v>
      </c>
      <c r="AN66" s="107">
        <v>0</v>
      </c>
      <c r="AO66" s="107">
        <v>0.8</v>
      </c>
      <c r="AP66" s="107">
        <v>0.8</v>
      </c>
      <c r="AQ66" s="107">
        <v>0.8</v>
      </c>
      <c r="AR66" s="107">
        <v>0.8</v>
      </c>
      <c r="AS66" s="107">
        <v>0</v>
      </c>
      <c r="AT66" s="107">
        <v>0.8</v>
      </c>
      <c r="AU66" s="107">
        <v>0.8</v>
      </c>
      <c r="AV66" s="107">
        <v>0</v>
      </c>
      <c r="AW66" s="107">
        <v>0</v>
      </c>
      <c r="AX66" s="107">
        <v>0.8</v>
      </c>
      <c r="AY66" s="107">
        <v>0.8</v>
      </c>
      <c r="AZ66" s="107">
        <v>0.8</v>
      </c>
      <c r="BA66" s="107">
        <v>0.8</v>
      </c>
      <c r="BB66" s="107">
        <v>0.8</v>
      </c>
      <c r="BC66" s="107">
        <v>0</v>
      </c>
      <c r="BD66" s="107">
        <v>0.8</v>
      </c>
      <c r="BE66" s="107">
        <v>0</v>
      </c>
      <c r="BF66" s="107">
        <v>0.8</v>
      </c>
      <c r="BG66" s="107">
        <v>0</v>
      </c>
      <c r="BH66" s="107">
        <v>0</v>
      </c>
      <c r="BI66" s="107">
        <v>0</v>
      </c>
      <c r="BJ66" s="107">
        <v>0</v>
      </c>
      <c r="BK66" s="107">
        <v>0</v>
      </c>
      <c r="BL66" s="107">
        <v>0</v>
      </c>
      <c r="BM66" s="107">
        <v>0</v>
      </c>
      <c r="BN66" s="107">
        <v>0</v>
      </c>
      <c r="BO66" s="107">
        <v>0</v>
      </c>
      <c r="BP66" s="107">
        <v>0</v>
      </c>
      <c r="BQ66" s="107">
        <v>0</v>
      </c>
      <c r="BR66" s="107">
        <v>0</v>
      </c>
      <c r="BS66" s="107">
        <v>0</v>
      </c>
      <c r="BT66" s="107">
        <v>0</v>
      </c>
      <c r="BU66" s="107">
        <v>0</v>
      </c>
      <c r="BV66" s="107">
        <v>0</v>
      </c>
      <c r="BW66" s="107">
        <v>0</v>
      </c>
      <c r="BX66" s="107">
        <v>0</v>
      </c>
      <c r="BY66" s="107">
        <v>0</v>
      </c>
      <c r="BZ66" s="107">
        <v>0</v>
      </c>
      <c r="CA66" s="107">
        <v>0</v>
      </c>
      <c r="CB66" s="107">
        <v>0</v>
      </c>
      <c r="CC66" s="107">
        <v>0</v>
      </c>
    </row>
    <row r="67" spans="1:81" x14ac:dyDescent="0.15">
      <c r="A67" s="178" t="s">
        <v>256</v>
      </c>
      <c r="B67" s="107">
        <v>0</v>
      </c>
      <c r="C67" s="107">
        <v>0</v>
      </c>
      <c r="D67" s="107">
        <v>0</v>
      </c>
      <c r="E67" s="107">
        <v>0</v>
      </c>
      <c r="F67" s="107">
        <v>0</v>
      </c>
      <c r="G67" s="107">
        <v>0</v>
      </c>
      <c r="H67" s="107">
        <v>0</v>
      </c>
      <c r="I67" s="107">
        <v>0</v>
      </c>
      <c r="J67" s="107">
        <v>0</v>
      </c>
      <c r="K67" s="107">
        <v>0</v>
      </c>
      <c r="L67" s="107">
        <v>0</v>
      </c>
      <c r="M67" s="107">
        <v>0</v>
      </c>
      <c r="N67" s="107">
        <v>0</v>
      </c>
      <c r="O67" s="107">
        <v>0.8</v>
      </c>
      <c r="P67" s="107">
        <v>0.8</v>
      </c>
      <c r="Q67" s="107">
        <v>0</v>
      </c>
      <c r="R67" s="107">
        <v>0</v>
      </c>
      <c r="S67" s="107">
        <v>0</v>
      </c>
      <c r="T67" s="107">
        <v>0</v>
      </c>
      <c r="U67" s="107">
        <v>0</v>
      </c>
      <c r="V67" s="107">
        <v>0</v>
      </c>
      <c r="W67" s="107">
        <v>0</v>
      </c>
      <c r="X67" s="107">
        <v>0.8</v>
      </c>
      <c r="Y67" s="107">
        <v>0</v>
      </c>
      <c r="Z67" s="107">
        <v>0</v>
      </c>
      <c r="AA67" s="107">
        <v>0</v>
      </c>
      <c r="AB67" s="107">
        <v>0</v>
      </c>
      <c r="AC67" s="107">
        <v>0</v>
      </c>
      <c r="AD67" s="107">
        <v>0</v>
      </c>
      <c r="AE67" s="107">
        <v>0</v>
      </c>
      <c r="AF67" s="107">
        <v>0</v>
      </c>
      <c r="AG67" s="107">
        <v>0</v>
      </c>
      <c r="AH67" s="107">
        <v>0</v>
      </c>
      <c r="AI67" s="107">
        <v>0</v>
      </c>
      <c r="AJ67" s="107">
        <v>0</v>
      </c>
      <c r="AK67" s="107">
        <v>0</v>
      </c>
      <c r="AL67" s="107">
        <v>0</v>
      </c>
      <c r="AM67" s="107">
        <v>0</v>
      </c>
      <c r="AN67" s="107">
        <v>0</v>
      </c>
      <c r="AO67" s="107">
        <v>0</v>
      </c>
      <c r="AP67" s="107">
        <v>0.8</v>
      </c>
      <c r="AQ67" s="107">
        <v>0</v>
      </c>
      <c r="AR67" s="107">
        <v>0.8</v>
      </c>
      <c r="AS67" s="107">
        <v>0</v>
      </c>
      <c r="AT67" s="107">
        <v>0</v>
      </c>
      <c r="AU67" s="107">
        <v>0</v>
      </c>
      <c r="AV67" s="107">
        <v>0</v>
      </c>
      <c r="AW67" s="107">
        <v>0</v>
      </c>
      <c r="AX67" s="107">
        <v>0</v>
      </c>
      <c r="AY67" s="107">
        <v>0</v>
      </c>
      <c r="AZ67" s="107">
        <v>0</v>
      </c>
      <c r="BA67" s="107">
        <v>0</v>
      </c>
      <c r="BB67" s="107">
        <v>0.8</v>
      </c>
      <c r="BC67" s="107">
        <v>0</v>
      </c>
      <c r="BD67" s="107">
        <v>0.8</v>
      </c>
      <c r="BE67" s="107">
        <v>0</v>
      </c>
      <c r="BF67" s="107">
        <v>0.8</v>
      </c>
      <c r="BG67" s="107">
        <v>0</v>
      </c>
      <c r="BH67" s="107">
        <v>0</v>
      </c>
      <c r="BI67" s="107">
        <v>0</v>
      </c>
      <c r="BJ67" s="107">
        <v>0</v>
      </c>
      <c r="BK67" s="107">
        <v>0</v>
      </c>
      <c r="BL67" s="107">
        <v>0</v>
      </c>
      <c r="BM67" s="107">
        <v>0</v>
      </c>
      <c r="BN67" s="107">
        <v>0</v>
      </c>
      <c r="BO67" s="107">
        <v>0</v>
      </c>
      <c r="BP67" s="107">
        <v>0</v>
      </c>
      <c r="BQ67" s="107">
        <v>0</v>
      </c>
      <c r="BR67" s="107">
        <v>0</v>
      </c>
      <c r="BS67" s="107">
        <v>0</v>
      </c>
      <c r="BT67" s="107">
        <v>0</v>
      </c>
      <c r="BU67" s="107">
        <v>0</v>
      </c>
      <c r="BV67" s="107">
        <v>0</v>
      </c>
      <c r="BW67" s="107">
        <v>0</v>
      </c>
      <c r="BX67" s="107">
        <v>0</v>
      </c>
      <c r="BY67" s="107">
        <v>0</v>
      </c>
      <c r="BZ67" s="107">
        <v>0</v>
      </c>
      <c r="CA67" s="107">
        <v>0</v>
      </c>
      <c r="CB67" s="107">
        <v>0</v>
      </c>
      <c r="CC67" s="107">
        <v>0</v>
      </c>
    </row>
    <row r="68" spans="1:81" x14ac:dyDescent="0.15">
      <c r="A68" s="178" t="s">
        <v>257</v>
      </c>
      <c r="B68" s="107">
        <v>0</v>
      </c>
      <c r="C68" s="107">
        <v>0</v>
      </c>
      <c r="D68" s="107">
        <v>0</v>
      </c>
      <c r="E68" s="107">
        <v>0</v>
      </c>
      <c r="F68" s="107">
        <v>0</v>
      </c>
      <c r="G68" s="107">
        <v>0</v>
      </c>
      <c r="H68" s="107">
        <v>0</v>
      </c>
      <c r="I68" s="107">
        <v>0</v>
      </c>
      <c r="J68" s="107">
        <v>0</v>
      </c>
      <c r="K68" s="107">
        <v>0</v>
      </c>
      <c r="L68" s="107">
        <v>0</v>
      </c>
      <c r="M68" s="107">
        <v>0</v>
      </c>
      <c r="N68" s="107">
        <v>0</v>
      </c>
      <c r="O68" s="107">
        <v>0</v>
      </c>
      <c r="P68" s="107">
        <v>0</v>
      </c>
      <c r="Q68" s="107">
        <v>0</v>
      </c>
      <c r="R68" s="107">
        <v>0</v>
      </c>
      <c r="S68" s="107">
        <v>0</v>
      </c>
      <c r="T68" s="107">
        <v>0.8</v>
      </c>
      <c r="U68" s="107">
        <v>0.8</v>
      </c>
      <c r="V68" s="107">
        <v>0</v>
      </c>
      <c r="W68" s="107">
        <v>0</v>
      </c>
      <c r="X68" s="107">
        <v>0.8</v>
      </c>
      <c r="Y68" s="107">
        <v>0</v>
      </c>
      <c r="Z68" s="107">
        <v>0</v>
      </c>
      <c r="AA68" s="107">
        <v>0</v>
      </c>
      <c r="AB68" s="107">
        <v>0</v>
      </c>
      <c r="AC68" s="107">
        <v>0</v>
      </c>
      <c r="AD68" s="107">
        <v>0</v>
      </c>
      <c r="AE68" s="107">
        <v>0</v>
      </c>
      <c r="AF68" s="107">
        <v>0</v>
      </c>
      <c r="AG68" s="107">
        <v>0</v>
      </c>
      <c r="AH68" s="107">
        <v>0</v>
      </c>
      <c r="AI68" s="107">
        <v>0</v>
      </c>
      <c r="AJ68" s="107">
        <v>0</v>
      </c>
      <c r="AK68" s="107">
        <v>0</v>
      </c>
      <c r="AL68" s="107">
        <v>0</v>
      </c>
      <c r="AM68" s="107">
        <v>0</v>
      </c>
      <c r="AN68" s="107">
        <v>0</v>
      </c>
      <c r="AO68" s="107">
        <v>0</v>
      </c>
      <c r="AP68" s="107">
        <v>0.8</v>
      </c>
      <c r="AQ68" s="107">
        <v>0</v>
      </c>
      <c r="AR68" s="107">
        <v>0</v>
      </c>
      <c r="AS68" s="107">
        <v>0</v>
      </c>
      <c r="AT68" s="107">
        <v>0</v>
      </c>
      <c r="AU68" s="107">
        <v>0</v>
      </c>
      <c r="AV68" s="107">
        <v>0</v>
      </c>
      <c r="AW68" s="107">
        <v>0</v>
      </c>
      <c r="AX68" s="107">
        <v>0.8</v>
      </c>
      <c r="AY68" s="107">
        <v>0.8</v>
      </c>
      <c r="AZ68" s="107">
        <v>0.8</v>
      </c>
      <c r="BA68" s="107">
        <v>0.8</v>
      </c>
      <c r="BB68" s="107">
        <v>0.8</v>
      </c>
      <c r="BC68" s="107">
        <v>0</v>
      </c>
      <c r="BD68" s="107">
        <v>0.8</v>
      </c>
      <c r="BE68" s="107">
        <v>0</v>
      </c>
      <c r="BF68" s="107">
        <v>0.8</v>
      </c>
      <c r="BG68" s="107">
        <v>0</v>
      </c>
      <c r="BH68" s="107">
        <v>0</v>
      </c>
      <c r="BI68" s="107">
        <v>0.8</v>
      </c>
      <c r="BJ68" s="107">
        <v>0</v>
      </c>
      <c r="BK68" s="107">
        <v>0</v>
      </c>
      <c r="BL68" s="107">
        <v>0</v>
      </c>
      <c r="BM68" s="107">
        <v>0</v>
      </c>
      <c r="BN68" s="107">
        <v>0</v>
      </c>
      <c r="BO68" s="107">
        <v>0</v>
      </c>
      <c r="BP68" s="107">
        <v>0</v>
      </c>
      <c r="BQ68" s="107">
        <v>0</v>
      </c>
      <c r="BR68" s="107">
        <v>0</v>
      </c>
      <c r="BS68" s="107">
        <v>0</v>
      </c>
      <c r="BT68" s="107">
        <v>0</v>
      </c>
      <c r="BU68" s="107">
        <v>0</v>
      </c>
      <c r="BV68" s="107">
        <v>0</v>
      </c>
      <c r="BW68" s="107">
        <v>0</v>
      </c>
      <c r="BX68" s="107">
        <v>0</v>
      </c>
      <c r="BY68" s="107">
        <v>0</v>
      </c>
      <c r="BZ68" s="107">
        <v>0</v>
      </c>
      <c r="CA68" s="107">
        <v>0</v>
      </c>
      <c r="CB68" s="107">
        <v>0</v>
      </c>
      <c r="CC68" s="107">
        <v>0</v>
      </c>
    </row>
    <row r="69" spans="1:81" x14ac:dyDescent="0.15">
      <c r="A69" s="178" t="s">
        <v>258</v>
      </c>
      <c r="B69" s="107">
        <v>0</v>
      </c>
      <c r="C69" s="107">
        <v>0</v>
      </c>
      <c r="D69" s="107">
        <v>0</v>
      </c>
      <c r="E69" s="107">
        <v>0</v>
      </c>
      <c r="F69" s="107">
        <v>0</v>
      </c>
      <c r="G69" s="107">
        <v>0</v>
      </c>
      <c r="H69" s="107">
        <v>0</v>
      </c>
      <c r="I69" s="107">
        <v>0</v>
      </c>
      <c r="J69" s="107">
        <v>0</v>
      </c>
      <c r="K69" s="107">
        <v>0.8</v>
      </c>
      <c r="L69" s="107">
        <v>0</v>
      </c>
      <c r="M69" s="107">
        <v>0</v>
      </c>
      <c r="N69" s="107">
        <v>0</v>
      </c>
      <c r="O69" s="107">
        <v>0</v>
      </c>
      <c r="P69" s="107">
        <v>0</v>
      </c>
      <c r="Q69" s="107">
        <v>0.8</v>
      </c>
      <c r="R69" s="107">
        <v>0</v>
      </c>
      <c r="S69" s="107">
        <v>0.8</v>
      </c>
      <c r="T69" s="107">
        <v>0.8</v>
      </c>
      <c r="U69" s="107">
        <v>0.8</v>
      </c>
      <c r="V69" s="107">
        <v>0</v>
      </c>
      <c r="W69" s="107">
        <v>0</v>
      </c>
      <c r="X69" s="107">
        <v>0.8</v>
      </c>
      <c r="Y69" s="107">
        <v>0</v>
      </c>
      <c r="Z69" s="107">
        <v>0</v>
      </c>
      <c r="AA69" s="107">
        <v>0</v>
      </c>
      <c r="AB69" s="107">
        <v>0</v>
      </c>
      <c r="AC69" s="107">
        <v>0</v>
      </c>
      <c r="AD69" s="107">
        <v>0</v>
      </c>
      <c r="AE69" s="107">
        <v>0</v>
      </c>
      <c r="AF69" s="107">
        <v>0.8</v>
      </c>
      <c r="AG69" s="107">
        <v>0</v>
      </c>
      <c r="AH69" s="107">
        <v>0</v>
      </c>
      <c r="AI69" s="107">
        <v>0.8</v>
      </c>
      <c r="AJ69" s="107">
        <v>0</v>
      </c>
      <c r="AK69" s="107">
        <v>0</v>
      </c>
      <c r="AL69" s="107">
        <v>0.8</v>
      </c>
      <c r="AM69" s="107">
        <v>0</v>
      </c>
      <c r="AN69" s="107">
        <v>0</v>
      </c>
      <c r="AO69" s="107">
        <v>0</v>
      </c>
      <c r="AP69" s="107">
        <v>0.8</v>
      </c>
      <c r="AQ69" s="107">
        <v>0.8</v>
      </c>
      <c r="AR69" s="107">
        <v>0.8</v>
      </c>
      <c r="AS69" s="107">
        <v>0</v>
      </c>
      <c r="AT69" s="107">
        <v>0.8</v>
      </c>
      <c r="AU69" s="107">
        <v>0</v>
      </c>
      <c r="AV69" s="107">
        <v>0</v>
      </c>
      <c r="AW69" s="107">
        <v>0</v>
      </c>
      <c r="AX69" s="107">
        <v>0</v>
      </c>
      <c r="AY69" s="107">
        <v>0.8</v>
      </c>
      <c r="AZ69" s="107">
        <v>0.8</v>
      </c>
      <c r="BA69" s="107">
        <v>0.8</v>
      </c>
      <c r="BB69" s="107">
        <v>0.8</v>
      </c>
      <c r="BC69" s="107">
        <v>0</v>
      </c>
      <c r="BD69" s="107">
        <v>0.8</v>
      </c>
      <c r="BE69" s="107">
        <v>0.8</v>
      </c>
      <c r="BF69" s="107">
        <v>0</v>
      </c>
      <c r="BG69" s="107">
        <v>0</v>
      </c>
      <c r="BH69" s="107">
        <v>0</v>
      </c>
      <c r="BI69" s="107">
        <v>0</v>
      </c>
      <c r="BJ69" s="107">
        <v>0</v>
      </c>
      <c r="BK69" s="107">
        <v>0</v>
      </c>
      <c r="BL69" s="107">
        <v>0</v>
      </c>
      <c r="BM69" s="107">
        <v>0</v>
      </c>
      <c r="BN69" s="107">
        <v>0</v>
      </c>
      <c r="BO69" s="107">
        <v>0</v>
      </c>
      <c r="BP69" s="107">
        <v>0</v>
      </c>
      <c r="BQ69" s="107">
        <v>0</v>
      </c>
      <c r="BR69" s="107">
        <v>0</v>
      </c>
      <c r="BS69" s="107">
        <v>0</v>
      </c>
      <c r="BT69" s="107">
        <v>0</v>
      </c>
      <c r="BU69" s="107">
        <v>0</v>
      </c>
      <c r="BV69" s="107">
        <v>0</v>
      </c>
      <c r="BW69" s="107">
        <v>0</v>
      </c>
      <c r="BX69" s="107">
        <v>0</v>
      </c>
      <c r="BY69" s="107">
        <v>0</v>
      </c>
      <c r="BZ69" s="107">
        <v>0</v>
      </c>
      <c r="CA69" s="107">
        <v>0</v>
      </c>
      <c r="CB69" s="107">
        <v>0</v>
      </c>
      <c r="CC69" s="107">
        <v>0</v>
      </c>
    </row>
    <row r="70" spans="1:81" x14ac:dyDescent="0.15">
      <c r="A70" s="178" t="s">
        <v>259</v>
      </c>
      <c r="B70" s="107">
        <v>0</v>
      </c>
      <c r="C70" s="107">
        <v>0</v>
      </c>
      <c r="D70" s="107">
        <v>0</v>
      </c>
      <c r="E70" s="107">
        <v>0</v>
      </c>
      <c r="F70" s="107">
        <v>0</v>
      </c>
      <c r="G70" s="107">
        <v>0</v>
      </c>
      <c r="H70" s="107">
        <v>0</v>
      </c>
      <c r="I70" s="107">
        <v>0</v>
      </c>
      <c r="J70" s="107">
        <v>0</v>
      </c>
      <c r="K70" s="107">
        <v>0.8</v>
      </c>
      <c r="L70" s="107">
        <v>0</v>
      </c>
      <c r="M70" s="107">
        <v>0</v>
      </c>
      <c r="N70" s="107">
        <v>0</v>
      </c>
      <c r="O70" s="107">
        <v>0.8</v>
      </c>
      <c r="P70" s="107">
        <v>0.8</v>
      </c>
      <c r="Q70" s="107">
        <v>0.8</v>
      </c>
      <c r="R70" s="107">
        <v>0</v>
      </c>
      <c r="S70" s="107">
        <v>0.8</v>
      </c>
      <c r="T70" s="107">
        <v>0</v>
      </c>
      <c r="U70" s="107">
        <v>0</v>
      </c>
      <c r="V70" s="107">
        <v>0</v>
      </c>
      <c r="W70" s="107">
        <v>0</v>
      </c>
      <c r="X70" s="107">
        <v>0.8</v>
      </c>
      <c r="Y70" s="107">
        <v>0</v>
      </c>
      <c r="Z70" s="107">
        <v>0</v>
      </c>
      <c r="AA70" s="107">
        <v>0.8</v>
      </c>
      <c r="AB70" s="107">
        <v>0</v>
      </c>
      <c r="AC70" s="107">
        <v>0</v>
      </c>
      <c r="AD70" s="107">
        <v>0</v>
      </c>
      <c r="AE70" s="107">
        <v>0</v>
      </c>
      <c r="AF70" s="107">
        <v>0.8</v>
      </c>
      <c r="AG70" s="107">
        <v>0</v>
      </c>
      <c r="AH70" s="107">
        <v>0</v>
      </c>
      <c r="AI70" s="107">
        <v>0</v>
      </c>
      <c r="AJ70" s="107">
        <v>0</v>
      </c>
      <c r="AK70" s="107">
        <v>0</v>
      </c>
      <c r="AL70" s="107">
        <v>0.8</v>
      </c>
      <c r="AM70" s="107">
        <v>0</v>
      </c>
      <c r="AN70" s="107">
        <v>0</v>
      </c>
      <c r="AO70" s="107">
        <v>0</v>
      </c>
      <c r="AP70" s="107">
        <v>0.8</v>
      </c>
      <c r="AQ70" s="107">
        <v>0.8</v>
      </c>
      <c r="AR70" s="107">
        <v>0.8</v>
      </c>
      <c r="AS70" s="107">
        <v>0</v>
      </c>
      <c r="AT70" s="107">
        <v>0.8</v>
      </c>
      <c r="AU70" s="107">
        <v>0</v>
      </c>
      <c r="AV70" s="107">
        <v>0</v>
      </c>
      <c r="AW70" s="107">
        <v>0</v>
      </c>
      <c r="AX70" s="107">
        <v>0.8</v>
      </c>
      <c r="AY70" s="107">
        <v>0.8</v>
      </c>
      <c r="AZ70" s="107">
        <v>0.8</v>
      </c>
      <c r="BA70" s="107">
        <v>0.8</v>
      </c>
      <c r="BB70" s="107">
        <v>0.8</v>
      </c>
      <c r="BC70" s="107">
        <v>0</v>
      </c>
      <c r="BD70" s="107">
        <v>0.8</v>
      </c>
      <c r="BE70" s="107">
        <v>0.8</v>
      </c>
      <c r="BF70" s="107">
        <v>0</v>
      </c>
      <c r="BG70" s="107">
        <v>0</v>
      </c>
      <c r="BH70" s="107">
        <v>0</v>
      </c>
      <c r="BI70" s="107">
        <v>0</v>
      </c>
      <c r="BJ70" s="107">
        <v>0</v>
      </c>
      <c r="BK70" s="107">
        <v>0</v>
      </c>
      <c r="BL70" s="107">
        <v>0</v>
      </c>
      <c r="BM70" s="107">
        <v>0</v>
      </c>
      <c r="BN70" s="107">
        <v>0</v>
      </c>
      <c r="BO70" s="107">
        <v>0</v>
      </c>
      <c r="BP70" s="107">
        <v>0</v>
      </c>
      <c r="BQ70" s="107">
        <v>0</v>
      </c>
      <c r="BR70" s="107">
        <v>0</v>
      </c>
      <c r="BS70" s="107">
        <v>0</v>
      </c>
      <c r="BT70" s="107">
        <v>0</v>
      </c>
      <c r="BU70" s="107">
        <v>0</v>
      </c>
      <c r="BV70" s="107">
        <v>0</v>
      </c>
      <c r="BW70" s="107">
        <v>0</v>
      </c>
      <c r="BX70" s="107">
        <v>0</v>
      </c>
      <c r="BY70" s="107">
        <v>0</v>
      </c>
      <c r="BZ70" s="107">
        <v>0</v>
      </c>
      <c r="CA70" s="107">
        <v>0</v>
      </c>
      <c r="CB70" s="107">
        <v>0</v>
      </c>
      <c r="CC70" s="107">
        <v>0</v>
      </c>
    </row>
    <row r="71" spans="1:81" x14ac:dyDescent="0.15">
      <c r="A71" s="178" t="s">
        <v>260</v>
      </c>
      <c r="B71" s="107">
        <v>0</v>
      </c>
      <c r="C71" s="107">
        <v>0</v>
      </c>
      <c r="D71" s="107">
        <v>0</v>
      </c>
      <c r="E71" s="107">
        <v>0</v>
      </c>
      <c r="F71" s="107">
        <v>0</v>
      </c>
      <c r="G71" s="107">
        <v>0</v>
      </c>
      <c r="H71" s="107">
        <v>0</v>
      </c>
      <c r="I71" s="107">
        <v>0</v>
      </c>
      <c r="J71" s="107">
        <v>0</v>
      </c>
      <c r="K71" s="107">
        <v>0.8</v>
      </c>
      <c r="L71" s="107">
        <v>0</v>
      </c>
      <c r="M71" s="107">
        <v>0</v>
      </c>
      <c r="N71" s="107">
        <v>0</v>
      </c>
      <c r="O71" s="107">
        <v>0.8</v>
      </c>
      <c r="P71" s="107">
        <v>0.8</v>
      </c>
      <c r="Q71" s="107">
        <v>0</v>
      </c>
      <c r="R71" s="107">
        <v>0</v>
      </c>
      <c r="S71" s="107">
        <v>0</v>
      </c>
      <c r="T71" s="107">
        <v>0</v>
      </c>
      <c r="U71" s="107">
        <v>0</v>
      </c>
      <c r="V71" s="107">
        <v>0</v>
      </c>
      <c r="W71" s="107">
        <v>0</v>
      </c>
      <c r="X71" s="107">
        <v>0.8</v>
      </c>
      <c r="Y71" s="107">
        <v>0</v>
      </c>
      <c r="Z71" s="107">
        <v>0</v>
      </c>
      <c r="AA71" s="107">
        <v>0</v>
      </c>
      <c r="AB71" s="107">
        <v>0</v>
      </c>
      <c r="AC71" s="107">
        <v>0.8</v>
      </c>
      <c r="AD71" s="107">
        <v>0</v>
      </c>
      <c r="AE71" s="107">
        <v>0</v>
      </c>
      <c r="AF71" s="107">
        <v>0.8</v>
      </c>
      <c r="AG71" s="107">
        <v>0</v>
      </c>
      <c r="AH71" s="107">
        <v>0</v>
      </c>
      <c r="AI71" s="107">
        <v>0</v>
      </c>
      <c r="AJ71" s="107">
        <v>0</v>
      </c>
      <c r="AK71" s="107">
        <v>0</v>
      </c>
      <c r="AL71" s="107">
        <v>0</v>
      </c>
      <c r="AM71" s="107">
        <v>0</v>
      </c>
      <c r="AN71" s="107">
        <v>0</v>
      </c>
      <c r="AO71" s="107">
        <v>0</v>
      </c>
      <c r="AP71" s="107">
        <v>0.8</v>
      </c>
      <c r="AQ71" s="107">
        <v>0</v>
      </c>
      <c r="AR71" s="107">
        <v>0</v>
      </c>
      <c r="AS71" s="107">
        <v>0</v>
      </c>
      <c r="AT71" s="107">
        <v>0</v>
      </c>
      <c r="AU71" s="107">
        <v>0</v>
      </c>
      <c r="AV71" s="107">
        <v>0</v>
      </c>
      <c r="AW71" s="107">
        <v>0</v>
      </c>
      <c r="AX71" s="107">
        <v>0</v>
      </c>
      <c r="AY71" s="107">
        <v>0.8</v>
      </c>
      <c r="AZ71" s="107">
        <v>0.8</v>
      </c>
      <c r="BA71" s="107">
        <v>0.8</v>
      </c>
      <c r="BB71" s="107">
        <v>0.8</v>
      </c>
      <c r="BC71" s="107">
        <v>0</v>
      </c>
      <c r="BD71" s="107">
        <v>0.8</v>
      </c>
      <c r="BE71" s="107">
        <v>0</v>
      </c>
      <c r="BF71" s="107">
        <v>0</v>
      </c>
      <c r="BG71" s="107">
        <v>0</v>
      </c>
      <c r="BH71" s="107">
        <v>0</v>
      </c>
      <c r="BI71" s="107">
        <v>0</v>
      </c>
      <c r="BJ71" s="107">
        <v>0</v>
      </c>
      <c r="BK71" s="107">
        <v>0</v>
      </c>
      <c r="BL71" s="107">
        <v>0</v>
      </c>
      <c r="BM71" s="107">
        <v>0</v>
      </c>
      <c r="BN71" s="107">
        <v>0</v>
      </c>
      <c r="BO71" s="107">
        <v>0</v>
      </c>
      <c r="BP71" s="107">
        <v>0</v>
      </c>
      <c r="BQ71" s="107">
        <v>0</v>
      </c>
      <c r="BR71" s="107">
        <v>0</v>
      </c>
      <c r="BS71" s="107">
        <v>0</v>
      </c>
      <c r="BT71" s="107">
        <v>0</v>
      </c>
      <c r="BU71" s="107">
        <v>0</v>
      </c>
      <c r="BV71" s="107">
        <v>0</v>
      </c>
      <c r="BW71" s="107">
        <v>0</v>
      </c>
      <c r="BX71" s="107">
        <v>0</v>
      </c>
      <c r="BY71" s="107">
        <v>0</v>
      </c>
      <c r="BZ71" s="107">
        <v>0</v>
      </c>
      <c r="CA71" s="107">
        <v>0</v>
      </c>
      <c r="CB71" s="107">
        <v>0</v>
      </c>
      <c r="CC71" s="107">
        <v>0</v>
      </c>
    </row>
    <row r="72" spans="1:81" x14ac:dyDescent="0.15">
      <c r="A72" s="178" t="s">
        <v>261</v>
      </c>
      <c r="B72" s="107">
        <v>0</v>
      </c>
      <c r="C72" s="107">
        <v>0</v>
      </c>
      <c r="D72" s="107">
        <v>0</v>
      </c>
      <c r="E72" s="107">
        <v>0</v>
      </c>
      <c r="F72" s="107">
        <v>0</v>
      </c>
      <c r="G72" s="107">
        <v>0</v>
      </c>
      <c r="H72" s="107">
        <v>0</v>
      </c>
      <c r="I72" s="107">
        <v>0</v>
      </c>
      <c r="J72" s="107">
        <v>0</v>
      </c>
      <c r="K72" s="107">
        <v>0</v>
      </c>
      <c r="L72" s="107">
        <v>0</v>
      </c>
      <c r="M72" s="107">
        <v>0</v>
      </c>
      <c r="N72" s="107">
        <v>0</v>
      </c>
      <c r="O72" s="107">
        <v>0</v>
      </c>
      <c r="P72" s="107">
        <v>0</v>
      </c>
      <c r="Q72" s="107">
        <v>0</v>
      </c>
      <c r="R72" s="107">
        <v>0</v>
      </c>
      <c r="S72" s="107">
        <v>0.8</v>
      </c>
      <c r="T72" s="107">
        <v>0</v>
      </c>
      <c r="U72" s="107">
        <v>0</v>
      </c>
      <c r="V72" s="107">
        <v>0</v>
      </c>
      <c r="W72" s="107">
        <v>0</v>
      </c>
      <c r="X72" s="107">
        <v>0</v>
      </c>
      <c r="Y72" s="107">
        <v>0</v>
      </c>
      <c r="Z72" s="107">
        <v>0</v>
      </c>
      <c r="AA72" s="107">
        <v>0</v>
      </c>
      <c r="AB72" s="107">
        <v>0</v>
      </c>
      <c r="AC72" s="107">
        <v>0.8</v>
      </c>
      <c r="AD72" s="107">
        <v>0</v>
      </c>
      <c r="AE72" s="107">
        <v>0</v>
      </c>
      <c r="AF72" s="107">
        <v>0</v>
      </c>
      <c r="AG72" s="107">
        <v>0</v>
      </c>
      <c r="AH72" s="107">
        <v>0</v>
      </c>
      <c r="AI72" s="107">
        <v>0</v>
      </c>
      <c r="AJ72" s="107">
        <v>0.8</v>
      </c>
      <c r="AK72" s="107">
        <v>0</v>
      </c>
      <c r="AL72" s="107">
        <v>0.8</v>
      </c>
      <c r="AM72" s="107">
        <v>0.8</v>
      </c>
      <c r="AN72" s="107">
        <v>0.8</v>
      </c>
      <c r="AO72" s="107">
        <v>0.8</v>
      </c>
      <c r="AP72" s="107">
        <v>0.8</v>
      </c>
      <c r="AQ72" s="107">
        <v>0.8</v>
      </c>
      <c r="AR72" s="107">
        <v>0</v>
      </c>
      <c r="AS72" s="107">
        <v>0</v>
      </c>
      <c r="AT72" s="107">
        <v>0</v>
      </c>
      <c r="AU72" s="107">
        <v>0</v>
      </c>
      <c r="AV72" s="107">
        <v>0</v>
      </c>
      <c r="AW72" s="107">
        <v>0</v>
      </c>
      <c r="AX72" s="107">
        <v>0</v>
      </c>
      <c r="AY72" s="107">
        <v>0</v>
      </c>
      <c r="AZ72" s="107">
        <v>0</v>
      </c>
      <c r="BA72" s="107">
        <v>0</v>
      </c>
      <c r="BB72" s="107">
        <v>0.8</v>
      </c>
      <c r="BC72" s="107">
        <v>0</v>
      </c>
      <c r="BD72" s="107">
        <v>0</v>
      </c>
      <c r="BE72" s="107">
        <v>0</v>
      </c>
      <c r="BF72" s="107">
        <v>0</v>
      </c>
      <c r="BG72" s="107">
        <v>0</v>
      </c>
      <c r="BH72" s="107">
        <v>0</v>
      </c>
      <c r="BI72" s="107">
        <v>0</v>
      </c>
      <c r="BJ72" s="107">
        <v>0</v>
      </c>
      <c r="BK72" s="107">
        <v>0</v>
      </c>
      <c r="BL72" s="107">
        <v>0</v>
      </c>
      <c r="BM72" s="107">
        <v>0</v>
      </c>
      <c r="BN72" s="107">
        <v>0</v>
      </c>
      <c r="BO72" s="107">
        <v>0</v>
      </c>
      <c r="BP72" s="107">
        <v>0</v>
      </c>
      <c r="BQ72" s="107">
        <v>0</v>
      </c>
      <c r="BR72" s="107">
        <v>0</v>
      </c>
      <c r="BS72" s="107">
        <v>0</v>
      </c>
      <c r="BT72" s="107">
        <v>0</v>
      </c>
      <c r="BU72" s="107">
        <v>0</v>
      </c>
      <c r="BV72" s="107">
        <v>0</v>
      </c>
      <c r="BW72" s="107">
        <v>0</v>
      </c>
      <c r="BX72" s="107">
        <v>0</v>
      </c>
      <c r="BY72" s="107">
        <v>0</v>
      </c>
      <c r="BZ72" s="107">
        <v>0</v>
      </c>
      <c r="CA72" s="107">
        <v>0</v>
      </c>
      <c r="CB72" s="107">
        <v>0</v>
      </c>
      <c r="CC72" s="107">
        <v>0</v>
      </c>
    </row>
    <row r="73" spans="1:81" x14ac:dyDescent="0.15">
      <c r="A73" s="178" t="s">
        <v>262</v>
      </c>
      <c r="B73" s="107">
        <v>0</v>
      </c>
      <c r="C73" s="107">
        <v>0</v>
      </c>
      <c r="D73" s="107">
        <v>0</v>
      </c>
      <c r="E73" s="107">
        <v>0</v>
      </c>
      <c r="F73" s="107">
        <v>0</v>
      </c>
      <c r="G73" s="107">
        <v>0</v>
      </c>
      <c r="H73" s="107">
        <v>0</v>
      </c>
      <c r="I73" s="107">
        <v>0</v>
      </c>
      <c r="J73" s="107">
        <v>0</v>
      </c>
      <c r="K73" s="107">
        <v>0</v>
      </c>
      <c r="L73" s="107">
        <v>0</v>
      </c>
      <c r="M73" s="107">
        <v>0</v>
      </c>
      <c r="N73" s="107">
        <v>0</v>
      </c>
      <c r="O73" s="107">
        <v>0</v>
      </c>
      <c r="P73" s="107">
        <v>0</v>
      </c>
      <c r="Q73" s="107">
        <v>0</v>
      </c>
      <c r="R73" s="107">
        <v>0</v>
      </c>
      <c r="S73" s="107">
        <v>0</v>
      </c>
      <c r="T73" s="107">
        <v>0</v>
      </c>
      <c r="U73" s="107">
        <v>0</v>
      </c>
      <c r="V73" s="107">
        <v>0</v>
      </c>
      <c r="W73" s="107">
        <v>0</v>
      </c>
      <c r="X73" s="107">
        <v>0</v>
      </c>
      <c r="Y73" s="107">
        <v>0</v>
      </c>
      <c r="Z73" s="107">
        <v>0</v>
      </c>
      <c r="AA73" s="107">
        <v>0</v>
      </c>
      <c r="AB73" s="107">
        <v>0</v>
      </c>
      <c r="AC73" s="107">
        <v>0</v>
      </c>
      <c r="AD73" s="107">
        <v>0</v>
      </c>
      <c r="AE73" s="107">
        <v>0</v>
      </c>
      <c r="AF73" s="107">
        <v>0</v>
      </c>
      <c r="AG73" s="107">
        <v>0</v>
      </c>
      <c r="AH73" s="107">
        <v>0</v>
      </c>
      <c r="AI73" s="107">
        <v>0</v>
      </c>
      <c r="AJ73" s="107">
        <v>0</v>
      </c>
      <c r="AK73" s="107">
        <v>0.8</v>
      </c>
      <c r="AL73" s="107">
        <v>0.8</v>
      </c>
      <c r="AM73" s="107">
        <v>0.8</v>
      </c>
      <c r="AN73" s="107">
        <v>0</v>
      </c>
      <c r="AO73" s="107">
        <v>0</v>
      </c>
      <c r="AP73" s="107">
        <v>0</v>
      </c>
      <c r="AQ73" s="107">
        <v>0</v>
      </c>
      <c r="AR73" s="107">
        <v>0</v>
      </c>
      <c r="AS73" s="107">
        <v>0</v>
      </c>
      <c r="AT73" s="107">
        <v>0</v>
      </c>
      <c r="AU73" s="107">
        <v>0</v>
      </c>
      <c r="AV73" s="107">
        <v>0</v>
      </c>
      <c r="AW73" s="107">
        <v>0</v>
      </c>
      <c r="AX73" s="107">
        <v>0</v>
      </c>
      <c r="AY73" s="107">
        <v>0</v>
      </c>
      <c r="AZ73" s="107">
        <v>0</v>
      </c>
      <c r="BA73" s="107">
        <v>0</v>
      </c>
      <c r="BB73" s="107">
        <v>0</v>
      </c>
      <c r="BC73" s="107">
        <v>0</v>
      </c>
      <c r="BD73" s="107">
        <v>0</v>
      </c>
      <c r="BE73" s="107">
        <v>0</v>
      </c>
      <c r="BF73" s="107">
        <v>0</v>
      </c>
      <c r="BG73" s="107">
        <v>0.8</v>
      </c>
      <c r="BH73" s="107">
        <v>0.8</v>
      </c>
      <c r="BI73" s="107">
        <v>0</v>
      </c>
      <c r="BJ73" s="107">
        <v>0</v>
      </c>
      <c r="BK73" s="107">
        <v>0</v>
      </c>
      <c r="BL73" s="107">
        <v>0</v>
      </c>
      <c r="BM73" s="107">
        <v>0</v>
      </c>
      <c r="BN73" s="107">
        <v>0</v>
      </c>
      <c r="BO73" s="107">
        <v>0</v>
      </c>
      <c r="BP73" s="107">
        <v>0</v>
      </c>
      <c r="BQ73" s="107">
        <v>0</v>
      </c>
      <c r="BR73" s="107">
        <v>0</v>
      </c>
      <c r="BS73" s="107">
        <v>0</v>
      </c>
      <c r="BT73" s="107">
        <v>0</v>
      </c>
      <c r="BU73" s="107">
        <v>0</v>
      </c>
      <c r="BV73" s="107">
        <v>0</v>
      </c>
      <c r="BW73" s="107">
        <v>0</v>
      </c>
      <c r="BX73" s="107">
        <v>0</v>
      </c>
      <c r="BY73" s="107">
        <v>0</v>
      </c>
      <c r="BZ73" s="107">
        <v>0</v>
      </c>
      <c r="CA73" s="107">
        <v>0</v>
      </c>
      <c r="CB73" s="107">
        <v>0</v>
      </c>
      <c r="CC73" s="107">
        <v>0</v>
      </c>
    </row>
    <row r="74" spans="1:81" x14ac:dyDescent="0.15">
      <c r="A74" s="178" t="s">
        <v>263</v>
      </c>
      <c r="B74" s="107">
        <v>0</v>
      </c>
      <c r="C74" s="107">
        <v>0</v>
      </c>
      <c r="D74" s="107">
        <v>0</v>
      </c>
      <c r="E74" s="107">
        <v>0</v>
      </c>
      <c r="F74" s="107">
        <v>0</v>
      </c>
      <c r="G74" s="107">
        <v>0</v>
      </c>
      <c r="H74" s="107">
        <v>0</v>
      </c>
      <c r="I74" s="107">
        <v>0</v>
      </c>
      <c r="J74" s="107">
        <v>0</v>
      </c>
      <c r="K74" s="107">
        <v>0</v>
      </c>
      <c r="L74" s="107">
        <v>0</v>
      </c>
      <c r="M74" s="107">
        <v>0</v>
      </c>
      <c r="N74" s="107">
        <v>0</v>
      </c>
      <c r="O74" s="107">
        <v>0</v>
      </c>
      <c r="P74" s="107">
        <v>0</v>
      </c>
      <c r="Q74" s="107">
        <v>0</v>
      </c>
      <c r="R74" s="107">
        <v>0</v>
      </c>
      <c r="S74" s="107">
        <v>0</v>
      </c>
      <c r="T74" s="107">
        <v>0</v>
      </c>
      <c r="U74" s="107">
        <v>0</v>
      </c>
      <c r="V74" s="107">
        <v>0</v>
      </c>
      <c r="W74" s="107">
        <v>0</v>
      </c>
      <c r="X74" s="107">
        <v>0</v>
      </c>
      <c r="Y74" s="107">
        <v>0</v>
      </c>
      <c r="Z74" s="107">
        <v>0</v>
      </c>
      <c r="AA74" s="107">
        <v>0</v>
      </c>
      <c r="AB74" s="107">
        <v>0</v>
      </c>
      <c r="AC74" s="107">
        <v>0</v>
      </c>
      <c r="AD74" s="107">
        <v>0</v>
      </c>
      <c r="AE74" s="107">
        <v>0</v>
      </c>
      <c r="AF74" s="107">
        <v>0</v>
      </c>
      <c r="AG74" s="107">
        <v>0</v>
      </c>
      <c r="AH74" s="107">
        <v>0</v>
      </c>
      <c r="AI74" s="107">
        <v>0</v>
      </c>
      <c r="AJ74" s="107">
        <v>0</v>
      </c>
      <c r="AK74" s="107">
        <v>0</v>
      </c>
      <c r="AL74" s="107">
        <v>0.8</v>
      </c>
      <c r="AM74" s="107">
        <v>0</v>
      </c>
      <c r="AN74" s="107">
        <v>0.8</v>
      </c>
      <c r="AO74" s="107">
        <v>0</v>
      </c>
      <c r="AP74" s="107">
        <v>0</v>
      </c>
      <c r="AQ74" s="107">
        <v>0</v>
      </c>
      <c r="AR74" s="107">
        <v>0</v>
      </c>
      <c r="AS74" s="107">
        <v>0</v>
      </c>
      <c r="AT74" s="107">
        <v>0</v>
      </c>
      <c r="AU74" s="107">
        <v>0</v>
      </c>
      <c r="AV74" s="107">
        <v>0</v>
      </c>
      <c r="AW74" s="107">
        <v>0</v>
      </c>
      <c r="AX74" s="107">
        <v>0</v>
      </c>
      <c r="AY74" s="107">
        <v>0</v>
      </c>
      <c r="AZ74" s="107">
        <v>0</v>
      </c>
      <c r="BA74" s="107">
        <v>0</v>
      </c>
      <c r="BB74" s="107">
        <v>0</v>
      </c>
      <c r="BC74" s="107">
        <v>0</v>
      </c>
      <c r="BD74" s="107">
        <v>0</v>
      </c>
      <c r="BE74" s="107">
        <v>0</v>
      </c>
      <c r="BF74" s="107">
        <v>0</v>
      </c>
      <c r="BG74" s="107">
        <v>0.8</v>
      </c>
      <c r="BH74" s="107">
        <v>0.8</v>
      </c>
      <c r="BI74" s="107">
        <v>0</v>
      </c>
      <c r="BJ74" s="107">
        <v>0</v>
      </c>
      <c r="BK74" s="107">
        <v>0</v>
      </c>
      <c r="BL74" s="107">
        <v>0</v>
      </c>
      <c r="BM74" s="107">
        <v>0</v>
      </c>
      <c r="BN74" s="107">
        <v>0</v>
      </c>
      <c r="BO74" s="107">
        <v>0</v>
      </c>
      <c r="BP74" s="107">
        <v>0</v>
      </c>
      <c r="BQ74" s="107">
        <v>0</v>
      </c>
      <c r="BR74" s="107">
        <v>0</v>
      </c>
      <c r="BS74" s="107">
        <v>0</v>
      </c>
      <c r="BT74" s="107">
        <v>0</v>
      </c>
      <c r="BU74" s="107">
        <v>0</v>
      </c>
      <c r="BV74" s="107">
        <v>0</v>
      </c>
      <c r="BW74" s="107">
        <v>0</v>
      </c>
      <c r="BX74" s="107">
        <v>0</v>
      </c>
      <c r="BY74" s="107">
        <v>0</v>
      </c>
      <c r="BZ74" s="107">
        <v>0</v>
      </c>
      <c r="CA74" s="107">
        <v>0</v>
      </c>
      <c r="CB74" s="107">
        <v>0</v>
      </c>
      <c r="CC74" s="107">
        <v>0</v>
      </c>
    </row>
    <row r="75" spans="1:81" x14ac:dyDescent="0.15">
      <c r="A75" s="178" t="s">
        <v>264</v>
      </c>
      <c r="B75" s="107">
        <v>0</v>
      </c>
      <c r="C75" s="107">
        <v>0</v>
      </c>
      <c r="D75" s="107">
        <v>0</v>
      </c>
      <c r="E75" s="107">
        <v>0</v>
      </c>
      <c r="F75" s="107">
        <v>0</v>
      </c>
      <c r="G75" s="107">
        <v>0</v>
      </c>
      <c r="H75" s="107">
        <v>0</v>
      </c>
      <c r="I75" s="107">
        <v>0</v>
      </c>
      <c r="J75" s="107">
        <v>0</v>
      </c>
      <c r="K75" s="107">
        <v>0</v>
      </c>
      <c r="L75" s="107">
        <v>0</v>
      </c>
      <c r="M75" s="107">
        <v>0</v>
      </c>
      <c r="N75" s="107">
        <v>0</v>
      </c>
      <c r="O75" s="107">
        <v>0</v>
      </c>
      <c r="P75" s="107">
        <v>0</v>
      </c>
      <c r="Q75" s="107">
        <v>0</v>
      </c>
      <c r="R75" s="107">
        <v>0</v>
      </c>
      <c r="S75" s="107">
        <v>0</v>
      </c>
      <c r="T75" s="107">
        <v>0</v>
      </c>
      <c r="U75" s="107">
        <v>0</v>
      </c>
      <c r="V75" s="107">
        <v>0</v>
      </c>
      <c r="W75" s="107">
        <v>0</v>
      </c>
      <c r="X75" s="107">
        <v>0</v>
      </c>
      <c r="Y75" s="107">
        <v>0</v>
      </c>
      <c r="Z75" s="107">
        <v>0</v>
      </c>
      <c r="AA75" s="107">
        <v>0</v>
      </c>
      <c r="AB75" s="107">
        <v>0</v>
      </c>
      <c r="AC75" s="107">
        <v>0.8</v>
      </c>
      <c r="AD75" s="107">
        <v>0</v>
      </c>
      <c r="AE75" s="107">
        <v>0</v>
      </c>
      <c r="AF75" s="107">
        <v>0</v>
      </c>
      <c r="AG75" s="107">
        <v>0</v>
      </c>
      <c r="AH75" s="107">
        <v>0</v>
      </c>
      <c r="AI75" s="107">
        <v>0</v>
      </c>
      <c r="AJ75" s="107">
        <v>0</v>
      </c>
      <c r="AK75" s="107">
        <v>0</v>
      </c>
      <c r="AL75" s="107">
        <v>0</v>
      </c>
      <c r="AM75" s="107">
        <v>0</v>
      </c>
      <c r="AN75" s="107">
        <v>0</v>
      </c>
      <c r="AO75" s="107">
        <v>0</v>
      </c>
      <c r="AP75" s="107">
        <v>0</v>
      </c>
      <c r="AQ75" s="107">
        <v>0</v>
      </c>
      <c r="AR75" s="107">
        <v>0.8</v>
      </c>
      <c r="AS75" s="107">
        <v>0</v>
      </c>
      <c r="AT75" s="107">
        <v>0</v>
      </c>
      <c r="AU75" s="107">
        <v>0</v>
      </c>
      <c r="AV75" s="107">
        <v>0</v>
      </c>
      <c r="AW75" s="107">
        <v>0</v>
      </c>
      <c r="AX75" s="107">
        <v>0</v>
      </c>
      <c r="AY75" s="107">
        <v>0</v>
      </c>
      <c r="AZ75" s="107">
        <v>0</v>
      </c>
      <c r="BA75" s="107">
        <v>0</v>
      </c>
      <c r="BB75" s="107">
        <v>0</v>
      </c>
      <c r="BC75" s="107">
        <v>0</v>
      </c>
      <c r="BD75" s="107">
        <v>0</v>
      </c>
      <c r="BE75" s="107">
        <v>0</v>
      </c>
      <c r="BF75" s="107">
        <v>0</v>
      </c>
      <c r="BG75" s="107">
        <v>0</v>
      </c>
      <c r="BH75" s="107">
        <v>0</v>
      </c>
      <c r="BI75" s="107">
        <v>0</v>
      </c>
      <c r="BJ75" s="107">
        <v>0</v>
      </c>
      <c r="BK75" s="107">
        <v>0</v>
      </c>
      <c r="BL75" s="107">
        <v>0</v>
      </c>
      <c r="BM75" s="107">
        <v>0</v>
      </c>
      <c r="BN75" s="107">
        <v>0</v>
      </c>
      <c r="BO75" s="107">
        <v>0</v>
      </c>
      <c r="BP75" s="107">
        <v>0</v>
      </c>
      <c r="BQ75" s="107">
        <v>0</v>
      </c>
      <c r="BR75" s="107">
        <v>0</v>
      </c>
      <c r="BS75" s="107">
        <v>0</v>
      </c>
      <c r="BT75" s="107">
        <v>0</v>
      </c>
      <c r="BU75" s="107">
        <v>0</v>
      </c>
      <c r="BV75" s="107">
        <v>0</v>
      </c>
      <c r="BW75" s="107">
        <v>0</v>
      </c>
      <c r="BX75" s="107">
        <v>0</v>
      </c>
      <c r="BY75" s="107">
        <v>0</v>
      </c>
      <c r="BZ75" s="107">
        <v>0</v>
      </c>
      <c r="CA75" s="107">
        <v>0</v>
      </c>
      <c r="CB75" s="107">
        <v>0</v>
      </c>
      <c r="CC75" s="107">
        <v>0</v>
      </c>
    </row>
    <row r="76" spans="1:81" x14ac:dyDescent="0.15">
      <c r="A76" s="178" t="s">
        <v>265</v>
      </c>
      <c r="B76" s="107">
        <v>0</v>
      </c>
      <c r="C76" s="107">
        <v>0</v>
      </c>
      <c r="D76" s="107">
        <v>0</v>
      </c>
      <c r="E76" s="107">
        <v>0</v>
      </c>
      <c r="F76" s="107">
        <v>0</v>
      </c>
      <c r="G76" s="107">
        <v>0</v>
      </c>
      <c r="H76" s="107">
        <v>0</v>
      </c>
      <c r="I76" s="107">
        <v>0</v>
      </c>
      <c r="J76" s="107">
        <v>0</v>
      </c>
      <c r="K76" s="107">
        <v>0</v>
      </c>
      <c r="L76" s="107">
        <v>0</v>
      </c>
      <c r="M76" s="107">
        <v>0</v>
      </c>
      <c r="N76" s="107">
        <v>0</v>
      </c>
      <c r="O76" s="107">
        <v>0</v>
      </c>
      <c r="P76" s="107">
        <v>0</v>
      </c>
      <c r="Q76" s="107">
        <v>0</v>
      </c>
      <c r="R76" s="107">
        <v>0</v>
      </c>
      <c r="S76" s="107">
        <v>0</v>
      </c>
      <c r="T76" s="107">
        <v>0</v>
      </c>
      <c r="U76" s="107">
        <v>0</v>
      </c>
      <c r="V76" s="107">
        <v>0</v>
      </c>
      <c r="W76" s="107">
        <v>0</v>
      </c>
      <c r="X76" s="107">
        <v>0</v>
      </c>
      <c r="Y76" s="107">
        <v>0</v>
      </c>
      <c r="Z76" s="107">
        <v>0</v>
      </c>
      <c r="AA76" s="107">
        <v>0</v>
      </c>
      <c r="AB76" s="107">
        <v>0</v>
      </c>
      <c r="AC76" s="107">
        <v>0</v>
      </c>
      <c r="AD76" s="107">
        <v>0</v>
      </c>
      <c r="AE76" s="107">
        <v>0</v>
      </c>
      <c r="AF76" s="107">
        <v>0</v>
      </c>
      <c r="AG76" s="107">
        <v>0</v>
      </c>
      <c r="AH76" s="107">
        <v>0</v>
      </c>
      <c r="AI76" s="107">
        <v>0</v>
      </c>
      <c r="AJ76" s="107">
        <v>0</v>
      </c>
      <c r="AK76" s="107">
        <v>0</v>
      </c>
      <c r="AL76" s="107">
        <v>0</v>
      </c>
      <c r="AM76" s="107">
        <v>0</v>
      </c>
      <c r="AN76" s="107">
        <v>0</v>
      </c>
      <c r="AO76" s="107">
        <v>0</v>
      </c>
      <c r="AP76" s="107">
        <v>0</v>
      </c>
      <c r="AQ76" s="107">
        <v>0.8</v>
      </c>
      <c r="AR76" s="107">
        <v>0.8</v>
      </c>
      <c r="AS76" s="107">
        <v>0</v>
      </c>
      <c r="AT76" s="107">
        <v>0.8</v>
      </c>
      <c r="AU76" s="107">
        <v>0</v>
      </c>
      <c r="AV76" s="107">
        <v>0</v>
      </c>
      <c r="AW76" s="107">
        <v>0</v>
      </c>
      <c r="AX76" s="107">
        <v>0</v>
      </c>
      <c r="AY76" s="107">
        <v>0</v>
      </c>
      <c r="AZ76" s="107">
        <v>0</v>
      </c>
      <c r="BA76" s="107">
        <v>0</v>
      </c>
      <c r="BB76" s="107">
        <v>0.8</v>
      </c>
      <c r="BC76" s="107">
        <v>0</v>
      </c>
      <c r="BD76" s="107">
        <v>0.8</v>
      </c>
      <c r="BE76" s="107">
        <v>0</v>
      </c>
      <c r="BF76" s="107">
        <v>0.8</v>
      </c>
      <c r="BG76" s="107">
        <v>0</v>
      </c>
      <c r="BH76" s="107">
        <v>0</v>
      </c>
      <c r="BI76" s="107">
        <v>0.8</v>
      </c>
      <c r="BJ76" s="107">
        <v>0</v>
      </c>
      <c r="BK76" s="107">
        <v>0</v>
      </c>
      <c r="BL76" s="107">
        <v>0</v>
      </c>
      <c r="BM76" s="107">
        <v>0</v>
      </c>
      <c r="BN76" s="107">
        <v>0</v>
      </c>
      <c r="BO76" s="107">
        <v>0</v>
      </c>
      <c r="BP76" s="107">
        <v>0</v>
      </c>
      <c r="BQ76" s="107">
        <v>0</v>
      </c>
      <c r="BR76" s="107">
        <v>0</v>
      </c>
      <c r="BS76" s="107">
        <v>0</v>
      </c>
      <c r="BT76" s="107">
        <v>0</v>
      </c>
      <c r="BU76" s="107">
        <v>0</v>
      </c>
      <c r="BV76" s="107">
        <v>0</v>
      </c>
      <c r="BW76" s="107">
        <v>0</v>
      </c>
      <c r="BX76" s="107">
        <v>0</v>
      </c>
      <c r="BY76" s="107">
        <v>0</v>
      </c>
      <c r="BZ76" s="107">
        <v>0</v>
      </c>
      <c r="CA76" s="107">
        <v>0</v>
      </c>
      <c r="CB76" s="107">
        <v>0</v>
      </c>
      <c r="CC76" s="107">
        <v>0</v>
      </c>
    </row>
    <row r="77" spans="1:81" x14ac:dyDescent="0.15">
      <c r="A77" s="178" t="s">
        <v>266</v>
      </c>
      <c r="B77" s="107">
        <v>0</v>
      </c>
      <c r="C77" s="107">
        <v>0</v>
      </c>
      <c r="D77" s="107">
        <v>0</v>
      </c>
      <c r="E77" s="107">
        <v>0</v>
      </c>
      <c r="F77" s="107">
        <v>0</v>
      </c>
      <c r="G77" s="107">
        <v>0</v>
      </c>
      <c r="H77" s="107">
        <v>0</v>
      </c>
      <c r="I77" s="107">
        <v>0</v>
      </c>
      <c r="J77" s="107">
        <v>0</v>
      </c>
      <c r="K77" s="107">
        <v>0</v>
      </c>
      <c r="L77" s="107">
        <v>0</v>
      </c>
      <c r="M77" s="107">
        <v>0</v>
      </c>
      <c r="N77" s="107">
        <v>0</v>
      </c>
      <c r="O77" s="107">
        <v>0</v>
      </c>
      <c r="P77" s="107">
        <v>0</v>
      </c>
      <c r="Q77" s="107">
        <v>0</v>
      </c>
      <c r="R77" s="107">
        <v>0</v>
      </c>
      <c r="S77" s="107">
        <v>0</v>
      </c>
      <c r="T77" s="107">
        <v>0</v>
      </c>
      <c r="U77" s="107">
        <v>0</v>
      </c>
      <c r="V77" s="107">
        <v>0</v>
      </c>
      <c r="W77" s="107">
        <v>0</v>
      </c>
      <c r="X77" s="107">
        <v>0</v>
      </c>
      <c r="Y77" s="107">
        <v>0</v>
      </c>
      <c r="Z77" s="107">
        <v>0</v>
      </c>
      <c r="AA77" s="107">
        <v>0</v>
      </c>
      <c r="AB77" s="107">
        <v>0</v>
      </c>
      <c r="AC77" s="107">
        <v>0</v>
      </c>
      <c r="AD77" s="107">
        <v>0</v>
      </c>
      <c r="AE77" s="107">
        <v>0</v>
      </c>
      <c r="AF77" s="107">
        <v>0</v>
      </c>
      <c r="AG77" s="107">
        <v>0</v>
      </c>
      <c r="AH77" s="107">
        <v>0</v>
      </c>
      <c r="AI77" s="107">
        <v>0</v>
      </c>
      <c r="AJ77" s="107">
        <v>0</v>
      </c>
      <c r="AK77" s="107">
        <v>0</v>
      </c>
      <c r="AL77" s="107">
        <v>0</v>
      </c>
      <c r="AM77" s="107">
        <v>0</v>
      </c>
      <c r="AN77" s="107">
        <v>0</v>
      </c>
      <c r="AO77" s="107">
        <v>0</v>
      </c>
      <c r="AP77" s="107">
        <v>0</v>
      </c>
      <c r="AQ77" s="107">
        <v>0</v>
      </c>
      <c r="AR77" s="107">
        <v>0.8</v>
      </c>
      <c r="AS77" s="107">
        <v>0</v>
      </c>
      <c r="AT77" s="107">
        <v>0</v>
      </c>
      <c r="AU77" s="107">
        <v>0</v>
      </c>
      <c r="AV77" s="107">
        <v>0</v>
      </c>
      <c r="AW77" s="107">
        <v>0</v>
      </c>
      <c r="AX77" s="107">
        <v>0</v>
      </c>
      <c r="AY77" s="107">
        <v>0</v>
      </c>
      <c r="AZ77" s="107">
        <v>0</v>
      </c>
      <c r="BA77" s="107">
        <v>0</v>
      </c>
      <c r="BB77" s="107">
        <v>0.8</v>
      </c>
      <c r="BC77" s="107">
        <v>0</v>
      </c>
      <c r="BD77" s="107">
        <v>0.8</v>
      </c>
      <c r="BE77" s="107">
        <v>0</v>
      </c>
      <c r="BF77" s="107">
        <v>0.8</v>
      </c>
      <c r="BG77" s="107">
        <v>0</v>
      </c>
      <c r="BH77" s="107">
        <v>0</v>
      </c>
      <c r="BI77" s="107">
        <v>0.8</v>
      </c>
      <c r="BJ77" s="107">
        <v>0</v>
      </c>
      <c r="BK77" s="107">
        <v>0</v>
      </c>
      <c r="BL77" s="107">
        <v>0</v>
      </c>
      <c r="BM77" s="107">
        <v>0</v>
      </c>
      <c r="BN77" s="107">
        <v>0</v>
      </c>
      <c r="BO77" s="107">
        <v>0</v>
      </c>
      <c r="BP77" s="107">
        <v>0</v>
      </c>
      <c r="BQ77" s="107">
        <v>0</v>
      </c>
      <c r="BR77" s="107">
        <v>0</v>
      </c>
      <c r="BS77" s="107">
        <v>0</v>
      </c>
      <c r="BT77" s="107">
        <v>0</v>
      </c>
      <c r="BU77" s="107">
        <v>0</v>
      </c>
      <c r="BV77" s="107">
        <v>0</v>
      </c>
      <c r="BW77" s="107">
        <v>0</v>
      </c>
      <c r="BX77" s="107">
        <v>0</v>
      </c>
      <c r="BY77" s="107">
        <v>0</v>
      </c>
      <c r="BZ77" s="107">
        <v>0</v>
      </c>
      <c r="CA77" s="107">
        <v>0</v>
      </c>
      <c r="CB77" s="107">
        <v>0</v>
      </c>
      <c r="CC77" s="107">
        <v>0</v>
      </c>
    </row>
    <row r="78" spans="1:81" x14ac:dyDescent="0.15">
      <c r="A78" s="178" t="s">
        <v>267</v>
      </c>
      <c r="B78" s="107">
        <v>0</v>
      </c>
      <c r="C78" s="107">
        <v>0</v>
      </c>
      <c r="D78" s="107">
        <v>0</v>
      </c>
      <c r="E78" s="107">
        <v>0</v>
      </c>
      <c r="F78" s="107">
        <v>0</v>
      </c>
      <c r="G78" s="107">
        <v>0</v>
      </c>
      <c r="H78" s="107">
        <v>0</v>
      </c>
      <c r="I78" s="107">
        <v>0</v>
      </c>
      <c r="J78" s="107">
        <v>0</v>
      </c>
      <c r="K78" s="107">
        <v>0</v>
      </c>
      <c r="L78" s="107">
        <v>0</v>
      </c>
      <c r="M78" s="107">
        <v>0</v>
      </c>
      <c r="N78" s="107">
        <v>0</v>
      </c>
      <c r="O78" s="107">
        <v>0</v>
      </c>
      <c r="P78" s="107">
        <v>0</v>
      </c>
      <c r="Q78" s="107">
        <v>0.8</v>
      </c>
      <c r="R78" s="107">
        <v>0</v>
      </c>
      <c r="S78" s="107">
        <v>0</v>
      </c>
      <c r="T78" s="107">
        <v>0</v>
      </c>
      <c r="U78" s="107">
        <v>0</v>
      </c>
      <c r="V78" s="107">
        <v>0</v>
      </c>
      <c r="W78" s="107">
        <v>0</v>
      </c>
      <c r="X78" s="107">
        <v>0</v>
      </c>
      <c r="Y78" s="107">
        <v>0</v>
      </c>
      <c r="Z78" s="107">
        <v>0</v>
      </c>
      <c r="AA78" s="107">
        <v>0.8</v>
      </c>
      <c r="AB78" s="107">
        <v>0</v>
      </c>
      <c r="AC78" s="107">
        <v>0</v>
      </c>
      <c r="AD78" s="107">
        <v>0</v>
      </c>
      <c r="AE78" s="107">
        <v>0</v>
      </c>
      <c r="AF78" s="107">
        <v>0</v>
      </c>
      <c r="AG78" s="107">
        <v>0</v>
      </c>
      <c r="AH78" s="107">
        <v>0</v>
      </c>
      <c r="AI78" s="107">
        <v>0</v>
      </c>
      <c r="AJ78" s="107">
        <v>0</v>
      </c>
      <c r="AK78" s="107">
        <v>0</v>
      </c>
      <c r="AL78" s="107">
        <v>0.8</v>
      </c>
      <c r="AM78" s="107">
        <v>0</v>
      </c>
      <c r="AN78" s="107">
        <v>0</v>
      </c>
      <c r="AO78" s="107">
        <v>0</v>
      </c>
      <c r="AP78" s="107">
        <v>0</v>
      </c>
      <c r="AQ78" s="107">
        <v>0</v>
      </c>
      <c r="AR78" s="107">
        <v>0</v>
      </c>
      <c r="AS78" s="107">
        <v>0</v>
      </c>
      <c r="AT78" s="107">
        <v>0.8</v>
      </c>
      <c r="AU78" s="107">
        <v>0</v>
      </c>
      <c r="AV78" s="107">
        <v>0</v>
      </c>
      <c r="AW78" s="107">
        <v>0.8</v>
      </c>
      <c r="AX78" s="107">
        <v>0.8</v>
      </c>
      <c r="AY78" s="107">
        <v>0.8</v>
      </c>
      <c r="AZ78" s="107">
        <v>0</v>
      </c>
      <c r="BA78" s="107">
        <v>0</v>
      </c>
      <c r="BB78" s="107">
        <v>0.8</v>
      </c>
      <c r="BC78" s="107">
        <v>0.8</v>
      </c>
      <c r="BD78" s="107">
        <v>0.8</v>
      </c>
      <c r="BE78" s="107">
        <v>0</v>
      </c>
      <c r="BF78" s="107">
        <v>0</v>
      </c>
      <c r="BG78" s="107">
        <v>0.8</v>
      </c>
      <c r="BH78" s="107">
        <v>0</v>
      </c>
      <c r="BI78" s="107">
        <v>0.8</v>
      </c>
      <c r="BJ78" s="107">
        <v>0</v>
      </c>
      <c r="BK78" s="107">
        <v>0.8</v>
      </c>
      <c r="BL78" s="107">
        <v>0</v>
      </c>
      <c r="BM78" s="107">
        <v>0</v>
      </c>
      <c r="BN78" s="107">
        <v>0</v>
      </c>
      <c r="BO78" s="107">
        <v>0</v>
      </c>
      <c r="BP78" s="107">
        <v>0</v>
      </c>
      <c r="BQ78" s="107">
        <v>0</v>
      </c>
      <c r="BR78" s="107">
        <v>0</v>
      </c>
      <c r="BS78" s="107">
        <v>0</v>
      </c>
      <c r="BT78" s="107">
        <v>0</v>
      </c>
      <c r="BU78" s="107">
        <v>0</v>
      </c>
      <c r="BV78" s="107">
        <v>0</v>
      </c>
      <c r="BW78" s="107">
        <v>0</v>
      </c>
      <c r="BX78" s="107">
        <v>0</v>
      </c>
      <c r="BY78" s="107">
        <v>0</v>
      </c>
      <c r="BZ78" s="107">
        <v>0</v>
      </c>
      <c r="CA78" s="107">
        <v>0</v>
      </c>
      <c r="CB78" s="107">
        <v>0</v>
      </c>
      <c r="CC78" s="107">
        <v>0</v>
      </c>
    </row>
    <row r="79" spans="1:81" x14ac:dyDescent="0.15">
      <c r="A79" s="178" t="s">
        <v>268</v>
      </c>
      <c r="B79" s="107">
        <v>0</v>
      </c>
      <c r="C79" s="107">
        <v>0</v>
      </c>
      <c r="D79" s="107">
        <v>0</v>
      </c>
      <c r="E79" s="107">
        <v>0</v>
      </c>
      <c r="F79" s="107">
        <v>0</v>
      </c>
      <c r="G79" s="107">
        <v>0</v>
      </c>
      <c r="H79" s="107">
        <v>0</v>
      </c>
      <c r="I79" s="107">
        <v>0</v>
      </c>
      <c r="J79" s="107">
        <v>0</v>
      </c>
      <c r="K79" s="107">
        <v>0</v>
      </c>
      <c r="L79" s="107">
        <v>0</v>
      </c>
      <c r="M79" s="107">
        <v>0</v>
      </c>
      <c r="N79" s="107">
        <v>0</v>
      </c>
      <c r="O79" s="107">
        <v>0</v>
      </c>
      <c r="P79" s="107">
        <v>0</v>
      </c>
      <c r="Q79" s="107">
        <v>0</v>
      </c>
      <c r="R79" s="107">
        <v>0</v>
      </c>
      <c r="S79" s="107">
        <v>0</v>
      </c>
      <c r="T79" s="107">
        <v>0</v>
      </c>
      <c r="U79" s="107">
        <v>0</v>
      </c>
      <c r="V79" s="107">
        <v>0</v>
      </c>
      <c r="W79" s="107">
        <v>0</v>
      </c>
      <c r="X79" s="107">
        <v>0</v>
      </c>
      <c r="Y79" s="107">
        <v>0</v>
      </c>
      <c r="Z79" s="107">
        <v>0</v>
      </c>
      <c r="AA79" s="107">
        <v>0</v>
      </c>
      <c r="AB79" s="107">
        <v>0</v>
      </c>
      <c r="AC79" s="107">
        <v>0</v>
      </c>
      <c r="AD79" s="107">
        <v>0</v>
      </c>
      <c r="AE79" s="107">
        <v>0</v>
      </c>
      <c r="AF79" s="107">
        <v>0</v>
      </c>
      <c r="AG79" s="107">
        <v>0</v>
      </c>
      <c r="AH79" s="107">
        <v>0</v>
      </c>
      <c r="AI79" s="107">
        <v>0</v>
      </c>
      <c r="AJ79" s="107">
        <v>0</v>
      </c>
      <c r="AK79" s="107">
        <v>0</v>
      </c>
      <c r="AL79" s="107">
        <v>0</v>
      </c>
      <c r="AM79" s="107">
        <v>0</v>
      </c>
      <c r="AN79" s="107">
        <v>0</v>
      </c>
      <c r="AO79" s="107">
        <v>0</v>
      </c>
      <c r="AP79" s="107">
        <v>0</v>
      </c>
      <c r="AQ79" s="107">
        <v>0</v>
      </c>
      <c r="AR79" s="107">
        <v>0</v>
      </c>
      <c r="AS79" s="107">
        <v>0</v>
      </c>
      <c r="AT79" s="107">
        <v>0</v>
      </c>
      <c r="AU79" s="107">
        <v>0</v>
      </c>
      <c r="AV79" s="107">
        <v>0</v>
      </c>
      <c r="AW79" s="107">
        <v>0.8</v>
      </c>
      <c r="AX79" s="107">
        <v>0</v>
      </c>
      <c r="AY79" s="107">
        <v>0</v>
      </c>
      <c r="AZ79" s="107">
        <v>0</v>
      </c>
      <c r="BA79" s="107">
        <v>0.8</v>
      </c>
      <c r="BB79" s="107">
        <v>0</v>
      </c>
      <c r="BC79" s="107">
        <v>0</v>
      </c>
      <c r="BD79" s="107">
        <v>0</v>
      </c>
      <c r="BE79" s="107">
        <v>0</v>
      </c>
      <c r="BF79" s="107">
        <v>0</v>
      </c>
      <c r="BG79" s="107">
        <v>0</v>
      </c>
      <c r="BH79" s="107">
        <v>0</v>
      </c>
      <c r="BI79" s="107">
        <v>0</v>
      </c>
      <c r="BJ79" s="107">
        <v>0</v>
      </c>
      <c r="BK79" s="107">
        <v>0</v>
      </c>
      <c r="BL79" s="107">
        <v>0</v>
      </c>
      <c r="BM79" s="107">
        <v>0</v>
      </c>
      <c r="BN79" s="107">
        <v>0</v>
      </c>
      <c r="BO79" s="107">
        <v>0</v>
      </c>
      <c r="BP79" s="107">
        <v>0</v>
      </c>
      <c r="BQ79" s="107">
        <v>0</v>
      </c>
      <c r="BR79" s="107">
        <v>0</v>
      </c>
      <c r="BS79" s="107">
        <v>0</v>
      </c>
      <c r="BT79" s="107">
        <v>0</v>
      </c>
      <c r="BU79" s="107">
        <v>0</v>
      </c>
      <c r="BV79" s="107">
        <v>0</v>
      </c>
      <c r="BW79" s="107">
        <v>0</v>
      </c>
      <c r="BX79" s="107">
        <v>0</v>
      </c>
      <c r="BY79" s="107">
        <v>0</v>
      </c>
      <c r="BZ79" s="107">
        <v>0</v>
      </c>
      <c r="CA79" s="107">
        <v>0</v>
      </c>
      <c r="CB79" s="107">
        <v>0</v>
      </c>
      <c r="CC79" s="107">
        <v>0</v>
      </c>
    </row>
    <row r="80" spans="1:81" x14ac:dyDescent="0.15">
      <c r="A80" s="178" t="s">
        <v>269</v>
      </c>
      <c r="B80" s="107">
        <v>0</v>
      </c>
      <c r="C80" s="107">
        <v>0</v>
      </c>
      <c r="D80" s="107">
        <v>0</v>
      </c>
      <c r="E80" s="107">
        <v>0</v>
      </c>
      <c r="F80" s="107">
        <v>0</v>
      </c>
      <c r="G80" s="107">
        <v>0</v>
      </c>
      <c r="H80" s="107">
        <v>0</v>
      </c>
      <c r="I80" s="107">
        <v>0</v>
      </c>
      <c r="J80" s="107">
        <v>0</v>
      </c>
      <c r="K80" s="107">
        <v>0</v>
      </c>
      <c r="L80" s="107">
        <v>0</v>
      </c>
      <c r="M80" s="107">
        <v>0</v>
      </c>
      <c r="N80" s="107">
        <v>0</v>
      </c>
      <c r="O80" s="107">
        <v>0</v>
      </c>
      <c r="P80" s="107">
        <v>0</v>
      </c>
      <c r="Q80" s="107">
        <v>0</v>
      </c>
      <c r="R80" s="107">
        <v>0</v>
      </c>
      <c r="S80" s="107">
        <v>0</v>
      </c>
      <c r="T80" s="107">
        <v>0</v>
      </c>
      <c r="U80" s="107">
        <v>0</v>
      </c>
      <c r="V80" s="107">
        <v>0</v>
      </c>
      <c r="W80" s="107">
        <v>0</v>
      </c>
      <c r="X80" s="107">
        <v>0</v>
      </c>
      <c r="Y80" s="107">
        <v>0</v>
      </c>
      <c r="Z80" s="107">
        <v>0</v>
      </c>
      <c r="AA80" s="107">
        <v>0.8</v>
      </c>
      <c r="AB80" s="107">
        <v>0</v>
      </c>
      <c r="AC80" s="107">
        <v>0</v>
      </c>
      <c r="AD80" s="107">
        <v>0</v>
      </c>
      <c r="AE80" s="107">
        <v>0</v>
      </c>
      <c r="AF80" s="107">
        <v>0</v>
      </c>
      <c r="AG80" s="107">
        <v>0</v>
      </c>
      <c r="AH80" s="107">
        <v>0</v>
      </c>
      <c r="AI80" s="107">
        <v>0</v>
      </c>
      <c r="AJ80" s="107">
        <v>0.8</v>
      </c>
      <c r="AK80" s="107">
        <v>0.8</v>
      </c>
      <c r="AL80" s="107">
        <v>0.8</v>
      </c>
      <c r="AM80" s="107">
        <v>0.8</v>
      </c>
      <c r="AN80" s="107">
        <v>0.8</v>
      </c>
      <c r="AO80" s="107">
        <v>0.8</v>
      </c>
      <c r="AP80" s="107">
        <v>0</v>
      </c>
      <c r="AQ80" s="107">
        <v>0.8</v>
      </c>
      <c r="AR80" s="107">
        <v>0</v>
      </c>
      <c r="AS80" s="107">
        <v>0</v>
      </c>
      <c r="AT80" s="107">
        <v>0</v>
      </c>
      <c r="AU80" s="107">
        <v>0</v>
      </c>
      <c r="AV80" s="107">
        <v>0</v>
      </c>
      <c r="AW80" s="107">
        <v>0</v>
      </c>
      <c r="AX80" s="107">
        <v>0.8</v>
      </c>
      <c r="AY80" s="107">
        <v>0</v>
      </c>
      <c r="AZ80" s="107">
        <v>0.8</v>
      </c>
      <c r="BA80" s="107">
        <v>0</v>
      </c>
      <c r="BB80" s="107">
        <v>0</v>
      </c>
      <c r="BC80" s="107">
        <v>0</v>
      </c>
      <c r="BD80" s="107">
        <v>0</v>
      </c>
      <c r="BE80" s="107">
        <v>0</v>
      </c>
      <c r="BF80" s="107">
        <v>0</v>
      </c>
      <c r="BG80" s="107">
        <v>0.8</v>
      </c>
      <c r="BH80" s="107">
        <v>0</v>
      </c>
      <c r="BI80" s="107">
        <v>0</v>
      </c>
      <c r="BJ80" s="107">
        <v>0</v>
      </c>
      <c r="BK80" s="107">
        <v>0.8</v>
      </c>
      <c r="BL80" s="107">
        <v>0</v>
      </c>
      <c r="BM80" s="107">
        <v>0</v>
      </c>
      <c r="BN80" s="107">
        <v>0</v>
      </c>
      <c r="BO80" s="107">
        <v>0</v>
      </c>
      <c r="BP80" s="107">
        <v>0</v>
      </c>
      <c r="BQ80" s="107">
        <v>0</v>
      </c>
      <c r="BR80" s="107">
        <v>0</v>
      </c>
      <c r="BS80" s="107">
        <v>0</v>
      </c>
      <c r="BT80" s="107">
        <v>0</v>
      </c>
      <c r="BU80" s="107">
        <v>0</v>
      </c>
      <c r="BV80" s="107">
        <v>0</v>
      </c>
      <c r="BW80" s="107">
        <v>0</v>
      </c>
      <c r="BX80" s="107">
        <v>0</v>
      </c>
      <c r="BY80" s="107">
        <v>0</v>
      </c>
      <c r="BZ80" s="107">
        <v>0</v>
      </c>
      <c r="CA80" s="107">
        <v>0</v>
      </c>
      <c r="CB80" s="107">
        <v>0</v>
      </c>
      <c r="CC80" s="107">
        <v>0</v>
      </c>
    </row>
    <row r="81" spans="1:81" x14ac:dyDescent="0.15">
      <c r="A81" s="178" t="s">
        <v>270</v>
      </c>
      <c r="B81" s="107">
        <v>0</v>
      </c>
      <c r="C81" s="107">
        <v>0</v>
      </c>
      <c r="D81" s="107">
        <v>0</v>
      </c>
      <c r="E81" s="107">
        <v>0</v>
      </c>
      <c r="F81" s="107">
        <v>0</v>
      </c>
      <c r="G81" s="107">
        <v>0</v>
      </c>
      <c r="H81" s="107">
        <v>0.8</v>
      </c>
      <c r="I81" s="107">
        <v>0</v>
      </c>
      <c r="J81" s="107">
        <v>0</v>
      </c>
      <c r="K81" s="107">
        <v>0</v>
      </c>
      <c r="L81" s="107">
        <v>0</v>
      </c>
      <c r="M81" s="107">
        <v>0</v>
      </c>
      <c r="N81" s="107">
        <v>0</v>
      </c>
      <c r="O81" s="107">
        <v>0.8</v>
      </c>
      <c r="P81" s="107">
        <v>0.8</v>
      </c>
      <c r="Q81" s="107">
        <v>0.8</v>
      </c>
      <c r="R81" s="107">
        <v>0</v>
      </c>
      <c r="S81" s="107">
        <v>0</v>
      </c>
      <c r="T81" s="107">
        <v>0.8</v>
      </c>
      <c r="U81" s="107">
        <v>0.8</v>
      </c>
      <c r="V81" s="107">
        <v>0</v>
      </c>
      <c r="W81" s="107">
        <v>0</v>
      </c>
      <c r="X81" s="107">
        <v>0</v>
      </c>
      <c r="Y81" s="107">
        <v>0</v>
      </c>
      <c r="Z81" s="107">
        <v>0</v>
      </c>
      <c r="AA81" s="107">
        <v>0.8</v>
      </c>
      <c r="AB81" s="107">
        <v>0</v>
      </c>
      <c r="AC81" s="107">
        <v>0.8</v>
      </c>
      <c r="AD81" s="107">
        <v>0</v>
      </c>
      <c r="AE81" s="107">
        <v>0.8</v>
      </c>
      <c r="AF81" s="107">
        <v>0.8</v>
      </c>
      <c r="AG81" s="107">
        <v>0</v>
      </c>
      <c r="AH81" s="107">
        <v>0</v>
      </c>
      <c r="AI81" s="107">
        <v>0.8</v>
      </c>
      <c r="AJ81" s="107">
        <v>0.8</v>
      </c>
      <c r="AK81" s="107">
        <v>0.8</v>
      </c>
      <c r="AL81" s="107">
        <v>0.8</v>
      </c>
      <c r="AM81" s="107">
        <v>0.8</v>
      </c>
      <c r="AN81" s="107">
        <v>0.8</v>
      </c>
      <c r="AO81" s="107">
        <v>0.8</v>
      </c>
      <c r="AP81" s="107">
        <v>0.8</v>
      </c>
      <c r="AQ81" s="107">
        <v>0</v>
      </c>
      <c r="AR81" s="107">
        <v>0.8</v>
      </c>
      <c r="AS81" s="107">
        <v>0.8</v>
      </c>
      <c r="AT81" s="107">
        <v>0.8</v>
      </c>
      <c r="AU81" s="107">
        <v>0</v>
      </c>
      <c r="AV81" s="107">
        <v>0</v>
      </c>
      <c r="AW81" s="107">
        <v>0</v>
      </c>
      <c r="AX81" s="107">
        <v>0.8</v>
      </c>
      <c r="AY81" s="107">
        <v>0.8</v>
      </c>
      <c r="AZ81" s="107">
        <v>0.8</v>
      </c>
      <c r="BA81" s="107">
        <v>0</v>
      </c>
      <c r="BB81" s="107">
        <v>0</v>
      </c>
      <c r="BC81" s="107">
        <v>0</v>
      </c>
      <c r="BD81" s="107">
        <v>0.8</v>
      </c>
      <c r="BE81" s="107">
        <v>0</v>
      </c>
      <c r="BF81" s="107">
        <v>0.8</v>
      </c>
      <c r="BG81" s="107">
        <v>0.8</v>
      </c>
      <c r="BH81" s="107">
        <v>0</v>
      </c>
      <c r="BI81" s="107">
        <v>0</v>
      </c>
      <c r="BJ81" s="107">
        <v>0</v>
      </c>
      <c r="BK81" s="107">
        <v>0</v>
      </c>
      <c r="BL81" s="107">
        <v>0</v>
      </c>
      <c r="BM81" s="107">
        <v>0</v>
      </c>
      <c r="BN81" s="107">
        <v>0</v>
      </c>
      <c r="BO81" s="107">
        <v>0</v>
      </c>
      <c r="BP81" s="107">
        <v>0</v>
      </c>
      <c r="BQ81" s="107">
        <v>0</v>
      </c>
      <c r="BR81" s="107">
        <v>0</v>
      </c>
      <c r="BS81" s="107">
        <v>0</v>
      </c>
      <c r="BT81" s="107">
        <v>0</v>
      </c>
      <c r="BU81" s="107">
        <v>0</v>
      </c>
      <c r="BV81" s="107">
        <v>0</v>
      </c>
      <c r="BW81" s="107">
        <v>0</v>
      </c>
      <c r="BX81" s="107">
        <v>0</v>
      </c>
      <c r="BY81" s="107">
        <v>0</v>
      </c>
      <c r="BZ81" s="107">
        <v>0</v>
      </c>
      <c r="CA81" s="107">
        <v>0</v>
      </c>
      <c r="CB81" s="107">
        <v>0</v>
      </c>
      <c r="CC81" s="107">
        <v>0</v>
      </c>
    </row>
    <row r="82" spans="1:81" x14ac:dyDescent="0.15">
      <c r="A82" s="178" t="s">
        <v>285</v>
      </c>
      <c r="B82" s="107">
        <v>0.8</v>
      </c>
      <c r="C82" s="107">
        <v>0.8</v>
      </c>
      <c r="D82" s="107">
        <v>0.8</v>
      </c>
      <c r="E82" s="107">
        <v>0.8</v>
      </c>
      <c r="F82" s="107">
        <v>0.8</v>
      </c>
      <c r="G82" s="107">
        <v>0.8</v>
      </c>
      <c r="H82" s="107">
        <v>0.8</v>
      </c>
      <c r="I82" s="107">
        <v>0.8</v>
      </c>
      <c r="J82" s="107">
        <v>0</v>
      </c>
      <c r="K82" s="107">
        <v>0</v>
      </c>
      <c r="L82" s="107">
        <v>0.8</v>
      </c>
      <c r="M82" s="107">
        <v>0.8</v>
      </c>
      <c r="N82" s="107">
        <v>0.8</v>
      </c>
      <c r="O82" s="107">
        <v>0.8</v>
      </c>
      <c r="P82" s="107">
        <v>0.8</v>
      </c>
      <c r="Q82" s="107">
        <v>0.8</v>
      </c>
      <c r="R82" s="107">
        <v>0</v>
      </c>
      <c r="S82" s="107">
        <v>0.8</v>
      </c>
      <c r="T82" s="107">
        <v>0.8</v>
      </c>
      <c r="U82" s="107">
        <v>0</v>
      </c>
      <c r="V82" s="107">
        <v>0</v>
      </c>
      <c r="W82" s="107">
        <v>0.8</v>
      </c>
      <c r="X82" s="107">
        <v>0.8</v>
      </c>
      <c r="Y82" s="107">
        <v>0.8</v>
      </c>
      <c r="Z82" s="107">
        <v>0.8</v>
      </c>
      <c r="AA82" s="107">
        <v>0.8</v>
      </c>
      <c r="AB82" s="107">
        <v>0.8</v>
      </c>
      <c r="AC82" s="107">
        <v>0.8</v>
      </c>
      <c r="AD82" s="107">
        <v>0.8</v>
      </c>
      <c r="AE82" s="107">
        <v>0</v>
      </c>
      <c r="AF82" s="107">
        <v>0.8</v>
      </c>
      <c r="AG82" s="107">
        <v>0.8</v>
      </c>
      <c r="AH82" s="107">
        <v>0</v>
      </c>
      <c r="AI82" s="107">
        <v>0.8</v>
      </c>
      <c r="AJ82" s="107">
        <v>0.8</v>
      </c>
      <c r="AK82" s="107">
        <v>0</v>
      </c>
      <c r="AL82" s="107">
        <v>0.8</v>
      </c>
      <c r="AM82" s="107">
        <v>0</v>
      </c>
      <c r="AN82" s="107">
        <v>0</v>
      </c>
      <c r="AO82" s="107">
        <v>0</v>
      </c>
      <c r="AP82" s="107">
        <v>0</v>
      </c>
      <c r="AQ82" s="107">
        <v>0</v>
      </c>
      <c r="AR82" s="107">
        <v>0</v>
      </c>
      <c r="AS82" s="107">
        <v>0</v>
      </c>
      <c r="AT82" s="107">
        <v>0.8</v>
      </c>
      <c r="AU82" s="107">
        <v>0.8</v>
      </c>
      <c r="AV82" s="107">
        <v>0.8</v>
      </c>
      <c r="AW82" s="107">
        <v>0</v>
      </c>
      <c r="AX82" s="107">
        <v>0</v>
      </c>
      <c r="AY82" s="107">
        <v>0</v>
      </c>
      <c r="AZ82" s="107">
        <v>0</v>
      </c>
      <c r="BA82" s="107">
        <v>0.8</v>
      </c>
      <c r="BB82" s="107">
        <v>0.8</v>
      </c>
      <c r="BC82" s="107">
        <v>0</v>
      </c>
      <c r="BD82" s="107">
        <v>0.8</v>
      </c>
      <c r="BE82" s="107">
        <v>0.8</v>
      </c>
      <c r="BF82" s="107">
        <v>0.8</v>
      </c>
      <c r="BG82" s="107">
        <v>0</v>
      </c>
      <c r="BH82" s="107">
        <v>0.8</v>
      </c>
      <c r="BI82" s="107">
        <v>0</v>
      </c>
      <c r="BJ82" s="107">
        <v>0</v>
      </c>
      <c r="BK82" s="107">
        <v>0</v>
      </c>
      <c r="BL82" s="107">
        <v>0</v>
      </c>
      <c r="BM82" s="107">
        <v>0</v>
      </c>
      <c r="BN82" s="107">
        <v>0</v>
      </c>
      <c r="BO82" s="107">
        <v>0</v>
      </c>
      <c r="BP82" s="107">
        <v>0</v>
      </c>
      <c r="BQ82" s="107">
        <v>0</v>
      </c>
      <c r="BR82" s="107">
        <v>0</v>
      </c>
      <c r="BS82" s="107">
        <v>0</v>
      </c>
      <c r="BT82" s="107">
        <v>0</v>
      </c>
      <c r="BU82" s="107">
        <v>0</v>
      </c>
      <c r="BV82" s="107">
        <v>0</v>
      </c>
      <c r="BW82" s="107">
        <v>0</v>
      </c>
      <c r="BX82" s="107">
        <v>0</v>
      </c>
      <c r="BY82" s="107">
        <v>0</v>
      </c>
      <c r="BZ82" s="107">
        <v>0</v>
      </c>
      <c r="CA82" s="107">
        <v>0</v>
      </c>
      <c r="CB82" s="107">
        <v>0</v>
      </c>
      <c r="CC82" s="107">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CC82"/>
  <sheetViews>
    <sheetView workbookViewId="0">
      <selection activeCell="A3" sqref="A3"/>
    </sheetView>
  </sheetViews>
  <sheetFormatPr baseColWidth="10" defaultRowHeight="13" x14ac:dyDescent="0.15"/>
  <cols>
    <col min="1" max="1" width="29.6640625" style="107" bestFit="1" customWidth="1"/>
    <col min="2" max="81" width="2.33203125" style="107" customWidth="1"/>
    <col min="82" max="16384" width="10.83203125" style="107"/>
  </cols>
  <sheetData>
    <row r="1" spans="1:81" x14ac:dyDescent="0.15">
      <c r="A1" s="63" t="s">
        <v>139</v>
      </c>
      <c r="B1" s="181" t="s">
        <v>191</v>
      </c>
      <c r="C1" s="181" t="s">
        <v>192</v>
      </c>
      <c r="D1" s="181" t="s">
        <v>193</v>
      </c>
      <c r="E1" s="181" t="s">
        <v>194</v>
      </c>
      <c r="F1" s="181" t="s">
        <v>195</v>
      </c>
      <c r="G1" s="181" t="s">
        <v>196</v>
      </c>
      <c r="H1" s="181" t="s">
        <v>197</v>
      </c>
      <c r="I1" s="181" t="s">
        <v>198</v>
      </c>
      <c r="J1" s="181" t="s">
        <v>199</v>
      </c>
      <c r="K1" s="181" t="s">
        <v>200</v>
      </c>
      <c r="L1" s="181" t="s">
        <v>201</v>
      </c>
      <c r="M1" s="181" t="s">
        <v>202</v>
      </c>
      <c r="N1" s="181" t="s">
        <v>203</v>
      </c>
      <c r="O1" s="181" t="s">
        <v>204</v>
      </c>
      <c r="P1" s="181" t="s">
        <v>205</v>
      </c>
      <c r="Q1" s="181" t="s">
        <v>206</v>
      </c>
      <c r="R1" s="181" t="s">
        <v>207</v>
      </c>
      <c r="S1" s="181" t="s">
        <v>208</v>
      </c>
      <c r="T1" s="181" t="s">
        <v>209</v>
      </c>
      <c r="U1" s="181" t="s">
        <v>210</v>
      </c>
      <c r="V1" s="181" t="s">
        <v>211</v>
      </c>
      <c r="W1" s="181" t="s">
        <v>212</v>
      </c>
      <c r="X1" s="181" t="s">
        <v>213</v>
      </c>
      <c r="Y1" s="181" t="s">
        <v>214</v>
      </c>
      <c r="Z1" s="181" t="s">
        <v>215</v>
      </c>
      <c r="AA1" s="181" t="s">
        <v>216</v>
      </c>
      <c r="AB1" s="181" t="s">
        <v>217</v>
      </c>
      <c r="AC1" s="181" t="s">
        <v>218</v>
      </c>
      <c r="AD1" s="181" t="s">
        <v>219</v>
      </c>
      <c r="AE1" s="181" t="s">
        <v>220</v>
      </c>
      <c r="AF1" s="181" t="s">
        <v>221</v>
      </c>
      <c r="AG1" s="181" t="s">
        <v>222</v>
      </c>
      <c r="AH1" s="181" t="s">
        <v>223</v>
      </c>
      <c r="AI1" s="181" t="s">
        <v>224</v>
      </c>
      <c r="AJ1" s="181" t="s">
        <v>225</v>
      </c>
      <c r="AK1" s="181" t="s">
        <v>226</v>
      </c>
      <c r="AL1" s="181" t="s">
        <v>227</v>
      </c>
      <c r="AM1" s="181" t="s">
        <v>228</v>
      </c>
      <c r="AN1" s="181" t="s">
        <v>229</v>
      </c>
      <c r="AO1" s="181" t="s">
        <v>230</v>
      </c>
      <c r="AP1" s="181" t="s">
        <v>231</v>
      </c>
      <c r="AQ1" s="181" t="s">
        <v>232</v>
      </c>
      <c r="AR1" s="181" t="s">
        <v>233</v>
      </c>
      <c r="AS1" s="181" t="s">
        <v>234</v>
      </c>
      <c r="AT1" s="181" t="s">
        <v>235</v>
      </c>
      <c r="AU1" s="181" t="s">
        <v>236</v>
      </c>
      <c r="AV1" s="181" t="s">
        <v>237</v>
      </c>
      <c r="AW1" s="181" t="s">
        <v>238</v>
      </c>
      <c r="AX1" s="181" t="s">
        <v>239</v>
      </c>
      <c r="AY1" s="181" t="s">
        <v>240</v>
      </c>
      <c r="AZ1" s="181" t="s">
        <v>241</v>
      </c>
      <c r="BA1" s="181" t="s">
        <v>242</v>
      </c>
      <c r="BB1" s="181" t="s">
        <v>243</v>
      </c>
      <c r="BC1" s="181" t="s">
        <v>244</v>
      </c>
      <c r="BD1" s="181" t="s">
        <v>245</v>
      </c>
      <c r="BE1" s="181" t="s">
        <v>246</v>
      </c>
      <c r="BF1" s="181" t="s">
        <v>247</v>
      </c>
      <c r="BG1" s="181" t="s">
        <v>248</v>
      </c>
      <c r="BH1" s="181" t="s">
        <v>249</v>
      </c>
      <c r="BI1" s="181" t="s">
        <v>250</v>
      </c>
      <c r="BJ1" s="181" t="s">
        <v>251</v>
      </c>
      <c r="BK1" s="181" t="s">
        <v>252</v>
      </c>
      <c r="BL1" s="181" t="s">
        <v>253</v>
      </c>
      <c r="BM1" s="181" t="s">
        <v>254</v>
      </c>
      <c r="BN1" s="181" t="s">
        <v>255</v>
      </c>
      <c r="BO1" s="181" t="s">
        <v>256</v>
      </c>
      <c r="BP1" s="181" t="s">
        <v>257</v>
      </c>
      <c r="BQ1" s="181" t="s">
        <v>258</v>
      </c>
      <c r="BR1" s="181" t="s">
        <v>259</v>
      </c>
      <c r="BS1" s="181" t="s">
        <v>260</v>
      </c>
      <c r="BT1" s="181" t="s">
        <v>261</v>
      </c>
      <c r="BU1" s="181" t="s">
        <v>262</v>
      </c>
      <c r="BV1" s="181" t="s">
        <v>263</v>
      </c>
      <c r="BW1" s="181" t="s">
        <v>264</v>
      </c>
      <c r="BX1" s="181" t="s">
        <v>265</v>
      </c>
      <c r="BY1" s="181" t="s">
        <v>266</v>
      </c>
      <c r="BZ1" s="181" t="s">
        <v>267</v>
      </c>
      <c r="CA1" s="181" t="s">
        <v>268</v>
      </c>
      <c r="CB1" s="181" t="s">
        <v>269</v>
      </c>
      <c r="CC1" s="181" t="s">
        <v>270</v>
      </c>
    </row>
    <row r="2" spans="1:81" customFormat="1" x14ac:dyDescent="0.15">
      <c r="A2" s="180" t="s">
        <v>191</v>
      </c>
      <c r="B2" s="107">
        <v>0</v>
      </c>
      <c r="C2" s="107">
        <v>0</v>
      </c>
      <c r="D2" s="107">
        <v>0</v>
      </c>
      <c r="E2" s="107">
        <v>0</v>
      </c>
      <c r="F2" s="107">
        <v>1</v>
      </c>
      <c r="G2" s="107">
        <v>0</v>
      </c>
      <c r="H2" s="107">
        <v>0</v>
      </c>
      <c r="I2" s="107">
        <v>0</v>
      </c>
      <c r="J2" s="107">
        <v>0</v>
      </c>
      <c r="K2" s="107">
        <v>0</v>
      </c>
      <c r="L2" s="107">
        <v>0</v>
      </c>
      <c r="M2" s="107">
        <v>0</v>
      </c>
      <c r="N2" s="107">
        <v>0</v>
      </c>
      <c r="O2" s="107">
        <v>0</v>
      </c>
      <c r="P2" s="107">
        <v>0</v>
      </c>
      <c r="Q2" s="107">
        <v>0</v>
      </c>
      <c r="R2" s="107">
        <v>0</v>
      </c>
      <c r="S2" s="107">
        <v>0</v>
      </c>
      <c r="T2" s="107">
        <v>0</v>
      </c>
      <c r="U2" s="107">
        <v>0</v>
      </c>
      <c r="V2" s="107">
        <v>0</v>
      </c>
      <c r="W2" s="107">
        <v>0</v>
      </c>
      <c r="X2" s="107">
        <v>0</v>
      </c>
      <c r="Y2" s="107">
        <v>0</v>
      </c>
      <c r="Z2" s="107">
        <v>0</v>
      </c>
      <c r="AA2" s="107">
        <v>0</v>
      </c>
      <c r="AB2" s="107">
        <v>0</v>
      </c>
      <c r="AC2" s="107">
        <v>0</v>
      </c>
      <c r="AD2" s="107">
        <v>0</v>
      </c>
      <c r="AE2" s="107">
        <v>0</v>
      </c>
      <c r="AF2" s="107">
        <v>0</v>
      </c>
      <c r="AG2" s="107">
        <v>0</v>
      </c>
      <c r="AH2" s="107">
        <v>0</v>
      </c>
      <c r="AI2" s="107">
        <v>0</v>
      </c>
      <c r="AJ2" s="107">
        <v>0</v>
      </c>
      <c r="AK2" s="107">
        <v>0</v>
      </c>
      <c r="AL2" s="107">
        <v>0</v>
      </c>
      <c r="AM2" s="107">
        <v>0</v>
      </c>
      <c r="AN2" s="107">
        <v>0</v>
      </c>
      <c r="AO2" s="107">
        <v>0</v>
      </c>
      <c r="AP2" s="107">
        <v>0</v>
      </c>
      <c r="AQ2" s="107">
        <v>0</v>
      </c>
      <c r="AR2" s="107">
        <v>0</v>
      </c>
      <c r="AS2" s="107">
        <v>0</v>
      </c>
      <c r="AT2" s="107">
        <v>0</v>
      </c>
      <c r="AU2" s="107">
        <v>0</v>
      </c>
      <c r="AV2" s="107">
        <v>0</v>
      </c>
      <c r="AW2" s="107">
        <v>0</v>
      </c>
      <c r="AX2" s="107">
        <v>0</v>
      </c>
      <c r="AY2" s="107">
        <v>0</v>
      </c>
      <c r="AZ2" s="107">
        <v>0</v>
      </c>
      <c r="BA2" s="107">
        <v>0</v>
      </c>
      <c r="BB2" s="107">
        <v>0</v>
      </c>
      <c r="BC2" s="107">
        <v>0</v>
      </c>
      <c r="BD2" s="107">
        <v>0</v>
      </c>
      <c r="BE2" s="107">
        <v>0</v>
      </c>
      <c r="BF2" s="107">
        <v>0</v>
      </c>
      <c r="BG2" s="107">
        <v>0</v>
      </c>
      <c r="BH2" s="107">
        <v>0</v>
      </c>
      <c r="BI2" s="107">
        <v>0</v>
      </c>
      <c r="BJ2" s="107">
        <v>0</v>
      </c>
      <c r="BK2" s="107">
        <v>0</v>
      </c>
      <c r="BL2" s="107">
        <v>0</v>
      </c>
      <c r="BM2" s="107">
        <v>0</v>
      </c>
      <c r="BN2" s="107">
        <v>0</v>
      </c>
      <c r="BO2" s="107">
        <v>0</v>
      </c>
      <c r="BP2" s="107">
        <v>0</v>
      </c>
      <c r="BQ2" s="107">
        <v>0</v>
      </c>
      <c r="BR2" s="107">
        <v>0</v>
      </c>
      <c r="BS2" s="107">
        <v>0</v>
      </c>
      <c r="BT2" s="107">
        <v>0</v>
      </c>
      <c r="BU2" s="107">
        <v>0</v>
      </c>
      <c r="BV2" s="107">
        <v>0</v>
      </c>
      <c r="BW2" s="107">
        <v>0</v>
      </c>
      <c r="BX2" s="107">
        <v>0</v>
      </c>
      <c r="BY2" s="107">
        <v>0</v>
      </c>
      <c r="BZ2" s="107">
        <v>0</v>
      </c>
      <c r="CA2" s="107">
        <v>0</v>
      </c>
      <c r="CB2" s="107">
        <v>0</v>
      </c>
      <c r="CC2" s="107">
        <v>0</v>
      </c>
    </row>
    <row r="3" spans="1:81" customFormat="1" x14ac:dyDescent="0.15">
      <c r="A3" s="180" t="s">
        <v>192</v>
      </c>
      <c r="B3" s="107">
        <v>0</v>
      </c>
      <c r="C3" s="107">
        <v>0</v>
      </c>
      <c r="D3" s="107">
        <v>0</v>
      </c>
      <c r="E3" s="107">
        <v>0</v>
      </c>
      <c r="F3" s="107">
        <v>1</v>
      </c>
      <c r="G3" s="107">
        <v>0</v>
      </c>
      <c r="H3" s="107">
        <v>0</v>
      </c>
      <c r="I3" s="107">
        <v>0</v>
      </c>
      <c r="J3" s="107">
        <v>0</v>
      </c>
      <c r="K3" s="107">
        <v>0</v>
      </c>
      <c r="L3" s="107">
        <v>0</v>
      </c>
      <c r="M3" s="107">
        <v>0</v>
      </c>
      <c r="N3" s="107">
        <v>0</v>
      </c>
      <c r="O3" s="107">
        <v>0</v>
      </c>
      <c r="P3" s="107">
        <v>0</v>
      </c>
      <c r="Q3" s="107">
        <v>0</v>
      </c>
      <c r="R3" s="107">
        <v>0</v>
      </c>
      <c r="S3" s="107">
        <v>0</v>
      </c>
      <c r="T3" s="107">
        <v>0</v>
      </c>
      <c r="U3" s="107">
        <v>0</v>
      </c>
      <c r="V3" s="107">
        <v>0</v>
      </c>
      <c r="W3" s="107">
        <v>0</v>
      </c>
      <c r="X3" s="107">
        <v>0</v>
      </c>
      <c r="Y3" s="107">
        <v>0</v>
      </c>
      <c r="Z3" s="107">
        <v>0</v>
      </c>
      <c r="AA3" s="107">
        <v>0</v>
      </c>
      <c r="AB3" s="107">
        <v>0</v>
      </c>
      <c r="AC3" s="107">
        <v>0</v>
      </c>
      <c r="AD3" s="107">
        <v>0</v>
      </c>
      <c r="AE3" s="107">
        <v>0</v>
      </c>
      <c r="AF3" s="107">
        <v>0</v>
      </c>
      <c r="AG3" s="107">
        <v>0</v>
      </c>
      <c r="AH3" s="107">
        <v>0</v>
      </c>
      <c r="AI3" s="107">
        <v>0</v>
      </c>
      <c r="AJ3" s="107">
        <v>0</v>
      </c>
      <c r="AK3" s="107">
        <v>0</v>
      </c>
      <c r="AL3" s="107">
        <v>0</v>
      </c>
      <c r="AM3" s="107">
        <v>0</v>
      </c>
      <c r="AN3" s="107">
        <v>0</v>
      </c>
      <c r="AO3" s="107">
        <v>0</v>
      </c>
      <c r="AP3" s="107">
        <v>0</v>
      </c>
      <c r="AQ3" s="107">
        <v>0</v>
      </c>
      <c r="AR3" s="107">
        <v>0</v>
      </c>
      <c r="AS3" s="107">
        <v>0</v>
      </c>
      <c r="AT3" s="107">
        <v>0</v>
      </c>
      <c r="AU3" s="107">
        <v>0</v>
      </c>
      <c r="AV3" s="107">
        <v>0</v>
      </c>
      <c r="AW3" s="107">
        <v>0</v>
      </c>
      <c r="AX3" s="107">
        <v>0</v>
      </c>
      <c r="AY3" s="107">
        <v>0</v>
      </c>
      <c r="AZ3" s="107">
        <v>0</v>
      </c>
      <c r="BA3" s="107">
        <v>0</v>
      </c>
      <c r="BB3" s="107">
        <v>0</v>
      </c>
      <c r="BC3" s="107">
        <v>0</v>
      </c>
      <c r="BD3" s="107">
        <v>0</v>
      </c>
      <c r="BE3" s="107">
        <v>0</v>
      </c>
      <c r="BF3" s="107">
        <v>0</v>
      </c>
      <c r="BG3" s="107">
        <v>0</v>
      </c>
      <c r="BH3" s="107">
        <v>0</v>
      </c>
      <c r="BI3" s="107">
        <v>0</v>
      </c>
      <c r="BJ3" s="107">
        <v>0</v>
      </c>
      <c r="BK3" s="107">
        <v>0</v>
      </c>
      <c r="BL3" s="107">
        <v>0</v>
      </c>
      <c r="BM3" s="107">
        <v>0</v>
      </c>
      <c r="BN3" s="107">
        <v>0</v>
      </c>
      <c r="BO3" s="107">
        <v>0</v>
      </c>
      <c r="BP3" s="107">
        <v>0</v>
      </c>
      <c r="BQ3" s="107">
        <v>0</v>
      </c>
      <c r="BR3" s="107">
        <v>0</v>
      </c>
      <c r="BS3" s="107">
        <v>0</v>
      </c>
      <c r="BT3" s="107">
        <v>0</v>
      </c>
      <c r="BU3" s="107">
        <v>0</v>
      </c>
      <c r="BV3" s="107">
        <v>0</v>
      </c>
      <c r="BW3" s="107">
        <v>0</v>
      </c>
      <c r="BX3" s="107">
        <v>0</v>
      </c>
      <c r="BY3" s="107">
        <v>0</v>
      </c>
      <c r="BZ3" s="107">
        <v>0</v>
      </c>
      <c r="CA3" s="107">
        <v>0</v>
      </c>
      <c r="CB3" s="107">
        <v>0</v>
      </c>
      <c r="CC3" s="107">
        <v>0</v>
      </c>
    </row>
    <row r="4" spans="1:81" customFormat="1" x14ac:dyDescent="0.15">
      <c r="A4" s="180" t="s">
        <v>193</v>
      </c>
      <c r="B4" s="107">
        <v>0</v>
      </c>
      <c r="C4" s="107">
        <v>0</v>
      </c>
      <c r="D4" s="107">
        <v>0</v>
      </c>
      <c r="E4" s="107">
        <v>0</v>
      </c>
      <c r="F4" s="107">
        <v>0</v>
      </c>
      <c r="G4" s="107">
        <v>0</v>
      </c>
      <c r="H4" s="107">
        <v>0</v>
      </c>
      <c r="I4" s="107">
        <v>0</v>
      </c>
      <c r="J4" s="107">
        <v>0</v>
      </c>
      <c r="K4" s="107">
        <v>0</v>
      </c>
      <c r="L4" s="107">
        <v>0</v>
      </c>
      <c r="M4" s="107">
        <v>0</v>
      </c>
      <c r="N4" s="107">
        <v>0</v>
      </c>
      <c r="O4" s="107">
        <v>0</v>
      </c>
      <c r="P4" s="107">
        <v>0</v>
      </c>
      <c r="Q4" s="107">
        <v>0</v>
      </c>
      <c r="R4" s="107">
        <v>1</v>
      </c>
      <c r="S4" s="107">
        <v>0</v>
      </c>
      <c r="T4" s="107">
        <v>0</v>
      </c>
      <c r="U4" s="107">
        <v>0</v>
      </c>
      <c r="V4" s="107">
        <v>0</v>
      </c>
      <c r="W4" s="107">
        <v>0</v>
      </c>
      <c r="X4" s="107">
        <v>0</v>
      </c>
      <c r="Y4" s="107">
        <v>0</v>
      </c>
      <c r="Z4" s="107">
        <v>0</v>
      </c>
      <c r="AA4" s="107">
        <v>0</v>
      </c>
      <c r="AB4" s="107">
        <v>0</v>
      </c>
      <c r="AC4" s="107">
        <v>0</v>
      </c>
      <c r="AD4" s="107">
        <v>0</v>
      </c>
      <c r="AE4" s="107">
        <v>0</v>
      </c>
      <c r="AF4" s="107">
        <v>0</v>
      </c>
      <c r="AG4" s="107">
        <v>0</v>
      </c>
      <c r="AH4" s="107">
        <v>0</v>
      </c>
      <c r="AI4" s="107">
        <v>0</v>
      </c>
      <c r="AJ4" s="107">
        <v>0</v>
      </c>
      <c r="AK4" s="107">
        <v>0</v>
      </c>
      <c r="AL4" s="107">
        <v>0</v>
      </c>
      <c r="AM4" s="107">
        <v>0</v>
      </c>
      <c r="AN4" s="107">
        <v>0</v>
      </c>
      <c r="AO4" s="107">
        <v>0</v>
      </c>
      <c r="AP4" s="107">
        <v>0</v>
      </c>
      <c r="AQ4" s="107">
        <v>0</v>
      </c>
      <c r="AR4" s="107">
        <v>0</v>
      </c>
      <c r="AS4" s="107">
        <v>0</v>
      </c>
      <c r="AT4" s="107">
        <v>0</v>
      </c>
      <c r="AU4" s="107">
        <v>0</v>
      </c>
      <c r="AV4" s="107">
        <v>0</v>
      </c>
      <c r="AW4" s="107">
        <v>0</v>
      </c>
      <c r="AX4" s="107">
        <v>0</v>
      </c>
      <c r="AY4" s="107">
        <v>0</v>
      </c>
      <c r="AZ4" s="107">
        <v>0</v>
      </c>
      <c r="BA4" s="107">
        <v>0</v>
      </c>
      <c r="BB4" s="107">
        <v>0</v>
      </c>
      <c r="BC4" s="107">
        <v>0</v>
      </c>
      <c r="BD4" s="107">
        <v>0</v>
      </c>
      <c r="BE4" s="107">
        <v>0</v>
      </c>
      <c r="BF4" s="107">
        <v>0</v>
      </c>
      <c r="BG4" s="107">
        <v>0</v>
      </c>
      <c r="BH4" s="107">
        <v>0</v>
      </c>
      <c r="BI4" s="107">
        <v>0</v>
      </c>
      <c r="BJ4" s="107">
        <v>0</v>
      </c>
      <c r="BK4" s="107">
        <v>0</v>
      </c>
      <c r="BL4" s="107">
        <v>0</v>
      </c>
      <c r="BM4" s="107">
        <v>0</v>
      </c>
      <c r="BN4" s="107">
        <v>0</v>
      </c>
      <c r="BO4" s="107">
        <v>0</v>
      </c>
      <c r="BP4" s="107">
        <v>0</v>
      </c>
      <c r="BQ4" s="107">
        <v>0</v>
      </c>
      <c r="BR4" s="107">
        <v>0</v>
      </c>
      <c r="BS4" s="107">
        <v>0</v>
      </c>
      <c r="BT4" s="107">
        <v>0</v>
      </c>
      <c r="BU4" s="107">
        <v>0</v>
      </c>
      <c r="BV4" s="107">
        <v>0</v>
      </c>
      <c r="BW4" s="107">
        <v>0</v>
      </c>
      <c r="BX4" s="107">
        <v>0</v>
      </c>
      <c r="BY4" s="107">
        <v>0</v>
      </c>
      <c r="BZ4" s="107">
        <v>0</v>
      </c>
      <c r="CA4" s="107">
        <v>0</v>
      </c>
      <c r="CB4" s="107">
        <v>0</v>
      </c>
      <c r="CC4" s="107">
        <v>0</v>
      </c>
    </row>
    <row r="5" spans="1:81" customFormat="1" x14ac:dyDescent="0.15">
      <c r="A5" s="180" t="s">
        <v>194</v>
      </c>
      <c r="B5" s="107">
        <v>0</v>
      </c>
      <c r="C5" s="107">
        <v>0</v>
      </c>
      <c r="D5" s="107">
        <v>0</v>
      </c>
      <c r="E5" s="107">
        <v>0</v>
      </c>
      <c r="F5" s="107">
        <v>1</v>
      </c>
      <c r="G5" s="107">
        <v>0</v>
      </c>
      <c r="H5" s="107">
        <v>0</v>
      </c>
      <c r="I5" s="107">
        <v>0</v>
      </c>
      <c r="J5" s="107">
        <v>0</v>
      </c>
      <c r="K5" s="107">
        <v>0</v>
      </c>
      <c r="L5" s="107">
        <v>0</v>
      </c>
      <c r="M5" s="107">
        <v>0</v>
      </c>
      <c r="N5" s="107">
        <v>0</v>
      </c>
      <c r="O5" s="107">
        <v>0</v>
      </c>
      <c r="P5" s="107">
        <v>0</v>
      </c>
      <c r="Q5" s="107">
        <v>0</v>
      </c>
      <c r="R5" s="107">
        <v>0</v>
      </c>
      <c r="S5" s="107">
        <v>0</v>
      </c>
      <c r="T5" s="107">
        <v>0</v>
      </c>
      <c r="U5" s="107">
        <v>0</v>
      </c>
      <c r="V5" s="107">
        <v>0</v>
      </c>
      <c r="W5" s="107">
        <v>0</v>
      </c>
      <c r="X5" s="107">
        <v>0</v>
      </c>
      <c r="Y5" s="107">
        <v>0</v>
      </c>
      <c r="Z5" s="107">
        <v>0</v>
      </c>
      <c r="AA5" s="107">
        <v>0</v>
      </c>
      <c r="AB5" s="107">
        <v>0</v>
      </c>
      <c r="AC5" s="107">
        <v>0</v>
      </c>
      <c r="AD5" s="107">
        <v>0</v>
      </c>
      <c r="AE5" s="107">
        <v>0</v>
      </c>
      <c r="AF5" s="107">
        <v>0</v>
      </c>
      <c r="AG5" s="107">
        <v>0</v>
      </c>
      <c r="AH5" s="107">
        <v>0</v>
      </c>
      <c r="AI5" s="107">
        <v>0</v>
      </c>
      <c r="AJ5" s="107">
        <v>0</v>
      </c>
      <c r="AK5" s="107">
        <v>0</v>
      </c>
      <c r="AL5" s="107">
        <v>0</v>
      </c>
      <c r="AM5" s="107">
        <v>0</v>
      </c>
      <c r="AN5" s="107">
        <v>0</v>
      </c>
      <c r="AO5" s="107">
        <v>0</v>
      </c>
      <c r="AP5" s="107">
        <v>0</v>
      </c>
      <c r="AQ5" s="107">
        <v>0</v>
      </c>
      <c r="AR5" s="107">
        <v>0</v>
      </c>
      <c r="AS5" s="107">
        <v>0</v>
      </c>
      <c r="AT5" s="107">
        <v>0</v>
      </c>
      <c r="AU5" s="107">
        <v>0</v>
      </c>
      <c r="AV5" s="107">
        <v>0</v>
      </c>
      <c r="AW5" s="107">
        <v>0</v>
      </c>
      <c r="AX5" s="107">
        <v>0</v>
      </c>
      <c r="AY5" s="107">
        <v>0</v>
      </c>
      <c r="AZ5" s="107">
        <v>0</v>
      </c>
      <c r="BA5" s="107">
        <v>0</v>
      </c>
      <c r="BB5" s="107">
        <v>0</v>
      </c>
      <c r="BC5" s="107">
        <v>0</v>
      </c>
      <c r="BD5" s="107">
        <v>0</v>
      </c>
      <c r="BE5" s="107">
        <v>0</v>
      </c>
      <c r="BF5" s="107">
        <v>0</v>
      </c>
      <c r="BG5" s="107">
        <v>0</v>
      </c>
      <c r="BH5" s="107">
        <v>0</v>
      </c>
      <c r="BI5" s="107">
        <v>0</v>
      </c>
      <c r="BJ5" s="107">
        <v>0</v>
      </c>
      <c r="BK5" s="107">
        <v>0</v>
      </c>
      <c r="BL5" s="107">
        <v>0</v>
      </c>
      <c r="BM5" s="107">
        <v>0</v>
      </c>
      <c r="BN5" s="107">
        <v>0</v>
      </c>
      <c r="BO5" s="107">
        <v>0</v>
      </c>
      <c r="BP5" s="107">
        <v>0</v>
      </c>
      <c r="BQ5" s="107">
        <v>0</v>
      </c>
      <c r="BR5" s="107">
        <v>0</v>
      </c>
      <c r="BS5" s="107">
        <v>0</v>
      </c>
      <c r="BT5" s="107">
        <v>0</v>
      </c>
      <c r="BU5" s="107">
        <v>0</v>
      </c>
      <c r="BV5" s="107">
        <v>0</v>
      </c>
      <c r="BW5" s="107">
        <v>0</v>
      </c>
      <c r="BX5" s="107">
        <v>0</v>
      </c>
      <c r="BY5" s="107">
        <v>0</v>
      </c>
      <c r="BZ5" s="107">
        <v>0</v>
      </c>
      <c r="CA5" s="107">
        <v>0</v>
      </c>
      <c r="CB5" s="107">
        <v>0</v>
      </c>
      <c r="CC5" s="107">
        <v>0</v>
      </c>
    </row>
    <row r="6" spans="1:81" customFormat="1" x14ac:dyDescent="0.15">
      <c r="A6" s="180" t="s">
        <v>195</v>
      </c>
      <c r="B6" s="107">
        <v>0</v>
      </c>
      <c r="C6" s="107">
        <v>0</v>
      </c>
      <c r="D6" s="107">
        <v>0</v>
      </c>
      <c r="E6" s="107">
        <v>0</v>
      </c>
      <c r="F6" s="107">
        <v>1</v>
      </c>
      <c r="G6" s="107">
        <v>0</v>
      </c>
      <c r="H6" s="107">
        <v>0</v>
      </c>
      <c r="I6" s="107">
        <v>0</v>
      </c>
      <c r="J6" s="107">
        <v>0</v>
      </c>
      <c r="K6" s="107">
        <v>0</v>
      </c>
      <c r="L6" s="107">
        <v>0</v>
      </c>
      <c r="M6" s="107">
        <v>0</v>
      </c>
      <c r="N6" s="107">
        <v>0</v>
      </c>
      <c r="O6" s="107">
        <v>0</v>
      </c>
      <c r="P6" s="107">
        <v>0</v>
      </c>
      <c r="Q6" s="107">
        <v>0</v>
      </c>
      <c r="R6" s="107">
        <v>0</v>
      </c>
      <c r="S6" s="107">
        <v>0</v>
      </c>
      <c r="T6" s="107">
        <v>0</v>
      </c>
      <c r="U6" s="107">
        <v>0</v>
      </c>
      <c r="V6" s="107">
        <v>0</v>
      </c>
      <c r="W6" s="107">
        <v>0</v>
      </c>
      <c r="X6" s="107">
        <v>0</v>
      </c>
      <c r="Y6" s="107">
        <v>0</v>
      </c>
      <c r="Z6" s="107">
        <v>0</v>
      </c>
      <c r="AA6" s="107">
        <v>0</v>
      </c>
      <c r="AB6" s="107">
        <v>0</v>
      </c>
      <c r="AC6" s="107">
        <v>0</v>
      </c>
      <c r="AD6" s="107">
        <v>0</v>
      </c>
      <c r="AE6" s="107">
        <v>0</v>
      </c>
      <c r="AF6" s="107">
        <v>0</v>
      </c>
      <c r="AG6" s="107">
        <v>0</v>
      </c>
      <c r="AH6" s="107">
        <v>0</v>
      </c>
      <c r="AI6" s="107">
        <v>0</v>
      </c>
      <c r="AJ6" s="107">
        <v>0</v>
      </c>
      <c r="AK6" s="107">
        <v>0</v>
      </c>
      <c r="AL6" s="107">
        <v>0</v>
      </c>
      <c r="AM6" s="107">
        <v>0</v>
      </c>
      <c r="AN6" s="107">
        <v>0</v>
      </c>
      <c r="AO6" s="107">
        <v>0</v>
      </c>
      <c r="AP6" s="107">
        <v>0</v>
      </c>
      <c r="AQ6" s="107">
        <v>0</v>
      </c>
      <c r="AR6" s="107">
        <v>0</v>
      </c>
      <c r="AS6" s="107">
        <v>0</v>
      </c>
      <c r="AT6" s="107">
        <v>0</v>
      </c>
      <c r="AU6" s="107">
        <v>0</v>
      </c>
      <c r="AV6" s="107">
        <v>0</v>
      </c>
      <c r="AW6" s="107">
        <v>0</v>
      </c>
      <c r="AX6" s="107">
        <v>0</v>
      </c>
      <c r="AY6" s="107">
        <v>0</v>
      </c>
      <c r="AZ6" s="107">
        <v>0</v>
      </c>
      <c r="BA6" s="107">
        <v>0</v>
      </c>
      <c r="BB6" s="107">
        <v>0</v>
      </c>
      <c r="BC6" s="107">
        <v>0</v>
      </c>
      <c r="BD6" s="107">
        <v>0</v>
      </c>
      <c r="BE6" s="107">
        <v>0</v>
      </c>
      <c r="BF6" s="107">
        <v>0</v>
      </c>
      <c r="BG6" s="107">
        <v>0</v>
      </c>
      <c r="BH6" s="107">
        <v>0</v>
      </c>
      <c r="BI6" s="107">
        <v>0</v>
      </c>
      <c r="BJ6" s="107">
        <v>0</v>
      </c>
      <c r="BK6" s="107">
        <v>0</v>
      </c>
      <c r="BL6" s="107">
        <v>0</v>
      </c>
      <c r="BM6" s="107">
        <v>0</v>
      </c>
      <c r="BN6" s="107">
        <v>0</v>
      </c>
      <c r="BO6" s="107">
        <v>0</v>
      </c>
      <c r="BP6" s="107">
        <v>0</v>
      </c>
      <c r="BQ6" s="107">
        <v>0</v>
      </c>
      <c r="BR6" s="107">
        <v>0</v>
      </c>
      <c r="BS6" s="107">
        <v>0</v>
      </c>
      <c r="BT6" s="107">
        <v>0</v>
      </c>
      <c r="BU6" s="107">
        <v>0</v>
      </c>
      <c r="BV6" s="107">
        <v>0</v>
      </c>
      <c r="BW6" s="107">
        <v>0</v>
      </c>
      <c r="BX6" s="107">
        <v>0</v>
      </c>
      <c r="BY6" s="107">
        <v>0</v>
      </c>
      <c r="BZ6" s="107">
        <v>0</v>
      </c>
      <c r="CA6" s="107">
        <v>0</v>
      </c>
      <c r="CB6" s="107">
        <v>0</v>
      </c>
      <c r="CC6" s="107">
        <v>0</v>
      </c>
    </row>
    <row r="7" spans="1:81" customFormat="1" x14ac:dyDescent="0.15">
      <c r="A7" s="180" t="s">
        <v>196</v>
      </c>
      <c r="B7" s="107">
        <v>0</v>
      </c>
      <c r="C7" s="107">
        <v>0</v>
      </c>
      <c r="D7" s="107">
        <v>0</v>
      </c>
      <c r="E7" s="107">
        <v>0</v>
      </c>
      <c r="F7" s="107">
        <v>1</v>
      </c>
      <c r="G7" s="107">
        <v>0</v>
      </c>
      <c r="H7" s="107">
        <v>0</v>
      </c>
      <c r="I7" s="107">
        <v>0</v>
      </c>
      <c r="J7" s="107">
        <v>0</v>
      </c>
      <c r="K7" s="107">
        <v>0</v>
      </c>
      <c r="L7" s="107">
        <v>0</v>
      </c>
      <c r="M7" s="107">
        <v>0</v>
      </c>
      <c r="N7" s="107">
        <v>0</v>
      </c>
      <c r="O7" s="107">
        <v>0</v>
      </c>
      <c r="P7" s="107">
        <v>0</v>
      </c>
      <c r="Q7" s="107">
        <v>0</v>
      </c>
      <c r="R7" s="107">
        <v>0</v>
      </c>
      <c r="S7" s="107">
        <v>0</v>
      </c>
      <c r="T7" s="107">
        <v>0</v>
      </c>
      <c r="U7" s="107">
        <v>0</v>
      </c>
      <c r="V7" s="107">
        <v>0</v>
      </c>
      <c r="W7" s="107">
        <v>0</v>
      </c>
      <c r="X7" s="107">
        <v>0</v>
      </c>
      <c r="Y7" s="107">
        <v>0</v>
      </c>
      <c r="Z7" s="107">
        <v>0</v>
      </c>
      <c r="AA7" s="107">
        <v>0</v>
      </c>
      <c r="AB7" s="107">
        <v>0</v>
      </c>
      <c r="AC7" s="107">
        <v>0</v>
      </c>
      <c r="AD7" s="107">
        <v>0</v>
      </c>
      <c r="AE7" s="107">
        <v>0</v>
      </c>
      <c r="AF7" s="107">
        <v>0</v>
      </c>
      <c r="AG7" s="107">
        <v>0</v>
      </c>
      <c r="AH7" s="107">
        <v>0</v>
      </c>
      <c r="AI7" s="107">
        <v>0</v>
      </c>
      <c r="AJ7" s="107">
        <v>0</v>
      </c>
      <c r="AK7" s="107">
        <v>0</v>
      </c>
      <c r="AL7" s="107">
        <v>0</v>
      </c>
      <c r="AM7" s="107">
        <v>0</v>
      </c>
      <c r="AN7" s="107">
        <v>0</v>
      </c>
      <c r="AO7" s="107">
        <v>0</v>
      </c>
      <c r="AP7" s="107">
        <v>0</v>
      </c>
      <c r="AQ7" s="107">
        <v>0</v>
      </c>
      <c r="AR7" s="107">
        <v>0</v>
      </c>
      <c r="AS7" s="107">
        <v>0</v>
      </c>
      <c r="AT7" s="107">
        <v>0</v>
      </c>
      <c r="AU7" s="107">
        <v>0</v>
      </c>
      <c r="AV7" s="107">
        <v>0</v>
      </c>
      <c r="AW7" s="107">
        <v>0</v>
      </c>
      <c r="AX7" s="107">
        <v>0</v>
      </c>
      <c r="AY7" s="107">
        <v>0</v>
      </c>
      <c r="AZ7" s="107">
        <v>0</v>
      </c>
      <c r="BA7" s="107">
        <v>0</v>
      </c>
      <c r="BB7" s="107">
        <v>0</v>
      </c>
      <c r="BC7" s="107">
        <v>0</v>
      </c>
      <c r="BD7" s="107">
        <v>0</v>
      </c>
      <c r="BE7" s="107">
        <v>0</v>
      </c>
      <c r="BF7" s="107">
        <v>0</v>
      </c>
      <c r="BG7" s="107">
        <v>0</v>
      </c>
      <c r="BH7" s="107">
        <v>0</v>
      </c>
      <c r="BI7" s="107">
        <v>0</v>
      </c>
      <c r="BJ7" s="107">
        <v>0</v>
      </c>
      <c r="BK7" s="107">
        <v>0</v>
      </c>
      <c r="BL7" s="107">
        <v>0</v>
      </c>
      <c r="BM7" s="107">
        <v>0</v>
      </c>
      <c r="BN7" s="107">
        <v>0</v>
      </c>
      <c r="BO7" s="107">
        <v>0</v>
      </c>
      <c r="BP7" s="107">
        <v>0</v>
      </c>
      <c r="BQ7" s="107">
        <v>0</v>
      </c>
      <c r="BR7" s="107">
        <v>0</v>
      </c>
      <c r="BS7" s="107">
        <v>0</v>
      </c>
      <c r="BT7" s="107">
        <v>0</v>
      </c>
      <c r="BU7" s="107">
        <v>0</v>
      </c>
      <c r="BV7" s="107">
        <v>0</v>
      </c>
      <c r="BW7" s="107">
        <v>0</v>
      </c>
      <c r="BX7" s="107">
        <v>0</v>
      </c>
      <c r="BY7" s="107">
        <v>0</v>
      </c>
      <c r="BZ7" s="107">
        <v>0</v>
      </c>
      <c r="CA7" s="107">
        <v>0</v>
      </c>
      <c r="CB7" s="107">
        <v>0</v>
      </c>
      <c r="CC7" s="107">
        <v>0</v>
      </c>
    </row>
    <row r="8" spans="1:81" customFormat="1" x14ac:dyDescent="0.15">
      <c r="A8" s="180" t="s">
        <v>197</v>
      </c>
      <c r="B8" s="107">
        <v>0</v>
      </c>
      <c r="C8" s="107">
        <v>0</v>
      </c>
      <c r="D8" s="107">
        <v>0</v>
      </c>
      <c r="E8" s="107">
        <v>0</v>
      </c>
      <c r="F8" s="107">
        <v>1</v>
      </c>
      <c r="G8" s="107">
        <v>1</v>
      </c>
      <c r="H8" s="107">
        <v>0</v>
      </c>
      <c r="I8" s="107">
        <v>0</v>
      </c>
      <c r="J8" s="107">
        <v>0</v>
      </c>
      <c r="K8" s="107">
        <v>0</v>
      </c>
      <c r="L8" s="107">
        <v>0</v>
      </c>
      <c r="M8" s="107">
        <v>0</v>
      </c>
      <c r="N8" s="107">
        <v>0</v>
      </c>
      <c r="O8" s="107">
        <v>0</v>
      </c>
      <c r="P8" s="107">
        <v>0</v>
      </c>
      <c r="Q8" s="107">
        <v>0</v>
      </c>
      <c r="R8" s="107">
        <v>0</v>
      </c>
      <c r="S8" s="107">
        <v>0</v>
      </c>
      <c r="T8" s="107">
        <v>0</v>
      </c>
      <c r="U8" s="107">
        <v>0</v>
      </c>
      <c r="V8" s="107">
        <v>0</v>
      </c>
      <c r="W8" s="107">
        <v>0</v>
      </c>
      <c r="X8" s="107">
        <v>0</v>
      </c>
      <c r="Y8" s="107">
        <v>0</v>
      </c>
      <c r="Z8" s="107">
        <v>0</v>
      </c>
      <c r="AA8" s="107">
        <v>0</v>
      </c>
      <c r="AB8" s="107">
        <v>0</v>
      </c>
      <c r="AC8" s="107">
        <v>0</v>
      </c>
      <c r="AD8" s="107">
        <v>0</v>
      </c>
      <c r="AE8" s="107">
        <v>0</v>
      </c>
      <c r="AF8" s="107">
        <v>0</v>
      </c>
      <c r="AG8" s="107">
        <v>0</v>
      </c>
      <c r="AH8" s="107">
        <v>0</v>
      </c>
      <c r="AI8" s="107">
        <v>0</v>
      </c>
      <c r="AJ8" s="107">
        <v>0</v>
      </c>
      <c r="AK8" s="107">
        <v>0</v>
      </c>
      <c r="AL8" s="107">
        <v>0</v>
      </c>
      <c r="AM8" s="107">
        <v>0</v>
      </c>
      <c r="AN8" s="107">
        <v>0</v>
      </c>
      <c r="AO8" s="107">
        <v>0</v>
      </c>
      <c r="AP8" s="107">
        <v>0</v>
      </c>
      <c r="AQ8" s="107">
        <v>0</v>
      </c>
      <c r="AR8" s="107">
        <v>0</v>
      </c>
      <c r="AS8" s="107">
        <v>0</v>
      </c>
      <c r="AT8" s="107">
        <v>0</v>
      </c>
      <c r="AU8" s="107">
        <v>0</v>
      </c>
      <c r="AV8" s="107">
        <v>0</v>
      </c>
      <c r="AW8" s="107">
        <v>0</v>
      </c>
      <c r="AX8" s="107">
        <v>0</v>
      </c>
      <c r="AY8" s="107">
        <v>0</v>
      </c>
      <c r="AZ8" s="107">
        <v>0</v>
      </c>
      <c r="BA8" s="107">
        <v>0</v>
      </c>
      <c r="BB8" s="107">
        <v>0</v>
      </c>
      <c r="BC8" s="107">
        <v>0</v>
      </c>
      <c r="BD8" s="107">
        <v>0</v>
      </c>
      <c r="BE8" s="107">
        <v>0</v>
      </c>
      <c r="BF8" s="107">
        <v>0</v>
      </c>
      <c r="BG8" s="107">
        <v>0</v>
      </c>
      <c r="BH8" s="107">
        <v>0</v>
      </c>
      <c r="BI8" s="107">
        <v>0</v>
      </c>
      <c r="BJ8" s="107">
        <v>0</v>
      </c>
      <c r="BK8" s="107">
        <v>0</v>
      </c>
      <c r="BL8" s="107">
        <v>0</v>
      </c>
      <c r="BM8" s="107">
        <v>0</v>
      </c>
      <c r="BN8" s="107">
        <v>0</v>
      </c>
      <c r="BO8" s="107">
        <v>0</v>
      </c>
      <c r="BP8" s="107">
        <v>0</v>
      </c>
      <c r="BQ8" s="107">
        <v>0</v>
      </c>
      <c r="BR8" s="107">
        <v>0</v>
      </c>
      <c r="BS8" s="107">
        <v>0</v>
      </c>
      <c r="BT8" s="107">
        <v>0</v>
      </c>
      <c r="BU8" s="107">
        <v>0</v>
      </c>
      <c r="BV8" s="107">
        <v>0</v>
      </c>
      <c r="BW8" s="107">
        <v>0</v>
      </c>
      <c r="BX8" s="107">
        <v>0</v>
      </c>
      <c r="BY8" s="107">
        <v>0</v>
      </c>
      <c r="BZ8" s="107">
        <v>0</v>
      </c>
      <c r="CA8" s="107">
        <v>0</v>
      </c>
      <c r="CB8" s="107">
        <v>0</v>
      </c>
      <c r="CC8" s="107">
        <v>0</v>
      </c>
    </row>
    <row r="9" spans="1:81" customFormat="1" x14ac:dyDescent="0.15">
      <c r="A9" s="180" t="s">
        <v>198</v>
      </c>
      <c r="B9" s="107">
        <v>0</v>
      </c>
      <c r="C9" s="107">
        <v>0</v>
      </c>
      <c r="D9" s="107">
        <v>0</v>
      </c>
      <c r="E9" s="107">
        <v>0</v>
      </c>
      <c r="F9" s="107">
        <v>1</v>
      </c>
      <c r="G9" s="107">
        <v>1</v>
      </c>
      <c r="H9" s="107">
        <v>0</v>
      </c>
      <c r="I9" s="107">
        <v>0</v>
      </c>
      <c r="J9" s="107">
        <v>0</v>
      </c>
      <c r="K9" s="107">
        <v>0</v>
      </c>
      <c r="L9" s="107">
        <v>0</v>
      </c>
      <c r="M9" s="107">
        <v>0</v>
      </c>
      <c r="N9" s="107">
        <v>0</v>
      </c>
      <c r="O9" s="107">
        <v>0</v>
      </c>
      <c r="P9" s="107">
        <v>0</v>
      </c>
      <c r="Q9" s="107">
        <v>0</v>
      </c>
      <c r="R9" s="107">
        <v>0</v>
      </c>
      <c r="S9" s="107">
        <v>0</v>
      </c>
      <c r="T9" s="107">
        <v>0</v>
      </c>
      <c r="U9" s="107">
        <v>0</v>
      </c>
      <c r="V9" s="107">
        <v>0</v>
      </c>
      <c r="W9" s="107">
        <v>0</v>
      </c>
      <c r="X9" s="107">
        <v>0</v>
      </c>
      <c r="Y9" s="107">
        <v>0</v>
      </c>
      <c r="Z9" s="107">
        <v>0</v>
      </c>
      <c r="AA9" s="107">
        <v>0</v>
      </c>
      <c r="AB9" s="107">
        <v>0</v>
      </c>
      <c r="AC9" s="107">
        <v>0</v>
      </c>
      <c r="AD9" s="107">
        <v>0</v>
      </c>
      <c r="AE9" s="107">
        <v>0</v>
      </c>
      <c r="AF9" s="107">
        <v>0</v>
      </c>
      <c r="AG9" s="107">
        <v>0</v>
      </c>
      <c r="AH9" s="107">
        <v>0</v>
      </c>
      <c r="AI9" s="107">
        <v>0</v>
      </c>
      <c r="AJ9" s="107">
        <v>0</v>
      </c>
      <c r="AK9" s="107">
        <v>0</v>
      </c>
      <c r="AL9" s="107">
        <v>0</v>
      </c>
      <c r="AM9" s="107">
        <v>0</v>
      </c>
      <c r="AN9" s="107">
        <v>0</v>
      </c>
      <c r="AO9" s="107">
        <v>0</v>
      </c>
      <c r="AP9" s="107">
        <v>0</v>
      </c>
      <c r="AQ9" s="107">
        <v>0</v>
      </c>
      <c r="AR9" s="107">
        <v>0</v>
      </c>
      <c r="AS9" s="107">
        <v>0</v>
      </c>
      <c r="AT9" s="107">
        <v>0</v>
      </c>
      <c r="AU9" s="107">
        <v>0</v>
      </c>
      <c r="AV9" s="107">
        <v>0</v>
      </c>
      <c r="AW9" s="107">
        <v>0</v>
      </c>
      <c r="AX9" s="107">
        <v>0</v>
      </c>
      <c r="AY9" s="107">
        <v>0</v>
      </c>
      <c r="AZ9" s="107">
        <v>0</v>
      </c>
      <c r="BA9" s="107">
        <v>0</v>
      </c>
      <c r="BB9" s="107">
        <v>0</v>
      </c>
      <c r="BC9" s="107">
        <v>0</v>
      </c>
      <c r="BD9" s="107">
        <v>0</v>
      </c>
      <c r="BE9" s="107">
        <v>0</v>
      </c>
      <c r="BF9" s="107">
        <v>0</v>
      </c>
      <c r="BG9" s="107">
        <v>0</v>
      </c>
      <c r="BH9" s="107">
        <v>0</v>
      </c>
      <c r="BI9" s="107">
        <v>0</v>
      </c>
      <c r="BJ9" s="107">
        <v>0</v>
      </c>
      <c r="BK9" s="107">
        <v>0</v>
      </c>
      <c r="BL9" s="107">
        <v>0</v>
      </c>
      <c r="BM9" s="107">
        <v>0</v>
      </c>
      <c r="BN9" s="107">
        <v>0</v>
      </c>
      <c r="BO9" s="107">
        <v>0</v>
      </c>
      <c r="BP9" s="107">
        <v>0</v>
      </c>
      <c r="BQ9" s="107">
        <v>0</v>
      </c>
      <c r="BR9" s="107">
        <v>0</v>
      </c>
      <c r="BS9" s="107">
        <v>0</v>
      </c>
      <c r="BT9" s="107">
        <v>0</v>
      </c>
      <c r="BU9" s="107">
        <v>0</v>
      </c>
      <c r="BV9" s="107">
        <v>0</v>
      </c>
      <c r="BW9" s="107">
        <v>0</v>
      </c>
      <c r="BX9" s="107">
        <v>0</v>
      </c>
      <c r="BY9" s="107">
        <v>0</v>
      </c>
      <c r="BZ9" s="107">
        <v>0</v>
      </c>
      <c r="CA9" s="107">
        <v>0</v>
      </c>
      <c r="CB9" s="107">
        <v>0</v>
      </c>
      <c r="CC9" s="107">
        <v>0</v>
      </c>
    </row>
    <row r="10" spans="1:81" customFormat="1" x14ac:dyDescent="0.15">
      <c r="A10" s="180" t="s">
        <v>199</v>
      </c>
      <c r="B10" s="107">
        <v>1</v>
      </c>
      <c r="C10" s="107">
        <v>0</v>
      </c>
      <c r="D10" s="107">
        <v>0</v>
      </c>
      <c r="E10" s="107">
        <v>0</v>
      </c>
      <c r="F10" s="107">
        <v>1</v>
      </c>
      <c r="G10" s="107">
        <v>0</v>
      </c>
      <c r="H10" s="107">
        <v>0</v>
      </c>
      <c r="I10" s="107">
        <v>1</v>
      </c>
      <c r="J10" s="107">
        <v>0</v>
      </c>
      <c r="K10" s="107">
        <v>0</v>
      </c>
      <c r="L10" s="107">
        <v>0</v>
      </c>
      <c r="M10" s="107">
        <v>0</v>
      </c>
      <c r="N10" s="107">
        <v>0</v>
      </c>
      <c r="O10" s="107">
        <v>0</v>
      </c>
      <c r="P10" s="107">
        <v>0</v>
      </c>
      <c r="Q10" s="107">
        <v>0</v>
      </c>
      <c r="R10" s="107">
        <v>0</v>
      </c>
      <c r="S10" s="107">
        <v>0</v>
      </c>
      <c r="T10" s="107">
        <v>0</v>
      </c>
      <c r="U10" s="107">
        <v>0</v>
      </c>
      <c r="V10" s="107">
        <v>0</v>
      </c>
      <c r="W10" s="107">
        <v>0</v>
      </c>
      <c r="X10" s="107">
        <v>0</v>
      </c>
      <c r="Y10" s="107">
        <v>0</v>
      </c>
      <c r="Z10" s="107">
        <v>0</v>
      </c>
      <c r="AA10" s="107">
        <v>0</v>
      </c>
      <c r="AB10" s="107">
        <v>0</v>
      </c>
      <c r="AC10" s="107">
        <v>0</v>
      </c>
      <c r="AD10" s="107">
        <v>0</v>
      </c>
      <c r="AE10" s="107">
        <v>0</v>
      </c>
      <c r="AF10" s="107">
        <v>0</v>
      </c>
      <c r="AG10" s="107">
        <v>0</v>
      </c>
      <c r="AH10" s="107">
        <v>0</v>
      </c>
      <c r="AI10" s="107">
        <v>0</v>
      </c>
      <c r="AJ10" s="107">
        <v>0</v>
      </c>
      <c r="AK10" s="107">
        <v>0</v>
      </c>
      <c r="AL10" s="107">
        <v>0</v>
      </c>
      <c r="AM10" s="107">
        <v>0</v>
      </c>
      <c r="AN10" s="107">
        <v>0</v>
      </c>
      <c r="AO10" s="107">
        <v>0</v>
      </c>
      <c r="AP10" s="107">
        <v>0</v>
      </c>
      <c r="AQ10" s="107">
        <v>0</v>
      </c>
      <c r="AR10" s="107">
        <v>0</v>
      </c>
      <c r="AS10" s="107">
        <v>0</v>
      </c>
      <c r="AT10" s="107">
        <v>0</v>
      </c>
      <c r="AU10" s="107">
        <v>0</v>
      </c>
      <c r="AV10" s="107">
        <v>0</v>
      </c>
      <c r="AW10" s="107">
        <v>0</v>
      </c>
      <c r="AX10" s="107">
        <v>0</v>
      </c>
      <c r="AY10" s="107">
        <v>0</v>
      </c>
      <c r="AZ10" s="107">
        <v>0</v>
      </c>
      <c r="BA10" s="107">
        <v>0</v>
      </c>
      <c r="BB10" s="107">
        <v>0</v>
      </c>
      <c r="BC10" s="107">
        <v>0</v>
      </c>
      <c r="BD10" s="107">
        <v>0</v>
      </c>
      <c r="BE10" s="107">
        <v>0</v>
      </c>
      <c r="BF10" s="107">
        <v>0</v>
      </c>
      <c r="BG10" s="107">
        <v>0</v>
      </c>
      <c r="BH10" s="107">
        <v>0</v>
      </c>
      <c r="BI10" s="107">
        <v>0</v>
      </c>
      <c r="BJ10" s="107">
        <v>0</v>
      </c>
      <c r="BK10" s="107">
        <v>0</v>
      </c>
      <c r="BL10" s="107">
        <v>0</v>
      </c>
      <c r="BM10" s="107">
        <v>0</v>
      </c>
      <c r="BN10" s="107">
        <v>0</v>
      </c>
      <c r="BO10" s="107">
        <v>0</v>
      </c>
      <c r="BP10" s="107">
        <v>0</v>
      </c>
      <c r="BQ10" s="107">
        <v>0</v>
      </c>
      <c r="BR10" s="107">
        <v>0</v>
      </c>
      <c r="BS10" s="107">
        <v>0</v>
      </c>
      <c r="BT10" s="107">
        <v>0</v>
      </c>
      <c r="BU10" s="107">
        <v>0</v>
      </c>
      <c r="BV10" s="107">
        <v>0</v>
      </c>
      <c r="BW10" s="107">
        <v>0</v>
      </c>
      <c r="BX10" s="107">
        <v>0</v>
      </c>
      <c r="BY10" s="107">
        <v>0</v>
      </c>
      <c r="BZ10" s="107">
        <v>0</v>
      </c>
      <c r="CA10" s="107">
        <v>0</v>
      </c>
      <c r="CB10" s="107">
        <v>0</v>
      </c>
      <c r="CC10" s="107">
        <v>0</v>
      </c>
    </row>
    <row r="11" spans="1:81" customFormat="1" x14ac:dyDescent="0.15">
      <c r="A11" s="180" t="s">
        <v>200</v>
      </c>
      <c r="B11" s="107">
        <v>0</v>
      </c>
      <c r="C11" s="107">
        <v>0</v>
      </c>
      <c r="D11" s="107">
        <v>0</v>
      </c>
      <c r="E11" s="107">
        <v>0</v>
      </c>
      <c r="F11" s="107">
        <v>1</v>
      </c>
      <c r="G11" s="107">
        <v>0</v>
      </c>
      <c r="H11" s="107">
        <v>0</v>
      </c>
      <c r="I11" s="107">
        <v>1</v>
      </c>
      <c r="J11" s="107">
        <v>0</v>
      </c>
      <c r="K11" s="107">
        <v>0</v>
      </c>
      <c r="L11" s="107">
        <v>0</v>
      </c>
      <c r="M11" s="107">
        <v>0</v>
      </c>
      <c r="N11" s="107">
        <v>0</v>
      </c>
      <c r="O11" s="107">
        <v>0</v>
      </c>
      <c r="P11" s="107">
        <v>0</v>
      </c>
      <c r="Q11" s="107">
        <v>0</v>
      </c>
      <c r="R11" s="107">
        <v>0</v>
      </c>
      <c r="S11" s="107">
        <v>0</v>
      </c>
      <c r="T11" s="107">
        <v>0</v>
      </c>
      <c r="U11" s="107">
        <v>0</v>
      </c>
      <c r="V11" s="107">
        <v>0</v>
      </c>
      <c r="W11" s="107">
        <v>0</v>
      </c>
      <c r="X11" s="107">
        <v>0</v>
      </c>
      <c r="Y11" s="107">
        <v>0</v>
      </c>
      <c r="Z11" s="107">
        <v>0</v>
      </c>
      <c r="AA11" s="107">
        <v>0</v>
      </c>
      <c r="AB11" s="107">
        <v>0</v>
      </c>
      <c r="AC11" s="107">
        <v>0</v>
      </c>
      <c r="AD11" s="107">
        <v>0</v>
      </c>
      <c r="AE11" s="107">
        <v>0</v>
      </c>
      <c r="AF11" s="107">
        <v>0</v>
      </c>
      <c r="AG11" s="107">
        <v>0</v>
      </c>
      <c r="AH11" s="107">
        <v>0</v>
      </c>
      <c r="AI11" s="107">
        <v>0</v>
      </c>
      <c r="AJ11" s="107">
        <v>0</v>
      </c>
      <c r="AK11" s="107">
        <v>0</v>
      </c>
      <c r="AL11" s="107">
        <v>0</v>
      </c>
      <c r="AM11" s="107">
        <v>0</v>
      </c>
      <c r="AN11" s="107">
        <v>0</v>
      </c>
      <c r="AO11" s="107">
        <v>0</v>
      </c>
      <c r="AP11" s="107">
        <v>0</v>
      </c>
      <c r="AQ11" s="107">
        <v>0</v>
      </c>
      <c r="AR11" s="107">
        <v>0</v>
      </c>
      <c r="AS11" s="107">
        <v>0</v>
      </c>
      <c r="AT11" s="107">
        <v>0</v>
      </c>
      <c r="AU11" s="107">
        <v>0</v>
      </c>
      <c r="AV11" s="107">
        <v>0</v>
      </c>
      <c r="AW11" s="107">
        <v>0</v>
      </c>
      <c r="AX11" s="107">
        <v>0</v>
      </c>
      <c r="AY11" s="107">
        <v>0</v>
      </c>
      <c r="AZ11" s="107">
        <v>0</v>
      </c>
      <c r="BA11" s="107">
        <v>0</v>
      </c>
      <c r="BB11" s="107">
        <v>0</v>
      </c>
      <c r="BC11" s="107">
        <v>0</v>
      </c>
      <c r="BD11" s="107">
        <v>0</v>
      </c>
      <c r="BE11" s="107">
        <v>0</v>
      </c>
      <c r="BF11" s="107">
        <v>0</v>
      </c>
      <c r="BG11" s="107">
        <v>0</v>
      </c>
      <c r="BH11" s="107">
        <v>0</v>
      </c>
      <c r="BI11" s="107">
        <v>0</v>
      </c>
      <c r="BJ11" s="107">
        <v>0</v>
      </c>
      <c r="BK11" s="107">
        <v>0</v>
      </c>
      <c r="BL11" s="107">
        <v>0</v>
      </c>
      <c r="BM11" s="107">
        <v>0</v>
      </c>
      <c r="BN11" s="107">
        <v>0</v>
      </c>
      <c r="BO11" s="107">
        <v>0</v>
      </c>
      <c r="BP11" s="107">
        <v>0</v>
      </c>
      <c r="BQ11" s="107">
        <v>0</v>
      </c>
      <c r="BR11" s="107">
        <v>0</v>
      </c>
      <c r="BS11" s="107">
        <v>0</v>
      </c>
      <c r="BT11" s="107">
        <v>0</v>
      </c>
      <c r="BU11" s="107">
        <v>0</v>
      </c>
      <c r="BV11" s="107">
        <v>0</v>
      </c>
      <c r="BW11" s="107">
        <v>0</v>
      </c>
      <c r="BX11" s="107">
        <v>0</v>
      </c>
      <c r="BY11" s="107">
        <v>0</v>
      </c>
      <c r="BZ11" s="107">
        <v>0</v>
      </c>
      <c r="CA11" s="107">
        <v>0</v>
      </c>
      <c r="CB11" s="107">
        <v>0</v>
      </c>
      <c r="CC11" s="107">
        <v>0</v>
      </c>
    </row>
    <row r="12" spans="1:81" customFormat="1" x14ac:dyDescent="0.15">
      <c r="A12" s="180" t="s">
        <v>201</v>
      </c>
      <c r="B12" s="107">
        <v>1</v>
      </c>
      <c r="C12" s="107">
        <v>0</v>
      </c>
      <c r="D12" s="107">
        <v>0</v>
      </c>
      <c r="E12" s="107">
        <v>0</v>
      </c>
      <c r="F12" s="107">
        <v>1</v>
      </c>
      <c r="G12" s="107">
        <v>0</v>
      </c>
      <c r="H12" s="107">
        <v>0</v>
      </c>
      <c r="I12" s="107">
        <v>1</v>
      </c>
      <c r="J12" s="107">
        <v>0</v>
      </c>
      <c r="K12" s="107">
        <v>0</v>
      </c>
      <c r="L12" s="107">
        <v>0</v>
      </c>
      <c r="M12" s="107">
        <v>0</v>
      </c>
      <c r="N12" s="107">
        <v>0</v>
      </c>
      <c r="O12" s="107">
        <v>0</v>
      </c>
      <c r="P12" s="107">
        <v>0</v>
      </c>
      <c r="Q12" s="107">
        <v>0</v>
      </c>
      <c r="R12" s="107">
        <v>1</v>
      </c>
      <c r="S12" s="107">
        <v>0</v>
      </c>
      <c r="T12" s="107">
        <v>0</v>
      </c>
      <c r="U12" s="107">
        <v>0</v>
      </c>
      <c r="V12" s="107">
        <v>1</v>
      </c>
      <c r="W12" s="107">
        <v>0</v>
      </c>
      <c r="X12" s="107">
        <v>0</v>
      </c>
      <c r="Y12" s="107">
        <v>0</v>
      </c>
      <c r="Z12" s="107">
        <v>1</v>
      </c>
      <c r="AA12" s="107">
        <v>0</v>
      </c>
      <c r="AB12" s="107">
        <v>0</v>
      </c>
      <c r="AC12" s="107">
        <v>0</v>
      </c>
      <c r="AD12" s="107">
        <v>1</v>
      </c>
      <c r="AE12" s="107">
        <v>0</v>
      </c>
      <c r="AF12" s="107">
        <v>0</v>
      </c>
      <c r="AG12" s="107">
        <v>0</v>
      </c>
      <c r="AH12" s="107">
        <v>0</v>
      </c>
      <c r="AI12" s="107">
        <v>0</v>
      </c>
      <c r="AJ12" s="107">
        <v>0</v>
      </c>
      <c r="AK12" s="107">
        <v>0</v>
      </c>
      <c r="AL12" s="107">
        <v>0</v>
      </c>
      <c r="AM12" s="107">
        <v>0</v>
      </c>
      <c r="AN12" s="107">
        <v>0</v>
      </c>
      <c r="AO12" s="107">
        <v>0</v>
      </c>
      <c r="AP12" s="107">
        <v>0</v>
      </c>
      <c r="AQ12" s="107">
        <v>0</v>
      </c>
      <c r="AR12" s="107">
        <v>0</v>
      </c>
      <c r="AS12" s="107">
        <v>0</v>
      </c>
      <c r="AT12" s="107">
        <v>0</v>
      </c>
      <c r="AU12" s="107">
        <v>0</v>
      </c>
      <c r="AV12" s="107">
        <v>0</v>
      </c>
      <c r="AW12" s="107">
        <v>0</v>
      </c>
      <c r="AX12" s="107">
        <v>0</v>
      </c>
      <c r="AY12" s="107">
        <v>0</v>
      </c>
      <c r="AZ12" s="107">
        <v>0</v>
      </c>
      <c r="BA12" s="107">
        <v>0</v>
      </c>
      <c r="BB12" s="107">
        <v>0</v>
      </c>
      <c r="BC12" s="107">
        <v>0</v>
      </c>
      <c r="BD12" s="107">
        <v>0</v>
      </c>
      <c r="BE12" s="107">
        <v>0</v>
      </c>
      <c r="BF12" s="107">
        <v>0</v>
      </c>
      <c r="BG12" s="107">
        <v>0</v>
      </c>
      <c r="BH12" s="107">
        <v>0</v>
      </c>
      <c r="BI12" s="107">
        <v>0</v>
      </c>
      <c r="BJ12" s="107">
        <v>0</v>
      </c>
      <c r="BK12" s="107">
        <v>0</v>
      </c>
      <c r="BL12" s="107">
        <v>0</v>
      </c>
      <c r="BM12" s="107">
        <v>0</v>
      </c>
      <c r="BN12" s="107">
        <v>0</v>
      </c>
      <c r="BO12" s="107">
        <v>0</v>
      </c>
      <c r="BP12" s="107">
        <v>0</v>
      </c>
      <c r="BQ12" s="107">
        <v>0</v>
      </c>
      <c r="BR12" s="107">
        <v>0</v>
      </c>
      <c r="BS12" s="107">
        <v>0</v>
      </c>
      <c r="BT12" s="107">
        <v>0</v>
      </c>
      <c r="BU12" s="107">
        <v>0</v>
      </c>
      <c r="BV12" s="107">
        <v>0</v>
      </c>
      <c r="BW12" s="107">
        <v>0</v>
      </c>
      <c r="BX12" s="107">
        <v>0</v>
      </c>
      <c r="BY12" s="107">
        <v>0</v>
      </c>
      <c r="BZ12" s="107">
        <v>0</v>
      </c>
      <c r="CA12" s="107">
        <v>0</v>
      </c>
      <c r="CB12" s="107">
        <v>0</v>
      </c>
      <c r="CC12" s="107">
        <v>0</v>
      </c>
    </row>
    <row r="13" spans="1:81" customFormat="1" x14ac:dyDescent="0.15">
      <c r="A13" s="180" t="s">
        <v>202</v>
      </c>
      <c r="B13" s="107">
        <v>1</v>
      </c>
      <c r="C13" s="107">
        <v>0</v>
      </c>
      <c r="D13" s="107">
        <v>0</v>
      </c>
      <c r="E13" s="107">
        <v>0</v>
      </c>
      <c r="F13" s="107">
        <v>1</v>
      </c>
      <c r="G13" s="107">
        <v>1</v>
      </c>
      <c r="H13" s="107">
        <v>0</v>
      </c>
      <c r="I13" s="107">
        <v>1</v>
      </c>
      <c r="J13" s="107">
        <v>0</v>
      </c>
      <c r="K13" s="107">
        <v>0</v>
      </c>
      <c r="L13" s="107">
        <v>0</v>
      </c>
      <c r="M13" s="107">
        <v>0</v>
      </c>
      <c r="N13" s="107">
        <v>0</v>
      </c>
      <c r="O13" s="107">
        <v>0</v>
      </c>
      <c r="P13" s="107">
        <v>0</v>
      </c>
      <c r="Q13" s="107">
        <v>0</v>
      </c>
      <c r="R13" s="107">
        <v>0</v>
      </c>
      <c r="S13" s="107">
        <v>0</v>
      </c>
      <c r="T13" s="107">
        <v>0</v>
      </c>
      <c r="U13" s="107">
        <v>0</v>
      </c>
      <c r="V13" s="107">
        <v>0</v>
      </c>
      <c r="W13" s="107">
        <v>0</v>
      </c>
      <c r="X13" s="107">
        <v>0</v>
      </c>
      <c r="Y13" s="107">
        <v>0</v>
      </c>
      <c r="Z13" s="107">
        <v>0</v>
      </c>
      <c r="AA13" s="107">
        <v>0</v>
      </c>
      <c r="AB13" s="107">
        <v>0</v>
      </c>
      <c r="AC13" s="107">
        <v>0</v>
      </c>
      <c r="AD13" s="107">
        <v>0</v>
      </c>
      <c r="AE13" s="107">
        <v>0</v>
      </c>
      <c r="AF13" s="107">
        <v>0</v>
      </c>
      <c r="AG13" s="107">
        <v>0</v>
      </c>
      <c r="AH13" s="107">
        <v>0</v>
      </c>
      <c r="AI13" s="107">
        <v>0</v>
      </c>
      <c r="AJ13" s="107">
        <v>0</v>
      </c>
      <c r="AK13" s="107">
        <v>0</v>
      </c>
      <c r="AL13" s="107">
        <v>0</v>
      </c>
      <c r="AM13" s="107">
        <v>0</v>
      </c>
      <c r="AN13" s="107">
        <v>0</v>
      </c>
      <c r="AO13" s="107">
        <v>0</v>
      </c>
      <c r="AP13" s="107">
        <v>0</v>
      </c>
      <c r="AQ13" s="107">
        <v>0</v>
      </c>
      <c r="AR13" s="107">
        <v>0</v>
      </c>
      <c r="AS13" s="107">
        <v>0</v>
      </c>
      <c r="AT13" s="107">
        <v>0</v>
      </c>
      <c r="AU13" s="107">
        <v>0</v>
      </c>
      <c r="AV13" s="107">
        <v>0</v>
      </c>
      <c r="AW13" s="107">
        <v>0</v>
      </c>
      <c r="AX13" s="107">
        <v>0</v>
      </c>
      <c r="AY13" s="107">
        <v>0</v>
      </c>
      <c r="AZ13" s="107">
        <v>0</v>
      </c>
      <c r="BA13" s="107">
        <v>0</v>
      </c>
      <c r="BB13" s="107">
        <v>0</v>
      </c>
      <c r="BC13" s="107">
        <v>0</v>
      </c>
      <c r="BD13" s="107">
        <v>0</v>
      </c>
      <c r="BE13" s="107">
        <v>0</v>
      </c>
      <c r="BF13" s="107">
        <v>0</v>
      </c>
      <c r="BG13" s="107">
        <v>0</v>
      </c>
      <c r="BH13" s="107">
        <v>0</v>
      </c>
      <c r="BI13" s="107">
        <v>0</v>
      </c>
      <c r="BJ13" s="107">
        <v>0</v>
      </c>
      <c r="BK13" s="107">
        <v>0</v>
      </c>
      <c r="BL13" s="107">
        <v>0</v>
      </c>
      <c r="BM13" s="107">
        <v>0</v>
      </c>
      <c r="BN13" s="107">
        <v>0</v>
      </c>
      <c r="BO13" s="107">
        <v>0</v>
      </c>
      <c r="BP13" s="107">
        <v>0</v>
      </c>
      <c r="BQ13" s="107">
        <v>0</v>
      </c>
      <c r="BR13" s="107">
        <v>0</v>
      </c>
      <c r="BS13" s="107">
        <v>0</v>
      </c>
      <c r="BT13" s="107">
        <v>0</v>
      </c>
      <c r="BU13" s="107">
        <v>0</v>
      </c>
      <c r="BV13" s="107">
        <v>0</v>
      </c>
      <c r="BW13" s="107">
        <v>0</v>
      </c>
      <c r="BX13" s="107">
        <v>0</v>
      </c>
      <c r="BY13" s="107">
        <v>0</v>
      </c>
      <c r="BZ13" s="107">
        <v>0</v>
      </c>
      <c r="CA13" s="107">
        <v>0</v>
      </c>
      <c r="CB13" s="107">
        <v>0</v>
      </c>
      <c r="CC13" s="107">
        <v>0</v>
      </c>
    </row>
    <row r="14" spans="1:81" customFormat="1" x14ac:dyDescent="0.15">
      <c r="A14" s="180" t="s">
        <v>203</v>
      </c>
      <c r="B14" s="107">
        <v>0</v>
      </c>
      <c r="C14" s="107">
        <v>0</v>
      </c>
      <c r="D14" s="107">
        <v>0</v>
      </c>
      <c r="E14" s="107">
        <v>0</v>
      </c>
      <c r="F14" s="107">
        <v>1</v>
      </c>
      <c r="G14" s="107">
        <v>0</v>
      </c>
      <c r="H14" s="107">
        <v>0</v>
      </c>
      <c r="I14" s="107">
        <v>1</v>
      </c>
      <c r="J14" s="107">
        <v>0</v>
      </c>
      <c r="K14" s="107">
        <v>0</v>
      </c>
      <c r="L14" s="107">
        <v>0</v>
      </c>
      <c r="M14" s="107">
        <v>0</v>
      </c>
      <c r="N14" s="107">
        <v>0</v>
      </c>
      <c r="O14" s="107">
        <v>0</v>
      </c>
      <c r="P14" s="107">
        <v>0</v>
      </c>
      <c r="Q14" s="107">
        <v>0</v>
      </c>
      <c r="R14" s="107">
        <v>0</v>
      </c>
      <c r="S14" s="107">
        <v>0</v>
      </c>
      <c r="T14" s="107">
        <v>0</v>
      </c>
      <c r="U14" s="107">
        <v>0</v>
      </c>
      <c r="V14" s="107">
        <v>0</v>
      </c>
      <c r="W14" s="107">
        <v>0</v>
      </c>
      <c r="X14" s="107">
        <v>0</v>
      </c>
      <c r="Y14" s="107">
        <v>0</v>
      </c>
      <c r="Z14" s="107">
        <v>0</v>
      </c>
      <c r="AA14" s="107">
        <v>0</v>
      </c>
      <c r="AB14" s="107">
        <v>0</v>
      </c>
      <c r="AC14" s="107">
        <v>0</v>
      </c>
      <c r="AD14" s="107">
        <v>0</v>
      </c>
      <c r="AE14" s="107">
        <v>0</v>
      </c>
      <c r="AF14" s="107">
        <v>0</v>
      </c>
      <c r="AG14" s="107">
        <v>0</v>
      </c>
      <c r="AH14" s="107">
        <v>0</v>
      </c>
      <c r="AI14" s="107">
        <v>0</v>
      </c>
      <c r="AJ14" s="107">
        <v>0</v>
      </c>
      <c r="AK14" s="107">
        <v>0</v>
      </c>
      <c r="AL14" s="107">
        <v>0</v>
      </c>
      <c r="AM14" s="107">
        <v>0</v>
      </c>
      <c r="AN14" s="107">
        <v>0</v>
      </c>
      <c r="AO14" s="107">
        <v>0</v>
      </c>
      <c r="AP14" s="107">
        <v>0</v>
      </c>
      <c r="AQ14" s="107">
        <v>0</v>
      </c>
      <c r="AR14" s="107">
        <v>0</v>
      </c>
      <c r="AS14" s="107">
        <v>0</v>
      </c>
      <c r="AT14" s="107">
        <v>0</v>
      </c>
      <c r="AU14" s="107">
        <v>0</v>
      </c>
      <c r="AV14" s="107">
        <v>0</v>
      </c>
      <c r="AW14" s="107">
        <v>0</v>
      </c>
      <c r="AX14" s="107">
        <v>0</v>
      </c>
      <c r="AY14" s="107">
        <v>0</v>
      </c>
      <c r="AZ14" s="107">
        <v>0</v>
      </c>
      <c r="BA14" s="107">
        <v>0</v>
      </c>
      <c r="BB14" s="107">
        <v>0</v>
      </c>
      <c r="BC14" s="107">
        <v>0</v>
      </c>
      <c r="BD14" s="107">
        <v>0</v>
      </c>
      <c r="BE14" s="107">
        <v>0</v>
      </c>
      <c r="BF14" s="107">
        <v>0</v>
      </c>
      <c r="BG14" s="107">
        <v>0</v>
      </c>
      <c r="BH14" s="107">
        <v>0</v>
      </c>
      <c r="BI14" s="107">
        <v>0</v>
      </c>
      <c r="BJ14" s="107">
        <v>0</v>
      </c>
      <c r="BK14" s="107">
        <v>0</v>
      </c>
      <c r="BL14" s="107">
        <v>0</v>
      </c>
      <c r="BM14" s="107">
        <v>0</v>
      </c>
      <c r="BN14" s="107">
        <v>0</v>
      </c>
      <c r="BO14" s="107">
        <v>0</v>
      </c>
      <c r="BP14" s="107">
        <v>0</v>
      </c>
      <c r="BQ14" s="107">
        <v>0</v>
      </c>
      <c r="BR14" s="107">
        <v>0</v>
      </c>
      <c r="BS14" s="107">
        <v>0</v>
      </c>
      <c r="BT14" s="107">
        <v>0</v>
      </c>
      <c r="BU14" s="107">
        <v>0</v>
      </c>
      <c r="BV14" s="107">
        <v>0</v>
      </c>
      <c r="BW14" s="107">
        <v>0</v>
      </c>
      <c r="BX14" s="107">
        <v>0</v>
      </c>
      <c r="BY14" s="107">
        <v>0</v>
      </c>
      <c r="BZ14" s="107">
        <v>0</v>
      </c>
      <c r="CA14" s="107">
        <v>0</v>
      </c>
      <c r="CB14" s="107">
        <v>0</v>
      </c>
      <c r="CC14" s="107">
        <v>0</v>
      </c>
    </row>
    <row r="15" spans="1:81" customFormat="1" x14ac:dyDescent="0.15">
      <c r="A15" s="180" t="s">
        <v>204</v>
      </c>
      <c r="B15" s="107">
        <v>0</v>
      </c>
      <c r="C15" s="107">
        <v>1</v>
      </c>
      <c r="D15" s="107">
        <v>0</v>
      </c>
      <c r="E15" s="107">
        <v>0</v>
      </c>
      <c r="F15" s="107">
        <v>0</v>
      </c>
      <c r="G15" s="107">
        <v>0</v>
      </c>
      <c r="H15" s="107">
        <v>1</v>
      </c>
      <c r="I15" s="107">
        <v>1</v>
      </c>
      <c r="J15" s="107">
        <v>0</v>
      </c>
      <c r="K15" s="107">
        <v>0</v>
      </c>
      <c r="L15" s="107">
        <v>0</v>
      </c>
      <c r="M15" s="107">
        <v>0</v>
      </c>
      <c r="N15" s="107">
        <v>0</v>
      </c>
      <c r="O15" s="107">
        <v>0</v>
      </c>
      <c r="P15" s="107">
        <v>1</v>
      </c>
      <c r="Q15" s="107">
        <v>0</v>
      </c>
      <c r="R15" s="107">
        <v>0</v>
      </c>
      <c r="S15" s="107">
        <v>0</v>
      </c>
      <c r="T15" s="107">
        <v>0</v>
      </c>
      <c r="U15" s="107">
        <v>0</v>
      </c>
      <c r="V15" s="107">
        <v>1</v>
      </c>
      <c r="W15" s="107">
        <v>0</v>
      </c>
      <c r="X15" s="107">
        <v>0</v>
      </c>
      <c r="Y15" s="107">
        <v>1</v>
      </c>
      <c r="Z15" s="107">
        <v>1</v>
      </c>
      <c r="AA15" s="107">
        <v>0</v>
      </c>
      <c r="AB15" s="107">
        <v>0</v>
      </c>
      <c r="AC15" s="107">
        <v>0</v>
      </c>
      <c r="AD15" s="107">
        <v>0</v>
      </c>
      <c r="AE15" s="107">
        <v>0</v>
      </c>
      <c r="AF15" s="107">
        <v>1</v>
      </c>
      <c r="AG15" s="107">
        <v>0</v>
      </c>
      <c r="AH15" s="107">
        <v>0</v>
      </c>
      <c r="AI15" s="107">
        <v>0</v>
      </c>
      <c r="AJ15" s="107">
        <v>0</v>
      </c>
      <c r="AK15" s="107">
        <v>0</v>
      </c>
      <c r="AL15" s="107">
        <v>0</v>
      </c>
      <c r="AM15" s="107">
        <v>0</v>
      </c>
      <c r="AN15" s="107">
        <v>0</v>
      </c>
      <c r="AO15" s="107">
        <v>0</v>
      </c>
      <c r="AP15" s="107">
        <v>0</v>
      </c>
      <c r="AQ15" s="107">
        <v>0</v>
      </c>
      <c r="AR15" s="107">
        <v>0</v>
      </c>
      <c r="AS15" s="107">
        <v>0</v>
      </c>
      <c r="AT15" s="107">
        <v>0</v>
      </c>
      <c r="AU15" s="107">
        <v>0</v>
      </c>
      <c r="AV15" s="107">
        <v>0</v>
      </c>
      <c r="AW15" s="107">
        <v>0</v>
      </c>
      <c r="AX15" s="107">
        <v>0</v>
      </c>
      <c r="AY15" s="107">
        <v>0</v>
      </c>
      <c r="AZ15" s="107">
        <v>0</v>
      </c>
      <c r="BA15" s="107">
        <v>0</v>
      </c>
      <c r="BB15" s="107">
        <v>0</v>
      </c>
      <c r="BC15" s="107">
        <v>0</v>
      </c>
      <c r="BD15" s="107">
        <v>0</v>
      </c>
      <c r="BE15" s="107">
        <v>0</v>
      </c>
      <c r="BF15" s="107">
        <v>0</v>
      </c>
      <c r="BG15" s="107">
        <v>0</v>
      </c>
      <c r="BH15" s="107">
        <v>0</v>
      </c>
      <c r="BI15" s="107">
        <v>0</v>
      </c>
      <c r="BJ15" s="107">
        <v>0</v>
      </c>
      <c r="BK15" s="107">
        <v>0</v>
      </c>
      <c r="BL15" s="107">
        <v>0</v>
      </c>
      <c r="BM15" s="107">
        <v>0</v>
      </c>
      <c r="BN15" s="107">
        <v>0</v>
      </c>
      <c r="BO15" s="107">
        <v>0</v>
      </c>
      <c r="BP15" s="107">
        <v>0</v>
      </c>
      <c r="BQ15" s="107">
        <v>0</v>
      </c>
      <c r="BR15" s="107">
        <v>0</v>
      </c>
      <c r="BS15" s="107">
        <v>0</v>
      </c>
      <c r="BT15" s="107">
        <v>0</v>
      </c>
      <c r="BU15" s="107">
        <v>0</v>
      </c>
      <c r="BV15" s="107">
        <v>0</v>
      </c>
      <c r="BW15" s="107">
        <v>0</v>
      </c>
      <c r="BX15" s="107">
        <v>0</v>
      </c>
      <c r="BY15" s="107">
        <v>0</v>
      </c>
      <c r="BZ15" s="107">
        <v>0</v>
      </c>
      <c r="CA15" s="107">
        <v>0</v>
      </c>
      <c r="CB15" s="107">
        <v>0</v>
      </c>
      <c r="CC15" s="107">
        <v>0</v>
      </c>
    </row>
    <row r="16" spans="1:81" customFormat="1" x14ac:dyDescent="0.15">
      <c r="A16" s="180" t="s">
        <v>205</v>
      </c>
      <c r="B16" s="107">
        <v>0</v>
      </c>
      <c r="C16" s="107">
        <v>0</v>
      </c>
      <c r="D16" s="107">
        <v>0</v>
      </c>
      <c r="E16" s="107">
        <v>0</v>
      </c>
      <c r="F16" s="107">
        <v>0</v>
      </c>
      <c r="G16" s="107">
        <v>1</v>
      </c>
      <c r="H16" s="107">
        <v>1</v>
      </c>
      <c r="I16" s="107">
        <v>1</v>
      </c>
      <c r="J16" s="107">
        <v>1</v>
      </c>
      <c r="K16" s="107">
        <v>1</v>
      </c>
      <c r="L16" s="107">
        <v>0</v>
      </c>
      <c r="M16" s="107">
        <v>0</v>
      </c>
      <c r="N16" s="107">
        <v>0</v>
      </c>
      <c r="O16" s="107">
        <v>0</v>
      </c>
      <c r="P16" s="107">
        <v>0</v>
      </c>
      <c r="Q16" s="107">
        <v>0</v>
      </c>
      <c r="R16" s="107">
        <v>0</v>
      </c>
      <c r="S16" s="107">
        <v>0</v>
      </c>
      <c r="T16" s="107">
        <v>0</v>
      </c>
      <c r="U16" s="107">
        <v>0</v>
      </c>
      <c r="V16" s="107">
        <v>1</v>
      </c>
      <c r="W16" s="107">
        <v>0</v>
      </c>
      <c r="X16" s="107">
        <v>0</v>
      </c>
      <c r="Y16" s="107">
        <v>0</v>
      </c>
      <c r="Z16" s="107">
        <v>0</v>
      </c>
      <c r="AA16" s="107">
        <v>0</v>
      </c>
      <c r="AB16" s="107">
        <v>0</v>
      </c>
      <c r="AC16" s="107">
        <v>0</v>
      </c>
      <c r="AD16" s="107">
        <v>0</v>
      </c>
      <c r="AE16" s="107">
        <v>0</v>
      </c>
      <c r="AF16" s="107">
        <v>0</v>
      </c>
      <c r="AG16" s="107">
        <v>0</v>
      </c>
      <c r="AH16" s="107">
        <v>0</v>
      </c>
      <c r="AI16" s="107">
        <v>0</v>
      </c>
      <c r="AJ16" s="107">
        <v>0</v>
      </c>
      <c r="AK16" s="107">
        <v>0</v>
      </c>
      <c r="AL16" s="107">
        <v>0</v>
      </c>
      <c r="AM16" s="107">
        <v>0</v>
      </c>
      <c r="AN16" s="107">
        <v>0</v>
      </c>
      <c r="AO16" s="107">
        <v>0</v>
      </c>
      <c r="AP16" s="107">
        <v>0</v>
      </c>
      <c r="AQ16" s="107">
        <v>0</v>
      </c>
      <c r="AR16" s="107">
        <v>0</v>
      </c>
      <c r="AS16" s="107">
        <v>0</v>
      </c>
      <c r="AT16" s="107">
        <v>0</v>
      </c>
      <c r="AU16" s="107">
        <v>0</v>
      </c>
      <c r="AV16" s="107">
        <v>0</v>
      </c>
      <c r="AW16" s="107">
        <v>0</v>
      </c>
      <c r="AX16" s="107">
        <v>0</v>
      </c>
      <c r="AY16" s="107">
        <v>0</v>
      </c>
      <c r="AZ16" s="107">
        <v>0</v>
      </c>
      <c r="BA16" s="107">
        <v>0</v>
      </c>
      <c r="BB16" s="107">
        <v>0</v>
      </c>
      <c r="BC16" s="107">
        <v>0</v>
      </c>
      <c r="BD16" s="107">
        <v>0</v>
      </c>
      <c r="BE16" s="107">
        <v>0</v>
      </c>
      <c r="BF16" s="107">
        <v>0</v>
      </c>
      <c r="BG16" s="107">
        <v>0</v>
      </c>
      <c r="BH16" s="107">
        <v>0</v>
      </c>
      <c r="BI16" s="107">
        <v>0</v>
      </c>
      <c r="BJ16" s="107">
        <v>0</v>
      </c>
      <c r="BK16" s="107">
        <v>0</v>
      </c>
      <c r="BL16" s="107">
        <v>0</v>
      </c>
      <c r="BM16" s="107">
        <v>0</v>
      </c>
      <c r="BN16" s="107">
        <v>0</v>
      </c>
      <c r="BO16" s="107">
        <v>0</v>
      </c>
      <c r="BP16" s="107">
        <v>0</v>
      </c>
      <c r="BQ16" s="107">
        <v>0</v>
      </c>
      <c r="BR16" s="107">
        <v>0</v>
      </c>
      <c r="BS16" s="107">
        <v>0</v>
      </c>
      <c r="BT16" s="107">
        <v>0</v>
      </c>
      <c r="BU16" s="107">
        <v>0</v>
      </c>
      <c r="BV16" s="107">
        <v>0</v>
      </c>
      <c r="BW16" s="107">
        <v>0</v>
      </c>
      <c r="BX16" s="107">
        <v>0</v>
      </c>
      <c r="BY16" s="107">
        <v>0</v>
      </c>
      <c r="BZ16" s="107">
        <v>0</v>
      </c>
      <c r="CA16" s="107">
        <v>0</v>
      </c>
      <c r="CB16" s="107">
        <v>0</v>
      </c>
      <c r="CC16" s="107">
        <v>0</v>
      </c>
    </row>
    <row r="17" spans="1:81" customFormat="1" x14ac:dyDescent="0.15">
      <c r="A17" s="180" t="s">
        <v>206</v>
      </c>
      <c r="B17" s="107">
        <v>0</v>
      </c>
      <c r="C17" s="107">
        <v>0</v>
      </c>
      <c r="D17" s="107">
        <v>0</v>
      </c>
      <c r="E17" s="107">
        <v>1</v>
      </c>
      <c r="F17" s="107">
        <v>0</v>
      </c>
      <c r="G17" s="107">
        <v>0</v>
      </c>
      <c r="H17" s="107">
        <v>1</v>
      </c>
      <c r="I17" s="107">
        <v>1</v>
      </c>
      <c r="J17" s="107">
        <v>1</v>
      </c>
      <c r="K17" s="107">
        <v>1</v>
      </c>
      <c r="L17" s="107">
        <v>0</v>
      </c>
      <c r="M17" s="107">
        <v>0</v>
      </c>
      <c r="N17" s="107">
        <v>1</v>
      </c>
      <c r="O17" s="107">
        <v>0</v>
      </c>
      <c r="P17" s="107">
        <v>1</v>
      </c>
      <c r="Q17" s="107">
        <v>0</v>
      </c>
      <c r="R17" s="107">
        <v>0</v>
      </c>
      <c r="S17" s="107">
        <v>0</v>
      </c>
      <c r="T17" s="107">
        <v>0</v>
      </c>
      <c r="U17" s="107">
        <v>0</v>
      </c>
      <c r="V17" s="107">
        <v>0</v>
      </c>
      <c r="W17" s="107">
        <v>0</v>
      </c>
      <c r="X17" s="107">
        <v>0</v>
      </c>
      <c r="Y17" s="107">
        <v>1</v>
      </c>
      <c r="Z17" s="107">
        <v>1</v>
      </c>
      <c r="AA17" s="107">
        <v>0</v>
      </c>
      <c r="AB17" s="107">
        <v>0</v>
      </c>
      <c r="AC17" s="107">
        <v>0</v>
      </c>
      <c r="AD17" s="107">
        <v>0</v>
      </c>
      <c r="AE17" s="107">
        <v>0</v>
      </c>
      <c r="AF17" s="107">
        <v>1</v>
      </c>
      <c r="AG17" s="107">
        <v>0</v>
      </c>
      <c r="AH17" s="107">
        <v>0</v>
      </c>
      <c r="AI17" s="107">
        <v>0</v>
      </c>
      <c r="AJ17" s="107">
        <v>0</v>
      </c>
      <c r="AK17" s="107">
        <v>0</v>
      </c>
      <c r="AL17" s="107">
        <v>0</v>
      </c>
      <c r="AM17" s="107">
        <v>0</v>
      </c>
      <c r="AN17" s="107">
        <v>0</v>
      </c>
      <c r="AO17" s="107">
        <v>0</v>
      </c>
      <c r="AP17" s="107">
        <v>0</v>
      </c>
      <c r="AQ17" s="107">
        <v>0</v>
      </c>
      <c r="AR17" s="107">
        <v>0</v>
      </c>
      <c r="AS17" s="107">
        <v>0</v>
      </c>
      <c r="AT17" s="107">
        <v>0</v>
      </c>
      <c r="AU17" s="107">
        <v>1</v>
      </c>
      <c r="AV17" s="107">
        <v>0</v>
      </c>
      <c r="AW17" s="107">
        <v>0</v>
      </c>
      <c r="AX17" s="107">
        <v>0</v>
      </c>
      <c r="AY17" s="107">
        <v>0</v>
      </c>
      <c r="AZ17" s="107">
        <v>0</v>
      </c>
      <c r="BA17" s="107">
        <v>0</v>
      </c>
      <c r="BB17" s="107">
        <v>0</v>
      </c>
      <c r="BC17" s="107">
        <v>0</v>
      </c>
      <c r="BD17" s="107">
        <v>0</v>
      </c>
      <c r="BE17" s="107">
        <v>0</v>
      </c>
      <c r="BF17" s="107">
        <v>0</v>
      </c>
      <c r="BG17" s="107">
        <v>0</v>
      </c>
      <c r="BH17" s="107">
        <v>0</v>
      </c>
      <c r="BI17" s="107">
        <v>0</v>
      </c>
      <c r="BJ17" s="107">
        <v>0</v>
      </c>
      <c r="BK17" s="107">
        <v>0</v>
      </c>
      <c r="BL17" s="107">
        <v>0</v>
      </c>
      <c r="BM17" s="107">
        <v>0</v>
      </c>
      <c r="BN17" s="107">
        <v>0</v>
      </c>
      <c r="BO17" s="107">
        <v>0</v>
      </c>
      <c r="BP17" s="107">
        <v>0</v>
      </c>
      <c r="BQ17" s="107">
        <v>0</v>
      </c>
      <c r="BR17" s="107">
        <v>0</v>
      </c>
      <c r="BS17" s="107">
        <v>0</v>
      </c>
      <c r="BT17" s="107">
        <v>0</v>
      </c>
      <c r="BU17" s="107">
        <v>0</v>
      </c>
      <c r="BV17" s="107">
        <v>0</v>
      </c>
      <c r="BW17" s="107">
        <v>0</v>
      </c>
      <c r="BX17" s="107">
        <v>0</v>
      </c>
      <c r="BY17" s="107">
        <v>0</v>
      </c>
      <c r="BZ17" s="107">
        <v>0</v>
      </c>
      <c r="CA17" s="107">
        <v>0</v>
      </c>
      <c r="CB17" s="107">
        <v>0</v>
      </c>
      <c r="CC17" s="107">
        <v>0</v>
      </c>
    </row>
    <row r="18" spans="1:81" customFormat="1" x14ac:dyDescent="0.15">
      <c r="A18" s="180" t="s">
        <v>207</v>
      </c>
      <c r="B18" s="107">
        <v>0</v>
      </c>
      <c r="C18" s="107">
        <v>0</v>
      </c>
      <c r="D18" s="107">
        <v>0</v>
      </c>
      <c r="E18" s="107">
        <v>0</v>
      </c>
      <c r="F18" s="107">
        <v>1</v>
      </c>
      <c r="G18" s="107">
        <v>1</v>
      </c>
      <c r="H18" s="107">
        <v>0</v>
      </c>
      <c r="I18" s="107">
        <v>1</v>
      </c>
      <c r="J18" s="107">
        <v>1</v>
      </c>
      <c r="K18" s="107">
        <v>1</v>
      </c>
      <c r="L18" s="107">
        <v>0</v>
      </c>
      <c r="M18" s="107">
        <v>0</v>
      </c>
      <c r="N18" s="107">
        <v>1</v>
      </c>
      <c r="O18" s="107">
        <v>0</v>
      </c>
      <c r="P18" s="107">
        <v>0</v>
      </c>
      <c r="Q18" s="107">
        <v>0</v>
      </c>
      <c r="R18" s="107">
        <v>0</v>
      </c>
      <c r="S18" s="107">
        <v>0</v>
      </c>
      <c r="T18" s="107">
        <v>0</v>
      </c>
      <c r="U18" s="107">
        <v>0</v>
      </c>
      <c r="V18" s="107">
        <v>0</v>
      </c>
      <c r="W18" s="107">
        <v>0</v>
      </c>
      <c r="X18" s="107">
        <v>0</v>
      </c>
      <c r="Y18" s="107">
        <v>1</v>
      </c>
      <c r="Z18" s="107">
        <v>0</v>
      </c>
      <c r="AA18" s="107">
        <v>0</v>
      </c>
      <c r="AB18" s="107">
        <v>0</v>
      </c>
      <c r="AC18" s="107">
        <v>0</v>
      </c>
      <c r="AD18" s="107">
        <v>0</v>
      </c>
      <c r="AE18" s="107">
        <v>0</v>
      </c>
      <c r="AF18" s="107">
        <v>0</v>
      </c>
      <c r="AG18" s="107">
        <v>0</v>
      </c>
      <c r="AH18" s="107">
        <v>0</v>
      </c>
      <c r="AI18" s="107">
        <v>0</v>
      </c>
      <c r="AJ18" s="107">
        <v>0</v>
      </c>
      <c r="AK18" s="107">
        <v>0</v>
      </c>
      <c r="AL18" s="107">
        <v>0</v>
      </c>
      <c r="AM18" s="107">
        <v>0</v>
      </c>
      <c r="AN18" s="107">
        <v>0</v>
      </c>
      <c r="AO18" s="107">
        <v>0</v>
      </c>
      <c r="AP18" s="107">
        <v>0</v>
      </c>
      <c r="AQ18" s="107">
        <v>0</v>
      </c>
      <c r="AR18" s="107">
        <v>0</v>
      </c>
      <c r="AS18" s="107">
        <v>0</v>
      </c>
      <c r="AT18" s="107">
        <v>0</v>
      </c>
      <c r="AU18" s="107">
        <v>0</v>
      </c>
      <c r="AV18" s="107">
        <v>0</v>
      </c>
      <c r="AW18" s="107">
        <v>0</v>
      </c>
      <c r="AX18" s="107">
        <v>0</v>
      </c>
      <c r="AY18" s="107">
        <v>0</v>
      </c>
      <c r="AZ18" s="107">
        <v>0</v>
      </c>
      <c r="BA18" s="107">
        <v>0</v>
      </c>
      <c r="BB18" s="107">
        <v>0</v>
      </c>
      <c r="BC18" s="107">
        <v>0</v>
      </c>
      <c r="BD18" s="107">
        <v>0</v>
      </c>
      <c r="BE18" s="107">
        <v>0</v>
      </c>
      <c r="BF18" s="107">
        <v>0</v>
      </c>
      <c r="BG18" s="107">
        <v>0</v>
      </c>
      <c r="BH18" s="107">
        <v>0</v>
      </c>
      <c r="BI18" s="107">
        <v>0</v>
      </c>
      <c r="BJ18" s="107">
        <v>0</v>
      </c>
      <c r="BK18" s="107">
        <v>0</v>
      </c>
      <c r="BL18" s="107">
        <v>0</v>
      </c>
      <c r="BM18" s="107">
        <v>0</v>
      </c>
      <c r="BN18" s="107">
        <v>0</v>
      </c>
      <c r="BO18" s="107">
        <v>0</v>
      </c>
      <c r="BP18" s="107">
        <v>0</v>
      </c>
      <c r="BQ18" s="107">
        <v>0</v>
      </c>
      <c r="BR18" s="107">
        <v>0</v>
      </c>
      <c r="BS18" s="107">
        <v>0</v>
      </c>
      <c r="BT18" s="107">
        <v>0</v>
      </c>
      <c r="BU18" s="107">
        <v>0</v>
      </c>
      <c r="BV18" s="107">
        <v>0</v>
      </c>
      <c r="BW18" s="107">
        <v>0</v>
      </c>
      <c r="BX18" s="107">
        <v>0</v>
      </c>
      <c r="BY18" s="107">
        <v>0</v>
      </c>
      <c r="BZ18" s="107">
        <v>0</v>
      </c>
      <c r="CA18" s="107">
        <v>0</v>
      </c>
      <c r="CB18" s="107">
        <v>0</v>
      </c>
      <c r="CC18" s="107">
        <v>0</v>
      </c>
    </row>
    <row r="19" spans="1:81" customFormat="1" x14ac:dyDescent="0.15">
      <c r="A19" s="180" t="s">
        <v>208</v>
      </c>
      <c r="B19" s="107">
        <v>0</v>
      </c>
      <c r="C19" s="107">
        <v>0</v>
      </c>
      <c r="D19" s="107">
        <v>0</v>
      </c>
      <c r="E19" s="107">
        <v>0</v>
      </c>
      <c r="F19" s="107">
        <v>1</v>
      </c>
      <c r="G19" s="107">
        <v>0</v>
      </c>
      <c r="H19" s="107">
        <v>0</v>
      </c>
      <c r="I19" s="107">
        <v>0</v>
      </c>
      <c r="J19" s="107">
        <v>0</v>
      </c>
      <c r="K19" s="107">
        <v>0</v>
      </c>
      <c r="L19" s="107">
        <v>0</v>
      </c>
      <c r="M19" s="107">
        <v>0</v>
      </c>
      <c r="N19" s="107">
        <v>0</v>
      </c>
      <c r="O19" s="107">
        <v>0</v>
      </c>
      <c r="P19" s="107">
        <v>0</v>
      </c>
      <c r="Q19" s="107">
        <v>0</v>
      </c>
      <c r="R19" s="107">
        <v>1</v>
      </c>
      <c r="S19" s="107">
        <v>0</v>
      </c>
      <c r="T19" s="107">
        <v>0</v>
      </c>
      <c r="U19" s="107">
        <v>0</v>
      </c>
      <c r="V19" s="107">
        <v>0</v>
      </c>
      <c r="W19" s="107">
        <v>0</v>
      </c>
      <c r="X19" s="107">
        <v>0</v>
      </c>
      <c r="Y19" s="107">
        <v>0</v>
      </c>
      <c r="Z19" s="107">
        <v>0</v>
      </c>
      <c r="AA19" s="107">
        <v>0</v>
      </c>
      <c r="AB19" s="107">
        <v>0</v>
      </c>
      <c r="AC19" s="107">
        <v>0</v>
      </c>
      <c r="AD19" s="107">
        <v>0</v>
      </c>
      <c r="AE19" s="107">
        <v>0</v>
      </c>
      <c r="AF19" s="107">
        <v>0</v>
      </c>
      <c r="AG19" s="107">
        <v>0</v>
      </c>
      <c r="AH19" s="107">
        <v>0</v>
      </c>
      <c r="AI19" s="107">
        <v>0</v>
      </c>
      <c r="AJ19" s="107">
        <v>0</v>
      </c>
      <c r="AK19" s="107">
        <v>0</v>
      </c>
      <c r="AL19" s="107">
        <v>0</v>
      </c>
      <c r="AM19" s="107">
        <v>0</v>
      </c>
      <c r="AN19" s="107">
        <v>0</v>
      </c>
      <c r="AO19" s="107">
        <v>0</v>
      </c>
      <c r="AP19" s="107">
        <v>0</v>
      </c>
      <c r="AQ19" s="107">
        <v>0</v>
      </c>
      <c r="AR19" s="107">
        <v>0</v>
      </c>
      <c r="AS19" s="107">
        <v>0</v>
      </c>
      <c r="AT19" s="107">
        <v>0</v>
      </c>
      <c r="AU19" s="107">
        <v>0</v>
      </c>
      <c r="AV19" s="107">
        <v>0</v>
      </c>
      <c r="AW19" s="107">
        <v>0</v>
      </c>
      <c r="AX19" s="107">
        <v>0</v>
      </c>
      <c r="AY19" s="107">
        <v>0</v>
      </c>
      <c r="AZ19" s="107">
        <v>0</v>
      </c>
      <c r="BA19" s="107">
        <v>0</v>
      </c>
      <c r="BB19" s="107">
        <v>0</v>
      </c>
      <c r="BC19" s="107">
        <v>0</v>
      </c>
      <c r="BD19" s="107">
        <v>0</v>
      </c>
      <c r="BE19" s="107">
        <v>0</v>
      </c>
      <c r="BF19" s="107">
        <v>0</v>
      </c>
      <c r="BG19" s="107">
        <v>0</v>
      </c>
      <c r="BH19" s="107">
        <v>0</v>
      </c>
      <c r="BI19" s="107">
        <v>0</v>
      </c>
      <c r="BJ19" s="107">
        <v>0</v>
      </c>
      <c r="BK19" s="107">
        <v>0</v>
      </c>
      <c r="BL19" s="107">
        <v>0</v>
      </c>
      <c r="BM19" s="107">
        <v>0</v>
      </c>
      <c r="BN19" s="107">
        <v>0</v>
      </c>
      <c r="BO19" s="107">
        <v>0</v>
      </c>
      <c r="BP19" s="107">
        <v>0</v>
      </c>
      <c r="BQ19" s="107">
        <v>0</v>
      </c>
      <c r="BR19" s="107">
        <v>0</v>
      </c>
      <c r="BS19" s="107">
        <v>0</v>
      </c>
      <c r="BT19" s="107">
        <v>0</v>
      </c>
      <c r="BU19" s="107">
        <v>0</v>
      </c>
      <c r="BV19" s="107">
        <v>0</v>
      </c>
      <c r="BW19" s="107">
        <v>0</v>
      </c>
      <c r="BX19" s="107">
        <v>0</v>
      </c>
      <c r="BY19" s="107">
        <v>0</v>
      </c>
      <c r="BZ19" s="107">
        <v>0</v>
      </c>
      <c r="CA19" s="107">
        <v>0</v>
      </c>
      <c r="CB19" s="107">
        <v>0</v>
      </c>
      <c r="CC19" s="107">
        <v>0</v>
      </c>
    </row>
    <row r="20" spans="1:81" customFormat="1" x14ac:dyDescent="0.15">
      <c r="A20" s="180" t="s">
        <v>209</v>
      </c>
      <c r="B20" s="107">
        <v>0</v>
      </c>
      <c r="C20" s="107">
        <v>0</v>
      </c>
      <c r="D20" s="107">
        <v>0</v>
      </c>
      <c r="E20" s="107">
        <v>1</v>
      </c>
      <c r="F20" s="107">
        <v>1</v>
      </c>
      <c r="G20" s="107">
        <v>1</v>
      </c>
      <c r="H20" s="107">
        <v>0</v>
      </c>
      <c r="I20" s="107">
        <v>0</v>
      </c>
      <c r="J20" s="107">
        <v>0</v>
      </c>
      <c r="K20" s="107">
        <v>1</v>
      </c>
      <c r="L20" s="107">
        <v>0</v>
      </c>
      <c r="M20" s="107">
        <v>0</v>
      </c>
      <c r="N20" s="107">
        <v>1</v>
      </c>
      <c r="O20" s="107">
        <v>0</v>
      </c>
      <c r="P20" s="107">
        <v>0</v>
      </c>
      <c r="Q20" s="107">
        <v>0</v>
      </c>
      <c r="R20" s="107">
        <v>1</v>
      </c>
      <c r="S20" s="107">
        <v>0</v>
      </c>
      <c r="T20" s="107">
        <v>0</v>
      </c>
      <c r="U20" s="107">
        <v>1</v>
      </c>
      <c r="V20" s="107">
        <v>0</v>
      </c>
      <c r="W20" s="107">
        <v>0</v>
      </c>
      <c r="X20" s="107">
        <v>0</v>
      </c>
      <c r="Y20" s="107">
        <v>1</v>
      </c>
      <c r="Z20" s="107">
        <v>0</v>
      </c>
      <c r="AA20" s="107">
        <v>0</v>
      </c>
      <c r="AB20" s="107">
        <v>0</v>
      </c>
      <c r="AC20" s="107">
        <v>0</v>
      </c>
      <c r="AD20" s="107">
        <v>0</v>
      </c>
      <c r="AE20" s="107">
        <v>0</v>
      </c>
      <c r="AF20" s="107">
        <v>0</v>
      </c>
      <c r="AG20" s="107">
        <v>0</v>
      </c>
      <c r="AH20" s="107">
        <v>0</v>
      </c>
      <c r="AI20" s="107">
        <v>0</v>
      </c>
      <c r="AJ20" s="107">
        <v>0</v>
      </c>
      <c r="AK20" s="107">
        <v>0</v>
      </c>
      <c r="AL20" s="107">
        <v>0</v>
      </c>
      <c r="AM20" s="107">
        <v>0</v>
      </c>
      <c r="AN20" s="107">
        <v>0</v>
      </c>
      <c r="AO20" s="107">
        <v>0</v>
      </c>
      <c r="AP20" s="107">
        <v>0</v>
      </c>
      <c r="AQ20" s="107">
        <v>0</v>
      </c>
      <c r="AR20" s="107">
        <v>0</v>
      </c>
      <c r="AS20" s="107">
        <v>0</v>
      </c>
      <c r="AT20" s="107">
        <v>0</v>
      </c>
      <c r="AU20" s="107">
        <v>0</v>
      </c>
      <c r="AV20" s="107">
        <v>0</v>
      </c>
      <c r="AW20" s="107">
        <v>0</v>
      </c>
      <c r="AX20" s="107">
        <v>0</v>
      </c>
      <c r="AY20" s="107">
        <v>0</v>
      </c>
      <c r="AZ20" s="107">
        <v>0</v>
      </c>
      <c r="BA20" s="107">
        <v>0</v>
      </c>
      <c r="BB20" s="107">
        <v>0</v>
      </c>
      <c r="BC20" s="107">
        <v>0</v>
      </c>
      <c r="BD20" s="107">
        <v>0</v>
      </c>
      <c r="BE20" s="107">
        <v>0</v>
      </c>
      <c r="BF20" s="107">
        <v>0</v>
      </c>
      <c r="BG20" s="107">
        <v>0</v>
      </c>
      <c r="BH20" s="107">
        <v>0</v>
      </c>
      <c r="BI20" s="107">
        <v>0</v>
      </c>
      <c r="BJ20" s="107">
        <v>0</v>
      </c>
      <c r="BK20" s="107">
        <v>0</v>
      </c>
      <c r="BL20" s="107">
        <v>0</v>
      </c>
      <c r="BM20" s="107">
        <v>0</v>
      </c>
      <c r="BN20" s="107">
        <v>0</v>
      </c>
      <c r="BO20" s="107">
        <v>0</v>
      </c>
      <c r="BP20" s="107">
        <v>0</v>
      </c>
      <c r="BQ20" s="107">
        <v>0</v>
      </c>
      <c r="BR20" s="107">
        <v>0</v>
      </c>
      <c r="BS20" s="107">
        <v>0</v>
      </c>
      <c r="BT20" s="107">
        <v>0</v>
      </c>
      <c r="BU20" s="107">
        <v>0</v>
      </c>
      <c r="BV20" s="107">
        <v>0</v>
      </c>
      <c r="BW20" s="107">
        <v>0</v>
      </c>
      <c r="BX20" s="107">
        <v>0</v>
      </c>
      <c r="BY20" s="107">
        <v>0</v>
      </c>
      <c r="BZ20" s="107">
        <v>0</v>
      </c>
      <c r="CA20" s="107">
        <v>0</v>
      </c>
      <c r="CB20" s="107">
        <v>0</v>
      </c>
      <c r="CC20" s="107">
        <v>0</v>
      </c>
    </row>
    <row r="21" spans="1:81" customFormat="1" x14ac:dyDescent="0.15">
      <c r="A21" s="180" t="s">
        <v>210</v>
      </c>
      <c r="B21" s="107">
        <v>0</v>
      </c>
      <c r="C21" s="107">
        <v>0</v>
      </c>
      <c r="D21" s="107">
        <v>1</v>
      </c>
      <c r="E21" s="107">
        <v>0</v>
      </c>
      <c r="F21" s="107">
        <v>0</v>
      </c>
      <c r="G21" s="107">
        <v>0</v>
      </c>
      <c r="H21" s="107">
        <v>0</v>
      </c>
      <c r="I21" s="107">
        <v>1</v>
      </c>
      <c r="J21" s="107">
        <v>0</v>
      </c>
      <c r="K21" s="107">
        <v>0</v>
      </c>
      <c r="L21" s="107">
        <v>0</v>
      </c>
      <c r="M21" s="107">
        <v>0</v>
      </c>
      <c r="N21" s="107">
        <v>1</v>
      </c>
      <c r="O21" s="107">
        <v>0</v>
      </c>
      <c r="P21" s="107">
        <v>1</v>
      </c>
      <c r="Q21" s="107">
        <v>0</v>
      </c>
      <c r="R21" s="107">
        <v>1</v>
      </c>
      <c r="S21" s="107">
        <v>0</v>
      </c>
      <c r="T21" s="107">
        <v>1</v>
      </c>
      <c r="U21" s="107">
        <v>0</v>
      </c>
      <c r="V21" s="107">
        <v>0</v>
      </c>
      <c r="W21" s="107">
        <v>0</v>
      </c>
      <c r="X21" s="107">
        <v>0</v>
      </c>
      <c r="Y21" s="107">
        <v>0</v>
      </c>
      <c r="Z21" s="107">
        <v>0</v>
      </c>
      <c r="AA21" s="107">
        <v>0</v>
      </c>
      <c r="AB21" s="107">
        <v>0</v>
      </c>
      <c r="AC21" s="107">
        <v>0</v>
      </c>
      <c r="AD21" s="107">
        <v>0</v>
      </c>
      <c r="AE21" s="107">
        <v>0</v>
      </c>
      <c r="AF21" s="107">
        <v>0</v>
      </c>
      <c r="AG21" s="107">
        <v>0</v>
      </c>
      <c r="AH21" s="107">
        <v>0</v>
      </c>
      <c r="AI21" s="107">
        <v>0</v>
      </c>
      <c r="AJ21" s="107">
        <v>0</v>
      </c>
      <c r="AK21" s="107">
        <v>0</v>
      </c>
      <c r="AL21" s="107">
        <v>0</v>
      </c>
      <c r="AM21" s="107">
        <v>0</v>
      </c>
      <c r="AN21" s="107">
        <v>0</v>
      </c>
      <c r="AO21" s="107">
        <v>0</v>
      </c>
      <c r="AP21" s="107">
        <v>0</v>
      </c>
      <c r="AQ21" s="107">
        <v>0</v>
      </c>
      <c r="AR21" s="107">
        <v>0</v>
      </c>
      <c r="AS21" s="107">
        <v>0</v>
      </c>
      <c r="AT21" s="107">
        <v>0</v>
      </c>
      <c r="AU21" s="107">
        <v>0</v>
      </c>
      <c r="AV21" s="107">
        <v>0</v>
      </c>
      <c r="AW21" s="107">
        <v>0</v>
      </c>
      <c r="AX21" s="107">
        <v>0</v>
      </c>
      <c r="AY21" s="107">
        <v>0</v>
      </c>
      <c r="AZ21" s="107">
        <v>0</v>
      </c>
      <c r="BA21" s="107">
        <v>0</v>
      </c>
      <c r="BB21" s="107">
        <v>0</v>
      </c>
      <c r="BC21" s="107">
        <v>0</v>
      </c>
      <c r="BD21" s="107">
        <v>0</v>
      </c>
      <c r="BE21" s="107">
        <v>0</v>
      </c>
      <c r="BF21" s="107">
        <v>0</v>
      </c>
      <c r="BG21" s="107">
        <v>0</v>
      </c>
      <c r="BH21" s="107">
        <v>0</v>
      </c>
      <c r="BI21" s="107">
        <v>0</v>
      </c>
      <c r="BJ21" s="107">
        <v>0</v>
      </c>
      <c r="BK21" s="107">
        <v>0</v>
      </c>
      <c r="BL21" s="107">
        <v>0</v>
      </c>
      <c r="BM21" s="107">
        <v>0</v>
      </c>
      <c r="BN21" s="107">
        <v>0</v>
      </c>
      <c r="BO21" s="107">
        <v>0</v>
      </c>
      <c r="BP21" s="107">
        <v>0</v>
      </c>
      <c r="BQ21" s="107">
        <v>0</v>
      </c>
      <c r="BR21" s="107">
        <v>0</v>
      </c>
      <c r="BS21" s="107">
        <v>0</v>
      </c>
      <c r="BT21" s="107">
        <v>0</v>
      </c>
      <c r="BU21" s="107">
        <v>0</v>
      </c>
      <c r="BV21" s="107">
        <v>0</v>
      </c>
      <c r="BW21" s="107">
        <v>0</v>
      </c>
      <c r="BX21" s="107">
        <v>0</v>
      </c>
      <c r="BY21" s="107">
        <v>0</v>
      </c>
      <c r="BZ21" s="107">
        <v>0</v>
      </c>
      <c r="CA21" s="107">
        <v>0</v>
      </c>
      <c r="CB21" s="107">
        <v>0</v>
      </c>
      <c r="CC21" s="107">
        <v>0</v>
      </c>
    </row>
    <row r="22" spans="1:81" customFormat="1" x14ac:dyDescent="0.15">
      <c r="A22" s="180" t="s">
        <v>211</v>
      </c>
      <c r="B22" s="107">
        <v>0</v>
      </c>
      <c r="C22" s="107">
        <v>0</v>
      </c>
      <c r="D22" s="107">
        <v>0</v>
      </c>
      <c r="E22" s="107">
        <v>0</v>
      </c>
      <c r="F22" s="107">
        <v>1</v>
      </c>
      <c r="G22" s="107">
        <v>1</v>
      </c>
      <c r="H22" s="107">
        <v>0</v>
      </c>
      <c r="I22" s="107">
        <v>0</v>
      </c>
      <c r="J22" s="107">
        <v>1</v>
      </c>
      <c r="K22" s="107">
        <v>0</v>
      </c>
      <c r="L22" s="107">
        <v>0</v>
      </c>
      <c r="M22" s="107">
        <v>0</v>
      </c>
      <c r="N22" s="107">
        <v>0</v>
      </c>
      <c r="O22" s="107">
        <v>0</v>
      </c>
      <c r="P22" s="107">
        <v>0</v>
      </c>
      <c r="Q22" s="107">
        <v>0</v>
      </c>
      <c r="R22" s="107">
        <v>1</v>
      </c>
      <c r="S22" s="107">
        <v>0</v>
      </c>
      <c r="T22" s="107">
        <v>0</v>
      </c>
      <c r="U22" s="107">
        <v>0</v>
      </c>
      <c r="V22" s="107">
        <v>0</v>
      </c>
      <c r="W22" s="107">
        <v>0</v>
      </c>
      <c r="X22" s="107">
        <v>0</v>
      </c>
      <c r="Y22" s="107">
        <v>0</v>
      </c>
      <c r="Z22" s="107">
        <v>0</v>
      </c>
      <c r="AA22" s="107">
        <v>0</v>
      </c>
      <c r="AB22" s="107">
        <v>0</v>
      </c>
      <c r="AC22" s="107">
        <v>0</v>
      </c>
      <c r="AD22" s="107">
        <v>0</v>
      </c>
      <c r="AE22" s="107">
        <v>0</v>
      </c>
      <c r="AF22" s="107">
        <v>0</v>
      </c>
      <c r="AG22" s="107">
        <v>0</v>
      </c>
      <c r="AH22" s="107">
        <v>0</v>
      </c>
      <c r="AI22" s="107">
        <v>0</v>
      </c>
      <c r="AJ22" s="107">
        <v>0</v>
      </c>
      <c r="AK22" s="107">
        <v>0</v>
      </c>
      <c r="AL22" s="107">
        <v>0</v>
      </c>
      <c r="AM22" s="107">
        <v>0</v>
      </c>
      <c r="AN22" s="107">
        <v>0</v>
      </c>
      <c r="AO22" s="107">
        <v>0</v>
      </c>
      <c r="AP22" s="107">
        <v>0</v>
      </c>
      <c r="AQ22" s="107">
        <v>0</v>
      </c>
      <c r="AR22" s="107">
        <v>0</v>
      </c>
      <c r="AS22" s="107">
        <v>0</v>
      </c>
      <c r="AT22" s="107">
        <v>0</v>
      </c>
      <c r="AU22" s="107">
        <v>0</v>
      </c>
      <c r="AV22" s="107">
        <v>0</v>
      </c>
      <c r="AW22" s="107">
        <v>0</v>
      </c>
      <c r="AX22" s="107">
        <v>0</v>
      </c>
      <c r="AY22" s="107">
        <v>0</v>
      </c>
      <c r="AZ22" s="107">
        <v>0</v>
      </c>
      <c r="BA22" s="107">
        <v>0</v>
      </c>
      <c r="BB22" s="107">
        <v>0</v>
      </c>
      <c r="BC22" s="107">
        <v>0</v>
      </c>
      <c r="BD22" s="107">
        <v>0</v>
      </c>
      <c r="BE22" s="107">
        <v>0</v>
      </c>
      <c r="BF22" s="107">
        <v>0</v>
      </c>
      <c r="BG22" s="107">
        <v>0</v>
      </c>
      <c r="BH22" s="107">
        <v>0</v>
      </c>
      <c r="BI22" s="107">
        <v>0</v>
      </c>
      <c r="BJ22" s="107">
        <v>0</v>
      </c>
      <c r="BK22" s="107">
        <v>0</v>
      </c>
      <c r="BL22" s="107">
        <v>0</v>
      </c>
      <c r="BM22" s="107">
        <v>0</v>
      </c>
      <c r="BN22" s="107">
        <v>0</v>
      </c>
      <c r="BO22" s="107">
        <v>0</v>
      </c>
      <c r="BP22" s="107">
        <v>0</v>
      </c>
      <c r="BQ22" s="107">
        <v>0</v>
      </c>
      <c r="BR22" s="107">
        <v>0</v>
      </c>
      <c r="BS22" s="107">
        <v>0</v>
      </c>
      <c r="BT22" s="107">
        <v>0</v>
      </c>
      <c r="BU22" s="107">
        <v>0</v>
      </c>
      <c r="BV22" s="107">
        <v>0</v>
      </c>
      <c r="BW22" s="107">
        <v>0</v>
      </c>
      <c r="BX22" s="107">
        <v>0</v>
      </c>
      <c r="BY22" s="107">
        <v>0</v>
      </c>
      <c r="BZ22" s="107">
        <v>0</v>
      </c>
      <c r="CA22" s="107">
        <v>0</v>
      </c>
      <c r="CB22" s="107">
        <v>0</v>
      </c>
      <c r="CC22" s="107">
        <v>0</v>
      </c>
    </row>
    <row r="23" spans="1:81" customFormat="1" x14ac:dyDescent="0.15">
      <c r="A23" s="180" t="s">
        <v>212</v>
      </c>
      <c r="B23" s="107">
        <v>1</v>
      </c>
      <c r="C23" s="107">
        <v>0</v>
      </c>
      <c r="D23" s="107">
        <v>0</v>
      </c>
      <c r="E23" s="107">
        <v>1</v>
      </c>
      <c r="F23" s="107">
        <v>0</v>
      </c>
      <c r="G23" s="107">
        <v>0</v>
      </c>
      <c r="H23" s="107">
        <v>0</v>
      </c>
      <c r="I23" s="107">
        <v>0</v>
      </c>
      <c r="J23" s="107">
        <v>0</v>
      </c>
      <c r="K23" s="107">
        <v>0</v>
      </c>
      <c r="L23" s="107">
        <v>0</v>
      </c>
      <c r="M23" s="107">
        <v>0</v>
      </c>
      <c r="N23" s="107">
        <v>0</v>
      </c>
      <c r="O23" s="107">
        <v>0</v>
      </c>
      <c r="P23" s="107">
        <v>0</v>
      </c>
      <c r="Q23" s="107">
        <v>0</v>
      </c>
      <c r="R23" s="107">
        <v>0</v>
      </c>
      <c r="S23" s="107">
        <v>0</v>
      </c>
      <c r="T23" s="107">
        <v>0</v>
      </c>
      <c r="U23" s="107">
        <v>0</v>
      </c>
      <c r="V23" s="107">
        <v>0</v>
      </c>
      <c r="W23" s="107">
        <v>0</v>
      </c>
      <c r="X23" s="107">
        <v>0</v>
      </c>
      <c r="Y23" s="107">
        <v>0</v>
      </c>
      <c r="Z23" s="107">
        <v>0</v>
      </c>
      <c r="AA23" s="107">
        <v>0</v>
      </c>
      <c r="AB23" s="107">
        <v>0</v>
      </c>
      <c r="AC23" s="107">
        <v>0</v>
      </c>
      <c r="AD23" s="107">
        <v>0</v>
      </c>
      <c r="AE23" s="107">
        <v>0</v>
      </c>
      <c r="AF23" s="107">
        <v>0</v>
      </c>
      <c r="AG23" s="107">
        <v>0</v>
      </c>
      <c r="AH23" s="107">
        <v>1</v>
      </c>
      <c r="AI23" s="107">
        <v>0</v>
      </c>
      <c r="AJ23" s="107">
        <v>0</v>
      </c>
      <c r="AK23" s="107">
        <v>0</v>
      </c>
      <c r="AL23" s="107">
        <v>0</v>
      </c>
      <c r="AM23" s="107">
        <v>0</v>
      </c>
      <c r="AN23" s="107">
        <v>0</v>
      </c>
      <c r="AO23" s="107">
        <v>0</v>
      </c>
      <c r="AP23" s="107">
        <v>0</v>
      </c>
      <c r="AQ23" s="107">
        <v>0</v>
      </c>
      <c r="AR23" s="107">
        <v>0</v>
      </c>
      <c r="AS23" s="107">
        <v>0</v>
      </c>
      <c r="AT23" s="107">
        <v>0</v>
      </c>
      <c r="AU23" s="107">
        <v>0</v>
      </c>
      <c r="AV23" s="107">
        <v>0</v>
      </c>
      <c r="AW23" s="107">
        <v>0</v>
      </c>
      <c r="AX23" s="107">
        <v>0</v>
      </c>
      <c r="AY23" s="107">
        <v>0</v>
      </c>
      <c r="AZ23" s="107">
        <v>0</v>
      </c>
      <c r="BA23" s="107">
        <v>0</v>
      </c>
      <c r="BB23" s="107">
        <v>0</v>
      </c>
      <c r="BC23" s="107">
        <v>0</v>
      </c>
      <c r="BD23" s="107">
        <v>0</v>
      </c>
      <c r="BE23" s="107">
        <v>0</v>
      </c>
      <c r="BF23" s="107">
        <v>0</v>
      </c>
      <c r="BG23" s="107">
        <v>0</v>
      </c>
      <c r="BH23" s="107">
        <v>0</v>
      </c>
      <c r="BI23" s="107">
        <v>0</v>
      </c>
      <c r="BJ23" s="107">
        <v>0</v>
      </c>
      <c r="BK23" s="107">
        <v>0</v>
      </c>
      <c r="BL23" s="107">
        <v>0</v>
      </c>
      <c r="BM23" s="107">
        <v>0</v>
      </c>
      <c r="BN23" s="107">
        <v>0</v>
      </c>
      <c r="BO23" s="107">
        <v>0</v>
      </c>
      <c r="BP23" s="107">
        <v>0</v>
      </c>
      <c r="BQ23" s="107">
        <v>0</v>
      </c>
      <c r="BR23" s="107">
        <v>0</v>
      </c>
      <c r="BS23" s="107">
        <v>0</v>
      </c>
      <c r="BT23" s="107">
        <v>0</v>
      </c>
      <c r="BU23" s="107">
        <v>0</v>
      </c>
      <c r="BV23" s="107">
        <v>0</v>
      </c>
      <c r="BW23" s="107">
        <v>0</v>
      </c>
      <c r="BX23" s="107">
        <v>0</v>
      </c>
      <c r="BY23" s="107">
        <v>0</v>
      </c>
      <c r="BZ23" s="107">
        <v>0</v>
      </c>
      <c r="CA23" s="107">
        <v>0</v>
      </c>
      <c r="CB23" s="107">
        <v>0</v>
      </c>
      <c r="CC23" s="107">
        <v>0</v>
      </c>
    </row>
    <row r="24" spans="1:81" customFormat="1" x14ac:dyDescent="0.15">
      <c r="A24" s="180" t="s">
        <v>213</v>
      </c>
      <c r="B24" s="107">
        <v>0</v>
      </c>
      <c r="C24" s="107">
        <v>0</v>
      </c>
      <c r="D24" s="107">
        <v>0</v>
      </c>
      <c r="E24" s="107">
        <v>0</v>
      </c>
      <c r="F24" s="107">
        <v>0</v>
      </c>
      <c r="G24" s="107">
        <v>0</v>
      </c>
      <c r="H24" s="107">
        <v>0</v>
      </c>
      <c r="I24" s="107">
        <v>0</v>
      </c>
      <c r="J24" s="107">
        <v>1</v>
      </c>
      <c r="K24" s="107">
        <v>1</v>
      </c>
      <c r="L24" s="107">
        <v>0</v>
      </c>
      <c r="M24" s="107">
        <v>0</v>
      </c>
      <c r="N24" s="107">
        <v>0</v>
      </c>
      <c r="O24" s="107">
        <v>0</v>
      </c>
      <c r="P24" s="107">
        <v>0</v>
      </c>
      <c r="Q24" s="107">
        <v>0</v>
      </c>
      <c r="R24" s="107">
        <v>1</v>
      </c>
      <c r="S24" s="107">
        <v>0</v>
      </c>
      <c r="T24" s="107">
        <v>0</v>
      </c>
      <c r="U24" s="107">
        <v>0</v>
      </c>
      <c r="V24" s="107">
        <v>0</v>
      </c>
      <c r="W24" s="107">
        <v>0</v>
      </c>
      <c r="X24" s="107">
        <v>0</v>
      </c>
      <c r="Y24" s="107">
        <v>0</v>
      </c>
      <c r="Z24" s="107">
        <v>0</v>
      </c>
      <c r="AA24" s="107">
        <v>0</v>
      </c>
      <c r="AB24" s="107">
        <v>0</v>
      </c>
      <c r="AC24" s="107">
        <v>0</v>
      </c>
      <c r="AD24" s="107">
        <v>0</v>
      </c>
      <c r="AE24" s="107">
        <v>0</v>
      </c>
      <c r="AF24" s="107">
        <v>0</v>
      </c>
      <c r="AG24" s="107">
        <v>0</v>
      </c>
      <c r="AH24" s="107">
        <v>0</v>
      </c>
      <c r="AI24" s="107">
        <v>0</v>
      </c>
      <c r="AJ24" s="107">
        <v>0</v>
      </c>
      <c r="AK24" s="107">
        <v>0</v>
      </c>
      <c r="AL24" s="107">
        <v>0</v>
      </c>
      <c r="AM24" s="107">
        <v>0</v>
      </c>
      <c r="AN24" s="107">
        <v>0</v>
      </c>
      <c r="AO24" s="107">
        <v>0</v>
      </c>
      <c r="AP24" s="107">
        <v>0</v>
      </c>
      <c r="AQ24" s="107">
        <v>0</v>
      </c>
      <c r="AR24" s="107">
        <v>0</v>
      </c>
      <c r="AS24" s="107">
        <v>0</v>
      </c>
      <c r="AT24" s="107">
        <v>0</v>
      </c>
      <c r="AU24" s="107">
        <v>0</v>
      </c>
      <c r="AV24" s="107">
        <v>0</v>
      </c>
      <c r="AW24" s="107">
        <v>0</v>
      </c>
      <c r="AX24" s="107">
        <v>0</v>
      </c>
      <c r="AY24" s="107">
        <v>0</v>
      </c>
      <c r="AZ24" s="107">
        <v>0</v>
      </c>
      <c r="BA24" s="107">
        <v>0</v>
      </c>
      <c r="BB24" s="107">
        <v>0</v>
      </c>
      <c r="BC24" s="107">
        <v>0</v>
      </c>
      <c r="BD24" s="107">
        <v>0</v>
      </c>
      <c r="BE24" s="107">
        <v>0</v>
      </c>
      <c r="BF24" s="107">
        <v>0</v>
      </c>
      <c r="BG24" s="107">
        <v>0</v>
      </c>
      <c r="BH24" s="107">
        <v>0</v>
      </c>
      <c r="BI24" s="107">
        <v>0</v>
      </c>
      <c r="BJ24" s="107">
        <v>0</v>
      </c>
      <c r="BK24" s="107">
        <v>0</v>
      </c>
      <c r="BL24" s="107">
        <v>0</v>
      </c>
      <c r="BM24" s="107">
        <v>0</v>
      </c>
      <c r="BN24" s="107">
        <v>0</v>
      </c>
      <c r="BO24" s="107">
        <v>0</v>
      </c>
      <c r="BP24" s="107">
        <v>0</v>
      </c>
      <c r="BQ24" s="107">
        <v>0</v>
      </c>
      <c r="BR24" s="107">
        <v>0</v>
      </c>
      <c r="BS24" s="107">
        <v>0</v>
      </c>
      <c r="BT24" s="107">
        <v>0</v>
      </c>
      <c r="BU24" s="107">
        <v>0</v>
      </c>
      <c r="BV24" s="107">
        <v>0</v>
      </c>
      <c r="BW24" s="107">
        <v>0</v>
      </c>
      <c r="BX24" s="107">
        <v>0</v>
      </c>
      <c r="BY24" s="107">
        <v>0</v>
      </c>
      <c r="BZ24" s="107">
        <v>0</v>
      </c>
      <c r="CA24" s="107">
        <v>0</v>
      </c>
      <c r="CB24" s="107">
        <v>0</v>
      </c>
      <c r="CC24" s="107">
        <v>0</v>
      </c>
    </row>
    <row r="25" spans="1:81" customFormat="1" x14ac:dyDescent="0.15">
      <c r="A25" s="180" t="s">
        <v>214</v>
      </c>
      <c r="B25" s="107">
        <v>1</v>
      </c>
      <c r="C25" s="107">
        <v>1</v>
      </c>
      <c r="D25" s="107">
        <v>0</v>
      </c>
      <c r="E25" s="107">
        <v>0</v>
      </c>
      <c r="F25" s="107">
        <v>1</v>
      </c>
      <c r="G25" s="107">
        <v>0</v>
      </c>
      <c r="H25" s="107">
        <v>0</v>
      </c>
      <c r="I25" s="107">
        <v>0</v>
      </c>
      <c r="J25" s="107">
        <v>1</v>
      </c>
      <c r="K25" s="107">
        <v>1</v>
      </c>
      <c r="L25" s="107">
        <v>1</v>
      </c>
      <c r="M25" s="107">
        <v>1</v>
      </c>
      <c r="N25" s="107">
        <v>1</v>
      </c>
      <c r="O25" s="107">
        <v>0</v>
      </c>
      <c r="P25" s="107">
        <v>0</v>
      </c>
      <c r="Q25" s="107">
        <v>0</v>
      </c>
      <c r="R25" s="107">
        <v>0</v>
      </c>
      <c r="S25" s="107">
        <v>0</v>
      </c>
      <c r="T25" s="107">
        <v>0</v>
      </c>
      <c r="U25" s="107">
        <v>0</v>
      </c>
      <c r="V25" s="107">
        <v>0</v>
      </c>
      <c r="W25" s="107">
        <v>0</v>
      </c>
      <c r="X25" s="107">
        <v>0</v>
      </c>
      <c r="Y25" s="107">
        <v>0</v>
      </c>
      <c r="Z25" s="107">
        <v>0</v>
      </c>
      <c r="AA25" s="107">
        <v>0</v>
      </c>
      <c r="AB25" s="107">
        <v>0</v>
      </c>
      <c r="AC25" s="107">
        <v>0</v>
      </c>
      <c r="AD25" s="107">
        <v>0</v>
      </c>
      <c r="AE25" s="107">
        <v>0</v>
      </c>
      <c r="AF25" s="107">
        <v>0</v>
      </c>
      <c r="AG25" s="107">
        <v>0</v>
      </c>
      <c r="AH25" s="107">
        <v>0</v>
      </c>
      <c r="AI25" s="107">
        <v>0</v>
      </c>
      <c r="AJ25" s="107">
        <v>0</v>
      </c>
      <c r="AK25" s="107">
        <v>0</v>
      </c>
      <c r="AL25" s="107">
        <v>0</v>
      </c>
      <c r="AM25" s="107">
        <v>0</v>
      </c>
      <c r="AN25" s="107">
        <v>0</v>
      </c>
      <c r="AO25" s="107">
        <v>0</v>
      </c>
      <c r="AP25" s="107">
        <v>0</v>
      </c>
      <c r="AQ25" s="107">
        <v>0</v>
      </c>
      <c r="AR25" s="107">
        <v>0</v>
      </c>
      <c r="AS25" s="107">
        <v>0</v>
      </c>
      <c r="AT25" s="107">
        <v>0</v>
      </c>
      <c r="AU25" s="107">
        <v>0</v>
      </c>
      <c r="AV25" s="107">
        <v>0</v>
      </c>
      <c r="AW25" s="107">
        <v>0</v>
      </c>
      <c r="AX25" s="107">
        <v>0</v>
      </c>
      <c r="AY25" s="107">
        <v>0</v>
      </c>
      <c r="AZ25" s="107">
        <v>0</v>
      </c>
      <c r="BA25" s="107">
        <v>0</v>
      </c>
      <c r="BB25" s="107">
        <v>0</v>
      </c>
      <c r="BC25" s="107">
        <v>0</v>
      </c>
      <c r="BD25" s="107">
        <v>0</v>
      </c>
      <c r="BE25" s="107">
        <v>0</v>
      </c>
      <c r="BF25" s="107">
        <v>0</v>
      </c>
      <c r="BG25" s="107">
        <v>0</v>
      </c>
      <c r="BH25" s="107">
        <v>0</v>
      </c>
      <c r="BI25" s="107">
        <v>0</v>
      </c>
      <c r="BJ25" s="107">
        <v>0</v>
      </c>
      <c r="BK25" s="107">
        <v>0</v>
      </c>
      <c r="BL25" s="107">
        <v>0</v>
      </c>
      <c r="BM25" s="107">
        <v>0</v>
      </c>
      <c r="BN25" s="107">
        <v>0</v>
      </c>
      <c r="BO25" s="107">
        <v>0</v>
      </c>
      <c r="BP25" s="107">
        <v>0</v>
      </c>
      <c r="BQ25" s="107">
        <v>0</v>
      </c>
      <c r="BR25" s="107">
        <v>0</v>
      </c>
      <c r="BS25" s="107">
        <v>0</v>
      </c>
      <c r="BT25" s="107">
        <v>0</v>
      </c>
      <c r="BU25" s="107">
        <v>0</v>
      </c>
      <c r="BV25" s="107">
        <v>0</v>
      </c>
      <c r="BW25" s="107">
        <v>0</v>
      </c>
      <c r="BX25" s="107">
        <v>0</v>
      </c>
      <c r="BY25" s="107">
        <v>0</v>
      </c>
      <c r="BZ25" s="107">
        <v>0</v>
      </c>
      <c r="CA25" s="107">
        <v>0</v>
      </c>
      <c r="CB25" s="107">
        <v>0</v>
      </c>
      <c r="CC25" s="107">
        <v>0</v>
      </c>
    </row>
    <row r="26" spans="1:81" customFormat="1" x14ac:dyDescent="0.15">
      <c r="A26" s="180" t="s">
        <v>215</v>
      </c>
      <c r="B26" s="107">
        <v>0</v>
      </c>
      <c r="C26" s="107">
        <v>0</v>
      </c>
      <c r="D26" s="107">
        <v>0</v>
      </c>
      <c r="E26" s="107">
        <v>0</v>
      </c>
      <c r="F26" s="107">
        <v>1</v>
      </c>
      <c r="G26" s="107">
        <v>0</v>
      </c>
      <c r="H26" s="107">
        <v>0</v>
      </c>
      <c r="I26" s="107">
        <v>1</v>
      </c>
      <c r="J26" s="107">
        <v>1</v>
      </c>
      <c r="K26" s="107">
        <v>0</v>
      </c>
      <c r="L26" s="107">
        <v>0</v>
      </c>
      <c r="M26" s="107">
        <v>0</v>
      </c>
      <c r="N26" s="107">
        <v>0</v>
      </c>
      <c r="O26" s="107">
        <v>0</v>
      </c>
      <c r="P26" s="107">
        <v>0</v>
      </c>
      <c r="Q26" s="107">
        <v>0</v>
      </c>
      <c r="R26" s="107">
        <v>0</v>
      </c>
      <c r="S26" s="107">
        <v>0</v>
      </c>
      <c r="T26" s="107">
        <v>0</v>
      </c>
      <c r="U26" s="107">
        <v>0</v>
      </c>
      <c r="V26" s="107">
        <v>0</v>
      </c>
      <c r="W26" s="107">
        <v>0</v>
      </c>
      <c r="X26" s="107">
        <v>0</v>
      </c>
      <c r="Y26" s="107">
        <v>0</v>
      </c>
      <c r="Z26" s="107">
        <v>0</v>
      </c>
      <c r="AA26" s="107">
        <v>0</v>
      </c>
      <c r="AB26" s="107">
        <v>0</v>
      </c>
      <c r="AC26" s="107">
        <v>0</v>
      </c>
      <c r="AD26" s="107">
        <v>0</v>
      </c>
      <c r="AE26" s="107">
        <v>0</v>
      </c>
      <c r="AF26" s="107">
        <v>0</v>
      </c>
      <c r="AG26" s="107">
        <v>0</v>
      </c>
      <c r="AH26" s="107">
        <v>0</v>
      </c>
      <c r="AI26" s="107">
        <v>0</v>
      </c>
      <c r="AJ26" s="107">
        <v>0</v>
      </c>
      <c r="AK26" s="107">
        <v>0</v>
      </c>
      <c r="AL26" s="107">
        <v>0</v>
      </c>
      <c r="AM26" s="107">
        <v>0</v>
      </c>
      <c r="AN26" s="107">
        <v>0</v>
      </c>
      <c r="AO26" s="107">
        <v>0</v>
      </c>
      <c r="AP26" s="107">
        <v>0</v>
      </c>
      <c r="AQ26" s="107">
        <v>0</v>
      </c>
      <c r="AR26" s="107">
        <v>0</v>
      </c>
      <c r="AS26" s="107">
        <v>0</v>
      </c>
      <c r="AT26" s="107">
        <v>0</v>
      </c>
      <c r="AU26" s="107">
        <v>0</v>
      </c>
      <c r="AV26" s="107">
        <v>0</v>
      </c>
      <c r="AW26" s="107">
        <v>0</v>
      </c>
      <c r="AX26" s="107">
        <v>0</v>
      </c>
      <c r="AY26" s="107">
        <v>0</v>
      </c>
      <c r="AZ26" s="107">
        <v>0</v>
      </c>
      <c r="BA26" s="107">
        <v>0</v>
      </c>
      <c r="BB26" s="107">
        <v>0</v>
      </c>
      <c r="BC26" s="107">
        <v>0</v>
      </c>
      <c r="BD26" s="107">
        <v>0</v>
      </c>
      <c r="BE26" s="107">
        <v>0</v>
      </c>
      <c r="BF26" s="107">
        <v>0</v>
      </c>
      <c r="BG26" s="107">
        <v>0</v>
      </c>
      <c r="BH26" s="107">
        <v>0</v>
      </c>
      <c r="BI26" s="107">
        <v>0</v>
      </c>
      <c r="BJ26" s="107">
        <v>0</v>
      </c>
      <c r="BK26" s="107">
        <v>0</v>
      </c>
      <c r="BL26" s="107">
        <v>0</v>
      </c>
      <c r="BM26" s="107">
        <v>0</v>
      </c>
      <c r="BN26" s="107">
        <v>0</v>
      </c>
      <c r="BO26" s="107">
        <v>0</v>
      </c>
      <c r="BP26" s="107">
        <v>0</v>
      </c>
      <c r="BQ26" s="107">
        <v>0</v>
      </c>
      <c r="BR26" s="107">
        <v>0</v>
      </c>
      <c r="BS26" s="107">
        <v>0</v>
      </c>
      <c r="BT26" s="107">
        <v>0</v>
      </c>
      <c r="BU26" s="107">
        <v>0</v>
      </c>
      <c r="BV26" s="107">
        <v>0</v>
      </c>
      <c r="BW26" s="107">
        <v>0</v>
      </c>
      <c r="BX26" s="107">
        <v>0</v>
      </c>
      <c r="BY26" s="107">
        <v>0</v>
      </c>
      <c r="BZ26" s="107">
        <v>0</v>
      </c>
      <c r="CA26" s="107">
        <v>0</v>
      </c>
      <c r="CB26" s="107">
        <v>0</v>
      </c>
      <c r="CC26" s="107">
        <v>0</v>
      </c>
    </row>
    <row r="27" spans="1:81" customFormat="1" x14ac:dyDescent="0.15">
      <c r="A27" s="180" t="s">
        <v>216</v>
      </c>
      <c r="B27" s="107">
        <v>0</v>
      </c>
      <c r="C27" s="107">
        <v>0</v>
      </c>
      <c r="D27" s="107">
        <v>0</v>
      </c>
      <c r="E27" s="107">
        <v>0</v>
      </c>
      <c r="F27" s="107">
        <v>0</v>
      </c>
      <c r="G27" s="107">
        <v>0</v>
      </c>
      <c r="H27" s="107">
        <v>0</v>
      </c>
      <c r="I27" s="107">
        <v>0</v>
      </c>
      <c r="J27" s="107">
        <v>0</v>
      </c>
      <c r="K27" s="107">
        <v>0</v>
      </c>
      <c r="L27" s="107">
        <v>0</v>
      </c>
      <c r="M27" s="107">
        <v>0</v>
      </c>
      <c r="N27" s="107">
        <v>0</v>
      </c>
      <c r="O27" s="107">
        <v>0</v>
      </c>
      <c r="P27" s="107">
        <v>1</v>
      </c>
      <c r="Q27" s="107">
        <v>0</v>
      </c>
      <c r="R27" s="107">
        <v>0</v>
      </c>
      <c r="S27" s="107">
        <v>0</v>
      </c>
      <c r="T27" s="107">
        <v>0</v>
      </c>
      <c r="U27" s="107">
        <v>0</v>
      </c>
      <c r="V27" s="107">
        <v>0</v>
      </c>
      <c r="W27" s="107">
        <v>0</v>
      </c>
      <c r="X27" s="107">
        <v>0</v>
      </c>
      <c r="Y27" s="107">
        <v>0</v>
      </c>
      <c r="Z27" s="107">
        <v>0</v>
      </c>
      <c r="AA27" s="107">
        <v>0</v>
      </c>
      <c r="AB27" s="107">
        <v>0</v>
      </c>
      <c r="AC27" s="107">
        <v>0</v>
      </c>
      <c r="AD27" s="107">
        <v>0</v>
      </c>
      <c r="AE27" s="107">
        <v>0</v>
      </c>
      <c r="AF27" s="107">
        <v>0</v>
      </c>
      <c r="AG27" s="107">
        <v>0</v>
      </c>
      <c r="AH27" s="107">
        <v>0</v>
      </c>
      <c r="AI27" s="107">
        <v>0</v>
      </c>
      <c r="AJ27" s="107">
        <v>0</v>
      </c>
      <c r="AK27" s="107">
        <v>0</v>
      </c>
      <c r="AL27" s="107">
        <v>0</v>
      </c>
      <c r="AM27" s="107">
        <v>0</v>
      </c>
      <c r="AN27" s="107">
        <v>0</v>
      </c>
      <c r="AO27" s="107">
        <v>0</v>
      </c>
      <c r="AP27" s="107">
        <v>0</v>
      </c>
      <c r="AQ27" s="107">
        <v>0</v>
      </c>
      <c r="AR27" s="107">
        <v>0</v>
      </c>
      <c r="AS27" s="107">
        <v>0</v>
      </c>
      <c r="AT27" s="107">
        <v>0</v>
      </c>
      <c r="AU27" s="107">
        <v>1</v>
      </c>
      <c r="AV27" s="107">
        <v>0</v>
      </c>
      <c r="AW27" s="107">
        <v>0</v>
      </c>
      <c r="AX27" s="107">
        <v>0</v>
      </c>
      <c r="AY27" s="107">
        <v>0</v>
      </c>
      <c r="AZ27" s="107">
        <v>0</v>
      </c>
      <c r="BA27" s="107">
        <v>0</v>
      </c>
      <c r="BB27" s="107">
        <v>0</v>
      </c>
      <c r="BC27" s="107">
        <v>0</v>
      </c>
      <c r="BD27" s="107">
        <v>0</v>
      </c>
      <c r="BE27" s="107">
        <v>0</v>
      </c>
      <c r="BF27" s="107">
        <v>0</v>
      </c>
      <c r="BG27" s="107">
        <v>0</v>
      </c>
      <c r="BH27" s="107">
        <v>0</v>
      </c>
      <c r="BI27" s="107">
        <v>0</v>
      </c>
      <c r="BJ27" s="107">
        <v>0</v>
      </c>
      <c r="BK27" s="107">
        <v>0</v>
      </c>
      <c r="BL27" s="107">
        <v>0</v>
      </c>
      <c r="BM27" s="107">
        <v>0</v>
      </c>
      <c r="BN27" s="107">
        <v>0</v>
      </c>
      <c r="BO27" s="107">
        <v>0</v>
      </c>
      <c r="BP27" s="107">
        <v>0</v>
      </c>
      <c r="BQ27" s="107">
        <v>0</v>
      </c>
      <c r="BR27" s="107">
        <v>0</v>
      </c>
      <c r="BS27" s="107">
        <v>0</v>
      </c>
      <c r="BT27" s="107">
        <v>0</v>
      </c>
      <c r="BU27" s="107">
        <v>0</v>
      </c>
      <c r="BV27" s="107">
        <v>0</v>
      </c>
      <c r="BW27" s="107">
        <v>0</v>
      </c>
      <c r="BX27" s="107">
        <v>0</v>
      </c>
      <c r="BY27" s="107">
        <v>0</v>
      </c>
      <c r="BZ27" s="107">
        <v>0</v>
      </c>
      <c r="CA27" s="107">
        <v>0</v>
      </c>
      <c r="CB27" s="107">
        <v>0</v>
      </c>
      <c r="CC27" s="107">
        <v>0</v>
      </c>
    </row>
    <row r="28" spans="1:81" customFormat="1" x14ac:dyDescent="0.15">
      <c r="A28" s="180" t="s">
        <v>217</v>
      </c>
      <c r="B28" s="107">
        <v>1</v>
      </c>
      <c r="C28" s="107">
        <v>0</v>
      </c>
      <c r="D28" s="107">
        <v>0</v>
      </c>
      <c r="E28" s="107">
        <v>0</v>
      </c>
      <c r="F28" s="107">
        <v>0</v>
      </c>
      <c r="G28" s="107">
        <v>0</v>
      </c>
      <c r="H28" s="107">
        <v>0</v>
      </c>
      <c r="I28" s="107">
        <v>1</v>
      </c>
      <c r="J28" s="107">
        <v>0</v>
      </c>
      <c r="K28" s="107">
        <v>0</v>
      </c>
      <c r="L28" s="107">
        <v>0</v>
      </c>
      <c r="M28" s="107">
        <v>0</v>
      </c>
      <c r="N28" s="107">
        <v>0</v>
      </c>
      <c r="O28" s="107">
        <v>0</v>
      </c>
      <c r="P28" s="107">
        <v>0</v>
      </c>
      <c r="Q28" s="107">
        <v>0</v>
      </c>
      <c r="R28" s="107">
        <v>0</v>
      </c>
      <c r="S28" s="107">
        <v>0</v>
      </c>
      <c r="T28" s="107">
        <v>0</v>
      </c>
      <c r="U28" s="107">
        <v>0</v>
      </c>
      <c r="V28" s="107">
        <v>0</v>
      </c>
      <c r="W28" s="107">
        <v>0</v>
      </c>
      <c r="X28" s="107">
        <v>0</v>
      </c>
      <c r="Y28" s="107">
        <v>0</v>
      </c>
      <c r="Z28" s="107">
        <v>1</v>
      </c>
      <c r="AA28" s="107">
        <v>0</v>
      </c>
      <c r="AB28" s="107">
        <v>0</v>
      </c>
      <c r="AC28" s="107">
        <v>0</v>
      </c>
      <c r="AD28" s="107">
        <v>0</v>
      </c>
      <c r="AE28" s="107">
        <v>0</v>
      </c>
      <c r="AF28" s="107">
        <v>0</v>
      </c>
      <c r="AG28" s="107">
        <v>0</v>
      </c>
      <c r="AH28" s="107">
        <v>0</v>
      </c>
      <c r="AI28" s="107">
        <v>0</v>
      </c>
      <c r="AJ28" s="107">
        <v>0</v>
      </c>
      <c r="AK28" s="107">
        <v>0</v>
      </c>
      <c r="AL28" s="107">
        <v>0</v>
      </c>
      <c r="AM28" s="107">
        <v>0</v>
      </c>
      <c r="AN28" s="107">
        <v>0</v>
      </c>
      <c r="AO28" s="107">
        <v>0</v>
      </c>
      <c r="AP28" s="107">
        <v>0</v>
      </c>
      <c r="AQ28" s="107">
        <v>0</v>
      </c>
      <c r="AR28" s="107">
        <v>0</v>
      </c>
      <c r="AS28" s="107">
        <v>0</v>
      </c>
      <c r="AT28" s="107">
        <v>0</v>
      </c>
      <c r="AU28" s="107">
        <v>0</v>
      </c>
      <c r="AV28" s="107">
        <v>0</v>
      </c>
      <c r="AW28" s="107">
        <v>0</v>
      </c>
      <c r="AX28" s="107">
        <v>0</v>
      </c>
      <c r="AY28" s="107">
        <v>0</v>
      </c>
      <c r="AZ28" s="107">
        <v>0</v>
      </c>
      <c r="BA28" s="107">
        <v>0</v>
      </c>
      <c r="BB28" s="107">
        <v>0</v>
      </c>
      <c r="BC28" s="107">
        <v>0</v>
      </c>
      <c r="BD28" s="107">
        <v>0</v>
      </c>
      <c r="BE28" s="107">
        <v>0</v>
      </c>
      <c r="BF28" s="107">
        <v>0</v>
      </c>
      <c r="BG28" s="107">
        <v>0</v>
      </c>
      <c r="BH28" s="107">
        <v>0</v>
      </c>
      <c r="BI28" s="107">
        <v>0</v>
      </c>
      <c r="BJ28" s="107">
        <v>0</v>
      </c>
      <c r="BK28" s="107">
        <v>0</v>
      </c>
      <c r="BL28" s="107">
        <v>0</v>
      </c>
      <c r="BM28" s="107">
        <v>0</v>
      </c>
      <c r="BN28" s="107">
        <v>0</v>
      </c>
      <c r="BO28" s="107">
        <v>0</v>
      </c>
      <c r="BP28" s="107">
        <v>0</v>
      </c>
      <c r="BQ28" s="107">
        <v>0</v>
      </c>
      <c r="BR28" s="107">
        <v>0</v>
      </c>
      <c r="BS28" s="107">
        <v>0</v>
      </c>
      <c r="BT28" s="107">
        <v>0</v>
      </c>
      <c r="BU28" s="107">
        <v>0</v>
      </c>
      <c r="BV28" s="107">
        <v>0</v>
      </c>
      <c r="BW28" s="107">
        <v>0</v>
      </c>
      <c r="BX28" s="107">
        <v>0</v>
      </c>
      <c r="BY28" s="107">
        <v>0</v>
      </c>
      <c r="BZ28" s="107">
        <v>0</v>
      </c>
      <c r="CA28" s="107">
        <v>0</v>
      </c>
      <c r="CB28" s="107">
        <v>0</v>
      </c>
      <c r="CC28" s="107">
        <v>0</v>
      </c>
    </row>
    <row r="29" spans="1:81" customFormat="1" x14ac:dyDescent="0.15">
      <c r="A29" s="180" t="s">
        <v>218</v>
      </c>
      <c r="B29" s="107">
        <v>1</v>
      </c>
      <c r="C29" s="107">
        <v>0</v>
      </c>
      <c r="D29" s="107">
        <v>0</v>
      </c>
      <c r="E29" s="107">
        <v>0</v>
      </c>
      <c r="F29" s="107">
        <v>0</v>
      </c>
      <c r="G29" s="107">
        <v>1</v>
      </c>
      <c r="H29" s="107">
        <v>1</v>
      </c>
      <c r="I29" s="107">
        <v>0</v>
      </c>
      <c r="J29" s="107">
        <v>0</v>
      </c>
      <c r="K29" s="107">
        <v>0</v>
      </c>
      <c r="L29" s="107">
        <v>0</v>
      </c>
      <c r="M29" s="107">
        <v>0</v>
      </c>
      <c r="N29" s="107">
        <v>0</v>
      </c>
      <c r="O29" s="107">
        <v>0</v>
      </c>
      <c r="P29" s="107">
        <v>0</v>
      </c>
      <c r="Q29" s="107">
        <v>0</v>
      </c>
      <c r="R29" s="107">
        <v>1</v>
      </c>
      <c r="S29" s="107">
        <v>0</v>
      </c>
      <c r="T29" s="107">
        <v>0</v>
      </c>
      <c r="U29" s="107">
        <v>0</v>
      </c>
      <c r="V29" s="107">
        <v>0</v>
      </c>
      <c r="W29" s="107">
        <v>0</v>
      </c>
      <c r="X29" s="107">
        <v>0</v>
      </c>
      <c r="Y29" s="107">
        <v>0</v>
      </c>
      <c r="Z29" s="107">
        <v>0</v>
      </c>
      <c r="AA29" s="107">
        <v>0</v>
      </c>
      <c r="AB29" s="107">
        <v>0</v>
      </c>
      <c r="AC29" s="107">
        <v>0</v>
      </c>
      <c r="AD29" s="107">
        <v>1</v>
      </c>
      <c r="AE29" s="107">
        <v>0</v>
      </c>
      <c r="AF29" s="107">
        <v>0</v>
      </c>
      <c r="AG29" s="107">
        <v>0</v>
      </c>
      <c r="AH29" s="107">
        <v>0</v>
      </c>
      <c r="AI29" s="107">
        <v>0</v>
      </c>
      <c r="AJ29" s="107">
        <v>0</v>
      </c>
      <c r="AK29" s="107">
        <v>0</v>
      </c>
      <c r="AL29" s="107">
        <v>0</v>
      </c>
      <c r="AM29" s="107">
        <v>0</v>
      </c>
      <c r="AN29" s="107">
        <v>0</v>
      </c>
      <c r="AO29" s="107">
        <v>0</v>
      </c>
      <c r="AP29" s="107">
        <v>0</v>
      </c>
      <c r="AQ29" s="107">
        <v>0</v>
      </c>
      <c r="AR29" s="107">
        <v>0</v>
      </c>
      <c r="AS29" s="107">
        <v>0</v>
      </c>
      <c r="AT29" s="107">
        <v>0</v>
      </c>
      <c r="AU29" s="107">
        <v>0</v>
      </c>
      <c r="AV29" s="107">
        <v>0</v>
      </c>
      <c r="AW29" s="107">
        <v>0</v>
      </c>
      <c r="AX29" s="107">
        <v>0</v>
      </c>
      <c r="AY29" s="107">
        <v>0</v>
      </c>
      <c r="AZ29" s="107">
        <v>0</v>
      </c>
      <c r="BA29" s="107">
        <v>0</v>
      </c>
      <c r="BB29" s="107">
        <v>0</v>
      </c>
      <c r="BC29" s="107">
        <v>0</v>
      </c>
      <c r="BD29" s="107">
        <v>0</v>
      </c>
      <c r="BE29" s="107">
        <v>0</v>
      </c>
      <c r="BF29" s="107">
        <v>0</v>
      </c>
      <c r="BG29" s="107">
        <v>0</v>
      </c>
      <c r="BH29" s="107">
        <v>0</v>
      </c>
      <c r="BI29" s="107">
        <v>0</v>
      </c>
      <c r="BJ29" s="107">
        <v>0</v>
      </c>
      <c r="BK29" s="107">
        <v>0</v>
      </c>
      <c r="BL29" s="107">
        <v>0</v>
      </c>
      <c r="BM29" s="107">
        <v>0</v>
      </c>
      <c r="BN29" s="107">
        <v>0</v>
      </c>
      <c r="BO29" s="107">
        <v>0</v>
      </c>
      <c r="BP29" s="107">
        <v>0</v>
      </c>
      <c r="BQ29" s="107">
        <v>0</v>
      </c>
      <c r="BR29" s="107">
        <v>0</v>
      </c>
      <c r="BS29" s="107">
        <v>0</v>
      </c>
      <c r="BT29" s="107">
        <v>0</v>
      </c>
      <c r="BU29" s="107">
        <v>0</v>
      </c>
      <c r="BV29" s="107">
        <v>0</v>
      </c>
      <c r="BW29" s="107">
        <v>0</v>
      </c>
      <c r="BX29" s="107">
        <v>0</v>
      </c>
      <c r="BY29" s="107">
        <v>0</v>
      </c>
      <c r="BZ29" s="107">
        <v>0</v>
      </c>
      <c r="CA29" s="107">
        <v>0</v>
      </c>
      <c r="CB29" s="107">
        <v>0</v>
      </c>
      <c r="CC29" s="107">
        <v>0</v>
      </c>
    </row>
    <row r="30" spans="1:81" customFormat="1" x14ac:dyDescent="0.15">
      <c r="A30" s="180" t="s">
        <v>219</v>
      </c>
      <c r="B30" s="107">
        <v>0</v>
      </c>
      <c r="C30" s="107">
        <v>0</v>
      </c>
      <c r="D30" s="107">
        <v>0</v>
      </c>
      <c r="E30" s="107">
        <v>0</v>
      </c>
      <c r="F30" s="107">
        <v>1</v>
      </c>
      <c r="G30" s="107">
        <v>1</v>
      </c>
      <c r="H30" s="107">
        <v>0</v>
      </c>
      <c r="I30" s="107">
        <v>0</v>
      </c>
      <c r="J30" s="107">
        <v>0</v>
      </c>
      <c r="K30" s="107">
        <v>0</v>
      </c>
      <c r="L30" s="107">
        <v>0</v>
      </c>
      <c r="M30" s="107">
        <v>0</v>
      </c>
      <c r="N30" s="107">
        <v>0</v>
      </c>
      <c r="O30" s="107">
        <v>0</v>
      </c>
      <c r="P30" s="107">
        <v>0</v>
      </c>
      <c r="Q30" s="107">
        <v>0</v>
      </c>
      <c r="R30" s="107">
        <v>0</v>
      </c>
      <c r="S30" s="107">
        <v>0</v>
      </c>
      <c r="T30" s="107">
        <v>0</v>
      </c>
      <c r="U30" s="107">
        <v>0</v>
      </c>
      <c r="V30" s="107">
        <v>0</v>
      </c>
      <c r="W30" s="107">
        <v>0</v>
      </c>
      <c r="X30" s="107">
        <v>0</v>
      </c>
      <c r="Y30" s="107">
        <v>0</v>
      </c>
      <c r="Z30" s="107">
        <v>0</v>
      </c>
      <c r="AA30" s="107">
        <v>0</v>
      </c>
      <c r="AB30" s="107">
        <v>0</v>
      </c>
      <c r="AC30" s="107">
        <v>0</v>
      </c>
      <c r="AD30" s="107">
        <v>0</v>
      </c>
      <c r="AE30" s="107">
        <v>0</v>
      </c>
      <c r="AF30" s="107">
        <v>0</v>
      </c>
      <c r="AG30" s="107">
        <v>0</v>
      </c>
      <c r="AH30" s="107">
        <v>0</v>
      </c>
      <c r="AI30" s="107">
        <v>0</v>
      </c>
      <c r="AJ30" s="107">
        <v>0</v>
      </c>
      <c r="AK30" s="107">
        <v>0</v>
      </c>
      <c r="AL30" s="107">
        <v>0</v>
      </c>
      <c r="AM30" s="107">
        <v>0</v>
      </c>
      <c r="AN30" s="107">
        <v>0</v>
      </c>
      <c r="AO30" s="107">
        <v>0</v>
      </c>
      <c r="AP30" s="107">
        <v>0</v>
      </c>
      <c r="AQ30" s="107">
        <v>0</v>
      </c>
      <c r="AR30" s="107">
        <v>0</v>
      </c>
      <c r="AS30" s="107">
        <v>0</v>
      </c>
      <c r="AT30" s="107">
        <v>0</v>
      </c>
      <c r="AU30" s="107">
        <v>0</v>
      </c>
      <c r="AV30" s="107">
        <v>0</v>
      </c>
      <c r="AW30" s="107">
        <v>0</v>
      </c>
      <c r="AX30" s="107">
        <v>0</v>
      </c>
      <c r="AY30" s="107">
        <v>0</v>
      </c>
      <c r="AZ30" s="107">
        <v>0</v>
      </c>
      <c r="BA30" s="107">
        <v>0</v>
      </c>
      <c r="BB30" s="107">
        <v>0</v>
      </c>
      <c r="BC30" s="107">
        <v>0</v>
      </c>
      <c r="BD30" s="107">
        <v>0</v>
      </c>
      <c r="BE30" s="107">
        <v>0</v>
      </c>
      <c r="BF30" s="107">
        <v>0</v>
      </c>
      <c r="BG30" s="107">
        <v>0</v>
      </c>
      <c r="BH30" s="107">
        <v>0</v>
      </c>
      <c r="BI30" s="107">
        <v>0</v>
      </c>
      <c r="BJ30" s="107">
        <v>0</v>
      </c>
      <c r="BK30" s="107">
        <v>0</v>
      </c>
      <c r="BL30" s="107">
        <v>0</v>
      </c>
      <c r="BM30" s="107">
        <v>0</v>
      </c>
      <c r="BN30" s="107">
        <v>0</v>
      </c>
      <c r="BO30" s="107">
        <v>0</v>
      </c>
      <c r="BP30" s="107">
        <v>0</v>
      </c>
      <c r="BQ30" s="107">
        <v>0</v>
      </c>
      <c r="BR30" s="107">
        <v>0</v>
      </c>
      <c r="BS30" s="107">
        <v>0</v>
      </c>
      <c r="BT30" s="107">
        <v>0</v>
      </c>
      <c r="BU30" s="107">
        <v>0</v>
      </c>
      <c r="BV30" s="107">
        <v>0</v>
      </c>
      <c r="BW30" s="107">
        <v>0</v>
      </c>
      <c r="BX30" s="107">
        <v>0</v>
      </c>
      <c r="BY30" s="107">
        <v>0</v>
      </c>
      <c r="BZ30" s="107">
        <v>0</v>
      </c>
      <c r="CA30" s="107">
        <v>0</v>
      </c>
      <c r="CB30" s="107">
        <v>0</v>
      </c>
      <c r="CC30" s="107">
        <v>0</v>
      </c>
    </row>
    <row r="31" spans="1:81" customFormat="1" x14ac:dyDescent="0.15">
      <c r="A31" s="180" t="s">
        <v>220</v>
      </c>
      <c r="B31" s="107">
        <v>0</v>
      </c>
      <c r="C31" s="107">
        <v>0</v>
      </c>
      <c r="D31" s="107">
        <v>0</v>
      </c>
      <c r="E31" s="107">
        <v>0</v>
      </c>
      <c r="F31" s="107">
        <v>0</v>
      </c>
      <c r="G31" s="107">
        <v>0</v>
      </c>
      <c r="H31" s="107">
        <v>0</v>
      </c>
      <c r="I31" s="107">
        <v>1</v>
      </c>
      <c r="J31" s="107">
        <v>0</v>
      </c>
      <c r="K31" s="107">
        <v>0</v>
      </c>
      <c r="L31" s="107">
        <v>0</v>
      </c>
      <c r="M31" s="107">
        <v>0</v>
      </c>
      <c r="N31" s="107">
        <v>0</v>
      </c>
      <c r="O31" s="107">
        <v>0</v>
      </c>
      <c r="P31" s="107">
        <v>0</v>
      </c>
      <c r="Q31" s="107">
        <v>0</v>
      </c>
      <c r="R31" s="107">
        <v>0</v>
      </c>
      <c r="S31" s="107">
        <v>0</v>
      </c>
      <c r="T31" s="107">
        <v>0</v>
      </c>
      <c r="U31" s="107">
        <v>0</v>
      </c>
      <c r="V31" s="107">
        <v>0</v>
      </c>
      <c r="W31" s="107">
        <v>0</v>
      </c>
      <c r="X31" s="107">
        <v>0</v>
      </c>
      <c r="Y31" s="107">
        <v>0</v>
      </c>
      <c r="Z31" s="107">
        <v>0</v>
      </c>
      <c r="AA31" s="107">
        <v>0</v>
      </c>
      <c r="AB31" s="107">
        <v>0</v>
      </c>
      <c r="AC31" s="107">
        <v>0</v>
      </c>
      <c r="AD31" s="107">
        <v>1</v>
      </c>
      <c r="AE31" s="107">
        <v>0</v>
      </c>
      <c r="AF31" s="107">
        <v>0</v>
      </c>
      <c r="AG31" s="107">
        <v>0</v>
      </c>
      <c r="AH31" s="107">
        <v>0</v>
      </c>
      <c r="AI31" s="107">
        <v>0</v>
      </c>
      <c r="AJ31" s="107">
        <v>0</v>
      </c>
      <c r="AK31" s="107">
        <v>0</v>
      </c>
      <c r="AL31" s="107">
        <v>0</v>
      </c>
      <c r="AM31" s="107">
        <v>0</v>
      </c>
      <c r="AN31" s="107">
        <v>0</v>
      </c>
      <c r="AO31" s="107">
        <v>0</v>
      </c>
      <c r="AP31" s="107">
        <v>0</v>
      </c>
      <c r="AQ31" s="107">
        <v>0</v>
      </c>
      <c r="AR31" s="107">
        <v>0</v>
      </c>
      <c r="AS31" s="107">
        <v>0</v>
      </c>
      <c r="AT31" s="107">
        <v>0</v>
      </c>
      <c r="AU31" s="107">
        <v>0</v>
      </c>
      <c r="AV31" s="107">
        <v>0</v>
      </c>
      <c r="AW31" s="107">
        <v>0</v>
      </c>
      <c r="AX31" s="107">
        <v>0</v>
      </c>
      <c r="AY31" s="107">
        <v>0</v>
      </c>
      <c r="AZ31" s="107">
        <v>0</v>
      </c>
      <c r="BA31" s="107">
        <v>0</v>
      </c>
      <c r="BB31" s="107">
        <v>0</v>
      </c>
      <c r="BC31" s="107">
        <v>0</v>
      </c>
      <c r="BD31" s="107">
        <v>0</v>
      </c>
      <c r="BE31" s="107">
        <v>0</v>
      </c>
      <c r="BF31" s="107">
        <v>0</v>
      </c>
      <c r="BG31" s="107">
        <v>0</v>
      </c>
      <c r="BH31" s="107">
        <v>0</v>
      </c>
      <c r="BI31" s="107">
        <v>0</v>
      </c>
      <c r="BJ31" s="107">
        <v>0</v>
      </c>
      <c r="BK31" s="107">
        <v>0</v>
      </c>
      <c r="BL31" s="107">
        <v>0</v>
      </c>
      <c r="BM31" s="107">
        <v>0</v>
      </c>
      <c r="BN31" s="107">
        <v>0</v>
      </c>
      <c r="BO31" s="107">
        <v>0</v>
      </c>
      <c r="BP31" s="107">
        <v>0</v>
      </c>
      <c r="BQ31" s="107">
        <v>0</v>
      </c>
      <c r="BR31" s="107">
        <v>0</v>
      </c>
      <c r="BS31" s="107">
        <v>0</v>
      </c>
      <c r="BT31" s="107">
        <v>0</v>
      </c>
      <c r="BU31" s="107">
        <v>0</v>
      </c>
      <c r="BV31" s="107">
        <v>0</v>
      </c>
      <c r="BW31" s="107">
        <v>0</v>
      </c>
      <c r="BX31" s="107">
        <v>0</v>
      </c>
      <c r="BY31" s="107">
        <v>0</v>
      </c>
      <c r="BZ31" s="107">
        <v>0</v>
      </c>
      <c r="CA31" s="107">
        <v>0</v>
      </c>
      <c r="CB31" s="107">
        <v>0</v>
      </c>
      <c r="CC31" s="107">
        <v>0</v>
      </c>
    </row>
    <row r="32" spans="1:81" x14ac:dyDescent="0.15">
      <c r="A32" s="180" t="s">
        <v>221</v>
      </c>
      <c r="B32" s="107">
        <v>0</v>
      </c>
      <c r="C32" s="107">
        <v>0</v>
      </c>
      <c r="D32" s="107">
        <v>0</v>
      </c>
      <c r="E32" s="107">
        <v>0</v>
      </c>
      <c r="F32" s="107">
        <v>0</v>
      </c>
      <c r="G32" s="107">
        <v>0</v>
      </c>
      <c r="H32" s="107">
        <v>0</v>
      </c>
      <c r="I32" s="107">
        <v>1</v>
      </c>
      <c r="J32" s="107">
        <v>0</v>
      </c>
      <c r="K32" s="107">
        <v>0</v>
      </c>
      <c r="L32" s="107">
        <v>0</v>
      </c>
      <c r="M32" s="107">
        <v>0</v>
      </c>
      <c r="N32" s="107">
        <v>0</v>
      </c>
      <c r="O32" s="107">
        <v>0</v>
      </c>
      <c r="P32" s="107">
        <v>0</v>
      </c>
      <c r="Q32" s="107">
        <v>0</v>
      </c>
      <c r="R32" s="107">
        <v>0</v>
      </c>
      <c r="S32" s="107">
        <v>0</v>
      </c>
      <c r="T32" s="107">
        <v>1</v>
      </c>
      <c r="U32" s="107">
        <v>0</v>
      </c>
      <c r="V32" s="107">
        <v>0</v>
      </c>
      <c r="W32" s="107">
        <v>0</v>
      </c>
      <c r="X32" s="107">
        <v>0</v>
      </c>
      <c r="Y32" s="107">
        <v>0</v>
      </c>
      <c r="Z32" s="107">
        <v>0</v>
      </c>
      <c r="AA32" s="107">
        <v>0</v>
      </c>
      <c r="AB32" s="107">
        <v>0</v>
      </c>
      <c r="AC32" s="107">
        <v>0</v>
      </c>
      <c r="AD32" s="107">
        <v>0</v>
      </c>
      <c r="AE32" s="107">
        <v>0</v>
      </c>
      <c r="AF32" s="107">
        <v>0</v>
      </c>
      <c r="AG32" s="107">
        <v>0</v>
      </c>
      <c r="AH32" s="107">
        <v>0</v>
      </c>
      <c r="AI32" s="107">
        <v>0</v>
      </c>
      <c r="AJ32" s="107">
        <v>0</v>
      </c>
      <c r="AK32" s="107">
        <v>0</v>
      </c>
      <c r="AL32" s="107">
        <v>0</v>
      </c>
      <c r="AM32" s="107">
        <v>0</v>
      </c>
      <c r="AN32" s="107">
        <v>0</v>
      </c>
      <c r="AO32" s="107">
        <v>0</v>
      </c>
      <c r="AP32" s="107">
        <v>0</v>
      </c>
      <c r="AQ32" s="107">
        <v>0</v>
      </c>
      <c r="AR32" s="107">
        <v>0</v>
      </c>
      <c r="AS32" s="107">
        <v>0</v>
      </c>
      <c r="AT32" s="107">
        <v>0</v>
      </c>
      <c r="AU32" s="107">
        <v>0</v>
      </c>
      <c r="AV32" s="107">
        <v>0</v>
      </c>
      <c r="AW32" s="107">
        <v>0</v>
      </c>
      <c r="AX32" s="107">
        <v>0</v>
      </c>
      <c r="AY32" s="107">
        <v>0</v>
      </c>
      <c r="AZ32" s="107">
        <v>0</v>
      </c>
      <c r="BA32" s="107">
        <v>0</v>
      </c>
      <c r="BB32" s="107">
        <v>0</v>
      </c>
      <c r="BC32" s="107">
        <v>0</v>
      </c>
      <c r="BD32" s="107">
        <v>0</v>
      </c>
      <c r="BE32" s="107">
        <v>0</v>
      </c>
      <c r="BF32" s="107">
        <v>0</v>
      </c>
      <c r="BG32" s="107">
        <v>0</v>
      </c>
      <c r="BH32" s="107">
        <v>0</v>
      </c>
      <c r="BI32" s="107">
        <v>0</v>
      </c>
      <c r="BJ32" s="107">
        <v>0</v>
      </c>
      <c r="BK32" s="107">
        <v>0</v>
      </c>
      <c r="BL32" s="107">
        <v>0</v>
      </c>
      <c r="BM32" s="107">
        <v>0</v>
      </c>
      <c r="BN32" s="107">
        <v>0</v>
      </c>
      <c r="BO32" s="107">
        <v>0</v>
      </c>
      <c r="BP32" s="107">
        <v>0</v>
      </c>
      <c r="BQ32" s="107">
        <v>0</v>
      </c>
      <c r="BR32" s="107">
        <v>0</v>
      </c>
      <c r="BS32" s="107">
        <v>0</v>
      </c>
      <c r="BT32" s="107">
        <v>0</v>
      </c>
      <c r="BU32" s="107">
        <v>0</v>
      </c>
      <c r="BV32" s="107">
        <v>0</v>
      </c>
      <c r="BW32" s="107">
        <v>0</v>
      </c>
      <c r="BX32" s="107">
        <v>0</v>
      </c>
      <c r="BY32" s="107">
        <v>0</v>
      </c>
      <c r="BZ32" s="107">
        <v>0</v>
      </c>
      <c r="CA32" s="107">
        <v>0</v>
      </c>
      <c r="CB32" s="107">
        <v>0</v>
      </c>
      <c r="CC32" s="107">
        <v>0</v>
      </c>
    </row>
    <row r="33" spans="1:81" x14ac:dyDescent="0.15">
      <c r="A33" s="180" t="s">
        <v>222</v>
      </c>
      <c r="B33" s="107">
        <v>0</v>
      </c>
      <c r="C33" s="107">
        <v>0</v>
      </c>
      <c r="D33" s="107">
        <v>0</v>
      </c>
      <c r="E33" s="107">
        <v>0</v>
      </c>
      <c r="F33" s="107">
        <v>0</v>
      </c>
      <c r="G33" s="107">
        <v>0</v>
      </c>
      <c r="H33" s="107">
        <v>0</v>
      </c>
      <c r="I33" s="107">
        <v>1</v>
      </c>
      <c r="J33" s="107">
        <v>0</v>
      </c>
      <c r="K33" s="107">
        <v>0</v>
      </c>
      <c r="L33" s="107">
        <v>0</v>
      </c>
      <c r="M33" s="107">
        <v>0</v>
      </c>
      <c r="N33" s="107">
        <v>0</v>
      </c>
      <c r="O33" s="107">
        <v>0</v>
      </c>
      <c r="P33" s="107">
        <v>0</v>
      </c>
      <c r="Q33" s="107">
        <v>0</v>
      </c>
      <c r="R33" s="107">
        <v>0</v>
      </c>
      <c r="S33" s="107">
        <v>0</v>
      </c>
      <c r="T33" s="107">
        <v>0</v>
      </c>
      <c r="U33" s="107">
        <v>0</v>
      </c>
      <c r="V33" s="107">
        <v>0</v>
      </c>
      <c r="W33" s="107">
        <v>0</v>
      </c>
      <c r="X33" s="107">
        <v>0</v>
      </c>
      <c r="Y33" s="107">
        <v>0</v>
      </c>
      <c r="Z33" s="107">
        <v>0</v>
      </c>
      <c r="AA33" s="107">
        <v>0</v>
      </c>
      <c r="AB33" s="107">
        <v>0</v>
      </c>
      <c r="AC33" s="107">
        <v>0</v>
      </c>
      <c r="AD33" s="107">
        <v>0</v>
      </c>
      <c r="AE33" s="107">
        <v>0</v>
      </c>
      <c r="AF33" s="107">
        <v>0</v>
      </c>
      <c r="AG33" s="107">
        <v>0</v>
      </c>
      <c r="AH33" s="107">
        <v>0</v>
      </c>
      <c r="AI33" s="107">
        <v>0</v>
      </c>
      <c r="AJ33" s="107">
        <v>0</v>
      </c>
      <c r="AK33" s="107">
        <v>0</v>
      </c>
      <c r="AL33" s="107">
        <v>0</v>
      </c>
      <c r="AM33" s="107">
        <v>0</v>
      </c>
      <c r="AN33" s="107">
        <v>0</v>
      </c>
      <c r="AO33" s="107">
        <v>0</v>
      </c>
      <c r="AP33" s="107">
        <v>0</v>
      </c>
      <c r="AQ33" s="107">
        <v>0</v>
      </c>
      <c r="AR33" s="107">
        <v>0</v>
      </c>
      <c r="AS33" s="107">
        <v>0</v>
      </c>
      <c r="AT33" s="107">
        <v>0</v>
      </c>
      <c r="AU33" s="107">
        <v>0</v>
      </c>
      <c r="AV33" s="107">
        <v>0</v>
      </c>
      <c r="AW33" s="107">
        <v>0</v>
      </c>
      <c r="AX33" s="107">
        <v>0</v>
      </c>
      <c r="AY33" s="107">
        <v>0</v>
      </c>
      <c r="AZ33" s="107">
        <v>0</v>
      </c>
      <c r="BA33" s="107">
        <v>0</v>
      </c>
      <c r="BB33" s="107">
        <v>0</v>
      </c>
      <c r="BC33" s="107">
        <v>0</v>
      </c>
      <c r="BD33" s="107">
        <v>0</v>
      </c>
      <c r="BE33" s="107">
        <v>0</v>
      </c>
      <c r="BF33" s="107">
        <v>0</v>
      </c>
      <c r="BG33" s="107">
        <v>0</v>
      </c>
      <c r="BH33" s="107">
        <v>0</v>
      </c>
      <c r="BI33" s="107">
        <v>0</v>
      </c>
      <c r="BJ33" s="107">
        <v>0</v>
      </c>
      <c r="BK33" s="107">
        <v>0</v>
      </c>
      <c r="BL33" s="107">
        <v>0</v>
      </c>
      <c r="BM33" s="107">
        <v>0</v>
      </c>
      <c r="BN33" s="107">
        <v>0</v>
      </c>
      <c r="BO33" s="107">
        <v>0</v>
      </c>
      <c r="BP33" s="107">
        <v>0</v>
      </c>
      <c r="BQ33" s="107">
        <v>0</v>
      </c>
      <c r="BR33" s="107">
        <v>0</v>
      </c>
      <c r="BS33" s="107">
        <v>0</v>
      </c>
      <c r="BT33" s="107">
        <v>0</v>
      </c>
      <c r="BU33" s="107">
        <v>0</v>
      </c>
      <c r="BV33" s="107">
        <v>0</v>
      </c>
      <c r="BW33" s="107">
        <v>0</v>
      </c>
      <c r="BX33" s="107">
        <v>0</v>
      </c>
      <c r="BY33" s="107">
        <v>0</v>
      </c>
      <c r="BZ33" s="107">
        <v>0</v>
      </c>
      <c r="CA33" s="107">
        <v>0</v>
      </c>
      <c r="CB33" s="107">
        <v>0</v>
      </c>
      <c r="CC33" s="107">
        <v>0</v>
      </c>
    </row>
    <row r="34" spans="1:81" x14ac:dyDescent="0.15">
      <c r="A34" s="180" t="s">
        <v>223</v>
      </c>
      <c r="B34" s="107">
        <v>0</v>
      </c>
      <c r="C34" s="107">
        <v>0</v>
      </c>
      <c r="D34" s="107">
        <v>0</v>
      </c>
      <c r="E34" s="107">
        <v>0</v>
      </c>
      <c r="F34" s="107">
        <v>0</v>
      </c>
      <c r="G34" s="107">
        <v>1</v>
      </c>
      <c r="H34" s="107">
        <v>0</v>
      </c>
      <c r="I34" s="107">
        <v>0</v>
      </c>
      <c r="J34" s="107">
        <v>0</v>
      </c>
      <c r="K34" s="107">
        <v>0</v>
      </c>
      <c r="L34" s="107">
        <v>0</v>
      </c>
      <c r="M34" s="107">
        <v>0</v>
      </c>
      <c r="N34" s="107">
        <v>0</v>
      </c>
      <c r="O34" s="107">
        <v>0</v>
      </c>
      <c r="P34" s="107">
        <v>0</v>
      </c>
      <c r="Q34" s="107">
        <v>0</v>
      </c>
      <c r="R34" s="107">
        <v>0</v>
      </c>
      <c r="S34" s="107">
        <v>0</v>
      </c>
      <c r="T34" s="107">
        <v>0</v>
      </c>
      <c r="U34" s="107">
        <v>0</v>
      </c>
      <c r="V34" s="107">
        <v>0</v>
      </c>
      <c r="W34" s="107">
        <v>0</v>
      </c>
      <c r="X34" s="107">
        <v>0</v>
      </c>
      <c r="Y34" s="107">
        <v>0</v>
      </c>
      <c r="Z34" s="107">
        <v>0</v>
      </c>
      <c r="AA34" s="107">
        <v>0</v>
      </c>
      <c r="AB34" s="107">
        <v>0</v>
      </c>
      <c r="AC34" s="107">
        <v>0</v>
      </c>
      <c r="AD34" s="107">
        <v>0</v>
      </c>
      <c r="AE34" s="107">
        <v>0</v>
      </c>
      <c r="AF34" s="107">
        <v>0</v>
      </c>
      <c r="AG34" s="107">
        <v>0</v>
      </c>
      <c r="AH34" s="107">
        <v>0</v>
      </c>
      <c r="AI34" s="107">
        <v>0</v>
      </c>
      <c r="AJ34" s="107">
        <v>0</v>
      </c>
      <c r="AK34" s="107">
        <v>0</v>
      </c>
      <c r="AL34" s="107">
        <v>0</v>
      </c>
      <c r="AM34" s="107">
        <v>0</v>
      </c>
      <c r="AN34" s="107">
        <v>0</v>
      </c>
      <c r="AO34" s="107">
        <v>0</v>
      </c>
      <c r="AP34" s="107">
        <v>0</v>
      </c>
      <c r="AQ34" s="107">
        <v>0</v>
      </c>
      <c r="AR34" s="107">
        <v>0</v>
      </c>
      <c r="AS34" s="107">
        <v>0</v>
      </c>
      <c r="AT34" s="107">
        <v>0</v>
      </c>
      <c r="AU34" s="107">
        <v>0</v>
      </c>
      <c r="AV34" s="107">
        <v>0</v>
      </c>
      <c r="AW34" s="107">
        <v>0</v>
      </c>
      <c r="AX34" s="107">
        <v>0</v>
      </c>
      <c r="AY34" s="107">
        <v>0</v>
      </c>
      <c r="AZ34" s="107">
        <v>0</v>
      </c>
      <c r="BA34" s="107">
        <v>0</v>
      </c>
      <c r="BB34" s="107">
        <v>0</v>
      </c>
      <c r="BC34" s="107">
        <v>0</v>
      </c>
      <c r="BD34" s="107">
        <v>0</v>
      </c>
      <c r="BE34" s="107">
        <v>0</v>
      </c>
      <c r="BF34" s="107">
        <v>0</v>
      </c>
      <c r="BG34" s="107">
        <v>0</v>
      </c>
      <c r="BH34" s="107">
        <v>0</v>
      </c>
      <c r="BI34" s="107">
        <v>0</v>
      </c>
      <c r="BJ34" s="107">
        <v>0</v>
      </c>
      <c r="BK34" s="107">
        <v>0</v>
      </c>
      <c r="BL34" s="107">
        <v>0</v>
      </c>
      <c r="BM34" s="107">
        <v>0</v>
      </c>
      <c r="BN34" s="107">
        <v>0</v>
      </c>
      <c r="BO34" s="107">
        <v>0</v>
      </c>
      <c r="BP34" s="107">
        <v>0</v>
      </c>
      <c r="BQ34" s="107">
        <v>0</v>
      </c>
      <c r="BR34" s="107">
        <v>0</v>
      </c>
      <c r="BS34" s="107">
        <v>0</v>
      </c>
      <c r="BT34" s="107">
        <v>0</v>
      </c>
      <c r="BU34" s="107">
        <v>0</v>
      </c>
      <c r="BV34" s="107">
        <v>0</v>
      </c>
      <c r="BW34" s="107">
        <v>0</v>
      </c>
      <c r="BX34" s="107">
        <v>0</v>
      </c>
      <c r="BY34" s="107">
        <v>0</v>
      </c>
      <c r="BZ34" s="107">
        <v>0</v>
      </c>
      <c r="CA34" s="107">
        <v>0</v>
      </c>
      <c r="CB34" s="107">
        <v>0</v>
      </c>
      <c r="CC34" s="107">
        <v>0</v>
      </c>
    </row>
    <row r="35" spans="1:81" x14ac:dyDescent="0.15">
      <c r="A35" s="180" t="s">
        <v>224</v>
      </c>
      <c r="B35" s="107">
        <v>1</v>
      </c>
      <c r="C35" s="107">
        <v>0</v>
      </c>
      <c r="D35" s="107">
        <v>0</v>
      </c>
      <c r="E35" s="107">
        <v>0</v>
      </c>
      <c r="F35" s="107">
        <v>0</v>
      </c>
      <c r="G35" s="107">
        <v>0</v>
      </c>
      <c r="H35" s="107">
        <v>0</v>
      </c>
      <c r="I35" s="107">
        <v>0</v>
      </c>
      <c r="J35" s="107">
        <v>0</v>
      </c>
      <c r="K35" s="107">
        <v>0</v>
      </c>
      <c r="L35" s="107">
        <v>0</v>
      </c>
      <c r="M35" s="107">
        <v>0</v>
      </c>
      <c r="N35" s="107">
        <v>0</v>
      </c>
      <c r="O35" s="107">
        <v>0</v>
      </c>
      <c r="P35" s="107">
        <v>0</v>
      </c>
      <c r="Q35" s="107">
        <v>0</v>
      </c>
      <c r="R35" s="107">
        <v>0</v>
      </c>
      <c r="S35" s="107">
        <v>0</v>
      </c>
      <c r="T35" s="107">
        <v>0</v>
      </c>
      <c r="U35" s="107">
        <v>0</v>
      </c>
      <c r="V35" s="107">
        <v>0</v>
      </c>
      <c r="W35" s="107">
        <v>0</v>
      </c>
      <c r="X35" s="107">
        <v>0</v>
      </c>
      <c r="Y35" s="107">
        <v>0</v>
      </c>
      <c r="Z35" s="107">
        <v>0</v>
      </c>
      <c r="AA35" s="107">
        <v>0</v>
      </c>
      <c r="AB35" s="107">
        <v>0</v>
      </c>
      <c r="AC35" s="107">
        <v>0</v>
      </c>
      <c r="AD35" s="107">
        <v>0</v>
      </c>
      <c r="AE35" s="107">
        <v>0</v>
      </c>
      <c r="AF35" s="107">
        <v>0</v>
      </c>
      <c r="AG35" s="107">
        <v>0</v>
      </c>
      <c r="AH35" s="107">
        <v>0</v>
      </c>
      <c r="AI35" s="107">
        <v>0</v>
      </c>
      <c r="AJ35" s="107">
        <v>0</v>
      </c>
      <c r="AK35" s="107">
        <v>0</v>
      </c>
      <c r="AL35" s="107">
        <v>0</v>
      </c>
      <c r="AM35" s="107">
        <v>0</v>
      </c>
      <c r="AN35" s="107">
        <v>0</v>
      </c>
      <c r="AO35" s="107">
        <v>0</v>
      </c>
      <c r="AP35" s="107">
        <v>0</v>
      </c>
      <c r="AQ35" s="107">
        <v>0</v>
      </c>
      <c r="AR35" s="107">
        <v>0</v>
      </c>
      <c r="AS35" s="107">
        <v>0</v>
      </c>
      <c r="AT35" s="107">
        <v>0</v>
      </c>
      <c r="AU35" s="107">
        <v>0</v>
      </c>
      <c r="AV35" s="107">
        <v>1</v>
      </c>
      <c r="AW35" s="107">
        <v>0</v>
      </c>
      <c r="AX35" s="107">
        <v>0</v>
      </c>
      <c r="AY35" s="107">
        <v>0</v>
      </c>
      <c r="AZ35" s="107">
        <v>0</v>
      </c>
      <c r="BA35" s="107">
        <v>0</v>
      </c>
      <c r="BB35" s="107">
        <v>0</v>
      </c>
      <c r="BC35" s="107">
        <v>0</v>
      </c>
      <c r="BD35" s="107">
        <v>0</v>
      </c>
      <c r="BE35" s="107">
        <v>0</v>
      </c>
      <c r="BF35" s="107">
        <v>0</v>
      </c>
      <c r="BG35" s="107">
        <v>0</v>
      </c>
      <c r="BH35" s="107">
        <v>0</v>
      </c>
      <c r="BI35" s="107">
        <v>0</v>
      </c>
      <c r="BJ35" s="107">
        <v>0</v>
      </c>
      <c r="BK35" s="107">
        <v>0</v>
      </c>
      <c r="BL35" s="107">
        <v>0</v>
      </c>
      <c r="BM35" s="107">
        <v>0</v>
      </c>
      <c r="BN35" s="107">
        <v>0</v>
      </c>
      <c r="BO35" s="107">
        <v>0</v>
      </c>
      <c r="BP35" s="107">
        <v>0</v>
      </c>
      <c r="BQ35" s="107">
        <v>0</v>
      </c>
      <c r="BR35" s="107">
        <v>0</v>
      </c>
      <c r="BS35" s="107">
        <v>0</v>
      </c>
      <c r="BT35" s="107">
        <v>0</v>
      </c>
      <c r="BU35" s="107">
        <v>0</v>
      </c>
      <c r="BV35" s="107">
        <v>0</v>
      </c>
      <c r="BW35" s="107">
        <v>0</v>
      </c>
      <c r="BX35" s="107">
        <v>0</v>
      </c>
      <c r="BY35" s="107">
        <v>0</v>
      </c>
      <c r="BZ35" s="107">
        <v>0</v>
      </c>
      <c r="CA35" s="107">
        <v>0</v>
      </c>
      <c r="CB35" s="107">
        <v>0</v>
      </c>
      <c r="CC35" s="107">
        <v>0</v>
      </c>
    </row>
    <row r="36" spans="1:81" x14ac:dyDescent="0.15">
      <c r="A36" s="180" t="s">
        <v>225</v>
      </c>
      <c r="B36" s="107">
        <v>0</v>
      </c>
      <c r="C36" s="107">
        <v>0</v>
      </c>
      <c r="D36" s="107">
        <v>0</v>
      </c>
      <c r="E36" s="107">
        <v>0</v>
      </c>
      <c r="F36" s="107">
        <v>0</v>
      </c>
      <c r="G36" s="107">
        <v>0</v>
      </c>
      <c r="H36" s="107">
        <v>1</v>
      </c>
      <c r="I36" s="107">
        <v>0</v>
      </c>
      <c r="J36" s="107">
        <v>0</v>
      </c>
      <c r="K36" s="107">
        <v>0</v>
      </c>
      <c r="L36" s="107">
        <v>1</v>
      </c>
      <c r="M36" s="107">
        <v>1</v>
      </c>
      <c r="N36" s="107">
        <v>1</v>
      </c>
      <c r="O36" s="107">
        <v>0</v>
      </c>
      <c r="P36" s="107">
        <v>1</v>
      </c>
      <c r="Q36" s="107">
        <v>0</v>
      </c>
      <c r="R36" s="107">
        <v>0</v>
      </c>
      <c r="S36" s="107">
        <v>0</v>
      </c>
      <c r="T36" s="107">
        <v>1</v>
      </c>
      <c r="U36" s="107">
        <v>0</v>
      </c>
      <c r="V36" s="107">
        <v>0</v>
      </c>
      <c r="W36" s="107">
        <v>0</v>
      </c>
      <c r="X36" s="107">
        <v>0</v>
      </c>
      <c r="Y36" s="107">
        <v>1</v>
      </c>
      <c r="Z36" s="107">
        <v>0</v>
      </c>
      <c r="AA36" s="107">
        <v>0</v>
      </c>
      <c r="AB36" s="107">
        <v>0</v>
      </c>
      <c r="AC36" s="107">
        <v>0</v>
      </c>
      <c r="AD36" s="107">
        <v>0</v>
      </c>
      <c r="AE36" s="107">
        <v>1</v>
      </c>
      <c r="AF36" s="107">
        <v>0</v>
      </c>
      <c r="AG36" s="107">
        <v>0</v>
      </c>
      <c r="AH36" s="107">
        <v>0</v>
      </c>
      <c r="AI36" s="107">
        <v>0</v>
      </c>
      <c r="AJ36" s="107">
        <v>0</v>
      </c>
      <c r="AK36" s="107">
        <v>0</v>
      </c>
      <c r="AL36" s="107">
        <v>0</v>
      </c>
      <c r="AM36" s="107">
        <v>0</v>
      </c>
      <c r="AN36" s="107">
        <v>0</v>
      </c>
      <c r="AO36" s="107">
        <v>0</v>
      </c>
      <c r="AP36" s="107">
        <v>0</v>
      </c>
      <c r="AQ36" s="107">
        <v>1</v>
      </c>
      <c r="AR36" s="107">
        <v>0</v>
      </c>
      <c r="AS36" s="107">
        <v>1</v>
      </c>
      <c r="AT36" s="107">
        <v>1</v>
      </c>
      <c r="AU36" s="107">
        <v>0</v>
      </c>
      <c r="AV36" s="107">
        <v>0</v>
      </c>
      <c r="AW36" s="107">
        <v>0</v>
      </c>
      <c r="AX36" s="107">
        <v>0</v>
      </c>
      <c r="AY36" s="107">
        <v>1</v>
      </c>
      <c r="AZ36" s="107">
        <v>1</v>
      </c>
      <c r="BA36" s="107">
        <v>1</v>
      </c>
      <c r="BB36" s="107">
        <v>1</v>
      </c>
      <c r="BC36" s="107">
        <v>1</v>
      </c>
      <c r="BD36" s="107">
        <v>0</v>
      </c>
      <c r="BE36" s="107">
        <v>1</v>
      </c>
      <c r="BF36" s="107">
        <v>0</v>
      </c>
      <c r="BG36" s="107">
        <v>0</v>
      </c>
      <c r="BH36" s="107">
        <v>0</v>
      </c>
      <c r="BI36" s="107">
        <v>0</v>
      </c>
      <c r="BJ36" s="107">
        <v>0</v>
      </c>
      <c r="BK36" s="107">
        <v>0</v>
      </c>
      <c r="BL36" s="107">
        <v>0</v>
      </c>
      <c r="BM36" s="107">
        <v>0</v>
      </c>
      <c r="BN36" s="107">
        <v>0</v>
      </c>
      <c r="BO36" s="107">
        <v>0</v>
      </c>
      <c r="BP36" s="107">
        <v>0</v>
      </c>
      <c r="BQ36" s="107">
        <v>0</v>
      </c>
      <c r="BR36" s="107">
        <v>0</v>
      </c>
      <c r="BS36" s="107">
        <v>0</v>
      </c>
      <c r="BT36" s="107">
        <v>0</v>
      </c>
      <c r="BU36" s="107">
        <v>0</v>
      </c>
      <c r="BV36" s="107">
        <v>0</v>
      </c>
      <c r="BW36" s="107">
        <v>0</v>
      </c>
      <c r="BX36" s="107">
        <v>0</v>
      </c>
      <c r="BY36" s="107">
        <v>0</v>
      </c>
      <c r="BZ36" s="107">
        <v>0</v>
      </c>
      <c r="CA36" s="107">
        <v>0</v>
      </c>
      <c r="CB36" s="107">
        <v>0</v>
      </c>
      <c r="CC36" s="107">
        <v>0</v>
      </c>
    </row>
    <row r="37" spans="1:81" x14ac:dyDescent="0.15">
      <c r="A37" s="180" t="s">
        <v>226</v>
      </c>
      <c r="B37" s="107">
        <v>0</v>
      </c>
      <c r="C37" s="107">
        <v>0</v>
      </c>
      <c r="D37" s="107">
        <v>0</v>
      </c>
      <c r="E37" s="107">
        <v>0</v>
      </c>
      <c r="F37" s="107">
        <v>0</v>
      </c>
      <c r="G37" s="107">
        <v>0</v>
      </c>
      <c r="H37" s="107">
        <v>0</v>
      </c>
      <c r="I37" s="107">
        <v>0</v>
      </c>
      <c r="J37" s="107">
        <v>0</v>
      </c>
      <c r="K37" s="107">
        <v>1</v>
      </c>
      <c r="L37" s="107">
        <v>0</v>
      </c>
      <c r="M37" s="107">
        <v>0</v>
      </c>
      <c r="N37" s="107">
        <v>0</v>
      </c>
      <c r="O37" s="107">
        <v>0</v>
      </c>
      <c r="P37" s="107">
        <v>1</v>
      </c>
      <c r="Q37" s="107">
        <v>1</v>
      </c>
      <c r="R37" s="107">
        <v>0</v>
      </c>
      <c r="S37" s="107">
        <v>0</v>
      </c>
      <c r="T37" s="107">
        <v>1</v>
      </c>
      <c r="U37" s="107">
        <v>0</v>
      </c>
      <c r="V37" s="107">
        <v>0</v>
      </c>
      <c r="W37" s="107">
        <v>0</v>
      </c>
      <c r="X37" s="107">
        <v>0</v>
      </c>
      <c r="Y37" s="107">
        <v>1</v>
      </c>
      <c r="Z37" s="107">
        <v>0</v>
      </c>
      <c r="AA37" s="107">
        <v>0</v>
      </c>
      <c r="AB37" s="107">
        <v>0</v>
      </c>
      <c r="AC37" s="107">
        <v>0</v>
      </c>
      <c r="AD37" s="107">
        <v>0</v>
      </c>
      <c r="AE37" s="107">
        <v>0</v>
      </c>
      <c r="AF37" s="107">
        <v>1</v>
      </c>
      <c r="AG37" s="107">
        <v>0</v>
      </c>
      <c r="AH37" s="107">
        <v>0</v>
      </c>
      <c r="AI37" s="107">
        <v>0</v>
      </c>
      <c r="AJ37" s="107">
        <v>0</v>
      </c>
      <c r="AK37" s="107">
        <v>0</v>
      </c>
      <c r="AL37" s="107">
        <v>0</v>
      </c>
      <c r="AM37" s="107">
        <v>0</v>
      </c>
      <c r="AN37" s="107">
        <v>0</v>
      </c>
      <c r="AO37" s="107">
        <v>0</v>
      </c>
      <c r="AP37" s="107">
        <v>0</v>
      </c>
      <c r="AQ37" s="107">
        <v>0</v>
      </c>
      <c r="AR37" s="107">
        <v>0</v>
      </c>
      <c r="AS37" s="107">
        <v>0</v>
      </c>
      <c r="AT37" s="107">
        <v>0</v>
      </c>
      <c r="AU37" s="107">
        <v>0</v>
      </c>
      <c r="AV37" s="107">
        <v>0</v>
      </c>
      <c r="AW37" s="107">
        <v>0</v>
      </c>
      <c r="AX37" s="107">
        <v>0</v>
      </c>
      <c r="AY37" s="107">
        <v>0</v>
      </c>
      <c r="AZ37" s="107">
        <v>1</v>
      </c>
      <c r="BA37" s="107">
        <v>0</v>
      </c>
      <c r="BB37" s="107">
        <v>1</v>
      </c>
      <c r="BC37" s="107">
        <v>0</v>
      </c>
      <c r="BD37" s="107">
        <v>0</v>
      </c>
      <c r="BE37" s="107">
        <v>0</v>
      </c>
      <c r="BF37" s="107">
        <v>0</v>
      </c>
      <c r="BG37" s="107">
        <v>0</v>
      </c>
      <c r="BH37" s="107">
        <v>0</v>
      </c>
      <c r="BI37" s="107">
        <v>0</v>
      </c>
      <c r="BJ37" s="107">
        <v>0</v>
      </c>
      <c r="BK37" s="107">
        <v>0</v>
      </c>
      <c r="BL37" s="107">
        <v>0</v>
      </c>
      <c r="BM37" s="107">
        <v>0</v>
      </c>
      <c r="BN37" s="107">
        <v>0</v>
      </c>
      <c r="BO37" s="107">
        <v>0</v>
      </c>
      <c r="BP37" s="107">
        <v>0</v>
      </c>
      <c r="BQ37" s="107">
        <v>0</v>
      </c>
      <c r="BR37" s="107">
        <v>0</v>
      </c>
      <c r="BS37" s="107">
        <v>0</v>
      </c>
      <c r="BT37" s="107">
        <v>0</v>
      </c>
      <c r="BU37" s="107">
        <v>0</v>
      </c>
      <c r="BV37" s="107">
        <v>0</v>
      </c>
      <c r="BW37" s="107">
        <v>0</v>
      </c>
      <c r="BX37" s="107">
        <v>0</v>
      </c>
      <c r="BY37" s="107">
        <v>0</v>
      </c>
      <c r="BZ37" s="107">
        <v>0</v>
      </c>
      <c r="CA37" s="107">
        <v>0</v>
      </c>
      <c r="CB37" s="107">
        <v>0</v>
      </c>
      <c r="CC37" s="107">
        <v>0</v>
      </c>
    </row>
    <row r="38" spans="1:81" x14ac:dyDescent="0.15">
      <c r="A38" s="180" t="s">
        <v>227</v>
      </c>
      <c r="B38" s="107">
        <v>0</v>
      </c>
      <c r="C38" s="107">
        <v>0</v>
      </c>
      <c r="D38" s="107">
        <v>0</v>
      </c>
      <c r="E38" s="107">
        <v>0</v>
      </c>
      <c r="F38" s="107">
        <v>0</v>
      </c>
      <c r="G38" s="107">
        <v>0</v>
      </c>
      <c r="H38" s="107">
        <v>0</v>
      </c>
      <c r="I38" s="107">
        <v>0</v>
      </c>
      <c r="J38" s="107">
        <v>0</v>
      </c>
      <c r="K38" s="107">
        <v>0</v>
      </c>
      <c r="L38" s="107">
        <v>1</v>
      </c>
      <c r="M38" s="107">
        <v>1</v>
      </c>
      <c r="N38" s="107">
        <v>0</v>
      </c>
      <c r="O38" s="107">
        <v>0</v>
      </c>
      <c r="P38" s="107">
        <v>1</v>
      </c>
      <c r="Q38" s="107">
        <v>0</v>
      </c>
      <c r="R38" s="107">
        <v>1</v>
      </c>
      <c r="S38" s="107">
        <v>0</v>
      </c>
      <c r="T38" s="107">
        <v>1</v>
      </c>
      <c r="U38" s="107">
        <v>0</v>
      </c>
      <c r="V38" s="107">
        <v>0</v>
      </c>
      <c r="W38" s="107">
        <v>0</v>
      </c>
      <c r="X38" s="107">
        <v>0</v>
      </c>
      <c r="Y38" s="107">
        <v>0</v>
      </c>
      <c r="Z38" s="107">
        <v>1</v>
      </c>
      <c r="AA38" s="107">
        <v>1</v>
      </c>
      <c r="AB38" s="107">
        <v>0</v>
      </c>
      <c r="AC38" s="107">
        <v>1</v>
      </c>
      <c r="AD38" s="107">
        <v>1</v>
      </c>
      <c r="AE38" s="107">
        <v>1</v>
      </c>
      <c r="AF38" s="107">
        <v>0</v>
      </c>
      <c r="AG38" s="107">
        <v>0</v>
      </c>
      <c r="AH38" s="107">
        <v>1</v>
      </c>
      <c r="AI38" s="107">
        <v>0</v>
      </c>
      <c r="AJ38" s="107">
        <v>0</v>
      </c>
      <c r="AK38" s="107">
        <v>0</v>
      </c>
      <c r="AL38" s="107">
        <v>0</v>
      </c>
      <c r="AM38" s="107">
        <v>0</v>
      </c>
      <c r="AN38" s="107">
        <v>0</v>
      </c>
      <c r="AO38" s="107">
        <v>1</v>
      </c>
      <c r="AP38" s="107">
        <v>1</v>
      </c>
      <c r="AQ38" s="107">
        <v>1</v>
      </c>
      <c r="AR38" s="107">
        <v>0</v>
      </c>
      <c r="AS38" s="107">
        <v>1</v>
      </c>
      <c r="AT38" s="107">
        <v>0</v>
      </c>
      <c r="AU38" s="107">
        <v>0</v>
      </c>
      <c r="AV38" s="107">
        <v>1</v>
      </c>
      <c r="AW38" s="107">
        <v>0</v>
      </c>
      <c r="AX38" s="107">
        <v>1</v>
      </c>
      <c r="AY38" s="107">
        <v>1</v>
      </c>
      <c r="AZ38" s="107">
        <v>1</v>
      </c>
      <c r="BA38" s="107">
        <v>1</v>
      </c>
      <c r="BB38" s="107">
        <v>1</v>
      </c>
      <c r="BC38" s="107">
        <v>0</v>
      </c>
      <c r="BD38" s="107">
        <v>0</v>
      </c>
      <c r="BE38" s="107">
        <v>0</v>
      </c>
      <c r="BF38" s="107">
        <v>0</v>
      </c>
      <c r="BG38" s="107">
        <v>0</v>
      </c>
      <c r="BH38" s="107">
        <v>0</v>
      </c>
      <c r="BI38" s="107">
        <v>1</v>
      </c>
      <c r="BJ38" s="107">
        <v>0</v>
      </c>
      <c r="BK38" s="107">
        <v>0</v>
      </c>
      <c r="BL38" s="107">
        <v>0</v>
      </c>
      <c r="BM38" s="107">
        <v>0</v>
      </c>
      <c r="BN38" s="107">
        <v>0</v>
      </c>
      <c r="BO38" s="107">
        <v>0</v>
      </c>
      <c r="BP38" s="107">
        <v>0</v>
      </c>
      <c r="BQ38" s="107">
        <v>0</v>
      </c>
      <c r="BR38" s="107">
        <v>0</v>
      </c>
      <c r="BS38" s="107">
        <v>0</v>
      </c>
      <c r="BT38" s="107">
        <v>0</v>
      </c>
      <c r="BU38" s="107">
        <v>0</v>
      </c>
      <c r="BV38" s="107">
        <v>0</v>
      </c>
      <c r="BW38" s="107">
        <v>0</v>
      </c>
      <c r="BX38" s="107">
        <v>0</v>
      </c>
      <c r="BY38" s="107">
        <v>0</v>
      </c>
      <c r="BZ38" s="107">
        <v>0</v>
      </c>
      <c r="CA38" s="107">
        <v>0</v>
      </c>
      <c r="CB38" s="107">
        <v>0</v>
      </c>
      <c r="CC38" s="107">
        <v>0</v>
      </c>
    </row>
    <row r="39" spans="1:81" x14ac:dyDescent="0.15">
      <c r="A39" s="180" t="s">
        <v>228</v>
      </c>
      <c r="B39" s="107">
        <v>0</v>
      </c>
      <c r="C39" s="107">
        <v>0</v>
      </c>
      <c r="D39" s="107">
        <v>0</v>
      </c>
      <c r="E39" s="107">
        <v>0</v>
      </c>
      <c r="F39" s="107">
        <v>0</v>
      </c>
      <c r="G39" s="107">
        <v>0</v>
      </c>
      <c r="H39" s="107">
        <v>0</v>
      </c>
      <c r="I39" s="107">
        <v>0</v>
      </c>
      <c r="J39" s="107">
        <v>0</v>
      </c>
      <c r="K39" s="107">
        <v>0</v>
      </c>
      <c r="L39" s="107">
        <v>0</v>
      </c>
      <c r="M39" s="107">
        <v>0</v>
      </c>
      <c r="N39" s="107">
        <v>0</v>
      </c>
      <c r="O39" s="107">
        <v>0</v>
      </c>
      <c r="P39" s="107">
        <v>0</v>
      </c>
      <c r="Q39" s="107">
        <v>0</v>
      </c>
      <c r="R39" s="107">
        <v>1</v>
      </c>
      <c r="S39" s="107">
        <v>0</v>
      </c>
      <c r="T39" s="107">
        <v>0</v>
      </c>
      <c r="U39" s="107">
        <v>0</v>
      </c>
      <c r="V39" s="107">
        <v>0</v>
      </c>
      <c r="W39" s="107">
        <v>0</v>
      </c>
      <c r="X39" s="107">
        <v>0</v>
      </c>
      <c r="Y39" s="107">
        <v>0</v>
      </c>
      <c r="Z39" s="107">
        <v>0</v>
      </c>
      <c r="AA39" s="107">
        <v>0</v>
      </c>
      <c r="AB39" s="107">
        <v>0</v>
      </c>
      <c r="AC39" s="107">
        <v>1</v>
      </c>
      <c r="AD39" s="107">
        <v>0</v>
      </c>
      <c r="AE39" s="107">
        <v>0</v>
      </c>
      <c r="AF39" s="107">
        <v>0</v>
      </c>
      <c r="AG39" s="107">
        <v>0</v>
      </c>
      <c r="AH39" s="107">
        <v>1</v>
      </c>
      <c r="AI39" s="107">
        <v>0</v>
      </c>
      <c r="AJ39" s="107">
        <v>0</v>
      </c>
      <c r="AK39" s="107">
        <v>0</v>
      </c>
      <c r="AL39" s="107">
        <v>0</v>
      </c>
      <c r="AM39" s="107">
        <v>0</v>
      </c>
      <c r="AN39" s="107">
        <v>0</v>
      </c>
      <c r="AO39" s="107">
        <v>0</v>
      </c>
      <c r="AP39" s="107">
        <v>0</v>
      </c>
      <c r="AQ39" s="107">
        <v>0</v>
      </c>
      <c r="AR39" s="107">
        <v>0</v>
      </c>
      <c r="AS39" s="107">
        <v>1</v>
      </c>
      <c r="AT39" s="107">
        <v>0</v>
      </c>
      <c r="AU39" s="107">
        <v>0</v>
      </c>
      <c r="AV39" s="107">
        <v>0</v>
      </c>
      <c r="AW39" s="107">
        <v>0</v>
      </c>
      <c r="AX39" s="107">
        <v>0</v>
      </c>
      <c r="AY39" s="107">
        <v>0</v>
      </c>
      <c r="AZ39" s="107">
        <v>1</v>
      </c>
      <c r="BA39" s="107">
        <v>0</v>
      </c>
      <c r="BB39" s="107">
        <v>0</v>
      </c>
      <c r="BC39" s="107">
        <v>0</v>
      </c>
      <c r="BD39" s="107">
        <v>0</v>
      </c>
      <c r="BE39" s="107">
        <v>0</v>
      </c>
      <c r="BF39" s="107">
        <v>0</v>
      </c>
      <c r="BG39" s="107">
        <v>0</v>
      </c>
      <c r="BH39" s="107">
        <v>0</v>
      </c>
      <c r="BI39" s="107">
        <v>0</v>
      </c>
      <c r="BJ39" s="107">
        <v>0</v>
      </c>
      <c r="BK39" s="107">
        <v>0</v>
      </c>
      <c r="BL39" s="107">
        <v>0</v>
      </c>
      <c r="BM39" s="107">
        <v>0</v>
      </c>
      <c r="BN39" s="107">
        <v>0</v>
      </c>
      <c r="BO39" s="107">
        <v>0</v>
      </c>
      <c r="BP39" s="107">
        <v>0</v>
      </c>
      <c r="BQ39" s="107">
        <v>0</v>
      </c>
      <c r="BR39" s="107">
        <v>0</v>
      </c>
      <c r="BS39" s="107">
        <v>0</v>
      </c>
      <c r="BT39" s="107">
        <v>0</v>
      </c>
      <c r="BU39" s="107">
        <v>0</v>
      </c>
      <c r="BV39" s="107">
        <v>0</v>
      </c>
      <c r="BW39" s="107">
        <v>0</v>
      </c>
      <c r="BX39" s="107">
        <v>0</v>
      </c>
      <c r="BY39" s="107">
        <v>0</v>
      </c>
      <c r="BZ39" s="107">
        <v>0</v>
      </c>
      <c r="CA39" s="107">
        <v>0</v>
      </c>
      <c r="CB39" s="107">
        <v>0</v>
      </c>
      <c r="CC39" s="107">
        <v>0</v>
      </c>
    </row>
    <row r="40" spans="1:81" x14ac:dyDescent="0.15">
      <c r="A40" s="180" t="s">
        <v>229</v>
      </c>
      <c r="B40" s="107">
        <v>0</v>
      </c>
      <c r="C40" s="107">
        <v>0</v>
      </c>
      <c r="D40" s="107">
        <v>0</v>
      </c>
      <c r="E40" s="107">
        <v>0</v>
      </c>
      <c r="F40" s="107">
        <v>0</v>
      </c>
      <c r="G40" s="107">
        <v>0</v>
      </c>
      <c r="H40" s="107">
        <v>1</v>
      </c>
      <c r="I40" s="107">
        <v>0</v>
      </c>
      <c r="J40" s="107">
        <v>0</v>
      </c>
      <c r="K40" s="107">
        <v>0</v>
      </c>
      <c r="L40" s="107">
        <v>0</v>
      </c>
      <c r="M40" s="107">
        <v>0</v>
      </c>
      <c r="N40" s="107">
        <v>0</v>
      </c>
      <c r="O40" s="107">
        <v>0</v>
      </c>
      <c r="P40" s="107">
        <v>1</v>
      </c>
      <c r="Q40" s="107">
        <v>0</v>
      </c>
      <c r="R40" s="107">
        <v>1</v>
      </c>
      <c r="S40" s="107">
        <v>0</v>
      </c>
      <c r="T40" s="107">
        <v>0</v>
      </c>
      <c r="U40" s="107">
        <v>0</v>
      </c>
      <c r="V40" s="107">
        <v>0</v>
      </c>
      <c r="W40" s="107">
        <v>0</v>
      </c>
      <c r="X40" s="107">
        <v>0</v>
      </c>
      <c r="Y40" s="107">
        <v>0</v>
      </c>
      <c r="Z40" s="107">
        <v>0</v>
      </c>
      <c r="AA40" s="107">
        <v>0</v>
      </c>
      <c r="AB40" s="107">
        <v>0</v>
      </c>
      <c r="AC40" s="107">
        <v>0</v>
      </c>
      <c r="AD40" s="107">
        <v>0</v>
      </c>
      <c r="AE40" s="107">
        <v>0</v>
      </c>
      <c r="AF40" s="107">
        <v>0</v>
      </c>
      <c r="AG40" s="107">
        <v>0</v>
      </c>
      <c r="AH40" s="107">
        <v>0</v>
      </c>
      <c r="AI40" s="107">
        <v>0</v>
      </c>
      <c r="AJ40" s="107">
        <v>0</v>
      </c>
      <c r="AK40" s="107">
        <v>0</v>
      </c>
      <c r="AL40" s="107">
        <v>0</v>
      </c>
      <c r="AM40" s="107">
        <v>0</v>
      </c>
      <c r="AN40" s="107">
        <v>0</v>
      </c>
      <c r="AO40" s="107">
        <v>0</v>
      </c>
      <c r="AP40" s="107">
        <v>0</v>
      </c>
      <c r="AQ40" s="107">
        <v>0</v>
      </c>
      <c r="AR40" s="107">
        <v>0</v>
      </c>
      <c r="AS40" s="107">
        <v>0</v>
      </c>
      <c r="AT40" s="107">
        <v>1</v>
      </c>
      <c r="AU40" s="107">
        <v>0</v>
      </c>
      <c r="AV40" s="107">
        <v>0</v>
      </c>
      <c r="AW40" s="107">
        <v>0</v>
      </c>
      <c r="AX40" s="107">
        <v>0</v>
      </c>
      <c r="AY40" s="107">
        <v>0</v>
      </c>
      <c r="AZ40" s="107">
        <v>1</v>
      </c>
      <c r="BA40" s="107">
        <v>1</v>
      </c>
      <c r="BB40" s="107">
        <v>0</v>
      </c>
      <c r="BC40" s="107">
        <v>1</v>
      </c>
      <c r="BD40" s="107">
        <v>0</v>
      </c>
      <c r="BE40" s="107">
        <v>0</v>
      </c>
      <c r="BF40" s="107">
        <v>0</v>
      </c>
      <c r="BG40" s="107">
        <v>0</v>
      </c>
      <c r="BH40" s="107">
        <v>0</v>
      </c>
      <c r="BI40" s="107">
        <v>0</v>
      </c>
      <c r="BJ40" s="107">
        <v>0</v>
      </c>
      <c r="BK40" s="107">
        <v>0</v>
      </c>
      <c r="BL40" s="107">
        <v>0</v>
      </c>
      <c r="BM40" s="107">
        <v>0</v>
      </c>
      <c r="BN40" s="107">
        <v>0</v>
      </c>
      <c r="BO40" s="107">
        <v>0</v>
      </c>
      <c r="BP40" s="107">
        <v>0</v>
      </c>
      <c r="BQ40" s="107">
        <v>0</v>
      </c>
      <c r="BR40" s="107">
        <v>0</v>
      </c>
      <c r="BS40" s="107">
        <v>0</v>
      </c>
      <c r="BT40" s="107">
        <v>0</v>
      </c>
      <c r="BU40" s="107">
        <v>0</v>
      </c>
      <c r="BV40" s="107">
        <v>0</v>
      </c>
      <c r="BW40" s="107">
        <v>0</v>
      </c>
      <c r="BX40" s="107">
        <v>0</v>
      </c>
      <c r="BY40" s="107">
        <v>0</v>
      </c>
      <c r="BZ40" s="107">
        <v>0</v>
      </c>
      <c r="CA40" s="107">
        <v>0</v>
      </c>
      <c r="CB40" s="107">
        <v>0</v>
      </c>
      <c r="CC40" s="107">
        <v>0</v>
      </c>
    </row>
    <row r="41" spans="1:81" x14ac:dyDescent="0.15">
      <c r="A41" s="180" t="s">
        <v>230</v>
      </c>
      <c r="B41" s="107">
        <v>0</v>
      </c>
      <c r="C41" s="107">
        <v>0</v>
      </c>
      <c r="D41" s="107">
        <v>1</v>
      </c>
      <c r="E41" s="107">
        <v>0</v>
      </c>
      <c r="F41" s="107">
        <v>0</v>
      </c>
      <c r="G41" s="107">
        <v>0</v>
      </c>
      <c r="H41" s="107">
        <v>1</v>
      </c>
      <c r="I41" s="107">
        <v>0</v>
      </c>
      <c r="J41" s="107">
        <v>0</v>
      </c>
      <c r="K41" s="107">
        <v>0</v>
      </c>
      <c r="L41" s="107">
        <v>1</v>
      </c>
      <c r="M41" s="107">
        <v>1</v>
      </c>
      <c r="N41" s="107">
        <v>0</v>
      </c>
      <c r="O41" s="107">
        <v>0</v>
      </c>
      <c r="P41" s="107">
        <v>1</v>
      </c>
      <c r="Q41" s="107">
        <v>0</v>
      </c>
      <c r="R41" s="107">
        <v>0</v>
      </c>
      <c r="S41" s="107">
        <v>1</v>
      </c>
      <c r="T41" s="107">
        <v>1</v>
      </c>
      <c r="U41" s="107">
        <v>0</v>
      </c>
      <c r="V41" s="107">
        <v>0</v>
      </c>
      <c r="W41" s="107">
        <v>0</v>
      </c>
      <c r="X41" s="107">
        <v>0</v>
      </c>
      <c r="Y41" s="107">
        <v>0</v>
      </c>
      <c r="Z41" s="107">
        <v>0</v>
      </c>
      <c r="AA41" s="107">
        <v>0</v>
      </c>
      <c r="AB41" s="107">
        <v>0</v>
      </c>
      <c r="AC41" s="107">
        <v>0</v>
      </c>
      <c r="AD41" s="107">
        <v>0</v>
      </c>
      <c r="AE41" s="107">
        <v>0</v>
      </c>
      <c r="AF41" s="107">
        <v>0</v>
      </c>
      <c r="AG41" s="107">
        <v>0</v>
      </c>
      <c r="AH41" s="107">
        <v>0</v>
      </c>
      <c r="AI41" s="107">
        <v>0</v>
      </c>
      <c r="AJ41" s="107">
        <v>0</v>
      </c>
      <c r="AK41" s="107">
        <v>0</v>
      </c>
      <c r="AL41" s="107">
        <v>0</v>
      </c>
      <c r="AM41" s="107">
        <v>0</v>
      </c>
      <c r="AN41" s="107">
        <v>0</v>
      </c>
      <c r="AO41" s="107">
        <v>0</v>
      </c>
      <c r="AP41" s="107">
        <v>0</v>
      </c>
      <c r="AQ41" s="107">
        <v>0</v>
      </c>
      <c r="AR41" s="107">
        <v>0</v>
      </c>
      <c r="AS41" s="107">
        <v>1</v>
      </c>
      <c r="AT41" s="107">
        <v>1</v>
      </c>
      <c r="AU41" s="107">
        <v>0</v>
      </c>
      <c r="AV41" s="107">
        <v>0</v>
      </c>
      <c r="AW41" s="107">
        <v>0</v>
      </c>
      <c r="AX41" s="107">
        <v>0</v>
      </c>
      <c r="AY41" s="107">
        <v>0</v>
      </c>
      <c r="AZ41" s="107">
        <v>0</v>
      </c>
      <c r="BA41" s="107">
        <v>0</v>
      </c>
      <c r="BB41" s="107">
        <v>0</v>
      </c>
      <c r="BC41" s="107">
        <v>0</v>
      </c>
      <c r="BD41" s="107">
        <v>0</v>
      </c>
      <c r="BE41" s="107">
        <v>0</v>
      </c>
      <c r="BF41" s="107">
        <v>0</v>
      </c>
      <c r="BG41" s="107">
        <v>0</v>
      </c>
      <c r="BH41" s="107">
        <v>0</v>
      </c>
      <c r="BI41" s="107">
        <v>0</v>
      </c>
      <c r="BJ41" s="107">
        <v>0</v>
      </c>
      <c r="BK41" s="107">
        <v>0</v>
      </c>
      <c r="BL41" s="107">
        <v>0</v>
      </c>
      <c r="BM41" s="107">
        <v>0</v>
      </c>
      <c r="BN41" s="107">
        <v>0</v>
      </c>
      <c r="BO41" s="107">
        <v>0</v>
      </c>
      <c r="BP41" s="107">
        <v>0</v>
      </c>
      <c r="BQ41" s="107">
        <v>0</v>
      </c>
      <c r="BR41" s="107">
        <v>0</v>
      </c>
      <c r="BS41" s="107">
        <v>0</v>
      </c>
      <c r="BT41" s="107">
        <v>0</v>
      </c>
      <c r="BU41" s="107">
        <v>0</v>
      </c>
      <c r="BV41" s="107">
        <v>0</v>
      </c>
      <c r="BW41" s="107">
        <v>0</v>
      </c>
      <c r="BX41" s="107">
        <v>0</v>
      </c>
      <c r="BY41" s="107">
        <v>0</v>
      </c>
      <c r="BZ41" s="107">
        <v>0</v>
      </c>
      <c r="CA41" s="107">
        <v>0</v>
      </c>
      <c r="CB41" s="107">
        <v>0</v>
      </c>
      <c r="CC41" s="107">
        <v>0</v>
      </c>
    </row>
    <row r="42" spans="1:81" x14ac:dyDescent="0.15">
      <c r="A42" s="180" t="s">
        <v>231</v>
      </c>
      <c r="B42" s="107">
        <v>0</v>
      </c>
      <c r="C42" s="107">
        <v>0</v>
      </c>
      <c r="D42" s="107">
        <v>0</v>
      </c>
      <c r="E42" s="107">
        <v>0</v>
      </c>
      <c r="F42" s="107">
        <v>0</v>
      </c>
      <c r="G42" s="107">
        <v>0</v>
      </c>
      <c r="H42" s="107">
        <v>1</v>
      </c>
      <c r="I42" s="107">
        <v>0</v>
      </c>
      <c r="J42" s="107">
        <v>1</v>
      </c>
      <c r="K42" s="107">
        <v>0</v>
      </c>
      <c r="L42" s="107">
        <v>1</v>
      </c>
      <c r="M42" s="107">
        <v>1</v>
      </c>
      <c r="N42" s="107">
        <v>0</v>
      </c>
      <c r="O42" s="107">
        <v>0</v>
      </c>
      <c r="P42" s="107">
        <v>0</v>
      </c>
      <c r="Q42" s="107">
        <v>1</v>
      </c>
      <c r="R42" s="107">
        <v>0</v>
      </c>
      <c r="S42" s="107">
        <v>0</v>
      </c>
      <c r="T42" s="107">
        <v>1</v>
      </c>
      <c r="U42" s="107">
        <v>1</v>
      </c>
      <c r="V42" s="107">
        <v>1</v>
      </c>
      <c r="W42" s="107">
        <v>1</v>
      </c>
      <c r="X42" s="107">
        <v>0</v>
      </c>
      <c r="Y42" s="107">
        <v>1</v>
      </c>
      <c r="Z42" s="107">
        <v>0</v>
      </c>
      <c r="AA42" s="107">
        <v>1</v>
      </c>
      <c r="AB42" s="107">
        <v>0</v>
      </c>
      <c r="AC42" s="107">
        <v>1</v>
      </c>
      <c r="AD42" s="107">
        <v>0</v>
      </c>
      <c r="AE42" s="107">
        <v>1</v>
      </c>
      <c r="AF42" s="107">
        <v>1</v>
      </c>
      <c r="AG42" s="107">
        <v>0</v>
      </c>
      <c r="AH42" s="107">
        <v>1</v>
      </c>
      <c r="AI42" s="107">
        <v>0</v>
      </c>
      <c r="AJ42" s="107">
        <v>0</v>
      </c>
      <c r="AK42" s="107">
        <v>0</v>
      </c>
      <c r="AL42" s="107">
        <v>0</v>
      </c>
      <c r="AM42" s="107">
        <v>0</v>
      </c>
      <c r="AN42" s="107">
        <v>0</v>
      </c>
      <c r="AO42" s="107">
        <v>0</v>
      </c>
      <c r="AP42" s="107">
        <v>0</v>
      </c>
      <c r="AQ42" s="107">
        <v>0</v>
      </c>
      <c r="AR42" s="107">
        <v>0</v>
      </c>
      <c r="AS42" s="107">
        <v>1</v>
      </c>
      <c r="AT42" s="107">
        <v>1</v>
      </c>
      <c r="AU42" s="107">
        <v>0</v>
      </c>
      <c r="AV42" s="107">
        <v>0</v>
      </c>
      <c r="AW42" s="107">
        <v>0</v>
      </c>
      <c r="AX42" s="107">
        <v>1</v>
      </c>
      <c r="AY42" s="107">
        <v>1</v>
      </c>
      <c r="AZ42" s="107">
        <v>1</v>
      </c>
      <c r="BA42" s="107">
        <v>1</v>
      </c>
      <c r="BB42" s="107">
        <v>0</v>
      </c>
      <c r="BC42" s="107">
        <v>1</v>
      </c>
      <c r="BD42" s="107">
        <v>0</v>
      </c>
      <c r="BE42" s="107">
        <v>0</v>
      </c>
      <c r="BF42" s="107">
        <v>0</v>
      </c>
      <c r="BG42" s="107">
        <v>0</v>
      </c>
      <c r="BH42" s="107">
        <v>0</v>
      </c>
      <c r="BI42" s="107">
        <v>0</v>
      </c>
      <c r="BJ42" s="107">
        <v>0</v>
      </c>
      <c r="BK42" s="107">
        <v>0</v>
      </c>
      <c r="BL42" s="107">
        <v>0</v>
      </c>
      <c r="BM42" s="107">
        <v>0</v>
      </c>
      <c r="BN42" s="107">
        <v>0</v>
      </c>
      <c r="BO42" s="107">
        <v>0</v>
      </c>
      <c r="BP42" s="107">
        <v>0</v>
      </c>
      <c r="BQ42" s="107">
        <v>0</v>
      </c>
      <c r="BR42" s="107">
        <v>0</v>
      </c>
      <c r="BS42" s="107">
        <v>0</v>
      </c>
      <c r="BT42" s="107">
        <v>0</v>
      </c>
      <c r="BU42" s="107">
        <v>0</v>
      </c>
      <c r="BV42" s="107">
        <v>0</v>
      </c>
      <c r="BW42" s="107">
        <v>0</v>
      </c>
      <c r="BX42" s="107">
        <v>0</v>
      </c>
      <c r="BY42" s="107">
        <v>0</v>
      </c>
      <c r="BZ42" s="107">
        <v>0</v>
      </c>
      <c r="CA42" s="107">
        <v>0</v>
      </c>
      <c r="CB42" s="107">
        <v>0</v>
      </c>
      <c r="CC42" s="107">
        <v>0</v>
      </c>
    </row>
    <row r="43" spans="1:81" x14ac:dyDescent="0.15">
      <c r="A43" s="180" t="s">
        <v>232</v>
      </c>
      <c r="B43" s="107">
        <v>0</v>
      </c>
      <c r="C43" s="107">
        <v>0</v>
      </c>
      <c r="D43" s="107">
        <v>0</v>
      </c>
      <c r="E43" s="107">
        <v>0</v>
      </c>
      <c r="F43" s="107">
        <v>0</v>
      </c>
      <c r="G43" s="107">
        <v>0</v>
      </c>
      <c r="H43" s="107">
        <v>1</v>
      </c>
      <c r="I43" s="107">
        <v>0</v>
      </c>
      <c r="J43" s="107">
        <v>0</v>
      </c>
      <c r="K43" s="107">
        <v>1</v>
      </c>
      <c r="L43" s="107">
        <v>1</v>
      </c>
      <c r="M43" s="107">
        <v>1</v>
      </c>
      <c r="N43" s="107">
        <v>0</v>
      </c>
      <c r="O43" s="107">
        <v>0</v>
      </c>
      <c r="P43" s="107">
        <v>0</v>
      </c>
      <c r="Q43" s="107">
        <v>1</v>
      </c>
      <c r="R43" s="107">
        <v>1</v>
      </c>
      <c r="S43" s="107">
        <v>1</v>
      </c>
      <c r="T43" s="107">
        <v>1</v>
      </c>
      <c r="U43" s="107">
        <v>1</v>
      </c>
      <c r="V43" s="107">
        <v>1</v>
      </c>
      <c r="W43" s="107">
        <v>0</v>
      </c>
      <c r="X43" s="107">
        <v>0</v>
      </c>
      <c r="Y43" s="107">
        <v>1</v>
      </c>
      <c r="Z43" s="107">
        <v>1</v>
      </c>
      <c r="AA43" s="107">
        <v>1</v>
      </c>
      <c r="AB43" s="107">
        <v>0</v>
      </c>
      <c r="AC43" s="107">
        <v>0</v>
      </c>
      <c r="AD43" s="107">
        <v>1</v>
      </c>
      <c r="AE43" s="107">
        <v>0</v>
      </c>
      <c r="AF43" s="107">
        <v>0</v>
      </c>
      <c r="AG43" s="107">
        <v>1</v>
      </c>
      <c r="AH43" s="107">
        <v>0</v>
      </c>
      <c r="AI43" s="107">
        <v>0</v>
      </c>
      <c r="AJ43" s="107">
        <v>0</v>
      </c>
      <c r="AK43" s="107">
        <v>0</v>
      </c>
      <c r="AL43" s="107">
        <v>0</v>
      </c>
      <c r="AM43" s="107">
        <v>0</v>
      </c>
      <c r="AN43" s="107">
        <v>0</v>
      </c>
      <c r="AO43" s="107">
        <v>0</v>
      </c>
      <c r="AP43" s="107">
        <v>0</v>
      </c>
      <c r="AQ43" s="107">
        <v>0</v>
      </c>
      <c r="AR43" s="107">
        <v>0</v>
      </c>
      <c r="AS43" s="107">
        <v>1</v>
      </c>
      <c r="AT43" s="107">
        <v>0</v>
      </c>
      <c r="AU43" s="107">
        <v>1</v>
      </c>
      <c r="AV43" s="107">
        <v>1</v>
      </c>
      <c r="AW43" s="107">
        <v>0</v>
      </c>
      <c r="AX43" s="107">
        <v>0</v>
      </c>
      <c r="AY43" s="107">
        <v>1</v>
      </c>
      <c r="AZ43" s="107">
        <v>1</v>
      </c>
      <c r="BA43" s="107">
        <v>1</v>
      </c>
      <c r="BB43" s="107">
        <v>0</v>
      </c>
      <c r="BC43" s="107">
        <v>1</v>
      </c>
      <c r="BD43" s="107">
        <v>0</v>
      </c>
      <c r="BE43" s="107">
        <v>0</v>
      </c>
      <c r="BF43" s="107">
        <v>0</v>
      </c>
      <c r="BG43" s="107">
        <v>0</v>
      </c>
      <c r="BH43" s="107">
        <v>0</v>
      </c>
      <c r="BI43" s="107">
        <v>0</v>
      </c>
      <c r="BJ43" s="107">
        <v>0</v>
      </c>
      <c r="BK43" s="107">
        <v>0</v>
      </c>
      <c r="BL43" s="107">
        <v>0</v>
      </c>
      <c r="BM43" s="107">
        <v>0</v>
      </c>
      <c r="BN43" s="107">
        <v>0</v>
      </c>
      <c r="BO43" s="107">
        <v>0</v>
      </c>
      <c r="BP43" s="107">
        <v>0</v>
      </c>
      <c r="BQ43" s="107">
        <v>0</v>
      </c>
      <c r="BR43" s="107">
        <v>0</v>
      </c>
      <c r="BS43" s="107">
        <v>0</v>
      </c>
      <c r="BT43" s="107">
        <v>0</v>
      </c>
      <c r="BU43" s="107">
        <v>0</v>
      </c>
      <c r="BV43" s="107">
        <v>0</v>
      </c>
      <c r="BW43" s="107">
        <v>0</v>
      </c>
      <c r="BX43" s="107">
        <v>0</v>
      </c>
      <c r="BY43" s="107">
        <v>0</v>
      </c>
      <c r="BZ43" s="107">
        <v>0</v>
      </c>
      <c r="CA43" s="107">
        <v>0</v>
      </c>
      <c r="CB43" s="107">
        <v>0</v>
      </c>
      <c r="CC43" s="107">
        <v>0</v>
      </c>
    </row>
    <row r="44" spans="1:81" x14ac:dyDescent="0.15">
      <c r="A44" s="180" t="s">
        <v>233</v>
      </c>
      <c r="B44" s="107">
        <v>0</v>
      </c>
      <c r="C44" s="107">
        <v>0</v>
      </c>
      <c r="D44" s="107">
        <v>0</v>
      </c>
      <c r="E44" s="107">
        <v>0</v>
      </c>
      <c r="F44" s="107">
        <v>0</v>
      </c>
      <c r="G44" s="107">
        <v>0</v>
      </c>
      <c r="H44" s="107">
        <v>0</v>
      </c>
      <c r="I44" s="107">
        <v>0</v>
      </c>
      <c r="J44" s="107">
        <v>1</v>
      </c>
      <c r="K44" s="107">
        <v>1</v>
      </c>
      <c r="L44" s="107">
        <v>1</v>
      </c>
      <c r="M44" s="107">
        <v>1</v>
      </c>
      <c r="N44" s="107">
        <v>1</v>
      </c>
      <c r="O44" s="107">
        <v>0</v>
      </c>
      <c r="P44" s="107">
        <v>0</v>
      </c>
      <c r="Q44" s="107">
        <v>0</v>
      </c>
      <c r="R44" s="107">
        <v>1</v>
      </c>
      <c r="S44" s="107">
        <v>1</v>
      </c>
      <c r="T44" s="107">
        <v>1</v>
      </c>
      <c r="U44" s="107">
        <v>0</v>
      </c>
      <c r="V44" s="107">
        <v>1</v>
      </c>
      <c r="W44" s="107">
        <v>0</v>
      </c>
      <c r="X44" s="107">
        <v>0</v>
      </c>
      <c r="Y44" s="107">
        <v>1</v>
      </c>
      <c r="Z44" s="107">
        <v>1</v>
      </c>
      <c r="AA44" s="107">
        <v>0</v>
      </c>
      <c r="AB44" s="107">
        <v>0</v>
      </c>
      <c r="AC44" s="107">
        <v>0</v>
      </c>
      <c r="AD44" s="107">
        <v>1</v>
      </c>
      <c r="AE44" s="107">
        <v>1</v>
      </c>
      <c r="AF44" s="107">
        <v>1</v>
      </c>
      <c r="AG44" s="107">
        <v>1</v>
      </c>
      <c r="AH44" s="107">
        <v>1</v>
      </c>
      <c r="AI44" s="107">
        <v>0</v>
      </c>
      <c r="AJ44" s="107">
        <v>0</v>
      </c>
      <c r="AK44" s="107">
        <v>0</v>
      </c>
      <c r="AL44" s="107">
        <v>0</v>
      </c>
      <c r="AM44" s="107">
        <v>0</v>
      </c>
      <c r="AN44" s="107">
        <v>0</v>
      </c>
      <c r="AO44" s="107">
        <v>0</v>
      </c>
      <c r="AP44" s="107">
        <v>0</v>
      </c>
      <c r="AQ44" s="107">
        <v>0</v>
      </c>
      <c r="AR44" s="107">
        <v>0</v>
      </c>
      <c r="AS44" s="107">
        <v>1</v>
      </c>
      <c r="AT44" s="107">
        <v>1</v>
      </c>
      <c r="AU44" s="107">
        <v>1</v>
      </c>
      <c r="AV44" s="107">
        <v>0</v>
      </c>
      <c r="AW44" s="107">
        <v>1</v>
      </c>
      <c r="AX44" s="107">
        <v>0</v>
      </c>
      <c r="AY44" s="107">
        <v>0</v>
      </c>
      <c r="AZ44" s="107">
        <v>1</v>
      </c>
      <c r="BA44" s="107">
        <v>1</v>
      </c>
      <c r="BB44" s="107">
        <v>0</v>
      </c>
      <c r="BC44" s="107">
        <v>1</v>
      </c>
      <c r="BD44" s="107">
        <v>0</v>
      </c>
      <c r="BE44" s="107">
        <v>0</v>
      </c>
      <c r="BF44" s="107">
        <v>0</v>
      </c>
      <c r="BG44" s="107">
        <v>0</v>
      </c>
      <c r="BH44" s="107">
        <v>0</v>
      </c>
      <c r="BI44" s="107">
        <v>0</v>
      </c>
      <c r="BJ44" s="107">
        <v>0</v>
      </c>
      <c r="BK44" s="107">
        <v>0</v>
      </c>
      <c r="BL44" s="107">
        <v>0</v>
      </c>
      <c r="BM44" s="107">
        <v>0</v>
      </c>
      <c r="BN44" s="107">
        <v>0</v>
      </c>
      <c r="BO44" s="107">
        <v>0</v>
      </c>
      <c r="BP44" s="107">
        <v>0</v>
      </c>
      <c r="BQ44" s="107">
        <v>0</v>
      </c>
      <c r="BR44" s="107">
        <v>0</v>
      </c>
      <c r="BS44" s="107">
        <v>0</v>
      </c>
      <c r="BT44" s="107">
        <v>0</v>
      </c>
      <c r="BU44" s="107">
        <v>0</v>
      </c>
      <c r="BV44" s="107">
        <v>0</v>
      </c>
      <c r="BW44" s="107">
        <v>0</v>
      </c>
      <c r="BX44" s="107">
        <v>0</v>
      </c>
      <c r="BY44" s="107">
        <v>0</v>
      </c>
      <c r="BZ44" s="107">
        <v>0</v>
      </c>
      <c r="CA44" s="107">
        <v>0</v>
      </c>
      <c r="CB44" s="107">
        <v>0</v>
      </c>
      <c r="CC44" s="107">
        <v>0</v>
      </c>
    </row>
    <row r="45" spans="1:81" x14ac:dyDescent="0.15">
      <c r="A45" s="180" t="s">
        <v>234</v>
      </c>
      <c r="B45" s="107">
        <v>0</v>
      </c>
      <c r="C45" s="107">
        <v>0</v>
      </c>
      <c r="D45" s="107">
        <v>0</v>
      </c>
      <c r="E45" s="107">
        <v>0</v>
      </c>
      <c r="F45" s="107">
        <v>0</v>
      </c>
      <c r="G45" s="107">
        <v>1</v>
      </c>
      <c r="H45" s="107">
        <v>1</v>
      </c>
      <c r="I45" s="107">
        <v>0</v>
      </c>
      <c r="J45" s="107">
        <v>0</v>
      </c>
      <c r="K45" s="107">
        <v>1</v>
      </c>
      <c r="L45" s="107">
        <v>0</v>
      </c>
      <c r="M45" s="107">
        <v>0</v>
      </c>
      <c r="N45" s="107">
        <v>0</v>
      </c>
      <c r="O45" s="107">
        <v>0</v>
      </c>
      <c r="P45" s="107">
        <v>1</v>
      </c>
      <c r="Q45" s="107">
        <v>1</v>
      </c>
      <c r="R45" s="107">
        <v>0</v>
      </c>
      <c r="S45" s="107">
        <v>0</v>
      </c>
      <c r="T45" s="107">
        <v>1</v>
      </c>
      <c r="U45" s="107">
        <v>0</v>
      </c>
      <c r="V45" s="107">
        <v>0</v>
      </c>
      <c r="W45" s="107">
        <v>0</v>
      </c>
      <c r="X45" s="107">
        <v>0</v>
      </c>
      <c r="Y45" s="107">
        <v>1</v>
      </c>
      <c r="Z45" s="107">
        <v>0</v>
      </c>
      <c r="AA45" s="107">
        <v>0</v>
      </c>
      <c r="AB45" s="107">
        <v>0</v>
      </c>
      <c r="AC45" s="107">
        <v>1</v>
      </c>
      <c r="AD45" s="107">
        <v>0</v>
      </c>
      <c r="AE45" s="107">
        <v>0</v>
      </c>
      <c r="AF45" s="107">
        <v>0</v>
      </c>
      <c r="AG45" s="107">
        <v>0</v>
      </c>
      <c r="AH45" s="107">
        <v>0</v>
      </c>
      <c r="AI45" s="107">
        <v>0</v>
      </c>
      <c r="AJ45" s="107">
        <v>0</v>
      </c>
      <c r="AK45" s="107">
        <v>0</v>
      </c>
      <c r="AL45" s="107">
        <v>0</v>
      </c>
      <c r="AM45" s="107">
        <v>0</v>
      </c>
      <c r="AN45" s="107">
        <v>0</v>
      </c>
      <c r="AO45" s="107">
        <v>0</v>
      </c>
      <c r="AP45" s="107">
        <v>0</v>
      </c>
      <c r="AQ45" s="107">
        <v>0</v>
      </c>
      <c r="AR45" s="107">
        <v>0</v>
      </c>
      <c r="AS45" s="107">
        <v>0</v>
      </c>
      <c r="AT45" s="107">
        <v>1</v>
      </c>
      <c r="AU45" s="107">
        <v>0</v>
      </c>
      <c r="AV45" s="107">
        <v>0</v>
      </c>
      <c r="AW45" s="107">
        <v>0</v>
      </c>
      <c r="AX45" s="107">
        <v>0</v>
      </c>
      <c r="AY45" s="107">
        <v>0</v>
      </c>
      <c r="AZ45" s="107">
        <v>0</v>
      </c>
      <c r="BA45" s="107">
        <v>0</v>
      </c>
      <c r="BB45" s="107">
        <v>0</v>
      </c>
      <c r="BC45" s="107">
        <v>0</v>
      </c>
      <c r="BD45" s="107">
        <v>0</v>
      </c>
      <c r="BE45" s="107">
        <v>0</v>
      </c>
      <c r="BF45" s="107">
        <v>0</v>
      </c>
      <c r="BG45" s="107">
        <v>0</v>
      </c>
      <c r="BH45" s="107">
        <v>0</v>
      </c>
      <c r="BI45" s="107">
        <v>0</v>
      </c>
      <c r="BJ45" s="107">
        <v>0</v>
      </c>
      <c r="BK45" s="107">
        <v>0</v>
      </c>
      <c r="BL45" s="107">
        <v>0</v>
      </c>
      <c r="BM45" s="107">
        <v>0</v>
      </c>
      <c r="BN45" s="107">
        <v>0</v>
      </c>
      <c r="BO45" s="107">
        <v>0</v>
      </c>
      <c r="BP45" s="107">
        <v>0</v>
      </c>
      <c r="BQ45" s="107">
        <v>0</v>
      </c>
      <c r="BR45" s="107">
        <v>0</v>
      </c>
      <c r="BS45" s="107">
        <v>0</v>
      </c>
      <c r="BT45" s="107">
        <v>0</v>
      </c>
      <c r="BU45" s="107">
        <v>0</v>
      </c>
      <c r="BV45" s="107">
        <v>0</v>
      </c>
      <c r="BW45" s="107">
        <v>0</v>
      </c>
      <c r="BX45" s="107">
        <v>0</v>
      </c>
      <c r="BY45" s="107">
        <v>0</v>
      </c>
      <c r="BZ45" s="107">
        <v>0</v>
      </c>
      <c r="CA45" s="107">
        <v>0</v>
      </c>
      <c r="CB45" s="107">
        <v>0</v>
      </c>
      <c r="CC45" s="107">
        <v>0</v>
      </c>
    </row>
    <row r="46" spans="1:81" x14ac:dyDescent="0.15">
      <c r="A46" s="180" t="s">
        <v>235</v>
      </c>
      <c r="B46" s="107">
        <v>1</v>
      </c>
      <c r="C46" s="107">
        <v>0</v>
      </c>
      <c r="D46" s="107">
        <v>0</v>
      </c>
      <c r="E46" s="107">
        <v>0</v>
      </c>
      <c r="F46" s="107">
        <v>0</v>
      </c>
      <c r="G46" s="107">
        <v>1</v>
      </c>
      <c r="H46" s="107">
        <v>1</v>
      </c>
      <c r="I46" s="107">
        <v>0</v>
      </c>
      <c r="J46" s="107">
        <v>1</v>
      </c>
      <c r="K46" s="107">
        <v>1</v>
      </c>
      <c r="L46" s="107">
        <v>1</v>
      </c>
      <c r="M46" s="107">
        <v>1</v>
      </c>
      <c r="N46" s="107">
        <v>1</v>
      </c>
      <c r="O46" s="107">
        <v>0</v>
      </c>
      <c r="P46" s="107">
        <v>0</v>
      </c>
      <c r="Q46" s="107">
        <v>1</v>
      </c>
      <c r="R46" s="107">
        <v>0</v>
      </c>
      <c r="S46" s="107">
        <v>0</v>
      </c>
      <c r="T46" s="107">
        <v>1</v>
      </c>
      <c r="U46" s="107">
        <v>0</v>
      </c>
      <c r="V46" s="107">
        <v>0</v>
      </c>
      <c r="W46" s="107">
        <v>0</v>
      </c>
      <c r="X46" s="107">
        <v>0</v>
      </c>
      <c r="Y46" s="107">
        <v>1</v>
      </c>
      <c r="Z46" s="107">
        <v>1</v>
      </c>
      <c r="AA46" s="107">
        <v>1</v>
      </c>
      <c r="AB46" s="107">
        <v>0</v>
      </c>
      <c r="AC46" s="107">
        <v>1</v>
      </c>
      <c r="AD46" s="107">
        <v>0</v>
      </c>
      <c r="AE46" s="107">
        <v>1</v>
      </c>
      <c r="AF46" s="107">
        <v>0</v>
      </c>
      <c r="AG46" s="107">
        <v>1</v>
      </c>
      <c r="AH46" s="107">
        <v>1</v>
      </c>
      <c r="AI46" s="107">
        <v>0</v>
      </c>
      <c r="AJ46" s="107">
        <v>0</v>
      </c>
      <c r="AK46" s="107">
        <v>0</v>
      </c>
      <c r="AL46" s="107">
        <v>0</v>
      </c>
      <c r="AM46" s="107">
        <v>0</v>
      </c>
      <c r="AN46" s="107">
        <v>0</v>
      </c>
      <c r="AO46" s="107">
        <v>0</v>
      </c>
      <c r="AP46" s="107">
        <v>0</v>
      </c>
      <c r="AQ46" s="107">
        <v>0</v>
      </c>
      <c r="AR46" s="107">
        <v>0</v>
      </c>
      <c r="AS46" s="107">
        <v>0</v>
      </c>
      <c r="AT46" s="107">
        <v>0</v>
      </c>
      <c r="AU46" s="107">
        <v>1</v>
      </c>
      <c r="AV46" s="107">
        <v>1</v>
      </c>
      <c r="AW46" s="107">
        <v>1</v>
      </c>
      <c r="AX46" s="107">
        <v>0</v>
      </c>
      <c r="AY46" s="107">
        <v>0</v>
      </c>
      <c r="AZ46" s="107">
        <v>1</v>
      </c>
      <c r="BA46" s="107">
        <v>1</v>
      </c>
      <c r="BB46" s="107">
        <v>0</v>
      </c>
      <c r="BC46" s="107">
        <v>0</v>
      </c>
      <c r="BD46" s="107">
        <v>0</v>
      </c>
      <c r="BE46" s="107">
        <v>1</v>
      </c>
      <c r="BF46" s="107">
        <v>0</v>
      </c>
      <c r="BG46" s="107">
        <v>0</v>
      </c>
      <c r="BH46" s="107">
        <v>0</v>
      </c>
      <c r="BI46" s="107">
        <v>0</v>
      </c>
      <c r="BJ46" s="107">
        <v>0</v>
      </c>
      <c r="BK46" s="107">
        <v>0</v>
      </c>
      <c r="BL46" s="107">
        <v>0</v>
      </c>
      <c r="BM46" s="107">
        <v>0</v>
      </c>
      <c r="BN46" s="107">
        <v>0</v>
      </c>
      <c r="BO46" s="107">
        <v>0</v>
      </c>
      <c r="BP46" s="107">
        <v>0</v>
      </c>
      <c r="BQ46" s="107">
        <v>0</v>
      </c>
      <c r="BR46" s="107">
        <v>0</v>
      </c>
      <c r="BS46" s="107">
        <v>0</v>
      </c>
      <c r="BT46" s="107">
        <v>0</v>
      </c>
      <c r="BU46" s="107">
        <v>0</v>
      </c>
      <c r="BV46" s="107">
        <v>0</v>
      </c>
      <c r="BW46" s="107">
        <v>0</v>
      </c>
      <c r="BX46" s="107">
        <v>0</v>
      </c>
      <c r="BY46" s="107">
        <v>0</v>
      </c>
      <c r="BZ46" s="107">
        <v>0</v>
      </c>
      <c r="CA46" s="107">
        <v>0</v>
      </c>
      <c r="CB46" s="107">
        <v>0</v>
      </c>
      <c r="CC46" s="107">
        <v>0</v>
      </c>
    </row>
    <row r="47" spans="1:81" x14ac:dyDescent="0.15">
      <c r="A47" s="180" t="s">
        <v>236</v>
      </c>
      <c r="B47" s="107">
        <v>1</v>
      </c>
      <c r="C47" s="107">
        <v>1</v>
      </c>
      <c r="D47" s="107">
        <v>0</v>
      </c>
      <c r="E47" s="107">
        <v>0</v>
      </c>
      <c r="F47" s="107">
        <v>1</v>
      </c>
      <c r="G47" s="107">
        <v>1</v>
      </c>
      <c r="H47" s="107">
        <v>0</v>
      </c>
      <c r="I47" s="107">
        <v>1</v>
      </c>
      <c r="J47" s="107">
        <v>0</v>
      </c>
      <c r="K47" s="107">
        <v>0</v>
      </c>
      <c r="L47" s="107">
        <v>0</v>
      </c>
      <c r="M47" s="107">
        <v>0</v>
      </c>
      <c r="N47" s="107">
        <v>0</v>
      </c>
      <c r="O47" s="107">
        <v>0</v>
      </c>
      <c r="P47" s="107">
        <v>0</v>
      </c>
      <c r="Q47" s="107">
        <v>0</v>
      </c>
      <c r="R47" s="107">
        <v>0</v>
      </c>
      <c r="S47" s="107">
        <v>0</v>
      </c>
      <c r="T47" s="107">
        <v>0</v>
      </c>
      <c r="U47" s="107">
        <v>1</v>
      </c>
      <c r="V47" s="107">
        <v>1</v>
      </c>
      <c r="W47" s="107">
        <v>0</v>
      </c>
      <c r="X47" s="107">
        <v>0</v>
      </c>
      <c r="Y47" s="107">
        <v>0</v>
      </c>
      <c r="Z47" s="107">
        <v>1</v>
      </c>
      <c r="AA47" s="107">
        <v>0</v>
      </c>
      <c r="AB47" s="107">
        <v>0</v>
      </c>
      <c r="AC47" s="107">
        <v>0</v>
      </c>
      <c r="AD47" s="107">
        <v>0</v>
      </c>
      <c r="AE47" s="107">
        <v>0</v>
      </c>
      <c r="AF47" s="107">
        <v>0</v>
      </c>
      <c r="AG47" s="107">
        <v>1</v>
      </c>
      <c r="AH47" s="107">
        <v>1</v>
      </c>
      <c r="AI47" s="107">
        <v>0</v>
      </c>
      <c r="AJ47" s="107">
        <v>0</v>
      </c>
      <c r="AK47" s="107">
        <v>0</v>
      </c>
      <c r="AL47" s="107">
        <v>0</v>
      </c>
      <c r="AM47" s="107">
        <v>0</v>
      </c>
      <c r="AN47" s="107">
        <v>0</v>
      </c>
      <c r="AO47" s="107">
        <v>0</v>
      </c>
      <c r="AP47" s="107">
        <v>0</v>
      </c>
      <c r="AQ47" s="107">
        <v>0</v>
      </c>
      <c r="AR47" s="107">
        <v>0</v>
      </c>
      <c r="AS47" s="107">
        <v>0</v>
      </c>
      <c r="AT47" s="107">
        <v>0</v>
      </c>
      <c r="AU47" s="107">
        <v>0</v>
      </c>
      <c r="AV47" s="107">
        <v>1</v>
      </c>
      <c r="AW47" s="107">
        <v>1</v>
      </c>
      <c r="AX47" s="107">
        <v>0</v>
      </c>
      <c r="AY47" s="107">
        <v>0</v>
      </c>
      <c r="AZ47" s="107">
        <v>0</v>
      </c>
      <c r="BA47" s="107">
        <v>0</v>
      </c>
      <c r="BB47" s="107">
        <v>0</v>
      </c>
      <c r="BC47" s="107">
        <v>0</v>
      </c>
      <c r="BD47" s="107">
        <v>0</v>
      </c>
      <c r="BE47" s="107">
        <v>0</v>
      </c>
      <c r="BF47" s="107">
        <v>0</v>
      </c>
      <c r="BG47" s="107">
        <v>0</v>
      </c>
      <c r="BH47" s="107">
        <v>0</v>
      </c>
      <c r="BI47" s="107">
        <v>0</v>
      </c>
      <c r="BJ47" s="107">
        <v>0</v>
      </c>
      <c r="BK47" s="107">
        <v>0</v>
      </c>
      <c r="BL47" s="107">
        <v>0</v>
      </c>
      <c r="BM47" s="107">
        <v>0</v>
      </c>
      <c r="BN47" s="107">
        <v>0</v>
      </c>
      <c r="BO47" s="107">
        <v>0</v>
      </c>
      <c r="BP47" s="107">
        <v>0</v>
      </c>
      <c r="BQ47" s="107">
        <v>0</v>
      </c>
      <c r="BR47" s="107">
        <v>0</v>
      </c>
      <c r="BS47" s="107">
        <v>0</v>
      </c>
      <c r="BT47" s="107">
        <v>0</v>
      </c>
      <c r="BU47" s="107">
        <v>0</v>
      </c>
      <c r="BV47" s="107">
        <v>0</v>
      </c>
      <c r="BW47" s="107">
        <v>0</v>
      </c>
      <c r="BX47" s="107">
        <v>0</v>
      </c>
      <c r="BY47" s="107">
        <v>0</v>
      </c>
      <c r="BZ47" s="107">
        <v>0</v>
      </c>
      <c r="CA47" s="107">
        <v>0</v>
      </c>
      <c r="CB47" s="107">
        <v>0</v>
      </c>
      <c r="CC47" s="107">
        <v>0</v>
      </c>
    </row>
    <row r="48" spans="1:81" x14ac:dyDescent="0.15">
      <c r="A48" s="180" t="s">
        <v>237</v>
      </c>
      <c r="B48" s="107">
        <v>1</v>
      </c>
      <c r="C48" s="107">
        <v>1</v>
      </c>
      <c r="D48" s="107">
        <v>0</v>
      </c>
      <c r="E48" s="107">
        <v>0</v>
      </c>
      <c r="F48" s="107">
        <v>1</v>
      </c>
      <c r="G48" s="107">
        <v>1</v>
      </c>
      <c r="H48" s="107">
        <v>0</v>
      </c>
      <c r="I48" s="107">
        <v>1</v>
      </c>
      <c r="J48" s="107">
        <v>0</v>
      </c>
      <c r="K48" s="107">
        <v>0</v>
      </c>
      <c r="L48" s="107">
        <v>0</v>
      </c>
      <c r="M48" s="107">
        <v>0</v>
      </c>
      <c r="N48" s="107">
        <v>1</v>
      </c>
      <c r="O48" s="107">
        <v>0</v>
      </c>
      <c r="P48" s="107">
        <v>0</v>
      </c>
      <c r="Q48" s="107">
        <v>0</v>
      </c>
      <c r="R48" s="107">
        <v>0</v>
      </c>
      <c r="S48" s="107">
        <v>0</v>
      </c>
      <c r="T48" s="107">
        <v>0</v>
      </c>
      <c r="U48" s="107">
        <v>0</v>
      </c>
      <c r="V48" s="107">
        <v>1</v>
      </c>
      <c r="W48" s="107">
        <v>0</v>
      </c>
      <c r="X48" s="107">
        <v>0</v>
      </c>
      <c r="Y48" s="107">
        <v>0</v>
      </c>
      <c r="Z48" s="107">
        <v>1</v>
      </c>
      <c r="AA48" s="107">
        <v>1</v>
      </c>
      <c r="AB48" s="107">
        <v>0</v>
      </c>
      <c r="AC48" s="107">
        <v>0</v>
      </c>
      <c r="AD48" s="107">
        <v>0</v>
      </c>
      <c r="AE48" s="107">
        <v>0</v>
      </c>
      <c r="AF48" s="107">
        <v>1</v>
      </c>
      <c r="AG48" s="107">
        <v>1</v>
      </c>
      <c r="AH48" s="107">
        <v>1</v>
      </c>
      <c r="AI48" s="107">
        <v>1</v>
      </c>
      <c r="AJ48" s="107">
        <v>0</v>
      </c>
      <c r="AK48" s="107">
        <v>0</v>
      </c>
      <c r="AL48" s="107">
        <v>0</v>
      </c>
      <c r="AM48" s="107">
        <v>0</v>
      </c>
      <c r="AN48" s="107">
        <v>0</v>
      </c>
      <c r="AO48" s="107">
        <v>0</v>
      </c>
      <c r="AP48" s="107">
        <v>0</v>
      </c>
      <c r="AQ48" s="107">
        <v>0</v>
      </c>
      <c r="AR48" s="107">
        <v>0</v>
      </c>
      <c r="AS48" s="107">
        <v>0</v>
      </c>
      <c r="AT48" s="107">
        <v>0</v>
      </c>
      <c r="AU48" s="107">
        <v>0</v>
      </c>
      <c r="AV48" s="107">
        <v>0</v>
      </c>
      <c r="AW48" s="107">
        <v>0</v>
      </c>
      <c r="AX48" s="107">
        <v>0</v>
      </c>
      <c r="AY48" s="107">
        <v>0</v>
      </c>
      <c r="AZ48" s="107">
        <v>0</v>
      </c>
      <c r="BA48" s="107">
        <v>0</v>
      </c>
      <c r="BB48" s="107">
        <v>0</v>
      </c>
      <c r="BC48" s="107">
        <v>0</v>
      </c>
      <c r="BD48" s="107">
        <v>0</v>
      </c>
      <c r="BE48" s="107">
        <v>0</v>
      </c>
      <c r="BF48" s="107">
        <v>0</v>
      </c>
      <c r="BG48" s="107">
        <v>0</v>
      </c>
      <c r="BH48" s="107">
        <v>0</v>
      </c>
      <c r="BI48" s="107">
        <v>0</v>
      </c>
      <c r="BJ48" s="107">
        <v>0</v>
      </c>
      <c r="BK48" s="107">
        <v>0</v>
      </c>
      <c r="BL48" s="107">
        <v>0</v>
      </c>
      <c r="BM48" s="107">
        <v>0</v>
      </c>
      <c r="BN48" s="107">
        <v>0</v>
      </c>
      <c r="BO48" s="107">
        <v>0</v>
      </c>
      <c r="BP48" s="107">
        <v>0</v>
      </c>
      <c r="BQ48" s="107">
        <v>0</v>
      </c>
      <c r="BR48" s="107">
        <v>0</v>
      </c>
      <c r="BS48" s="107">
        <v>0</v>
      </c>
      <c r="BT48" s="107">
        <v>0</v>
      </c>
      <c r="BU48" s="107">
        <v>0</v>
      </c>
      <c r="BV48" s="107">
        <v>0</v>
      </c>
      <c r="BW48" s="107">
        <v>0</v>
      </c>
      <c r="BX48" s="107">
        <v>0</v>
      </c>
      <c r="BY48" s="107">
        <v>0</v>
      </c>
      <c r="BZ48" s="107">
        <v>0</v>
      </c>
      <c r="CA48" s="107">
        <v>0</v>
      </c>
      <c r="CB48" s="107">
        <v>0</v>
      </c>
      <c r="CC48" s="107">
        <v>0</v>
      </c>
    </row>
    <row r="49" spans="1:81" x14ac:dyDescent="0.15">
      <c r="A49" s="180" t="s">
        <v>238</v>
      </c>
      <c r="B49" s="107">
        <v>0</v>
      </c>
      <c r="C49" s="107">
        <v>1</v>
      </c>
      <c r="D49" s="107">
        <v>0</v>
      </c>
      <c r="E49" s="107">
        <v>0</v>
      </c>
      <c r="F49" s="107">
        <v>1</v>
      </c>
      <c r="G49" s="107">
        <v>1</v>
      </c>
      <c r="H49" s="107">
        <v>1</v>
      </c>
      <c r="I49" s="107">
        <v>1</v>
      </c>
      <c r="J49" s="107">
        <v>1</v>
      </c>
      <c r="K49" s="107">
        <v>1</v>
      </c>
      <c r="L49" s="107">
        <v>0</v>
      </c>
      <c r="M49" s="107">
        <v>0</v>
      </c>
      <c r="N49" s="107">
        <v>1</v>
      </c>
      <c r="O49" s="107">
        <v>0</v>
      </c>
      <c r="P49" s="107">
        <v>0</v>
      </c>
      <c r="Q49" s="107">
        <v>0</v>
      </c>
      <c r="R49" s="107">
        <v>0</v>
      </c>
      <c r="S49" s="107">
        <v>0</v>
      </c>
      <c r="T49" s="107">
        <v>1</v>
      </c>
      <c r="U49" s="107">
        <v>1</v>
      </c>
      <c r="V49" s="107">
        <v>1</v>
      </c>
      <c r="W49" s="107">
        <v>0</v>
      </c>
      <c r="X49" s="107">
        <v>0</v>
      </c>
      <c r="Y49" s="107">
        <v>0</v>
      </c>
      <c r="Z49" s="107">
        <v>1</v>
      </c>
      <c r="AA49" s="107">
        <v>0</v>
      </c>
      <c r="AB49" s="107">
        <v>0</v>
      </c>
      <c r="AC49" s="107">
        <v>1</v>
      </c>
      <c r="AD49" s="107">
        <v>1</v>
      </c>
      <c r="AE49" s="107">
        <v>1</v>
      </c>
      <c r="AF49" s="107">
        <v>1</v>
      </c>
      <c r="AG49" s="107">
        <v>1</v>
      </c>
      <c r="AH49" s="107">
        <v>0</v>
      </c>
      <c r="AI49" s="107">
        <v>0</v>
      </c>
      <c r="AJ49" s="107">
        <v>0</v>
      </c>
      <c r="AK49" s="107">
        <v>0</v>
      </c>
      <c r="AL49" s="107">
        <v>0</v>
      </c>
      <c r="AM49" s="107">
        <v>0</v>
      </c>
      <c r="AN49" s="107">
        <v>0</v>
      </c>
      <c r="AO49" s="107">
        <v>0</v>
      </c>
      <c r="AP49" s="107">
        <v>0</v>
      </c>
      <c r="AQ49" s="107">
        <v>0</v>
      </c>
      <c r="AR49" s="107">
        <v>0</v>
      </c>
      <c r="AS49" s="107">
        <v>0</v>
      </c>
      <c r="AT49" s="107">
        <v>0</v>
      </c>
      <c r="AU49" s="107">
        <v>0</v>
      </c>
      <c r="AV49" s="107">
        <v>0</v>
      </c>
      <c r="AW49" s="107">
        <v>0</v>
      </c>
      <c r="AX49" s="107">
        <v>0</v>
      </c>
      <c r="AY49" s="107">
        <v>0</v>
      </c>
      <c r="AZ49" s="107">
        <v>0</v>
      </c>
      <c r="BA49" s="107">
        <v>0</v>
      </c>
      <c r="BB49" s="107">
        <v>0</v>
      </c>
      <c r="BC49" s="107">
        <v>0</v>
      </c>
      <c r="BD49" s="107">
        <v>0</v>
      </c>
      <c r="BE49" s="107">
        <v>0</v>
      </c>
      <c r="BF49" s="107">
        <v>1</v>
      </c>
      <c r="BG49" s="107">
        <v>0</v>
      </c>
      <c r="BH49" s="107">
        <v>0</v>
      </c>
      <c r="BI49" s="107">
        <v>0</v>
      </c>
      <c r="BJ49" s="107">
        <v>0</v>
      </c>
      <c r="BK49" s="107">
        <v>0</v>
      </c>
      <c r="BL49" s="107">
        <v>0</v>
      </c>
      <c r="BM49" s="107">
        <v>0</v>
      </c>
      <c r="BN49" s="107">
        <v>0</v>
      </c>
      <c r="BO49" s="107">
        <v>0</v>
      </c>
      <c r="BP49" s="107">
        <v>0</v>
      </c>
      <c r="BQ49" s="107">
        <v>0</v>
      </c>
      <c r="BR49" s="107">
        <v>0</v>
      </c>
      <c r="BS49" s="107">
        <v>0</v>
      </c>
      <c r="BT49" s="107">
        <v>0</v>
      </c>
      <c r="BU49" s="107">
        <v>0</v>
      </c>
      <c r="BV49" s="107">
        <v>0</v>
      </c>
      <c r="BW49" s="107">
        <v>0</v>
      </c>
      <c r="BX49" s="107">
        <v>0</v>
      </c>
      <c r="BY49" s="107">
        <v>0</v>
      </c>
      <c r="BZ49" s="107">
        <v>0</v>
      </c>
      <c r="CA49" s="107">
        <v>0</v>
      </c>
      <c r="CB49" s="107">
        <v>0</v>
      </c>
      <c r="CC49" s="107">
        <v>0</v>
      </c>
    </row>
    <row r="50" spans="1:81" x14ac:dyDescent="0.15">
      <c r="A50" s="180" t="s">
        <v>239</v>
      </c>
      <c r="B50" s="107">
        <v>0</v>
      </c>
      <c r="C50" s="107">
        <v>0</v>
      </c>
      <c r="D50" s="107">
        <v>0</v>
      </c>
      <c r="E50" s="107">
        <v>0</v>
      </c>
      <c r="F50" s="107">
        <v>0</v>
      </c>
      <c r="G50" s="107">
        <v>0</v>
      </c>
      <c r="H50" s="107">
        <v>0</v>
      </c>
      <c r="I50" s="107">
        <v>0</v>
      </c>
      <c r="J50" s="107">
        <v>1</v>
      </c>
      <c r="K50" s="107">
        <v>0</v>
      </c>
      <c r="L50" s="107">
        <v>0</v>
      </c>
      <c r="M50" s="107">
        <v>0</v>
      </c>
      <c r="N50" s="107">
        <v>1</v>
      </c>
      <c r="O50" s="107">
        <v>0</v>
      </c>
      <c r="P50" s="107">
        <v>1</v>
      </c>
      <c r="Q50" s="107">
        <v>1</v>
      </c>
      <c r="R50" s="107">
        <v>0</v>
      </c>
      <c r="S50" s="107">
        <v>0</v>
      </c>
      <c r="T50" s="107">
        <v>0</v>
      </c>
      <c r="U50" s="107">
        <v>1</v>
      </c>
      <c r="V50" s="107">
        <v>1</v>
      </c>
      <c r="W50" s="107">
        <v>0</v>
      </c>
      <c r="X50" s="107">
        <v>0</v>
      </c>
      <c r="Y50" s="107">
        <v>0</v>
      </c>
      <c r="Z50" s="107">
        <v>1</v>
      </c>
      <c r="AA50" s="107">
        <v>0</v>
      </c>
      <c r="AB50" s="107">
        <v>0</v>
      </c>
      <c r="AC50" s="107">
        <v>1</v>
      </c>
      <c r="AD50" s="107">
        <v>0</v>
      </c>
      <c r="AE50" s="107">
        <v>0</v>
      </c>
      <c r="AF50" s="107">
        <v>0</v>
      </c>
      <c r="AG50" s="107">
        <v>1</v>
      </c>
      <c r="AH50" s="107">
        <v>0</v>
      </c>
      <c r="AI50" s="107">
        <v>0</v>
      </c>
      <c r="AJ50" s="107">
        <v>0</v>
      </c>
      <c r="AK50" s="107">
        <v>0</v>
      </c>
      <c r="AL50" s="107">
        <v>0</v>
      </c>
      <c r="AM50" s="107">
        <v>0</v>
      </c>
      <c r="AN50" s="107">
        <v>0</v>
      </c>
      <c r="AO50" s="107">
        <v>0</v>
      </c>
      <c r="AP50" s="107">
        <v>0</v>
      </c>
      <c r="AQ50" s="107">
        <v>0</v>
      </c>
      <c r="AR50" s="107">
        <v>0</v>
      </c>
      <c r="AS50" s="107">
        <v>0</v>
      </c>
      <c r="AT50" s="107">
        <v>0</v>
      </c>
      <c r="AU50" s="107">
        <v>0</v>
      </c>
      <c r="AV50" s="107">
        <v>0</v>
      </c>
      <c r="AW50" s="107">
        <v>0</v>
      </c>
      <c r="AX50" s="107">
        <v>0</v>
      </c>
      <c r="AY50" s="107">
        <v>0</v>
      </c>
      <c r="AZ50" s="107">
        <v>0</v>
      </c>
      <c r="BA50" s="107">
        <v>1</v>
      </c>
      <c r="BB50" s="107">
        <v>0</v>
      </c>
      <c r="BC50" s="107">
        <v>0</v>
      </c>
      <c r="BD50" s="107">
        <v>0</v>
      </c>
      <c r="BE50" s="107">
        <v>0</v>
      </c>
      <c r="BF50" s="107">
        <v>0</v>
      </c>
      <c r="BG50" s="107">
        <v>0</v>
      </c>
      <c r="BH50" s="107">
        <v>0</v>
      </c>
      <c r="BI50" s="107">
        <v>0</v>
      </c>
      <c r="BJ50" s="107">
        <v>0</v>
      </c>
      <c r="BK50" s="107">
        <v>0</v>
      </c>
      <c r="BL50" s="107">
        <v>0</v>
      </c>
      <c r="BM50" s="107">
        <v>0</v>
      </c>
      <c r="BN50" s="107">
        <v>0</v>
      </c>
      <c r="BO50" s="107">
        <v>0</v>
      </c>
      <c r="BP50" s="107">
        <v>0</v>
      </c>
      <c r="BQ50" s="107">
        <v>0</v>
      </c>
      <c r="BR50" s="107">
        <v>0</v>
      </c>
      <c r="BS50" s="107">
        <v>0</v>
      </c>
      <c r="BT50" s="107">
        <v>0</v>
      </c>
      <c r="BU50" s="107">
        <v>0</v>
      </c>
      <c r="BV50" s="107">
        <v>0</v>
      </c>
      <c r="BW50" s="107">
        <v>0</v>
      </c>
      <c r="BX50" s="107">
        <v>0</v>
      </c>
      <c r="BY50" s="107">
        <v>0</v>
      </c>
      <c r="BZ50" s="107">
        <v>0</v>
      </c>
      <c r="CA50" s="107">
        <v>0</v>
      </c>
      <c r="CB50" s="107">
        <v>0</v>
      </c>
      <c r="CC50" s="107">
        <v>0</v>
      </c>
    </row>
    <row r="51" spans="1:81" x14ac:dyDescent="0.15">
      <c r="A51" s="180" t="s">
        <v>240</v>
      </c>
      <c r="B51" s="107">
        <v>0</v>
      </c>
      <c r="C51" s="107">
        <v>0</v>
      </c>
      <c r="D51" s="107">
        <v>0</v>
      </c>
      <c r="E51" s="107">
        <v>0</v>
      </c>
      <c r="F51" s="107">
        <v>0</v>
      </c>
      <c r="G51" s="107">
        <v>0</v>
      </c>
      <c r="H51" s="107">
        <v>0</v>
      </c>
      <c r="I51" s="107">
        <v>0</v>
      </c>
      <c r="J51" s="107">
        <v>0</v>
      </c>
      <c r="K51" s="107">
        <v>0</v>
      </c>
      <c r="L51" s="107">
        <v>1</v>
      </c>
      <c r="M51" s="107">
        <v>0</v>
      </c>
      <c r="N51" s="107">
        <v>1</v>
      </c>
      <c r="O51" s="107">
        <v>0</v>
      </c>
      <c r="P51" s="107">
        <v>0</v>
      </c>
      <c r="Q51" s="107">
        <v>1</v>
      </c>
      <c r="R51" s="107">
        <v>0</v>
      </c>
      <c r="S51" s="107">
        <v>0</v>
      </c>
      <c r="T51" s="107">
        <v>1</v>
      </c>
      <c r="U51" s="107">
        <v>1</v>
      </c>
      <c r="V51" s="107">
        <v>0</v>
      </c>
      <c r="W51" s="107">
        <v>0</v>
      </c>
      <c r="X51" s="107">
        <v>0</v>
      </c>
      <c r="Y51" s="107">
        <v>1</v>
      </c>
      <c r="Z51" s="107">
        <v>1</v>
      </c>
      <c r="AA51" s="107">
        <v>0</v>
      </c>
      <c r="AB51" s="107">
        <v>0</v>
      </c>
      <c r="AC51" s="107">
        <v>0</v>
      </c>
      <c r="AD51" s="107">
        <v>0</v>
      </c>
      <c r="AE51" s="107">
        <v>1</v>
      </c>
      <c r="AF51" s="107">
        <v>1</v>
      </c>
      <c r="AG51" s="107">
        <v>0</v>
      </c>
      <c r="AH51" s="107">
        <v>0</v>
      </c>
      <c r="AI51" s="107">
        <v>0</v>
      </c>
      <c r="AJ51" s="107">
        <v>0</v>
      </c>
      <c r="AK51" s="107">
        <v>0</v>
      </c>
      <c r="AL51" s="107">
        <v>0</v>
      </c>
      <c r="AM51" s="107">
        <v>0</v>
      </c>
      <c r="AN51" s="107">
        <v>0</v>
      </c>
      <c r="AO51" s="107">
        <v>0</v>
      </c>
      <c r="AP51" s="107">
        <v>0</v>
      </c>
      <c r="AQ51" s="107">
        <v>0</v>
      </c>
      <c r="AR51" s="107">
        <v>0</v>
      </c>
      <c r="AS51" s="107">
        <v>0</v>
      </c>
      <c r="AT51" s="107">
        <v>0</v>
      </c>
      <c r="AU51" s="107">
        <v>0</v>
      </c>
      <c r="AV51" s="107">
        <v>0</v>
      </c>
      <c r="AW51" s="107">
        <v>1</v>
      </c>
      <c r="AX51" s="107">
        <v>0</v>
      </c>
      <c r="AY51" s="107">
        <v>0</v>
      </c>
      <c r="AZ51" s="107">
        <v>0</v>
      </c>
      <c r="BA51" s="107">
        <v>1</v>
      </c>
      <c r="BB51" s="107">
        <v>0</v>
      </c>
      <c r="BC51" s="107">
        <v>0</v>
      </c>
      <c r="BD51" s="107">
        <v>0</v>
      </c>
      <c r="BE51" s="107">
        <v>0</v>
      </c>
      <c r="BF51" s="107">
        <v>0</v>
      </c>
      <c r="BG51" s="107">
        <v>0</v>
      </c>
      <c r="BH51" s="107">
        <v>0</v>
      </c>
      <c r="BI51" s="107">
        <v>0</v>
      </c>
      <c r="BJ51" s="107">
        <v>0</v>
      </c>
      <c r="BK51" s="107">
        <v>0</v>
      </c>
      <c r="BL51" s="107">
        <v>0</v>
      </c>
      <c r="BM51" s="107">
        <v>0</v>
      </c>
      <c r="BN51" s="107">
        <v>0</v>
      </c>
      <c r="BO51" s="107">
        <v>0</v>
      </c>
      <c r="BP51" s="107">
        <v>0</v>
      </c>
      <c r="BQ51" s="107">
        <v>0</v>
      </c>
      <c r="BR51" s="107">
        <v>0</v>
      </c>
      <c r="BS51" s="107">
        <v>0</v>
      </c>
      <c r="BT51" s="107">
        <v>0</v>
      </c>
      <c r="BU51" s="107">
        <v>0</v>
      </c>
      <c r="BV51" s="107">
        <v>0</v>
      </c>
      <c r="BW51" s="107">
        <v>0</v>
      </c>
      <c r="BX51" s="107">
        <v>0</v>
      </c>
      <c r="BY51" s="107">
        <v>0</v>
      </c>
      <c r="BZ51" s="107">
        <v>0</v>
      </c>
      <c r="CA51" s="107">
        <v>0</v>
      </c>
      <c r="CB51" s="107">
        <v>0</v>
      </c>
      <c r="CC51" s="107">
        <v>0</v>
      </c>
    </row>
    <row r="52" spans="1:81" x14ac:dyDescent="0.15">
      <c r="A52" s="180" t="s">
        <v>241</v>
      </c>
      <c r="B52" s="107">
        <v>0</v>
      </c>
      <c r="C52" s="107">
        <v>1</v>
      </c>
      <c r="D52" s="107">
        <v>0</v>
      </c>
      <c r="E52" s="107">
        <v>0</v>
      </c>
      <c r="F52" s="107">
        <v>0</v>
      </c>
      <c r="G52" s="107">
        <v>0</v>
      </c>
      <c r="H52" s="107">
        <v>1</v>
      </c>
      <c r="I52" s="107">
        <v>1</v>
      </c>
      <c r="J52" s="107">
        <v>0</v>
      </c>
      <c r="K52" s="107">
        <v>0</v>
      </c>
      <c r="L52" s="107">
        <v>1</v>
      </c>
      <c r="M52" s="107">
        <v>0</v>
      </c>
      <c r="N52" s="107">
        <v>1</v>
      </c>
      <c r="O52" s="107">
        <v>0</v>
      </c>
      <c r="P52" s="107">
        <v>0</v>
      </c>
      <c r="Q52" s="107">
        <v>1</v>
      </c>
      <c r="R52" s="107">
        <v>1</v>
      </c>
      <c r="S52" s="107">
        <v>0</v>
      </c>
      <c r="T52" s="107">
        <v>1</v>
      </c>
      <c r="U52" s="107">
        <v>1</v>
      </c>
      <c r="V52" s="107">
        <v>1</v>
      </c>
      <c r="W52" s="107">
        <v>0</v>
      </c>
      <c r="X52" s="107">
        <v>0</v>
      </c>
      <c r="Y52" s="107">
        <v>1</v>
      </c>
      <c r="Z52" s="107">
        <v>0</v>
      </c>
      <c r="AA52" s="107">
        <v>1</v>
      </c>
      <c r="AB52" s="107">
        <v>0</v>
      </c>
      <c r="AC52" s="107">
        <v>1</v>
      </c>
      <c r="AD52" s="107">
        <v>1</v>
      </c>
      <c r="AE52" s="107">
        <v>1</v>
      </c>
      <c r="AF52" s="107">
        <v>1</v>
      </c>
      <c r="AG52" s="107">
        <v>0</v>
      </c>
      <c r="AH52" s="107">
        <v>0</v>
      </c>
      <c r="AI52" s="107">
        <v>0</v>
      </c>
      <c r="AJ52" s="107">
        <v>0</v>
      </c>
      <c r="AK52" s="107">
        <v>0</v>
      </c>
      <c r="AL52" s="107">
        <v>0</v>
      </c>
      <c r="AM52" s="107">
        <v>0</v>
      </c>
      <c r="AN52" s="107">
        <v>0</v>
      </c>
      <c r="AO52" s="107">
        <v>0</v>
      </c>
      <c r="AP52" s="107">
        <v>0</v>
      </c>
      <c r="AQ52" s="107">
        <v>0</v>
      </c>
      <c r="AR52" s="107">
        <v>0</v>
      </c>
      <c r="AS52" s="107">
        <v>1</v>
      </c>
      <c r="AT52" s="107">
        <v>0</v>
      </c>
      <c r="AU52" s="107">
        <v>0</v>
      </c>
      <c r="AV52" s="107">
        <v>0</v>
      </c>
      <c r="AW52" s="107">
        <v>1</v>
      </c>
      <c r="AX52" s="107">
        <v>0</v>
      </c>
      <c r="AY52" s="107">
        <v>0</v>
      </c>
      <c r="AZ52" s="107">
        <v>0</v>
      </c>
      <c r="BA52" s="107">
        <v>1</v>
      </c>
      <c r="BB52" s="107">
        <v>0</v>
      </c>
      <c r="BC52" s="107">
        <v>0</v>
      </c>
      <c r="BD52" s="107">
        <v>0</v>
      </c>
      <c r="BE52" s="107">
        <v>0</v>
      </c>
      <c r="BF52" s="107">
        <v>0</v>
      </c>
      <c r="BG52" s="107">
        <v>0</v>
      </c>
      <c r="BH52" s="107">
        <v>0</v>
      </c>
      <c r="BI52" s="107">
        <v>0</v>
      </c>
      <c r="BJ52" s="107">
        <v>0</v>
      </c>
      <c r="BK52" s="107">
        <v>0</v>
      </c>
      <c r="BL52" s="107">
        <v>0</v>
      </c>
      <c r="BM52" s="107">
        <v>0</v>
      </c>
      <c r="BN52" s="107">
        <v>0</v>
      </c>
      <c r="BO52" s="107">
        <v>0</v>
      </c>
      <c r="BP52" s="107">
        <v>0</v>
      </c>
      <c r="BQ52" s="107">
        <v>0</v>
      </c>
      <c r="BR52" s="107">
        <v>0</v>
      </c>
      <c r="BS52" s="107">
        <v>0</v>
      </c>
      <c r="BT52" s="107">
        <v>0</v>
      </c>
      <c r="BU52" s="107">
        <v>0</v>
      </c>
      <c r="BV52" s="107">
        <v>0</v>
      </c>
      <c r="BW52" s="107">
        <v>0</v>
      </c>
      <c r="BX52" s="107">
        <v>0</v>
      </c>
      <c r="BY52" s="107">
        <v>0</v>
      </c>
      <c r="BZ52" s="107">
        <v>0</v>
      </c>
      <c r="CA52" s="107">
        <v>0</v>
      </c>
      <c r="CB52" s="107">
        <v>0</v>
      </c>
      <c r="CC52" s="107">
        <v>0</v>
      </c>
    </row>
    <row r="53" spans="1:81" x14ac:dyDescent="0.15">
      <c r="A53" s="180" t="s">
        <v>242</v>
      </c>
      <c r="B53" s="107">
        <v>0</v>
      </c>
      <c r="C53" s="107">
        <v>1</v>
      </c>
      <c r="D53" s="107">
        <v>0</v>
      </c>
      <c r="E53" s="107">
        <v>0</v>
      </c>
      <c r="F53" s="107">
        <v>1</v>
      </c>
      <c r="G53" s="107">
        <v>0</v>
      </c>
      <c r="H53" s="107">
        <v>1</v>
      </c>
      <c r="I53" s="107">
        <v>1</v>
      </c>
      <c r="J53" s="107">
        <v>1</v>
      </c>
      <c r="K53" s="107">
        <v>1</v>
      </c>
      <c r="L53" s="107">
        <v>0</v>
      </c>
      <c r="M53" s="107">
        <v>0</v>
      </c>
      <c r="N53" s="107">
        <v>1</v>
      </c>
      <c r="O53" s="107">
        <v>0</v>
      </c>
      <c r="P53" s="107">
        <v>0</v>
      </c>
      <c r="Q53" s="107">
        <v>0</v>
      </c>
      <c r="R53" s="107">
        <v>1</v>
      </c>
      <c r="S53" s="107">
        <v>0</v>
      </c>
      <c r="T53" s="107">
        <v>0</v>
      </c>
      <c r="U53" s="107">
        <v>0</v>
      </c>
      <c r="V53" s="107">
        <v>1</v>
      </c>
      <c r="W53" s="107">
        <v>0</v>
      </c>
      <c r="X53" s="107">
        <v>0</v>
      </c>
      <c r="Y53" s="107">
        <v>1</v>
      </c>
      <c r="Z53" s="107">
        <v>0</v>
      </c>
      <c r="AA53" s="107">
        <v>1</v>
      </c>
      <c r="AB53" s="107">
        <v>0</v>
      </c>
      <c r="AC53" s="107">
        <v>1</v>
      </c>
      <c r="AD53" s="107">
        <v>1</v>
      </c>
      <c r="AE53" s="107">
        <v>1</v>
      </c>
      <c r="AF53" s="107">
        <v>1</v>
      </c>
      <c r="AG53" s="107">
        <v>0</v>
      </c>
      <c r="AH53" s="107">
        <v>0</v>
      </c>
      <c r="AI53" s="107">
        <v>0</v>
      </c>
      <c r="AJ53" s="107">
        <v>0</v>
      </c>
      <c r="AK53" s="107">
        <v>0</v>
      </c>
      <c r="AL53" s="107">
        <v>0</v>
      </c>
      <c r="AM53" s="107">
        <v>0</v>
      </c>
      <c r="AN53" s="107">
        <v>0</v>
      </c>
      <c r="AO53" s="107">
        <v>0</v>
      </c>
      <c r="AP53" s="107">
        <v>0</v>
      </c>
      <c r="AQ53" s="107">
        <v>0</v>
      </c>
      <c r="AR53" s="107">
        <v>0</v>
      </c>
      <c r="AS53" s="107">
        <v>0</v>
      </c>
      <c r="AT53" s="107">
        <v>0</v>
      </c>
      <c r="AU53" s="107">
        <v>0</v>
      </c>
      <c r="AV53" s="107">
        <v>0</v>
      </c>
      <c r="AW53" s="107">
        <v>1</v>
      </c>
      <c r="AX53" s="107">
        <v>0</v>
      </c>
      <c r="AY53" s="107">
        <v>0</v>
      </c>
      <c r="AZ53" s="107">
        <v>0</v>
      </c>
      <c r="BA53" s="107">
        <v>0</v>
      </c>
      <c r="BB53" s="107">
        <v>0</v>
      </c>
      <c r="BC53" s="107">
        <v>0</v>
      </c>
      <c r="BD53" s="107">
        <v>0</v>
      </c>
      <c r="BE53" s="107">
        <v>0</v>
      </c>
      <c r="BF53" s="107">
        <v>0</v>
      </c>
      <c r="BG53" s="107">
        <v>0</v>
      </c>
      <c r="BH53" s="107">
        <v>0</v>
      </c>
      <c r="BI53" s="107">
        <v>0</v>
      </c>
      <c r="BJ53" s="107">
        <v>0</v>
      </c>
      <c r="BK53" s="107">
        <v>0</v>
      </c>
      <c r="BL53" s="107">
        <v>0</v>
      </c>
      <c r="BM53" s="107">
        <v>0</v>
      </c>
      <c r="BN53" s="107">
        <v>0</v>
      </c>
      <c r="BO53" s="107">
        <v>0</v>
      </c>
      <c r="BP53" s="107">
        <v>0</v>
      </c>
      <c r="BQ53" s="107">
        <v>0</v>
      </c>
      <c r="BR53" s="107">
        <v>0</v>
      </c>
      <c r="BS53" s="107">
        <v>0</v>
      </c>
      <c r="BT53" s="107">
        <v>0</v>
      </c>
      <c r="BU53" s="107">
        <v>0</v>
      </c>
      <c r="BV53" s="107">
        <v>0</v>
      </c>
      <c r="BW53" s="107">
        <v>0</v>
      </c>
      <c r="BX53" s="107">
        <v>0</v>
      </c>
      <c r="BY53" s="107">
        <v>0</v>
      </c>
      <c r="BZ53" s="107">
        <v>0</v>
      </c>
      <c r="CA53" s="107">
        <v>0</v>
      </c>
      <c r="CB53" s="107">
        <v>0</v>
      </c>
      <c r="CC53" s="107">
        <v>0</v>
      </c>
    </row>
    <row r="54" spans="1:81" x14ac:dyDescent="0.15">
      <c r="A54" s="180" t="s">
        <v>243</v>
      </c>
      <c r="B54" s="107">
        <v>0</v>
      </c>
      <c r="C54" s="107">
        <v>0</v>
      </c>
      <c r="D54" s="107">
        <v>0</v>
      </c>
      <c r="E54" s="107">
        <v>0</v>
      </c>
      <c r="F54" s="107">
        <v>0</v>
      </c>
      <c r="G54" s="107">
        <v>0</v>
      </c>
      <c r="H54" s="107">
        <v>0</v>
      </c>
      <c r="I54" s="107">
        <v>0</v>
      </c>
      <c r="J54" s="107">
        <v>0</v>
      </c>
      <c r="K54" s="107">
        <v>0</v>
      </c>
      <c r="L54" s="107">
        <v>0</v>
      </c>
      <c r="M54" s="107">
        <v>0</v>
      </c>
      <c r="N54" s="107">
        <v>0</v>
      </c>
      <c r="O54" s="107">
        <v>0</v>
      </c>
      <c r="P54" s="107">
        <v>1</v>
      </c>
      <c r="Q54" s="107">
        <v>1</v>
      </c>
      <c r="R54" s="107">
        <v>1</v>
      </c>
      <c r="S54" s="107">
        <v>0</v>
      </c>
      <c r="T54" s="107">
        <v>0</v>
      </c>
      <c r="U54" s="107">
        <v>0</v>
      </c>
      <c r="V54" s="107">
        <v>0</v>
      </c>
      <c r="W54" s="107">
        <v>0</v>
      </c>
      <c r="X54" s="107">
        <v>0</v>
      </c>
      <c r="Y54" s="107">
        <v>1</v>
      </c>
      <c r="Z54" s="107">
        <v>0</v>
      </c>
      <c r="AA54" s="107">
        <v>0</v>
      </c>
      <c r="AB54" s="107">
        <v>0</v>
      </c>
      <c r="AC54" s="107">
        <v>0</v>
      </c>
      <c r="AD54" s="107">
        <v>0</v>
      </c>
      <c r="AE54" s="107">
        <v>1</v>
      </c>
      <c r="AF54" s="107">
        <v>1</v>
      </c>
      <c r="AG54" s="107">
        <v>0</v>
      </c>
      <c r="AH54" s="107">
        <v>0</v>
      </c>
      <c r="AI54" s="107">
        <v>0</v>
      </c>
      <c r="AJ54" s="107">
        <v>0</v>
      </c>
      <c r="AK54" s="107">
        <v>0</v>
      </c>
      <c r="AL54" s="107">
        <v>0</v>
      </c>
      <c r="AM54" s="107">
        <v>0</v>
      </c>
      <c r="AN54" s="107">
        <v>0</v>
      </c>
      <c r="AO54" s="107">
        <v>0</v>
      </c>
      <c r="AP54" s="107">
        <v>0</v>
      </c>
      <c r="AQ54" s="107">
        <v>0</v>
      </c>
      <c r="AR54" s="107">
        <v>0</v>
      </c>
      <c r="AS54" s="107">
        <v>0</v>
      </c>
      <c r="AT54" s="107">
        <v>1</v>
      </c>
      <c r="AU54" s="107">
        <v>0</v>
      </c>
      <c r="AV54" s="107">
        <v>0</v>
      </c>
      <c r="AW54" s="107">
        <v>0</v>
      </c>
      <c r="AX54" s="107">
        <v>0</v>
      </c>
      <c r="AY54" s="107">
        <v>1</v>
      </c>
      <c r="AZ54" s="107">
        <v>1</v>
      </c>
      <c r="BA54" s="107">
        <v>1</v>
      </c>
      <c r="BB54" s="107">
        <v>0</v>
      </c>
      <c r="BC54" s="107">
        <v>0</v>
      </c>
      <c r="BD54" s="107">
        <v>0</v>
      </c>
      <c r="BE54" s="107">
        <v>0</v>
      </c>
      <c r="BF54" s="107">
        <v>0</v>
      </c>
      <c r="BG54" s="107">
        <v>0</v>
      </c>
      <c r="BH54" s="107">
        <v>0</v>
      </c>
      <c r="BI54" s="107">
        <v>0</v>
      </c>
      <c r="BJ54" s="107">
        <v>0</v>
      </c>
      <c r="BK54" s="107">
        <v>0</v>
      </c>
      <c r="BL54" s="107">
        <v>0</v>
      </c>
      <c r="BM54" s="107">
        <v>0</v>
      </c>
      <c r="BN54" s="107">
        <v>0</v>
      </c>
      <c r="BO54" s="107">
        <v>0</v>
      </c>
      <c r="BP54" s="107">
        <v>0</v>
      </c>
      <c r="BQ54" s="107">
        <v>0</v>
      </c>
      <c r="BR54" s="107">
        <v>0</v>
      </c>
      <c r="BS54" s="107">
        <v>0</v>
      </c>
      <c r="BT54" s="107">
        <v>0</v>
      </c>
      <c r="BU54" s="107">
        <v>0</v>
      </c>
      <c r="BV54" s="107">
        <v>0</v>
      </c>
      <c r="BW54" s="107">
        <v>0</v>
      </c>
      <c r="BX54" s="107">
        <v>0</v>
      </c>
      <c r="BY54" s="107">
        <v>0</v>
      </c>
      <c r="BZ54" s="107">
        <v>0</v>
      </c>
      <c r="CA54" s="107">
        <v>0</v>
      </c>
      <c r="CB54" s="107">
        <v>0</v>
      </c>
      <c r="CC54" s="107">
        <v>0</v>
      </c>
    </row>
    <row r="55" spans="1:81" x14ac:dyDescent="0.15">
      <c r="A55" s="180" t="s">
        <v>244</v>
      </c>
      <c r="B55" s="107">
        <v>0</v>
      </c>
      <c r="C55" s="107">
        <v>0</v>
      </c>
      <c r="D55" s="107">
        <v>0</v>
      </c>
      <c r="E55" s="107">
        <v>0</v>
      </c>
      <c r="F55" s="107">
        <v>0</v>
      </c>
      <c r="G55" s="107">
        <v>0</v>
      </c>
      <c r="H55" s="107">
        <v>1</v>
      </c>
      <c r="I55" s="107">
        <v>0</v>
      </c>
      <c r="J55" s="107">
        <v>1</v>
      </c>
      <c r="K55" s="107">
        <v>0</v>
      </c>
      <c r="L55" s="107">
        <v>0</v>
      </c>
      <c r="M55" s="107">
        <v>0</v>
      </c>
      <c r="N55" s="107">
        <v>0</v>
      </c>
      <c r="O55" s="107">
        <v>0</v>
      </c>
      <c r="P55" s="107">
        <v>0</v>
      </c>
      <c r="Q55" s="107">
        <v>0</v>
      </c>
      <c r="R55" s="107">
        <v>0</v>
      </c>
      <c r="S55" s="107">
        <v>0</v>
      </c>
      <c r="T55" s="107">
        <v>0</v>
      </c>
      <c r="U55" s="107">
        <v>1</v>
      </c>
      <c r="V55" s="107">
        <v>0</v>
      </c>
      <c r="W55" s="107">
        <v>0</v>
      </c>
      <c r="X55" s="107">
        <v>0</v>
      </c>
      <c r="Y55" s="107">
        <v>0</v>
      </c>
      <c r="Z55" s="107">
        <v>0</v>
      </c>
      <c r="AA55" s="107">
        <v>1</v>
      </c>
      <c r="AB55" s="107">
        <v>0</v>
      </c>
      <c r="AC55" s="107">
        <v>1</v>
      </c>
      <c r="AD55" s="107">
        <v>0</v>
      </c>
      <c r="AE55" s="107">
        <v>1</v>
      </c>
      <c r="AF55" s="107">
        <v>1</v>
      </c>
      <c r="AG55" s="107">
        <v>0</v>
      </c>
      <c r="AH55" s="107">
        <v>0</v>
      </c>
      <c r="AI55" s="107">
        <v>0</v>
      </c>
      <c r="AJ55" s="107">
        <v>0</v>
      </c>
      <c r="AK55" s="107">
        <v>0</v>
      </c>
      <c r="AL55" s="107">
        <v>0</v>
      </c>
      <c r="AM55" s="107">
        <v>0</v>
      </c>
      <c r="AN55" s="107">
        <v>0</v>
      </c>
      <c r="AO55" s="107">
        <v>0</v>
      </c>
      <c r="AP55" s="107">
        <v>0</v>
      </c>
      <c r="AQ55" s="107">
        <v>0</v>
      </c>
      <c r="AR55" s="107">
        <v>0</v>
      </c>
      <c r="AS55" s="107">
        <v>0</v>
      </c>
      <c r="AT55" s="107">
        <v>1</v>
      </c>
      <c r="AU55" s="107">
        <v>0</v>
      </c>
      <c r="AV55" s="107">
        <v>0</v>
      </c>
      <c r="AW55" s="107">
        <v>0</v>
      </c>
      <c r="AX55" s="107">
        <v>0</v>
      </c>
      <c r="AY55" s="107">
        <v>0</v>
      </c>
      <c r="AZ55" s="107">
        <v>0</v>
      </c>
      <c r="BA55" s="107">
        <v>0</v>
      </c>
      <c r="BB55" s="107">
        <v>0</v>
      </c>
      <c r="BC55" s="107">
        <v>0</v>
      </c>
      <c r="BD55" s="107">
        <v>0</v>
      </c>
      <c r="BE55" s="107">
        <v>0</v>
      </c>
      <c r="BF55" s="107">
        <v>0</v>
      </c>
      <c r="BG55" s="107">
        <v>0</v>
      </c>
      <c r="BH55" s="107">
        <v>0</v>
      </c>
      <c r="BI55" s="107">
        <v>0</v>
      </c>
      <c r="BJ55" s="107">
        <v>0</v>
      </c>
      <c r="BK55" s="107">
        <v>0</v>
      </c>
      <c r="BL55" s="107">
        <v>0</v>
      </c>
      <c r="BM55" s="107">
        <v>0</v>
      </c>
      <c r="BN55" s="107">
        <v>0</v>
      </c>
      <c r="BO55" s="107">
        <v>0</v>
      </c>
      <c r="BP55" s="107">
        <v>0</v>
      </c>
      <c r="BQ55" s="107">
        <v>0</v>
      </c>
      <c r="BR55" s="107">
        <v>0</v>
      </c>
      <c r="BS55" s="107">
        <v>0</v>
      </c>
      <c r="BT55" s="107">
        <v>0</v>
      </c>
      <c r="BU55" s="107">
        <v>0</v>
      </c>
      <c r="BV55" s="107">
        <v>0</v>
      </c>
      <c r="BW55" s="107">
        <v>0</v>
      </c>
      <c r="BX55" s="107">
        <v>0</v>
      </c>
      <c r="BY55" s="107">
        <v>0</v>
      </c>
      <c r="BZ55" s="107">
        <v>0</v>
      </c>
      <c r="CA55" s="107">
        <v>0</v>
      </c>
      <c r="CB55" s="107">
        <v>0</v>
      </c>
      <c r="CC55" s="107">
        <v>0</v>
      </c>
    </row>
    <row r="56" spans="1:81" x14ac:dyDescent="0.15">
      <c r="A56" s="180" t="s">
        <v>245</v>
      </c>
      <c r="B56" s="107">
        <v>0</v>
      </c>
      <c r="C56" s="107">
        <v>0</v>
      </c>
      <c r="D56" s="107">
        <v>0</v>
      </c>
      <c r="E56" s="107">
        <v>0</v>
      </c>
      <c r="F56" s="107">
        <v>0</v>
      </c>
      <c r="G56" s="107">
        <v>0</v>
      </c>
      <c r="H56" s="107">
        <v>1</v>
      </c>
      <c r="I56" s="107">
        <v>0</v>
      </c>
      <c r="J56" s="107">
        <v>1</v>
      </c>
      <c r="K56" s="107">
        <v>1</v>
      </c>
      <c r="L56" s="107">
        <v>1</v>
      </c>
      <c r="M56" s="107">
        <v>0</v>
      </c>
      <c r="N56" s="107">
        <v>0</v>
      </c>
      <c r="O56" s="107">
        <v>0</v>
      </c>
      <c r="P56" s="107">
        <v>1</v>
      </c>
      <c r="Q56" s="107">
        <v>0</v>
      </c>
      <c r="R56" s="107">
        <v>0</v>
      </c>
      <c r="S56" s="107">
        <v>0</v>
      </c>
      <c r="T56" s="107">
        <v>0</v>
      </c>
      <c r="U56" s="107">
        <v>1</v>
      </c>
      <c r="V56" s="107">
        <v>1</v>
      </c>
      <c r="W56" s="107">
        <v>0</v>
      </c>
      <c r="X56" s="107">
        <v>0</v>
      </c>
      <c r="Y56" s="107">
        <v>1</v>
      </c>
      <c r="Z56" s="107">
        <v>0</v>
      </c>
      <c r="AA56" s="107">
        <v>1</v>
      </c>
      <c r="AB56" s="107">
        <v>0</v>
      </c>
      <c r="AC56" s="107">
        <v>0</v>
      </c>
      <c r="AD56" s="107">
        <v>1</v>
      </c>
      <c r="AE56" s="107">
        <v>1</v>
      </c>
      <c r="AF56" s="107">
        <v>0</v>
      </c>
      <c r="AG56" s="107">
        <v>0</v>
      </c>
      <c r="AH56" s="107">
        <v>0</v>
      </c>
      <c r="AI56" s="107">
        <v>0</v>
      </c>
      <c r="AJ56" s="107">
        <v>0</v>
      </c>
      <c r="AK56" s="107">
        <v>0</v>
      </c>
      <c r="AL56" s="107">
        <v>0</v>
      </c>
      <c r="AM56" s="107">
        <v>0</v>
      </c>
      <c r="AN56" s="107">
        <v>0</v>
      </c>
      <c r="AO56" s="107">
        <v>0</v>
      </c>
      <c r="AP56" s="107">
        <v>0</v>
      </c>
      <c r="AQ56" s="107">
        <v>0</v>
      </c>
      <c r="AR56" s="107">
        <v>0</v>
      </c>
      <c r="AS56" s="107">
        <v>0</v>
      </c>
      <c r="AT56" s="107">
        <v>0</v>
      </c>
      <c r="AU56" s="107">
        <v>0</v>
      </c>
      <c r="AV56" s="107">
        <v>1</v>
      </c>
      <c r="AW56" s="107">
        <v>0</v>
      </c>
      <c r="AX56" s="107">
        <v>0</v>
      </c>
      <c r="AY56" s="107">
        <v>0</v>
      </c>
      <c r="AZ56" s="107">
        <v>0</v>
      </c>
      <c r="BA56" s="107">
        <v>0</v>
      </c>
      <c r="BB56" s="107">
        <v>0</v>
      </c>
      <c r="BC56" s="107">
        <v>0</v>
      </c>
      <c r="BD56" s="107">
        <v>0</v>
      </c>
      <c r="BE56" s="107">
        <v>0</v>
      </c>
      <c r="BF56" s="107">
        <v>0</v>
      </c>
      <c r="BG56" s="107">
        <v>0</v>
      </c>
      <c r="BH56" s="107">
        <v>0</v>
      </c>
      <c r="BI56" s="107">
        <v>0</v>
      </c>
      <c r="BJ56" s="107">
        <v>0</v>
      </c>
      <c r="BK56" s="107">
        <v>0</v>
      </c>
      <c r="BL56" s="107">
        <v>0</v>
      </c>
      <c r="BM56" s="107">
        <v>0</v>
      </c>
      <c r="BN56" s="107">
        <v>0</v>
      </c>
      <c r="BO56" s="107">
        <v>0</v>
      </c>
      <c r="BP56" s="107">
        <v>0</v>
      </c>
      <c r="BQ56" s="107">
        <v>0</v>
      </c>
      <c r="BR56" s="107">
        <v>0</v>
      </c>
      <c r="BS56" s="107">
        <v>0</v>
      </c>
      <c r="BT56" s="107">
        <v>0</v>
      </c>
      <c r="BU56" s="107">
        <v>0</v>
      </c>
      <c r="BV56" s="107">
        <v>0</v>
      </c>
      <c r="BW56" s="107">
        <v>0</v>
      </c>
      <c r="BX56" s="107">
        <v>0</v>
      </c>
      <c r="BY56" s="107">
        <v>0</v>
      </c>
      <c r="BZ56" s="107">
        <v>0</v>
      </c>
      <c r="CA56" s="107">
        <v>0</v>
      </c>
      <c r="CB56" s="107">
        <v>0</v>
      </c>
      <c r="CC56" s="107">
        <v>0</v>
      </c>
    </row>
    <row r="57" spans="1:81" x14ac:dyDescent="0.15">
      <c r="A57" s="180" t="s">
        <v>246</v>
      </c>
      <c r="B57" s="107">
        <v>0</v>
      </c>
      <c r="C57" s="107">
        <v>0</v>
      </c>
      <c r="D57" s="107">
        <v>0</v>
      </c>
      <c r="E57" s="107">
        <v>0</v>
      </c>
      <c r="F57" s="107">
        <v>0</v>
      </c>
      <c r="G57" s="107">
        <v>0</v>
      </c>
      <c r="H57" s="107">
        <v>0</v>
      </c>
      <c r="I57" s="107">
        <v>0</v>
      </c>
      <c r="J57" s="107">
        <v>0</v>
      </c>
      <c r="K57" s="107">
        <v>0</v>
      </c>
      <c r="L57" s="107">
        <v>0</v>
      </c>
      <c r="M57" s="107">
        <v>0</v>
      </c>
      <c r="N57" s="107">
        <v>0</v>
      </c>
      <c r="O57" s="107">
        <v>0</v>
      </c>
      <c r="P57" s="107">
        <v>0</v>
      </c>
      <c r="Q57" s="107">
        <v>0</v>
      </c>
      <c r="R57" s="107">
        <v>0</v>
      </c>
      <c r="S57" s="107">
        <v>0</v>
      </c>
      <c r="T57" s="107">
        <v>0</v>
      </c>
      <c r="U57" s="107">
        <v>0</v>
      </c>
      <c r="V57" s="107">
        <v>0</v>
      </c>
      <c r="W57" s="107">
        <v>0</v>
      </c>
      <c r="X57" s="107">
        <v>0</v>
      </c>
      <c r="Y57" s="107">
        <v>0</v>
      </c>
      <c r="Z57" s="107">
        <v>0</v>
      </c>
      <c r="AA57" s="107">
        <v>0</v>
      </c>
      <c r="AB57" s="107">
        <v>0</v>
      </c>
      <c r="AC57" s="107">
        <v>0</v>
      </c>
      <c r="AD57" s="107">
        <v>0</v>
      </c>
      <c r="AE57" s="107">
        <v>0</v>
      </c>
      <c r="AF57" s="107">
        <v>0</v>
      </c>
      <c r="AG57" s="107">
        <v>0</v>
      </c>
      <c r="AH57" s="107">
        <v>0</v>
      </c>
      <c r="AI57" s="107">
        <v>0</v>
      </c>
      <c r="AJ57" s="107">
        <v>0</v>
      </c>
      <c r="AK57" s="107">
        <v>0</v>
      </c>
      <c r="AL57" s="107">
        <v>0</v>
      </c>
      <c r="AM57" s="107">
        <v>0</v>
      </c>
      <c r="AN57" s="107">
        <v>0</v>
      </c>
      <c r="AO57" s="107">
        <v>0</v>
      </c>
      <c r="AP57" s="107">
        <v>0</v>
      </c>
      <c r="AQ57" s="107">
        <v>0</v>
      </c>
      <c r="AR57" s="107">
        <v>0</v>
      </c>
      <c r="AS57" s="107">
        <v>0</v>
      </c>
      <c r="AT57" s="107">
        <v>0</v>
      </c>
      <c r="AU57" s="107">
        <v>0</v>
      </c>
      <c r="AV57" s="107">
        <v>0</v>
      </c>
      <c r="AW57" s="107">
        <v>0</v>
      </c>
      <c r="AX57" s="107">
        <v>0</v>
      </c>
      <c r="AY57" s="107">
        <v>0</v>
      </c>
      <c r="AZ57" s="107">
        <v>0</v>
      </c>
      <c r="BA57" s="107">
        <v>0</v>
      </c>
      <c r="BB57" s="107">
        <v>0</v>
      </c>
      <c r="BC57" s="107">
        <v>0</v>
      </c>
      <c r="BD57" s="107">
        <v>0</v>
      </c>
      <c r="BE57" s="107">
        <v>0</v>
      </c>
      <c r="BF57" s="107">
        <v>0</v>
      </c>
      <c r="BG57" s="107">
        <v>0</v>
      </c>
      <c r="BH57" s="107">
        <v>0</v>
      </c>
      <c r="BI57" s="107">
        <v>0</v>
      </c>
      <c r="BJ57" s="107">
        <v>0</v>
      </c>
      <c r="BK57" s="107">
        <v>0</v>
      </c>
      <c r="BL57" s="107">
        <v>0</v>
      </c>
      <c r="BM57" s="107">
        <v>0</v>
      </c>
      <c r="BN57" s="107">
        <v>0</v>
      </c>
      <c r="BO57" s="107">
        <v>0</v>
      </c>
      <c r="BP57" s="107">
        <v>0</v>
      </c>
      <c r="BQ57" s="107">
        <v>0</v>
      </c>
      <c r="BR57" s="107">
        <v>0</v>
      </c>
      <c r="BS57" s="107">
        <v>0</v>
      </c>
      <c r="BT57" s="107">
        <v>0</v>
      </c>
      <c r="BU57" s="107">
        <v>0</v>
      </c>
      <c r="BV57" s="107">
        <v>0</v>
      </c>
      <c r="BW57" s="107">
        <v>0</v>
      </c>
      <c r="BX57" s="107">
        <v>0</v>
      </c>
      <c r="BY57" s="107">
        <v>0</v>
      </c>
      <c r="BZ57" s="107">
        <v>0</v>
      </c>
      <c r="CA57" s="107">
        <v>0</v>
      </c>
      <c r="CB57" s="107">
        <v>0</v>
      </c>
      <c r="CC57" s="107">
        <v>0</v>
      </c>
    </row>
    <row r="58" spans="1:81" x14ac:dyDescent="0.15">
      <c r="A58" s="180" t="s">
        <v>247</v>
      </c>
      <c r="B58" s="107">
        <v>0</v>
      </c>
      <c r="C58" s="107">
        <v>0</v>
      </c>
      <c r="D58" s="107">
        <v>0</v>
      </c>
      <c r="E58" s="107">
        <v>0</v>
      </c>
      <c r="F58" s="107">
        <v>0</v>
      </c>
      <c r="G58" s="107">
        <v>0</v>
      </c>
      <c r="H58" s="107">
        <v>0</v>
      </c>
      <c r="I58" s="107">
        <v>0</v>
      </c>
      <c r="J58" s="107">
        <v>0</v>
      </c>
      <c r="K58" s="107">
        <v>0</v>
      </c>
      <c r="L58" s="107">
        <v>0</v>
      </c>
      <c r="M58" s="107">
        <v>0</v>
      </c>
      <c r="N58" s="107">
        <v>0</v>
      </c>
      <c r="O58" s="107">
        <v>0</v>
      </c>
      <c r="P58" s="107">
        <v>0</v>
      </c>
      <c r="Q58" s="107">
        <v>0</v>
      </c>
      <c r="R58" s="107">
        <v>0</v>
      </c>
      <c r="S58" s="107">
        <v>0</v>
      </c>
      <c r="T58" s="107">
        <v>0</v>
      </c>
      <c r="U58" s="107">
        <v>0</v>
      </c>
      <c r="V58" s="107">
        <v>0</v>
      </c>
      <c r="W58" s="107">
        <v>0</v>
      </c>
      <c r="X58" s="107">
        <v>0</v>
      </c>
      <c r="Y58" s="107">
        <v>0</v>
      </c>
      <c r="Z58" s="107">
        <v>0</v>
      </c>
      <c r="AA58" s="107">
        <v>0</v>
      </c>
      <c r="AB58" s="107">
        <v>0</v>
      </c>
      <c r="AC58" s="107">
        <v>0</v>
      </c>
      <c r="AD58" s="107">
        <v>0</v>
      </c>
      <c r="AE58" s="107">
        <v>0</v>
      </c>
      <c r="AF58" s="107">
        <v>0</v>
      </c>
      <c r="AG58" s="107">
        <v>0</v>
      </c>
      <c r="AH58" s="107">
        <v>0</v>
      </c>
      <c r="AI58" s="107">
        <v>0</v>
      </c>
      <c r="AJ58" s="107">
        <v>0</v>
      </c>
      <c r="AK58" s="107">
        <v>0</v>
      </c>
      <c r="AL58" s="107">
        <v>0</v>
      </c>
      <c r="AM58" s="107">
        <v>0</v>
      </c>
      <c r="AN58" s="107">
        <v>0</v>
      </c>
      <c r="AO58" s="107">
        <v>0</v>
      </c>
      <c r="AP58" s="107">
        <v>0</v>
      </c>
      <c r="AQ58" s="107">
        <v>0</v>
      </c>
      <c r="AR58" s="107">
        <v>0</v>
      </c>
      <c r="AS58" s="107">
        <v>0</v>
      </c>
      <c r="AT58" s="107">
        <v>0</v>
      </c>
      <c r="AU58" s="107">
        <v>0</v>
      </c>
      <c r="AV58" s="107">
        <v>0</v>
      </c>
      <c r="AW58" s="107">
        <v>1</v>
      </c>
      <c r="AX58" s="107">
        <v>0</v>
      </c>
      <c r="AY58" s="107">
        <v>0</v>
      </c>
      <c r="AZ58" s="107">
        <v>0</v>
      </c>
      <c r="BA58" s="107">
        <v>0</v>
      </c>
      <c r="BB58" s="107">
        <v>0</v>
      </c>
      <c r="BC58" s="107">
        <v>0</v>
      </c>
      <c r="BD58" s="107">
        <v>0</v>
      </c>
      <c r="BE58" s="107">
        <v>0</v>
      </c>
      <c r="BF58" s="107">
        <v>0</v>
      </c>
      <c r="BG58" s="107">
        <v>0</v>
      </c>
      <c r="BH58" s="107">
        <v>0</v>
      </c>
      <c r="BI58" s="107">
        <v>0</v>
      </c>
      <c r="BJ58" s="107">
        <v>0</v>
      </c>
      <c r="BK58" s="107">
        <v>0</v>
      </c>
      <c r="BL58" s="107">
        <v>0</v>
      </c>
      <c r="BM58" s="107">
        <v>0</v>
      </c>
      <c r="BN58" s="107">
        <v>0</v>
      </c>
      <c r="BO58" s="107">
        <v>0</v>
      </c>
      <c r="BP58" s="107">
        <v>0</v>
      </c>
      <c r="BQ58" s="107">
        <v>0</v>
      </c>
      <c r="BR58" s="107">
        <v>0</v>
      </c>
      <c r="BS58" s="107">
        <v>0</v>
      </c>
      <c r="BT58" s="107">
        <v>0</v>
      </c>
      <c r="BU58" s="107">
        <v>0</v>
      </c>
      <c r="BV58" s="107">
        <v>0</v>
      </c>
      <c r="BW58" s="107">
        <v>0</v>
      </c>
      <c r="BX58" s="107">
        <v>0</v>
      </c>
      <c r="BY58" s="107">
        <v>0</v>
      </c>
      <c r="BZ58" s="107">
        <v>0</v>
      </c>
      <c r="CA58" s="107">
        <v>0</v>
      </c>
      <c r="CB58" s="107">
        <v>0</v>
      </c>
      <c r="CC58" s="107">
        <v>0</v>
      </c>
    </row>
    <row r="59" spans="1:81" x14ac:dyDescent="0.15">
      <c r="A59" s="180" t="s">
        <v>248</v>
      </c>
      <c r="B59" s="107">
        <v>0</v>
      </c>
      <c r="C59" s="107">
        <v>0</v>
      </c>
      <c r="D59" s="107">
        <v>0</v>
      </c>
      <c r="E59" s="107">
        <v>0</v>
      </c>
      <c r="F59" s="107">
        <v>0</v>
      </c>
      <c r="G59" s="107">
        <v>0</v>
      </c>
      <c r="H59" s="107">
        <v>0</v>
      </c>
      <c r="I59" s="107">
        <v>0</v>
      </c>
      <c r="J59" s="107">
        <v>0</v>
      </c>
      <c r="K59" s="107">
        <v>0</v>
      </c>
      <c r="L59" s="107">
        <v>0</v>
      </c>
      <c r="M59" s="107">
        <v>0</v>
      </c>
      <c r="N59" s="107">
        <v>0</v>
      </c>
      <c r="O59" s="107">
        <v>0</v>
      </c>
      <c r="P59" s="107">
        <v>0</v>
      </c>
      <c r="Q59" s="107">
        <v>0</v>
      </c>
      <c r="R59" s="107">
        <v>0</v>
      </c>
      <c r="S59" s="107">
        <v>0</v>
      </c>
      <c r="T59" s="107">
        <v>0</v>
      </c>
      <c r="U59" s="107">
        <v>0</v>
      </c>
      <c r="V59" s="107">
        <v>0</v>
      </c>
      <c r="W59" s="107">
        <v>1</v>
      </c>
      <c r="X59" s="107">
        <v>0</v>
      </c>
      <c r="Y59" s="107">
        <v>0</v>
      </c>
      <c r="Z59" s="107">
        <v>0</v>
      </c>
      <c r="AA59" s="107">
        <v>0</v>
      </c>
      <c r="AB59" s="107">
        <v>1</v>
      </c>
      <c r="AC59" s="107">
        <v>0</v>
      </c>
      <c r="AD59" s="107">
        <v>0</v>
      </c>
      <c r="AE59" s="107">
        <v>0</v>
      </c>
      <c r="AF59" s="107">
        <v>0</v>
      </c>
      <c r="AG59" s="107">
        <v>0</v>
      </c>
      <c r="AH59" s="107">
        <v>0</v>
      </c>
      <c r="AI59" s="107">
        <v>0</v>
      </c>
      <c r="AJ59" s="107">
        <v>0</v>
      </c>
      <c r="AK59" s="107">
        <v>0</v>
      </c>
      <c r="AL59" s="107">
        <v>0</v>
      </c>
      <c r="AM59" s="107">
        <v>0</v>
      </c>
      <c r="AN59" s="107">
        <v>0</v>
      </c>
      <c r="AO59" s="107">
        <v>0</v>
      </c>
      <c r="AP59" s="107">
        <v>0</v>
      </c>
      <c r="AQ59" s="107">
        <v>0</v>
      </c>
      <c r="AR59" s="107">
        <v>0</v>
      </c>
      <c r="AS59" s="107">
        <v>0</v>
      </c>
      <c r="AT59" s="107">
        <v>0</v>
      </c>
      <c r="AU59" s="107">
        <v>0</v>
      </c>
      <c r="AV59" s="107">
        <v>0</v>
      </c>
      <c r="AW59" s="107">
        <v>0</v>
      </c>
      <c r="AX59" s="107">
        <v>0</v>
      </c>
      <c r="AY59" s="107">
        <v>0</v>
      </c>
      <c r="AZ59" s="107">
        <v>0</v>
      </c>
      <c r="BA59" s="107">
        <v>0</v>
      </c>
      <c r="BB59" s="107">
        <v>0</v>
      </c>
      <c r="BC59" s="107">
        <v>0</v>
      </c>
      <c r="BD59" s="107">
        <v>0</v>
      </c>
      <c r="BE59" s="107">
        <v>0</v>
      </c>
      <c r="BF59" s="107">
        <v>0</v>
      </c>
      <c r="BG59" s="107">
        <v>0</v>
      </c>
      <c r="BH59" s="107">
        <v>1</v>
      </c>
      <c r="BI59" s="107">
        <v>0</v>
      </c>
      <c r="BJ59" s="107">
        <v>0</v>
      </c>
      <c r="BK59" s="107">
        <v>0</v>
      </c>
      <c r="BL59" s="107">
        <v>0</v>
      </c>
      <c r="BM59" s="107">
        <v>0</v>
      </c>
      <c r="BN59" s="107">
        <v>0</v>
      </c>
      <c r="BO59" s="107">
        <v>0</v>
      </c>
      <c r="BP59" s="107">
        <v>0</v>
      </c>
      <c r="BQ59" s="107">
        <v>0</v>
      </c>
      <c r="BR59" s="107">
        <v>0</v>
      </c>
      <c r="BS59" s="107">
        <v>0</v>
      </c>
      <c r="BT59" s="107">
        <v>0</v>
      </c>
      <c r="BU59" s="107">
        <v>0</v>
      </c>
      <c r="BV59" s="107">
        <v>0</v>
      </c>
      <c r="BW59" s="107">
        <v>0</v>
      </c>
      <c r="BX59" s="107">
        <v>0</v>
      </c>
      <c r="BY59" s="107">
        <v>0</v>
      </c>
      <c r="BZ59" s="107">
        <v>0</v>
      </c>
      <c r="CA59" s="107">
        <v>0</v>
      </c>
      <c r="CB59" s="107">
        <v>0</v>
      </c>
      <c r="CC59" s="107">
        <v>0</v>
      </c>
    </row>
    <row r="60" spans="1:81" x14ac:dyDescent="0.15">
      <c r="A60" s="180" t="s">
        <v>249</v>
      </c>
      <c r="B60" s="107">
        <v>0</v>
      </c>
      <c r="C60" s="107">
        <v>0</v>
      </c>
      <c r="D60" s="107">
        <v>0</v>
      </c>
      <c r="E60" s="107">
        <v>0</v>
      </c>
      <c r="F60" s="107">
        <v>0</v>
      </c>
      <c r="G60" s="107">
        <v>0</v>
      </c>
      <c r="H60" s="107">
        <v>0</v>
      </c>
      <c r="I60" s="107">
        <v>0</v>
      </c>
      <c r="J60" s="107">
        <v>0</v>
      </c>
      <c r="K60" s="107">
        <v>0</v>
      </c>
      <c r="L60" s="107">
        <v>0</v>
      </c>
      <c r="M60" s="107">
        <v>0</v>
      </c>
      <c r="N60" s="107">
        <v>0</v>
      </c>
      <c r="O60" s="107">
        <v>0</v>
      </c>
      <c r="P60" s="107">
        <v>0</v>
      </c>
      <c r="Q60" s="107">
        <v>0</v>
      </c>
      <c r="R60" s="107">
        <v>0</v>
      </c>
      <c r="S60" s="107">
        <v>0</v>
      </c>
      <c r="T60" s="107">
        <v>0</v>
      </c>
      <c r="U60" s="107">
        <v>0</v>
      </c>
      <c r="V60" s="107">
        <v>0</v>
      </c>
      <c r="W60" s="107">
        <v>1</v>
      </c>
      <c r="X60" s="107">
        <v>0</v>
      </c>
      <c r="Y60" s="107">
        <v>0</v>
      </c>
      <c r="Z60" s="107">
        <v>0</v>
      </c>
      <c r="AA60" s="107">
        <v>0</v>
      </c>
      <c r="AB60" s="107">
        <v>1</v>
      </c>
      <c r="AC60" s="107">
        <v>0</v>
      </c>
      <c r="AD60" s="107">
        <v>0</v>
      </c>
      <c r="AE60" s="107">
        <v>0</v>
      </c>
      <c r="AF60" s="107">
        <v>0</v>
      </c>
      <c r="AG60" s="107">
        <v>0</v>
      </c>
      <c r="AH60" s="107">
        <v>0</v>
      </c>
      <c r="AI60" s="107">
        <v>1</v>
      </c>
      <c r="AJ60" s="107">
        <v>0</v>
      </c>
      <c r="AK60" s="107">
        <v>0</v>
      </c>
      <c r="AL60" s="107">
        <v>0</v>
      </c>
      <c r="AM60" s="107">
        <v>0</v>
      </c>
      <c r="AN60" s="107">
        <v>0</v>
      </c>
      <c r="AO60" s="107">
        <v>0</v>
      </c>
      <c r="AP60" s="107">
        <v>0</v>
      </c>
      <c r="AQ60" s="107">
        <v>0</v>
      </c>
      <c r="AR60" s="107">
        <v>0</v>
      </c>
      <c r="AS60" s="107">
        <v>0</v>
      </c>
      <c r="AT60" s="107">
        <v>0</v>
      </c>
      <c r="AU60" s="107">
        <v>0</v>
      </c>
      <c r="AV60" s="107">
        <v>0</v>
      </c>
      <c r="AW60" s="107">
        <v>0</v>
      </c>
      <c r="AX60" s="107">
        <v>0</v>
      </c>
      <c r="AY60" s="107">
        <v>0</v>
      </c>
      <c r="AZ60" s="107">
        <v>0</v>
      </c>
      <c r="BA60" s="107">
        <v>0</v>
      </c>
      <c r="BB60" s="107">
        <v>0</v>
      </c>
      <c r="BC60" s="107">
        <v>0</v>
      </c>
      <c r="BD60" s="107">
        <v>0</v>
      </c>
      <c r="BE60" s="107">
        <v>0</v>
      </c>
      <c r="BF60" s="107">
        <v>0</v>
      </c>
      <c r="BG60" s="107">
        <v>0</v>
      </c>
      <c r="BH60" s="107">
        <v>0</v>
      </c>
      <c r="BI60" s="107">
        <v>0</v>
      </c>
      <c r="BJ60" s="107">
        <v>1</v>
      </c>
      <c r="BK60" s="107">
        <v>0</v>
      </c>
      <c r="BL60" s="107">
        <v>0</v>
      </c>
      <c r="BM60" s="107">
        <v>0</v>
      </c>
      <c r="BN60" s="107">
        <v>0</v>
      </c>
      <c r="BO60" s="107">
        <v>0</v>
      </c>
      <c r="BP60" s="107">
        <v>0</v>
      </c>
      <c r="BQ60" s="107">
        <v>0</v>
      </c>
      <c r="BR60" s="107">
        <v>0</v>
      </c>
      <c r="BS60" s="107">
        <v>0</v>
      </c>
      <c r="BT60" s="107">
        <v>0</v>
      </c>
      <c r="BU60" s="107">
        <v>0</v>
      </c>
      <c r="BV60" s="107">
        <v>0</v>
      </c>
      <c r="BW60" s="107">
        <v>0</v>
      </c>
      <c r="BX60" s="107">
        <v>0</v>
      </c>
      <c r="BY60" s="107">
        <v>0</v>
      </c>
      <c r="BZ60" s="107">
        <v>0</v>
      </c>
      <c r="CA60" s="107">
        <v>0</v>
      </c>
      <c r="CB60" s="107">
        <v>0</v>
      </c>
      <c r="CC60" s="107">
        <v>0</v>
      </c>
    </row>
    <row r="61" spans="1:81" x14ac:dyDescent="0.15">
      <c r="A61" s="180" t="s">
        <v>250</v>
      </c>
      <c r="B61" s="107">
        <v>0</v>
      </c>
      <c r="C61" s="107">
        <v>0</v>
      </c>
      <c r="D61" s="107">
        <v>0</v>
      </c>
      <c r="E61" s="107">
        <v>0</v>
      </c>
      <c r="F61" s="107">
        <v>0</v>
      </c>
      <c r="G61" s="107">
        <v>0</v>
      </c>
      <c r="H61" s="107">
        <v>0</v>
      </c>
      <c r="I61" s="107">
        <v>0</v>
      </c>
      <c r="J61" s="107">
        <v>0</v>
      </c>
      <c r="K61" s="107">
        <v>0</v>
      </c>
      <c r="L61" s="107">
        <v>0</v>
      </c>
      <c r="M61" s="107">
        <v>0</v>
      </c>
      <c r="N61" s="107">
        <v>0</v>
      </c>
      <c r="O61" s="107">
        <v>0</v>
      </c>
      <c r="P61" s="107">
        <v>0</v>
      </c>
      <c r="Q61" s="107">
        <v>0</v>
      </c>
      <c r="R61" s="107">
        <v>0</v>
      </c>
      <c r="S61" s="107">
        <v>0</v>
      </c>
      <c r="T61" s="107">
        <v>0</v>
      </c>
      <c r="U61" s="107">
        <v>1</v>
      </c>
      <c r="V61" s="107">
        <v>0</v>
      </c>
      <c r="W61" s="107">
        <v>0</v>
      </c>
      <c r="X61" s="107">
        <v>0</v>
      </c>
      <c r="Y61" s="107">
        <v>1</v>
      </c>
      <c r="Z61" s="107">
        <v>0</v>
      </c>
      <c r="AA61" s="107">
        <v>0</v>
      </c>
      <c r="AB61" s="107">
        <v>0</v>
      </c>
      <c r="AC61" s="107">
        <v>1</v>
      </c>
      <c r="AD61" s="107">
        <v>0</v>
      </c>
      <c r="AE61" s="107">
        <v>0</v>
      </c>
      <c r="AF61" s="107">
        <v>1</v>
      </c>
      <c r="AG61" s="107">
        <v>1</v>
      </c>
      <c r="AH61" s="107">
        <v>0</v>
      </c>
      <c r="AI61" s="107">
        <v>0</v>
      </c>
      <c r="AJ61" s="107">
        <v>0</v>
      </c>
      <c r="AK61" s="107">
        <v>0</v>
      </c>
      <c r="AL61" s="107">
        <v>0</v>
      </c>
      <c r="AM61" s="107">
        <v>0</v>
      </c>
      <c r="AN61" s="107">
        <v>0</v>
      </c>
      <c r="AO61" s="107">
        <v>0</v>
      </c>
      <c r="AP61" s="107">
        <v>0</v>
      </c>
      <c r="AQ61" s="107">
        <v>0</v>
      </c>
      <c r="AR61" s="107">
        <v>0</v>
      </c>
      <c r="AS61" s="107">
        <v>0</v>
      </c>
      <c r="AT61" s="107">
        <v>0</v>
      </c>
      <c r="AU61" s="107">
        <v>0</v>
      </c>
      <c r="AV61" s="107">
        <v>0</v>
      </c>
      <c r="AW61" s="107">
        <v>0</v>
      </c>
      <c r="AX61" s="107">
        <v>0</v>
      </c>
      <c r="AY61" s="107">
        <v>0</v>
      </c>
      <c r="AZ61" s="107">
        <v>0</v>
      </c>
      <c r="BA61" s="107">
        <v>0</v>
      </c>
      <c r="BB61" s="107">
        <v>0</v>
      </c>
      <c r="BC61" s="107">
        <v>0</v>
      </c>
      <c r="BD61" s="107">
        <v>0</v>
      </c>
      <c r="BE61" s="107">
        <v>0</v>
      </c>
      <c r="BF61" s="107">
        <v>0</v>
      </c>
      <c r="BG61" s="107">
        <v>0</v>
      </c>
      <c r="BH61" s="107">
        <v>0</v>
      </c>
      <c r="BI61" s="107">
        <v>0</v>
      </c>
      <c r="BJ61" s="107">
        <v>1</v>
      </c>
      <c r="BK61" s="107">
        <v>0</v>
      </c>
      <c r="BL61" s="107">
        <v>0</v>
      </c>
      <c r="BM61" s="107">
        <v>0</v>
      </c>
      <c r="BN61" s="107">
        <v>0</v>
      </c>
      <c r="BO61" s="107">
        <v>0</v>
      </c>
      <c r="BP61" s="107">
        <v>0</v>
      </c>
      <c r="BQ61" s="107">
        <v>0</v>
      </c>
      <c r="BR61" s="107">
        <v>0</v>
      </c>
      <c r="BS61" s="107">
        <v>0</v>
      </c>
      <c r="BT61" s="107">
        <v>0</v>
      </c>
      <c r="BU61" s="107">
        <v>0</v>
      </c>
      <c r="BV61" s="107">
        <v>0</v>
      </c>
      <c r="BW61" s="107">
        <v>0</v>
      </c>
      <c r="BX61" s="107">
        <v>0</v>
      </c>
      <c r="BY61" s="107">
        <v>0</v>
      </c>
      <c r="BZ61" s="107">
        <v>0</v>
      </c>
      <c r="CA61" s="107">
        <v>0</v>
      </c>
      <c r="CB61" s="107">
        <v>0</v>
      </c>
      <c r="CC61" s="107">
        <v>0</v>
      </c>
    </row>
    <row r="62" spans="1:81" x14ac:dyDescent="0.15">
      <c r="A62" s="180" t="s">
        <v>251</v>
      </c>
      <c r="B62" s="107">
        <v>0</v>
      </c>
      <c r="C62" s="107">
        <v>0</v>
      </c>
      <c r="D62" s="107">
        <v>0</v>
      </c>
      <c r="E62" s="107">
        <v>0</v>
      </c>
      <c r="F62" s="107">
        <v>0</v>
      </c>
      <c r="G62" s="107">
        <v>0</v>
      </c>
      <c r="H62" s="107">
        <v>0</v>
      </c>
      <c r="I62" s="107">
        <v>0</v>
      </c>
      <c r="J62" s="107">
        <v>0</v>
      </c>
      <c r="K62" s="107">
        <v>0</v>
      </c>
      <c r="L62" s="107">
        <v>0</v>
      </c>
      <c r="M62" s="107">
        <v>0</v>
      </c>
      <c r="N62" s="107">
        <v>0</v>
      </c>
      <c r="O62" s="107">
        <v>0</v>
      </c>
      <c r="P62" s="107">
        <v>0</v>
      </c>
      <c r="Q62" s="107">
        <v>0</v>
      </c>
      <c r="R62" s="107">
        <v>0</v>
      </c>
      <c r="S62" s="107">
        <v>0</v>
      </c>
      <c r="T62" s="107">
        <v>0</v>
      </c>
      <c r="U62" s="107">
        <v>0</v>
      </c>
      <c r="V62" s="107">
        <v>0</v>
      </c>
      <c r="W62" s="107">
        <v>0</v>
      </c>
      <c r="X62" s="107">
        <v>0</v>
      </c>
      <c r="Y62" s="107">
        <v>0</v>
      </c>
      <c r="Z62" s="107">
        <v>0</v>
      </c>
      <c r="AA62" s="107">
        <v>0</v>
      </c>
      <c r="AB62" s="107">
        <v>0</v>
      </c>
      <c r="AC62" s="107">
        <v>0</v>
      </c>
      <c r="AD62" s="107">
        <v>0</v>
      </c>
      <c r="AE62" s="107">
        <v>0</v>
      </c>
      <c r="AF62" s="107">
        <v>0</v>
      </c>
      <c r="AG62" s="107">
        <v>0</v>
      </c>
      <c r="AH62" s="107">
        <v>0</v>
      </c>
      <c r="AI62" s="107">
        <v>0</v>
      </c>
      <c r="AJ62" s="107">
        <v>0</v>
      </c>
      <c r="AK62" s="107">
        <v>0</v>
      </c>
      <c r="AL62" s="107">
        <v>0</v>
      </c>
      <c r="AM62" s="107">
        <v>0</v>
      </c>
      <c r="AN62" s="107">
        <v>0</v>
      </c>
      <c r="AO62" s="107">
        <v>0</v>
      </c>
      <c r="AP62" s="107">
        <v>0</v>
      </c>
      <c r="AQ62" s="107">
        <v>0</v>
      </c>
      <c r="AR62" s="107">
        <v>0</v>
      </c>
      <c r="AS62" s="107">
        <v>0</v>
      </c>
      <c r="AT62" s="107">
        <v>0</v>
      </c>
      <c r="AU62" s="107">
        <v>0</v>
      </c>
      <c r="AV62" s="107">
        <v>0</v>
      </c>
      <c r="AW62" s="107">
        <v>0</v>
      </c>
      <c r="AX62" s="107">
        <v>0</v>
      </c>
      <c r="AY62" s="107">
        <v>0</v>
      </c>
      <c r="AZ62" s="107">
        <v>0</v>
      </c>
      <c r="BA62" s="107">
        <v>0</v>
      </c>
      <c r="BB62" s="107">
        <v>0</v>
      </c>
      <c r="BC62" s="107">
        <v>0</v>
      </c>
      <c r="BD62" s="107">
        <v>0</v>
      </c>
      <c r="BE62" s="107">
        <v>0</v>
      </c>
      <c r="BF62" s="107">
        <v>0</v>
      </c>
      <c r="BG62" s="107">
        <v>0</v>
      </c>
      <c r="BH62" s="107">
        <v>0</v>
      </c>
      <c r="BI62" s="107">
        <v>0</v>
      </c>
      <c r="BJ62" s="107">
        <v>0</v>
      </c>
      <c r="BK62" s="107">
        <v>0</v>
      </c>
      <c r="BL62" s="107">
        <v>0</v>
      </c>
      <c r="BM62" s="107">
        <v>0</v>
      </c>
      <c r="BN62" s="107">
        <v>0</v>
      </c>
      <c r="BO62" s="107">
        <v>0</v>
      </c>
      <c r="BP62" s="107">
        <v>0</v>
      </c>
      <c r="BQ62" s="107">
        <v>0</v>
      </c>
      <c r="BR62" s="107">
        <v>0</v>
      </c>
      <c r="BS62" s="107">
        <v>0</v>
      </c>
      <c r="BT62" s="107">
        <v>0</v>
      </c>
      <c r="BU62" s="107">
        <v>0</v>
      </c>
      <c r="BV62" s="107">
        <v>0</v>
      </c>
      <c r="BW62" s="107">
        <v>0</v>
      </c>
      <c r="BX62" s="107">
        <v>0</v>
      </c>
      <c r="BY62" s="107">
        <v>0</v>
      </c>
      <c r="BZ62" s="107">
        <v>0</v>
      </c>
      <c r="CA62" s="107">
        <v>0</v>
      </c>
      <c r="CB62" s="107">
        <v>0</v>
      </c>
      <c r="CC62" s="107">
        <v>0</v>
      </c>
    </row>
    <row r="63" spans="1:81" x14ac:dyDescent="0.15">
      <c r="A63" s="180" t="s">
        <v>252</v>
      </c>
      <c r="B63" s="107">
        <v>0</v>
      </c>
      <c r="C63" s="107">
        <v>0</v>
      </c>
      <c r="D63" s="107">
        <v>0</v>
      </c>
      <c r="E63" s="107">
        <v>0</v>
      </c>
      <c r="F63" s="107">
        <v>0</v>
      </c>
      <c r="G63" s="107">
        <v>0</v>
      </c>
      <c r="H63" s="107">
        <v>0</v>
      </c>
      <c r="I63" s="107">
        <v>0</v>
      </c>
      <c r="J63" s="107">
        <v>0</v>
      </c>
      <c r="K63" s="107">
        <v>0</v>
      </c>
      <c r="L63" s="107">
        <v>0</v>
      </c>
      <c r="M63" s="107">
        <v>0</v>
      </c>
      <c r="N63" s="107">
        <v>0</v>
      </c>
      <c r="O63" s="107">
        <v>0</v>
      </c>
      <c r="P63" s="107">
        <v>0</v>
      </c>
      <c r="Q63" s="107">
        <v>0</v>
      </c>
      <c r="R63" s="107">
        <v>0</v>
      </c>
      <c r="S63" s="107">
        <v>0</v>
      </c>
      <c r="T63" s="107">
        <v>0</v>
      </c>
      <c r="U63" s="107">
        <v>0</v>
      </c>
      <c r="V63" s="107">
        <v>0</v>
      </c>
      <c r="W63" s="107">
        <v>0</v>
      </c>
      <c r="X63" s="107">
        <v>0</v>
      </c>
      <c r="Y63" s="107">
        <v>0</v>
      </c>
      <c r="Z63" s="107">
        <v>0</v>
      </c>
      <c r="AA63" s="107">
        <v>0</v>
      </c>
      <c r="AB63" s="107">
        <v>0</v>
      </c>
      <c r="AC63" s="107">
        <v>0</v>
      </c>
      <c r="AD63" s="107">
        <v>0</v>
      </c>
      <c r="AE63" s="107">
        <v>0</v>
      </c>
      <c r="AF63" s="107">
        <v>0</v>
      </c>
      <c r="AG63" s="107">
        <v>0</v>
      </c>
      <c r="AH63" s="107">
        <v>0</v>
      </c>
      <c r="AI63" s="107">
        <v>0</v>
      </c>
      <c r="AJ63" s="107">
        <v>1</v>
      </c>
      <c r="AK63" s="107">
        <v>0</v>
      </c>
      <c r="AL63" s="107">
        <v>1</v>
      </c>
      <c r="AM63" s="107">
        <v>1</v>
      </c>
      <c r="AN63" s="107">
        <v>1</v>
      </c>
      <c r="AO63" s="107">
        <v>1</v>
      </c>
      <c r="AP63" s="107">
        <v>1</v>
      </c>
      <c r="AQ63" s="107">
        <v>1</v>
      </c>
      <c r="AR63" s="107">
        <v>0</v>
      </c>
      <c r="AS63" s="107">
        <v>0</v>
      </c>
      <c r="AT63" s="107">
        <v>0</v>
      </c>
      <c r="AU63" s="107">
        <v>0</v>
      </c>
      <c r="AV63" s="107">
        <v>0</v>
      </c>
      <c r="AW63" s="107">
        <v>0</v>
      </c>
      <c r="AX63" s="107">
        <v>0</v>
      </c>
      <c r="AY63" s="107">
        <v>0</v>
      </c>
      <c r="AZ63" s="107">
        <v>0</v>
      </c>
      <c r="BA63" s="107">
        <v>0</v>
      </c>
      <c r="BB63" s="107">
        <v>1</v>
      </c>
      <c r="BC63" s="107">
        <v>0</v>
      </c>
      <c r="BD63" s="107">
        <v>0</v>
      </c>
      <c r="BE63" s="107">
        <v>0</v>
      </c>
      <c r="BF63" s="107">
        <v>0</v>
      </c>
      <c r="BG63" s="107">
        <v>0</v>
      </c>
      <c r="BH63" s="107">
        <v>0</v>
      </c>
      <c r="BI63" s="107">
        <v>1</v>
      </c>
      <c r="BJ63" s="107">
        <v>0</v>
      </c>
      <c r="BK63" s="107">
        <v>0</v>
      </c>
      <c r="BL63" s="107">
        <v>0</v>
      </c>
      <c r="BM63" s="107">
        <v>0</v>
      </c>
      <c r="BN63" s="107">
        <v>0</v>
      </c>
      <c r="BO63" s="107">
        <v>0</v>
      </c>
      <c r="BP63" s="107">
        <v>0</v>
      </c>
      <c r="BQ63" s="107">
        <v>0</v>
      </c>
      <c r="BR63" s="107">
        <v>0</v>
      </c>
      <c r="BS63" s="107">
        <v>0</v>
      </c>
      <c r="BT63" s="107">
        <v>0</v>
      </c>
      <c r="BU63" s="107">
        <v>0</v>
      </c>
      <c r="BV63" s="107">
        <v>0</v>
      </c>
      <c r="BW63" s="107">
        <v>0</v>
      </c>
      <c r="BX63" s="107">
        <v>0</v>
      </c>
      <c r="BY63" s="107">
        <v>0</v>
      </c>
      <c r="BZ63" s="107">
        <v>0</v>
      </c>
      <c r="CA63" s="107">
        <v>0</v>
      </c>
      <c r="CB63" s="107">
        <v>0</v>
      </c>
      <c r="CC63" s="107">
        <v>0</v>
      </c>
    </row>
    <row r="64" spans="1:81" x14ac:dyDescent="0.15">
      <c r="A64" s="180" t="s">
        <v>253</v>
      </c>
      <c r="B64" s="107">
        <v>0</v>
      </c>
      <c r="C64" s="107">
        <v>0</v>
      </c>
      <c r="D64" s="107">
        <v>0</v>
      </c>
      <c r="E64" s="107">
        <v>0</v>
      </c>
      <c r="F64" s="107">
        <v>0</v>
      </c>
      <c r="G64" s="107">
        <v>0</v>
      </c>
      <c r="H64" s="107">
        <v>0</v>
      </c>
      <c r="I64" s="107">
        <v>0</v>
      </c>
      <c r="J64" s="107">
        <v>0</v>
      </c>
      <c r="K64" s="107">
        <v>0</v>
      </c>
      <c r="L64" s="107">
        <v>0</v>
      </c>
      <c r="M64" s="107">
        <v>0</v>
      </c>
      <c r="N64" s="107">
        <v>0</v>
      </c>
      <c r="O64" s="107">
        <v>1</v>
      </c>
      <c r="P64" s="107">
        <v>1</v>
      </c>
      <c r="Q64" s="107">
        <v>0</v>
      </c>
      <c r="R64" s="107">
        <v>0</v>
      </c>
      <c r="S64" s="107">
        <v>0</v>
      </c>
      <c r="T64" s="107">
        <v>0</v>
      </c>
      <c r="U64" s="107">
        <v>0</v>
      </c>
      <c r="V64" s="107">
        <v>0</v>
      </c>
      <c r="W64" s="107">
        <v>0</v>
      </c>
      <c r="X64" s="107">
        <v>1</v>
      </c>
      <c r="Y64" s="107">
        <v>1</v>
      </c>
      <c r="Z64" s="107">
        <v>0</v>
      </c>
      <c r="AA64" s="107">
        <v>0</v>
      </c>
      <c r="AB64" s="107">
        <v>0</v>
      </c>
      <c r="AC64" s="107">
        <v>1</v>
      </c>
      <c r="AD64" s="107">
        <v>0</v>
      </c>
      <c r="AE64" s="107">
        <v>0</v>
      </c>
      <c r="AF64" s="107">
        <v>1</v>
      </c>
      <c r="AG64" s="107">
        <v>0</v>
      </c>
      <c r="AH64" s="107">
        <v>0</v>
      </c>
      <c r="AI64" s="107">
        <v>0</v>
      </c>
      <c r="AJ64" s="107">
        <v>0</v>
      </c>
      <c r="AK64" s="107">
        <v>0</v>
      </c>
      <c r="AL64" s="107">
        <v>0</v>
      </c>
      <c r="AM64" s="107">
        <v>0</v>
      </c>
      <c r="AN64" s="107">
        <v>0</v>
      </c>
      <c r="AO64" s="107">
        <v>0</v>
      </c>
      <c r="AP64" s="107">
        <v>1</v>
      </c>
      <c r="AQ64" s="107">
        <v>1</v>
      </c>
      <c r="AR64" s="107">
        <v>1</v>
      </c>
      <c r="AS64" s="107">
        <v>0</v>
      </c>
      <c r="AT64" s="107">
        <v>0</v>
      </c>
      <c r="AU64" s="107">
        <v>0</v>
      </c>
      <c r="AV64" s="107">
        <v>0</v>
      </c>
      <c r="AW64" s="107">
        <v>0</v>
      </c>
      <c r="AX64" s="107">
        <v>0</v>
      </c>
      <c r="AY64" s="107">
        <v>0</v>
      </c>
      <c r="AZ64" s="107">
        <v>0</v>
      </c>
      <c r="BA64" s="107">
        <v>0</v>
      </c>
      <c r="BB64" s="107">
        <v>1</v>
      </c>
      <c r="BC64" s="107">
        <v>0</v>
      </c>
      <c r="BD64" s="107">
        <v>1</v>
      </c>
      <c r="BE64" s="107">
        <v>0</v>
      </c>
      <c r="BF64" s="107">
        <v>0</v>
      </c>
      <c r="BG64" s="107">
        <v>0</v>
      </c>
      <c r="BH64" s="107">
        <v>0</v>
      </c>
      <c r="BI64" s="107">
        <v>0</v>
      </c>
      <c r="BJ64" s="107">
        <v>0</v>
      </c>
      <c r="BK64" s="107">
        <v>0</v>
      </c>
      <c r="BL64" s="107">
        <v>0</v>
      </c>
      <c r="BM64" s="107">
        <v>0</v>
      </c>
      <c r="BN64" s="107">
        <v>0</v>
      </c>
      <c r="BO64" s="107">
        <v>0</v>
      </c>
      <c r="BP64" s="107">
        <v>0</v>
      </c>
      <c r="BQ64" s="107">
        <v>0</v>
      </c>
      <c r="BR64" s="107">
        <v>0</v>
      </c>
      <c r="BS64" s="107">
        <v>0</v>
      </c>
      <c r="BT64" s="107">
        <v>0</v>
      </c>
      <c r="BU64" s="107">
        <v>0</v>
      </c>
      <c r="BV64" s="107">
        <v>0</v>
      </c>
      <c r="BW64" s="107">
        <v>0</v>
      </c>
      <c r="BX64" s="107">
        <v>0</v>
      </c>
      <c r="BY64" s="107">
        <v>0</v>
      </c>
      <c r="BZ64" s="107">
        <v>0</v>
      </c>
      <c r="CA64" s="107">
        <v>0</v>
      </c>
      <c r="CB64" s="107">
        <v>0</v>
      </c>
      <c r="CC64" s="107">
        <v>0</v>
      </c>
    </row>
    <row r="65" spans="1:81" x14ac:dyDescent="0.15">
      <c r="A65" s="180" t="s">
        <v>254</v>
      </c>
      <c r="B65" s="107">
        <v>0</v>
      </c>
      <c r="C65" s="107">
        <v>0</v>
      </c>
      <c r="D65" s="107">
        <v>0</v>
      </c>
      <c r="E65" s="107">
        <v>0</v>
      </c>
      <c r="F65" s="107">
        <v>0</v>
      </c>
      <c r="G65" s="107">
        <v>0</v>
      </c>
      <c r="H65" s="107">
        <v>0</v>
      </c>
      <c r="I65" s="107">
        <v>0</v>
      </c>
      <c r="J65" s="107">
        <v>0</v>
      </c>
      <c r="K65" s="107">
        <v>0</v>
      </c>
      <c r="L65" s="107">
        <v>0</v>
      </c>
      <c r="M65" s="107">
        <v>0</v>
      </c>
      <c r="N65" s="107">
        <v>0</v>
      </c>
      <c r="O65" s="107">
        <v>1</v>
      </c>
      <c r="P65" s="107">
        <v>1</v>
      </c>
      <c r="Q65" s="107">
        <v>0</v>
      </c>
      <c r="R65" s="107">
        <v>0</v>
      </c>
      <c r="S65" s="107">
        <v>1</v>
      </c>
      <c r="T65" s="107">
        <v>0</v>
      </c>
      <c r="U65" s="107">
        <v>0</v>
      </c>
      <c r="V65" s="107">
        <v>0</v>
      </c>
      <c r="W65" s="107">
        <v>0</v>
      </c>
      <c r="X65" s="107">
        <v>1</v>
      </c>
      <c r="Y65" s="107">
        <v>1</v>
      </c>
      <c r="Z65" s="107">
        <v>0</v>
      </c>
      <c r="AA65" s="107">
        <v>0</v>
      </c>
      <c r="AB65" s="107">
        <v>0</v>
      </c>
      <c r="AC65" s="107">
        <v>1</v>
      </c>
      <c r="AD65" s="107">
        <v>0</v>
      </c>
      <c r="AE65" s="107">
        <v>0</v>
      </c>
      <c r="AF65" s="107">
        <v>0</v>
      </c>
      <c r="AG65" s="107">
        <v>0</v>
      </c>
      <c r="AH65" s="107">
        <v>0</v>
      </c>
      <c r="AI65" s="107">
        <v>0</v>
      </c>
      <c r="AJ65" s="107">
        <v>0</v>
      </c>
      <c r="AK65" s="107">
        <v>0</v>
      </c>
      <c r="AL65" s="107">
        <v>0</v>
      </c>
      <c r="AM65" s="107">
        <v>0</v>
      </c>
      <c r="AN65" s="107">
        <v>0</v>
      </c>
      <c r="AO65" s="107">
        <v>0</v>
      </c>
      <c r="AP65" s="107">
        <v>1</v>
      </c>
      <c r="AQ65" s="107">
        <v>0</v>
      </c>
      <c r="AR65" s="107">
        <v>1</v>
      </c>
      <c r="AS65" s="107">
        <v>0</v>
      </c>
      <c r="AT65" s="107">
        <v>0</v>
      </c>
      <c r="AU65" s="107">
        <v>0</v>
      </c>
      <c r="AV65" s="107">
        <v>0</v>
      </c>
      <c r="AW65" s="107">
        <v>0</v>
      </c>
      <c r="AX65" s="107">
        <v>0</v>
      </c>
      <c r="AY65" s="107">
        <v>0</v>
      </c>
      <c r="AZ65" s="107">
        <v>0</v>
      </c>
      <c r="BA65" s="107">
        <v>0</v>
      </c>
      <c r="BB65" s="107">
        <v>1</v>
      </c>
      <c r="BC65" s="107">
        <v>0</v>
      </c>
      <c r="BD65" s="107">
        <v>1</v>
      </c>
      <c r="BE65" s="107">
        <v>1</v>
      </c>
      <c r="BF65" s="107">
        <v>1</v>
      </c>
      <c r="BG65" s="107">
        <v>0</v>
      </c>
      <c r="BH65" s="107">
        <v>0</v>
      </c>
      <c r="BI65" s="107">
        <v>0</v>
      </c>
      <c r="BJ65" s="107">
        <v>0</v>
      </c>
      <c r="BK65" s="107">
        <v>0</v>
      </c>
      <c r="BL65" s="107">
        <v>0</v>
      </c>
      <c r="BM65" s="107">
        <v>0</v>
      </c>
      <c r="BN65" s="107">
        <v>0</v>
      </c>
      <c r="BO65" s="107">
        <v>0</v>
      </c>
      <c r="BP65" s="107">
        <v>0</v>
      </c>
      <c r="BQ65" s="107">
        <v>0</v>
      </c>
      <c r="BR65" s="107">
        <v>0</v>
      </c>
      <c r="BS65" s="107">
        <v>0</v>
      </c>
      <c r="BT65" s="107">
        <v>0</v>
      </c>
      <c r="BU65" s="107">
        <v>0</v>
      </c>
      <c r="BV65" s="107">
        <v>0</v>
      </c>
      <c r="BW65" s="107">
        <v>0</v>
      </c>
      <c r="BX65" s="107">
        <v>0</v>
      </c>
      <c r="BY65" s="107">
        <v>0</v>
      </c>
      <c r="BZ65" s="107">
        <v>0</v>
      </c>
      <c r="CA65" s="107">
        <v>0</v>
      </c>
      <c r="CB65" s="107">
        <v>0</v>
      </c>
      <c r="CC65" s="107">
        <v>0</v>
      </c>
    </row>
    <row r="66" spans="1:81" x14ac:dyDescent="0.15">
      <c r="A66" s="180" t="s">
        <v>255</v>
      </c>
      <c r="B66" s="107">
        <v>0</v>
      </c>
      <c r="C66" s="107">
        <v>0</v>
      </c>
      <c r="D66" s="107">
        <v>0</v>
      </c>
      <c r="E66" s="107">
        <v>0</v>
      </c>
      <c r="F66" s="107">
        <v>0</v>
      </c>
      <c r="G66" s="107">
        <v>0</v>
      </c>
      <c r="H66" s="107">
        <v>0</v>
      </c>
      <c r="I66" s="107">
        <v>0</v>
      </c>
      <c r="J66" s="107">
        <v>0</v>
      </c>
      <c r="K66" s="107">
        <v>0</v>
      </c>
      <c r="L66" s="107">
        <v>0</v>
      </c>
      <c r="M66" s="107">
        <v>0</v>
      </c>
      <c r="N66" s="107">
        <v>0</v>
      </c>
      <c r="O66" s="107">
        <v>1</v>
      </c>
      <c r="P66" s="107">
        <v>1</v>
      </c>
      <c r="Q66" s="107">
        <v>0</v>
      </c>
      <c r="R66" s="107">
        <v>0</v>
      </c>
      <c r="S66" s="107">
        <v>1</v>
      </c>
      <c r="T66" s="107">
        <v>0</v>
      </c>
      <c r="U66" s="107">
        <v>0</v>
      </c>
      <c r="V66" s="107">
        <v>0</v>
      </c>
      <c r="W66" s="107">
        <v>0</v>
      </c>
      <c r="X66" s="107">
        <v>1</v>
      </c>
      <c r="Y66" s="107">
        <v>1</v>
      </c>
      <c r="Z66" s="107">
        <v>0</v>
      </c>
      <c r="AA66" s="107">
        <v>0</v>
      </c>
      <c r="AB66" s="107">
        <v>0</v>
      </c>
      <c r="AC66" s="107">
        <v>1</v>
      </c>
      <c r="AD66" s="107">
        <v>0</v>
      </c>
      <c r="AE66" s="107">
        <v>0</v>
      </c>
      <c r="AF66" s="107">
        <v>1</v>
      </c>
      <c r="AG66" s="107">
        <v>0</v>
      </c>
      <c r="AH66" s="107">
        <v>0</v>
      </c>
      <c r="AI66" s="107">
        <v>0</v>
      </c>
      <c r="AJ66" s="107">
        <v>0</v>
      </c>
      <c r="AK66" s="107">
        <v>0</v>
      </c>
      <c r="AL66" s="107">
        <v>0</v>
      </c>
      <c r="AM66" s="107">
        <v>0</v>
      </c>
      <c r="AN66" s="107">
        <v>0</v>
      </c>
      <c r="AO66" s="107">
        <v>1</v>
      </c>
      <c r="AP66" s="107">
        <v>1</v>
      </c>
      <c r="AQ66" s="107">
        <v>1</v>
      </c>
      <c r="AR66" s="107">
        <v>1</v>
      </c>
      <c r="AS66" s="107">
        <v>0</v>
      </c>
      <c r="AT66" s="107">
        <v>1</v>
      </c>
      <c r="AU66" s="107">
        <v>1</v>
      </c>
      <c r="AV66" s="107">
        <v>0</v>
      </c>
      <c r="AW66" s="107">
        <v>0</v>
      </c>
      <c r="AX66" s="107">
        <v>1</v>
      </c>
      <c r="AY66" s="107">
        <v>1</v>
      </c>
      <c r="AZ66" s="107">
        <v>1</v>
      </c>
      <c r="BA66" s="107">
        <v>1</v>
      </c>
      <c r="BB66" s="107">
        <v>1</v>
      </c>
      <c r="BC66" s="107">
        <v>0</v>
      </c>
      <c r="BD66" s="107">
        <v>1</v>
      </c>
      <c r="BE66" s="107">
        <v>0</v>
      </c>
      <c r="BF66" s="107">
        <v>1</v>
      </c>
      <c r="BG66" s="107">
        <v>0</v>
      </c>
      <c r="BH66" s="107">
        <v>0</v>
      </c>
      <c r="BI66" s="107">
        <v>0</v>
      </c>
      <c r="BJ66" s="107">
        <v>0</v>
      </c>
      <c r="BK66" s="107">
        <v>0</v>
      </c>
      <c r="BL66" s="107">
        <v>0</v>
      </c>
      <c r="BM66" s="107">
        <v>0</v>
      </c>
      <c r="BN66" s="107">
        <v>0</v>
      </c>
      <c r="BO66" s="107">
        <v>0</v>
      </c>
      <c r="BP66" s="107">
        <v>0</v>
      </c>
      <c r="BQ66" s="107">
        <v>0</v>
      </c>
      <c r="BR66" s="107">
        <v>0</v>
      </c>
      <c r="BS66" s="107">
        <v>0</v>
      </c>
      <c r="BT66" s="107">
        <v>0</v>
      </c>
      <c r="BU66" s="107">
        <v>0</v>
      </c>
      <c r="BV66" s="107">
        <v>0</v>
      </c>
      <c r="BW66" s="107">
        <v>0</v>
      </c>
      <c r="BX66" s="107">
        <v>0</v>
      </c>
      <c r="BY66" s="107">
        <v>0</v>
      </c>
      <c r="BZ66" s="107">
        <v>0</v>
      </c>
      <c r="CA66" s="107">
        <v>0</v>
      </c>
      <c r="CB66" s="107">
        <v>0</v>
      </c>
      <c r="CC66" s="107">
        <v>0</v>
      </c>
    </row>
    <row r="67" spans="1:81" x14ac:dyDescent="0.15">
      <c r="A67" s="180" t="s">
        <v>256</v>
      </c>
      <c r="B67" s="107">
        <v>0</v>
      </c>
      <c r="C67" s="107">
        <v>0</v>
      </c>
      <c r="D67" s="107">
        <v>0</v>
      </c>
      <c r="E67" s="107">
        <v>0</v>
      </c>
      <c r="F67" s="107">
        <v>0</v>
      </c>
      <c r="G67" s="107">
        <v>0</v>
      </c>
      <c r="H67" s="107">
        <v>0</v>
      </c>
      <c r="I67" s="107">
        <v>0</v>
      </c>
      <c r="J67" s="107">
        <v>0</v>
      </c>
      <c r="K67" s="107">
        <v>0</v>
      </c>
      <c r="L67" s="107">
        <v>0</v>
      </c>
      <c r="M67" s="107">
        <v>0</v>
      </c>
      <c r="N67" s="107">
        <v>0</v>
      </c>
      <c r="O67" s="107">
        <v>1</v>
      </c>
      <c r="P67" s="107">
        <v>1</v>
      </c>
      <c r="Q67" s="107">
        <v>0</v>
      </c>
      <c r="R67" s="107">
        <v>0</v>
      </c>
      <c r="S67" s="107">
        <v>0</v>
      </c>
      <c r="T67" s="107">
        <v>0</v>
      </c>
      <c r="U67" s="107">
        <v>0</v>
      </c>
      <c r="V67" s="107">
        <v>0</v>
      </c>
      <c r="W67" s="107">
        <v>0</v>
      </c>
      <c r="X67" s="107">
        <v>1</v>
      </c>
      <c r="Y67" s="107">
        <v>0</v>
      </c>
      <c r="Z67" s="107">
        <v>0</v>
      </c>
      <c r="AA67" s="107">
        <v>0</v>
      </c>
      <c r="AB67" s="107">
        <v>0</v>
      </c>
      <c r="AC67" s="107">
        <v>0</v>
      </c>
      <c r="AD67" s="107">
        <v>0</v>
      </c>
      <c r="AE67" s="107">
        <v>0</v>
      </c>
      <c r="AF67" s="107">
        <v>0</v>
      </c>
      <c r="AG67" s="107">
        <v>0</v>
      </c>
      <c r="AH67" s="107">
        <v>0</v>
      </c>
      <c r="AI67" s="107">
        <v>0</v>
      </c>
      <c r="AJ67" s="107">
        <v>0</v>
      </c>
      <c r="AK67" s="107">
        <v>0</v>
      </c>
      <c r="AL67" s="107">
        <v>0</v>
      </c>
      <c r="AM67" s="107">
        <v>0</v>
      </c>
      <c r="AN67" s="107">
        <v>0</v>
      </c>
      <c r="AO67" s="107">
        <v>0</v>
      </c>
      <c r="AP67" s="107">
        <v>1</v>
      </c>
      <c r="AQ67" s="107">
        <v>0</v>
      </c>
      <c r="AR67" s="107">
        <v>1</v>
      </c>
      <c r="AS67" s="107">
        <v>0</v>
      </c>
      <c r="AT67" s="107">
        <v>0</v>
      </c>
      <c r="AU67" s="107">
        <v>0</v>
      </c>
      <c r="AV67" s="107">
        <v>0</v>
      </c>
      <c r="AW67" s="107">
        <v>0</v>
      </c>
      <c r="AX67" s="107">
        <v>0</v>
      </c>
      <c r="AY67" s="107">
        <v>0</v>
      </c>
      <c r="AZ67" s="107">
        <v>0</v>
      </c>
      <c r="BA67" s="107">
        <v>0</v>
      </c>
      <c r="BB67" s="107">
        <v>1</v>
      </c>
      <c r="BC67" s="107">
        <v>0</v>
      </c>
      <c r="BD67" s="107">
        <v>1</v>
      </c>
      <c r="BE67" s="107">
        <v>0</v>
      </c>
      <c r="BF67" s="107">
        <v>1</v>
      </c>
      <c r="BG67" s="107">
        <v>0</v>
      </c>
      <c r="BH67" s="107">
        <v>0</v>
      </c>
      <c r="BI67" s="107">
        <v>0</v>
      </c>
      <c r="BJ67" s="107">
        <v>0</v>
      </c>
      <c r="BK67" s="107">
        <v>0</v>
      </c>
      <c r="BL67" s="107">
        <v>0</v>
      </c>
      <c r="BM67" s="107">
        <v>0</v>
      </c>
      <c r="BN67" s="107">
        <v>0</v>
      </c>
      <c r="BO67" s="107">
        <v>0</v>
      </c>
      <c r="BP67" s="107">
        <v>0</v>
      </c>
      <c r="BQ67" s="107">
        <v>0</v>
      </c>
      <c r="BR67" s="107">
        <v>0</v>
      </c>
      <c r="BS67" s="107">
        <v>0</v>
      </c>
      <c r="BT67" s="107">
        <v>0</v>
      </c>
      <c r="BU67" s="107">
        <v>0</v>
      </c>
      <c r="BV67" s="107">
        <v>0</v>
      </c>
      <c r="BW67" s="107">
        <v>0</v>
      </c>
      <c r="BX67" s="107">
        <v>0</v>
      </c>
      <c r="BY67" s="107">
        <v>0</v>
      </c>
      <c r="BZ67" s="107">
        <v>0</v>
      </c>
      <c r="CA67" s="107">
        <v>0</v>
      </c>
      <c r="CB67" s="107">
        <v>0</v>
      </c>
      <c r="CC67" s="107">
        <v>0</v>
      </c>
    </row>
    <row r="68" spans="1:81" x14ac:dyDescent="0.15">
      <c r="A68" s="180" t="s">
        <v>257</v>
      </c>
      <c r="B68" s="107">
        <v>0</v>
      </c>
      <c r="C68" s="107">
        <v>0</v>
      </c>
      <c r="D68" s="107">
        <v>0</v>
      </c>
      <c r="E68" s="107">
        <v>0</v>
      </c>
      <c r="F68" s="107">
        <v>0</v>
      </c>
      <c r="G68" s="107">
        <v>0</v>
      </c>
      <c r="H68" s="107">
        <v>0</v>
      </c>
      <c r="I68" s="107">
        <v>0</v>
      </c>
      <c r="J68" s="107">
        <v>0</v>
      </c>
      <c r="K68" s="107">
        <v>0</v>
      </c>
      <c r="L68" s="107">
        <v>0</v>
      </c>
      <c r="M68" s="107">
        <v>0</v>
      </c>
      <c r="N68" s="107">
        <v>0</v>
      </c>
      <c r="O68" s="107">
        <v>0</v>
      </c>
      <c r="P68" s="107">
        <v>0</v>
      </c>
      <c r="Q68" s="107">
        <v>0</v>
      </c>
      <c r="R68" s="107">
        <v>0</v>
      </c>
      <c r="S68" s="107">
        <v>0</v>
      </c>
      <c r="T68" s="107">
        <v>1</v>
      </c>
      <c r="U68" s="107">
        <v>1</v>
      </c>
      <c r="V68" s="107">
        <v>0</v>
      </c>
      <c r="W68" s="107">
        <v>0</v>
      </c>
      <c r="X68" s="107">
        <v>1</v>
      </c>
      <c r="Y68" s="107">
        <v>0</v>
      </c>
      <c r="Z68" s="107">
        <v>0</v>
      </c>
      <c r="AA68" s="107">
        <v>0</v>
      </c>
      <c r="AB68" s="107">
        <v>0</v>
      </c>
      <c r="AC68" s="107">
        <v>0</v>
      </c>
      <c r="AD68" s="107">
        <v>0</v>
      </c>
      <c r="AE68" s="107">
        <v>0</v>
      </c>
      <c r="AF68" s="107">
        <v>0</v>
      </c>
      <c r="AG68" s="107">
        <v>0</v>
      </c>
      <c r="AH68" s="107">
        <v>0</v>
      </c>
      <c r="AI68" s="107">
        <v>0</v>
      </c>
      <c r="AJ68" s="107">
        <v>0</v>
      </c>
      <c r="AK68" s="107">
        <v>0</v>
      </c>
      <c r="AL68" s="107">
        <v>0</v>
      </c>
      <c r="AM68" s="107">
        <v>0</v>
      </c>
      <c r="AN68" s="107">
        <v>0</v>
      </c>
      <c r="AO68" s="107">
        <v>0</v>
      </c>
      <c r="AP68" s="107">
        <v>1</v>
      </c>
      <c r="AQ68" s="107">
        <v>0</v>
      </c>
      <c r="AR68" s="107">
        <v>0</v>
      </c>
      <c r="AS68" s="107">
        <v>0</v>
      </c>
      <c r="AT68" s="107">
        <v>0</v>
      </c>
      <c r="AU68" s="107">
        <v>0</v>
      </c>
      <c r="AV68" s="107">
        <v>0</v>
      </c>
      <c r="AW68" s="107">
        <v>0</v>
      </c>
      <c r="AX68" s="107">
        <v>1</v>
      </c>
      <c r="AY68" s="107">
        <v>1</v>
      </c>
      <c r="AZ68" s="107">
        <v>1</v>
      </c>
      <c r="BA68" s="107">
        <v>1</v>
      </c>
      <c r="BB68" s="107">
        <v>1</v>
      </c>
      <c r="BC68" s="107">
        <v>0</v>
      </c>
      <c r="BD68" s="107">
        <v>1</v>
      </c>
      <c r="BE68" s="107">
        <v>0</v>
      </c>
      <c r="BF68" s="107">
        <v>1</v>
      </c>
      <c r="BG68" s="107">
        <v>0</v>
      </c>
      <c r="BH68" s="107">
        <v>0</v>
      </c>
      <c r="BI68" s="107">
        <v>1</v>
      </c>
      <c r="BJ68" s="107">
        <v>0</v>
      </c>
      <c r="BK68" s="107">
        <v>0</v>
      </c>
      <c r="BL68" s="107">
        <v>0</v>
      </c>
      <c r="BM68" s="107">
        <v>0</v>
      </c>
      <c r="BN68" s="107">
        <v>0</v>
      </c>
      <c r="BO68" s="107">
        <v>0</v>
      </c>
      <c r="BP68" s="107">
        <v>0</v>
      </c>
      <c r="BQ68" s="107">
        <v>0</v>
      </c>
      <c r="BR68" s="107">
        <v>0</v>
      </c>
      <c r="BS68" s="107">
        <v>0</v>
      </c>
      <c r="BT68" s="107">
        <v>0</v>
      </c>
      <c r="BU68" s="107">
        <v>0</v>
      </c>
      <c r="BV68" s="107">
        <v>0</v>
      </c>
      <c r="BW68" s="107">
        <v>0</v>
      </c>
      <c r="BX68" s="107">
        <v>0</v>
      </c>
      <c r="BY68" s="107">
        <v>0</v>
      </c>
      <c r="BZ68" s="107">
        <v>0</v>
      </c>
      <c r="CA68" s="107">
        <v>0</v>
      </c>
      <c r="CB68" s="107">
        <v>0</v>
      </c>
      <c r="CC68" s="107">
        <v>0</v>
      </c>
    </row>
    <row r="69" spans="1:81" x14ac:dyDescent="0.15">
      <c r="A69" s="180" t="s">
        <v>258</v>
      </c>
      <c r="B69" s="107">
        <v>0</v>
      </c>
      <c r="C69" s="107">
        <v>0</v>
      </c>
      <c r="D69" s="107">
        <v>0</v>
      </c>
      <c r="E69" s="107">
        <v>0</v>
      </c>
      <c r="F69" s="107">
        <v>0</v>
      </c>
      <c r="G69" s="107">
        <v>0</v>
      </c>
      <c r="H69" s="107">
        <v>0</v>
      </c>
      <c r="I69" s="107">
        <v>0</v>
      </c>
      <c r="J69" s="107">
        <v>0</v>
      </c>
      <c r="K69" s="107">
        <v>1</v>
      </c>
      <c r="L69" s="107">
        <v>0</v>
      </c>
      <c r="M69" s="107">
        <v>0</v>
      </c>
      <c r="N69" s="107">
        <v>0</v>
      </c>
      <c r="O69" s="107">
        <v>0</v>
      </c>
      <c r="P69" s="107">
        <v>0</v>
      </c>
      <c r="Q69" s="107">
        <v>1</v>
      </c>
      <c r="R69" s="107">
        <v>0</v>
      </c>
      <c r="S69" s="107">
        <v>1</v>
      </c>
      <c r="T69" s="107">
        <v>1</v>
      </c>
      <c r="U69" s="107">
        <v>1</v>
      </c>
      <c r="V69" s="107">
        <v>0</v>
      </c>
      <c r="W69" s="107">
        <v>0</v>
      </c>
      <c r="X69" s="107">
        <v>1</v>
      </c>
      <c r="Y69" s="107">
        <v>0</v>
      </c>
      <c r="Z69" s="107">
        <v>0</v>
      </c>
      <c r="AA69" s="107">
        <v>0</v>
      </c>
      <c r="AB69" s="107">
        <v>0</v>
      </c>
      <c r="AC69" s="107">
        <v>0</v>
      </c>
      <c r="AD69" s="107">
        <v>0</v>
      </c>
      <c r="AE69" s="107">
        <v>0</v>
      </c>
      <c r="AF69" s="107">
        <v>1</v>
      </c>
      <c r="AG69" s="107">
        <v>0</v>
      </c>
      <c r="AH69" s="107">
        <v>0</v>
      </c>
      <c r="AI69" s="107">
        <v>1</v>
      </c>
      <c r="AJ69" s="107">
        <v>0</v>
      </c>
      <c r="AK69" s="107">
        <v>0</v>
      </c>
      <c r="AL69" s="107">
        <v>1</v>
      </c>
      <c r="AM69" s="107">
        <v>0</v>
      </c>
      <c r="AN69" s="107">
        <v>0</v>
      </c>
      <c r="AO69" s="107">
        <v>0</v>
      </c>
      <c r="AP69" s="107">
        <v>1</v>
      </c>
      <c r="AQ69" s="107">
        <v>1</v>
      </c>
      <c r="AR69" s="107">
        <v>1</v>
      </c>
      <c r="AS69" s="107">
        <v>0</v>
      </c>
      <c r="AT69" s="107">
        <v>1</v>
      </c>
      <c r="AU69" s="107">
        <v>0</v>
      </c>
      <c r="AV69" s="107">
        <v>0</v>
      </c>
      <c r="AW69" s="107">
        <v>0</v>
      </c>
      <c r="AX69" s="107">
        <v>0</v>
      </c>
      <c r="AY69" s="107">
        <v>1</v>
      </c>
      <c r="AZ69" s="107">
        <v>1</v>
      </c>
      <c r="BA69" s="107">
        <v>1</v>
      </c>
      <c r="BB69" s="107">
        <v>1</v>
      </c>
      <c r="BC69" s="107">
        <v>0</v>
      </c>
      <c r="BD69" s="107">
        <v>1</v>
      </c>
      <c r="BE69" s="107">
        <v>1</v>
      </c>
      <c r="BF69" s="107">
        <v>0</v>
      </c>
      <c r="BG69" s="107">
        <v>0</v>
      </c>
      <c r="BH69" s="107">
        <v>0</v>
      </c>
      <c r="BI69" s="107">
        <v>0</v>
      </c>
      <c r="BJ69" s="107">
        <v>0</v>
      </c>
      <c r="BK69" s="107">
        <v>0</v>
      </c>
      <c r="BL69" s="107">
        <v>0</v>
      </c>
      <c r="BM69" s="107">
        <v>0</v>
      </c>
      <c r="BN69" s="107">
        <v>0</v>
      </c>
      <c r="BO69" s="107">
        <v>0</v>
      </c>
      <c r="BP69" s="107">
        <v>0</v>
      </c>
      <c r="BQ69" s="107">
        <v>0</v>
      </c>
      <c r="BR69" s="107">
        <v>0</v>
      </c>
      <c r="BS69" s="107">
        <v>0</v>
      </c>
      <c r="BT69" s="107">
        <v>0</v>
      </c>
      <c r="BU69" s="107">
        <v>0</v>
      </c>
      <c r="BV69" s="107">
        <v>0</v>
      </c>
      <c r="BW69" s="107">
        <v>0</v>
      </c>
      <c r="BX69" s="107">
        <v>0</v>
      </c>
      <c r="BY69" s="107">
        <v>0</v>
      </c>
      <c r="BZ69" s="107">
        <v>0</v>
      </c>
      <c r="CA69" s="107">
        <v>0</v>
      </c>
      <c r="CB69" s="107">
        <v>0</v>
      </c>
      <c r="CC69" s="107">
        <v>0</v>
      </c>
    </row>
    <row r="70" spans="1:81" x14ac:dyDescent="0.15">
      <c r="A70" s="180" t="s">
        <v>259</v>
      </c>
      <c r="B70" s="107">
        <v>0</v>
      </c>
      <c r="C70" s="107">
        <v>0</v>
      </c>
      <c r="D70" s="107">
        <v>0</v>
      </c>
      <c r="E70" s="107">
        <v>0</v>
      </c>
      <c r="F70" s="107">
        <v>0</v>
      </c>
      <c r="G70" s="107">
        <v>0</v>
      </c>
      <c r="H70" s="107">
        <v>0</v>
      </c>
      <c r="I70" s="107">
        <v>0</v>
      </c>
      <c r="J70" s="107">
        <v>0</v>
      </c>
      <c r="K70" s="107">
        <v>1</v>
      </c>
      <c r="L70" s="107">
        <v>0</v>
      </c>
      <c r="M70" s="107">
        <v>0</v>
      </c>
      <c r="N70" s="107">
        <v>0</v>
      </c>
      <c r="O70" s="107">
        <v>1</v>
      </c>
      <c r="P70" s="107">
        <v>1</v>
      </c>
      <c r="Q70" s="107">
        <v>1</v>
      </c>
      <c r="R70" s="107">
        <v>0</v>
      </c>
      <c r="S70" s="107">
        <v>1</v>
      </c>
      <c r="T70" s="107">
        <v>0</v>
      </c>
      <c r="U70" s="107">
        <v>0</v>
      </c>
      <c r="V70" s="107">
        <v>0</v>
      </c>
      <c r="W70" s="107">
        <v>0</v>
      </c>
      <c r="X70" s="107">
        <v>1</v>
      </c>
      <c r="Y70" s="107">
        <v>0</v>
      </c>
      <c r="Z70" s="107">
        <v>0</v>
      </c>
      <c r="AA70" s="107">
        <v>1</v>
      </c>
      <c r="AB70" s="107">
        <v>0</v>
      </c>
      <c r="AC70" s="107">
        <v>0</v>
      </c>
      <c r="AD70" s="107">
        <v>0</v>
      </c>
      <c r="AE70" s="107">
        <v>0</v>
      </c>
      <c r="AF70" s="107">
        <v>1</v>
      </c>
      <c r="AG70" s="107">
        <v>0</v>
      </c>
      <c r="AH70" s="107">
        <v>0</v>
      </c>
      <c r="AI70" s="107">
        <v>0</v>
      </c>
      <c r="AJ70" s="107">
        <v>0</v>
      </c>
      <c r="AK70" s="107">
        <v>0</v>
      </c>
      <c r="AL70" s="107">
        <v>1</v>
      </c>
      <c r="AM70" s="107">
        <v>0</v>
      </c>
      <c r="AN70" s="107">
        <v>0</v>
      </c>
      <c r="AO70" s="107">
        <v>0</v>
      </c>
      <c r="AP70" s="107">
        <v>1</v>
      </c>
      <c r="AQ70" s="107">
        <v>1</v>
      </c>
      <c r="AR70" s="107">
        <v>1</v>
      </c>
      <c r="AS70" s="107">
        <v>0</v>
      </c>
      <c r="AT70" s="107">
        <v>1</v>
      </c>
      <c r="AU70" s="107">
        <v>0</v>
      </c>
      <c r="AV70" s="107">
        <v>0</v>
      </c>
      <c r="AW70" s="107">
        <v>0</v>
      </c>
      <c r="AX70" s="107">
        <v>1</v>
      </c>
      <c r="AY70" s="107">
        <v>1</v>
      </c>
      <c r="AZ70" s="107">
        <v>1</v>
      </c>
      <c r="BA70" s="107">
        <v>1</v>
      </c>
      <c r="BB70" s="107">
        <v>1</v>
      </c>
      <c r="BC70" s="107">
        <v>0</v>
      </c>
      <c r="BD70" s="107">
        <v>1</v>
      </c>
      <c r="BE70" s="107">
        <v>1</v>
      </c>
      <c r="BF70" s="107">
        <v>0</v>
      </c>
      <c r="BG70" s="107">
        <v>0</v>
      </c>
      <c r="BH70" s="107">
        <v>0</v>
      </c>
      <c r="BI70" s="107">
        <v>0</v>
      </c>
      <c r="BJ70" s="107">
        <v>0</v>
      </c>
      <c r="BK70" s="107">
        <v>0</v>
      </c>
      <c r="BL70" s="107">
        <v>0</v>
      </c>
      <c r="BM70" s="107">
        <v>0</v>
      </c>
      <c r="BN70" s="107">
        <v>0</v>
      </c>
      <c r="BO70" s="107">
        <v>0</v>
      </c>
      <c r="BP70" s="107">
        <v>0</v>
      </c>
      <c r="BQ70" s="107">
        <v>0</v>
      </c>
      <c r="BR70" s="107">
        <v>0</v>
      </c>
      <c r="BS70" s="107">
        <v>0</v>
      </c>
      <c r="BT70" s="107">
        <v>0</v>
      </c>
      <c r="BU70" s="107">
        <v>0</v>
      </c>
      <c r="BV70" s="107">
        <v>0</v>
      </c>
      <c r="BW70" s="107">
        <v>0</v>
      </c>
      <c r="BX70" s="107">
        <v>0</v>
      </c>
      <c r="BY70" s="107">
        <v>0</v>
      </c>
      <c r="BZ70" s="107">
        <v>0</v>
      </c>
      <c r="CA70" s="107">
        <v>0</v>
      </c>
      <c r="CB70" s="107">
        <v>0</v>
      </c>
      <c r="CC70" s="107">
        <v>0</v>
      </c>
    </row>
    <row r="71" spans="1:81" x14ac:dyDescent="0.15">
      <c r="A71" s="180" t="s">
        <v>260</v>
      </c>
      <c r="B71" s="107">
        <v>0</v>
      </c>
      <c r="C71" s="107">
        <v>0</v>
      </c>
      <c r="D71" s="107">
        <v>0</v>
      </c>
      <c r="E71" s="107">
        <v>0</v>
      </c>
      <c r="F71" s="107">
        <v>0</v>
      </c>
      <c r="G71" s="107">
        <v>0</v>
      </c>
      <c r="H71" s="107">
        <v>0</v>
      </c>
      <c r="I71" s="107">
        <v>0</v>
      </c>
      <c r="J71" s="107">
        <v>0</v>
      </c>
      <c r="K71" s="107">
        <v>1</v>
      </c>
      <c r="L71" s="107">
        <v>0</v>
      </c>
      <c r="M71" s="107">
        <v>0</v>
      </c>
      <c r="N71" s="107">
        <v>0</v>
      </c>
      <c r="O71" s="107">
        <v>1</v>
      </c>
      <c r="P71" s="107">
        <v>1</v>
      </c>
      <c r="Q71" s="107">
        <v>0</v>
      </c>
      <c r="R71" s="107">
        <v>0</v>
      </c>
      <c r="S71" s="107">
        <v>0</v>
      </c>
      <c r="T71" s="107">
        <v>0</v>
      </c>
      <c r="U71" s="107">
        <v>0</v>
      </c>
      <c r="V71" s="107">
        <v>0</v>
      </c>
      <c r="W71" s="107">
        <v>0</v>
      </c>
      <c r="X71" s="107">
        <v>1</v>
      </c>
      <c r="Y71" s="107">
        <v>0</v>
      </c>
      <c r="Z71" s="107">
        <v>0</v>
      </c>
      <c r="AA71" s="107">
        <v>0</v>
      </c>
      <c r="AB71" s="107">
        <v>0</v>
      </c>
      <c r="AC71" s="107">
        <v>1</v>
      </c>
      <c r="AD71" s="107">
        <v>0</v>
      </c>
      <c r="AE71" s="107">
        <v>0</v>
      </c>
      <c r="AF71" s="107">
        <v>1</v>
      </c>
      <c r="AG71" s="107">
        <v>0</v>
      </c>
      <c r="AH71" s="107">
        <v>0</v>
      </c>
      <c r="AI71" s="107">
        <v>0</v>
      </c>
      <c r="AJ71" s="107">
        <v>0</v>
      </c>
      <c r="AK71" s="107">
        <v>0</v>
      </c>
      <c r="AL71" s="107">
        <v>0</v>
      </c>
      <c r="AM71" s="107">
        <v>0</v>
      </c>
      <c r="AN71" s="107">
        <v>0</v>
      </c>
      <c r="AO71" s="107">
        <v>0</v>
      </c>
      <c r="AP71" s="107">
        <v>1</v>
      </c>
      <c r="AQ71" s="107">
        <v>0</v>
      </c>
      <c r="AR71" s="107">
        <v>0</v>
      </c>
      <c r="AS71" s="107">
        <v>0</v>
      </c>
      <c r="AT71" s="107">
        <v>0</v>
      </c>
      <c r="AU71" s="107">
        <v>0</v>
      </c>
      <c r="AV71" s="107">
        <v>0</v>
      </c>
      <c r="AW71" s="107">
        <v>0</v>
      </c>
      <c r="AX71" s="107">
        <v>0</v>
      </c>
      <c r="AY71" s="107">
        <v>1</v>
      </c>
      <c r="AZ71" s="107">
        <v>1</v>
      </c>
      <c r="BA71" s="107">
        <v>1</v>
      </c>
      <c r="BB71" s="107">
        <v>1</v>
      </c>
      <c r="BC71" s="107">
        <v>0</v>
      </c>
      <c r="BD71" s="107">
        <v>1</v>
      </c>
      <c r="BE71" s="107">
        <v>0</v>
      </c>
      <c r="BF71" s="107">
        <v>0</v>
      </c>
      <c r="BG71" s="107">
        <v>0</v>
      </c>
      <c r="BH71" s="107">
        <v>0</v>
      </c>
      <c r="BI71" s="107">
        <v>0</v>
      </c>
      <c r="BJ71" s="107">
        <v>0</v>
      </c>
      <c r="BK71" s="107">
        <v>0</v>
      </c>
      <c r="BL71" s="107">
        <v>0</v>
      </c>
      <c r="BM71" s="107">
        <v>0</v>
      </c>
      <c r="BN71" s="107">
        <v>0</v>
      </c>
      <c r="BO71" s="107">
        <v>0</v>
      </c>
      <c r="BP71" s="107">
        <v>0</v>
      </c>
      <c r="BQ71" s="107">
        <v>0</v>
      </c>
      <c r="BR71" s="107">
        <v>0</v>
      </c>
      <c r="BS71" s="107">
        <v>0</v>
      </c>
      <c r="BT71" s="107">
        <v>0</v>
      </c>
      <c r="BU71" s="107">
        <v>0</v>
      </c>
      <c r="BV71" s="107">
        <v>0</v>
      </c>
      <c r="BW71" s="107">
        <v>0</v>
      </c>
      <c r="BX71" s="107">
        <v>0</v>
      </c>
      <c r="BY71" s="107">
        <v>0</v>
      </c>
      <c r="BZ71" s="107">
        <v>0</v>
      </c>
      <c r="CA71" s="107">
        <v>0</v>
      </c>
      <c r="CB71" s="107">
        <v>0</v>
      </c>
      <c r="CC71" s="107">
        <v>0</v>
      </c>
    </row>
    <row r="72" spans="1:81" x14ac:dyDescent="0.15">
      <c r="A72" s="180" t="s">
        <v>261</v>
      </c>
      <c r="B72" s="107">
        <v>0</v>
      </c>
      <c r="C72" s="107">
        <v>0</v>
      </c>
      <c r="D72" s="107">
        <v>0</v>
      </c>
      <c r="E72" s="107">
        <v>0</v>
      </c>
      <c r="F72" s="107">
        <v>0</v>
      </c>
      <c r="G72" s="107">
        <v>0</v>
      </c>
      <c r="H72" s="107">
        <v>0</v>
      </c>
      <c r="I72" s="107">
        <v>0</v>
      </c>
      <c r="J72" s="107">
        <v>0</v>
      </c>
      <c r="K72" s="107">
        <v>0</v>
      </c>
      <c r="L72" s="107">
        <v>0</v>
      </c>
      <c r="M72" s="107">
        <v>0</v>
      </c>
      <c r="N72" s="107">
        <v>0</v>
      </c>
      <c r="O72" s="107">
        <v>0</v>
      </c>
      <c r="P72" s="107">
        <v>0</v>
      </c>
      <c r="Q72" s="107">
        <v>0</v>
      </c>
      <c r="R72" s="107">
        <v>0</v>
      </c>
      <c r="S72" s="107">
        <v>1</v>
      </c>
      <c r="T72" s="107">
        <v>0</v>
      </c>
      <c r="U72" s="107">
        <v>0</v>
      </c>
      <c r="V72" s="107">
        <v>0</v>
      </c>
      <c r="W72" s="107">
        <v>0</v>
      </c>
      <c r="X72" s="107">
        <v>0</v>
      </c>
      <c r="Y72" s="107">
        <v>0</v>
      </c>
      <c r="Z72" s="107">
        <v>0</v>
      </c>
      <c r="AA72" s="107">
        <v>0</v>
      </c>
      <c r="AB72" s="107">
        <v>0</v>
      </c>
      <c r="AC72" s="107">
        <v>1</v>
      </c>
      <c r="AD72" s="107">
        <v>0</v>
      </c>
      <c r="AE72" s="107">
        <v>0</v>
      </c>
      <c r="AF72" s="107">
        <v>0</v>
      </c>
      <c r="AG72" s="107">
        <v>0</v>
      </c>
      <c r="AH72" s="107">
        <v>0</v>
      </c>
      <c r="AI72" s="107">
        <v>0</v>
      </c>
      <c r="AJ72" s="107">
        <v>1</v>
      </c>
      <c r="AK72" s="107">
        <v>0</v>
      </c>
      <c r="AL72" s="107">
        <v>1</v>
      </c>
      <c r="AM72" s="107">
        <v>1</v>
      </c>
      <c r="AN72" s="107">
        <v>1</v>
      </c>
      <c r="AO72" s="107">
        <v>1</v>
      </c>
      <c r="AP72" s="107">
        <v>1</v>
      </c>
      <c r="AQ72" s="107">
        <v>1</v>
      </c>
      <c r="AR72" s="107">
        <v>0</v>
      </c>
      <c r="AS72" s="107">
        <v>0</v>
      </c>
      <c r="AT72" s="107">
        <v>0</v>
      </c>
      <c r="AU72" s="107">
        <v>0</v>
      </c>
      <c r="AV72" s="107">
        <v>0</v>
      </c>
      <c r="AW72" s="107">
        <v>0</v>
      </c>
      <c r="AX72" s="107">
        <v>0</v>
      </c>
      <c r="AY72" s="107">
        <v>0</v>
      </c>
      <c r="AZ72" s="107">
        <v>0</v>
      </c>
      <c r="BA72" s="107">
        <v>0</v>
      </c>
      <c r="BB72" s="107">
        <v>1</v>
      </c>
      <c r="BC72" s="107">
        <v>0</v>
      </c>
      <c r="BD72" s="107">
        <v>0</v>
      </c>
      <c r="BE72" s="107">
        <v>0</v>
      </c>
      <c r="BF72" s="107">
        <v>0</v>
      </c>
      <c r="BG72" s="107">
        <v>0</v>
      </c>
      <c r="BH72" s="107">
        <v>0</v>
      </c>
      <c r="BI72" s="107">
        <v>0</v>
      </c>
      <c r="BJ72" s="107">
        <v>0</v>
      </c>
      <c r="BK72" s="107">
        <v>0</v>
      </c>
      <c r="BL72" s="107">
        <v>0</v>
      </c>
      <c r="BM72" s="107">
        <v>0</v>
      </c>
      <c r="BN72" s="107">
        <v>0</v>
      </c>
      <c r="BO72" s="107">
        <v>0</v>
      </c>
      <c r="BP72" s="107">
        <v>0</v>
      </c>
      <c r="BQ72" s="107">
        <v>0</v>
      </c>
      <c r="BR72" s="107">
        <v>0</v>
      </c>
      <c r="BS72" s="107">
        <v>0</v>
      </c>
      <c r="BT72" s="107">
        <v>0</v>
      </c>
      <c r="BU72" s="107">
        <v>0</v>
      </c>
      <c r="BV72" s="107">
        <v>0</v>
      </c>
      <c r="BW72" s="107">
        <v>0</v>
      </c>
      <c r="BX72" s="107">
        <v>0</v>
      </c>
      <c r="BY72" s="107">
        <v>0</v>
      </c>
      <c r="BZ72" s="107">
        <v>0</v>
      </c>
      <c r="CA72" s="107">
        <v>0</v>
      </c>
      <c r="CB72" s="107">
        <v>0</v>
      </c>
      <c r="CC72" s="107">
        <v>0</v>
      </c>
    </row>
    <row r="73" spans="1:81" x14ac:dyDescent="0.15">
      <c r="A73" s="180" t="s">
        <v>262</v>
      </c>
      <c r="B73" s="107">
        <v>0</v>
      </c>
      <c r="C73" s="107">
        <v>0</v>
      </c>
      <c r="D73" s="107">
        <v>0</v>
      </c>
      <c r="E73" s="107">
        <v>0</v>
      </c>
      <c r="F73" s="107">
        <v>0</v>
      </c>
      <c r="G73" s="107">
        <v>0</v>
      </c>
      <c r="H73" s="107">
        <v>0</v>
      </c>
      <c r="I73" s="107">
        <v>0</v>
      </c>
      <c r="J73" s="107">
        <v>0</v>
      </c>
      <c r="K73" s="107">
        <v>0</v>
      </c>
      <c r="L73" s="107">
        <v>0</v>
      </c>
      <c r="M73" s="107">
        <v>0</v>
      </c>
      <c r="N73" s="107">
        <v>0</v>
      </c>
      <c r="O73" s="107">
        <v>0</v>
      </c>
      <c r="P73" s="107">
        <v>0</v>
      </c>
      <c r="Q73" s="107">
        <v>0</v>
      </c>
      <c r="R73" s="107">
        <v>0</v>
      </c>
      <c r="S73" s="107">
        <v>0</v>
      </c>
      <c r="T73" s="107">
        <v>0</v>
      </c>
      <c r="U73" s="107">
        <v>0</v>
      </c>
      <c r="V73" s="107">
        <v>0</v>
      </c>
      <c r="W73" s="107">
        <v>0</v>
      </c>
      <c r="X73" s="107">
        <v>0</v>
      </c>
      <c r="Y73" s="107">
        <v>0</v>
      </c>
      <c r="Z73" s="107">
        <v>0</v>
      </c>
      <c r="AA73" s="107">
        <v>0</v>
      </c>
      <c r="AB73" s="107">
        <v>0</v>
      </c>
      <c r="AC73" s="107">
        <v>0</v>
      </c>
      <c r="AD73" s="107">
        <v>0</v>
      </c>
      <c r="AE73" s="107">
        <v>0</v>
      </c>
      <c r="AF73" s="107">
        <v>0</v>
      </c>
      <c r="AG73" s="107">
        <v>0</v>
      </c>
      <c r="AH73" s="107">
        <v>0</v>
      </c>
      <c r="AI73" s="107">
        <v>0</v>
      </c>
      <c r="AJ73" s="107">
        <v>0</v>
      </c>
      <c r="AK73" s="107">
        <v>1</v>
      </c>
      <c r="AL73" s="107">
        <v>1</v>
      </c>
      <c r="AM73" s="107">
        <v>1</v>
      </c>
      <c r="AN73" s="107">
        <v>0</v>
      </c>
      <c r="AO73" s="107">
        <v>0</v>
      </c>
      <c r="AP73" s="107">
        <v>0</v>
      </c>
      <c r="AQ73" s="107">
        <v>0</v>
      </c>
      <c r="AR73" s="107">
        <v>0</v>
      </c>
      <c r="AS73" s="107">
        <v>0</v>
      </c>
      <c r="AT73" s="107">
        <v>0</v>
      </c>
      <c r="AU73" s="107">
        <v>0</v>
      </c>
      <c r="AV73" s="107">
        <v>0</v>
      </c>
      <c r="AW73" s="107">
        <v>0</v>
      </c>
      <c r="AX73" s="107">
        <v>0</v>
      </c>
      <c r="AY73" s="107">
        <v>0</v>
      </c>
      <c r="AZ73" s="107">
        <v>0</v>
      </c>
      <c r="BA73" s="107">
        <v>0</v>
      </c>
      <c r="BB73" s="107">
        <v>0</v>
      </c>
      <c r="BC73" s="107">
        <v>0</v>
      </c>
      <c r="BD73" s="107">
        <v>0</v>
      </c>
      <c r="BE73" s="107">
        <v>0</v>
      </c>
      <c r="BF73" s="107">
        <v>0</v>
      </c>
      <c r="BG73" s="107">
        <v>1</v>
      </c>
      <c r="BH73" s="107">
        <v>1</v>
      </c>
      <c r="BI73" s="107">
        <v>0</v>
      </c>
      <c r="BJ73" s="107">
        <v>0</v>
      </c>
      <c r="BK73" s="107">
        <v>0</v>
      </c>
      <c r="BL73" s="107">
        <v>0</v>
      </c>
      <c r="BM73" s="107">
        <v>0</v>
      </c>
      <c r="BN73" s="107">
        <v>0</v>
      </c>
      <c r="BO73" s="107">
        <v>0</v>
      </c>
      <c r="BP73" s="107">
        <v>0</v>
      </c>
      <c r="BQ73" s="107">
        <v>0</v>
      </c>
      <c r="BR73" s="107">
        <v>0</v>
      </c>
      <c r="BS73" s="107">
        <v>0</v>
      </c>
      <c r="BT73" s="107">
        <v>0</v>
      </c>
      <c r="BU73" s="107">
        <v>0</v>
      </c>
      <c r="BV73" s="107">
        <v>0</v>
      </c>
      <c r="BW73" s="107">
        <v>0</v>
      </c>
      <c r="BX73" s="107">
        <v>0</v>
      </c>
      <c r="BY73" s="107">
        <v>0</v>
      </c>
      <c r="BZ73" s="107">
        <v>0</v>
      </c>
      <c r="CA73" s="107">
        <v>0</v>
      </c>
      <c r="CB73" s="107">
        <v>0</v>
      </c>
      <c r="CC73" s="107">
        <v>0</v>
      </c>
    </row>
    <row r="74" spans="1:81" x14ac:dyDescent="0.15">
      <c r="A74" s="180" t="s">
        <v>263</v>
      </c>
      <c r="B74" s="107">
        <v>0</v>
      </c>
      <c r="C74" s="107">
        <v>0</v>
      </c>
      <c r="D74" s="107">
        <v>0</v>
      </c>
      <c r="E74" s="107">
        <v>0</v>
      </c>
      <c r="F74" s="107">
        <v>0</v>
      </c>
      <c r="G74" s="107">
        <v>0</v>
      </c>
      <c r="H74" s="107">
        <v>0</v>
      </c>
      <c r="I74" s="107">
        <v>0</v>
      </c>
      <c r="J74" s="107">
        <v>0</v>
      </c>
      <c r="K74" s="107">
        <v>0</v>
      </c>
      <c r="L74" s="107">
        <v>0</v>
      </c>
      <c r="M74" s="107">
        <v>0</v>
      </c>
      <c r="N74" s="107">
        <v>0</v>
      </c>
      <c r="O74" s="107">
        <v>0</v>
      </c>
      <c r="P74" s="107">
        <v>0</v>
      </c>
      <c r="Q74" s="107">
        <v>0</v>
      </c>
      <c r="R74" s="107">
        <v>0</v>
      </c>
      <c r="S74" s="107">
        <v>0</v>
      </c>
      <c r="T74" s="107">
        <v>0</v>
      </c>
      <c r="U74" s="107">
        <v>0</v>
      </c>
      <c r="V74" s="107">
        <v>0</v>
      </c>
      <c r="W74" s="107">
        <v>0</v>
      </c>
      <c r="X74" s="107">
        <v>0</v>
      </c>
      <c r="Y74" s="107">
        <v>0</v>
      </c>
      <c r="Z74" s="107">
        <v>0</v>
      </c>
      <c r="AA74" s="107">
        <v>0</v>
      </c>
      <c r="AB74" s="107">
        <v>0</v>
      </c>
      <c r="AC74" s="107">
        <v>0</v>
      </c>
      <c r="AD74" s="107">
        <v>0</v>
      </c>
      <c r="AE74" s="107">
        <v>0</v>
      </c>
      <c r="AF74" s="107">
        <v>0</v>
      </c>
      <c r="AG74" s="107">
        <v>0</v>
      </c>
      <c r="AH74" s="107">
        <v>0</v>
      </c>
      <c r="AI74" s="107">
        <v>0</v>
      </c>
      <c r="AJ74" s="107">
        <v>0</v>
      </c>
      <c r="AK74" s="107">
        <v>0</v>
      </c>
      <c r="AL74" s="107">
        <v>1</v>
      </c>
      <c r="AM74" s="107">
        <v>0</v>
      </c>
      <c r="AN74" s="107">
        <v>1</v>
      </c>
      <c r="AO74" s="107">
        <v>0</v>
      </c>
      <c r="AP74" s="107">
        <v>0</v>
      </c>
      <c r="AQ74" s="107">
        <v>0</v>
      </c>
      <c r="AR74" s="107">
        <v>0</v>
      </c>
      <c r="AS74" s="107">
        <v>0</v>
      </c>
      <c r="AT74" s="107">
        <v>0</v>
      </c>
      <c r="AU74" s="107">
        <v>0</v>
      </c>
      <c r="AV74" s="107">
        <v>0</v>
      </c>
      <c r="AW74" s="107">
        <v>0</v>
      </c>
      <c r="AX74" s="107">
        <v>0</v>
      </c>
      <c r="AY74" s="107">
        <v>0</v>
      </c>
      <c r="AZ74" s="107">
        <v>0</v>
      </c>
      <c r="BA74" s="107">
        <v>0</v>
      </c>
      <c r="BB74" s="107">
        <v>0</v>
      </c>
      <c r="BC74" s="107">
        <v>0</v>
      </c>
      <c r="BD74" s="107">
        <v>0</v>
      </c>
      <c r="BE74" s="107">
        <v>0</v>
      </c>
      <c r="BF74" s="107">
        <v>0</v>
      </c>
      <c r="BG74" s="107">
        <v>1</v>
      </c>
      <c r="BH74" s="107">
        <v>1</v>
      </c>
      <c r="BI74" s="107">
        <v>0</v>
      </c>
      <c r="BJ74" s="107">
        <v>0</v>
      </c>
      <c r="BK74" s="107">
        <v>0</v>
      </c>
      <c r="BL74" s="107">
        <v>0</v>
      </c>
      <c r="BM74" s="107">
        <v>0</v>
      </c>
      <c r="BN74" s="107">
        <v>0</v>
      </c>
      <c r="BO74" s="107">
        <v>0</v>
      </c>
      <c r="BP74" s="107">
        <v>0</v>
      </c>
      <c r="BQ74" s="107">
        <v>0</v>
      </c>
      <c r="BR74" s="107">
        <v>0</v>
      </c>
      <c r="BS74" s="107">
        <v>0</v>
      </c>
      <c r="BT74" s="107">
        <v>0</v>
      </c>
      <c r="BU74" s="107">
        <v>0</v>
      </c>
      <c r="BV74" s="107">
        <v>0</v>
      </c>
      <c r="BW74" s="107">
        <v>0</v>
      </c>
      <c r="BX74" s="107">
        <v>0</v>
      </c>
      <c r="BY74" s="107">
        <v>0</v>
      </c>
      <c r="BZ74" s="107">
        <v>0</v>
      </c>
      <c r="CA74" s="107">
        <v>0</v>
      </c>
      <c r="CB74" s="107">
        <v>0</v>
      </c>
      <c r="CC74" s="107">
        <v>0</v>
      </c>
    </row>
    <row r="75" spans="1:81" x14ac:dyDescent="0.15">
      <c r="A75" s="180" t="s">
        <v>264</v>
      </c>
      <c r="B75" s="107">
        <v>0</v>
      </c>
      <c r="C75" s="107">
        <v>0</v>
      </c>
      <c r="D75" s="107">
        <v>0</v>
      </c>
      <c r="E75" s="107">
        <v>0</v>
      </c>
      <c r="F75" s="107">
        <v>0</v>
      </c>
      <c r="G75" s="107">
        <v>0</v>
      </c>
      <c r="H75" s="107">
        <v>0</v>
      </c>
      <c r="I75" s="107">
        <v>0</v>
      </c>
      <c r="J75" s="107">
        <v>0</v>
      </c>
      <c r="K75" s="107">
        <v>0</v>
      </c>
      <c r="L75" s="107">
        <v>0</v>
      </c>
      <c r="M75" s="107">
        <v>0</v>
      </c>
      <c r="N75" s="107">
        <v>0</v>
      </c>
      <c r="O75" s="107">
        <v>0</v>
      </c>
      <c r="P75" s="107">
        <v>0</v>
      </c>
      <c r="Q75" s="107">
        <v>0</v>
      </c>
      <c r="R75" s="107">
        <v>0</v>
      </c>
      <c r="S75" s="107">
        <v>0</v>
      </c>
      <c r="T75" s="107">
        <v>0</v>
      </c>
      <c r="U75" s="107">
        <v>0</v>
      </c>
      <c r="V75" s="107">
        <v>0</v>
      </c>
      <c r="W75" s="107">
        <v>0</v>
      </c>
      <c r="X75" s="107">
        <v>0</v>
      </c>
      <c r="Y75" s="107">
        <v>0</v>
      </c>
      <c r="Z75" s="107">
        <v>0</v>
      </c>
      <c r="AA75" s="107">
        <v>0</v>
      </c>
      <c r="AB75" s="107">
        <v>0</v>
      </c>
      <c r="AC75" s="107">
        <v>1</v>
      </c>
      <c r="AD75" s="107">
        <v>0</v>
      </c>
      <c r="AE75" s="107">
        <v>0</v>
      </c>
      <c r="AF75" s="107">
        <v>0</v>
      </c>
      <c r="AG75" s="107">
        <v>0</v>
      </c>
      <c r="AH75" s="107">
        <v>0</v>
      </c>
      <c r="AI75" s="107">
        <v>0</v>
      </c>
      <c r="AJ75" s="107">
        <v>0</v>
      </c>
      <c r="AK75" s="107">
        <v>0</v>
      </c>
      <c r="AL75" s="107">
        <v>0</v>
      </c>
      <c r="AM75" s="107">
        <v>0</v>
      </c>
      <c r="AN75" s="107">
        <v>0</v>
      </c>
      <c r="AO75" s="107">
        <v>0</v>
      </c>
      <c r="AP75" s="107">
        <v>0</v>
      </c>
      <c r="AQ75" s="107">
        <v>0</v>
      </c>
      <c r="AR75" s="107">
        <v>1</v>
      </c>
      <c r="AS75" s="107">
        <v>0</v>
      </c>
      <c r="AT75" s="107">
        <v>0</v>
      </c>
      <c r="AU75" s="107">
        <v>0</v>
      </c>
      <c r="AV75" s="107">
        <v>0</v>
      </c>
      <c r="AW75" s="107">
        <v>0</v>
      </c>
      <c r="AX75" s="107">
        <v>0</v>
      </c>
      <c r="AY75" s="107">
        <v>0</v>
      </c>
      <c r="AZ75" s="107">
        <v>0</v>
      </c>
      <c r="BA75" s="107">
        <v>0</v>
      </c>
      <c r="BB75" s="107">
        <v>0</v>
      </c>
      <c r="BC75" s="107">
        <v>0</v>
      </c>
      <c r="BD75" s="107">
        <v>0</v>
      </c>
      <c r="BE75" s="107">
        <v>0</v>
      </c>
      <c r="BF75" s="107">
        <v>0</v>
      </c>
      <c r="BG75" s="107">
        <v>0</v>
      </c>
      <c r="BH75" s="107">
        <v>0</v>
      </c>
      <c r="BI75" s="107">
        <v>0</v>
      </c>
      <c r="BJ75" s="107">
        <v>0</v>
      </c>
      <c r="BK75" s="107">
        <v>0</v>
      </c>
      <c r="BL75" s="107">
        <v>0</v>
      </c>
      <c r="BM75" s="107">
        <v>0</v>
      </c>
      <c r="BN75" s="107">
        <v>0</v>
      </c>
      <c r="BO75" s="107">
        <v>0</v>
      </c>
      <c r="BP75" s="107">
        <v>0</v>
      </c>
      <c r="BQ75" s="107">
        <v>0</v>
      </c>
      <c r="BR75" s="107">
        <v>0</v>
      </c>
      <c r="BS75" s="107">
        <v>0</v>
      </c>
      <c r="BT75" s="107">
        <v>0</v>
      </c>
      <c r="BU75" s="107">
        <v>0</v>
      </c>
      <c r="BV75" s="107">
        <v>0</v>
      </c>
      <c r="BW75" s="107">
        <v>0</v>
      </c>
      <c r="BX75" s="107">
        <v>0</v>
      </c>
      <c r="BY75" s="107">
        <v>0</v>
      </c>
      <c r="BZ75" s="107">
        <v>0</v>
      </c>
      <c r="CA75" s="107">
        <v>0</v>
      </c>
      <c r="CB75" s="107">
        <v>0</v>
      </c>
      <c r="CC75" s="107">
        <v>0</v>
      </c>
    </row>
    <row r="76" spans="1:81" x14ac:dyDescent="0.15">
      <c r="A76" s="180" t="s">
        <v>265</v>
      </c>
      <c r="B76" s="107">
        <v>0</v>
      </c>
      <c r="C76" s="107">
        <v>0</v>
      </c>
      <c r="D76" s="107">
        <v>0</v>
      </c>
      <c r="E76" s="107">
        <v>0</v>
      </c>
      <c r="F76" s="107">
        <v>0</v>
      </c>
      <c r="G76" s="107">
        <v>0</v>
      </c>
      <c r="H76" s="107">
        <v>0</v>
      </c>
      <c r="I76" s="107">
        <v>0</v>
      </c>
      <c r="J76" s="107">
        <v>0</v>
      </c>
      <c r="K76" s="107">
        <v>0</v>
      </c>
      <c r="L76" s="107">
        <v>0</v>
      </c>
      <c r="M76" s="107">
        <v>0</v>
      </c>
      <c r="N76" s="107">
        <v>0</v>
      </c>
      <c r="O76" s="107">
        <v>0</v>
      </c>
      <c r="P76" s="107">
        <v>0</v>
      </c>
      <c r="Q76" s="107">
        <v>0</v>
      </c>
      <c r="R76" s="107">
        <v>0</v>
      </c>
      <c r="S76" s="107">
        <v>0</v>
      </c>
      <c r="T76" s="107">
        <v>0</v>
      </c>
      <c r="U76" s="107">
        <v>0</v>
      </c>
      <c r="V76" s="107">
        <v>0</v>
      </c>
      <c r="W76" s="107">
        <v>0</v>
      </c>
      <c r="X76" s="107">
        <v>0</v>
      </c>
      <c r="Y76" s="107">
        <v>0</v>
      </c>
      <c r="Z76" s="107">
        <v>0</v>
      </c>
      <c r="AA76" s="107">
        <v>0</v>
      </c>
      <c r="AB76" s="107">
        <v>0</v>
      </c>
      <c r="AC76" s="107">
        <v>0</v>
      </c>
      <c r="AD76" s="107">
        <v>0</v>
      </c>
      <c r="AE76" s="107">
        <v>0</v>
      </c>
      <c r="AF76" s="107">
        <v>0</v>
      </c>
      <c r="AG76" s="107">
        <v>0</v>
      </c>
      <c r="AH76" s="107">
        <v>0</v>
      </c>
      <c r="AI76" s="107">
        <v>0</v>
      </c>
      <c r="AJ76" s="107">
        <v>0</v>
      </c>
      <c r="AK76" s="107">
        <v>0</v>
      </c>
      <c r="AL76" s="107">
        <v>0</v>
      </c>
      <c r="AM76" s="107">
        <v>0</v>
      </c>
      <c r="AN76" s="107">
        <v>0</v>
      </c>
      <c r="AO76" s="107">
        <v>0</v>
      </c>
      <c r="AP76" s="107">
        <v>0</v>
      </c>
      <c r="AQ76" s="107">
        <v>1</v>
      </c>
      <c r="AR76" s="107">
        <v>1</v>
      </c>
      <c r="AS76" s="107">
        <v>0</v>
      </c>
      <c r="AT76" s="107">
        <v>1</v>
      </c>
      <c r="AU76" s="107">
        <v>0</v>
      </c>
      <c r="AV76" s="107">
        <v>0</v>
      </c>
      <c r="AW76" s="107">
        <v>0</v>
      </c>
      <c r="AX76" s="107">
        <v>0</v>
      </c>
      <c r="AY76" s="107">
        <v>0</v>
      </c>
      <c r="AZ76" s="107">
        <v>0</v>
      </c>
      <c r="BA76" s="107">
        <v>0</v>
      </c>
      <c r="BB76" s="107">
        <v>1</v>
      </c>
      <c r="BC76" s="107">
        <v>0</v>
      </c>
      <c r="BD76" s="107">
        <v>1</v>
      </c>
      <c r="BE76" s="107">
        <v>0</v>
      </c>
      <c r="BF76" s="107">
        <v>1</v>
      </c>
      <c r="BG76" s="107">
        <v>0</v>
      </c>
      <c r="BH76" s="107">
        <v>0</v>
      </c>
      <c r="BI76" s="107">
        <v>1</v>
      </c>
      <c r="BJ76" s="107">
        <v>0</v>
      </c>
      <c r="BK76" s="107">
        <v>0</v>
      </c>
      <c r="BL76" s="107">
        <v>0</v>
      </c>
      <c r="BM76" s="107">
        <v>0</v>
      </c>
      <c r="BN76" s="107">
        <v>0</v>
      </c>
      <c r="BO76" s="107">
        <v>0</v>
      </c>
      <c r="BP76" s="107">
        <v>0</v>
      </c>
      <c r="BQ76" s="107">
        <v>0</v>
      </c>
      <c r="BR76" s="107">
        <v>0</v>
      </c>
      <c r="BS76" s="107">
        <v>0</v>
      </c>
      <c r="BT76" s="107">
        <v>0</v>
      </c>
      <c r="BU76" s="107">
        <v>0</v>
      </c>
      <c r="BV76" s="107">
        <v>0</v>
      </c>
      <c r="BW76" s="107">
        <v>0</v>
      </c>
      <c r="BX76" s="107">
        <v>0</v>
      </c>
      <c r="BY76" s="107">
        <v>0</v>
      </c>
      <c r="BZ76" s="107">
        <v>0</v>
      </c>
      <c r="CA76" s="107">
        <v>0</v>
      </c>
      <c r="CB76" s="107">
        <v>0</v>
      </c>
      <c r="CC76" s="107">
        <v>0</v>
      </c>
    </row>
    <row r="77" spans="1:81" x14ac:dyDescent="0.15">
      <c r="A77" s="180" t="s">
        <v>266</v>
      </c>
      <c r="B77" s="107">
        <v>0</v>
      </c>
      <c r="C77" s="107">
        <v>0</v>
      </c>
      <c r="D77" s="107">
        <v>0</v>
      </c>
      <c r="E77" s="107">
        <v>0</v>
      </c>
      <c r="F77" s="107">
        <v>0</v>
      </c>
      <c r="G77" s="107">
        <v>0</v>
      </c>
      <c r="H77" s="107">
        <v>0</v>
      </c>
      <c r="I77" s="107">
        <v>0</v>
      </c>
      <c r="J77" s="107">
        <v>0</v>
      </c>
      <c r="K77" s="107">
        <v>0</v>
      </c>
      <c r="L77" s="107">
        <v>0</v>
      </c>
      <c r="M77" s="107">
        <v>0</v>
      </c>
      <c r="N77" s="107">
        <v>0</v>
      </c>
      <c r="O77" s="107">
        <v>0</v>
      </c>
      <c r="P77" s="107">
        <v>0</v>
      </c>
      <c r="Q77" s="107">
        <v>0</v>
      </c>
      <c r="R77" s="107">
        <v>0</v>
      </c>
      <c r="S77" s="107">
        <v>0</v>
      </c>
      <c r="T77" s="107">
        <v>0</v>
      </c>
      <c r="U77" s="107">
        <v>0</v>
      </c>
      <c r="V77" s="107">
        <v>0</v>
      </c>
      <c r="W77" s="107">
        <v>0</v>
      </c>
      <c r="X77" s="107">
        <v>0</v>
      </c>
      <c r="Y77" s="107">
        <v>0</v>
      </c>
      <c r="Z77" s="107">
        <v>0</v>
      </c>
      <c r="AA77" s="107">
        <v>0</v>
      </c>
      <c r="AB77" s="107">
        <v>0</v>
      </c>
      <c r="AC77" s="107">
        <v>0</v>
      </c>
      <c r="AD77" s="107">
        <v>0</v>
      </c>
      <c r="AE77" s="107">
        <v>0</v>
      </c>
      <c r="AF77" s="107">
        <v>0</v>
      </c>
      <c r="AG77" s="107">
        <v>0</v>
      </c>
      <c r="AH77" s="107">
        <v>0</v>
      </c>
      <c r="AI77" s="107">
        <v>0</v>
      </c>
      <c r="AJ77" s="107">
        <v>0</v>
      </c>
      <c r="AK77" s="107">
        <v>0</v>
      </c>
      <c r="AL77" s="107">
        <v>0</v>
      </c>
      <c r="AM77" s="107">
        <v>0</v>
      </c>
      <c r="AN77" s="107">
        <v>0</v>
      </c>
      <c r="AO77" s="107">
        <v>0</v>
      </c>
      <c r="AP77" s="107">
        <v>0</v>
      </c>
      <c r="AQ77" s="107">
        <v>0</v>
      </c>
      <c r="AR77" s="107">
        <v>1</v>
      </c>
      <c r="AS77" s="107">
        <v>0</v>
      </c>
      <c r="AT77" s="107">
        <v>0</v>
      </c>
      <c r="AU77" s="107">
        <v>0</v>
      </c>
      <c r="AV77" s="107">
        <v>0</v>
      </c>
      <c r="AW77" s="107">
        <v>0</v>
      </c>
      <c r="AX77" s="107">
        <v>0</v>
      </c>
      <c r="AY77" s="107">
        <v>0</v>
      </c>
      <c r="AZ77" s="107">
        <v>0</v>
      </c>
      <c r="BA77" s="107">
        <v>0</v>
      </c>
      <c r="BB77" s="107">
        <v>1</v>
      </c>
      <c r="BC77" s="107">
        <v>0</v>
      </c>
      <c r="BD77" s="107">
        <v>1</v>
      </c>
      <c r="BE77" s="107">
        <v>0</v>
      </c>
      <c r="BF77" s="107">
        <v>1</v>
      </c>
      <c r="BG77" s="107">
        <v>0</v>
      </c>
      <c r="BH77" s="107">
        <v>0</v>
      </c>
      <c r="BI77" s="107">
        <v>1</v>
      </c>
      <c r="BJ77" s="107">
        <v>0</v>
      </c>
      <c r="BK77" s="107">
        <v>0</v>
      </c>
      <c r="BL77" s="107">
        <v>0</v>
      </c>
      <c r="BM77" s="107">
        <v>0</v>
      </c>
      <c r="BN77" s="107">
        <v>0</v>
      </c>
      <c r="BO77" s="107">
        <v>0</v>
      </c>
      <c r="BP77" s="107">
        <v>0</v>
      </c>
      <c r="BQ77" s="107">
        <v>0</v>
      </c>
      <c r="BR77" s="107">
        <v>0</v>
      </c>
      <c r="BS77" s="107">
        <v>0</v>
      </c>
      <c r="BT77" s="107">
        <v>0</v>
      </c>
      <c r="BU77" s="107">
        <v>0</v>
      </c>
      <c r="BV77" s="107">
        <v>0</v>
      </c>
      <c r="BW77" s="107">
        <v>0</v>
      </c>
      <c r="BX77" s="107">
        <v>0</v>
      </c>
      <c r="BY77" s="107">
        <v>0</v>
      </c>
      <c r="BZ77" s="107">
        <v>0</v>
      </c>
      <c r="CA77" s="107">
        <v>0</v>
      </c>
      <c r="CB77" s="107">
        <v>0</v>
      </c>
      <c r="CC77" s="107">
        <v>0</v>
      </c>
    </row>
    <row r="78" spans="1:81" x14ac:dyDescent="0.15">
      <c r="A78" s="180" t="s">
        <v>267</v>
      </c>
      <c r="B78" s="107">
        <v>0</v>
      </c>
      <c r="C78" s="107">
        <v>0</v>
      </c>
      <c r="D78" s="107">
        <v>0</v>
      </c>
      <c r="E78" s="107">
        <v>0</v>
      </c>
      <c r="F78" s="107">
        <v>0</v>
      </c>
      <c r="G78" s="107">
        <v>0</v>
      </c>
      <c r="H78" s="107">
        <v>0</v>
      </c>
      <c r="I78" s="107">
        <v>0</v>
      </c>
      <c r="J78" s="107">
        <v>0</v>
      </c>
      <c r="K78" s="107">
        <v>0</v>
      </c>
      <c r="L78" s="107">
        <v>0</v>
      </c>
      <c r="M78" s="107">
        <v>0</v>
      </c>
      <c r="N78" s="107">
        <v>0</v>
      </c>
      <c r="O78" s="107">
        <v>0</v>
      </c>
      <c r="P78" s="107">
        <v>0</v>
      </c>
      <c r="Q78" s="107">
        <v>1</v>
      </c>
      <c r="R78" s="107">
        <v>0</v>
      </c>
      <c r="S78" s="107">
        <v>0</v>
      </c>
      <c r="T78" s="107">
        <v>0</v>
      </c>
      <c r="U78" s="107">
        <v>0</v>
      </c>
      <c r="V78" s="107">
        <v>0</v>
      </c>
      <c r="W78" s="107">
        <v>0</v>
      </c>
      <c r="X78" s="107">
        <v>0</v>
      </c>
      <c r="Y78" s="107">
        <v>0</v>
      </c>
      <c r="Z78" s="107">
        <v>0</v>
      </c>
      <c r="AA78" s="107">
        <v>1</v>
      </c>
      <c r="AB78" s="107">
        <v>0</v>
      </c>
      <c r="AC78" s="107">
        <v>0</v>
      </c>
      <c r="AD78" s="107">
        <v>0</v>
      </c>
      <c r="AE78" s="107">
        <v>0</v>
      </c>
      <c r="AF78" s="107">
        <v>0</v>
      </c>
      <c r="AG78" s="107">
        <v>0</v>
      </c>
      <c r="AH78" s="107">
        <v>0</v>
      </c>
      <c r="AI78" s="107">
        <v>0</v>
      </c>
      <c r="AJ78" s="107">
        <v>0</v>
      </c>
      <c r="AK78" s="107">
        <v>0</v>
      </c>
      <c r="AL78" s="107">
        <v>1</v>
      </c>
      <c r="AM78" s="107">
        <v>0</v>
      </c>
      <c r="AN78" s="107">
        <v>0</v>
      </c>
      <c r="AO78" s="107">
        <v>0</v>
      </c>
      <c r="AP78" s="107">
        <v>0</v>
      </c>
      <c r="AQ78" s="107">
        <v>0</v>
      </c>
      <c r="AR78" s="107">
        <v>0</v>
      </c>
      <c r="AS78" s="107">
        <v>0</v>
      </c>
      <c r="AT78" s="107">
        <v>1</v>
      </c>
      <c r="AU78" s="107">
        <v>0</v>
      </c>
      <c r="AV78" s="107">
        <v>0</v>
      </c>
      <c r="AW78" s="107">
        <v>1</v>
      </c>
      <c r="AX78" s="107">
        <v>1</v>
      </c>
      <c r="AY78" s="107">
        <v>1</v>
      </c>
      <c r="AZ78" s="107">
        <v>0</v>
      </c>
      <c r="BA78" s="107">
        <v>0</v>
      </c>
      <c r="BB78" s="107">
        <v>1</v>
      </c>
      <c r="BC78" s="107">
        <v>1</v>
      </c>
      <c r="BD78" s="107">
        <v>1</v>
      </c>
      <c r="BE78" s="107">
        <v>0</v>
      </c>
      <c r="BF78" s="107">
        <v>0</v>
      </c>
      <c r="BG78" s="107">
        <v>1</v>
      </c>
      <c r="BH78" s="107">
        <v>0</v>
      </c>
      <c r="BI78" s="107">
        <v>1</v>
      </c>
      <c r="BJ78" s="107">
        <v>0</v>
      </c>
      <c r="BK78" s="107">
        <v>1</v>
      </c>
      <c r="BL78" s="107">
        <v>0</v>
      </c>
      <c r="BM78" s="107">
        <v>0</v>
      </c>
      <c r="BN78" s="107">
        <v>0</v>
      </c>
      <c r="BO78" s="107">
        <v>0</v>
      </c>
      <c r="BP78" s="107">
        <v>0</v>
      </c>
      <c r="BQ78" s="107">
        <v>0</v>
      </c>
      <c r="BR78" s="107">
        <v>0</v>
      </c>
      <c r="BS78" s="107">
        <v>0</v>
      </c>
      <c r="BT78" s="107">
        <v>0</v>
      </c>
      <c r="BU78" s="107">
        <v>0</v>
      </c>
      <c r="BV78" s="107">
        <v>0</v>
      </c>
      <c r="BW78" s="107">
        <v>0</v>
      </c>
      <c r="BX78" s="107">
        <v>0</v>
      </c>
      <c r="BY78" s="107">
        <v>0</v>
      </c>
      <c r="BZ78" s="107">
        <v>0</v>
      </c>
      <c r="CA78" s="107">
        <v>0</v>
      </c>
      <c r="CB78" s="107">
        <v>0</v>
      </c>
      <c r="CC78" s="107">
        <v>0</v>
      </c>
    </row>
    <row r="79" spans="1:81" x14ac:dyDescent="0.15">
      <c r="A79" s="180" t="s">
        <v>268</v>
      </c>
      <c r="B79" s="107">
        <v>0</v>
      </c>
      <c r="C79" s="107">
        <v>0</v>
      </c>
      <c r="D79" s="107">
        <v>0</v>
      </c>
      <c r="E79" s="107">
        <v>0</v>
      </c>
      <c r="F79" s="107">
        <v>0</v>
      </c>
      <c r="G79" s="107">
        <v>0</v>
      </c>
      <c r="H79" s="107">
        <v>0</v>
      </c>
      <c r="I79" s="107">
        <v>0</v>
      </c>
      <c r="J79" s="107">
        <v>0</v>
      </c>
      <c r="K79" s="107">
        <v>0</v>
      </c>
      <c r="L79" s="107">
        <v>0</v>
      </c>
      <c r="M79" s="107">
        <v>0</v>
      </c>
      <c r="N79" s="107">
        <v>0</v>
      </c>
      <c r="O79" s="107">
        <v>0</v>
      </c>
      <c r="P79" s="107">
        <v>0</v>
      </c>
      <c r="Q79" s="107">
        <v>0</v>
      </c>
      <c r="R79" s="107">
        <v>0</v>
      </c>
      <c r="S79" s="107">
        <v>0</v>
      </c>
      <c r="T79" s="107">
        <v>0</v>
      </c>
      <c r="U79" s="107">
        <v>0</v>
      </c>
      <c r="V79" s="107">
        <v>0</v>
      </c>
      <c r="W79" s="107">
        <v>0</v>
      </c>
      <c r="X79" s="107">
        <v>0</v>
      </c>
      <c r="Y79" s="107">
        <v>0</v>
      </c>
      <c r="Z79" s="107">
        <v>0</v>
      </c>
      <c r="AA79" s="107">
        <v>0</v>
      </c>
      <c r="AB79" s="107">
        <v>0</v>
      </c>
      <c r="AC79" s="107">
        <v>0</v>
      </c>
      <c r="AD79" s="107">
        <v>0</v>
      </c>
      <c r="AE79" s="107">
        <v>0</v>
      </c>
      <c r="AF79" s="107">
        <v>0</v>
      </c>
      <c r="AG79" s="107">
        <v>0</v>
      </c>
      <c r="AH79" s="107">
        <v>0</v>
      </c>
      <c r="AI79" s="107">
        <v>0</v>
      </c>
      <c r="AJ79" s="107">
        <v>0</v>
      </c>
      <c r="AK79" s="107">
        <v>0</v>
      </c>
      <c r="AL79" s="107">
        <v>0</v>
      </c>
      <c r="AM79" s="107">
        <v>0</v>
      </c>
      <c r="AN79" s="107">
        <v>0</v>
      </c>
      <c r="AO79" s="107">
        <v>0</v>
      </c>
      <c r="AP79" s="107">
        <v>0</v>
      </c>
      <c r="AQ79" s="107">
        <v>0</v>
      </c>
      <c r="AR79" s="107">
        <v>0</v>
      </c>
      <c r="AS79" s="107">
        <v>0</v>
      </c>
      <c r="AT79" s="107">
        <v>0</v>
      </c>
      <c r="AU79" s="107">
        <v>0</v>
      </c>
      <c r="AV79" s="107">
        <v>0</v>
      </c>
      <c r="AW79" s="107">
        <v>1</v>
      </c>
      <c r="AX79" s="107">
        <v>0</v>
      </c>
      <c r="AY79" s="107">
        <v>0</v>
      </c>
      <c r="AZ79" s="107">
        <v>0</v>
      </c>
      <c r="BA79" s="107">
        <v>1</v>
      </c>
      <c r="BB79" s="107">
        <v>0</v>
      </c>
      <c r="BC79" s="107">
        <v>0</v>
      </c>
      <c r="BD79" s="107">
        <v>0</v>
      </c>
      <c r="BE79" s="107">
        <v>0</v>
      </c>
      <c r="BF79" s="107">
        <v>0</v>
      </c>
      <c r="BG79" s="107">
        <v>0</v>
      </c>
      <c r="BH79" s="107">
        <v>0</v>
      </c>
      <c r="BI79" s="107">
        <v>0</v>
      </c>
      <c r="BJ79" s="107">
        <v>0</v>
      </c>
      <c r="BK79" s="107">
        <v>0</v>
      </c>
      <c r="BL79" s="107">
        <v>0</v>
      </c>
      <c r="BM79" s="107">
        <v>0</v>
      </c>
      <c r="BN79" s="107">
        <v>0</v>
      </c>
      <c r="BO79" s="107">
        <v>0</v>
      </c>
      <c r="BP79" s="107">
        <v>0</v>
      </c>
      <c r="BQ79" s="107">
        <v>0</v>
      </c>
      <c r="BR79" s="107">
        <v>0</v>
      </c>
      <c r="BS79" s="107">
        <v>0</v>
      </c>
      <c r="BT79" s="107">
        <v>0</v>
      </c>
      <c r="BU79" s="107">
        <v>0</v>
      </c>
      <c r="BV79" s="107">
        <v>0</v>
      </c>
      <c r="BW79" s="107">
        <v>0</v>
      </c>
      <c r="BX79" s="107">
        <v>0</v>
      </c>
      <c r="BY79" s="107">
        <v>0</v>
      </c>
      <c r="BZ79" s="107">
        <v>0</v>
      </c>
      <c r="CA79" s="107">
        <v>0</v>
      </c>
      <c r="CB79" s="107">
        <v>0</v>
      </c>
      <c r="CC79" s="107">
        <v>0</v>
      </c>
    </row>
    <row r="80" spans="1:81" x14ac:dyDescent="0.15">
      <c r="A80" s="180" t="s">
        <v>269</v>
      </c>
      <c r="B80" s="107">
        <v>0</v>
      </c>
      <c r="C80" s="107">
        <v>0</v>
      </c>
      <c r="D80" s="107">
        <v>0</v>
      </c>
      <c r="E80" s="107">
        <v>0</v>
      </c>
      <c r="F80" s="107">
        <v>0</v>
      </c>
      <c r="G80" s="107">
        <v>0</v>
      </c>
      <c r="H80" s="107">
        <v>0</v>
      </c>
      <c r="I80" s="107">
        <v>0</v>
      </c>
      <c r="J80" s="107">
        <v>0</v>
      </c>
      <c r="K80" s="107">
        <v>0</v>
      </c>
      <c r="L80" s="107">
        <v>0</v>
      </c>
      <c r="M80" s="107">
        <v>0</v>
      </c>
      <c r="N80" s="107">
        <v>0</v>
      </c>
      <c r="O80" s="107">
        <v>0</v>
      </c>
      <c r="P80" s="107">
        <v>0</v>
      </c>
      <c r="Q80" s="107">
        <v>0</v>
      </c>
      <c r="R80" s="107">
        <v>0</v>
      </c>
      <c r="S80" s="107">
        <v>0</v>
      </c>
      <c r="T80" s="107">
        <v>0</v>
      </c>
      <c r="U80" s="107">
        <v>0</v>
      </c>
      <c r="V80" s="107">
        <v>0</v>
      </c>
      <c r="W80" s="107">
        <v>0</v>
      </c>
      <c r="X80" s="107">
        <v>0</v>
      </c>
      <c r="Y80" s="107">
        <v>0</v>
      </c>
      <c r="Z80" s="107">
        <v>0</v>
      </c>
      <c r="AA80" s="107">
        <v>1</v>
      </c>
      <c r="AB80" s="107">
        <v>0</v>
      </c>
      <c r="AC80" s="107">
        <v>0</v>
      </c>
      <c r="AD80" s="107">
        <v>0</v>
      </c>
      <c r="AE80" s="107">
        <v>0</v>
      </c>
      <c r="AF80" s="107">
        <v>0</v>
      </c>
      <c r="AG80" s="107">
        <v>0</v>
      </c>
      <c r="AH80" s="107">
        <v>0</v>
      </c>
      <c r="AI80" s="107">
        <v>0</v>
      </c>
      <c r="AJ80" s="107">
        <v>1</v>
      </c>
      <c r="AK80" s="107">
        <v>1</v>
      </c>
      <c r="AL80" s="107">
        <v>1</v>
      </c>
      <c r="AM80" s="107">
        <v>1</v>
      </c>
      <c r="AN80" s="107">
        <v>1</v>
      </c>
      <c r="AO80" s="107">
        <v>1</v>
      </c>
      <c r="AP80" s="107">
        <v>0</v>
      </c>
      <c r="AQ80" s="107">
        <v>1</v>
      </c>
      <c r="AR80" s="107">
        <v>0</v>
      </c>
      <c r="AS80" s="107">
        <v>0</v>
      </c>
      <c r="AT80" s="107">
        <v>0</v>
      </c>
      <c r="AU80" s="107">
        <v>0</v>
      </c>
      <c r="AV80" s="107">
        <v>0</v>
      </c>
      <c r="AW80" s="107">
        <v>0</v>
      </c>
      <c r="AX80" s="107">
        <v>1</v>
      </c>
      <c r="AY80" s="107">
        <v>0</v>
      </c>
      <c r="AZ80" s="107">
        <v>1</v>
      </c>
      <c r="BA80" s="107">
        <v>0</v>
      </c>
      <c r="BB80" s="107">
        <v>0</v>
      </c>
      <c r="BC80" s="107">
        <v>0</v>
      </c>
      <c r="BD80" s="107">
        <v>0</v>
      </c>
      <c r="BE80" s="107">
        <v>0</v>
      </c>
      <c r="BF80" s="107">
        <v>0</v>
      </c>
      <c r="BG80" s="107">
        <v>1</v>
      </c>
      <c r="BH80" s="107">
        <v>0</v>
      </c>
      <c r="BI80" s="107">
        <v>0</v>
      </c>
      <c r="BJ80" s="107">
        <v>0</v>
      </c>
      <c r="BK80" s="107">
        <v>1</v>
      </c>
      <c r="BL80" s="107">
        <v>0</v>
      </c>
      <c r="BM80" s="107">
        <v>0</v>
      </c>
      <c r="BN80" s="107">
        <v>0</v>
      </c>
      <c r="BO80" s="107">
        <v>0</v>
      </c>
      <c r="BP80" s="107">
        <v>0</v>
      </c>
      <c r="BQ80" s="107">
        <v>0</v>
      </c>
      <c r="BR80" s="107">
        <v>0</v>
      </c>
      <c r="BS80" s="107">
        <v>0</v>
      </c>
      <c r="BT80" s="107">
        <v>0</v>
      </c>
      <c r="BU80" s="107">
        <v>0</v>
      </c>
      <c r="BV80" s="107">
        <v>0</v>
      </c>
      <c r="BW80" s="107">
        <v>0</v>
      </c>
      <c r="BX80" s="107">
        <v>0</v>
      </c>
      <c r="BY80" s="107">
        <v>0</v>
      </c>
      <c r="BZ80" s="107">
        <v>0</v>
      </c>
      <c r="CA80" s="107">
        <v>0</v>
      </c>
      <c r="CB80" s="107">
        <v>0</v>
      </c>
      <c r="CC80" s="107">
        <v>0</v>
      </c>
    </row>
    <row r="81" spans="1:81" x14ac:dyDescent="0.15">
      <c r="A81" s="180" t="s">
        <v>270</v>
      </c>
      <c r="B81" s="107">
        <v>0</v>
      </c>
      <c r="C81" s="107">
        <v>0</v>
      </c>
      <c r="D81" s="107">
        <v>0</v>
      </c>
      <c r="E81" s="107">
        <v>0</v>
      </c>
      <c r="F81" s="107">
        <v>0</v>
      </c>
      <c r="G81" s="107">
        <v>0</v>
      </c>
      <c r="H81" s="107">
        <v>1</v>
      </c>
      <c r="I81" s="107">
        <v>0</v>
      </c>
      <c r="J81" s="107">
        <v>0</v>
      </c>
      <c r="K81" s="107">
        <v>0</v>
      </c>
      <c r="L81" s="107">
        <v>0</v>
      </c>
      <c r="M81" s="107">
        <v>0</v>
      </c>
      <c r="N81" s="107">
        <v>0</v>
      </c>
      <c r="O81" s="107">
        <v>1</v>
      </c>
      <c r="P81" s="107">
        <v>1</v>
      </c>
      <c r="Q81" s="107">
        <v>1</v>
      </c>
      <c r="R81" s="107">
        <v>0</v>
      </c>
      <c r="S81" s="107">
        <v>0</v>
      </c>
      <c r="T81" s="107">
        <v>1</v>
      </c>
      <c r="U81" s="107">
        <v>1</v>
      </c>
      <c r="V81" s="107">
        <v>0</v>
      </c>
      <c r="W81" s="107">
        <v>0</v>
      </c>
      <c r="X81" s="107">
        <v>0</v>
      </c>
      <c r="Y81" s="107">
        <v>0</v>
      </c>
      <c r="Z81" s="107">
        <v>0</v>
      </c>
      <c r="AA81" s="107">
        <v>1</v>
      </c>
      <c r="AB81" s="107">
        <v>0</v>
      </c>
      <c r="AC81" s="107">
        <v>1</v>
      </c>
      <c r="AD81" s="107">
        <v>0</v>
      </c>
      <c r="AE81" s="107">
        <v>1</v>
      </c>
      <c r="AF81" s="107">
        <v>1</v>
      </c>
      <c r="AG81" s="107">
        <v>0</v>
      </c>
      <c r="AH81" s="107">
        <v>0</v>
      </c>
      <c r="AI81" s="107">
        <v>1</v>
      </c>
      <c r="AJ81" s="107">
        <v>1</v>
      </c>
      <c r="AK81" s="107">
        <v>1</v>
      </c>
      <c r="AL81" s="107">
        <v>1</v>
      </c>
      <c r="AM81" s="107">
        <v>1</v>
      </c>
      <c r="AN81" s="107">
        <v>1</v>
      </c>
      <c r="AO81" s="107">
        <v>1</v>
      </c>
      <c r="AP81" s="107">
        <v>1</v>
      </c>
      <c r="AQ81" s="107">
        <v>0</v>
      </c>
      <c r="AR81" s="107">
        <v>1</v>
      </c>
      <c r="AS81" s="107">
        <v>1</v>
      </c>
      <c r="AT81" s="107">
        <v>1</v>
      </c>
      <c r="AU81" s="107">
        <v>0</v>
      </c>
      <c r="AV81" s="107">
        <v>0</v>
      </c>
      <c r="AW81" s="107">
        <v>0</v>
      </c>
      <c r="AX81" s="107">
        <v>1</v>
      </c>
      <c r="AY81" s="107">
        <v>1</v>
      </c>
      <c r="AZ81" s="107">
        <v>1</v>
      </c>
      <c r="BA81" s="107">
        <v>0</v>
      </c>
      <c r="BB81" s="107">
        <v>0</v>
      </c>
      <c r="BC81" s="107">
        <v>0</v>
      </c>
      <c r="BD81" s="107">
        <v>1</v>
      </c>
      <c r="BE81" s="107">
        <v>0</v>
      </c>
      <c r="BF81" s="107">
        <v>1</v>
      </c>
      <c r="BG81" s="107">
        <v>1</v>
      </c>
      <c r="BH81" s="107">
        <v>0</v>
      </c>
      <c r="BI81" s="107">
        <v>0</v>
      </c>
      <c r="BJ81" s="107">
        <v>0</v>
      </c>
      <c r="BK81" s="107">
        <v>0</v>
      </c>
      <c r="BL81" s="107">
        <v>0</v>
      </c>
      <c r="BM81" s="107">
        <v>0</v>
      </c>
      <c r="BN81" s="107">
        <v>0</v>
      </c>
      <c r="BO81" s="107">
        <v>0</v>
      </c>
      <c r="BP81" s="107">
        <v>0</v>
      </c>
      <c r="BQ81" s="107">
        <v>0</v>
      </c>
      <c r="BR81" s="107">
        <v>0</v>
      </c>
      <c r="BS81" s="107">
        <v>0</v>
      </c>
      <c r="BT81" s="107">
        <v>0</v>
      </c>
      <c r="BU81" s="107">
        <v>0</v>
      </c>
      <c r="BV81" s="107">
        <v>0</v>
      </c>
      <c r="BW81" s="107">
        <v>0</v>
      </c>
      <c r="BX81" s="107">
        <v>0</v>
      </c>
      <c r="BY81" s="107">
        <v>0</v>
      </c>
      <c r="BZ81" s="107">
        <v>0</v>
      </c>
      <c r="CA81" s="107">
        <v>0</v>
      </c>
      <c r="CB81" s="107">
        <v>0</v>
      </c>
      <c r="CC81" s="107">
        <v>0</v>
      </c>
    </row>
    <row r="82" spans="1:81" x14ac:dyDescent="0.15">
      <c r="A82" s="180" t="s">
        <v>285</v>
      </c>
      <c r="B82" s="107">
        <v>1</v>
      </c>
      <c r="C82" s="107">
        <v>1</v>
      </c>
      <c r="D82" s="107">
        <v>1</v>
      </c>
      <c r="E82" s="107">
        <v>1</v>
      </c>
      <c r="F82" s="107">
        <v>1</v>
      </c>
      <c r="G82" s="107">
        <v>1</v>
      </c>
      <c r="H82" s="107">
        <v>1</v>
      </c>
      <c r="I82" s="107">
        <v>1</v>
      </c>
      <c r="J82" s="107">
        <v>0</v>
      </c>
      <c r="K82" s="107">
        <v>0</v>
      </c>
      <c r="L82" s="107">
        <v>1</v>
      </c>
      <c r="M82" s="107">
        <v>1</v>
      </c>
      <c r="N82" s="107">
        <v>1</v>
      </c>
      <c r="O82" s="107">
        <v>1</v>
      </c>
      <c r="P82" s="107">
        <v>1</v>
      </c>
      <c r="Q82" s="107">
        <v>1</v>
      </c>
      <c r="R82" s="107">
        <v>0</v>
      </c>
      <c r="S82" s="107">
        <v>1</v>
      </c>
      <c r="T82" s="107">
        <v>1</v>
      </c>
      <c r="U82" s="107">
        <v>0</v>
      </c>
      <c r="V82" s="107">
        <v>0</v>
      </c>
      <c r="W82" s="107">
        <v>1</v>
      </c>
      <c r="X82" s="107">
        <v>1</v>
      </c>
      <c r="Y82" s="107">
        <v>1</v>
      </c>
      <c r="Z82" s="107">
        <v>1</v>
      </c>
      <c r="AA82" s="107">
        <v>1</v>
      </c>
      <c r="AB82" s="107">
        <v>1</v>
      </c>
      <c r="AC82" s="107">
        <v>1</v>
      </c>
      <c r="AD82" s="107">
        <v>1</v>
      </c>
      <c r="AE82" s="107">
        <v>0</v>
      </c>
      <c r="AF82" s="107">
        <v>1</v>
      </c>
      <c r="AG82" s="107">
        <v>1</v>
      </c>
      <c r="AH82" s="107">
        <v>0</v>
      </c>
      <c r="AI82" s="107">
        <v>1</v>
      </c>
      <c r="AJ82" s="107">
        <v>1</v>
      </c>
      <c r="AK82" s="107">
        <v>0</v>
      </c>
      <c r="AL82" s="107">
        <v>1</v>
      </c>
      <c r="AM82" s="107">
        <v>0</v>
      </c>
      <c r="AN82" s="107">
        <v>0</v>
      </c>
      <c r="AO82" s="107">
        <v>0</v>
      </c>
      <c r="AP82" s="107">
        <v>0</v>
      </c>
      <c r="AQ82" s="107">
        <v>0</v>
      </c>
      <c r="AR82" s="107">
        <v>0</v>
      </c>
      <c r="AS82" s="107">
        <v>0</v>
      </c>
      <c r="AT82" s="107">
        <v>1</v>
      </c>
      <c r="AU82" s="107">
        <v>1</v>
      </c>
      <c r="AV82" s="107">
        <v>1</v>
      </c>
      <c r="AW82" s="107">
        <v>0</v>
      </c>
      <c r="AX82" s="107">
        <v>0</v>
      </c>
      <c r="AY82" s="107">
        <v>0</v>
      </c>
      <c r="AZ82" s="107">
        <v>0</v>
      </c>
      <c r="BA82" s="107">
        <v>1</v>
      </c>
      <c r="BB82" s="107">
        <v>1</v>
      </c>
      <c r="BC82" s="107">
        <v>0</v>
      </c>
      <c r="BD82" s="107">
        <v>1</v>
      </c>
      <c r="BE82" s="107">
        <v>1</v>
      </c>
      <c r="BF82" s="107">
        <v>1</v>
      </c>
      <c r="BG82" s="107">
        <v>0</v>
      </c>
      <c r="BH82" s="107">
        <v>1</v>
      </c>
      <c r="BI82" s="107">
        <v>0</v>
      </c>
      <c r="BJ82" s="107">
        <v>0</v>
      </c>
      <c r="BK82" s="107">
        <v>0</v>
      </c>
      <c r="BL82" s="107">
        <v>0</v>
      </c>
      <c r="BM82" s="107">
        <v>0</v>
      </c>
      <c r="BN82" s="107">
        <v>0</v>
      </c>
      <c r="BO82" s="107">
        <v>0</v>
      </c>
      <c r="BP82" s="107">
        <v>0</v>
      </c>
      <c r="BQ82" s="107">
        <v>0</v>
      </c>
      <c r="BR82" s="107">
        <v>0</v>
      </c>
      <c r="BS82" s="107">
        <v>0</v>
      </c>
      <c r="BT82" s="107">
        <v>0</v>
      </c>
      <c r="BU82" s="107">
        <v>0</v>
      </c>
      <c r="BV82" s="107">
        <v>0</v>
      </c>
      <c r="BW82" s="107">
        <v>0</v>
      </c>
      <c r="BX82" s="107">
        <v>0</v>
      </c>
      <c r="BY82" s="107">
        <v>0</v>
      </c>
      <c r="BZ82" s="107">
        <v>0</v>
      </c>
      <c r="CA82" s="107">
        <v>0</v>
      </c>
      <c r="CB82" s="107">
        <v>0</v>
      </c>
      <c r="CC82" s="107">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P185"/>
  <sheetViews>
    <sheetView workbookViewId="0">
      <selection activeCell="A3" sqref="A3"/>
    </sheetView>
  </sheetViews>
  <sheetFormatPr baseColWidth="10" defaultRowHeight="13" x14ac:dyDescent="0.15"/>
  <cols>
    <col min="1" max="1" width="3.33203125" customWidth="1"/>
    <col min="2" max="2" width="29.6640625" bestFit="1" customWidth="1"/>
    <col min="3" max="4" width="3.83203125" bestFit="1" customWidth="1"/>
    <col min="5" max="16" width="3.83203125" customWidth="1"/>
  </cols>
  <sheetData>
    <row r="1" spans="1:16" ht="112" x14ac:dyDescent="0.15">
      <c r="A1" s="5" t="s">
        <v>83</v>
      </c>
      <c r="B1" s="3" t="s">
        <v>0</v>
      </c>
      <c r="C1" s="183" t="s">
        <v>271</v>
      </c>
      <c r="D1" s="183" t="s">
        <v>272</v>
      </c>
      <c r="E1" s="183" t="s">
        <v>273</v>
      </c>
      <c r="F1" s="183" t="s">
        <v>274</v>
      </c>
      <c r="G1" s="183" t="s">
        <v>275</v>
      </c>
      <c r="H1" s="183" t="s">
        <v>276</v>
      </c>
      <c r="I1" s="183" t="s">
        <v>277</v>
      </c>
      <c r="J1" s="183" t="s">
        <v>278</v>
      </c>
      <c r="K1" s="183" t="s">
        <v>279</v>
      </c>
      <c r="L1" s="183" t="s">
        <v>280</v>
      </c>
      <c r="M1" s="183" t="s">
        <v>281</v>
      </c>
      <c r="N1" s="183" t="s">
        <v>282</v>
      </c>
      <c r="O1" s="183" t="s">
        <v>283</v>
      </c>
      <c r="P1" s="183" t="s">
        <v>284</v>
      </c>
    </row>
    <row r="2" spans="1:16" x14ac:dyDescent="0.15">
      <c r="A2">
        <v>1</v>
      </c>
      <c r="B2" s="182" t="s">
        <v>191</v>
      </c>
      <c r="C2">
        <v>0.8</v>
      </c>
      <c r="D2">
        <v>0</v>
      </c>
      <c r="E2">
        <v>0</v>
      </c>
      <c r="F2">
        <v>0.8</v>
      </c>
      <c r="G2">
        <v>0</v>
      </c>
      <c r="H2">
        <v>0</v>
      </c>
      <c r="I2">
        <v>0</v>
      </c>
      <c r="J2">
        <v>0</v>
      </c>
      <c r="K2">
        <v>0</v>
      </c>
      <c r="L2">
        <v>0</v>
      </c>
      <c r="M2">
        <v>0</v>
      </c>
      <c r="N2">
        <v>0</v>
      </c>
      <c r="O2">
        <v>0</v>
      </c>
      <c r="P2">
        <v>0</v>
      </c>
    </row>
    <row r="3" spans="1:16" x14ac:dyDescent="0.15">
      <c r="A3">
        <v>2</v>
      </c>
      <c r="B3" s="182" t="s">
        <v>192</v>
      </c>
      <c r="C3">
        <v>0</v>
      </c>
      <c r="D3">
        <v>0</v>
      </c>
      <c r="E3">
        <v>0</v>
      </c>
      <c r="F3">
        <v>0.8</v>
      </c>
      <c r="G3">
        <v>0</v>
      </c>
      <c r="H3">
        <v>0</v>
      </c>
      <c r="I3">
        <v>0</v>
      </c>
      <c r="J3">
        <v>0</v>
      </c>
      <c r="K3">
        <v>0</v>
      </c>
      <c r="L3">
        <v>0</v>
      </c>
      <c r="M3">
        <v>0</v>
      </c>
      <c r="N3">
        <v>0</v>
      </c>
      <c r="O3">
        <v>0</v>
      </c>
      <c r="P3">
        <v>0</v>
      </c>
    </row>
    <row r="4" spans="1:16" x14ac:dyDescent="0.15">
      <c r="A4">
        <v>3</v>
      </c>
      <c r="B4" s="182" t="s">
        <v>193</v>
      </c>
      <c r="C4">
        <v>0</v>
      </c>
      <c r="D4">
        <v>0</v>
      </c>
      <c r="E4">
        <v>0</v>
      </c>
      <c r="F4">
        <v>0.8</v>
      </c>
      <c r="G4">
        <v>0</v>
      </c>
      <c r="H4">
        <v>0</v>
      </c>
      <c r="I4">
        <v>0</v>
      </c>
      <c r="J4">
        <v>0</v>
      </c>
      <c r="K4">
        <v>0</v>
      </c>
      <c r="L4">
        <v>0</v>
      </c>
      <c r="M4">
        <v>0</v>
      </c>
      <c r="N4">
        <v>0</v>
      </c>
      <c r="O4">
        <v>0</v>
      </c>
      <c r="P4">
        <v>0</v>
      </c>
    </row>
    <row r="5" spans="1:16" x14ac:dyDescent="0.15">
      <c r="A5">
        <v>4</v>
      </c>
      <c r="B5" s="182" t="s">
        <v>194</v>
      </c>
      <c r="C5">
        <v>0</v>
      </c>
      <c r="D5">
        <v>0</v>
      </c>
      <c r="E5">
        <v>0</v>
      </c>
      <c r="F5">
        <v>0.8</v>
      </c>
      <c r="G5">
        <v>0</v>
      </c>
      <c r="H5">
        <v>0</v>
      </c>
      <c r="I5">
        <v>0</v>
      </c>
      <c r="J5">
        <v>0</v>
      </c>
      <c r="K5">
        <v>0</v>
      </c>
      <c r="L5">
        <v>0</v>
      </c>
      <c r="M5">
        <v>0</v>
      </c>
      <c r="N5">
        <v>0</v>
      </c>
      <c r="O5">
        <v>0</v>
      </c>
      <c r="P5">
        <v>0</v>
      </c>
    </row>
    <row r="6" spans="1:16" x14ac:dyDescent="0.15">
      <c r="A6">
        <v>5</v>
      </c>
      <c r="B6" s="182" t="s">
        <v>195</v>
      </c>
      <c r="C6">
        <v>0</v>
      </c>
      <c r="D6">
        <v>0</v>
      </c>
      <c r="E6">
        <v>0.8</v>
      </c>
      <c r="F6">
        <v>0.8</v>
      </c>
      <c r="G6">
        <v>0.8</v>
      </c>
      <c r="H6">
        <v>0.8</v>
      </c>
      <c r="I6">
        <v>0</v>
      </c>
      <c r="J6">
        <v>0</v>
      </c>
      <c r="K6">
        <v>0</v>
      </c>
      <c r="L6">
        <v>0</v>
      </c>
      <c r="M6">
        <v>0</v>
      </c>
      <c r="N6">
        <v>0</v>
      </c>
      <c r="O6">
        <v>0</v>
      </c>
      <c r="P6">
        <v>0</v>
      </c>
    </row>
    <row r="7" spans="1:16" x14ac:dyDescent="0.15">
      <c r="A7">
        <v>6</v>
      </c>
      <c r="B7" s="182" t="s">
        <v>196</v>
      </c>
      <c r="C7">
        <v>0</v>
      </c>
      <c r="D7">
        <v>0</v>
      </c>
      <c r="E7">
        <v>0.8</v>
      </c>
      <c r="F7">
        <v>0.8</v>
      </c>
      <c r="G7">
        <v>0.8</v>
      </c>
      <c r="H7">
        <v>0</v>
      </c>
      <c r="I7">
        <v>0</v>
      </c>
      <c r="J7">
        <v>0</v>
      </c>
      <c r="K7">
        <v>0</v>
      </c>
      <c r="L7">
        <v>0</v>
      </c>
      <c r="M7">
        <v>0</v>
      </c>
      <c r="N7">
        <v>0</v>
      </c>
      <c r="O7">
        <v>0</v>
      </c>
      <c r="P7">
        <v>0</v>
      </c>
    </row>
    <row r="8" spans="1:16" x14ac:dyDescent="0.15">
      <c r="A8">
        <v>7</v>
      </c>
      <c r="B8" s="182" t="s">
        <v>197</v>
      </c>
      <c r="C8">
        <v>0</v>
      </c>
      <c r="D8">
        <v>0</v>
      </c>
      <c r="E8">
        <v>0</v>
      </c>
      <c r="F8">
        <v>0.8</v>
      </c>
      <c r="G8">
        <v>0</v>
      </c>
      <c r="H8">
        <v>0</v>
      </c>
      <c r="I8">
        <v>0</v>
      </c>
      <c r="J8">
        <v>0</v>
      </c>
      <c r="K8">
        <v>0</v>
      </c>
      <c r="L8">
        <v>0</v>
      </c>
      <c r="M8">
        <v>0</v>
      </c>
      <c r="N8">
        <v>0</v>
      </c>
      <c r="O8">
        <v>0</v>
      </c>
      <c r="P8">
        <v>0</v>
      </c>
    </row>
    <row r="9" spans="1:16" x14ac:dyDescent="0.15">
      <c r="A9">
        <v>8</v>
      </c>
      <c r="B9" s="182" t="s">
        <v>198</v>
      </c>
      <c r="C9">
        <v>0</v>
      </c>
      <c r="D9">
        <v>0.8</v>
      </c>
      <c r="E9">
        <v>0.8</v>
      </c>
      <c r="F9">
        <v>0.8</v>
      </c>
      <c r="G9">
        <v>0.8</v>
      </c>
      <c r="H9">
        <v>0</v>
      </c>
      <c r="I9">
        <v>0</v>
      </c>
      <c r="J9">
        <v>0</v>
      </c>
      <c r="K9">
        <v>0</v>
      </c>
      <c r="L9">
        <v>0</v>
      </c>
      <c r="M9">
        <v>0.8</v>
      </c>
      <c r="N9">
        <v>0</v>
      </c>
      <c r="O9">
        <v>0.8</v>
      </c>
      <c r="P9">
        <v>0.8</v>
      </c>
    </row>
    <row r="10" spans="1:16" x14ac:dyDescent="0.15">
      <c r="A10">
        <v>9</v>
      </c>
      <c r="B10" s="182" t="s">
        <v>199</v>
      </c>
      <c r="C10">
        <v>0</v>
      </c>
      <c r="D10">
        <v>0.8</v>
      </c>
      <c r="E10">
        <v>0.8</v>
      </c>
      <c r="F10">
        <v>0.8</v>
      </c>
      <c r="G10">
        <v>0.8</v>
      </c>
      <c r="H10">
        <v>0.8</v>
      </c>
      <c r="I10">
        <v>0</v>
      </c>
      <c r="J10">
        <v>0</v>
      </c>
      <c r="K10">
        <v>0</v>
      </c>
      <c r="L10">
        <v>0</v>
      </c>
      <c r="M10">
        <v>0.8</v>
      </c>
      <c r="N10">
        <v>0.8</v>
      </c>
      <c r="O10">
        <v>0.8</v>
      </c>
      <c r="P10">
        <v>0.8</v>
      </c>
    </row>
    <row r="11" spans="1:16" x14ac:dyDescent="0.15">
      <c r="A11">
        <v>10</v>
      </c>
      <c r="B11" s="182" t="s">
        <v>200</v>
      </c>
      <c r="C11">
        <v>0</v>
      </c>
      <c r="D11">
        <v>0.8</v>
      </c>
      <c r="E11">
        <v>0.8</v>
      </c>
      <c r="F11">
        <v>0.8</v>
      </c>
      <c r="G11">
        <v>0.8</v>
      </c>
      <c r="H11">
        <v>0</v>
      </c>
      <c r="I11">
        <v>0</v>
      </c>
      <c r="J11">
        <v>0</v>
      </c>
      <c r="K11">
        <v>0</v>
      </c>
      <c r="L11">
        <v>0</v>
      </c>
      <c r="M11">
        <v>0.8</v>
      </c>
      <c r="N11">
        <v>0.8</v>
      </c>
      <c r="O11">
        <v>0.8</v>
      </c>
      <c r="P11">
        <v>0.8</v>
      </c>
    </row>
    <row r="12" spans="1:16" x14ac:dyDescent="0.15">
      <c r="A12">
        <v>11</v>
      </c>
      <c r="B12" s="182" t="s">
        <v>201</v>
      </c>
      <c r="C12">
        <v>0</v>
      </c>
      <c r="D12">
        <v>0.8</v>
      </c>
      <c r="E12">
        <v>0.8</v>
      </c>
      <c r="F12">
        <v>0.8</v>
      </c>
      <c r="G12">
        <v>0.8</v>
      </c>
      <c r="H12">
        <v>0</v>
      </c>
      <c r="I12">
        <v>0</v>
      </c>
      <c r="J12">
        <v>0</v>
      </c>
      <c r="K12">
        <v>0</v>
      </c>
      <c r="L12">
        <v>0</v>
      </c>
      <c r="M12">
        <v>0.8</v>
      </c>
      <c r="N12">
        <v>0.8</v>
      </c>
      <c r="O12">
        <v>0</v>
      </c>
      <c r="P12">
        <v>0</v>
      </c>
    </row>
    <row r="13" spans="1:16" x14ac:dyDescent="0.15">
      <c r="A13">
        <v>12</v>
      </c>
      <c r="B13" s="182" t="s">
        <v>202</v>
      </c>
      <c r="C13">
        <v>0</v>
      </c>
      <c r="D13">
        <v>0</v>
      </c>
      <c r="E13">
        <v>0.8</v>
      </c>
      <c r="F13">
        <v>0.8</v>
      </c>
      <c r="G13">
        <v>0.8</v>
      </c>
      <c r="H13">
        <v>0.8</v>
      </c>
      <c r="I13">
        <v>0</v>
      </c>
      <c r="J13">
        <v>0</v>
      </c>
      <c r="K13">
        <v>0</v>
      </c>
      <c r="L13">
        <v>0.8</v>
      </c>
      <c r="M13">
        <v>0.8</v>
      </c>
      <c r="N13">
        <v>0.8</v>
      </c>
      <c r="O13">
        <v>0</v>
      </c>
      <c r="P13">
        <v>0.8</v>
      </c>
    </row>
    <row r="14" spans="1:16" x14ac:dyDescent="0.15">
      <c r="A14">
        <v>13</v>
      </c>
      <c r="B14" s="182" t="s">
        <v>203</v>
      </c>
      <c r="C14">
        <v>0</v>
      </c>
      <c r="D14">
        <v>0</v>
      </c>
      <c r="E14">
        <v>0</v>
      </c>
      <c r="F14">
        <v>0</v>
      </c>
      <c r="G14">
        <v>0.8</v>
      </c>
      <c r="H14">
        <v>0.8</v>
      </c>
      <c r="I14">
        <v>0</v>
      </c>
      <c r="J14">
        <v>0</v>
      </c>
      <c r="K14">
        <v>0</v>
      </c>
      <c r="L14">
        <v>0</v>
      </c>
      <c r="M14">
        <v>0.8</v>
      </c>
      <c r="N14">
        <v>0</v>
      </c>
      <c r="O14">
        <v>0</v>
      </c>
      <c r="P14">
        <v>0</v>
      </c>
    </row>
    <row r="15" spans="1:16" x14ac:dyDescent="0.15">
      <c r="A15">
        <v>14</v>
      </c>
      <c r="B15" s="182" t="s">
        <v>204</v>
      </c>
      <c r="C15">
        <v>0</v>
      </c>
      <c r="D15">
        <v>0.8</v>
      </c>
      <c r="E15">
        <v>0.8</v>
      </c>
      <c r="F15">
        <v>0</v>
      </c>
      <c r="G15">
        <v>0.8</v>
      </c>
      <c r="H15">
        <v>0</v>
      </c>
      <c r="I15">
        <v>0</v>
      </c>
      <c r="J15">
        <v>0</v>
      </c>
      <c r="K15">
        <v>0</v>
      </c>
      <c r="L15">
        <v>0</v>
      </c>
      <c r="M15">
        <v>0</v>
      </c>
      <c r="N15">
        <v>0</v>
      </c>
      <c r="O15">
        <v>0</v>
      </c>
      <c r="P15">
        <v>0</v>
      </c>
    </row>
    <row r="16" spans="1:16" x14ac:dyDescent="0.15">
      <c r="A16">
        <v>15</v>
      </c>
      <c r="B16" s="182" t="s">
        <v>205</v>
      </c>
      <c r="C16">
        <v>0</v>
      </c>
      <c r="D16">
        <v>0</v>
      </c>
      <c r="E16">
        <v>0.8</v>
      </c>
      <c r="F16">
        <v>0.8</v>
      </c>
      <c r="G16">
        <v>0.8</v>
      </c>
      <c r="H16">
        <v>0</v>
      </c>
      <c r="I16">
        <v>0</v>
      </c>
      <c r="J16">
        <v>0</v>
      </c>
      <c r="K16">
        <v>0</v>
      </c>
      <c r="L16">
        <v>0</v>
      </c>
      <c r="M16">
        <v>0</v>
      </c>
      <c r="N16">
        <v>0</v>
      </c>
      <c r="O16">
        <v>0</v>
      </c>
      <c r="P16">
        <v>0</v>
      </c>
    </row>
    <row r="17" spans="1:16" x14ac:dyDescent="0.15">
      <c r="A17">
        <v>16</v>
      </c>
      <c r="B17" s="182" t="s">
        <v>206</v>
      </c>
      <c r="C17">
        <v>0</v>
      </c>
      <c r="D17">
        <v>0.8</v>
      </c>
      <c r="E17">
        <v>0.8</v>
      </c>
      <c r="F17">
        <v>0.8</v>
      </c>
      <c r="G17">
        <v>0.8</v>
      </c>
      <c r="H17">
        <v>0</v>
      </c>
      <c r="I17">
        <v>0</v>
      </c>
      <c r="J17">
        <v>0</v>
      </c>
      <c r="K17">
        <v>0</v>
      </c>
      <c r="L17">
        <v>0.8</v>
      </c>
      <c r="M17">
        <v>0</v>
      </c>
      <c r="N17">
        <v>0.8</v>
      </c>
      <c r="O17">
        <v>0</v>
      </c>
      <c r="P17">
        <v>0</v>
      </c>
    </row>
    <row r="18" spans="1:16" x14ac:dyDescent="0.15">
      <c r="A18">
        <v>17</v>
      </c>
      <c r="B18" s="182" t="s">
        <v>207</v>
      </c>
      <c r="C18">
        <v>0</v>
      </c>
      <c r="D18">
        <v>0.8</v>
      </c>
      <c r="E18">
        <v>0</v>
      </c>
      <c r="F18">
        <v>0</v>
      </c>
      <c r="G18">
        <v>0</v>
      </c>
      <c r="H18">
        <v>0</v>
      </c>
      <c r="I18">
        <v>0</v>
      </c>
      <c r="J18">
        <v>0</v>
      </c>
      <c r="K18">
        <v>0</v>
      </c>
      <c r="L18">
        <v>0</v>
      </c>
      <c r="M18">
        <v>0.8</v>
      </c>
      <c r="N18">
        <v>0</v>
      </c>
      <c r="O18">
        <v>0</v>
      </c>
      <c r="P18">
        <v>0</v>
      </c>
    </row>
    <row r="19" spans="1:16" x14ac:dyDescent="0.15">
      <c r="A19">
        <v>18</v>
      </c>
      <c r="B19" s="182" t="s">
        <v>208</v>
      </c>
      <c r="C19">
        <v>0</v>
      </c>
      <c r="D19">
        <v>0.8</v>
      </c>
      <c r="E19">
        <v>0.8</v>
      </c>
      <c r="F19">
        <v>0.8</v>
      </c>
      <c r="G19">
        <v>0.8</v>
      </c>
      <c r="H19">
        <v>0</v>
      </c>
      <c r="I19">
        <v>0</v>
      </c>
      <c r="J19">
        <v>0</v>
      </c>
      <c r="K19">
        <v>0</v>
      </c>
      <c r="L19">
        <v>0</v>
      </c>
      <c r="M19">
        <v>0</v>
      </c>
      <c r="N19">
        <v>0.8</v>
      </c>
      <c r="O19">
        <v>0</v>
      </c>
      <c r="P19">
        <v>0</v>
      </c>
    </row>
    <row r="20" spans="1:16" x14ac:dyDescent="0.15">
      <c r="A20">
        <v>19</v>
      </c>
      <c r="B20" s="182" t="s">
        <v>209</v>
      </c>
      <c r="C20">
        <v>0</v>
      </c>
      <c r="D20">
        <v>0</v>
      </c>
      <c r="E20">
        <v>0</v>
      </c>
      <c r="F20">
        <v>0</v>
      </c>
      <c r="G20">
        <v>0</v>
      </c>
      <c r="H20">
        <v>0</v>
      </c>
      <c r="I20">
        <v>0</v>
      </c>
      <c r="J20">
        <v>0</v>
      </c>
      <c r="K20">
        <v>0</v>
      </c>
      <c r="L20">
        <v>0</v>
      </c>
      <c r="M20">
        <v>0</v>
      </c>
      <c r="N20">
        <v>0</v>
      </c>
      <c r="O20">
        <v>0</v>
      </c>
      <c r="P20">
        <v>0</v>
      </c>
    </row>
    <row r="21" spans="1:16" x14ac:dyDescent="0.15">
      <c r="A21">
        <v>20</v>
      </c>
      <c r="B21" s="182" t="s">
        <v>210</v>
      </c>
      <c r="C21">
        <v>0</v>
      </c>
      <c r="D21">
        <v>0</v>
      </c>
      <c r="E21">
        <v>0</v>
      </c>
      <c r="F21">
        <v>0.8</v>
      </c>
      <c r="G21">
        <v>0.8</v>
      </c>
      <c r="H21">
        <v>0</v>
      </c>
      <c r="I21">
        <v>0</v>
      </c>
      <c r="J21">
        <v>0</v>
      </c>
      <c r="K21">
        <v>0</v>
      </c>
      <c r="L21">
        <v>0</v>
      </c>
      <c r="M21">
        <v>0</v>
      </c>
      <c r="N21">
        <v>0</v>
      </c>
      <c r="O21">
        <v>0</v>
      </c>
      <c r="P21">
        <v>0</v>
      </c>
    </row>
    <row r="22" spans="1:16" x14ac:dyDescent="0.15">
      <c r="A22">
        <v>21</v>
      </c>
      <c r="B22" s="182" t="s">
        <v>211</v>
      </c>
      <c r="C22">
        <v>0</v>
      </c>
      <c r="D22">
        <v>0.8</v>
      </c>
      <c r="E22">
        <v>0</v>
      </c>
      <c r="F22">
        <v>0.8</v>
      </c>
      <c r="G22">
        <v>0.8</v>
      </c>
      <c r="H22">
        <v>0.8</v>
      </c>
      <c r="I22">
        <v>0</v>
      </c>
      <c r="J22">
        <v>0</v>
      </c>
      <c r="K22">
        <v>0</v>
      </c>
      <c r="L22">
        <v>0</v>
      </c>
      <c r="M22">
        <v>0.8</v>
      </c>
      <c r="N22">
        <v>0</v>
      </c>
      <c r="O22">
        <v>0</v>
      </c>
      <c r="P22">
        <v>0</v>
      </c>
    </row>
    <row r="23" spans="1:16" x14ac:dyDescent="0.15">
      <c r="A23">
        <v>22</v>
      </c>
      <c r="B23" s="182" t="s">
        <v>212</v>
      </c>
      <c r="C23">
        <v>0</v>
      </c>
      <c r="D23">
        <v>0</v>
      </c>
      <c r="E23">
        <v>0</v>
      </c>
      <c r="F23">
        <v>0</v>
      </c>
      <c r="G23">
        <v>0</v>
      </c>
      <c r="H23">
        <v>0</v>
      </c>
      <c r="I23">
        <v>0</v>
      </c>
      <c r="J23">
        <v>0</v>
      </c>
      <c r="K23">
        <v>0</v>
      </c>
      <c r="L23">
        <v>0</v>
      </c>
      <c r="M23">
        <v>0</v>
      </c>
      <c r="N23">
        <v>0</v>
      </c>
      <c r="O23">
        <v>0</v>
      </c>
      <c r="P23">
        <v>0</v>
      </c>
    </row>
    <row r="24" spans="1:16" x14ac:dyDescent="0.15">
      <c r="A24">
        <v>23</v>
      </c>
      <c r="B24" s="182" t="s">
        <v>213</v>
      </c>
      <c r="C24">
        <v>0</v>
      </c>
      <c r="D24">
        <v>0</v>
      </c>
      <c r="E24">
        <v>0</v>
      </c>
      <c r="F24">
        <v>0.8</v>
      </c>
      <c r="G24">
        <v>0</v>
      </c>
      <c r="H24">
        <v>0.8</v>
      </c>
      <c r="I24">
        <v>0</v>
      </c>
      <c r="J24">
        <v>0</v>
      </c>
      <c r="K24">
        <v>0</v>
      </c>
      <c r="L24">
        <v>0</v>
      </c>
      <c r="M24">
        <v>0</v>
      </c>
      <c r="N24">
        <v>0</v>
      </c>
      <c r="O24">
        <v>0</v>
      </c>
      <c r="P24">
        <v>0</v>
      </c>
    </row>
    <row r="25" spans="1:16" x14ac:dyDescent="0.15">
      <c r="A25">
        <v>24</v>
      </c>
      <c r="B25" s="182" t="s">
        <v>214</v>
      </c>
      <c r="C25">
        <v>0</v>
      </c>
      <c r="D25">
        <v>0</v>
      </c>
      <c r="E25">
        <v>0</v>
      </c>
      <c r="F25">
        <v>0</v>
      </c>
      <c r="G25">
        <v>0</v>
      </c>
      <c r="H25">
        <v>0</v>
      </c>
      <c r="I25">
        <v>0</v>
      </c>
      <c r="J25">
        <v>0</v>
      </c>
      <c r="K25">
        <v>0</v>
      </c>
      <c r="L25">
        <v>0</v>
      </c>
      <c r="M25">
        <v>0</v>
      </c>
      <c r="N25">
        <v>0</v>
      </c>
      <c r="O25">
        <v>0</v>
      </c>
      <c r="P25">
        <v>0</v>
      </c>
    </row>
    <row r="26" spans="1:16" x14ac:dyDescent="0.15">
      <c r="A26">
        <v>25</v>
      </c>
      <c r="B26" s="182" t="s">
        <v>215</v>
      </c>
      <c r="C26">
        <v>0</v>
      </c>
      <c r="D26">
        <v>0</v>
      </c>
      <c r="E26">
        <v>0.8</v>
      </c>
      <c r="F26">
        <v>0.8</v>
      </c>
      <c r="G26">
        <v>0.8</v>
      </c>
      <c r="H26">
        <v>0</v>
      </c>
      <c r="I26">
        <v>0</v>
      </c>
      <c r="J26">
        <v>0</v>
      </c>
      <c r="K26">
        <v>0</v>
      </c>
      <c r="L26">
        <v>0</v>
      </c>
      <c r="M26">
        <v>0</v>
      </c>
      <c r="N26">
        <v>0</v>
      </c>
      <c r="O26">
        <v>0</v>
      </c>
      <c r="P26">
        <v>0</v>
      </c>
    </row>
    <row r="27" spans="1:16" x14ac:dyDescent="0.15">
      <c r="A27">
        <v>26</v>
      </c>
      <c r="B27" s="182" t="s">
        <v>216</v>
      </c>
      <c r="C27">
        <v>0</v>
      </c>
      <c r="D27">
        <v>0.8</v>
      </c>
      <c r="E27">
        <v>0</v>
      </c>
      <c r="F27">
        <v>0</v>
      </c>
      <c r="G27">
        <v>0</v>
      </c>
      <c r="H27">
        <v>0</v>
      </c>
      <c r="I27">
        <v>0</v>
      </c>
      <c r="J27">
        <v>0</v>
      </c>
      <c r="K27">
        <v>0</v>
      </c>
      <c r="L27">
        <v>0</v>
      </c>
      <c r="M27">
        <v>0</v>
      </c>
      <c r="N27">
        <v>0</v>
      </c>
      <c r="O27">
        <v>0</v>
      </c>
      <c r="P27">
        <v>0</v>
      </c>
    </row>
    <row r="28" spans="1:16" x14ac:dyDescent="0.15">
      <c r="A28">
        <v>27</v>
      </c>
      <c r="B28" s="182" t="s">
        <v>217</v>
      </c>
      <c r="C28">
        <v>0</v>
      </c>
      <c r="D28">
        <v>0</v>
      </c>
      <c r="E28">
        <v>0</v>
      </c>
      <c r="F28">
        <v>0</v>
      </c>
      <c r="G28">
        <v>0</v>
      </c>
      <c r="H28">
        <v>0</v>
      </c>
      <c r="I28">
        <v>0</v>
      </c>
      <c r="J28">
        <v>0</v>
      </c>
      <c r="K28">
        <v>0</v>
      </c>
      <c r="L28">
        <v>0</v>
      </c>
      <c r="M28">
        <v>0</v>
      </c>
      <c r="N28">
        <v>0</v>
      </c>
      <c r="O28">
        <v>0</v>
      </c>
      <c r="P28">
        <v>0</v>
      </c>
    </row>
    <row r="29" spans="1:16" x14ac:dyDescent="0.15">
      <c r="A29">
        <v>28</v>
      </c>
      <c r="B29" s="182" t="s">
        <v>218</v>
      </c>
      <c r="C29">
        <v>0</v>
      </c>
      <c r="D29">
        <v>0</v>
      </c>
      <c r="E29">
        <v>0</v>
      </c>
      <c r="F29">
        <v>0</v>
      </c>
      <c r="G29">
        <v>0</v>
      </c>
      <c r="H29">
        <v>0</v>
      </c>
      <c r="I29">
        <v>0</v>
      </c>
      <c r="J29">
        <v>0</v>
      </c>
      <c r="K29">
        <v>0</v>
      </c>
      <c r="L29">
        <v>0</v>
      </c>
      <c r="M29">
        <v>0</v>
      </c>
      <c r="N29">
        <v>0</v>
      </c>
      <c r="O29">
        <v>0</v>
      </c>
      <c r="P29">
        <v>0</v>
      </c>
    </row>
    <row r="30" spans="1:16" x14ac:dyDescent="0.15">
      <c r="A30">
        <v>29</v>
      </c>
      <c r="B30" s="182" t="s">
        <v>219</v>
      </c>
      <c r="C30">
        <v>0</v>
      </c>
      <c r="D30">
        <v>0</v>
      </c>
      <c r="E30">
        <v>0</v>
      </c>
      <c r="F30">
        <v>0.8</v>
      </c>
      <c r="G30">
        <v>0</v>
      </c>
      <c r="H30">
        <v>0</v>
      </c>
      <c r="I30">
        <v>0</v>
      </c>
      <c r="J30">
        <v>0</v>
      </c>
      <c r="K30">
        <v>0</v>
      </c>
      <c r="L30">
        <v>0</v>
      </c>
      <c r="M30">
        <v>0</v>
      </c>
      <c r="N30">
        <v>0</v>
      </c>
      <c r="O30">
        <v>0</v>
      </c>
      <c r="P30">
        <v>0</v>
      </c>
    </row>
    <row r="31" spans="1:16" x14ac:dyDescent="0.15">
      <c r="A31">
        <v>30</v>
      </c>
      <c r="B31" s="182" t="s">
        <v>220</v>
      </c>
      <c r="C31">
        <v>0</v>
      </c>
      <c r="D31">
        <v>0</v>
      </c>
      <c r="E31">
        <v>0.8</v>
      </c>
      <c r="F31">
        <v>0</v>
      </c>
      <c r="G31">
        <v>0.8</v>
      </c>
      <c r="H31">
        <v>0</v>
      </c>
      <c r="I31">
        <v>0</v>
      </c>
      <c r="J31">
        <v>0</v>
      </c>
      <c r="K31">
        <v>0</v>
      </c>
      <c r="L31">
        <v>0</v>
      </c>
      <c r="M31">
        <v>0</v>
      </c>
      <c r="N31">
        <v>0</v>
      </c>
      <c r="O31">
        <v>0</v>
      </c>
      <c r="P31">
        <v>0</v>
      </c>
    </row>
    <row r="32" spans="1:16" x14ac:dyDescent="0.15">
      <c r="A32">
        <v>31</v>
      </c>
      <c r="B32" s="182" t="s">
        <v>221</v>
      </c>
      <c r="C32">
        <v>0</v>
      </c>
      <c r="D32">
        <v>0</v>
      </c>
      <c r="E32">
        <v>0</v>
      </c>
      <c r="F32">
        <v>0</v>
      </c>
      <c r="G32">
        <v>0</v>
      </c>
      <c r="H32">
        <v>0</v>
      </c>
      <c r="I32">
        <v>0</v>
      </c>
      <c r="J32">
        <v>0</v>
      </c>
      <c r="K32">
        <v>0</v>
      </c>
      <c r="L32">
        <v>0</v>
      </c>
      <c r="M32">
        <v>0</v>
      </c>
      <c r="N32">
        <v>0</v>
      </c>
      <c r="O32">
        <v>0</v>
      </c>
      <c r="P32">
        <v>0</v>
      </c>
    </row>
    <row r="33" spans="1:16" x14ac:dyDescent="0.15">
      <c r="A33">
        <v>32</v>
      </c>
      <c r="B33" s="182" t="s">
        <v>222</v>
      </c>
      <c r="C33">
        <v>0</v>
      </c>
      <c r="D33">
        <v>0</v>
      </c>
      <c r="E33">
        <v>0</v>
      </c>
      <c r="F33">
        <v>0</v>
      </c>
      <c r="G33">
        <v>0</v>
      </c>
      <c r="H33">
        <v>0</v>
      </c>
      <c r="I33">
        <v>0</v>
      </c>
      <c r="J33">
        <v>0</v>
      </c>
      <c r="K33">
        <v>0</v>
      </c>
      <c r="L33">
        <v>0</v>
      </c>
      <c r="M33">
        <v>0</v>
      </c>
      <c r="N33">
        <v>0</v>
      </c>
      <c r="O33">
        <v>0</v>
      </c>
      <c r="P33">
        <v>0</v>
      </c>
    </row>
    <row r="34" spans="1:16" x14ac:dyDescent="0.15">
      <c r="A34">
        <v>33</v>
      </c>
      <c r="B34" s="182" t="s">
        <v>223</v>
      </c>
      <c r="C34">
        <v>0</v>
      </c>
      <c r="D34">
        <v>0.8</v>
      </c>
      <c r="E34">
        <v>0.8</v>
      </c>
      <c r="F34">
        <v>0.8</v>
      </c>
      <c r="G34">
        <v>0.8</v>
      </c>
      <c r="H34">
        <v>0</v>
      </c>
      <c r="I34">
        <v>0</v>
      </c>
      <c r="J34">
        <v>0</v>
      </c>
      <c r="K34">
        <v>0</v>
      </c>
      <c r="L34">
        <v>0</v>
      </c>
      <c r="M34">
        <v>0.8</v>
      </c>
      <c r="N34">
        <v>0</v>
      </c>
      <c r="O34">
        <v>0</v>
      </c>
      <c r="P34">
        <v>0.8</v>
      </c>
    </row>
    <row r="35" spans="1:16" x14ac:dyDescent="0.15">
      <c r="A35">
        <v>34</v>
      </c>
      <c r="B35" s="182" t="s">
        <v>224</v>
      </c>
      <c r="C35">
        <v>0</v>
      </c>
      <c r="D35">
        <v>0</v>
      </c>
      <c r="E35">
        <v>0</v>
      </c>
      <c r="F35">
        <v>0</v>
      </c>
      <c r="G35">
        <v>0</v>
      </c>
      <c r="H35">
        <v>0</v>
      </c>
      <c r="I35">
        <v>0</v>
      </c>
      <c r="J35">
        <v>0</v>
      </c>
      <c r="K35">
        <v>0</v>
      </c>
      <c r="L35">
        <v>0</v>
      </c>
      <c r="M35">
        <v>0</v>
      </c>
      <c r="N35">
        <v>0</v>
      </c>
      <c r="O35">
        <v>0</v>
      </c>
      <c r="P35">
        <v>0</v>
      </c>
    </row>
    <row r="36" spans="1:16" x14ac:dyDescent="0.15">
      <c r="A36">
        <v>35</v>
      </c>
      <c r="B36" s="182" t="s">
        <v>225</v>
      </c>
      <c r="C36">
        <v>0</v>
      </c>
      <c r="D36">
        <v>0</v>
      </c>
      <c r="E36">
        <v>0</v>
      </c>
      <c r="F36">
        <v>0</v>
      </c>
      <c r="G36">
        <v>0</v>
      </c>
      <c r="H36">
        <v>0</v>
      </c>
      <c r="I36">
        <v>0</v>
      </c>
      <c r="J36">
        <v>0</v>
      </c>
      <c r="K36">
        <v>0</v>
      </c>
      <c r="L36">
        <v>0</v>
      </c>
      <c r="M36">
        <v>0</v>
      </c>
      <c r="N36">
        <v>0</v>
      </c>
      <c r="O36">
        <v>0</v>
      </c>
      <c r="P36">
        <v>0</v>
      </c>
    </row>
    <row r="37" spans="1:16" x14ac:dyDescent="0.15">
      <c r="A37">
        <v>36</v>
      </c>
      <c r="B37" s="182" t="s">
        <v>226</v>
      </c>
      <c r="C37">
        <v>0</v>
      </c>
      <c r="D37">
        <v>0</v>
      </c>
      <c r="E37">
        <v>0</v>
      </c>
      <c r="F37">
        <v>0</v>
      </c>
      <c r="G37">
        <v>0</v>
      </c>
      <c r="H37">
        <v>0</v>
      </c>
      <c r="I37">
        <v>0</v>
      </c>
      <c r="J37">
        <v>0</v>
      </c>
      <c r="K37">
        <v>0</v>
      </c>
      <c r="L37">
        <v>0</v>
      </c>
      <c r="M37">
        <v>0</v>
      </c>
      <c r="N37">
        <v>0</v>
      </c>
      <c r="O37">
        <v>0</v>
      </c>
      <c r="P37">
        <v>0</v>
      </c>
    </row>
    <row r="38" spans="1:16" x14ac:dyDescent="0.15">
      <c r="A38">
        <v>37</v>
      </c>
      <c r="B38" s="182" t="s">
        <v>227</v>
      </c>
      <c r="C38">
        <v>0</v>
      </c>
      <c r="D38">
        <v>0</v>
      </c>
      <c r="E38">
        <v>0</v>
      </c>
      <c r="F38">
        <v>0</v>
      </c>
      <c r="G38">
        <v>0</v>
      </c>
      <c r="H38">
        <v>0</v>
      </c>
      <c r="I38">
        <v>0</v>
      </c>
      <c r="J38">
        <v>0</v>
      </c>
      <c r="K38">
        <v>0</v>
      </c>
      <c r="L38">
        <v>0</v>
      </c>
      <c r="M38">
        <v>0</v>
      </c>
      <c r="N38">
        <v>0</v>
      </c>
      <c r="O38">
        <v>0</v>
      </c>
      <c r="P38">
        <v>0</v>
      </c>
    </row>
    <row r="39" spans="1:16" x14ac:dyDescent="0.15">
      <c r="A39">
        <v>38</v>
      </c>
      <c r="B39" s="182" t="s">
        <v>228</v>
      </c>
      <c r="C39">
        <v>0</v>
      </c>
      <c r="D39">
        <v>0</v>
      </c>
      <c r="E39">
        <v>0</v>
      </c>
      <c r="F39">
        <v>0</v>
      </c>
      <c r="G39">
        <v>0</v>
      </c>
      <c r="H39">
        <v>0</v>
      </c>
      <c r="I39">
        <v>0</v>
      </c>
      <c r="J39">
        <v>0</v>
      </c>
      <c r="K39">
        <v>0</v>
      </c>
      <c r="L39">
        <v>0</v>
      </c>
      <c r="M39">
        <v>0</v>
      </c>
      <c r="N39">
        <v>0</v>
      </c>
      <c r="O39">
        <v>0</v>
      </c>
      <c r="P39">
        <v>0</v>
      </c>
    </row>
    <row r="40" spans="1:16" x14ac:dyDescent="0.15">
      <c r="A40">
        <v>39</v>
      </c>
      <c r="B40" s="182" t="s">
        <v>229</v>
      </c>
      <c r="C40">
        <v>0</v>
      </c>
      <c r="D40">
        <v>0</v>
      </c>
      <c r="E40">
        <v>0</v>
      </c>
      <c r="F40">
        <v>0</v>
      </c>
      <c r="G40">
        <v>0</v>
      </c>
      <c r="H40">
        <v>0</v>
      </c>
      <c r="I40">
        <v>0</v>
      </c>
      <c r="J40">
        <v>0</v>
      </c>
      <c r="K40">
        <v>0</v>
      </c>
      <c r="L40">
        <v>0</v>
      </c>
      <c r="M40">
        <v>0</v>
      </c>
      <c r="N40">
        <v>0</v>
      </c>
      <c r="O40">
        <v>0</v>
      </c>
      <c r="P40">
        <v>0</v>
      </c>
    </row>
    <row r="41" spans="1:16" x14ac:dyDescent="0.15">
      <c r="A41">
        <v>40</v>
      </c>
      <c r="B41" s="182" t="s">
        <v>230</v>
      </c>
      <c r="C41">
        <v>0</v>
      </c>
      <c r="D41">
        <v>0</v>
      </c>
      <c r="E41">
        <v>0</v>
      </c>
      <c r="F41">
        <v>0</v>
      </c>
      <c r="G41">
        <v>0</v>
      </c>
      <c r="H41">
        <v>0</v>
      </c>
      <c r="I41">
        <v>0</v>
      </c>
      <c r="J41">
        <v>0</v>
      </c>
      <c r="K41">
        <v>0</v>
      </c>
      <c r="L41">
        <v>0</v>
      </c>
      <c r="M41">
        <v>0</v>
      </c>
      <c r="N41">
        <v>0</v>
      </c>
      <c r="O41">
        <v>0</v>
      </c>
      <c r="P41">
        <v>0</v>
      </c>
    </row>
    <row r="42" spans="1:16" x14ac:dyDescent="0.15">
      <c r="A42">
        <v>41</v>
      </c>
      <c r="B42" s="182" t="s">
        <v>231</v>
      </c>
      <c r="C42">
        <v>0</v>
      </c>
      <c r="D42">
        <v>0</v>
      </c>
      <c r="E42">
        <v>0</v>
      </c>
      <c r="F42">
        <v>0</v>
      </c>
      <c r="G42">
        <v>0</v>
      </c>
      <c r="H42">
        <v>0</v>
      </c>
      <c r="I42">
        <v>0</v>
      </c>
      <c r="J42">
        <v>0</v>
      </c>
      <c r="K42">
        <v>0</v>
      </c>
      <c r="L42">
        <v>0</v>
      </c>
      <c r="M42">
        <v>0</v>
      </c>
      <c r="N42">
        <v>0</v>
      </c>
      <c r="O42">
        <v>0</v>
      </c>
      <c r="P42">
        <v>0</v>
      </c>
    </row>
    <row r="43" spans="1:16" x14ac:dyDescent="0.15">
      <c r="A43">
        <v>42</v>
      </c>
      <c r="B43" s="182" t="s">
        <v>232</v>
      </c>
      <c r="C43">
        <v>0</v>
      </c>
      <c r="D43">
        <v>0</v>
      </c>
      <c r="E43">
        <v>0</v>
      </c>
      <c r="F43">
        <v>0</v>
      </c>
      <c r="G43">
        <v>0</v>
      </c>
      <c r="H43">
        <v>0</v>
      </c>
      <c r="I43">
        <v>0</v>
      </c>
      <c r="J43">
        <v>0</v>
      </c>
      <c r="K43">
        <v>0</v>
      </c>
      <c r="L43">
        <v>0</v>
      </c>
      <c r="M43">
        <v>0</v>
      </c>
      <c r="N43">
        <v>0</v>
      </c>
      <c r="O43">
        <v>0</v>
      </c>
      <c r="P43">
        <v>0</v>
      </c>
    </row>
    <row r="44" spans="1:16" x14ac:dyDescent="0.15">
      <c r="A44">
        <v>43</v>
      </c>
      <c r="B44" s="182" t="s">
        <v>233</v>
      </c>
      <c r="C44">
        <v>0</v>
      </c>
      <c r="D44">
        <v>0</v>
      </c>
      <c r="E44">
        <v>0</v>
      </c>
      <c r="F44">
        <v>0</v>
      </c>
      <c r="G44">
        <v>0</v>
      </c>
      <c r="H44">
        <v>0</v>
      </c>
      <c r="I44">
        <v>0</v>
      </c>
      <c r="J44">
        <v>0</v>
      </c>
      <c r="K44">
        <v>0</v>
      </c>
      <c r="L44">
        <v>0</v>
      </c>
      <c r="M44">
        <v>0</v>
      </c>
      <c r="N44">
        <v>0</v>
      </c>
      <c r="O44">
        <v>0</v>
      </c>
      <c r="P44">
        <v>0</v>
      </c>
    </row>
    <row r="45" spans="1:16" x14ac:dyDescent="0.15">
      <c r="A45">
        <v>44</v>
      </c>
      <c r="B45" s="182" t="s">
        <v>234</v>
      </c>
      <c r="C45">
        <v>0</v>
      </c>
      <c r="D45">
        <v>0</v>
      </c>
      <c r="E45">
        <v>0</v>
      </c>
      <c r="F45">
        <v>0</v>
      </c>
      <c r="G45">
        <v>0</v>
      </c>
      <c r="H45">
        <v>0</v>
      </c>
      <c r="I45">
        <v>0</v>
      </c>
      <c r="J45">
        <v>0</v>
      </c>
      <c r="K45">
        <v>0</v>
      </c>
      <c r="L45">
        <v>0</v>
      </c>
      <c r="M45">
        <v>0</v>
      </c>
      <c r="N45">
        <v>0</v>
      </c>
      <c r="O45">
        <v>0</v>
      </c>
      <c r="P45">
        <v>0</v>
      </c>
    </row>
    <row r="46" spans="1:16" x14ac:dyDescent="0.15">
      <c r="A46">
        <v>45</v>
      </c>
      <c r="B46" s="182" t="s">
        <v>235</v>
      </c>
      <c r="C46">
        <v>0</v>
      </c>
      <c r="D46">
        <v>0</v>
      </c>
      <c r="E46">
        <v>0</v>
      </c>
      <c r="F46">
        <v>0</v>
      </c>
      <c r="G46">
        <v>0</v>
      </c>
      <c r="H46">
        <v>0</v>
      </c>
      <c r="I46">
        <v>0.8</v>
      </c>
      <c r="J46">
        <v>0</v>
      </c>
      <c r="K46">
        <v>0</v>
      </c>
      <c r="L46">
        <v>0</v>
      </c>
      <c r="M46">
        <v>0</v>
      </c>
      <c r="N46">
        <v>0</v>
      </c>
      <c r="O46">
        <v>0</v>
      </c>
      <c r="P46">
        <v>0.8</v>
      </c>
    </row>
    <row r="47" spans="1:16" x14ac:dyDescent="0.15">
      <c r="A47">
        <v>46</v>
      </c>
      <c r="B47" s="182" t="s">
        <v>236</v>
      </c>
      <c r="C47">
        <v>0</v>
      </c>
      <c r="D47">
        <v>0.8</v>
      </c>
      <c r="E47">
        <v>0</v>
      </c>
      <c r="F47">
        <v>0</v>
      </c>
      <c r="G47">
        <v>0</v>
      </c>
      <c r="H47">
        <v>0</v>
      </c>
      <c r="I47">
        <v>0</v>
      </c>
      <c r="J47">
        <v>0</v>
      </c>
      <c r="K47">
        <v>0</v>
      </c>
      <c r="L47">
        <v>0.8</v>
      </c>
      <c r="M47">
        <v>0</v>
      </c>
      <c r="N47">
        <v>0</v>
      </c>
      <c r="O47">
        <v>0</v>
      </c>
      <c r="P47">
        <v>0</v>
      </c>
    </row>
    <row r="48" spans="1:16" x14ac:dyDescent="0.15">
      <c r="A48">
        <v>47</v>
      </c>
      <c r="B48" s="182" t="s">
        <v>237</v>
      </c>
      <c r="C48">
        <v>0</v>
      </c>
      <c r="D48">
        <v>0</v>
      </c>
      <c r="E48">
        <v>0</v>
      </c>
      <c r="F48">
        <v>0</v>
      </c>
      <c r="G48">
        <v>0</v>
      </c>
      <c r="H48">
        <v>0</v>
      </c>
      <c r="I48">
        <v>0</v>
      </c>
      <c r="J48">
        <v>0</v>
      </c>
      <c r="K48">
        <v>0</v>
      </c>
      <c r="L48">
        <v>0</v>
      </c>
      <c r="M48">
        <v>0</v>
      </c>
      <c r="N48">
        <v>0</v>
      </c>
      <c r="O48">
        <v>0</v>
      </c>
      <c r="P48">
        <v>0</v>
      </c>
    </row>
    <row r="49" spans="1:16" x14ac:dyDescent="0.15">
      <c r="A49">
        <v>48</v>
      </c>
      <c r="B49" s="182" t="s">
        <v>238</v>
      </c>
      <c r="C49">
        <v>0.8</v>
      </c>
      <c r="D49">
        <v>0</v>
      </c>
      <c r="E49">
        <v>0</v>
      </c>
      <c r="F49">
        <v>0</v>
      </c>
      <c r="G49">
        <v>0</v>
      </c>
      <c r="H49">
        <v>0</v>
      </c>
      <c r="I49">
        <v>0.8</v>
      </c>
      <c r="J49">
        <v>0</v>
      </c>
      <c r="K49">
        <v>0</v>
      </c>
      <c r="L49">
        <v>0</v>
      </c>
      <c r="M49">
        <v>0</v>
      </c>
      <c r="N49">
        <v>0</v>
      </c>
      <c r="O49">
        <v>0.8</v>
      </c>
      <c r="P49">
        <v>0</v>
      </c>
    </row>
    <row r="50" spans="1:16" x14ac:dyDescent="0.15">
      <c r="A50">
        <v>49</v>
      </c>
      <c r="B50" s="182" t="s">
        <v>239</v>
      </c>
      <c r="C50">
        <v>0</v>
      </c>
      <c r="D50">
        <v>0</v>
      </c>
      <c r="E50">
        <v>0</v>
      </c>
      <c r="F50">
        <v>0</v>
      </c>
      <c r="G50">
        <v>0</v>
      </c>
      <c r="H50">
        <v>0</v>
      </c>
      <c r="I50">
        <v>0</v>
      </c>
      <c r="J50">
        <v>0</v>
      </c>
      <c r="K50">
        <v>0</v>
      </c>
      <c r="L50">
        <v>0</v>
      </c>
      <c r="M50">
        <v>0</v>
      </c>
      <c r="N50">
        <v>0</v>
      </c>
      <c r="O50">
        <v>0</v>
      </c>
      <c r="P50">
        <v>0</v>
      </c>
    </row>
    <row r="51" spans="1:16" x14ac:dyDescent="0.15">
      <c r="A51">
        <v>50</v>
      </c>
      <c r="B51" s="182" t="s">
        <v>240</v>
      </c>
      <c r="C51">
        <v>0</v>
      </c>
      <c r="D51">
        <v>0</v>
      </c>
      <c r="E51">
        <v>0</v>
      </c>
      <c r="F51">
        <v>0</v>
      </c>
      <c r="G51">
        <v>0</v>
      </c>
      <c r="H51">
        <v>0</v>
      </c>
      <c r="I51">
        <v>0</v>
      </c>
      <c r="J51">
        <v>0</v>
      </c>
      <c r="K51">
        <v>0</v>
      </c>
      <c r="L51">
        <v>0</v>
      </c>
      <c r="M51">
        <v>0</v>
      </c>
      <c r="N51">
        <v>0</v>
      </c>
      <c r="O51">
        <v>0</v>
      </c>
      <c r="P51">
        <v>0</v>
      </c>
    </row>
    <row r="52" spans="1:16" x14ac:dyDescent="0.15">
      <c r="A52">
        <v>51</v>
      </c>
      <c r="B52" s="182" t="s">
        <v>241</v>
      </c>
      <c r="C52">
        <v>0.8</v>
      </c>
      <c r="D52">
        <v>0</v>
      </c>
      <c r="E52">
        <v>0</v>
      </c>
      <c r="F52">
        <v>0</v>
      </c>
      <c r="G52">
        <v>0</v>
      </c>
      <c r="H52">
        <v>0</v>
      </c>
      <c r="I52">
        <v>0</v>
      </c>
      <c r="J52">
        <v>0</v>
      </c>
      <c r="K52">
        <v>0</v>
      </c>
      <c r="L52">
        <v>0</v>
      </c>
      <c r="M52">
        <v>0</v>
      </c>
      <c r="N52">
        <v>0</v>
      </c>
      <c r="O52">
        <v>0</v>
      </c>
      <c r="P52">
        <v>0</v>
      </c>
    </row>
    <row r="53" spans="1:16" x14ac:dyDescent="0.15">
      <c r="A53">
        <v>52</v>
      </c>
      <c r="B53" s="182" t="s">
        <v>242</v>
      </c>
      <c r="C53">
        <v>0.8</v>
      </c>
      <c r="D53">
        <v>0</v>
      </c>
      <c r="E53">
        <v>0</v>
      </c>
      <c r="F53">
        <v>0</v>
      </c>
      <c r="G53">
        <v>0</v>
      </c>
      <c r="H53">
        <v>0</v>
      </c>
      <c r="I53">
        <v>0</v>
      </c>
      <c r="J53">
        <v>0</v>
      </c>
      <c r="K53">
        <v>0.8</v>
      </c>
      <c r="L53">
        <v>0</v>
      </c>
      <c r="M53">
        <v>0</v>
      </c>
      <c r="N53">
        <v>0</v>
      </c>
      <c r="O53">
        <v>0.8</v>
      </c>
      <c r="P53">
        <v>0</v>
      </c>
    </row>
    <row r="54" spans="1:16" x14ac:dyDescent="0.15">
      <c r="A54">
        <v>53</v>
      </c>
      <c r="B54" s="182" t="s">
        <v>243</v>
      </c>
      <c r="C54">
        <v>0</v>
      </c>
      <c r="D54">
        <v>0</v>
      </c>
      <c r="E54">
        <v>0</v>
      </c>
      <c r="F54">
        <v>0</v>
      </c>
      <c r="G54">
        <v>0</v>
      </c>
      <c r="H54">
        <v>0</v>
      </c>
      <c r="I54">
        <v>0</v>
      </c>
      <c r="J54">
        <v>0</v>
      </c>
      <c r="K54">
        <v>0</v>
      </c>
      <c r="L54">
        <v>0</v>
      </c>
      <c r="M54">
        <v>0</v>
      </c>
      <c r="N54">
        <v>0</v>
      </c>
      <c r="O54">
        <v>0</v>
      </c>
      <c r="P54">
        <v>0</v>
      </c>
    </row>
    <row r="55" spans="1:16" x14ac:dyDescent="0.15">
      <c r="A55">
        <v>54</v>
      </c>
      <c r="B55" s="182" t="s">
        <v>244</v>
      </c>
      <c r="C55">
        <v>0</v>
      </c>
      <c r="D55">
        <v>0</v>
      </c>
      <c r="E55">
        <v>0</v>
      </c>
      <c r="F55">
        <v>0</v>
      </c>
      <c r="G55">
        <v>0</v>
      </c>
      <c r="H55">
        <v>0</v>
      </c>
      <c r="I55">
        <v>0</v>
      </c>
      <c r="J55">
        <v>0</v>
      </c>
      <c r="K55">
        <v>0</v>
      </c>
      <c r="L55">
        <v>0</v>
      </c>
      <c r="M55">
        <v>0</v>
      </c>
      <c r="N55">
        <v>0</v>
      </c>
      <c r="O55">
        <v>0</v>
      </c>
      <c r="P55">
        <v>0</v>
      </c>
    </row>
    <row r="56" spans="1:16" x14ac:dyDescent="0.15">
      <c r="A56">
        <v>55</v>
      </c>
      <c r="B56" s="182" t="s">
        <v>245</v>
      </c>
      <c r="C56">
        <v>0</v>
      </c>
      <c r="D56">
        <v>0</v>
      </c>
      <c r="E56">
        <v>0</v>
      </c>
      <c r="F56">
        <v>0</v>
      </c>
      <c r="G56">
        <v>0</v>
      </c>
      <c r="H56">
        <v>0</v>
      </c>
      <c r="I56">
        <v>0</v>
      </c>
      <c r="J56">
        <v>0</v>
      </c>
      <c r="K56">
        <v>0</v>
      </c>
      <c r="L56">
        <v>0</v>
      </c>
      <c r="M56">
        <v>0</v>
      </c>
      <c r="N56">
        <v>0</v>
      </c>
      <c r="O56">
        <v>0</v>
      </c>
      <c r="P56">
        <v>0</v>
      </c>
    </row>
    <row r="57" spans="1:16" x14ac:dyDescent="0.15">
      <c r="A57">
        <v>56</v>
      </c>
      <c r="B57" s="182" t="s">
        <v>246</v>
      </c>
      <c r="C57">
        <v>0</v>
      </c>
      <c r="D57">
        <v>0</v>
      </c>
      <c r="E57">
        <v>0</v>
      </c>
      <c r="F57">
        <v>0.8</v>
      </c>
      <c r="G57">
        <v>0</v>
      </c>
      <c r="H57">
        <v>0</v>
      </c>
      <c r="I57">
        <v>0</v>
      </c>
      <c r="J57">
        <v>0</v>
      </c>
      <c r="K57">
        <v>0</v>
      </c>
      <c r="L57">
        <v>0</v>
      </c>
      <c r="M57">
        <v>0</v>
      </c>
      <c r="N57">
        <v>0</v>
      </c>
      <c r="O57">
        <v>0</v>
      </c>
      <c r="P57">
        <v>0</v>
      </c>
    </row>
    <row r="58" spans="1:16" x14ac:dyDescent="0.15">
      <c r="A58">
        <v>57</v>
      </c>
      <c r="B58" s="182" t="s">
        <v>247</v>
      </c>
      <c r="C58">
        <v>0</v>
      </c>
      <c r="D58">
        <v>0</v>
      </c>
      <c r="E58">
        <v>0</v>
      </c>
      <c r="F58">
        <v>0</v>
      </c>
      <c r="G58">
        <v>0</v>
      </c>
      <c r="H58">
        <v>0</v>
      </c>
      <c r="I58">
        <v>0</v>
      </c>
      <c r="J58">
        <v>0.8</v>
      </c>
      <c r="K58">
        <v>0</v>
      </c>
      <c r="L58">
        <v>0</v>
      </c>
      <c r="M58">
        <v>0</v>
      </c>
      <c r="N58">
        <v>0</v>
      </c>
      <c r="O58">
        <v>0</v>
      </c>
      <c r="P58">
        <v>0</v>
      </c>
    </row>
    <row r="59" spans="1:16" x14ac:dyDescent="0.15">
      <c r="A59">
        <v>58</v>
      </c>
      <c r="B59" s="182" t="s">
        <v>248</v>
      </c>
      <c r="C59">
        <v>0</v>
      </c>
      <c r="D59">
        <v>0</v>
      </c>
      <c r="E59">
        <v>0</v>
      </c>
      <c r="F59">
        <v>0</v>
      </c>
      <c r="G59">
        <v>0</v>
      </c>
      <c r="H59">
        <v>0</v>
      </c>
      <c r="I59">
        <v>0</v>
      </c>
      <c r="J59">
        <v>0</v>
      </c>
      <c r="K59">
        <v>0</v>
      </c>
      <c r="L59">
        <v>0</v>
      </c>
      <c r="M59">
        <v>0</v>
      </c>
      <c r="N59">
        <v>0</v>
      </c>
      <c r="O59">
        <v>0</v>
      </c>
      <c r="P59">
        <v>0</v>
      </c>
    </row>
    <row r="60" spans="1:16" x14ac:dyDescent="0.15">
      <c r="A60">
        <v>59</v>
      </c>
      <c r="B60" s="182" t="s">
        <v>249</v>
      </c>
      <c r="C60">
        <v>0</v>
      </c>
      <c r="D60">
        <v>0</v>
      </c>
      <c r="E60">
        <v>0</v>
      </c>
      <c r="F60">
        <v>0</v>
      </c>
      <c r="G60">
        <v>0</v>
      </c>
      <c r="H60">
        <v>0</v>
      </c>
      <c r="I60">
        <v>0</v>
      </c>
      <c r="J60">
        <v>0</v>
      </c>
      <c r="K60">
        <v>0</v>
      </c>
      <c r="L60">
        <v>0</v>
      </c>
      <c r="M60">
        <v>0</v>
      </c>
      <c r="N60">
        <v>0</v>
      </c>
      <c r="O60">
        <v>0</v>
      </c>
      <c r="P60">
        <v>0</v>
      </c>
    </row>
    <row r="61" spans="1:16" x14ac:dyDescent="0.15">
      <c r="A61">
        <v>60</v>
      </c>
      <c r="B61" s="182" t="s">
        <v>250</v>
      </c>
      <c r="C61">
        <v>0</v>
      </c>
      <c r="D61">
        <v>0</v>
      </c>
      <c r="E61">
        <v>0</v>
      </c>
      <c r="F61">
        <v>0</v>
      </c>
      <c r="G61">
        <v>0</v>
      </c>
      <c r="H61">
        <v>0</v>
      </c>
      <c r="I61">
        <v>0</v>
      </c>
      <c r="J61">
        <v>0</v>
      </c>
      <c r="K61">
        <v>0</v>
      </c>
      <c r="L61">
        <v>0</v>
      </c>
      <c r="M61">
        <v>0</v>
      </c>
      <c r="N61">
        <v>0</v>
      </c>
      <c r="O61">
        <v>0</v>
      </c>
      <c r="P61">
        <v>0</v>
      </c>
    </row>
    <row r="62" spans="1:16" x14ac:dyDescent="0.15">
      <c r="A62">
        <v>61</v>
      </c>
      <c r="B62" s="182" t="s">
        <v>251</v>
      </c>
      <c r="C62">
        <v>0</v>
      </c>
      <c r="D62">
        <v>0</v>
      </c>
      <c r="E62">
        <v>0</v>
      </c>
      <c r="F62">
        <v>0</v>
      </c>
      <c r="G62">
        <v>0</v>
      </c>
      <c r="H62">
        <v>0</v>
      </c>
      <c r="I62">
        <v>0</v>
      </c>
      <c r="J62">
        <v>0</v>
      </c>
      <c r="K62">
        <v>0</v>
      </c>
      <c r="L62">
        <v>0</v>
      </c>
      <c r="M62">
        <v>0</v>
      </c>
      <c r="N62">
        <v>0</v>
      </c>
      <c r="O62">
        <v>0</v>
      </c>
      <c r="P62">
        <v>0</v>
      </c>
    </row>
    <row r="63" spans="1:16" x14ac:dyDescent="0.15">
      <c r="A63">
        <v>62</v>
      </c>
      <c r="B63" s="182" t="s">
        <v>252</v>
      </c>
      <c r="C63">
        <v>0</v>
      </c>
      <c r="D63">
        <v>0</v>
      </c>
      <c r="E63">
        <v>0</v>
      </c>
      <c r="F63">
        <v>0</v>
      </c>
      <c r="G63">
        <v>0</v>
      </c>
      <c r="H63">
        <v>0</v>
      </c>
      <c r="I63">
        <v>0</v>
      </c>
      <c r="J63">
        <v>0</v>
      </c>
      <c r="K63">
        <v>0</v>
      </c>
      <c r="L63">
        <v>0</v>
      </c>
      <c r="M63">
        <v>0</v>
      </c>
      <c r="N63">
        <v>0</v>
      </c>
      <c r="O63">
        <v>0</v>
      </c>
      <c r="P63">
        <v>0</v>
      </c>
    </row>
    <row r="64" spans="1:16" x14ac:dyDescent="0.15">
      <c r="A64">
        <v>63</v>
      </c>
      <c r="B64" s="182" t="s">
        <v>253</v>
      </c>
      <c r="C64">
        <v>0</v>
      </c>
      <c r="D64">
        <v>0</v>
      </c>
      <c r="E64">
        <v>0</v>
      </c>
      <c r="F64">
        <v>0</v>
      </c>
      <c r="G64">
        <v>0</v>
      </c>
      <c r="H64">
        <v>0</v>
      </c>
      <c r="I64">
        <v>0</v>
      </c>
      <c r="J64">
        <v>0</v>
      </c>
      <c r="K64">
        <v>0</v>
      </c>
      <c r="L64">
        <v>0</v>
      </c>
      <c r="M64">
        <v>0</v>
      </c>
      <c r="N64">
        <v>0</v>
      </c>
      <c r="O64">
        <v>0</v>
      </c>
      <c r="P64">
        <v>0</v>
      </c>
    </row>
    <row r="65" spans="1:16" x14ac:dyDescent="0.15">
      <c r="A65">
        <v>64</v>
      </c>
      <c r="B65" s="182" t="s">
        <v>254</v>
      </c>
      <c r="C65">
        <v>0</v>
      </c>
      <c r="D65">
        <v>0</v>
      </c>
      <c r="E65">
        <v>0</v>
      </c>
      <c r="F65">
        <v>0</v>
      </c>
      <c r="G65">
        <v>0</v>
      </c>
      <c r="H65">
        <v>0</v>
      </c>
      <c r="I65">
        <v>0</v>
      </c>
      <c r="J65">
        <v>0</v>
      </c>
      <c r="K65">
        <v>0</v>
      </c>
      <c r="L65">
        <v>0</v>
      </c>
      <c r="M65">
        <v>0</v>
      </c>
      <c r="N65">
        <v>0</v>
      </c>
      <c r="O65">
        <v>0</v>
      </c>
      <c r="P65">
        <v>0</v>
      </c>
    </row>
    <row r="66" spans="1:16" x14ac:dyDescent="0.15">
      <c r="A66">
        <v>65</v>
      </c>
      <c r="B66" s="182" t="s">
        <v>255</v>
      </c>
      <c r="C66">
        <v>0</v>
      </c>
      <c r="D66">
        <v>0</v>
      </c>
      <c r="E66">
        <v>0</v>
      </c>
      <c r="F66">
        <v>0</v>
      </c>
      <c r="G66">
        <v>0</v>
      </c>
      <c r="H66">
        <v>0</v>
      </c>
      <c r="I66">
        <v>0</v>
      </c>
      <c r="J66">
        <v>0</v>
      </c>
      <c r="K66">
        <v>0</v>
      </c>
      <c r="L66">
        <v>0</v>
      </c>
      <c r="M66">
        <v>0</v>
      </c>
      <c r="N66">
        <v>0</v>
      </c>
      <c r="O66">
        <v>0</v>
      </c>
      <c r="P66">
        <v>0</v>
      </c>
    </row>
    <row r="67" spans="1:16" x14ac:dyDescent="0.15">
      <c r="A67">
        <v>66</v>
      </c>
      <c r="B67" s="182" t="s">
        <v>256</v>
      </c>
      <c r="C67">
        <v>0</v>
      </c>
      <c r="D67">
        <v>0</v>
      </c>
      <c r="E67">
        <v>0</v>
      </c>
      <c r="F67">
        <v>0</v>
      </c>
      <c r="G67">
        <v>0</v>
      </c>
      <c r="H67">
        <v>0</v>
      </c>
      <c r="I67">
        <v>0</v>
      </c>
      <c r="J67">
        <v>0</v>
      </c>
      <c r="K67">
        <v>0</v>
      </c>
      <c r="L67">
        <v>0</v>
      </c>
      <c r="M67">
        <v>0</v>
      </c>
      <c r="N67">
        <v>0</v>
      </c>
      <c r="O67">
        <v>0</v>
      </c>
      <c r="P67">
        <v>0</v>
      </c>
    </row>
    <row r="68" spans="1:16" x14ac:dyDescent="0.15">
      <c r="A68">
        <v>67</v>
      </c>
      <c r="B68" s="182" t="s">
        <v>257</v>
      </c>
      <c r="C68">
        <v>0</v>
      </c>
      <c r="D68">
        <v>0</v>
      </c>
      <c r="E68">
        <v>0</v>
      </c>
      <c r="F68">
        <v>0</v>
      </c>
      <c r="G68">
        <v>0</v>
      </c>
      <c r="H68">
        <v>0</v>
      </c>
      <c r="I68">
        <v>0</v>
      </c>
      <c r="J68">
        <v>0</v>
      </c>
      <c r="K68">
        <v>0</v>
      </c>
      <c r="L68">
        <v>0</v>
      </c>
      <c r="M68">
        <v>0</v>
      </c>
      <c r="N68">
        <v>0</v>
      </c>
      <c r="O68">
        <v>0</v>
      </c>
      <c r="P68">
        <v>0</v>
      </c>
    </row>
    <row r="69" spans="1:16" x14ac:dyDescent="0.15">
      <c r="A69">
        <v>68</v>
      </c>
      <c r="B69" s="182" t="s">
        <v>258</v>
      </c>
      <c r="C69">
        <v>0</v>
      </c>
      <c r="D69">
        <v>0</v>
      </c>
      <c r="E69">
        <v>0</v>
      </c>
      <c r="F69">
        <v>0</v>
      </c>
      <c r="G69">
        <v>0</v>
      </c>
      <c r="H69">
        <v>0</v>
      </c>
      <c r="I69">
        <v>0</v>
      </c>
      <c r="J69">
        <v>0</v>
      </c>
      <c r="K69">
        <v>0</v>
      </c>
      <c r="L69">
        <v>0</v>
      </c>
      <c r="M69">
        <v>0</v>
      </c>
      <c r="N69">
        <v>0</v>
      </c>
      <c r="O69">
        <v>0</v>
      </c>
      <c r="P69">
        <v>0</v>
      </c>
    </row>
    <row r="70" spans="1:16" x14ac:dyDescent="0.15">
      <c r="A70">
        <v>69</v>
      </c>
      <c r="B70" s="182" t="s">
        <v>259</v>
      </c>
      <c r="C70">
        <v>0</v>
      </c>
      <c r="D70">
        <v>0</v>
      </c>
      <c r="E70">
        <v>0</v>
      </c>
      <c r="F70">
        <v>0</v>
      </c>
      <c r="G70">
        <v>0</v>
      </c>
      <c r="H70">
        <v>0</v>
      </c>
      <c r="I70">
        <v>0</v>
      </c>
      <c r="J70">
        <v>0</v>
      </c>
      <c r="K70">
        <v>0</v>
      </c>
      <c r="L70">
        <v>0</v>
      </c>
      <c r="M70">
        <v>0</v>
      </c>
      <c r="N70">
        <v>0</v>
      </c>
      <c r="O70">
        <v>0</v>
      </c>
      <c r="P70">
        <v>0</v>
      </c>
    </row>
    <row r="71" spans="1:16" x14ac:dyDescent="0.15">
      <c r="A71">
        <v>70</v>
      </c>
      <c r="B71" s="182" t="s">
        <v>260</v>
      </c>
      <c r="C71">
        <v>0</v>
      </c>
      <c r="D71">
        <v>0</v>
      </c>
      <c r="E71">
        <v>0</v>
      </c>
      <c r="F71">
        <v>0</v>
      </c>
      <c r="G71">
        <v>0</v>
      </c>
      <c r="H71">
        <v>0</v>
      </c>
      <c r="I71">
        <v>0</v>
      </c>
      <c r="J71">
        <v>0</v>
      </c>
      <c r="K71">
        <v>0</v>
      </c>
      <c r="L71">
        <v>0</v>
      </c>
      <c r="M71">
        <v>0</v>
      </c>
      <c r="N71">
        <v>0</v>
      </c>
      <c r="O71">
        <v>0</v>
      </c>
      <c r="P71">
        <v>0</v>
      </c>
    </row>
    <row r="72" spans="1:16" x14ac:dyDescent="0.15">
      <c r="A72">
        <v>71</v>
      </c>
      <c r="B72" s="182" t="s">
        <v>261</v>
      </c>
      <c r="C72">
        <v>0</v>
      </c>
      <c r="D72">
        <v>0</v>
      </c>
      <c r="E72">
        <v>0</v>
      </c>
      <c r="F72">
        <v>0</v>
      </c>
      <c r="G72">
        <v>0</v>
      </c>
      <c r="H72">
        <v>0</v>
      </c>
      <c r="I72">
        <v>0</v>
      </c>
      <c r="J72">
        <v>0</v>
      </c>
      <c r="K72">
        <v>0</v>
      </c>
      <c r="L72">
        <v>0</v>
      </c>
      <c r="M72">
        <v>0</v>
      </c>
      <c r="N72">
        <v>0</v>
      </c>
      <c r="O72">
        <v>0</v>
      </c>
      <c r="P72">
        <v>0</v>
      </c>
    </row>
    <row r="73" spans="1:16" x14ac:dyDescent="0.15">
      <c r="A73">
        <v>72</v>
      </c>
      <c r="B73" s="182" t="s">
        <v>262</v>
      </c>
      <c r="C73">
        <v>0</v>
      </c>
      <c r="D73">
        <v>0</v>
      </c>
      <c r="E73">
        <v>0</v>
      </c>
      <c r="F73">
        <v>0</v>
      </c>
      <c r="G73">
        <v>0</v>
      </c>
      <c r="H73">
        <v>0</v>
      </c>
      <c r="I73">
        <v>0</v>
      </c>
      <c r="J73">
        <v>0</v>
      </c>
      <c r="K73">
        <v>0</v>
      </c>
      <c r="L73">
        <v>0</v>
      </c>
      <c r="M73">
        <v>0</v>
      </c>
      <c r="N73">
        <v>0</v>
      </c>
      <c r="O73">
        <v>0</v>
      </c>
      <c r="P73">
        <v>0</v>
      </c>
    </row>
    <row r="74" spans="1:16" x14ac:dyDescent="0.15">
      <c r="A74">
        <v>73</v>
      </c>
      <c r="B74" s="182" t="s">
        <v>263</v>
      </c>
      <c r="C74">
        <v>0</v>
      </c>
      <c r="D74">
        <v>0</v>
      </c>
      <c r="E74">
        <v>0</v>
      </c>
      <c r="F74">
        <v>0</v>
      </c>
      <c r="G74">
        <v>0</v>
      </c>
      <c r="H74">
        <v>0</v>
      </c>
      <c r="I74">
        <v>0</v>
      </c>
      <c r="J74">
        <v>0</v>
      </c>
      <c r="K74">
        <v>0</v>
      </c>
      <c r="L74">
        <v>0</v>
      </c>
      <c r="M74">
        <v>0</v>
      </c>
      <c r="N74">
        <v>0</v>
      </c>
      <c r="O74">
        <v>0</v>
      </c>
      <c r="P74">
        <v>0</v>
      </c>
    </row>
    <row r="75" spans="1:16" x14ac:dyDescent="0.15">
      <c r="A75">
        <v>74</v>
      </c>
      <c r="B75" s="182" t="s">
        <v>264</v>
      </c>
      <c r="C75">
        <v>0</v>
      </c>
      <c r="D75">
        <v>0</v>
      </c>
      <c r="E75">
        <v>0</v>
      </c>
      <c r="F75">
        <v>0</v>
      </c>
      <c r="G75">
        <v>0</v>
      </c>
      <c r="H75">
        <v>0</v>
      </c>
      <c r="I75">
        <v>0</v>
      </c>
      <c r="J75">
        <v>0</v>
      </c>
      <c r="K75">
        <v>0</v>
      </c>
      <c r="L75">
        <v>0</v>
      </c>
      <c r="M75">
        <v>0</v>
      </c>
      <c r="N75">
        <v>0</v>
      </c>
      <c r="O75">
        <v>0</v>
      </c>
      <c r="P75">
        <v>0</v>
      </c>
    </row>
    <row r="76" spans="1:16" x14ac:dyDescent="0.15">
      <c r="A76">
        <v>75</v>
      </c>
      <c r="B76" s="182" t="s">
        <v>265</v>
      </c>
      <c r="C76">
        <v>0</v>
      </c>
      <c r="D76">
        <v>0</v>
      </c>
      <c r="E76">
        <v>0</v>
      </c>
      <c r="F76">
        <v>0</v>
      </c>
      <c r="G76">
        <v>0</v>
      </c>
      <c r="H76">
        <v>0</v>
      </c>
      <c r="I76">
        <v>0</v>
      </c>
      <c r="J76">
        <v>0</v>
      </c>
      <c r="K76">
        <v>0</v>
      </c>
      <c r="L76">
        <v>0</v>
      </c>
      <c r="M76">
        <v>0</v>
      </c>
      <c r="N76">
        <v>0</v>
      </c>
      <c r="O76">
        <v>0</v>
      </c>
      <c r="P76">
        <v>0</v>
      </c>
    </row>
    <row r="77" spans="1:16" x14ac:dyDescent="0.15">
      <c r="A77">
        <v>76</v>
      </c>
      <c r="B77" s="182" t="s">
        <v>266</v>
      </c>
      <c r="C77">
        <v>0</v>
      </c>
      <c r="D77">
        <v>0</v>
      </c>
      <c r="E77">
        <v>0</v>
      </c>
      <c r="F77">
        <v>0</v>
      </c>
      <c r="G77">
        <v>0</v>
      </c>
      <c r="H77">
        <v>0</v>
      </c>
      <c r="I77">
        <v>0</v>
      </c>
      <c r="J77">
        <v>0</v>
      </c>
      <c r="K77">
        <v>0</v>
      </c>
      <c r="L77">
        <v>0</v>
      </c>
      <c r="M77">
        <v>0</v>
      </c>
      <c r="N77">
        <v>0</v>
      </c>
      <c r="O77">
        <v>0</v>
      </c>
      <c r="P77">
        <v>0</v>
      </c>
    </row>
    <row r="78" spans="1:16" x14ac:dyDescent="0.15">
      <c r="A78">
        <v>77</v>
      </c>
      <c r="B78" s="182" t="s">
        <v>267</v>
      </c>
      <c r="C78">
        <v>0</v>
      </c>
      <c r="D78">
        <v>0</v>
      </c>
      <c r="E78">
        <v>0</v>
      </c>
      <c r="F78">
        <v>0</v>
      </c>
      <c r="G78">
        <v>0</v>
      </c>
      <c r="H78">
        <v>0</v>
      </c>
      <c r="I78">
        <v>0</v>
      </c>
      <c r="J78">
        <v>0</v>
      </c>
      <c r="K78">
        <v>0</v>
      </c>
      <c r="L78">
        <v>0</v>
      </c>
      <c r="M78">
        <v>0</v>
      </c>
      <c r="N78">
        <v>0</v>
      </c>
      <c r="O78">
        <v>0</v>
      </c>
      <c r="P78">
        <v>0</v>
      </c>
    </row>
    <row r="79" spans="1:16" x14ac:dyDescent="0.15">
      <c r="A79">
        <v>78</v>
      </c>
      <c r="B79" s="182" t="s">
        <v>268</v>
      </c>
      <c r="C79">
        <v>0</v>
      </c>
      <c r="D79">
        <v>0</v>
      </c>
      <c r="E79">
        <v>0</v>
      </c>
      <c r="F79">
        <v>0</v>
      </c>
      <c r="G79">
        <v>0</v>
      </c>
      <c r="H79">
        <v>0</v>
      </c>
      <c r="I79">
        <v>0</v>
      </c>
      <c r="J79">
        <v>0</v>
      </c>
      <c r="K79">
        <v>0</v>
      </c>
      <c r="L79">
        <v>0</v>
      </c>
      <c r="M79">
        <v>0</v>
      </c>
      <c r="N79">
        <v>0</v>
      </c>
      <c r="O79">
        <v>0</v>
      </c>
      <c r="P79">
        <v>0</v>
      </c>
    </row>
    <row r="80" spans="1:16" x14ac:dyDescent="0.15">
      <c r="A80">
        <v>79</v>
      </c>
      <c r="B80" s="182" t="s">
        <v>269</v>
      </c>
      <c r="C80">
        <v>0</v>
      </c>
      <c r="D80">
        <v>0</v>
      </c>
      <c r="E80">
        <v>0</v>
      </c>
      <c r="F80">
        <v>0</v>
      </c>
      <c r="G80">
        <v>0</v>
      </c>
      <c r="H80">
        <v>0</v>
      </c>
      <c r="I80">
        <v>0</v>
      </c>
      <c r="J80">
        <v>0</v>
      </c>
      <c r="K80">
        <v>0</v>
      </c>
      <c r="L80">
        <v>0</v>
      </c>
      <c r="M80">
        <v>0</v>
      </c>
      <c r="N80">
        <v>0</v>
      </c>
      <c r="O80">
        <v>0</v>
      </c>
      <c r="P80">
        <v>0</v>
      </c>
    </row>
    <row r="81" spans="1:16" x14ac:dyDescent="0.15">
      <c r="A81">
        <v>80</v>
      </c>
      <c r="B81" s="182" t="s">
        <v>270</v>
      </c>
      <c r="C81">
        <v>0</v>
      </c>
      <c r="D81">
        <v>0</v>
      </c>
      <c r="E81">
        <v>0</v>
      </c>
      <c r="F81">
        <v>0</v>
      </c>
      <c r="G81">
        <v>0</v>
      </c>
      <c r="H81">
        <v>0</v>
      </c>
      <c r="I81">
        <v>0</v>
      </c>
      <c r="J81">
        <v>0</v>
      </c>
      <c r="K81">
        <v>0</v>
      </c>
      <c r="L81">
        <v>0</v>
      </c>
      <c r="M81">
        <v>0</v>
      </c>
      <c r="N81">
        <v>0</v>
      </c>
      <c r="O81">
        <v>0</v>
      </c>
      <c r="P81">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P81"/>
  <sheetViews>
    <sheetView workbookViewId="0">
      <selection activeCell="A3" sqref="A3"/>
    </sheetView>
  </sheetViews>
  <sheetFormatPr baseColWidth="10" defaultRowHeight="13" x14ac:dyDescent="0.15"/>
  <cols>
    <col min="1" max="1" width="3.33203125" customWidth="1"/>
    <col min="2" max="2" width="29.6640625" bestFit="1" customWidth="1"/>
    <col min="3" max="4" width="3.83203125" bestFit="1" customWidth="1"/>
    <col min="5" max="16" width="3.83203125" customWidth="1"/>
  </cols>
  <sheetData>
    <row r="1" spans="1:16" ht="112" x14ac:dyDescent="0.15">
      <c r="A1" s="5" t="s">
        <v>82</v>
      </c>
      <c r="B1" s="3" t="s">
        <v>0</v>
      </c>
      <c r="C1" s="185" t="s">
        <v>271</v>
      </c>
      <c r="D1" s="185" t="s">
        <v>272</v>
      </c>
      <c r="E1" s="185" t="s">
        <v>273</v>
      </c>
      <c r="F1" s="185" t="s">
        <v>274</v>
      </c>
      <c r="G1" s="185" t="s">
        <v>275</v>
      </c>
      <c r="H1" s="185" t="s">
        <v>276</v>
      </c>
      <c r="I1" s="185" t="s">
        <v>277</v>
      </c>
      <c r="J1" s="185" t="s">
        <v>278</v>
      </c>
      <c r="K1" s="185" t="s">
        <v>279</v>
      </c>
      <c r="L1" s="185" t="s">
        <v>280</v>
      </c>
      <c r="M1" s="185" t="s">
        <v>281</v>
      </c>
      <c r="N1" s="185" t="s">
        <v>282</v>
      </c>
      <c r="O1" s="185" t="s">
        <v>283</v>
      </c>
      <c r="P1" s="185" t="s">
        <v>284</v>
      </c>
    </row>
    <row r="2" spans="1:16" x14ac:dyDescent="0.15">
      <c r="A2">
        <v>1</v>
      </c>
      <c r="B2" s="184" t="s">
        <v>191</v>
      </c>
      <c r="C2">
        <v>0.8</v>
      </c>
      <c r="D2">
        <v>0</v>
      </c>
      <c r="E2">
        <v>0</v>
      </c>
      <c r="F2">
        <v>0.8</v>
      </c>
      <c r="G2">
        <v>0</v>
      </c>
      <c r="H2">
        <v>0</v>
      </c>
      <c r="I2">
        <v>0</v>
      </c>
      <c r="J2">
        <v>0</v>
      </c>
      <c r="K2">
        <v>0</v>
      </c>
      <c r="L2">
        <v>0</v>
      </c>
      <c r="M2">
        <v>0</v>
      </c>
      <c r="N2">
        <v>0</v>
      </c>
      <c r="O2">
        <v>0</v>
      </c>
      <c r="P2">
        <v>0</v>
      </c>
    </row>
    <row r="3" spans="1:16" x14ac:dyDescent="0.15">
      <c r="A3">
        <v>2</v>
      </c>
      <c r="B3" s="184" t="s">
        <v>192</v>
      </c>
      <c r="C3">
        <v>0</v>
      </c>
      <c r="D3">
        <v>0</v>
      </c>
      <c r="E3">
        <v>0</v>
      </c>
      <c r="F3">
        <v>0.8</v>
      </c>
      <c r="G3">
        <v>0</v>
      </c>
      <c r="H3">
        <v>0</v>
      </c>
      <c r="I3">
        <v>0</v>
      </c>
      <c r="J3">
        <v>0</v>
      </c>
      <c r="K3">
        <v>0</v>
      </c>
      <c r="L3">
        <v>0</v>
      </c>
      <c r="M3">
        <v>0</v>
      </c>
      <c r="N3">
        <v>0</v>
      </c>
      <c r="O3">
        <v>0</v>
      </c>
      <c r="P3">
        <v>0</v>
      </c>
    </row>
    <row r="4" spans="1:16" x14ac:dyDescent="0.15">
      <c r="A4">
        <v>3</v>
      </c>
      <c r="B4" s="184" t="s">
        <v>193</v>
      </c>
      <c r="C4">
        <v>0</v>
      </c>
      <c r="D4">
        <v>0</v>
      </c>
      <c r="E4">
        <v>0</v>
      </c>
      <c r="F4">
        <v>0.8</v>
      </c>
      <c r="G4">
        <v>0</v>
      </c>
      <c r="H4">
        <v>0</v>
      </c>
      <c r="I4">
        <v>0</v>
      </c>
      <c r="J4">
        <v>0</v>
      </c>
      <c r="K4">
        <v>0</v>
      </c>
      <c r="L4">
        <v>0</v>
      </c>
      <c r="M4">
        <v>0</v>
      </c>
      <c r="N4">
        <v>0</v>
      </c>
      <c r="O4">
        <v>0</v>
      </c>
      <c r="P4">
        <v>0</v>
      </c>
    </row>
    <row r="5" spans="1:16" x14ac:dyDescent="0.15">
      <c r="A5">
        <v>4</v>
      </c>
      <c r="B5" s="184" t="s">
        <v>194</v>
      </c>
      <c r="C5">
        <v>0</v>
      </c>
      <c r="D5">
        <v>0</v>
      </c>
      <c r="E5">
        <v>0</v>
      </c>
      <c r="F5">
        <v>0.8</v>
      </c>
      <c r="G5">
        <v>0</v>
      </c>
      <c r="H5">
        <v>0</v>
      </c>
      <c r="I5">
        <v>0</v>
      </c>
      <c r="J5">
        <v>0</v>
      </c>
      <c r="K5">
        <v>0</v>
      </c>
      <c r="L5">
        <v>0</v>
      </c>
      <c r="M5">
        <v>0</v>
      </c>
      <c r="N5">
        <v>0</v>
      </c>
      <c r="O5">
        <v>0</v>
      </c>
      <c r="P5">
        <v>0</v>
      </c>
    </row>
    <row r="6" spans="1:16" x14ac:dyDescent="0.15">
      <c r="A6">
        <v>5</v>
      </c>
      <c r="B6" s="184" t="s">
        <v>195</v>
      </c>
      <c r="C6">
        <v>0</v>
      </c>
      <c r="D6">
        <v>0</v>
      </c>
      <c r="E6">
        <v>0.8</v>
      </c>
      <c r="F6">
        <v>0.8</v>
      </c>
      <c r="G6">
        <v>0.8</v>
      </c>
      <c r="H6">
        <v>0.8</v>
      </c>
      <c r="I6">
        <v>0</v>
      </c>
      <c r="J6">
        <v>0</v>
      </c>
      <c r="K6">
        <v>0</v>
      </c>
      <c r="L6">
        <v>0</v>
      </c>
      <c r="M6">
        <v>0</v>
      </c>
      <c r="N6">
        <v>0</v>
      </c>
      <c r="O6">
        <v>0</v>
      </c>
      <c r="P6">
        <v>0</v>
      </c>
    </row>
    <row r="7" spans="1:16" x14ac:dyDescent="0.15">
      <c r="A7">
        <v>6</v>
      </c>
      <c r="B7" s="184" t="s">
        <v>196</v>
      </c>
      <c r="C7">
        <v>0</v>
      </c>
      <c r="D7">
        <v>0</v>
      </c>
      <c r="E7">
        <v>0.8</v>
      </c>
      <c r="F7">
        <v>0.8</v>
      </c>
      <c r="G7">
        <v>0.8</v>
      </c>
      <c r="H7">
        <v>0</v>
      </c>
      <c r="I7">
        <v>0</v>
      </c>
      <c r="J7">
        <v>0</v>
      </c>
      <c r="K7">
        <v>0</v>
      </c>
      <c r="L7">
        <v>0</v>
      </c>
      <c r="M7">
        <v>0</v>
      </c>
      <c r="N7">
        <v>0</v>
      </c>
      <c r="O7">
        <v>0</v>
      </c>
      <c r="P7">
        <v>0</v>
      </c>
    </row>
    <row r="8" spans="1:16" x14ac:dyDescent="0.15">
      <c r="A8">
        <v>7</v>
      </c>
      <c r="B8" s="184" t="s">
        <v>197</v>
      </c>
      <c r="C8">
        <v>0</v>
      </c>
      <c r="D8">
        <v>0</v>
      </c>
      <c r="E8">
        <v>0</v>
      </c>
      <c r="F8">
        <v>0.8</v>
      </c>
      <c r="G8">
        <v>0</v>
      </c>
      <c r="H8">
        <v>0</v>
      </c>
      <c r="I8">
        <v>0</v>
      </c>
      <c r="J8">
        <v>0</v>
      </c>
      <c r="K8">
        <v>0</v>
      </c>
      <c r="L8">
        <v>0</v>
      </c>
      <c r="M8">
        <v>0</v>
      </c>
      <c r="N8">
        <v>0</v>
      </c>
      <c r="O8">
        <v>0</v>
      </c>
      <c r="P8">
        <v>0</v>
      </c>
    </row>
    <row r="9" spans="1:16" x14ac:dyDescent="0.15">
      <c r="A9">
        <v>8</v>
      </c>
      <c r="B9" s="184" t="s">
        <v>198</v>
      </c>
      <c r="C9">
        <v>0</v>
      </c>
      <c r="D9">
        <v>0.8</v>
      </c>
      <c r="E9">
        <v>0.8</v>
      </c>
      <c r="F9">
        <v>0.8</v>
      </c>
      <c r="G9">
        <v>0.8</v>
      </c>
      <c r="H9">
        <v>0</v>
      </c>
      <c r="I9">
        <v>0</v>
      </c>
      <c r="J9">
        <v>0</v>
      </c>
      <c r="K9">
        <v>0</v>
      </c>
      <c r="L9">
        <v>0</v>
      </c>
      <c r="M9">
        <v>0.8</v>
      </c>
      <c r="N9">
        <v>0</v>
      </c>
      <c r="O9">
        <v>0.8</v>
      </c>
      <c r="P9">
        <v>0.8</v>
      </c>
    </row>
    <row r="10" spans="1:16" x14ac:dyDescent="0.15">
      <c r="A10">
        <v>9</v>
      </c>
      <c r="B10" s="184" t="s">
        <v>199</v>
      </c>
      <c r="C10">
        <v>0</v>
      </c>
      <c r="D10">
        <v>0.8</v>
      </c>
      <c r="E10">
        <v>0.8</v>
      </c>
      <c r="F10">
        <v>0.8</v>
      </c>
      <c r="G10">
        <v>0.8</v>
      </c>
      <c r="H10">
        <v>0.8</v>
      </c>
      <c r="I10">
        <v>0</v>
      </c>
      <c r="J10">
        <v>0</v>
      </c>
      <c r="K10">
        <v>0</v>
      </c>
      <c r="L10">
        <v>0</v>
      </c>
      <c r="M10">
        <v>0.8</v>
      </c>
      <c r="N10">
        <v>0.8</v>
      </c>
      <c r="O10">
        <v>0.8</v>
      </c>
      <c r="P10">
        <v>0.8</v>
      </c>
    </row>
    <row r="11" spans="1:16" x14ac:dyDescent="0.15">
      <c r="A11">
        <v>10</v>
      </c>
      <c r="B11" s="184" t="s">
        <v>200</v>
      </c>
      <c r="C11">
        <v>0</v>
      </c>
      <c r="D11">
        <v>0.8</v>
      </c>
      <c r="E11">
        <v>0.8</v>
      </c>
      <c r="F11">
        <v>0.8</v>
      </c>
      <c r="G11">
        <v>0.8</v>
      </c>
      <c r="H11">
        <v>0</v>
      </c>
      <c r="I11">
        <v>0</v>
      </c>
      <c r="J11">
        <v>0</v>
      </c>
      <c r="K11">
        <v>0</v>
      </c>
      <c r="L11">
        <v>0</v>
      </c>
      <c r="M11">
        <v>0.8</v>
      </c>
      <c r="N11">
        <v>0.8</v>
      </c>
      <c r="O11">
        <v>0.8</v>
      </c>
      <c r="P11">
        <v>0.8</v>
      </c>
    </row>
    <row r="12" spans="1:16" x14ac:dyDescent="0.15">
      <c r="A12">
        <v>11</v>
      </c>
      <c r="B12" s="184" t="s">
        <v>201</v>
      </c>
      <c r="C12">
        <v>0</v>
      </c>
      <c r="D12">
        <v>0.8</v>
      </c>
      <c r="E12">
        <v>0.8</v>
      </c>
      <c r="F12">
        <v>0.8</v>
      </c>
      <c r="G12">
        <v>0.8</v>
      </c>
      <c r="H12">
        <v>0</v>
      </c>
      <c r="I12">
        <v>0</v>
      </c>
      <c r="J12">
        <v>0</v>
      </c>
      <c r="K12">
        <v>0</v>
      </c>
      <c r="L12">
        <v>0</v>
      </c>
      <c r="M12">
        <v>0.8</v>
      </c>
      <c r="N12">
        <v>0.8</v>
      </c>
      <c r="O12">
        <v>0</v>
      </c>
      <c r="P12">
        <v>0</v>
      </c>
    </row>
    <row r="13" spans="1:16" x14ac:dyDescent="0.15">
      <c r="A13">
        <v>12</v>
      </c>
      <c r="B13" s="184" t="s">
        <v>202</v>
      </c>
      <c r="C13">
        <v>0</v>
      </c>
      <c r="D13">
        <v>0</v>
      </c>
      <c r="E13">
        <v>0.8</v>
      </c>
      <c r="F13">
        <v>0.8</v>
      </c>
      <c r="G13">
        <v>0.8</v>
      </c>
      <c r="H13">
        <v>0.8</v>
      </c>
      <c r="I13">
        <v>0</v>
      </c>
      <c r="J13">
        <v>0</v>
      </c>
      <c r="K13">
        <v>0</v>
      </c>
      <c r="L13">
        <v>0.8</v>
      </c>
      <c r="M13">
        <v>0.8</v>
      </c>
      <c r="N13">
        <v>0.8</v>
      </c>
      <c r="O13">
        <v>0</v>
      </c>
      <c r="P13">
        <v>0.8</v>
      </c>
    </row>
    <row r="14" spans="1:16" x14ac:dyDescent="0.15">
      <c r="A14">
        <v>13</v>
      </c>
      <c r="B14" s="184" t="s">
        <v>203</v>
      </c>
      <c r="C14">
        <v>0</v>
      </c>
      <c r="D14">
        <v>0</v>
      </c>
      <c r="E14">
        <v>0</v>
      </c>
      <c r="F14">
        <v>0</v>
      </c>
      <c r="G14">
        <v>0.8</v>
      </c>
      <c r="H14">
        <v>0.8</v>
      </c>
      <c r="I14">
        <v>0</v>
      </c>
      <c r="J14">
        <v>0</v>
      </c>
      <c r="K14">
        <v>0</v>
      </c>
      <c r="L14">
        <v>0</v>
      </c>
      <c r="M14">
        <v>0.8</v>
      </c>
      <c r="N14">
        <v>0</v>
      </c>
      <c r="O14">
        <v>0</v>
      </c>
      <c r="P14">
        <v>0</v>
      </c>
    </row>
    <row r="15" spans="1:16" x14ac:dyDescent="0.15">
      <c r="A15">
        <v>14</v>
      </c>
      <c r="B15" s="184" t="s">
        <v>204</v>
      </c>
      <c r="C15">
        <v>0</v>
      </c>
      <c r="D15">
        <v>0.8</v>
      </c>
      <c r="E15">
        <v>0.8</v>
      </c>
      <c r="F15">
        <v>0</v>
      </c>
      <c r="G15">
        <v>0.8</v>
      </c>
      <c r="H15">
        <v>0</v>
      </c>
      <c r="I15">
        <v>0</v>
      </c>
      <c r="J15">
        <v>0</v>
      </c>
      <c r="K15">
        <v>0</v>
      </c>
      <c r="L15">
        <v>0</v>
      </c>
      <c r="M15">
        <v>0</v>
      </c>
      <c r="N15">
        <v>0</v>
      </c>
      <c r="O15">
        <v>0</v>
      </c>
      <c r="P15">
        <v>0</v>
      </c>
    </row>
    <row r="16" spans="1:16" x14ac:dyDescent="0.15">
      <c r="A16">
        <v>15</v>
      </c>
      <c r="B16" s="184" t="s">
        <v>205</v>
      </c>
      <c r="C16">
        <v>0</v>
      </c>
      <c r="D16">
        <v>0</v>
      </c>
      <c r="E16">
        <v>0.8</v>
      </c>
      <c r="F16">
        <v>0.8</v>
      </c>
      <c r="G16">
        <v>0.8</v>
      </c>
      <c r="H16">
        <v>0</v>
      </c>
      <c r="I16">
        <v>0</v>
      </c>
      <c r="J16">
        <v>0</v>
      </c>
      <c r="K16">
        <v>0</v>
      </c>
      <c r="L16">
        <v>0</v>
      </c>
      <c r="M16">
        <v>0</v>
      </c>
      <c r="N16">
        <v>0</v>
      </c>
      <c r="O16">
        <v>0</v>
      </c>
      <c r="P16">
        <v>0</v>
      </c>
    </row>
    <row r="17" spans="1:16" x14ac:dyDescent="0.15">
      <c r="A17">
        <v>16</v>
      </c>
      <c r="B17" s="184" t="s">
        <v>206</v>
      </c>
      <c r="C17">
        <v>0</v>
      </c>
      <c r="D17">
        <v>0.8</v>
      </c>
      <c r="E17">
        <v>0.8</v>
      </c>
      <c r="F17">
        <v>0.8</v>
      </c>
      <c r="G17">
        <v>0.8</v>
      </c>
      <c r="H17">
        <v>0</v>
      </c>
      <c r="I17">
        <v>0</v>
      </c>
      <c r="J17">
        <v>0</v>
      </c>
      <c r="K17">
        <v>0</v>
      </c>
      <c r="L17">
        <v>0.8</v>
      </c>
      <c r="M17">
        <v>0</v>
      </c>
      <c r="N17">
        <v>0.8</v>
      </c>
      <c r="O17">
        <v>0</v>
      </c>
      <c r="P17">
        <v>0</v>
      </c>
    </row>
    <row r="18" spans="1:16" x14ac:dyDescent="0.15">
      <c r="A18">
        <v>17</v>
      </c>
      <c r="B18" s="184" t="s">
        <v>207</v>
      </c>
      <c r="C18">
        <v>0</v>
      </c>
      <c r="D18">
        <v>0.8</v>
      </c>
      <c r="E18">
        <v>0</v>
      </c>
      <c r="F18">
        <v>0</v>
      </c>
      <c r="G18">
        <v>0</v>
      </c>
      <c r="H18">
        <v>0</v>
      </c>
      <c r="I18">
        <v>0</v>
      </c>
      <c r="J18">
        <v>0</v>
      </c>
      <c r="K18">
        <v>0</v>
      </c>
      <c r="L18">
        <v>0</v>
      </c>
      <c r="M18">
        <v>0.8</v>
      </c>
      <c r="N18">
        <v>0</v>
      </c>
      <c r="O18">
        <v>0</v>
      </c>
      <c r="P18">
        <v>0</v>
      </c>
    </row>
    <row r="19" spans="1:16" x14ac:dyDescent="0.15">
      <c r="A19">
        <v>18</v>
      </c>
      <c r="B19" s="184" t="s">
        <v>208</v>
      </c>
      <c r="C19">
        <v>0</v>
      </c>
      <c r="D19">
        <v>0.8</v>
      </c>
      <c r="E19">
        <v>0.8</v>
      </c>
      <c r="F19">
        <v>0.8</v>
      </c>
      <c r="G19">
        <v>0.8</v>
      </c>
      <c r="H19">
        <v>0</v>
      </c>
      <c r="I19">
        <v>0</v>
      </c>
      <c r="J19">
        <v>0</v>
      </c>
      <c r="K19">
        <v>0</v>
      </c>
      <c r="L19">
        <v>0</v>
      </c>
      <c r="M19">
        <v>0</v>
      </c>
      <c r="N19">
        <v>0.8</v>
      </c>
      <c r="O19">
        <v>0</v>
      </c>
      <c r="P19">
        <v>0</v>
      </c>
    </row>
    <row r="20" spans="1:16" x14ac:dyDescent="0.15">
      <c r="A20">
        <v>19</v>
      </c>
      <c r="B20" s="184" t="s">
        <v>209</v>
      </c>
      <c r="C20">
        <v>0</v>
      </c>
      <c r="D20">
        <v>0</v>
      </c>
      <c r="E20">
        <v>0</v>
      </c>
      <c r="F20">
        <v>0</v>
      </c>
      <c r="G20">
        <v>0</v>
      </c>
      <c r="H20">
        <v>0</v>
      </c>
      <c r="I20">
        <v>0</v>
      </c>
      <c r="J20">
        <v>0</v>
      </c>
      <c r="K20">
        <v>0</v>
      </c>
      <c r="L20">
        <v>0</v>
      </c>
      <c r="M20">
        <v>0</v>
      </c>
      <c r="N20">
        <v>0</v>
      </c>
      <c r="O20">
        <v>0</v>
      </c>
      <c r="P20">
        <v>0</v>
      </c>
    </row>
    <row r="21" spans="1:16" x14ac:dyDescent="0.15">
      <c r="A21">
        <v>20</v>
      </c>
      <c r="B21" s="184" t="s">
        <v>210</v>
      </c>
      <c r="C21">
        <v>0</v>
      </c>
      <c r="D21">
        <v>0</v>
      </c>
      <c r="E21">
        <v>0</v>
      </c>
      <c r="F21">
        <v>0.8</v>
      </c>
      <c r="G21">
        <v>0.8</v>
      </c>
      <c r="H21">
        <v>0</v>
      </c>
      <c r="I21">
        <v>0</v>
      </c>
      <c r="J21">
        <v>0</v>
      </c>
      <c r="K21">
        <v>0</v>
      </c>
      <c r="L21">
        <v>0</v>
      </c>
      <c r="M21">
        <v>0</v>
      </c>
      <c r="N21">
        <v>0</v>
      </c>
      <c r="O21">
        <v>0</v>
      </c>
      <c r="P21">
        <v>0</v>
      </c>
    </row>
    <row r="22" spans="1:16" x14ac:dyDescent="0.15">
      <c r="A22">
        <v>21</v>
      </c>
      <c r="B22" s="184" t="s">
        <v>211</v>
      </c>
      <c r="C22">
        <v>0</v>
      </c>
      <c r="D22">
        <v>0.8</v>
      </c>
      <c r="E22">
        <v>0</v>
      </c>
      <c r="F22">
        <v>0.8</v>
      </c>
      <c r="G22">
        <v>0.8</v>
      </c>
      <c r="H22">
        <v>0.8</v>
      </c>
      <c r="I22">
        <v>0</v>
      </c>
      <c r="J22">
        <v>0</v>
      </c>
      <c r="K22">
        <v>0</v>
      </c>
      <c r="L22">
        <v>0</v>
      </c>
      <c r="M22">
        <v>0.8</v>
      </c>
      <c r="N22">
        <v>0</v>
      </c>
      <c r="O22">
        <v>0</v>
      </c>
      <c r="P22">
        <v>0</v>
      </c>
    </row>
    <row r="23" spans="1:16" x14ac:dyDescent="0.15">
      <c r="A23">
        <v>22</v>
      </c>
      <c r="B23" s="184" t="s">
        <v>212</v>
      </c>
      <c r="C23">
        <v>0</v>
      </c>
      <c r="D23">
        <v>0</v>
      </c>
      <c r="E23">
        <v>0</v>
      </c>
      <c r="F23">
        <v>0</v>
      </c>
      <c r="G23">
        <v>0</v>
      </c>
      <c r="H23">
        <v>0</v>
      </c>
      <c r="I23">
        <v>0</v>
      </c>
      <c r="J23">
        <v>0</v>
      </c>
      <c r="K23">
        <v>0</v>
      </c>
      <c r="L23">
        <v>0</v>
      </c>
      <c r="M23">
        <v>0</v>
      </c>
      <c r="N23">
        <v>0</v>
      </c>
      <c r="O23">
        <v>0</v>
      </c>
      <c r="P23">
        <v>0</v>
      </c>
    </row>
    <row r="24" spans="1:16" x14ac:dyDescent="0.15">
      <c r="A24">
        <v>23</v>
      </c>
      <c r="B24" s="184" t="s">
        <v>213</v>
      </c>
      <c r="C24">
        <v>0</v>
      </c>
      <c r="D24">
        <v>0</v>
      </c>
      <c r="E24">
        <v>0</v>
      </c>
      <c r="F24">
        <v>0.8</v>
      </c>
      <c r="G24">
        <v>0</v>
      </c>
      <c r="H24">
        <v>0.8</v>
      </c>
      <c r="I24">
        <v>0</v>
      </c>
      <c r="J24">
        <v>0</v>
      </c>
      <c r="K24">
        <v>0</v>
      </c>
      <c r="L24">
        <v>0</v>
      </c>
      <c r="M24">
        <v>0</v>
      </c>
      <c r="N24">
        <v>0</v>
      </c>
      <c r="O24">
        <v>0</v>
      </c>
      <c r="P24">
        <v>0</v>
      </c>
    </row>
    <row r="25" spans="1:16" x14ac:dyDescent="0.15">
      <c r="A25">
        <v>24</v>
      </c>
      <c r="B25" s="184" t="s">
        <v>214</v>
      </c>
      <c r="C25">
        <v>0</v>
      </c>
      <c r="D25">
        <v>0</v>
      </c>
      <c r="E25">
        <v>0</v>
      </c>
      <c r="F25">
        <v>0</v>
      </c>
      <c r="G25">
        <v>0</v>
      </c>
      <c r="H25">
        <v>0</v>
      </c>
      <c r="I25">
        <v>0</v>
      </c>
      <c r="J25">
        <v>0</v>
      </c>
      <c r="K25">
        <v>0</v>
      </c>
      <c r="L25">
        <v>0</v>
      </c>
      <c r="M25">
        <v>0</v>
      </c>
      <c r="N25">
        <v>0</v>
      </c>
      <c r="O25">
        <v>0</v>
      </c>
      <c r="P25">
        <v>0</v>
      </c>
    </row>
    <row r="26" spans="1:16" x14ac:dyDescent="0.15">
      <c r="A26">
        <v>25</v>
      </c>
      <c r="B26" s="184" t="s">
        <v>215</v>
      </c>
      <c r="C26">
        <v>0</v>
      </c>
      <c r="D26">
        <v>0</v>
      </c>
      <c r="E26">
        <v>0.8</v>
      </c>
      <c r="F26">
        <v>0.8</v>
      </c>
      <c r="G26">
        <v>0.8</v>
      </c>
      <c r="H26">
        <v>0</v>
      </c>
      <c r="I26">
        <v>0</v>
      </c>
      <c r="J26">
        <v>0</v>
      </c>
      <c r="K26">
        <v>0</v>
      </c>
      <c r="L26">
        <v>0</v>
      </c>
      <c r="M26">
        <v>0</v>
      </c>
      <c r="N26">
        <v>0</v>
      </c>
      <c r="O26">
        <v>0</v>
      </c>
      <c r="P26">
        <v>0</v>
      </c>
    </row>
    <row r="27" spans="1:16" x14ac:dyDescent="0.15">
      <c r="A27">
        <v>26</v>
      </c>
      <c r="B27" s="184" t="s">
        <v>216</v>
      </c>
      <c r="C27">
        <v>0</v>
      </c>
      <c r="D27">
        <v>0.8</v>
      </c>
      <c r="E27">
        <v>0</v>
      </c>
      <c r="F27">
        <v>0</v>
      </c>
      <c r="G27">
        <v>0</v>
      </c>
      <c r="H27">
        <v>0</v>
      </c>
      <c r="I27">
        <v>0</v>
      </c>
      <c r="J27">
        <v>0</v>
      </c>
      <c r="K27">
        <v>0</v>
      </c>
      <c r="L27">
        <v>0</v>
      </c>
      <c r="M27">
        <v>0</v>
      </c>
      <c r="N27">
        <v>0</v>
      </c>
      <c r="O27">
        <v>0</v>
      </c>
      <c r="P27">
        <v>0</v>
      </c>
    </row>
    <row r="28" spans="1:16" x14ac:dyDescent="0.15">
      <c r="A28">
        <v>27</v>
      </c>
      <c r="B28" s="184" t="s">
        <v>217</v>
      </c>
      <c r="C28">
        <v>0</v>
      </c>
      <c r="D28">
        <v>0</v>
      </c>
      <c r="E28">
        <v>0</v>
      </c>
      <c r="F28">
        <v>0</v>
      </c>
      <c r="G28">
        <v>0</v>
      </c>
      <c r="H28">
        <v>0</v>
      </c>
      <c r="I28">
        <v>0</v>
      </c>
      <c r="J28">
        <v>0</v>
      </c>
      <c r="K28">
        <v>0</v>
      </c>
      <c r="L28">
        <v>0</v>
      </c>
      <c r="M28">
        <v>0</v>
      </c>
      <c r="N28">
        <v>0</v>
      </c>
      <c r="O28">
        <v>0</v>
      </c>
      <c r="P28">
        <v>0</v>
      </c>
    </row>
    <row r="29" spans="1:16" x14ac:dyDescent="0.15">
      <c r="A29">
        <v>28</v>
      </c>
      <c r="B29" s="184" t="s">
        <v>218</v>
      </c>
      <c r="C29">
        <v>0</v>
      </c>
      <c r="D29">
        <v>0</v>
      </c>
      <c r="E29">
        <v>0</v>
      </c>
      <c r="F29">
        <v>0</v>
      </c>
      <c r="G29">
        <v>0</v>
      </c>
      <c r="H29">
        <v>0</v>
      </c>
      <c r="I29">
        <v>0</v>
      </c>
      <c r="J29">
        <v>0</v>
      </c>
      <c r="K29">
        <v>0</v>
      </c>
      <c r="L29">
        <v>0</v>
      </c>
      <c r="M29">
        <v>0</v>
      </c>
      <c r="N29">
        <v>0</v>
      </c>
      <c r="O29">
        <v>0</v>
      </c>
      <c r="P29">
        <v>0</v>
      </c>
    </row>
    <row r="30" spans="1:16" x14ac:dyDescent="0.15">
      <c r="A30">
        <v>29</v>
      </c>
      <c r="B30" s="184" t="s">
        <v>219</v>
      </c>
      <c r="C30">
        <v>0</v>
      </c>
      <c r="D30">
        <v>0</v>
      </c>
      <c r="E30">
        <v>0</v>
      </c>
      <c r="F30">
        <v>0.8</v>
      </c>
      <c r="G30">
        <v>0</v>
      </c>
      <c r="H30">
        <v>0</v>
      </c>
      <c r="I30">
        <v>0</v>
      </c>
      <c r="J30">
        <v>0</v>
      </c>
      <c r="K30">
        <v>0</v>
      </c>
      <c r="L30">
        <v>0</v>
      </c>
      <c r="M30">
        <v>0</v>
      </c>
      <c r="N30">
        <v>0</v>
      </c>
      <c r="O30">
        <v>0</v>
      </c>
      <c r="P30">
        <v>0</v>
      </c>
    </row>
    <row r="31" spans="1:16" x14ac:dyDescent="0.15">
      <c r="A31">
        <v>30</v>
      </c>
      <c r="B31" s="184" t="s">
        <v>220</v>
      </c>
      <c r="C31">
        <v>0</v>
      </c>
      <c r="D31">
        <v>0</v>
      </c>
      <c r="E31">
        <v>0.8</v>
      </c>
      <c r="F31">
        <v>0</v>
      </c>
      <c r="G31">
        <v>0.8</v>
      </c>
      <c r="H31">
        <v>0</v>
      </c>
      <c r="I31">
        <v>0</v>
      </c>
      <c r="J31">
        <v>0</v>
      </c>
      <c r="K31">
        <v>0</v>
      </c>
      <c r="L31">
        <v>0</v>
      </c>
      <c r="M31">
        <v>0</v>
      </c>
      <c r="N31">
        <v>0</v>
      </c>
      <c r="O31">
        <v>0</v>
      </c>
      <c r="P31">
        <v>0</v>
      </c>
    </row>
    <row r="32" spans="1:16" x14ac:dyDescent="0.15">
      <c r="A32">
        <v>31</v>
      </c>
      <c r="B32" s="184" t="s">
        <v>221</v>
      </c>
      <c r="C32">
        <v>0</v>
      </c>
      <c r="D32">
        <v>0</v>
      </c>
      <c r="E32">
        <v>0</v>
      </c>
      <c r="F32">
        <v>0</v>
      </c>
      <c r="G32">
        <v>0</v>
      </c>
      <c r="H32">
        <v>0</v>
      </c>
      <c r="I32">
        <v>0</v>
      </c>
      <c r="J32">
        <v>0</v>
      </c>
      <c r="K32">
        <v>0</v>
      </c>
      <c r="L32">
        <v>0</v>
      </c>
      <c r="M32">
        <v>0</v>
      </c>
      <c r="N32">
        <v>0</v>
      </c>
      <c r="O32">
        <v>0</v>
      </c>
      <c r="P32">
        <v>0</v>
      </c>
    </row>
    <row r="33" spans="1:16" x14ac:dyDescent="0.15">
      <c r="A33">
        <v>32</v>
      </c>
      <c r="B33" s="184" t="s">
        <v>222</v>
      </c>
      <c r="C33">
        <v>0</v>
      </c>
      <c r="D33">
        <v>0</v>
      </c>
      <c r="E33">
        <v>0</v>
      </c>
      <c r="F33">
        <v>0</v>
      </c>
      <c r="G33">
        <v>0</v>
      </c>
      <c r="H33">
        <v>0</v>
      </c>
      <c r="I33">
        <v>0</v>
      </c>
      <c r="J33">
        <v>0</v>
      </c>
      <c r="K33">
        <v>0</v>
      </c>
      <c r="L33">
        <v>0</v>
      </c>
      <c r="M33">
        <v>0</v>
      </c>
      <c r="N33">
        <v>0</v>
      </c>
      <c r="O33">
        <v>0</v>
      </c>
      <c r="P33">
        <v>0</v>
      </c>
    </row>
    <row r="34" spans="1:16" x14ac:dyDescent="0.15">
      <c r="A34">
        <v>33</v>
      </c>
      <c r="B34" s="184" t="s">
        <v>223</v>
      </c>
      <c r="C34">
        <v>0</v>
      </c>
      <c r="D34">
        <v>0.8</v>
      </c>
      <c r="E34">
        <v>0.8</v>
      </c>
      <c r="F34">
        <v>0.8</v>
      </c>
      <c r="G34">
        <v>0.8</v>
      </c>
      <c r="H34">
        <v>0</v>
      </c>
      <c r="I34">
        <v>0</v>
      </c>
      <c r="J34">
        <v>0</v>
      </c>
      <c r="K34">
        <v>0</v>
      </c>
      <c r="L34">
        <v>0</v>
      </c>
      <c r="M34">
        <v>0.8</v>
      </c>
      <c r="N34">
        <v>0</v>
      </c>
      <c r="O34">
        <v>0</v>
      </c>
      <c r="P34">
        <v>0.8</v>
      </c>
    </row>
    <row r="35" spans="1:16" x14ac:dyDescent="0.15">
      <c r="A35">
        <v>34</v>
      </c>
      <c r="B35" s="184" t="s">
        <v>224</v>
      </c>
      <c r="C35">
        <v>0</v>
      </c>
      <c r="D35">
        <v>0</v>
      </c>
      <c r="E35">
        <v>0</v>
      </c>
      <c r="F35">
        <v>0</v>
      </c>
      <c r="G35">
        <v>0</v>
      </c>
      <c r="H35">
        <v>0</v>
      </c>
      <c r="I35">
        <v>0</v>
      </c>
      <c r="J35">
        <v>0</v>
      </c>
      <c r="K35">
        <v>0</v>
      </c>
      <c r="L35">
        <v>0</v>
      </c>
      <c r="M35">
        <v>0</v>
      </c>
      <c r="N35">
        <v>0</v>
      </c>
      <c r="O35">
        <v>0</v>
      </c>
      <c r="P35">
        <v>0</v>
      </c>
    </row>
    <row r="36" spans="1:16" x14ac:dyDescent="0.15">
      <c r="A36">
        <v>35</v>
      </c>
      <c r="B36" s="184" t="s">
        <v>225</v>
      </c>
      <c r="C36">
        <v>0</v>
      </c>
      <c r="D36">
        <v>0</v>
      </c>
      <c r="E36">
        <v>0</v>
      </c>
      <c r="F36">
        <v>0</v>
      </c>
      <c r="G36">
        <v>0</v>
      </c>
      <c r="H36">
        <v>0</v>
      </c>
      <c r="I36">
        <v>0</v>
      </c>
      <c r="J36">
        <v>0</v>
      </c>
      <c r="K36">
        <v>0</v>
      </c>
      <c r="L36">
        <v>0</v>
      </c>
      <c r="M36">
        <v>0</v>
      </c>
      <c r="N36">
        <v>0</v>
      </c>
      <c r="O36">
        <v>0</v>
      </c>
      <c r="P36">
        <v>0</v>
      </c>
    </row>
    <row r="37" spans="1:16" x14ac:dyDescent="0.15">
      <c r="A37">
        <v>36</v>
      </c>
      <c r="B37" s="184" t="s">
        <v>226</v>
      </c>
      <c r="C37">
        <v>0</v>
      </c>
      <c r="D37">
        <v>0</v>
      </c>
      <c r="E37">
        <v>0</v>
      </c>
      <c r="F37">
        <v>0</v>
      </c>
      <c r="G37">
        <v>0</v>
      </c>
      <c r="H37">
        <v>0</v>
      </c>
      <c r="I37">
        <v>0</v>
      </c>
      <c r="J37">
        <v>0</v>
      </c>
      <c r="K37">
        <v>0</v>
      </c>
      <c r="L37">
        <v>0</v>
      </c>
      <c r="M37">
        <v>0</v>
      </c>
      <c r="N37">
        <v>0</v>
      </c>
      <c r="O37">
        <v>0</v>
      </c>
      <c r="P37">
        <v>0</v>
      </c>
    </row>
    <row r="38" spans="1:16" x14ac:dyDescent="0.15">
      <c r="A38">
        <v>37</v>
      </c>
      <c r="B38" s="184" t="s">
        <v>227</v>
      </c>
      <c r="C38">
        <v>0</v>
      </c>
      <c r="D38">
        <v>0</v>
      </c>
      <c r="E38">
        <v>0</v>
      </c>
      <c r="F38">
        <v>0</v>
      </c>
      <c r="G38">
        <v>0</v>
      </c>
      <c r="H38">
        <v>0</v>
      </c>
      <c r="I38">
        <v>0</v>
      </c>
      <c r="J38">
        <v>0</v>
      </c>
      <c r="K38">
        <v>0</v>
      </c>
      <c r="L38">
        <v>0</v>
      </c>
      <c r="M38">
        <v>0</v>
      </c>
      <c r="N38">
        <v>0</v>
      </c>
      <c r="O38">
        <v>0</v>
      </c>
      <c r="P38">
        <v>0</v>
      </c>
    </row>
    <row r="39" spans="1:16" x14ac:dyDescent="0.15">
      <c r="A39">
        <v>38</v>
      </c>
      <c r="B39" s="184" t="s">
        <v>228</v>
      </c>
      <c r="C39">
        <v>0</v>
      </c>
      <c r="D39">
        <v>0</v>
      </c>
      <c r="E39">
        <v>0</v>
      </c>
      <c r="F39">
        <v>0</v>
      </c>
      <c r="G39">
        <v>0</v>
      </c>
      <c r="H39">
        <v>0</v>
      </c>
      <c r="I39">
        <v>0</v>
      </c>
      <c r="J39">
        <v>0</v>
      </c>
      <c r="K39">
        <v>0</v>
      </c>
      <c r="L39">
        <v>0</v>
      </c>
      <c r="M39">
        <v>0</v>
      </c>
      <c r="N39">
        <v>0</v>
      </c>
      <c r="O39">
        <v>0</v>
      </c>
      <c r="P39">
        <v>0</v>
      </c>
    </row>
    <row r="40" spans="1:16" x14ac:dyDescent="0.15">
      <c r="A40">
        <v>39</v>
      </c>
      <c r="B40" s="184" t="s">
        <v>229</v>
      </c>
      <c r="C40">
        <v>0</v>
      </c>
      <c r="D40">
        <v>0</v>
      </c>
      <c r="E40">
        <v>0</v>
      </c>
      <c r="F40">
        <v>0</v>
      </c>
      <c r="G40">
        <v>0</v>
      </c>
      <c r="H40">
        <v>0</v>
      </c>
      <c r="I40">
        <v>0</v>
      </c>
      <c r="J40">
        <v>0</v>
      </c>
      <c r="K40">
        <v>0</v>
      </c>
      <c r="L40">
        <v>0</v>
      </c>
      <c r="M40">
        <v>0</v>
      </c>
      <c r="N40">
        <v>0</v>
      </c>
      <c r="O40">
        <v>0</v>
      </c>
      <c r="P40">
        <v>0</v>
      </c>
    </row>
    <row r="41" spans="1:16" x14ac:dyDescent="0.15">
      <c r="A41">
        <v>40</v>
      </c>
      <c r="B41" s="184" t="s">
        <v>230</v>
      </c>
      <c r="C41">
        <v>0</v>
      </c>
      <c r="D41">
        <v>0</v>
      </c>
      <c r="E41">
        <v>0</v>
      </c>
      <c r="F41">
        <v>0</v>
      </c>
      <c r="G41">
        <v>0</v>
      </c>
      <c r="H41">
        <v>0</v>
      </c>
      <c r="I41">
        <v>0</v>
      </c>
      <c r="J41">
        <v>0</v>
      </c>
      <c r="K41">
        <v>0</v>
      </c>
      <c r="L41">
        <v>0</v>
      </c>
      <c r="M41">
        <v>0</v>
      </c>
      <c r="N41">
        <v>0</v>
      </c>
      <c r="O41">
        <v>0</v>
      </c>
      <c r="P41">
        <v>0</v>
      </c>
    </row>
    <row r="42" spans="1:16" x14ac:dyDescent="0.15">
      <c r="A42">
        <v>41</v>
      </c>
      <c r="B42" s="184" t="s">
        <v>231</v>
      </c>
      <c r="C42">
        <v>0</v>
      </c>
      <c r="D42">
        <v>0</v>
      </c>
      <c r="E42">
        <v>0</v>
      </c>
      <c r="F42">
        <v>0</v>
      </c>
      <c r="G42">
        <v>0</v>
      </c>
      <c r="H42">
        <v>0</v>
      </c>
      <c r="I42">
        <v>0</v>
      </c>
      <c r="J42">
        <v>0</v>
      </c>
      <c r="K42">
        <v>0</v>
      </c>
      <c r="L42">
        <v>0</v>
      </c>
      <c r="M42">
        <v>0</v>
      </c>
      <c r="N42">
        <v>0</v>
      </c>
      <c r="O42">
        <v>0</v>
      </c>
      <c r="P42">
        <v>0</v>
      </c>
    </row>
    <row r="43" spans="1:16" x14ac:dyDescent="0.15">
      <c r="A43">
        <v>42</v>
      </c>
      <c r="B43" s="184" t="s">
        <v>232</v>
      </c>
      <c r="C43">
        <v>0</v>
      </c>
      <c r="D43">
        <v>0</v>
      </c>
      <c r="E43">
        <v>0</v>
      </c>
      <c r="F43">
        <v>0</v>
      </c>
      <c r="G43">
        <v>0</v>
      </c>
      <c r="H43">
        <v>0</v>
      </c>
      <c r="I43">
        <v>0</v>
      </c>
      <c r="J43">
        <v>0</v>
      </c>
      <c r="K43">
        <v>0</v>
      </c>
      <c r="L43">
        <v>0</v>
      </c>
      <c r="M43">
        <v>0</v>
      </c>
      <c r="N43">
        <v>0</v>
      </c>
      <c r="O43">
        <v>0</v>
      </c>
      <c r="P43">
        <v>0</v>
      </c>
    </row>
    <row r="44" spans="1:16" x14ac:dyDescent="0.15">
      <c r="A44">
        <v>43</v>
      </c>
      <c r="B44" s="184" t="s">
        <v>233</v>
      </c>
      <c r="C44">
        <v>0</v>
      </c>
      <c r="D44">
        <v>0</v>
      </c>
      <c r="E44">
        <v>0</v>
      </c>
      <c r="F44">
        <v>0</v>
      </c>
      <c r="G44">
        <v>0</v>
      </c>
      <c r="H44">
        <v>0</v>
      </c>
      <c r="I44">
        <v>0</v>
      </c>
      <c r="J44">
        <v>0</v>
      </c>
      <c r="K44">
        <v>0</v>
      </c>
      <c r="L44">
        <v>0</v>
      </c>
      <c r="M44">
        <v>0</v>
      </c>
      <c r="N44">
        <v>0</v>
      </c>
      <c r="O44">
        <v>0</v>
      </c>
      <c r="P44">
        <v>0</v>
      </c>
    </row>
    <row r="45" spans="1:16" x14ac:dyDescent="0.15">
      <c r="A45">
        <v>44</v>
      </c>
      <c r="B45" s="184" t="s">
        <v>234</v>
      </c>
      <c r="C45">
        <v>0</v>
      </c>
      <c r="D45">
        <v>0</v>
      </c>
      <c r="E45">
        <v>0</v>
      </c>
      <c r="F45">
        <v>0</v>
      </c>
      <c r="G45">
        <v>0</v>
      </c>
      <c r="H45">
        <v>0</v>
      </c>
      <c r="I45">
        <v>0</v>
      </c>
      <c r="J45">
        <v>0</v>
      </c>
      <c r="K45">
        <v>0</v>
      </c>
      <c r="L45">
        <v>0</v>
      </c>
      <c r="M45">
        <v>0</v>
      </c>
      <c r="N45">
        <v>0</v>
      </c>
      <c r="O45">
        <v>0</v>
      </c>
      <c r="P45">
        <v>0</v>
      </c>
    </row>
    <row r="46" spans="1:16" x14ac:dyDescent="0.15">
      <c r="A46">
        <v>45</v>
      </c>
      <c r="B46" s="184" t="s">
        <v>235</v>
      </c>
      <c r="C46">
        <v>0</v>
      </c>
      <c r="D46">
        <v>0</v>
      </c>
      <c r="E46">
        <v>0</v>
      </c>
      <c r="F46">
        <v>0</v>
      </c>
      <c r="G46">
        <v>0</v>
      </c>
      <c r="H46">
        <v>0</v>
      </c>
      <c r="I46">
        <v>0.8</v>
      </c>
      <c r="J46">
        <v>0</v>
      </c>
      <c r="K46">
        <v>0</v>
      </c>
      <c r="L46">
        <v>0</v>
      </c>
      <c r="M46">
        <v>0</v>
      </c>
      <c r="N46">
        <v>0</v>
      </c>
      <c r="O46">
        <v>0</v>
      </c>
      <c r="P46">
        <v>0.8</v>
      </c>
    </row>
    <row r="47" spans="1:16" x14ac:dyDescent="0.15">
      <c r="A47">
        <v>46</v>
      </c>
      <c r="B47" s="184" t="s">
        <v>236</v>
      </c>
      <c r="C47">
        <v>0</v>
      </c>
      <c r="D47">
        <v>0.8</v>
      </c>
      <c r="E47">
        <v>0</v>
      </c>
      <c r="F47">
        <v>0</v>
      </c>
      <c r="G47">
        <v>0</v>
      </c>
      <c r="H47">
        <v>0</v>
      </c>
      <c r="I47">
        <v>0</v>
      </c>
      <c r="J47">
        <v>0</v>
      </c>
      <c r="K47">
        <v>0</v>
      </c>
      <c r="L47">
        <v>0.8</v>
      </c>
      <c r="M47">
        <v>0</v>
      </c>
      <c r="N47">
        <v>0</v>
      </c>
      <c r="O47">
        <v>0</v>
      </c>
      <c r="P47">
        <v>0</v>
      </c>
    </row>
    <row r="48" spans="1:16" x14ac:dyDescent="0.15">
      <c r="A48">
        <v>47</v>
      </c>
      <c r="B48" s="184" t="s">
        <v>237</v>
      </c>
      <c r="C48">
        <v>0</v>
      </c>
      <c r="D48">
        <v>0</v>
      </c>
      <c r="E48">
        <v>0</v>
      </c>
      <c r="F48">
        <v>0</v>
      </c>
      <c r="G48">
        <v>0</v>
      </c>
      <c r="H48">
        <v>0</v>
      </c>
      <c r="I48">
        <v>0</v>
      </c>
      <c r="J48">
        <v>0</v>
      </c>
      <c r="K48">
        <v>0</v>
      </c>
      <c r="L48">
        <v>0</v>
      </c>
      <c r="M48">
        <v>0</v>
      </c>
      <c r="N48">
        <v>0</v>
      </c>
      <c r="O48">
        <v>0</v>
      </c>
      <c r="P48">
        <v>0</v>
      </c>
    </row>
    <row r="49" spans="1:16" x14ac:dyDescent="0.15">
      <c r="A49">
        <v>48</v>
      </c>
      <c r="B49" s="184" t="s">
        <v>238</v>
      </c>
      <c r="C49">
        <v>0.8</v>
      </c>
      <c r="D49">
        <v>0</v>
      </c>
      <c r="E49">
        <v>0</v>
      </c>
      <c r="F49">
        <v>0</v>
      </c>
      <c r="G49">
        <v>0</v>
      </c>
      <c r="H49">
        <v>0</v>
      </c>
      <c r="I49">
        <v>0.8</v>
      </c>
      <c r="J49">
        <v>0</v>
      </c>
      <c r="K49">
        <v>0</v>
      </c>
      <c r="L49">
        <v>0</v>
      </c>
      <c r="M49">
        <v>0</v>
      </c>
      <c r="N49">
        <v>0</v>
      </c>
      <c r="O49">
        <v>0.8</v>
      </c>
      <c r="P49">
        <v>0</v>
      </c>
    </row>
    <row r="50" spans="1:16" x14ac:dyDescent="0.15">
      <c r="A50">
        <v>49</v>
      </c>
      <c r="B50" s="184" t="s">
        <v>239</v>
      </c>
      <c r="C50">
        <v>0</v>
      </c>
      <c r="D50">
        <v>0</v>
      </c>
      <c r="E50">
        <v>0</v>
      </c>
      <c r="F50">
        <v>0</v>
      </c>
      <c r="G50">
        <v>0</v>
      </c>
      <c r="H50">
        <v>0</v>
      </c>
      <c r="I50">
        <v>0</v>
      </c>
      <c r="J50">
        <v>0</v>
      </c>
      <c r="K50">
        <v>0</v>
      </c>
      <c r="L50">
        <v>0</v>
      </c>
      <c r="M50">
        <v>0</v>
      </c>
      <c r="N50">
        <v>0</v>
      </c>
      <c r="O50">
        <v>0</v>
      </c>
      <c r="P50">
        <v>0</v>
      </c>
    </row>
    <row r="51" spans="1:16" x14ac:dyDescent="0.15">
      <c r="A51">
        <v>50</v>
      </c>
      <c r="B51" s="184" t="s">
        <v>240</v>
      </c>
      <c r="C51">
        <v>0</v>
      </c>
      <c r="D51">
        <v>0</v>
      </c>
      <c r="E51">
        <v>0</v>
      </c>
      <c r="F51">
        <v>0</v>
      </c>
      <c r="G51">
        <v>0</v>
      </c>
      <c r="H51">
        <v>0</v>
      </c>
      <c r="I51">
        <v>0</v>
      </c>
      <c r="J51">
        <v>0</v>
      </c>
      <c r="K51">
        <v>0</v>
      </c>
      <c r="L51">
        <v>0</v>
      </c>
      <c r="M51">
        <v>0</v>
      </c>
      <c r="N51">
        <v>0</v>
      </c>
      <c r="O51">
        <v>0</v>
      </c>
      <c r="P51">
        <v>0</v>
      </c>
    </row>
    <row r="52" spans="1:16" x14ac:dyDescent="0.15">
      <c r="A52">
        <v>51</v>
      </c>
      <c r="B52" s="184" t="s">
        <v>241</v>
      </c>
      <c r="C52">
        <v>0.8</v>
      </c>
      <c r="D52">
        <v>0</v>
      </c>
      <c r="E52">
        <v>0</v>
      </c>
      <c r="F52">
        <v>0</v>
      </c>
      <c r="G52">
        <v>0</v>
      </c>
      <c r="H52">
        <v>0</v>
      </c>
      <c r="I52">
        <v>0</v>
      </c>
      <c r="J52">
        <v>0</v>
      </c>
      <c r="K52">
        <v>0</v>
      </c>
      <c r="L52">
        <v>0</v>
      </c>
      <c r="M52">
        <v>0</v>
      </c>
      <c r="N52">
        <v>0</v>
      </c>
      <c r="O52">
        <v>0</v>
      </c>
      <c r="P52">
        <v>0</v>
      </c>
    </row>
    <row r="53" spans="1:16" x14ac:dyDescent="0.15">
      <c r="A53">
        <v>52</v>
      </c>
      <c r="B53" s="184" t="s">
        <v>242</v>
      </c>
      <c r="C53">
        <v>0.8</v>
      </c>
      <c r="D53">
        <v>0</v>
      </c>
      <c r="E53">
        <v>0</v>
      </c>
      <c r="F53">
        <v>0</v>
      </c>
      <c r="G53">
        <v>0</v>
      </c>
      <c r="H53">
        <v>0</v>
      </c>
      <c r="I53">
        <v>0</v>
      </c>
      <c r="J53">
        <v>0</v>
      </c>
      <c r="K53">
        <v>0.8</v>
      </c>
      <c r="L53">
        <v>0</v>
      </c>
      <c r="M53">
        <v>0</v>
      </c>
      <c r="N53">
        <v>0</v>
      </c>
      <c r="O53">
        <v>0.8</v>
      </c>
      <c r="P53">
        <v>0</v>
      </c>
    </row>
    <row r="54" spans="1:16" x14ac:dyDescent="0.15">
      <c r="A54">
        <v>53</v>
      </c>
      <c r="B54" s="184" t="s">
        <v>243</v>
      </c>
      <c r="C54">
        <v>0</v>
      </c>
      <c r="D54">
        <v>0</v>
      </c>
      <c r="E54">
        <v>0</v>
      </c>
      <c r="F54">
        <v>0</v>
      </c>
      <c r="G54">
        <v>0</v>
      </c>
      <c r="H54">
        <v>0</v>
      </c>
      <c r="I54">
        <v>0</v>
      </c>
      <c r="J54">
        <v>0</v>
      </c>
      <c r="K54">
        <v>0</v>
      </c>
      <c r="L54">
        <v>0</v>
      </c>
      <c r="M54">
        <v>0</v>
      </c>
      <c r="N54">
        <v>0</v>
      </c>
      <c r="O54">
        <v>0</v>
      </c>
      <c r="P54">
        <v>0</v>
      </c>
    </row>
    <row r="55" spans="1:16" x14ac:dyDescent="0.15">
      <c r="A55">
        <v>54</v>
      </c>
      <c r="B55" s="184" t="s">
        <v>244</v>
      </c>
      <c r="C55">
        <v>0</v>
      </c>
      <c r="D55">
        <v>0</v>
      </c>
      <c r="E55">
        <v>0</v>
      </c>
      <c r="F55">
        <v>0</v>
      </c>
      <c r="G55">
        <v>0</v>
      </c>
      <c r="H55">
        <v>0</v>
      </c>
      <c r="I55">
        <v>0</v>
      </c>
      <c r="J55">
        <v>0</v>
      </c>
      <c r="K55">
        <v>0</v>
      </c>
      <c r="L55">
        <v>0</v>
      </c>
      <c r="M55">
        <v>0</v>
      </c>
      <c r="N55">
        <v>0</v>
      </c>
      <c r="O55">
        <v>0</v>
      </c>
      <c r="P55">
        <v>0</v>
      </c>
    </row>
    <row r="56" spans="1:16" x14ac:dyDescent="0.15">
      <c r="A56">
        <v>55</v>
      </c>
      <c r="B56" s="184" t="s">
        <v>245</v>
      </c>
      <c r="C56">
        <v>0</v>
      </c>
      <c r="D56">
        <v>0</v>
      </c>
      <c r="E56">
        <v>0</v>
      </c>
      <c r="F56">
        <v>0</v>
      </c>
      <c r="G56">
        <v>0</v>
      </c>
      <c r="H56">
        <v>0</v>
      </c>
      <c r="I56">
        <v>0</v>
      </c>
      <c r="J56">
        <v>0</v>
      </c>
      <c r="K56">
        <v>0</v>
      </c>
      <c r="L56">
        <v>0</v>
      </c>
      <c r="M56">
        <v>0</v>
      </c>
      <c r="N56">
        <v>0</v>
      </c>
      <c r="O56">
        <v>0</v>
      </c>
      <c r="P56">
        <v>0</v>
      </c>
    </row>
    <row r="57" spans="1:16" x14ac:dyDescent="0.15">
      <c r="A57">
        <v>56</v>
      </c>
      <c r="B57" s="184" t="s">
        <v>246</v>
      </c>
      <c r="C57">
        <v>0</v>
      </c>
      <c r="D57">
        <v>0</v>
      </c>
      <c r="E57">
        <v>0</v>
      </c>
      <c r="F57">
        <v>0.8</v>
      </c>
      <c r="G57">
        <v>0</v>
      </c>
      <c r="H57">
        <v>0</v>
      </c>
      <c r="I57">
        <v>0</v>
      </c>
      <c r="J57">
        <v>0</v>
      </c>
      <c r="K57">
        <v>0</v>
      </c>
      <c r="L57">
        <v>0</v>
      </c>
      <c r="M57">
        <v>0</v>
      </c>
      <c r="N57">
        <v>0</v>
      </c>
      <c r="O57">
        <v>0</v>
      </c>
      <c r="P57">
        <v>0</v>
      </c>
    </row>
    <row r="58" spans="1:16" x14ac:dyDescent="0.15">
      <c r="A58">
        <v>57</v>
      </c>
      <c r="B58" s="184" t="s">
        <v>247</v>
      </c>
      <c r="C58">
        <v>0</v>
      </c>
      <c r="D58">
        <v>0</v>
      </c>
      <c r="E58">
        <v>0</v>
      </c>
      <c r="F58">
        <v>0</v>
      </c>
      <c r="G58">
        <v>0</v>
      </c>
      <c r="H58">
        <v>0</v>
      </c>
      <c r="I58">
        <v>0</v>
      </c>
      <c r="J58">
        <v>0.8</v>
      </c>
      <c r="K58">
        <v>0</v>
      </c>
      <c r="L58">
        <v>0</v>
      </c>
      <c r="M58">
        <v>0</v>
      </c>
      <c r="N58">
        <v>0</v>
      </c>
      <c r="O58">
        <v>0</v>
      </c>
      <c r="P58">
        <v>0</v>
      </c>
    </row>
    <row r="59" spans="1:16" x14ac:dyDescent="0.15">
      <c r="A59">
        <v>58</v>
      </c>
      <c r="B59" s="184" t="s">
        <v>248</v>
      </c>
      <c r="C59">
        <v>0</v>
      </c>
      <c r="D59">
        <v>0</v>
      </c>
      <c r="E59">
        <v>0</v>
      </c>
      <c r="F59">
        <v>0</v>
      </c>
      <c r="G59">
        <v>0</v>
      </c>
      <c r="H59">
        <v>0</v>
      </c>
      <c r="I59">
        <v>0</v>
      </c>
      <c r="J59">
        <v>0</v>
      </c>
      <c r="K59">
        <v>0</v>
      </c>
      <c r="L59">
        <v>0</v>
      </c>
      <c r="M59">
        <v>0</v>
      </c>
      <c r="N59">
        <v>0</v>
      </c>
      <c r="O59">
        <v>0</v>
      </c>
      <c r="P59">
        <v>0</v>
      </c>
    </row>
    <row r="60" spans="1:16" x14ac:dyDescent="0.15">
      <c r="A60">
        <v>59</v>
      </c>
      <c r="B60" s="184" t="s">
        <v>249</v>
      </c>
      <c r="C60">
        <v>0</v>
      </c>
      <c r="D60">
        <v>0</v>
      </c>
      <c r="E60">
        <v>0</v>
      </c>
      <c r="F60">
        <v>0</v>
      </c>
      <c r="G60">
        <v>0</v>
      </c>
      <c r="H60">
        <v>0</v>
      </c>
      <c r="I60">
        <v>0</v>
      </c>
      <c r="J60">
        <v>0</v>
      </c>
      <c r="K60">
        <v>0</v>
      </c>
      <c r="L60">
        <v>0</v>
      </c>
      <c r="M60">
        <v>0</v>
      </c>
      <c r="N60">
        <v>0</v>
      </c>
      <c r="O60">
        <v>0</v>
      </c>
      <c r="P60">
        <v>0</v>
      </c>
    </row>
    <row r="61" spans="1:16" x14ac:dyDescent="0.15">
      <c r="A61">
        <v>60</v>
      </c>
      <c r="B61" s="184" t="s">
        <v>250</v>
      </c>
      <c r="C61">
        <v>0</v>
      </c>
      <c r="D61">
        <v>0</v>
      </c>
      <c r="E61">
        <v>0</v>
      </c>
      <c r="F61">
        <v>0</v>
      </c>
      <c r="G61">
        <v>0</v>
      </c>
      <c r="H61">
        <v>0</v>
      </c>
      <c r="I61">
        <v>0</v>
      </c>
      <c r="J61">
        <v>0</v>
      </c>
      <c r="K61">
        <v>0</v>
      </c>
      <c r="L61">
        <v>0</v>
      </c>
      <c r="M61">
        <v>0</v>
      </c>
      <c r="N61">
        <v>0</v>
      </c>
      <c r="O61">
        <v>0</v>
      </c>
      <c r="P61">
        <v>0</v>
      </c>
    </row>
    <row r="62" spans="1:16" x14ac:dyDescent="0.15">
      <c r="A62">
        <v>61</v>
      </c>
      <c r="B62" s="184" t="s">
        <v>251</v>
      </c>
      <c r="C62">
        <v>0</v>
      </c>
      <c r="D62">
        <v>0</v>
      </c>
      <c r="E62">
        <v>0</v>
      </c>
      <c r="F62">
        <v>0</v>
      </c>
      <c r="G62">
        <v>0</v>
      </c>
      <c r="H62">
        <v>0</v>
      </c>
      <c r="I62">
        <v>0</v>
      </c>
      <c r="J62">
        <v>0</v>
      </c>
      <c r="K62">
        <v>0</v>
      </c>
      <c r="L62">
        <v>0</v>
      </c>
      <c r="M62">
        <v>0</v>
      </c>
      <c r="N62">
        <v>0</v>
      </c>
      <c r="O62">
        <v>0</v>
      </c>
      <c r="P62">
        <v>0</v>
      </c>
    </row>
    <row r="63" spans="1:16" x14ac:dyDescent="0.15">
      <c r="A63">
        <v>62</v>
      </c>
      <c r="B63" s="184" t="s">
        <v>252</v>
      </c>
      <c r="C63">
        <v>0</v>
      </c>
      <c r="D63">
        <v>0</v>
      </c>
      <c r="E63">
        <v>0</v>
      </c>
      <c r="F63">
        <v>0</v>
      </c>
      <c r="G63">
        <v>0</v>
      </c>
      <c r="H63">
        <v>0</v>
      </c>
      <c r="I63">
        <v>0</v>
      </c>
      <c r="J63">
        <v>0</v>
      </c>
      <c r="K63">
        <v>0</v>
      </c>
      <c r="L63">
        <v>0</v>
      </c>
      <c r="M63">
        <v>0</v>
      </c>
      <c r="N63">
        <v>0</v>
      </c>
      <c r="O63">
        <v>0</v>
      </c>
      <c r="P63">
        <v>0</v>
      </c>
    </row>
    <row r="64" spans="1:16" x14ac:dyDescent="0.15">
      <c r="A64">
        <v>63</v>
      </c>
      <c r="B64" s="184" t="s">
        <v>253</v>
      </c>
      <c r="C64">
        <v>0</v>
      </c>
      <c r="D64">
        <v>0</v>
      </c>
      <c r="E64">
        <v>0</v>
      </c>
      <c r="F64">
        <v>0</v>
      </c>
      <c r="G64">
        <v>0</v>
      </c>
      <c r="H64">
        <v>0</v>
      </c>
      <c r="I64">
        <v>0</v>
      </c>
      <c r="J64">
        <v>0</v>
      </c>
      <c r="K64">
        <v>0</v>
      </c>
      <c r="L64">
        <v>0</v>
      </c>
      <c r="M64">
        <v>0</v>
      </c>
      <c r="N64">
        <v>0</v>
      </c>
      <c r="O64">
        <v>0</v>
      </c>
      <c r="P64">
        <v>0</v>
      </c>
    </row>
    <row r="65" spans="1:16" x14ac:dyDescent="0.15">
      <c r="A65">
        <v>64</v>
      </c>
      <c r="B65" s="184" t="s">
        <v>254</v>
      </c>
      <c r="C65">
        <v>0</v>
      </c>
      <c r="D65">
        <v>0</v>
      </c>
      <c r="E65">
        <v>0</v>
      </c>
      <c r="F65">
        <v>0</v>
      </c>
      <c r="G65">
        <v>0</v>
      </c>
      <c r="H65">
        <v>0</v>
      </c>
      <c r="I65">
        <v>0</v>
      </c>
      <c r="J65">
        <v>0</v>
      </c>
      <c r="K65">
        <v>0</v>
      </c>
      <c r="L65">
        <v>0</v>
      </c>
      <c r="M65">
        <v>0</v>
      </c>
      <c r="N65">
        <v>0</v>
      </c>
      <c r="O65">
        <v>0</v>
      </c>
      <c r="P65">
        <v>0</v>
      </c>
    </row>
    <row r="66" spans="1:16" x14ac:dyDescent="0.15">
      <c r="A66">
        <v>65</v>
      </c>
      <c r="B66" s="184" t="s">
        <v>255</v>
      </c>
      <c r="C66">
        <v>0</v>
      </c>
      <c r="D66">
        <v>0</v>
      </c>
      <c r="E66">
        <v>0</v>
      </c>
      <c r="F66">
        <v>0</v>
      </c>
      <c r="G66">
        <v>0</v>
      </c>
      <c r="H66">
        <v>0</v>
      </c>
      <c r="I66">
        <v>0</v>
      </c>
      <c r="J66">
        <v>0</v>
      </c>
      <c r="K66">
        <v>0</v>
      </c>
      <c r="L66">
        <v>0</v>
      </c>
      <c r="M66">
        <v>0</v>
      </c>
      <c r="N66">
        <v>0</v>
      </c>
      <c r="O66">
        <v>0</v>
      </c>
      <c r="P66">
        <v>0</v>
      </c>
    </row>
    <row r="67" spans="1:16" x14ac:dyDescent="0.15">
      <c r="A67">
        <v>66</v>
      </c>
      <c r="B67" s="184" t="s">
        <v>256</v>
      </c>
      <c r="C67">
        <v>0</v>
      </c>
      <c r="D67">
        <v>0</v>
      </c>
      <c r="E67">
        <v>0</v>
      </c>
      <c r="F67">
        <v>0</v>
      </c>
      <c r="G67">
        <v>0</v>
      </c>
      <c r="H67">
        <v>0</v>
      </c>
      <c r="I67">
        <v>0</v>
      </c>
      <c r="J67">
        <v>0</v>
      </c>
      <c r="K67">
        <v>0</v>
      </c>
      <c r="L67">
        <v>0</v>
      </c>
      <c r="M67">
        <v>0</v>
      </c>
      <c r="N67">
        <v>0</v>
      </c>
      <c r="O67">
        <v>0</v>
      </c>
      <c r="P67">
        <v>0</v>
      </c>
    </row>
    <row r="68" spans="1:16" x14ac:dyDescent="0.15">
      <c r="A68">
        <v>67</v>
      </c>
      <c r="B68" s="184" t="s">
        <v>257</v>
      </c>
      <c r="C68">
        <v>0</v>
      </c>
      <c r="D68">
        <v>0</v>
      </c>
      <c r="E68">
        <v>0</v>
      </c>
      <c r="F68">
        <v>0</v>
      </c>
      <c r="G68">
        <v>0</v>
      </c>
      <c r="H68">
        <v>0</v>
      </c>
      <c r="I68">
        <v>0</v>
      </c>
      <c r="J68">
        <v>0</v>
      </c>
      <c r="K68">
        <v>0</v>
      </c>
      <c r="L68">
        <v>0</v>
      </c>
      <c r="M68">
        <v>0</v>
      </c>
      <c r="N68">
        <v>0</v>
      </c>
      <c r="O68">
        <v>0</v>
      </c>
      <c r="P68">
        <v>0</v>
      </c>
    </row>
    <row r="69" spans="1:16" x14ac:dyDescent="0.15">
      <c r="A69">
        <v>68</v>
      </c>
      <c r="B69" s="184" t="s">
        <v>258</v>
      </c>
      <c r="C69">
        <v>0</v>
      </c>
      <c r="D69">
        <v>0</v>
      </c>
      <c r="E69">
        <v>0</v>
      </c>
      <c r="F69">
        <v>0</v>
      </c>
      <c r="G69">
        <v>0</v>
      </c>
      <c r="H69">
        <v>0</v>
      </c>
      <c r="I69">
        <v>0</v>
      </c>
      <c r="J69">
        <v>0</v>
      </c>
      <c r="K69">
        <v>0</v>
      </c>
      <c r="L69">
        <v>0</v>
      </c>
      <c r="M69">
        <v>0</v>
      </c>
      <c r="N69">
        <v>0</v>
      </c>
      <c r="O69">
        <v>0</v>
      </c>
      <c r="P69">
        <v>0</v>
      </c>
    </row>
    <row r="70" spans="1:16" x14ac:dyDescent="0.15">
      <c r="A70">
        <v>69</v>
      </c>
      <c r="B70" s="184" t="s">
        <v>259</v>
      </c>
      <c r="C70">
        <v>0</v>
      </c>
      <c r="D70">
        <v>0</v>
      </c>
      <c r="E70">
        <v>0</v>
      </c>
      <c r="F70">
        <v>0</v>
      </c>
      <c r="G70">
        <v>0</v>
      </c>
      <c r="H70">
        <v>0</v>
      </c>
      <c r="I70">
        <v>0</v>
      </c>
      <c r="J70">
        <v>0</v>
      </c>
      <c r="K70">
        <v>0</v>
      </c>
      <c r="L70">
        <v>0</v>
      </c>
      <c r="M70">
        <v>0</v>
      </c>
      <c r="N70">
        <v>0</v>
      </c>
      <c r="O70">
        <v>0</v>
      </c>
      <c r="P70">
        <v>0</v>
      </c>
    </row>
    <row r="71" spans="1:16" x14ac:dyDescent="0.15">
      <c r="A71">
        <v>70</v>
      </c>
      <c r="B71" s="184" t="s">
        <v>260</v>
      </c>
      <c r="C71">
        <v>0</v>
      </c>
      <c r="D71">
        <v>0</v>
      </c>
      <c r="E71">
        <v>0</v>
      </c>
      <c r="F71">
        <v>0</v>
      </c>
      <c r="G71">
        <v>0</v>
      </c>
      <c r="H71">
        <v>0</v>
      </c>
      <c r="I71">
        <v>0</v>
      </c>
      <c r="J71">
        <v>0</v>
      </c>
      <c r="K71">
        <v>0</v>
      </c>
      <c r="L71">
        <v>0</v>
      </c>
      <c r="M71">
        <v>0</v>
      </c>
      <c r="N71">
        <v>0</v>
      </c>
      <c r="O71">
        <v>0</v>
      </c>
      <c r="P71">
        <v>0</v>
      </c>
    </row>
    <row r="72" spans="1:16" x14ac:dyDescent="0.15">
      <c r="A72">
        <v>71</v>
      </c>
      <c r="B72" s="184" t="s">
        <v>261</v>
      </c>
      <c r="C72">
        <v>0</v>
      </c>
      <c r="D72">
        <v>0</v>
      </c>
      <c r="E72">
        <v>0</v>
      </c>
      <c r="F72">
        <v>0</v>
      </c>
      <c r="G72">
        <v>0</v>
      </c>
      <c r="H72">
        <v>0</v>
      </c>
      <c r="I72">
        <v>0</v>
      </c>
      <c r="J72">
        <v>0</v>
      </c>
      <c r="K72">
        <v>0</v>
      </c>
      <c r="L72">
        <v>0</v>
      </c>
      <c r="M72">
        <v>0</v>
      </c>
      <c r="N72">
        <v>0</v>
      </c>
      <c r="O72">
        <v>0</v>
      </c>
      <c r="P72">
        <v>0</v>
      </c>
    </row>
    <row r="73" spans="1:16" x14ac:dyDescent="0.15">
      <c r="A73">
        <v>72</v>
      </c>
      <c r="B73" s="184" t="s">
        <v>262</v>
      </c>
      <c r="C73">
        <v>0</v>
      </c>
      <c r="D73">
        <v>0</v>
      </c>
      <c r="E73">
        <v>0</v>
      </c>
      <c r="F73">
        <v>0</v>
      </c>
      <c r="G73">
        <v>0</v>
      </c>
      <c r="H73">
        <v>0</v>
      </c>
      <c r="I73">
        <v>0</v>
      </c>
      <c r="J73">
        <v>0</v>
      </c>
      <c r="K73">
        <v>0</v>
      </c>
      <c r="L73">
        <v>0</v>
      </c>
      <c r="M73">
        <v>0</v>
      </c>
      <c r="N73">
        <v>0</v>
      </c>
      <c r="O73">
        <v>0</v>
      </c>
      <c r="P73">
        <v>0</v>
      </c>
    </row>
    <row r="74" spans="1:16" x14ac:dyDescent="0.15">
      <c r="A74">
        <v>73</v>
      </c>
      <c r="B74" s="184" t="s">
        <v>263</v>
      </c>
      <c r="C74">
        <v>0</v>
      </c>
      <c r="D74">
        <v>0</v>
      </c>
      <c r="E74">
        <v>0</v>
      </c>
      <c r="F74">
        <v>0</v>
      </c>
      <c r="G74">
        <v>0</v>
      </c>
      <c r="H74">
        <v>0</v>
      </c>
      <c r="I74">
        <v>0</v>
      </c>
      <c r="J74">
        <v>0</v>
      </c>
      <c r="K74">
        <v>0</v>
      </c>
      <c r="L74">
        <v>0</v>
      </c>
      <c r="M74">
        <v>0</v>
      </c>
      <c r="N74">
        <v>0</v>
      </c>
      <c r="O74">
        <v>0</v>
      </c>
      <c r="P74">
        <v>0</v>
      </c>
    </row>
    <row r="75" spans="1:16" x14ac:dyDescent="0.15">
      <c r="A75">
        <v>74</v>
      </c>
      <c r="B75" s="184" t="s">
        <v>264</v>
      </c>
      <c r="C75">
        <v>0</v>
      </c>
      <c r="D75">
        <v>0</v>
      </c>
      <c r="E75">
        <v>0</v>
      </c>
      <c r="F75">
        <v>0</v>
      </c>
      <c r="G75">
        <v>0</v>
      </c>
      <c r="H75">
        <v>0</v>
      </c>
      <c r="I75">
        <v>0</v>
      </c>
      <c r="J75">
        <v>0</v>
      </c>
      <c r="K75">
        <v>0</v>
      </c>
      <c r="L75">
        <v>0</v>
      </c>
      <c r="M75">
        <v>0</v>
      </c>
      <c r="N75">
        <v>0</v>
      </c>
      <c r="O75">
        <v>0</v>
      </c>
      <c r="P75">
        <v>0</v>
      </c>
    </row>
    <row r="76" spans="1:16" x14ac:dyDescent="0.15">
      <c r="A76">
        <v>75</v>
      </c>
      <c r="B76" s="184" t="s">
        <v>265</v>
      </c>
      <c r="C76">
        <v>0</v>
      </c>
      <c r="D76">
        <v>0</v>
      </c>
      <c r="E76">
        <v>0</v>
      </c>
      <c r="F76">
        <v>0</v>
      </c>
      <c r="G76">
        <v>0</v>
      </c>
      <c r="H76">
        <v>0</v>
      </c>
      <c r="I76">
        <v>0</v>
      </c>
      <c r="J76">
        <v>0</v>
      </c>
      <c r="K76">
        <v>0</v>
      </c>
      <c r="L76">
        <v>0</v>
      </c>
      <c r="M76">
        <v>0</v>
      </c>
      <c r="N76">
        <v>0</v>
      </c>
      <c r="O76">
        <v>0</v>
      </c>
      <c r="P76">
        <v>0</v>
      </c>
    </row>
    <row r="77" spans="1:16" x14ac:dyDescent="0.15">
      <c r="A77">
        <v>76</v>
      </c>
      <c r="B77" s="184" t="s">
        <v>266</v>
      </c>
      <c r="C77">
        <v>0</v>
      </c>
      <c r="D77">
        <v>0</v>
      </c>
      <c r="E77">
        <v>0</v>
      </c>
      <c r="F77">
        <v>0</v>
      </c>
      <c r="G77">
        <v>0</v>
      </c>
      <c r="H77">
        <v>0</v>
      </c>
      <c r="I77">
        <v>0</v>
      </c>
      <c r="J77">
        <v>0</v>
      </c>
      <c r="K77">
        <v>0</v>
      </c>
      <c r="L77">
        <v>0</v>
      </c>
      <c r="M77">
        <v>0</v>
      </c>
      <c r="N77">
        <v>0</v>
      </c>
      <c r="O77">
        <v>0</v>
      </c>
      <c r="P77">
        <v>0</v>
      </c>
    </row>
    <row r="78" spans="1:16" x14ac:dyDescent="0.15">
      <c r="A78">
        <v>77</v>
      </c>
      <c r="B78" s="184" t="s">
        <v>267</v>
      </c>
      <c r="C78">
        <v>0</v>
      </c>
      <c r="D78">
        <v>0</v>
      </c>
      <c r="E78">
        <v>0</v>
      </c>
      <c r="F78">
        <v>0</v>
      </c>
      <c r="G78">
        <v>0</v>
      </c>
      <c r="H78">
        <v>0</v>
      </c>
      <c r="I78">
        <v>0</v>
      </c>
      <c r="J78">
        <v>0</v>
      </c>
      <c r="K78">
        <v>0</v>
      </c>
      <c r="L78">
        <v>0</v>
      </c>
      <c r="M78">
        <v>0</v>
      </c>
      <c r="N78">
        <v>0</v>
      </c>
      <c r="O78">
        <v>0</v>
      </c>
      <c r="P78">
        <v>0</v>
      </c>
    </row>
    <row r="79" spans="1:16" x14ac:dyDescent="0.15">
      <c r="A79">
        <v>78</v>
      </c>
      <c r="B79" s="184" t="s">
        <v>268</v>
      </c>
      <c r="C79">
        <v>0</v>
      </c>
      <c r="D79">
        <v>0</v>
      </c>
      <c r="E79">
        <v>0</v>
      </c>
      <c r="F79">
        <v>0</v>
      </c>
      <c r="G79">
        <v>0</v>
      </c>
      <c r="H79">
        <v>0</v>
      </c>
      <c r="I79">
        <v>0</v>
      </c>
      <c r="J79">
        <v>0</v>
      </c>
      <c r="K79">
        <v>0</v>
      </c>
      <c r="L79">
        <v>0</v>
      </c>
      <c r="M79">
        <v>0</v>
      </c>
      <c r="N79">
        <v>0</v>
      </c>
      <c r="O79">
        <v>0</v>
      </c>
      <c r="P79">
        <v>0</v>
      </c>
    </row>
    <row r="80" spans="1:16" x14ac:dyDescent="0.15">
      <c r="A80">
        <v>79</v>
      </c>
      <c r="B80" s="184" t="s">
        <v>269</v>
      </c>
      <c r="C80">
        <v>0</v>
      </c>
      <c r="D80">
        <v>0</v>
      </c>
      <c r="E80">
        <v>0</v>
      </c>
      <c r="F80">
        <v>0</v>
      </c>
      <c r="G80">
        <v>0</v>
      </c>
      <c r="H80">
        <v>0</v>
      </c>
      <c r="I80">
        <v>0</v>
      </c>
      <c r="J80">
        <v>0</v>
      </c>
      <c r="K80">
        <v>0</v>
      </c>
      <c r="L80">
        <v>0</v>
      </c>
      <c r="M80">
        <v>0</v>
      </c>
      <c r="N80">
        <v>0</v>
      </c>
      <c r="O80">
        <v>0</v>
      </c>
      <c r="P80">
        <v>0</v>
      </c>
    </row>
    <row r="81" spans="1:16" x14ac:dyDescent="0.15">
      <c r="A81">
        <v>80</v>
      </c>
      <c r="B81" s="184" t="s">
        <v>270</v>
      </c>
      <c r="C81">
        <v>0</v>
      </c>
      <c r="D81">
        <v>0</v>
      </c>
      <c r="E81">
        <v>0</v>
      </c>
      <c r="F81">
        <v>0</v>
      </c>
      <c r="G81">
        <v>0</v>
      </c>
      <c r="H81">
        <v>0</v>
      </c>
      <c r="I81">
        <v>0</v>
      </c>
      <c r="J81">
        <v>0</v>
      </c>
      <c r="K81">
        <v>0</v>
      </c>
      <c r="L81">
        <v>0</v>
      </c>
      <c r="M81">
        <v>0</v>
      </c>
      <c r="N81">
        <v>0</v>
      </c>
      <c r="O81">
        <v>0</v>
      </c>
      <c r="P81">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workbookViewId="0">
      <pane xSplit="2" ySplit="1" topLeftCell="C2" activePane="bottomRight" state="frozen"/>
      <selection pane="topRight" activeCell="C1" sqref="C1"/>
      <selection pane="bottomLeft" activeCell="A3" sqref="A3"/>
      <selection pane="bottomRight" activeCell="G17" sqref="G17"/>
    </sheetView>
  </sheetViews>
  <sheetFormatPr baseColWidth="10" defaultColWidth="8.83203125" defaultRowHeight="15" customHeight="1" x14ac:dyDescent="0.15"/>
  <cols>
    <col min="1" max="1" width="8.83203125" style="82"/>
    <col min="2" max="2" width="41.83203125" style="82" bestFit="1" customWidth="1"/>
    <col min="3" max="3" width="9.33203125" style="82" bestFit="1" customWidth="1"/>
    <col min="4" max="4" width="13" style="82" bestFit="1" customWidth="1"/>
    <col min="5" max="6" width="9.33203125" style="82" bestFit="1" customWidth="1"/>
    <col min="7" max="7" width="9.33203125" style="95" bestFit="1" customWidth="1"/>
    <col min="8" max="8" width="9.33203125" style="82" bestFit="1" customWidth="1"/>
    <col min="9" max="9" width="11" style="82" customWidth="1"/>
    <col min="10" max="10" width="8.83203125" style="82"/>
    <col min="15" max="16384" width="8.83203125" style="82"/>
  </cols>
  <sheetData>
    <row r="1" spans="1:10" ht="15" customHeight="1" x14ac:dyDescent="0.15">
      <c r="A1" s="4" t="s">
        <v>25</v>
      </c>
      <c r="B1" s="1" t="s">
        <v>0</v>
      </c>
      <c r="C1" s="1" t="s">
        <v>12</v>
      </c>
      <c r="D1" s="1" t="s">
        <v>13</v>
      </c>
      <c r="E1" s="1" t="s">
        <v>1</v>
      </c>
      <c r="F1" s="1" t="s">
        <v>2</v>
      </c>
      <c r="G1" s="35" t="s">
        <v>14</v>
      </c>
      <c r="H1" s="1" t="s">
        <v>26</v>
      </c>
      <c r="I1" s="1" t="s">
        <v>24</v>
      </c>
    </row>
    <row r="2" spans="1:10" ht="15" customHeight="1" x14ac:dyDescent="0.15">
      <c r="A2" s="137">
        <v>1</v>
      </c>
      <c r="B2" s="137" t="s">
        <v>191</v>
      </c>
      <c r="C2" s="8">
        <v>4.0473699569702148</v>
      </c>
      <c r="D2" s="9">
        <v>6.0192695818841457E-3</v>
      </c>
      <c r="E2" s="9">
        <v>0.10000000149011612</v>
      </c>
      <c r="F2" s="9">
        <v>41.069999694824219</v>
      </c>
      <c r="G2" s="9">
        <v>0.30000004172325134</v>
      </c>
      <c r="H2" s="9">
        <v>2.4348674342036247E-3</v>
      </c>
      <c r="I2">
        <v>9.6000003395602107E-5</v>
      </c>
      <c r="J2"/>
    </row>
    <row r="3" spans="1:10" ht="15" customHeight="1" x14ac:dyDescent="0.15">
      <c r="A3" s="138">
        <v>2</v>
      </c>
      <c r="B3" s="138" t="s">
        <v>192</v>
      </c>
      <c r="C3" s="8">
        <v>3.9248335361480713</v>
      </c>
      <c r="D3" s="9">
        <v>1.8899999558925629E-2</v>
      </c>
      <c r="E3" s="9">
        <v>9.8700001835823059E-2</v>
      </c>
      <c r="F3" s="9">
        <v>50.506999969482422</v>
      </c>
      <c r="G3" s="9">
        <v>0.39642229676246643</v>
      </c>
      <c r="H3" s="9">
        <v>1.9541846122592688E-3</v>
      </c>
      <c r="I3">
        <v>9.6999996458180249E-5</v>
      </c>
      <c r="J3"/>
    </row>
    <row r="4" spans="1:10" ht="15" customHeight="1" x14ac:dyDescent="0.15">
      <c r="A4" s="139">
        <v>3</v>
      </c>
      <c r="B4" s="139" t="s">
        <v>193</v>
      </c>
      <c r="C4" s="8">
        <v>3.1010432243347168</v>
      </c>
      <c r="D4" s="9">
        <v>1.0373366996645927E-2</v>
      </c>
      <c r="E4" s="9">
        <v>9.0000003576278687E-2</v>
      </c>
      <c r="F4" s="9">
        <v>40</v>
      </c>
      <c r="G4" s="9">
        <v>0.10000000149011612</v>
      </c>
      <c r="H4" s="9">
        <v>2.2500001359730959E-3</v>
      </c>
      <c r="I4">
        <v>5.999999848427251E-5</v>
      </c>
      <c r="J4"/>
    </row>
    <row r="5" spans="1:10" ht="15" customHeight="1" x14ac:dyDescent="0.15">
      <c r="A5" s="140">
        <v>4</v>
      </c>
      <c r="B5" s="140" t="s">
        <v>194</v>
      </c>
      <c r="C5" s="8">
        <v>3.6735091209411621</v>
      </c>
      <c r="D5" s="9">
        <v>1.2233512243255973E-3</v>
      </c>
      <c r="E5" s="9">
        <v>9.0000003576278687E-2</v>
      </c>
      <c r="F5" s="9">
        <v>45</v>
      </c>
      <c r="G5" s="9">
        <v>0.10000000149011612</v>
      </c>
      <c r="H5" s="9">
        <v>2.0000000949949026E-3</v>
      </c>
      <c r="I5">
        <v>9.9999997473787516E-6</v>
      </c>
      <c r="J5"/>
    </row>
    <row r="6" spans="1:10" ht="15" customHeight="1" x14ac:dyDescent="0.15">
      <c r="A6" s="141">
        <v>5</v>
      </c>
      <c r="B6" s="141" t="s">
        <v>195</v>
      </c>
      <c r="C6" s="8">
        <v>4.2796940803527832</v>
      </c>
      <c r="D6" s="9">
        <v>1.3049999251961708E-2</v>
      </c>
      <c r="E6" s="9">
        <v>0.30000001192092896</v>
      </c>
      <c r="F6" s="9">
        <v>6.4000000953674316</v>
      </c>
      <c r="G6" s="9">
        <v>0.86631280183792114</v>
      </c>
      <c r="H6" s="9">
        <v>4.6875E-2</v>
      </c>
      <c r="I6">
        <v>2.5642002001404762E-3</v>
      </c>
      <c r="J6"/>
    </row>
    <row r="7" spans="1:10" ht="15" customHeight="1" x14ac:dyDescent="0.15">
      <c r="A7" s="142">
        <v>6</v>
      </c>
      <c r="B7" s="142" t="s">
        <v>196</v>
      </c>
      <c r="C7" s="8">
        <v>3.9486005306243896</v>
      </c>
      <c r="D7" s="9">
        <v>7.3199998587369919E-3</v>
      </c>
      <c r="E7" s="9">
        <v>0.31999999284744263</v>
      </c>
      <c r="F7" s="9">
        <v>10.399999618530273</v>
      </c>
      <c r="G7" s="9">
        <v>0.606525719165802</v>
      </c>
      <c r="H7" s="9">
        <v>3.0769230797886848E-2</v>
      </c>
      <c r="I7">
        <v>1.2370599433779716E-3</v>
      </c>
      <c r="J7"/>
    </row>
    <row r="8" spans="1:10" ht="15" customHeight="1" x14ac:dyDescent="0.15">
      <c r="A8" s="143">
        <v>7</v>
      </c>
      <c r="B8" s="143" t="s">
        <v>197</v>
      </c>
      <c r="C8" s="8">
        <v>3.3289446830749512</v>
      </c>
      <c r="D8" s="9">
        <v>0.83899998664855957</v>
      </c>
      <c r="E8" s="9">
        <v>0.37999999523162842</v>
      </c>
      <c r="F8" s="9">
        <v>7.7199997901916504</v>
      </c>
      <c r="G8" s="9">
        <v>1.7534717917442322E-3</v>
      </c>
      <c r="H8" s="9">
        <v>4.9222797155380249E-2</v>
      </c>
      <c r="I8">
        <v>9.9999999392252903E-9</v>
      </c>
      <c r="J8"/>
    </row>
    <row r="9" spans="1:10" ht="15" customHeight="1" x14ac:dyDescent="0.15">
      <c r="A9" s="144">
        <v>8</v>
      </c>
      <c r="B9" s="144" t="s">
        <v>198</v>
      </c>
      <c r="C9" s="8">
        <v>4.0947198867797852</v>
      </c>
      <c r="D9" s="9">
        <v>0.2199999988079071</v>
      </c>
      <c r="E9" s="9">
        <v>0.60000002384185791</v>
      </c>
      <c r="F9" s="9">
        <v>3.9000000953674316</v>
      </c>
      <c r="G9" s="9">
        <v>0.80683141946792603</v>
      </c>
      <c r="H9" s="9">
        <v>0.15384615957736969</v>
      </c>
      <c r="I9">
        <v>9.7630694508552551E-2</v>
      </c>
      <c r="J9"/>
    </row>
    <row r="10" spans="1:10" ht="15" customHeight="1" x14ac:dyDescent="0.15">
      <c r="A10" s="145">
        <v>9</v>
      </c>
      <c r="B10" s="145" t="s">
        <v>199</v>
      </c>
      <c r="C10" s="8">
        <v>3.1843900680541992</v>
      </c>
      <c r="D10" s="9">
        <v>8.020000159740448E-2</v>
      </c>
      <c r="E10" s="9">
        <v>0.67000001668930054</v>
      </c>
      <c r="F10" s="9">
        <v>3.7999999523162842</v>
      </c>
      <c r="G10" s="9">
        <v>0.5669977068901062</v>
      </c>
      <c r="H10" s="9">
        <v>0.1763157993555069</v>
      </c>
      <c r="I10">
        <v>3.0124116688966751E-2</v>
      </c>
      <c r="J10"/>
    </row>
    <row r="11" spans="1:10" ht="15" customHeight="1" x14ac:dyDescent="0.15">
      <c r="A11" s="146">
        <v>10</v>
      </c>
      <c r="B11" s="146" t="s">
        <v>200</v>
      </c>
      <c r="C11" s="8">
        <v>2.9170348644256592</v>
      </c>
      <c r="D11" s="9">
        <v>2.9010000228881836</v>
      </c>
      <c r="E11" s="9">
        <v>0.70999997854232788</v>
      </c>
      <c r="F11" s="9">
        <v>9.1999998092651367</v>
      </c>
      <c r="G11" s="9">
        <v>9.3462854623794556E-2</v>
      </c>
      <c r="H11" s="9">
        <v>7.7173911035060883E-2</v>
      </c>
      <c r="I11">
        <v>0.12581370770931244</v>
      </c>
      <c r="J11"/>
    </row>
    <row r="12" spans="1:10" ht="15" customHeight="1" x14ac:dyDescent="0.15">
      <c r="A12" s="147">
        <v>11</v>
      </c>
      <c r="B12" s="147" t="s">
        <v>201</v>
      </c>
      <c r="C12" s="8">
        <v>3.0986638069152832</v>
      </c>
      <c r="D12" s="9">
        <v>29.329999923706055</v>
      </c>
      <c r="E12" s="9">
        <v>0.37999999523162842</v>
      </c>
      <c r="F12" s="9">
        <v>15</v>
      </c>
      <c r="G12" s="9">
        <v>0.34081923961639404</v>
      </c>
      <c r="H12" s="9">
        <v>2.5333333760499954E-2</v>
      </c>
      <c r="I12">
        <v>2.2908002138137817E-2</v>
      </c>
      <c r="J12"/>
    </row>
    <row r="13" spans="1:10" ht="15" customHeight="1" x14ac:dyDescent="0.15">
      <c r="A13" s="148">
        <v>12</v>
      </c>
      <c r="B13" s="148" t="s">
        <v>202</v>
      </c>
      <c r="C13" s="8">
        <v>3.0630295276641846</v>
      </c>
      <c r="D13" s="9">
        <v>1.3689999580383301</v>
      </c>
      <c r="E13" s="9">
        <v>0.55000001192092896</v>
      </c>
      <c r="F13" s="9">
        <v>12.199999809265137</v>
      </c>
      <c r="G13" s="9">
        <v>0.13025413453578949</v>
      </c>
      <c r="H13" s="9">
        <v>4.5081969350576401E-2</v>
      </c>
      <c r="I13">
        <v>2.6980997994542122E-2</v>
      </c>
      <c r="J13"/>
    </row>
    <row r="14" spans="1:10" ht="15" customHeight="1" x14ac:dyDescent="0.15">
      <c r="A14" s="149">
        <v>13</v>
      </c>
      <c r="B14" s="149" t="s">
        <v>203</v>
      </c>
      <c r="C14" s="8">
        <v>3.3327796459197998</v>
      </c>
      <c r="D14" s="9">
        <v>1.031000018119812</v>
      </c>
      <c r="E14" s="9">
        <v>0.63499999046325684</v>
      </c>
      <c r="F14" s="9">
        <v>13.899999618530273</v>
      </c>
      <c r="G14" s="9">
        <v>0.12198503315448761</v>
      </c>
      <c r="H14" s="9">
        <v>4.5683454722166061E-2</v>
      </c>
      <c r="I14">
        <v>1.2802699580788612E-2</v>
      </c>
      <c r="J14"/>
    </row>
    <row r="15" spans="1:10" ht="15" customHeight="1" x14ac:dyDescent="0.15">
      <c r="A15" s="150">
        <v>14</v>
      </c>
      <c r="B15" s="150" t="s">
        <v>204</v>
      </c>
      <c r="C15" s="8">
        <v>2</v>
      </c>
      <c r="D15" s="9">
        <v>17.082000732421875</v>
      </c>
      <c r="E15" s="9">
        <v>0.51999998092651367</v>
      </c>
      <c r="F15" s="9">
        <v>29.049999237060547</v>
      </c>
      <c r="G15" s="9">
        <v>0.74549853801727295</v>
      </c>
      <c r="H15" s="9">
        <v>1.7900172621011734E-2</v>
      </c>
      <c r="I15">
        <v>1.1590000212891027E-5</v>
      </c>
      <c r="J15"/>
    </row>
    <row r="16" spans="1:10" ht="15" customHeight="1" x14ac:dyDescent="0.15">
      <c r="A16" s="151">
        <v>15</v>
      </c>
      <c r="B16" s="151" t="s">
        <v>205</v>
      </c>
      <c r="C16" s="8">
        <v>2.567641019821167</v>
      </c>
      <c r="D16" s="9">
        <v>0.17040000855922699</v>
      </c>
      <c r="E16" s="9">
        <v>1.3289999961853027</v>
      </c>
      <c r="F16" s="9">
        <v>27.780000686645508</v>
      </c>
      <c r="G16" s="9">
        <v>0.17317970097064972</v>
      </c>
      <c r="H16" s="9">
        <v>4.7840170562267303E-2</v>
      </c>
      <c r="I16">
        <v>2.7980699087493122E-4</v>
      </c>
      <c r="J16"/>
    </row>
    <row r="17" spans="1:10" ht="15" customHeight="1" x14ac:dyDescent="0.15">
      <c r="A17" s="152">
        <v>16</v>
      </c>
      <c r="B17" s="152" t="s">
        <v>206</v>
      </c>
      <c r="C17" s="8">
        <v>2.5840690135955811</v>
      </c>
      <c r="D17" s="9">
        <v>13.029999732971191</v>
      </c>
      <c r="E17" s="9">
        <v>0.74800002574920654</v>
      </c>
      <c r="F17" s="9">
        <v>17.729999542236328</v>
      </c>
      <c r="G17" s="9">
        <v>0.36318472027778625</v>
      </c>
      <c r="H17" s="9">
        <v>4.2188383638858795E-2</v>
      </c>
      <c r="I17">
        <v>1.8911000806838274E-3</v>
      </c>
      <c r="J17"/>
    </row>
    <row r="18" spans="1:10" ht="15" customHeight="1" x14ac:dyDescent="0.15">
      <c r="A18" s="153">
        <v>17</v>
      </c>
      <c r="B18" s="153" t="s">
        <v>207</v>
      </c>
      <c r="C18" s="8">
        <v>3.3045468330383301</v>
      </c>
      <c r="D18" s="9">
        <v>0.24639999866485596</v>
      </c>
      <c r="E18" s="9">
        <v>0.84200000762939453</v>
      </c>
      <c r="F18" s="9">
        <v>12.300000190734863</v>
      </c>
      <c r="G18" s="9">
        <v>0.47115597128868103</v>
      </c>
      <c r="H18" s="9">
        <v>6.84552863240242E-2</v>
      </c>
      <c r="I18">
        <v>2.4299998767673969E-4</v>
      </c>
      <c r="J18"/>
    </row>
    <row r="19" spans="1:10" ht="15" customHeight="1" x14ac:dyDescent="0.15">
      <c r="A19" s="154">
        <v>18</v>
      </c>
      <c r="B19" s="154" t="s">
        <v>208</v>
      </c>
      <c r="C19" s="8">
        <v>2.7379720211029053</v>
      </c>
      <c r="D19" s="9">
        <v>2.0279999822378159E-2</v>
      </c>
      <c r="E19" s="9">
        <v>0.5350000262260437</v>
      </c>
      <c r="F19" s="9">
        <v>13.439999580383301</v>
      </c>
      <c r="G19" s="9">
        <v>0.95598447322845459</v>
      </c>
      <c r="H19" s="9">
        <v>3.9806552231311798E-2</v>
      </c>
      <c r="I19">
        <v>6.4628780819475651E-3</v>
      </c>
      <c r="J19"/>
    </row>
    <row r="20" spans="1:10" ht="15" customHeight="1" x14ac:dyDescent="0.15">
      <c r="A20" s="155">
        <v>19</v>
      </c>
      <c r="B20" s="155" t="s">
        <v>209</v>
      </c>
      <c r="C20" s="8">
        <v>2.7592532634735107</v>
      </c>
      <c r="D20" s="9">
        <v>1.5953999757766724</v>
      </c>
      <c r="E20" s="9">
        <v>6</v>
      </c>
      <c r="F20" s="9">
        <v>13.449999809265137</v>
      </c>
      <c r="G20" s="9">
        <v>0.4200274646282196</v>
      </c>
      <c r="H20" s="9">
        <v>0.44609665870666504</v>
      </c>
      <c r="I20">
        <v>0</v>
      </c>
      <c r="J20"/>
    </row>
    <row r="21" spans="1:10" ht="15" customHeight="1" x14ac:dyDescent="0.15">
      <c r="A21" s="156">
        <v>20</v>
      </c>
      <c r="B21" s="156" t="s">
        <v>210</v>
      </c>
      <c r="C21" s="8">
        <v>3.0919151306152344</v>
      </c>
      <c r="D21" s="9">
        <v>0.1656000018119812</v>
      </c>
      <c r="E21" s="9">
        <v>1.2649999856948853</v>
      </c>
      <c r="F21" s="9">
        <v>9.3199996948242188</v>
      </c>
      <c r="G21" s="9">
        <v>0.7256549596786499</v>
      </c>
      <c r="H21" s="9">
        <v>0.13572961091995239</v>
      </c>
      <c r="I21">
        <v>1.5260000509442762E-5</v>
      </c>
      <c r="J21"/>
    </row>
    <row r="22" spans="1:10" ht="15" customHeight="1" x14ac:dyDescent="0.15">
      <c r="A22" s="157">
        <v>21</v>
      </c>
      <c r="B22" s="157" t="s">
        <v>211</v>
      </c>
      <c r="C22" s="8">
        <v>3.2024400234222412</v>
      </c>
      <c r="D22" s="9">
        <v>7.1400001645088196E-2</v>
      </c>
      <c r="E22" s="9">
        <v>0.43999999761581421</v>
      </c>
      <c r="F22" s="9">
        <v>5.3499999046325684</v>
      </c>
      <c r="G22" s="9">
        <v>0.69997584819793701</v>
      </c>
      <c r="H22" s="9">
        <v>8.2242988049983978E-2</v>
      </c>
      <c r="I22">
        <v>2.4359000963158906E-4</v>
      </c>
      <c r="J22"/>
    </row>
    <row r="23" spans="1:10" ht="15" customHeight="1" x14ac:dyDescent="0.15">
      <c r="A23" s="158">
        <v>22</v>
      </c>
      <c r="B23" s="158" t="s">
        <v>212</v>
      </c>
      <c r="C23" s="8">
        <v>3.017270565032959</v>
      </c>
      <c r="D23" s="9">
        <v>6.0000002122251317E-5</v>
      </c>
      <c r="E23" s="9">
        <v>1.4600000381469727</v>
      </c>
      <c r="F23" s="9">
        <v>13.659999847412109</v>
      </c>
      <c r="G23" s="9">
        <v>0.9528922438621521</v>
      </c>
      <c r="H23" s="9">
        <v>0.10688140988349915</v>
      </c>
      <c r="I23">
        <v>0</v>
      </c>
      <c r="J23"/>
    </row>
    <row r="24" spans="1:10" ht="15" customHeight="1" x14ac:dyDescent="0.15">
      <c r="A24" s="159">
        <v>23</v>
      </c>
      <c r="B24" s="159" t="s">
        <v>213</v>
      </c>
      <c r="C24" s="8">
        <v>2</v>
      </c>
      <c r="D24" s="9">
        <v>1.8940000534057617</v>
      </c>
      <c r="E24" s="9">
        <v>0.48500001430511475</v>
      </c>
      <c r="F24" s="9">
        <v>16.75</v>
      </c>
      <c r="G24" s="9">
        <v>0.87011116743087769</v>
      </c>
      <c r="H24" s="9">
        <v>2.8955224901437759E-2</v>
      </c>
      <c r="I24">
        <v>4.2300001950934529E-4</v>
      </c>
      <c r="J24"/>
    </row>
    <row r="25" spans="1:10" ht="15" customHeight="1" x14ac:dyDescent="0.15">
      <c r="A25" s="160">
        <v>24</v>
      </c>
      <c r="B25" s="160" t="s">
        <v>214</v>
      </c>
      <c r="C25" s="8">
        <v>2.6384565830230713</v>
      </c>
      <c r="D25" s="9">
        <v>9.7270002365112305</v>
      </c>
      <c r="E25" s="9">
        <v>1.1419999599456787</v>
      </c>
      <c r="F25" s="9">
        <v>21.290000915527344</v>
      </c>
      <c r="G25" s="9">
        <v>0.50255614519119263</v>
      </c>
      <c r="H25" s="9">
        <v>5.3640201687812805E-2</v>
      </c>
      <c r="I25">
        <v>0</v>
      </c>
      <c r="J25"/>
    </row>
    <row r="26" spans="1:10" ht="15" customHeight="1" x14ac:dyDescent="0.15">
      <c r="A26" s="161">
        <v>25</v>
      </c>
      <c r="B26" s="161" t="s">
        <v>215</v>
      </c>
      <c r="C26" s="8">
        <v>3.4386806488037109</v>
      </c>
      <c r="D26" s="9">
        <v>3.2039999961853027</v>
      </c>
      <c r="E26" s="9">
        <v>0.4440000057220459</v>
      </c>
      <c r="F26" s="9">
        <v>7.0100002288818359</v>
      </c>
      <c r="G26" s="9">
        <v>6.2452390789985657E-2</v>
      </c>
      <c r="H26" s="9">
        <v>6.3338086009025574E-2</v>
      </c>
      <c r="I26">
        <v>9.7099996310134884E-7</v>
      </c>
      <c r="J26"/>
    </row>
    <row r="27" spans="1:10" ht="15" customHeight="1" x14ac:dyDescent="0.15">
      <c r="A27" s="162">
        <v>26</v>
      </c>
      <c r="B27" s="162" t="s">
        <v>216</v>
      </c>
      <c r="C27" s="8">
        <v>2.8809847831726074</v>
      </c>
      <c r="D27" s="9">
        <v>4.3530001640319824</v>
      </c>
      <c r="E27" s="9">
        <v>1.2890000343322754</v>
      </c>
      <c r="F27" s="9">
        <v>8.8599996566772461</v>
      </c>
      <c r="G27" s="9">
        <v>0.16777220368385315</v>
      </c>
      <c r="H27" s="9">
        <v>0.14548534154891968</v>
      </c>
      <c r="I27">
        <v>1.150000002780871E-6</v>
      </c>
      <c r="J27"/>
    </row>
    <row r="28" spans="1:10" ht="15" customHeight="1" x14ac:dyDescent="0.15">
      <c r="A28" s="163">
        <v>27</v>
      </c>
      <c r="B28" s="163" t="s">
        <v>217</v>
      </c>
      <c r="C28" s="8">
        <v>3.0150628089904785</v>
      </c>
      <c r="D28" s="9">
        <v>0.39800000190734863</v>
      </c>
      <c r="E28" s="9">
        <v>2.0699999332427979</v>
      </c>
      <c r="F28" s="9">
        <v>10</v>
      </c>
      <c r="G28" s="9">
        <v>0.22938571870326996</v>
      </c>
      <c r="H28" s="9">
        <v>0.20699998736381531</v>
      </c>
      <c r="I28">
        <v>0</v>
      </c>
      <c r="J28"/>
    </row>
    <row r="29" spans="1:10" ht="15" customHeight="1" x14ac:dyDescent="0.15">
      <c r="A29" s="164">
        <v>28</v>
      </c>
      <c r="B29" s="164" t="s">
        <v>218</v>
      </c>
      <c r="C29" s="8">
        <v>2.6272819042205811</v>
      </c>
      <c r="D29" s="9">
        <v>15.569999694824219</v>
      </c>
      <c r="E29" s="9">
        <v>0.79000002145767212</v>
      </c>
      <c r="F29" s="9">
        <v>11.029999732971191</v>
      </c>
      <c r="G29" s="9">
        <v>0.20825217664241791</v>
      </c>
      <c r="H29" s="9">
        <v>7.1622848510742188E-2</v>
      </c>
      <c r="I29">
        <v>0</v>
      </c>
      <c r="J29"/>
    </row>
    <row r="30" spans="1:10" ht="15" customHeight="1" x14ac:dyDescent="0.15">
      <c r="A30" s="165">
        <v>29</v>
      </c>
      <c r="B30" s="165" t="s">
        <v>219</v>
      </c>
      <c r="C30" s="8">
        <v>3.4714043140411377</v>
      </c>
      <c r="D30" s="9">
        <v>2.5800000876188278E-3</v>
      </c>
      <c r="E30" s="9">
        <v>0.65299999713897705</v>
      </c>
      <c r="F30" s="9">
        <v>7.5</v>
      </c>
      <c r="G30" s="9">
        <v>0.96891838312149048</v>
      </c>
      <c r="H30" s="9">
        <v>8.7066665291786194E-2</v>
      </c>
      <c r="I30">
        <v>5.5800001064199023E-8</v>
      </c>
      <c r="J30"/>
    </row>
    <row r="31" spans="1:10" ht="15" customHeight="1" x14ac:dyDescent="0.15">
      <c r="A31" s="166">
        <v>30</v>
      </c>
      <c r="B31" s="166" t="s">
        <v>220</v>
      </c>
      <c r="C31" s="8">
        <v>2.7315123081207275</v>
      </c>
      <c r="D31" s="9">
        <v>0.91699999570846558</v>
      </c>
      <c r="E31" s="9">
        <v>0.65299999713897705</v>
      </c>
      <c r="F31" s="9">
        <v>7.5</v>
      </c>
      <c r="G31" s="9">
        <v>0.12537376582622528</v>
      </c>
      <c r="H31" s="9">
        <v>8.7066665291786194E-2</v>
      </c>
      <c r="I31">
        <v>1.0720000136643648E-4</v>
      </c>
      <c r="J31"/>
    </row>
    <row r="32" spans="1:10" ht="15" customHeight="1" x14ac:dyDescent="0.15">
      <c r="A32" s="196">
        <v>31</v>
      </c>
      <c r="B32" s="196" t="s">
        <v>221</v>
      </c>
      <c r="C32" s="8">
        <v>2.4546177387237549</v>
      </c>
      <c r="D32" s="9">
        <v>2.6770000457763672</v>
      </c>
      <c r="E32" s="9">
        <v>0.65499997138977051</v>
      </c>
      <c r="F32" s="9">
        <v>14.300000190734863</v>
      </c>
      <c r="G32" s="9">
        <v>0.55482840538024902</v>
      </c>
      <c r="H32" s="9">
        <v>4.5804191380739212E-2</v>
      </c>
      <c r="I32">
        <v>0</v>
      </c>
      <c r="J32"/>
    </row>
    <row r="33" spans="1:10" ht="15" customHeight="1" x14ac:dyDescent="0.15">
      <c r="A33" s="197">
        <v>32</v>
      </c>
      <c r="B33" s="197" t="s">
        <v>222</v>
      </c>
      <c r="C33" s="8">
        <v>3.1766839027404785</v>
      </c>
      <c r="D33" s="9">
        <v>2.0000000949949026E-3</v>
      </c>
      <c r="E33" s="9">
        <v>0.41999998688697815</v>
      </c>
      <c r="F33" s="9">
        <v>6.5</v>
      </c>
      <c r="G33" s="9">
        <v>1.531746331602335E-2</v>
      </c>
      <c r="H33" s="9">
        <v>6.4615383744239807E-2</v>
      </c>
      <c r="I33">
        <v>0</v>
      </c>
      <c r="J33"/>
    </row>
    <row r="34" spans="1:10" ht="15" customHeight="1" x14ac:dyDescent="0.15">
      <c r="A34" s="198">
        <v>33</v>
      </c>
      <c r="B34" s="198" t="s">
        <v>223</v>
      </c>
      <c r="C34" s="8">
        <v>3.7992444038391113</v>
      </c>
      <c r="D34" s="9">
        <v>9.3099996447563171E-3</v>
      </c>
      <c r="E34" s="9">
        <v>0.29800000786781311</v>
      </c>
      <c r="F34" s="9">
        <v>2.875</v>
      </c>
      <c r="G34" s="9">
        <v>0.93644559383392334</v>
      </c>
      <c r="H34" s="9">
        <v>0.10365217924118042</v>
      </c>
      <c r="I34">
        <v>2.5909398682415485E-3</v>
      </c>
      <c r="J34"/>
    </row>
    <row r="35" spans="1:10" ht="15" customHeight="1" x14ac:dyDescent="0.15">
      <c r="A35" s="199">
        <v>34</v>
      </c>
      <c r="B35" s="199" t="s">
        <v>224</v>
      </c>
      <c r="C35" s="8">
        <v>2.7712326049804688</v>
      </c>
      <c r="D35" s="9">
        <v>2.070000022649765E-2</v>
      </c>
      <c r="E35" s="9">
        <v>1.1200000047683716</v>
      </c>
      <c r="F35" s="9">
        <v>9.5</v>
      </c>
      <c r="G35" s="9">
        <v>0.90823858976364136</v>
      </c>
      <c r="H35" s="9">
        <v>0.1178947389125824</v>
      </c>
      <c r="I35">
        <v>0</v>
      </c>
      <c r="J35"/>
    </row>
    <row r="36" spans="1:10" ht="15" customHeight="1" x14ac:dyDescent="0.15">
      <c r="A36" s="200">
        <v>35</v>
      </c>
      <c r="B36" s="200" t="s">
        <v>225</v>
      </c>
      <c r="C36" s="8">
        <v>2.1067540645599365</v>
      </c>
      <c r="D36" s="9">
        <v>172.02001953125</v>
      </c>
      <c r="E36" s="9">
        <v>2.5</v>
      </c>
      <c r="F36" s="9">
        <v>6.5</v>
      </c>
      <c r="G36" s="9">
        <v>0.17095382511615753</v>
      </c>
      <c r="H36" s="9">
        <v>0.38461539149284363</v>
      </c>
      <c r="I36">
        <v>0</v>
      </c>
      <c r="J36"/>
    </row>
    <row r="37" spans="1:10" ht="15" customHeight="1" x14ac:dyDescent="0.15">
      <c r="A37" s="201">
        <v>36</v>
      </c>
      <c r="B37" s="201" t="s">
        <v>226</v>
      </c>
      <c r="C37" s="8">
        <v>2</v>
      </c>
      <c r="D37" s="9">
        <v>1.9950001239776611</v>
      </c>
      <c r="E37" s="9">
        <v>13.25</v>
      </c>
      <c r="F37" s="9">
        <v>16.799999237060547</v>
      </c>
      <c r="G37" s="9">
        <v>0.85227733850479126</v>
      </c>
      <c r="H37" s="9">
        <v>0.78869050741195679</v>
      </c>
      <c r="I37">
        <v>0</v>
      </c>
      <c r="J37"/>
    </row>
    <row r="38" spans="1:10" ht="15" customHeight="1" x14ac:dyDescent="0.15">
      <c r="A38" s="202">
        <v>37</v>
      </c>
      <c r="B38" s="202" t="s">
        <v>227</v>
      </c>
      <c r="C38" s="8">
        <v>2.0086956024169922</v>
      </c>
      <c r="D38" s="9">
        <v>1.4600000381469727</v>
      </c>
      <c r="E38" s="9">
        <v>3.9000000953674316</v>
      </c>
      <c r="F38" s="9">
        <v>27.299999237060547</v>
      </c>
      <c r="G38" s="9">
        <v>0.75996291637420654</v>
      </c>
      <c r="H38" s="9">
        <v>0.1428571492433548</v>
      </c>
      <c r="I38">
        <v>0</v>
      </c>
      <c r="J38"/>
    </row>
    <row r="39" spans="1:10" ht="15" customHeight="1" x14ac:dyDescent="0.15">
      <c r="A39" s="203">
        <v>38</v>
      </c>
      <c r="B39" s="203" t="s">
        <v>228</v>
      </c>
      <c r="C39" s="8">
        <v>2.0071802139282227</v>
      </c>
      <c r="D39" s="9">
        <v>0.15440000593662262</v>
      </c>
      <c r="E39" s="9">
        <v>1.3500000238418579</v>
      </c>
      <c r="F39" s="9">
        <v>4.6700000762939453</v>
      </c>
      <c r="G39" s="9">
        <v>0.92739021778106689</v>
      </c>
      <c r="H39" s="9">
        <v>0.2890792191028595</v>
      </c>
      <c r="I39">
        <v>0</v>
      </c>
      <c r="J39"/>
    </row>
    <row r="40" spans="1:10" ht="15" customHeight="1" x14ac:dyDescent="0.15">
      <c r="A40" s="204">
        <v>39</v>
      </c>
      <c r="B40" s="204" t="s">
        <v>229</v>
      </c>
      <c r="C40" s="8">
        <v>2.0005702972412109</v>
      </c>
      <c r="D40" s="9">
        <v>2.3111999034881592</v>
      </c>
      <c r="E40" s="9">
        <v>1.2089999914169312</v>
      </c>
      <c r="F40" s="9">
        <v>29</v>
      </c>
      <c r="G40" s="9">
        <v>0.95003038644790649</v>
      </c>
      <c r="H40" s="9">
        <v>4.1689656674861908E-2</v>
      </c>
      <c r="I40">
        <v>0</v>
      </c>
      <c r="J40"/>
    </row>
    <row r="41" spans="1:10" ht="15" customHeight="1" x14ac:dyDescent="0.15">
      <c r="A41" s="205">
        <v>40</v>
      </c>
      <c r="B41" s="205" t="s">
        <v>230</v>
      </c>
      <c r="C41" s="8">
        <v>2.0560042858123779</v>
      </c>
      <c r="D41" s="9">
        <v>18.690000534057617</v>
      </c>
      <c r="E41" s="9">
        <v>0.60000002384185791</v>
      </c>
      <c r="F41" s="9">
        <v>3.8299999237060547</v>
      </c>
      <c r="G41" s="9">
        <v>0.93903791904449463</v>
      </c>
      <c r="H41" s="9">
        <v>0.15665797889232635</v>
      </c>
      <c r="I41">
        <v>0</v>
      </c>
      <c r="J41"/>
    </row>
    <row r="42" spans="1:10" ht="15" customHeight="1" x14ac:dyDescent="0.15">
      <c r="A42" s="206">
        <v>41</v>
      </c>
      <c r="B42" s="206" t="s">
        <v>231</v>
      </c>
      <c r="C42" s="8">
        <v>2.0630378723144531</v>
      </c>
      <c r="D42" s="9">
        <v>16.819999694824219</v>
      </c>
      <c r="E42" s="9">
        <v>7.0100002288818359</v>
      </c>
      <c r="F42" s="9">
        <v>27.139999389648438</v>
      </c>
      <c r="G42" s="9">
        <v>0.98406988382339478</v>
      </c>
      <c r="H42" s="9">
        <v>0.25829035043716431</v>
      </c>
      <c r="I42">
        <v>0</v>
      </c>
      <c r="J42"/>
    </row>
    <row r="43" spans="1:10" ht="15" customHeight="1" x14ac:dyDescent="0.15">
      <c r="A43" s="207">
        <v>42</v>
      </c>
      <c r="B43" s="207" t="s">
        <v>232</v>
      </c>
      <c r="C43" s="8">
        <v>2.1610679626464844</v>
      </c>
      <c r="D43" s="9">
        <v>13.510000228881836</v>
      </c>
      <c r="E43" s="9">
        <v>9.6000003814697266</v>
      </c>
      <c r="F43" s="9">
        <v>27.139999389648438</v>
      </c>
      <c r="G43" s="9">
        <v>0.77051043510437012</v>
      </c>
      <c r="H43" s="9">
        <v>0.35372146964073181</v>
      </c>
      <c r="I43">
        <v>0</v>
      </c>
      <c r="J43"/>
    </row>
    <row r="44" spans="1:10" ht="15" customHeight="1" x14ac:dyDescent="0.15">
      <c r="A44" s="208">
        <v>43</v>
      </c>
      <c r="B44" s="208" t="s">
        <v>233</v>
      </c>
      <c r="C44" s="8">
        <v>2</v>
      </c>
      <c r="D44" s="9">
        <v>94.480003356933594</v>
      </c>
      <c r="E44" s="9">
        <v>1.1399999856948853</v>
      </c>
      <c r="F44" s="9">
        <v>7.4499998092651367</v>
      </c>
      <c r="G44" s="9">
        <v>0.86095184087753296</v>
      </c>
      <c r="H44" s="9">
        <v>0.15302014350891113</v>
      </c>
      <c r="I44">
        <v>0</v>
      </c>
      <c r="J44"/>
    </row>
    <row r="45" spans="1:10" ht="15" customHeight="1" x14ac:dyDescent="0.15">
      <c r="A45" s="209">
        <v>44</v>
      </c>
      <c r="B45" s="209" t="s">
        <v>234</v>
      </c>
      <c r="C45" s="8">
        <v>2.7379539012908936</v>
      </c>
      <c r="D45" s="9">
        <v>5.3000001907348633</v>
      </c>
      <c r="E45" s="9">
        <v>0.50999999046325684</v>
      </c>
      <c r="F45" s="9">
        <v>2.9100000858306885</v>
      </c>
      <c r="G45" s="9">
        <v>0.81344509124755859</v>
      </c>
      <c r="H45" s="9">
        <v>0.17525772750377655</v>
      </c>
      <c r="I45">
        <v>0</v>
      </c>
      <c r="J45"/>
    </row>
    <row r="46" spans="1:10" ht="15" customHeight="1" x14ac:dyDescent="0.15">
      <c r="A46" s="210">
        <v>45</v>
      </c>
      <c r="B46" s="210" t="s">
        <v>235</v>
      </c>
      <c r="C46" s="8">
        <v>2.0967762470245361</v>
      </c>
      <c r="D46" s="9">
        <v>57.305870056152344</v>
      </c>
      <c r="E46" s="9">
        <v>2.7999999523162842</v>
      </c>
      <c r="F46" s="9">
        <v>8.5</v>
      </c>
      <c r="G46" s="9">
        <v>0.94999998807907104</v>
      </c>
      <c r="H46" s="9">
        <v>0.32941174507141113</v>
      </c>
      <c r="I46">
        <v>1.6390001401305199E-2</v>
      </c>
      <c r="J46"/>
    </row>
    <row r="47" spans="1:10" ht="15" customHeight="1" x14ac:dyDescent="0.15">
      <c r="A47" s="211">
        <v>46</v>
      </c>
      <c r="B47" s="211" t="s">
        <v>236</v>
      </c>
      <c r="C47" s="8">
        <v>3.1781988143920898</v>
      </c>
      <c r="D47" s="9">
        <v>4.2496600151062012</v>
      </c>
      <c r="E47" s="9">
        <v>2.369999885559082</v>
      </c>
      <c r="F47" s="9">
        <v>5.8000001907348633</v>
      </c>
      <c r="G47" s="9">
        <v>0.60000008344650269</v>
      </c>
      <c r="H47" s="9">
        <v>0.40862065553665161</v>
      </c>
      <c r="I47">
        <v>1.6580000306021248E-7</v>
      </c>
      <c r="J47"/>
    </row>
    <row r="48" spans="1:10" ht="15" customHeight="1" x14ac:dyDescent="0.15">
      <c r="A48" s="212">
        <v>47</v>
      </c>
      <c r="B48" s="212" t="s">
        <v>237</v>
      </c>
      <c r="C48" s="8">
        <v>3.4972238540649414</v>
      </c>
      <c r="D48" s="9">
        <v>0.31260636448860168</v>
      </c>
      <c r="E48" s="9">
        <v>1.7999999523162842</v>
      </c>
      <c r="F48" s="9">
        <v>17.5</v>
      </c>
      <c r="G48" s="9">
        <v>0.30000001192092896</v>
      </c>
      <c r="H48" s="9">
        <v>0.10285714268684387</v>
      </c>
      <c r="I48">
        <v>0</v>
      </c>
      <c r="J48"/>
    </row>
    <row r="49" spans="1:10" ht="15" customHeight="1" x14ac:dyDescent="0.15">
      <c r="A49" s="213">
        <v>48</v>
      </c>
      <c r="B49" s="213" t="s">
        <v>238</v>
      </c>
      <c r="C49" s="8">
        <v>3.0801663398742676</v>
      </c>
      <c r="D49" s="9">
        <v>8.990534782409668</v>
      </c>
      <c r="E49" s="9">
        <v>2.369999885559082</v>
      </c>
      <c r="F49" s="9">
        <v>7.9000000953674316</v>
      </c>
      <c r="G49" s="9">
        <v>0.79999983310699463</v>
      </c>
      <c r="H49" s="9">
        <v>0.29999998211860657</v>
      </c>
      <c r="I49">
        <v>0.11426800489425659</v>
      </c>
      <c r="J49"/>
    </row>
    <row r="50" spans="1:10" ht="15" customHeight="1" x14ac:dyDescent="0.15">
      <c r="A50" s="214">
        <v>49</v>
      </c>
      <c r="B50" s="214" t="s">
        <v>239</v>
      </c>
      <c r="C50" s="8">
        <v>2.0126969814300537</v>
      </c>
      <c r="D50" s="9">
        <v>4.1677999496459961</v>
      </c>
      <c r="E50" s="9">
        <v>2.7699999809265137</v>
      </c>
      <c r="F50" s="9">
        <v>13.449999809265137</v>
      </c>
      <c r="G50" s="9">
        <v>0.95004945993423462</v>
      </c>
      <c r="H50" s="9">
        <v>0.20594795048236847</v>
      </c>
      <c r="I50">
        <v>0</v>
      </c>
      <c r="J50"/>
    </row>
    <row r="51" spans="1:10" ht="15" customHeight="1" x14ac:dyDescent="0.15">
      <c r="A51" s="215">
        <v>50</v>
      </c>
      <c r="B51" s="215" t="s">
        <v>240</v>
      </c>
      <c r="C51" s="8">
        <v>2.1831741333007812</v>
      </c>
      <c r="D51" s="9">
        <v>23.559999465942383</v>
      </c>
      <c r="E51" s="9">
        <v>0.67900002002716064</v>
      </c>
      <c r="F51" s="9">
        <v>5.749000072479248</v>
      </c>
      <c r="G51" s="9">
        <v>0.66232419013977051</v>
      </c>
      <c r="H51" s="9">
        <v>0.11810749769210815</v>
      </c>
      <c r="I51">
        <v>0</v>
      </c>
      <c r="J51"/>
    </row>
    <row r="52" spans="1:10" ht="15" customHeight="1" x14ac:dyDescent="0.15">
      <c r="A52" s="216">
        <v>51</v>
      </c>
      <c r="B52" s="216" t="s">
        <v>241</v>
      </c>
      <c r="C52" s="8">
        <v>2.4145631790161133</v>
      </c>
      <c r="D52" s="9">
        <v>10.319999694824219</v>
      </c>
      <c r="E52" s="9">
        <v>1.2580000162124634</v>
      </c>
      <c r="F52" s="9">
        <v>4.3649997711181641</v>
      </c>
      <c r="G52" s="9">
        <v>0.86236351728439331</v>
      </c>
      <c r="H52" s="9">
        <v>0.28820163011550903</v>
      </c>
      <c r="I52">
        <v>1.9999999552965164E-2</v>
      </c>
      <c r="J52"/>
    </row>
    <row r="53" spans="1:10" ht="15" customHeight="1" x14ac:dyDescent="0.15">
      <c r="A53" s="217">
        <v>52</v>
      </c>
      <c r="B53" s="217" t="s">
        <v>242</v>
      </c>
      <c r="C53" s="8">
        <v>2.6242878437042236</v>
      </c>
      <c r="D53" s="9">
        <v>0.71640002727508545</v>
      </c>
      <c r="E53" s="9">
        <v>2.1500000953674316</v>
      </c>
      <c r="F53" s="9">
        <v>4</v>
      </c>
      <c r="G53" s="9">
        <v>0.80834567546844482</v>
      </c>
      <c r="H53" s="9">
        <v>0.53750002384185791</v>
      </c>
      <c r="I53">
        <v>0.44091999530792236</v>
      </c>
      <c r="J53"/>
    </row>
    <row r="54" spans="1:10" ht="15" customHeight="1" x14ac:dyDescent="0.15">
      <c r="A54" s="218">
        <v>53</v>
      </c>
      <c r="B54" s="218" t="s">
        <v>243</v>
      </c>
      <c r="C54" s="8">
        <v>2.0598416328430176</v>
      </c>
      <c r="D54" s="9">
        <v>1.0329999923706055</v>
      </c>
      <c r="E54" s="9">
        <v>2.7000000476837158</v>
      </c>
      <c r="F54" s="9">
        <v>14</v>
      </c>
      <c r="G54" s="9">
        <v>0.59368586540222168</v>
      </c>
      <c r="H54" s="9">
        <v>0.19285714626312256</v>
      </c>
      <c r="I54">
        <v>0</v>
      </c>
      <c r="J54"/>
    </row>
    <row r="55" spans="1:10" ht="15" customHeight="1" x14ac:dyDescent="0.15">
      <c r="A55" s="219">
        <v>54</v>
      </c>
      <c r="B55" s="219" t="s">
        <v>244</v>
      </c>
      <c r="C55" s="8">
        <v>3.0805516242980957</v>
      </c>
      <c r="D55" s="9">
        <v>0.10080000013113022</v>
      </c>
      <c r="E55" s="9">
        <v>2.7999999523162842</v>
      </c>
      <c r="F55" s="9">
        <v>14</v>
      </c>
      <c r="G55" s="9">
        <v>0.35604718327522278</v>
      </c>
      <c r="H55" s="9">
        <v>0.20000000298023224</v>
      </c>
      <c r="I55">
        <v>0</v>
      </c>
      <c r="J55"/>
    </row>
    <row r="56" spans="1:10" ht="15" customHeight="1" x14ac:dyDescent="0.15">
      <c r="A56" s="220">
        <v>55</v>
      </c>
      <c r="B56" s="220" t="s">
        <v>245</v>
      </c>
      <c r="C56" s="8">
        <v>2.0000002384185791</v>
      </c>
      <c r="D56" s="9">
        <v>15.75</v>
      </c>
      <c r="E56" s="9">
        <v>2.7999999523162842</v>
      </c>
      <c r="F56" s="9">
        <v>14</v>
      </c>
      <c r="G56" s="9">
        <v>0.84289813041687012</v>
      </c>
      <c r="H56" s="9">
        <v>0.20000000298023224</v>
      </c>
      <c r="I56">
        <v>0</v>
      </c>
      <c r="J56"/>
    </row>
    <row r="57" spans="1:10" ht="15" customHeight="1" x14ac:dyDescent="0.15">
      <c r="A57" s="221">
        <v>56</v>
      </c>
      <c r="B57" s="221" t="s">
        <v>246</v>
      </c>
      <c r="C57" s="8">
        <v>2.1614754199981689</v>
      </c>
      <c r="D57" s="9">
        <v>1.999999862164259E-3</v>
      </c>
      <c r="E57" s="9">
        <v>5.000000074505806E-2</v>
      </c>
      <c r="F57" s="9">
        <v>3.5</v>
      </c>
      <c r="G57" s="9">
        <v>0.10000000149011612</v>
      </c>
      <c r="H57" s="9">
        <v>1.4285714365541935E-2</v>
      </c>
      <c r="I57">
        <v>9.9999997473787516E-6</v>
      </c>
      <c r="J57"/>
    </row>
    <row r="58" spans="1:10" ht="15" customHeight="1" x14ac:dyDescent="0.15">
      <c r="A58" s="222">
        <v>57</v>
      </c>
      <c r="B58" s="222" t="s">
        <v>247</v>
      </c>
      <c r="C58" s="8">
        <v>2.002903938293457</v>
      </c>
      <c r="D58" s="9">
        <v>0.19165988266468048</v>
      </c>
      <c r="E58" s="9">
        <v>2.7999999523162842</v>
      </c>
      <c r="F58" s="9">
        <v>14</v>
      </c>
      <c r="G58" s="9">
        <v>0.80000019073486328</v>
      </c>
      <c r="H58" s="9">
        <v>0.20000000298023224</v>
      </c>
      <c r="I58">
        <v>3.3499998971819878E-3</v>
      </c>
      <c r="J58"/>
    </row>
    <row r="59" spans="1:10" ht="15" customHeight="1" x14ac:dyDescent="0.15">
      <c r="A59" s="223">
        <v>58</v>
      </c>
      <c r="B59" s="223" t="s">
        <v>248</v>
      </c>
      <c r="C59" s="8">
        <v>2.0000002384185791</v>
      </c>
      <c r="D59" s="9">
        <v>1.9800000190734863</v>
      </c>
      <c r="E59" s="9">
        <v>29.5</v>
      </c>
      <c r="F59" s="9">
        <v>55</v>
      </c>
      <c r="G59" s="9">
        <v>0.23044854402542114</v>
      </c>
      <c r="H59" s="9">
        <v>0.53636366128921509</v>
      </c>
      <c r="I59">
        <v>0</v>
      </c>
      <c r="J59"/>
    </row>
    <row r="60" spans="1:10" ht="15" customHeight="1" x14ac:dyDescent="0.15">
      <c r="A60" s="224">
        <v>59</v>
      </c>
      <c r="B60" s="224" t="s">
        <v>249</v>
      </c>
      <c r="C60" s="8">
        <v>2.0172145366668701</v>
      </c>
      <c r="D60" s="9">
        <v>12.5</v>
      </c>
      <c r="E60" s="9">
        <v>17.299999237060547</v>
      </c>
      <c r="F60" s="9">
        <v>95</v>
      </c>
      <c r="G60" s="9">
        <v>4.013284295797348E-2</v>
      </c>
      <c r="H60" s="9">
        <v>0.18210525810718536</v>
      </c>
      <c r="I60">
        <v>0</v>
      </c>
      <c r="J60"/>
    </row>
    <row r="61" spans="1:10" ht="15" customHeight="1" x14ac:dyDescent="0.15">
      <c r="A61" s="225">
        <v>60</v>
      </c>
      <c r="B61" s="225" t="s">
        <v>250</v>
      </c>
      <c r="C61" s="8">
        <v>2.0660948753356934</v>
      </c>
      <c r="D61" s="9">
        <v>2.9160661697387695</v>
      </c>
      <c r="E61" s="9">
        <v>8.6999998092651367</v>
      </c>
      <c r="F61" s="9">
        <v>29</v>
      </c>
      <c r="G61" s="9">
        <v>0.94999998807907104</v>
      </c>
      <c r="H61" s="9">
        <v>0.29999998211860657</v>
      </c>
      <c r="I61">
        <v>0</v>
      </c>
      <c r="J61"/>
    </row>
    <row r="62" spans="1:10" ht="15" customHeight="1" x14ac:dyDescent="0.15">
      <c r="A62" s="226">
        <v>61</v>
      </c>
      <c r="B62" s="226" t="s">
        <v>251</v>
      </c>
      <c r="C62" s="8">
        <v>3.0527992248535156</v>
      </c>
      <c r="D62" s="9">
        <v>0.26499998569488525</v>
      </c>
      <c r="E62" s="9">
        <v>16.5</v>
      </c>
      <c r="F62" s="9">
        <v>80</v>
      </c>
      <c r="G62" s="7">
        <v>0</v>
      </c>
      <c r="H62" s="9">
        <v>0.20624999701976776</v>
      </c>
      <c r="I62">
        <v>0</v>
      </c>
      <c r="J62"/>
    </row>
    <row r="63" spans="1:10" ht="15" customHeight="1" x14ac:dyDescent="0.15">
      <c r="A63" s="227">
        <v>62</v>
      </c>
      <c r="B63" s="227" t="s">
        <v>252</v>
      </c>
      <c r="C63" s="8">
        <v>2</v>
      </c>
      <c r="D63" s="9">
        <v>2.5</v>
      </c>
      <c r="E63" s="9">
        <v>95</v>
      </c>
      <c r="F63" s="9">
        <v>215</v>
      </c>
      <c r="G63" s="9">
        <v>0.73330831527709961</v>
      </c>
      <c r="H63" s="9">
        <v>0.44186046719551086</v>
      </c>
      <c r="I63">
        <v>0</v>
      </c>
      <c r="J63"/>
    </row>
    <row r="64" spans="1:10" ht="15" customHeight="1" x14ac:dyDescent="0.15">
      <c r="A64" s="228">
        <v>63</v>
      </c>
      <c r="B64" s="228" t="s">
        <v>253</v>
      </c>
      <c r="C64" s="8">
        <v>1</v>
      </c>
      <c r="D64" s="9">
        <v>7</v>
      </c>
      <c r="E64" s="9">
        <v>3</v>
      </c>
      <c r="F64" s="10"/>
      <c r="G64" s="9">
        <v>0.51861542463302612</v>
      </c>
      <c r="H64" s="10"/>
      <c r="I64">
        <v>0</v>
      </c>
      <c r="J64"/>
    </row>
    <row r="65" spans="1:10" ht="15" customHeight="1" x14ac:dyDescent="0.15">
      <c r="A65" s="229">
        <v>64</v>
      </c>
      <c r="B65" s="229" t="s">
        <v>254</v>
      </c>
      <c r="C65" s="8">
        <v>1</v>
      </c>
      <c r="D65" s="9">
        <v>75</v>
      </c>
      <c r="E65" s="9">
        <v>2</v>
      </c>
      <c r="F65" s="10"/>
      <c r="G65" s="9">
        <v>0.75951606035232544</v>
      </c>
      <c r="H65" s="10"/>
      <c r="I65">
        <v>0</v>
      </c>
      <c r="J65"/>
    </row>
    <row r="66" spans="1:10" ht="15" customHeight="1" x14ac:dyDescent="0.15">
      <c r="A66" s="230">
        <v>65</v>
      </c>
      <c r="B66" s="230" t="s">
        <v>255</v>
      </c>
      <c r="C66" s="8">
        <v>1</v>
      </c>
      <c r="D66" s="9">
        <v>240</v>
      </c>
      <c r="E66" s="9">
        <v>2</v>
      </c>
      <c r="F66" s="10"/>
      <c r="G66" s="9">
        <v>0.72850948572158813</v>
      </c>
      <c r="H66" s="10"/>
      <c r="I66">
        <v>0</v>
      </c>
      <c r="J66"/>
    </row>
    <row r="67" spans="1:10" ht="15" customHeight="1" x14ac:dyDescent="0.15">
      <c r="A67" s="231">
        <v>66</v>
      </c>
      <c r="B67" s="231" t="s">
        <v>256</v>
      </c>
      <c r="C67" s="8">
        <v>1</v>
      </c>
      <c r="D67" s="9">
        <v>24</v>
      </c>
      <c r="E67" s="9">
        <v>2</v>
      </c>
      <c r="F67" s="10"/>
      <c r="G67" s="9">
        <v>0.79983407258987427</v>
      </c>
      <c r="H67" s="10"/>
      <c r="I67">
        <v>0</v>
      </c>
      <c r="J67"/>
    </row>
    <row r="68" spans="1:10" ht="15" customHeight="1" x14ac:dyDescent="0.15">
      <c r="A68" s="232">
        <v>67</v>
      </c>
      <c r="B68" s="232" t="s">
        <v>257</v>
      </c>
      <c r="C68" s="8">
        <v>1</v>
      </c>
      <c r="D68" s="9">
        <v>96</v>
      </c>
      <c r="E68" s="9">
        <v>2</v>
      </c>
      <c r="F68" s="10"/>
      <c r="G68" s="9">
        <v>0.38594368100166321</v>
      </c>
      <c r="H68" s="10"/>
      <c r="I68">
        <v>0</v>
      </c>
      <c r="J68"/>
    </row>
    <row r="69" spans="1:10" ht="15" customHeight="1" x14ac:dyDescent="0.15">
      <c r="A69" s="233">
        <v>68</v>
      </c>
      <c r="B69" s="233" t="s">
        <v>258</v>
      </c>
      <c r="C69" s="8">
        <v>1</v>
      </c>
      <c r="D69" s="9">
        <v>64.770004272460938</v>
      </c>
      <c r="E69" s="9">
        <v>2.1449999809265137</v>
      </c>
      <c r="F69" s="10"/>
      <c r="G69" s="9">
        <v>0.89328306913375854</v>
      </c>
      <c r="H69" s="10"/>
      <c r="I69">
        <v>0</v>
      </c>
      <c r="J69"/>
    </row>
    <row r="70" spans="1:10" ht="15" customHeight="1" x14ac:dyDescent="0.15">
      <c r="A70" s="234">
        <v>69</v>
      </c>
      <c r="B70" s="234" t="s">
        <v>259</v>
      </c>
      <c r="C70" s="8">
        <v>1</v>
      </c>
      <c r="D70" s="9">
        <v>92.44000244140625</v>
      </c>
      <c r="E70" s="9">
        <v>7.3000001907348633</v>
      </c>
      <c r="F70" s="10"/>
      <c r="G70" s="9">
        <v>0.99284374713897705</v>
      </c>
      <c r="H70" s="10"/>
      <c r="I70">
        <v>0</v>
      </c>
      <c r="J70"/>
    </row>
    <row r="71" spans="1:10" ht="15" customHeight="1" x14ac:dyDescent="0.15">
      <c r="A71" s="235">
        <v>70</v>
      </c>
      <c r="B71" s="235" t="s">
        <v>260</v>
      </c>
      <c r="C71" s="8">
        <v>1</v>
      </c>
      <c r="D71" s="9">
        <v>34.680000305175781</v>
      </c>
      <c r="E71" s="9">
        <v>2</v>
      </c>
      <c r="F71" s="10"/>
      <c r="G71" s="9">
        <v>0.94173455238342285</v>
      </c>
      <c r="H71" s="10"/>
      <c r="I71">
        <v>0</v>
      </c>
      <c r="J71"/>
    </row>
    <row r="72" spans="1:10" ht="15" customHeight="1" x14ac:dyDescent="0.15">
      <c r="A72" s="236">
        <v>71</v>
      </c>
      <c r="B72" s="236" t="s">
        <v>261</v>
      </c>
      <c r="C72" s="8">
        <v>1</v>
      </c>
      <c r="D72" s="9">
        <v>8.7999999523162842E-2</v>
      </c>
      <c r="E72" s="9">
        <v>706.5</v>
      </c>
      <c r="F72" s="10"/>
      <c r="G72" s="9">
        <v>0.32188326120376587</v>
      </c>
      <c r="H72" s="10"/>
      <c r="I72">
        <v>0</v>
      </c>
      <c r="J72"/>
    </row>
    <row r="73" spans="1:10" ht="15" customHeight="1" x14ac:dyDescent="0.15">
      <c r="A73" s="237">
        <v>72</v>
      </c>
      <c r="B73" s="237" t="s">
        <v>262</v>
      </c>
      <c r="C73" s="8">
        <v>1</v>
      </c>
      <c r="D73" s="9">
        <v>13.100000381469727</v>
      </c>
      <c r="E73" s="9">
        <v>50.970001220703125</v>
      </c>
      <c r="F73" s="10"/>
      <c r="G73" s="9">
        <v>0.99799996614456177</v>
      </c>
      <c r="H73" s="10"/>
      <c r="I73">
        <v>0</v>
      </c>
      <c r="J73"/>
    </row>
    <row r="74" spans="1:10" ht="15" customHeight="1" x14ac:dyDescent="0.15">
      <c r="A74" s="238">
        <v>73</v>
      </c>
      <c r="B74" s="238" t="s">
        <v>263</v>
      </c>
      <c r="C74" s="8">
        <v>1</v>
      </c>
      <c r="D74" s="9">
        <v>3.9000000953674316</v>
      </c>
      <c r="E74" s="9">
        <v>24.200000762939453</v>
      </c>
      <c r="F74" s="10"/>
      <c r="G74" s="9">
        <v>0.84994059801101685</v>
      </c>
      <c r="H74" s="10"/>
      <c r="I74">
        <v>0</v>
      </c>
      <c r="J74"/>
    </row>
    <row r="75" spans="1:10" ht="15" customHeight="1" x14ac:dyDescent="0.15">
      <c r="A75" s="239">
        <v>74</v>
      </c>
      <c r="B75" s="239" t="s">
        <v>264</v>
      </c>
      <c r="C75" s="8">
        <v>1</v>
      </c>
      <c r="D75" s="9">
        <v>4.5</v>
      </c>
      <c r="E75" s="10"/>
      <c r="F75" s="10"/>
      <c r="G75" s="9">
        <v>0.75740623474121094</v>
      </c>
      <c r="H75" s="10"/>
      <c r="I75">
        <v>0</v>
      </c>
      <c r="J75"/>
    </row>
    <row r="76" spans="1:10" ht="15" customHeight="1" x14ac:dyDescent="0.15">
      <c r="A76" s="240">
        <v>75</v>
      </c>
      <c r="B76" s="240" t="s">
        <v>265</v>
      </c>
      <c r="C76" s="8">
        <v>1</v>
      </c>
      <c r="D76" s="9">
        <v>7.1640000343322754</v>
      </c>
      <c r="E76" s="10"/>
      <c r="F76" s="10"/>
      <c r="G76" s="9">
        <v>0.23942491412162781</v>
      </c>
      <c r="H76" s="10"/>
      <c r="I76">
        <v>0</v>
      </c>
      <c r="J76"/>
    </row>
    <row r="77" spans="1:10" ht="15" customHeight="1" x14ac:dyDescent="0.15">
      <c r="A77" s="241">
        <v>76</v>
      </c>
      <c r="B77" s="241" t="s">
        <v>266</v>
      </c>
      <c r="C77" s="8">
        <v>1</v>
      </c>
      <c r="D77" s="9">
        <v>6.8220000267028809</v>
      </c>
      <c r="E77" s="10"/>
      <c r="F77" s="10"/>
      <c r="G77" s="9">
        <v>0.59651392698287964</v>
      </c>
      <c r="H77" s="10"/>
      <c r="I77">
        <v>0</v>
      </c>
      <c r="J77"/>
    </row>
    <row r="78" spans="1:10" ht="15" customHeight="1" x14ac:dyDescent="0.15">
      <c r="A78" s="242">
        <v>77</v>
      </c>
      <c r="B78" s="242" t="s">
        <v>267</v>
      </c>
      <c r="C78" s="8">
        <v>1</v>
      </c>
      <c r="D78" s="9">
        <v>2.4000000208616257E-2</v>
      </c>
      <c r="E78" s="10"/>
      <c r="F78" s="10"/>
      <c r="G78" s="9">
        <v>0.96179759502410889</v>
      </c>
      <c r="H78" s="10"/>
      <c r="I78">
        <v>0</v>
      </c>
      <c r="J78"/>
    </row>
    <row r="79" spans="1:10" ht="15" customHeight="1" x14ac:dyDescent="0.15">
      <c r="A79" s="243">
        <v>78</v>
      </c>
      <c r="B79" s="243" t="s">
        <v>268</v>
      </c>
      <c r="C79" s="8">
        <v>1</v>
      </c>
      <c r="D79" s="9">
        <v>2</v>
      </c>
      <c r="E79" s="10"/>
      <c r="F79" s="10"/>
      <c r="G79" s="9">
        <v>0.44814258813858032</v>
      </c>
      <c r="H79" s="10"/>
      <c r="I79">
        <v>0</v>
      </c>
      <c r="J79"/>
    </row>
    <row r="80" spans="1:10" ht="15" customHeight="1" x14ac:dyDescent="0.15">
      <c r="A80" s="244">
        <v>79</v>
      </c>
      <c r="B80" s="244" t="s">
        <v>269</v>
      </c>
      <c r="C80" s="8">
        <v>1</v>
      </c>
      <c r="D80" s="9">
        <v>5.1999998092651367</v>
      </c>
      <c r="E80" s="10"/>
      <c r="F80" s="10"/>
      <c r="G80" s="9">
        <v>0.44417989253997803</v>
      </c>
      <c r="H80" s="10"/>
      <c r="I80">
        <v>0</v>
      </c>
      <c r="J80"/>
    </row>
    <row r="81" spans="1:10" ht="15" customHeight="1" x14ac:dyDescent="0.15">
      <c r="A81" s="245">
        <v>80</v>
      </c>
      <c r="B81" s="245" t="s">
        <v>270</v>
      </c>
      <c r="C81" s="8">
        <v>1</v>
      </c>
      <c r="D81" s="9">
        <v>17.940000534057617</v>
      </c>
      <c r="E81" s="10"/>
      <c r="F81" s="10"/>
      <c r="G81" s="7">
        <v>0.67241036891937256</v>
      </c>
      <c r="H81" s="10"/>
      <c r="I81">
        <v>0</v>
      </c>
      <c r="J81"/>
    </row>
    <row r="82" spans="1:10" ht="15" customHeight="1" x14ac:dyDescent="0.15">
      <c r="A82" s="246">
        <v>81</v>
      </c>
      <c r="B82" s="246" t="s">
        <v>271</v>
      </c>
      <c r="C82" s="8">
        <v>3.7034609317779541</v>
      </c>
      <c r="D82" s="10"/>
      <c r="E82" s="10"/>
      <c r="F82" s="10"/>
      <c r="G82" s="10"/>
      <c r="H82" s="10"/>
      <c r="I82">
        <v>0.55316799879074097</v>
      </c>
      <c r="J82"/>
    </row>
    <row r="83" spans="1:10" ht="15" customHeight="1" x14ac:dyDescent="0.15">
      <c r="A83" s="247">
        <v>82</v>
      </c>
      <c r="B83" s="247" t="s">
        <v>272</v>
      </c>
      <c r="C83" s="8">
        <v>4.0300369262695312</v>
      </c>
      <c r="D83" s="10"/>
      <c r="E83" s="10"/>
      <c r="F83" s="10"/>
      <c r="G83" s="10"/>
      <c r="H83" s="10"/>
      <c r="I83">
        <v>1.3512035831809044E-2</v>
      </c>
      <c r="J83"/>
    </row>
    <row r="84" spans="1:10" ht="15" customHeight="1" x14ac:dyDescent="0.15">
      <c r="A84" s="248">
        <v>83</v>
      </c>
      <c r="B84" s="248" t="s">
        <v>273</v>
      </c>
      <c r="C84" s="8">
        <v>4.4616227149963379</v>
      </c>
      <c r="D84" s="10"/>
      <c r="E84" s="10"/>
      <c r="F84" s="10"/>
      <c r="G84" s="10"/>
      <c r="H84" s="10"/>
      <c r="I84">
        <v>0.18548369407653809</v>
      </c>
      <c r="J84"/>
    </row>
    <row r="85" spans="1:10" ht="15" customHeight="1" x14ac:dyDescent="0.15">
      <c r="A85" s="249">
        <v>84</v>
      </c>
      <c r="B85" s="249" t="s">
        <v>274</v>
      </c>
      <c r="C85" s="8">
        <v>4.1409034729003906</v>
      </c>
      <c r="D85" s="10"/>
      <c r="E85" s="10"/>
      <c r="F85" s="10"/>
      <c r="G85" s="10"/>
      <c r="H85" s="10"/>
      <c r="I85">
        <v>4.2328935116529465E-2</v>
      </c>
      <c r="J85"/>
    </row>
    <row r="86" spans="1:10" ht="15" customHeight="1" x14ac:dyDescent="0.15">
      <c r="A86" s="250">
        <v>85</v>
      </c>
      <c r="B86" s="250" t="s">
        <v>275</v>
      </c>
      <c r="C86" s="8">
        <v>4.2466859817504883</v>
      </c>
      <c r="D86" s="10"/>
      <c r="E86" s="10"/>
      <c r="F86" s="10"/>
      <c r="G86" s="10"/>
      <c r="H86" s="10"/>
      <c r="I86">
        <v>4.0979806333780289E-2</v>
      </c>
      <c r="J86"/>
    </row>
    <row r="87" spans="1:10" ht="15" customHeight="1" x14ac:dyDescent="0.15">
      <c r="A87" s="251">
        <v>86</v>
      </c>
      <c r="B87" s="251" t="s">
        <v>276</v>
      </c>
      <c r="C87" s="8">
        <v>4.3119559288024902</v>
      </c>
      <c r="D87" s="10"/>
      <c r="E87" s="10"/>
      <c r="F87" s="10"/>
      <c r="G87" s="10"/>
      <c r="H87" s="10"/>
      <c r="I87">
        <v>1.1836299672722816E-2</v>
      </c>
      <c r="J87"/>
    </row>
    <row r="88" spans="1:10" ht="15" customHeight="1" x14ac:dyDescent="0.15">
      <c r="A88" s="252">
        <v>87</v>
      </c>
      <c r="B88" s="252" t="s">
        <v>277</v>
      </c>
      <c r="C88" s="8">
        <v>3.4522185325622559</v>
      </c>
      <c r="D88" s="10"/>
      <c r="E88" s="10"/>
      <c r="F88" s="10"/>
      <c r="G88" s="10"/>
      <c r="H88" s="10"/>
      <c r="I88">
        <v>2.4900000542402267E-2</v>
      </c>
      <c r="J88"/>
    </row>
    <row r="89" spans="1:10" ht="15" customHeight="1" x14ac:dyDescent="0.15">
      <c r="A89" s="253">
        <v>88</v>
      </c>
      <c r="B89" s="253" t="s">
        <v>278</v>
      </c>
      <c r="C89" s="8">
        <v>3.002903938293457</v>
      </c>
      <c r="D89" s="10"/>
      <c r="E89" s="10"/>
      <c r="F89" s="10"/>
      <c r="G89" s="10"/>
      <c r="H89" s="10"/>
      <c r="I89">
        <v>3.3499998971819878E-3</v>
      </c>
      <c r="J89"/>
    </row>
    <row r="90" spans="1:10" ht="15" customHeight="1" x14ac:dyDescent="0.15">
      <c r="A90" s="254">
        <v>89</v>
      </c>
      <c r="B90" s="254" t="s">
        <v>279</v>
      </c>
      <c r="C90" s="8">
        <v>3.6242878437042236</v>
      </c>
      <c r="D90" s="10"/>
      <c r="E90" s="10"/>
      <c r="F90" s="10"/>
      <c r="G90" s="10"/>
      <c r="H90" s="10"/>
      <c r="I90">
        <v>9.4499997794628143E-3</v>
      </c>
      <c r="J90"/>
    </row>
    <row r="91" spans="1:10" ht="15" customHeight="1" x14ac:dyDescent="0.15">
      <c r="A91" s="255">
        <v>90</v>
      </c>
      <c r="B91" s="255" t="s">
        <v>280</v>
      </c>
      <c r="C91" s="8">
        <v>4.0622830390930176</v>
      </c>
      <c r="D91" s="10"/>
      <c r="E91" s="10"/>
      <c r="F91" s="10"/>
      <c r="G91" s="10"/>
      <c r="H91" s="10"/>
      <c r="I91">
        <v>8.9641092345118523E-3</v>
      </c>
      <c r="J91"/>
    </row>
    <row r="92" spans="1:10" ht="15" customHeight="1" x14ac:dyDescent="0.15">
      <c r="A92" s="256">
        <v>91</v>
      </c>
      <c r="B92" s="256" t="s">
        <v>281</v>
      </c>
      <c r="C92" s="8">
        <v>4.3343048095703125</v>
      </c>
      <c r="D92" s="10"/>
      <c r="E92" s="10"/>
      <c r="F92" s="10"/>
      <c r="G92" s="10"/>
      <c r="H92" s="10"/>
      <c r="I92">
        <v>2.3131698369979858E-2</v>
      </c>
      <c r="J92"/>
    </row>
    <row r="93" spans="1:10" ht="15" customHeight="1" x14ac:dyDescent="0.15">
      <c r="A93" s="257">
        <v>92</v>
      </c>
      <c r="B93" s="257" t="s">
        <v>282</v>
      </c>
      <c r="C93" s="8">
        <v>3.8622031211853027</v>
      </c>
      <c r="D93" s="10"/>
      <c r="E93" s="10"/>
      <c r="F93" s="10"/>
      <c r="G93" s="10"/>
      <c r="H93" s="10"/>
      <c r="I93">
        <v>5.2997996099293232E-3</v>
      </c>
      <c r="J93"/>
    </row>
    <row r="94" spans="1:10" ht="15" customHeight="1" x14ac:dyDescent="0.15">
      <c r="A94" s="258">
        <v>93</v>
      </c>
      <c r="B94" s="258" t="s">
        <v>283</v>
      </c>
      <c r="C94" s="8">
        <v>3.6460561752319336</v>
      </c>
      <c r="D94" s="10"/>
      <c r="E94" s="10"/>
      <c r="F94" s="10"/>
      <c r="G94" s="10"/>
      <c r="H94" s="10"/>
      <c r="I94">
        <v>3.6330001894384623E-3</v>
      </c>
      <c r="J94"/>
    </row>
    <row r="95" spans="1:10" ht="15" customHeight="1" x14ac:dyDescent="0.15">
      <c r="A95" s="259">
        <v>94</v>
      </c>
      <c r="B95" s="259" t="s">
        <v>284</v>
      </c>
      <c r="C95" s="8">
        <v>4.0949726104736328</v>
      </c>
      <c r="D95" s="10"/>
      <c r="E95" s="10"/>
      <c r="F95" s="10"/>
      <c r="G95" s="10"/>
      <c r="H95" s="10"/>
      <c r="I95">
        <v>1.4958244282752275E-3</v>
      </c>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82" bestFit="1" customWidth="1"/>
    <col min="2" max="4" width="9.5" style="82" bestFit="1" customWidth="1"/>
    <col min="5" max="7" width="9" style="82" bestFit="1" customWidth="1"/>
    <col min="8" max="16" width="12.6640625" style="82" bestFit="1" customWidth="1"/>
    <col min="17" max="17" width="12.33203125" style="82" bestFit="1" customWidth="1"/>
    <col min="18" max="18" width="8.83203125" style="82"/>
    <col min="19" max="21" width="9.33203125" style="82" bestFit="1" customWidth="1"/>
    <col min="22" max="23" width="8.83203125" style="82"/>
    <col min="24" max="24" width="9.33203125" style="82" bestFit="1" customWidth="1"/>
    <col min="25" max="27" width="8.83203125" style="82"/>
    <col min="28" max="58" width="9" style="82" bestFit="1" customWidth="1"/>
    <col min="59" max="59" width="12.33203125" style="82" bestFit="1" customWidth="1"/>
    <col min="60" max="60" width="9" style="82" bestFit="1" customWidth="1"/>
    <col min="61" max="61" width="11.33203125" style="82" bestFit="1" customWidth="1"/>
    <col min="62" max="77" width="9" style="82" bestFit="1" customWidth="1"/>
    <col min="78" max="78" width="12.33203125" style="82" bestFit="1" customWidth="1"/>
    <col min="79" max="79" width="9" style="82" bestFit="1" customWidth="1"/>
    <col min="80" max="80" width="12.33203125" style="82" bestFit="1" customWidth="1"/>
    <col min="81" max="107" width="9" style="82" bestFit="1" customWidth="1"/>
    <col min="108" max="108" width="11.33203125" style="82" bestFit="1" customWidth="1"/>
    <col min="109" max="124" width="9" style="82" bestFit="1" customWidth="1"/>
    <col min="125" max="125" width="10.33203125" style="82" bestFit="1" customWidth="1"/>
    <col min="126" max="129" width="9.33203125" style="82" bestFit="1" customWidth="1"/>
    <col min="130" max="130" width="9" style="82" bestFit="1" customWidth="1"/>
    <col min="131" max="134" width="9.33203125" style="82" bestFit="1" customWidth="1"/>
    <col min="135" max="165" width="9" style="82" bestFit="1" customWidth="1"/>
    <col min="166" max="166" width="12.33203125" style="82" bestFit="1" customWidth="1"/>
    <col min="167" max="170" width="9" style="82" bestFit="1" customWidth="1"/>
    <col min="171" max="176" width="8.83203125" style="82"/>
    <col min="177" max="177" width="13.83203125" style="82" bestFit="1" customWidth="1"/>
    <col min="178" max="16384" width="8.83203125" style="82"/>
  </cols>
  <sheetData>
    <row r="1" spans="1:209" ht="15" customHeight="1" x14ac:dyDescent="0.15">
      <c r="A1" t="s">
        <v>15</v>
      </c>
      <c r="B1" t="s">
        <v>1</v>
      </c>
      <c r="C1" t="s">
        <v>16</v>
      </c>
      <c r="D1" t="s">
        <v>289</v>
      </c>
      <c r="E1" t="s">
        <v>290</v>
      </c>
      <c r="F1" t="s">
        <v>291</v>
      </c>
      <c r="G1" t="s">
        <v>292</v>
      </c>
      <c r="H1" t="s">
        <v>293</v>
      </c>
      <c r="I1" t="s">
        <v>294</v>
      </c>
      <c r="J1" t="s">
        <v>295</v>
      </c>
      <c r="K1" t="s">
        <v>296</v>
      </c>
      <c r="L1" t="s">
        <v>297</v>
      </c>
      <c r="M1" t="s">
        <v>298</v>
      </c>
      <c r="N1" t="s">
        <v>299</v>
      </c>
      <c r="O1" t="s">
        <v>300</v>
      </c>
      <c r="P1" t="s">
        <v>301</v>
      </c>
      <c r="Q1" t="s">
        <v>302</v>
      </c>
      <c r="R1" t="s">
        <v>191</v>
      </c>
      <c r="S1" t="s">
        <v>192</v>
      </c>
      <c r="T1" t="s">
        <v>193</v>
      </c>
      <c r="U1" t="s">
        <v>194</v>
      </c>
      <c r="V1" t="s">
        <v>195</v>
      </c>
      <c r="W1" t="s">
        <v>196</v>
      </c>
      <c r="X1" t="s">
        <v>197</v>
      </c>
      <c r="Y1" t="s">
        <v>198</v>
      </c>
      <c r="Z1" t="s">
        <v>199</v>
      </c>
      <c r="AA1" t="s">
        <v>200</v>
      </c>
      <c r="AB1" t="s">
        <v>201</v>
      </c>
      <c r="AC1" t="s">
        <v>202</v>
      </c>
      <c r="AD1" t="s">
        <v>203</v>
      </c>
      <c r="AE1" t="s">
        <v>204</v>
      </c>
      <c r="AF1" t="s">
        <v>205</v>
      </c>
      <c r="AG1" t="s">
        <v>206</v>
      </c>
      <c r="AH1" t="s">
        <v>207</v>
      </c>
      <c r="AI1" t="s">
        <v>208</v>
      </c>
      <c r="AJ1" t="s">
        <v>209</v>
      </c>
      <c r="AK1" t="s">
        <v>210</v>
      </c>
      <c r="AL1" t="s">
        <v>211</v>
      </c>
      <c r="AM1" t="s">
        <v>212</v>
      </c>
      <c r="AN1" t="s">
        <v>213</v>
      </c>
      <c r="AO1" t="s">
        <v>214</v>
      </c>
      <c r="AP1" t="s">
        <v>215</v>
      </c>
      <c r="AQ1" t="s">
        <v>216</v>
      </c>
      <c r="AR1" t="s">
        <v>217</v>
      </c>
      <c r="AS1" t="s">
        <v>218</v>
      </c>
      <c r="AT1" t="s">
        <v>219</v>
      </c>
      <c r="AU1" t="s">
        <v>220</v>
      </c>
      <c r="AV1" t="s">
        <v>221</v>
      </c>
      <c r="AW1" t="s">
        <v>222</v>
      </c>
      <c r="AX1" t="s">
        <v>223</v>
      </c>
      <c r="AY1" t="s">
        <v>224</v>
      </c>
      <c r="AZ1" t="s">
        <v>225</v>
      </c>
      <c r="BA1" t="s">
        <v>226</v>
      </c>
      <c r="BB1" t="s">
        <v>227</v>
      </c>
      <c r="BC1" t="s">
        <v>228</v>
      </c>
      <c r="BD1" t="s">
        <v>229</v>
      </c>
      <c r="BE1" t="s">
        <v>230</v>
      </c>
      <c r="BF1" t="s">
        <v>231</v>
      </c>
      <c r="BG1" t="s">
        <v>232</v>
      </c>
      <c r="BH1" t="s">
        <v>233</v>
      </c>
      <c r="BI1" t="s">
        <v>234</v>
      </c>
      <c r="BJ1" t="s">
        <v>235</v>
      </c>
      <c r="BK1" t="s">
        <v>236</v>
      </c>
      <c r="BL1" t="s">
        <v>237</v>
      </c>
      <c r="BM1" t="s">
        <v>238</v>
      </c>
      <c r="BN1" t="s">
        <v>239</v>
      </c>
      <c r="BO1" t="s">
        <v>240</v>
      </c>
      <c r="BP1" t="s">
        <v>241</v>
      </c>
      <c r="BQ1" t="s">
        <v>242</v>
      </c>
      <c r="BR1" t="s">
        <v>243</v>
      </c>
      <c r="BS1" t="s">
        <v>244</v>
      </c>
      <c r="BT1" t="s">
        <v>245</v>
      </c>
      <c r="BU1" t="s">
        <v>246</v>
      </c>
      <c r="BV1" t="s">
        <v>247</v>
      </c>
      <c r="BW1" t="s">
        <v>248</v>
      </c>
      <c r="BX1" t="s">
        <v>249</v>
      </c>
      <c r="BY1" t="s">
        <v>250</v>
      </c>
      <c r="BZ1" t="s">
        <v>251</v>
      </c>
      <c r="CA1" t="s">
        <v>252</v>
      </c>
      <c r="CB1" t="s">
        <v>253</v>
      </c>
      <c r="CC1" t="s">
        <v>254</v>
      </c>
      <c r="CD1" t="s">
        <v>255</v>
      </c>
      <c r="CE1" t="s">
        <v>256</v>
      </c>
      <c r="CF1" t="s">
        <v>257</v>
      </c>
      <c r="CG1" t="s">
        <v>258</v>
      </c>
      <c r="CH1" t="s">
        <v>259</v>
      </c>
      <c r="CI1" t="s">
        <v>260</v>
      </c>
      <c r="CJ1" t="s">
        <v>261</v>
      </c>
      <c r="CK1" t="s">
        <v>262</v>
      </c>
      <c r="CL1" t="s">
        <v>263</v>
      </c>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191</v>
      </c>
      <c r="B2">
        <v>0.10000000149011612</v>
      </c>
      <c r="C2">
        <v>7.0000000298023224E-2</v>
      </c>
      <c r="D2" s="260">
        <v>7.9743899405002594E-3</v>
      </c>
      <c r="E2"/>
      <c r="F2"/>
      <c r="G2" s="260">
        <v>7.9743899405002594E-3</v>
      </c>
      <c r="H2"/>
      <c r="I2"/>
      <c r="J2"/>
      <c r="K2"/>
      <c r="L2"/>
      <c r="M2"/>
      <c r="N2"/>
      <c r="O2"/>
      <c r="P2"/>
      <c r="Q2"/>
      <c r="R2"/>
      <c r="S2"/>
      <c r="T2"/>
      <c r="U2"/>
      <c r="V2" s="78">
        <v>1.4051224105060101E-2</v>
      </c>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192</v>
      </c>
      <c r="B3">
        <v>9.8700001835823059E-2</v>
      </c>
      <c r="C3">
        <v>5.957312136888504E-2</v>
      </c>
      <c r="D3"/>
      <c r="E3"/>
      <c r="F3"/>
      <c r="G3" s="267">
        <v>5.1322751678526402E-3</v>
      </c>
      <c r="H3"/>
      <c r="I3"/>
      <c r="J3"/>
      <c r="K3"/>
      <c r="L3"/>
      <c r="M3"/>
      <c r="N3"/>
      <c r="O3"/>
      <c r="P3"/>
      <c r="Q3"/>
      <c r="R3"/>
      <c r="S3"/>
      <c r="T3"/>
      <c r="U3"/>
      <c r="V3" s="278">
        <v>3.3994603902101517E-2</v>
      </c>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193</v>
      </c>
      <c r="B4">
        <v>9.0000003576278687E-2</v>
      </c>
      <c r="C4">
        <v>8.1000000238418579E-2</v>
      </c>
      <c r="D4"/>
      <c r="E4"/>
      <c r="F4"/>
      <c r="G4" s="77">
        <v>5.7840426452457905E-3</v>
      </c>
      <c r="H4"/>
      <c r="I4"/>
      <c r="J4"/>
      <c r="K4"/>
      <c r="L4"/>
      <c r="M4"/>
      <c r="N4"/>
      <c r="O4"/>
      <c r="P4"/>
      <c r="Q4"/>
      <c r="R4"/>
      <c r="S4"/>
      <c r="T4"/>
      <c r="U4"/>
      <c r="V4"/>
      <c r="W4"/>
      <c r="X4"/>
      <c r="Y4"/>
      <c r="Z4"/>
      <c r="AA4"/>
      <c r="AB4"/>
      <c r="AC4"/>
      <c r="AD4"/>
      <c r="AE4"/>
      <c r="AF4"/>
      <c r="AG4"/>
      <c r="AH4" s="28">
        <v>3.2159576658159494E-3</v>
      </c>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194</v>
      </c>
      <c r="B5">
        <v>9.0000003576278687E-2</v>
      </c>
      <c r="C5">
        <v>8.1000000238418579E-2</v>
      </c>
      <c r="D5"/>
      <c r="E5"/>
      <c r="F5"/>
      <c r="G5" s="268">
        <v>8.1742675974965096E-3</v>
      </c>
      <c r="H5"/>
      <c r="I5"/>
      <c r="J5"/>
      <c r="K5"/>
      <c r="L5"/>
      <c r="M5"/>
      <c r="N5"/>
      <c r="O5"/>
      <c r="P5"/>
      <c r="Q5"/>
      <c r="R5"/>
      <c r="S5"/>
      <c r="T5"/>
      <c r="U5"/>
      <c r="V5" s="15">
        <v>8.2573341205716133E-4</v>
      </c>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195</v>
      </c>
      <c r="B6">
        <v>0.30000001192092896</v>
      </c>
      <c r="C6">
        <v>4.0106162428855896E-2</v>
      </c>
      <c r="D6"/>
      <c r="E6"/>
      <c r="F6" s="136">
        <v>7.6628357172012329E-2</v>
      </c>
      <c r="G6" s="269">
        <v>9.8007675260305405E-3</v>
      </c>
      <c r="H6" s="272">
        <v>7.7417634427547455E-2</v>
      </c>
      <c r="I6" s="275">
        <v>3.2643679529428482E-2</v>
      </c>
      <c r="J6"/>
      <c r="K6"/>
      <c r="L6"/>
      <c r="M6"/>
      <c r="N6"/>
      <c r="O6"/>
      <c r="P6"/>
      <c r="Q6"/>
      <c r="R6"/>
      <c r="S6"/>
      <c r="T6"/>
      <c r="U6"/>
      <c r="V6" s="279">
        <v>6.3403405249118805E-2</v>
      </c>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196</v>
      </c>
      <c r="B7">
        <v>0.31999999284744263</v>
      </c>
      <c r="C7">
        <v>0.12591177225112915</v>
      </c>
      <c r="D7"/>
      <c r="E7"/>
      <c r="F7" s="263">
        <v>0.16256830096244812</v>
      </c>
      <c r="G7" s="21">
        <v>6.284153088927269E-3</v>
      </c>
      <c r="H7" s="11">
        <v>1.4480875688605011E-4</v>
      </c>
      <c r="I7"/>
      <c r="J7"/>
      <c r="K7"/>
      <c r="L7"/>
      <c r="M7"/>
      <c r="N7"/>
      <c r="O7"/>
      <c r="P7"/>
      <c r="Q7"/>
      <c r="R7"/>
      <c r="S7"/>
      <c r="T7"/>
      <c r="U7"/>
      <c r="V7" s="75">
        <v>2.5090960785746574E-2</v>
      </c>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197</v>
      </c>
      <c r="B8">
        <v>0.37999999523162842</v>
      </c>
      <c r="C8">
        <v>0.37933367490768433</v>
      </c>
      <c r="D8"/>
      <c r="E8"/>
      <c r="F8"/>
      <c r="G8" s="11">
        <v>1.1918951159373137E-8</v>
      </c>
      <c r="H8"/>
      <c r="I8"/>
      <c r="J8"/>
      <c r="K8"/>
      <c r="L8"/>
      <c r="M8"/>
      <c r="N8"/>
      <c r="O8"/>
      <c r="P8"/>
      <c r="Q8"/>
      <c r="R8"/>
      <c r="S8"/>
      <c r="T8"/>
      <c r="U8"/>
      <c r="V8" s="14">
        <v>6.5782573074102402E-4</v>
      </c>
      <c r="W8" s="11">
        <v>8.4815756054013036E-6</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198</v>
      </c>
      <c r="B9">
        <v>0.60000002384185791</v>
      </c>
      <c r="C9">
        <v>0.1159011498093605</v>
      </c>
      <c r="D9"/>
      <c r="E9" s="15">
        <v>5.6363637559115887E-3</v>
      </c>
      <c r="F9" s="264">
        <v>0.36363634467124939</v>
      </c>
      <c r="G9" s="270">
        <v>2.9545456171035767E-2</v>
      </c>
      <c r="H9" s="28">
        <v>2.1227274090051651E-2</v>
      </c>
      <c r="I9"/>
      <c r="J9"/>
      <c r="K9"/>
      <c r="L9"/>
      <c r="M9"/>
      <c r="N9" s="271">
        <v>2.3681819438934326E-2</v>
      </c>
      <c r="O9"/>
      <c r="P9" s="11">
        <v>2.2727272153133526E-5</v>
      </c>
      <c r="Q9" s="11">
        <v>2.5909092073561624E-5</v>
      </c>
      <c r="R9"/>
      <c r="S9"/>
      <c r="T9"/>
      <c r="U9"/>
      <c r="V9" s="68">
        <v>3.719232976436615E-2</v>
      </c>
      <c r="W9" s="23">
        <v>3.130671102553606E-3</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199</v>
      </c>
      <c r="B10">
        <v>0.67000001668930054</v>
      </c>
      <c r="C10">
        <v>0.29011154174804688</v>
      </c>
      <c r="D10"/>
      <c r="E10" s="12">
        <v>2.1197006572037935E-3</v>
      </c>
      <c r="F10" s="265">
        <v>0.11221944540739059</v>
      </c>
      <c r="G10" s="15">
        <v>6.6209477372467518E-3</v>
      </c>
      <c r="H10" s="273">
        <v>0.13715709745883942</v>
      </c>
      <c r="I10" s="22">
        <v>4.6259351074695587E-3</v>
      </c>
      <c r="J10"/>
      <c r="K10"/>
      <c r="L10"/>
      <c r="M10"/>
      <c r="N10" s="265">
        <v>0.11221944540739059</v>
      </c>
      <c r="O10" s="11">
        <v>5.860349046997726E-4</v>
      </c>
      <c r="P10" s="11">
        <v>6.2344137404579669E-5</v>
      </c>
      <c r="Q10" s="11">
        <v>1.4962593013478909E-6</v>
      </c>
      <c r="R10" s="12">
        <v>3.0824160203337669E-3</v>
      </c>
      <c r="S10"/>
      <c r="T10"/>
      <c r="U10"/>
      <c r="V10" s="14">
        <v>1.0545897530391812E-3</v>
      </c>
      <c r="W10"/>
      <c r="X10"/>
      <c r="Y10" s="11">
        <v>1.390413090121001E-4</v>
      </c>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200</v>
      </c>
      <c r="B11">
        <v>0.70999997854232788</v>
      </c>
      <c r="C11">
        <v>0.64364135265350342</v>
      </c>
      <c r="D11"/>
      <c r="E11" s="11">
        <v>2.0234401745256037E-5</v>
      </c>
      <c r="F11" s="20">
        <v>3.0679076910018921E-2</v>
      </c>
      <c r="G11" s="18">
        <v>8.2730092108249664E-3</v>
      </c>
      <c r="H11" s="12">
        <v>2.9679420404136181E-3</v>
      </c>
      <c r="I11"/>
      <c r="J11"/>
      <c r="K11"/>
      <c r="L11"/>
      <c r="M11"/>
      <c r="N11" s="14">
        <v>7.4801791924983263E-4</v>
      </c>
      <c r="O11" s="11">
        <v>6.790761835873127E-4</v>
      </c>
      <c r="P11" s="11">
        <v>1.723543505249836E-6</v>
      </c>
      <c r="Q11" s="11">
        <v>1.516718306504572E-9</v>
      </c>
      <c r="R11"/>
      <c r="S11"/>
      <c r="T11"/>
      <c r="U11"/>
      <c r="V11" s="11">
        <v>2.2190577874425799E-4</v>
      </c>
      <c r="W11"/>
      <c r="X11"/>
      <c r="Y11" s="25">
        <v>2.2767633199691772E-2</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201</v>
      </c>
      <c r="B12">
        <v>0.37999999523162842</v>
      </c>
      <c r="C12">
        <v>0.25048869848251343</v>
      </c>
      <c r="D12"/>
      <c r="E12" s="11">
        <v>1.9911355047952384E-4</v>
      </c>
      <c r="F12" s="11">
        <v>1.0944425594061613E-4</v>
      </c>
      <c r="G12" s="11">
        <v>1.7391749133821577E-4</v>
      </c>
      <c r="H12" s="11">
        <v>2.5912036653608084E-4</v>
      </c>
      <c r="I12"/>
      <c r="J12"/>
      <c r="K12"/>
      <c r="L12"/>
      <c r="M12"/>
      <c r="N12" s="11">
        <v>5.3528810894931667E-6</v>
      </c>
      <c r="O12" s="11">
        <v>3.4094784496119246E-5</v>
      </c>
      <c r="P12"/>
      <c r="Q12"/>
      <c r="R12" s="14">
        <v>7.7542779035866261E-4</v>
      </c>
      <c r="S12"/>
      <c r="T12"/>
      <c r="U12"/>
      <c r="V12" s="11">
        <v>1.2524094017862808E-5</v>
      </c>
      <c r="W12"/>
      <c r="X12"/>
      <c r="Y12" s="18">
        <v>4.7963042743504047E-3</v>
      </c>
      <c r="Z12"/>
      <c r="AA12"/>
      <c r="AB12"/>
      <c r="AC12"/>
      <c r="AD12"/>
      <c r="AE12"/>
      <c r="AF12"/>
      <c r="AG12"/>
      <c r="AH12" s="15">
        <v>3.8258421700447798E-3</v>
      </c>
      <c r="AI12"/>
      <c r="AJ12"/>
      <c r="AK12"/>
      <c r="AL12" s="14">
        <v>5.6021113414317369E-4</v>
      </c>
      <c r="AM12"/>
      <c r="AN12"/>
      <c r="AO12"/>
      <c r="AP12" s="317">
        <v>0.11873950809240341</v>
      </c>
      <c r="AQ12"/>
      <c r="AR12"/>
      <c r="AS12"/>
      <c r="AT12" s="11">
        <v>2.04572770599043E-5</v>
      </c>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202</v>
      </c>
      <c r="B13">
        <v>0.55000001192092896</v>
      </c>
      <c r="C13">
        <v>0.47836023569107056</v>
      </c>
      <c r="D13"/>
      <c r="E13"/>
      <c r="F13" s="11">
        <v>8.7655222159810364E-5</v>
      </c>
      <c r="G13" s="23">
        <v>3.5208184272050858E-3</v>
      </c>
      <c r="H13" s="23">
        <v>2.9218408744782209E-3</v>
      </c>
      <c r="I13" s="14">
        <v>1.4901388203725219E-3</v>
      </c>
      <c r="J13"/>
      <c r="K13"/>
      <c r="L13"/>
      <c r="M13" s="18">
        <v>6.5376185812056065E-3</v>
      </c>
      <c r="N13" s="22">
        <v>4.5142439194023609E-3</v>
      </c>
      <c r="O13" s="11">
        <v>4.1709275683388114E-4</v>
      </c>
      <c r="P13"/>
      <c r="Q13" s="11">
        <v>2.1913807722739875E-4</v>
      </c>
      <c r="R13" s="14">
        <v>1.4446151908487082E-3</v>
      </c>
      <c r="S13"/>
      <c r="T13"/>
      <c r="U13"/>
      <c r="V13" s="14">
        <v>7.3788309236988425E-4</v>
      </c>
      <c r="W13" s="14">
        <v>1.5026297187432647E-3</v>
      </c>
      <c r="X13"/>
      <c r="Y13" s="291">
        <v>4.8246096819639206E-2</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203</v>
      </c>
      <c r="B14">
        <v>0.63499999046325684</v>
      </c>
      <c r="C14">
        <v>0.55753952264785767</v>
      </c>
      <c r="D14"/>
      <c r="E14"/>
      <c r="F14"/>
      <c r="G14"/>
      <c r="H14" s="23">
        <v>3.6954411771148443E-3</v>
      </c>
      <c r="I14" s="17">
        <v>8.6711933836340904E-3</v>
      </c>
      <c r="J14"/>
      <c r="K14"/>
      <c r="L14"/>
      <c r="M14"/>
      <c r="N14" s="11">
        <v>5.1115421229042113E-5</v>
      </c>
      <c r="O14"/>
      <c r="P14"/>
      <c r="Q14"/>
      <c r="R14"/>
      <c r="S14"/>
      <c r="T14"/>
      <c r="U14"/>
      <c r="V14" s="14">
        <v>9.7978848498314619E-4</v>
      </c>
      <c r="W14"/>
      <c r="X14"/>
      <c r="Y14" s="129">
        <v>6.4062952995300293E-2</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204</v>
      </c>
      <c r="B15">
        <v>0.51999998092651367</v>
      </c>
      <c r="C15">
        <v>0.13234075903892517</v>
      </c>
      <c r="D15"/>
      <c r="E15" s="11">
        <v>1.0537407035826618E-7</v>
      </c>
      <c r="F15" s="11">
        <v>6.4395266008432372E-8</v>
      </c>
      <c r="G15"/>
      <c r="H15" s="11">
        <v>5.0872262136181234E-7</v>
      </c>
      <c r="I15"/>
      <c r="J15"/>
      <c r="K15"/>
      <c r="L15"/>
      <c r="M15"/>
      <c r="N15"/>
      <c r="O15"/>
      <c r="P15"/>
      <c r="Q15"/>
      <c r="R15"/>
      <c r="S15" s="14">
        <v>5.5882340529933572E-4</v>
      </c>
      <c r="T15"/>
      <c r="U15"/>
      <c r="V15"/>
      <c r="W15"/>
      <c r="X15" s="22">
        <v>3.7917154841125011E-3</v>
      </c>
      <c r="Y15" s="14">
        <v>9.0387562522664666E-4</v>
      </c>
      <c r="Z15"/>
      <c r="AA15"/>
      <c r="AB15"/>
      <c r="AC15"/>
      <c r="AD15"/>
      <c r="AE15"/>
      <c r="AF15" s="12">
        <v>2.4873628281056881E-3</v>
      </c>
      <c r="AG15"/>
      <c r="AH15"/>
      <c r="AI15"/>
      <c r="AJ15"/>
      <c r="AK15"/>
      <c r="AL15" s="11">
        <v>2.2369518774212338E-5</v>
      </c>
      <c r="AM15"/>
      <c r="AN15"/>
      <c r="AO15" s="318">
        <v>0.2062109112739563</v>
      </c>
      <c r="AP15" s="104">
        <v>0.15126368403434753</v>
      </c>
      <c r="AQ15"/>
      <c r="AR15"/>
      <c r="AS15"/>
      <c r="AT15"/>
      <c r="AU15"/>
      <c r="AV15" s="20">
        <v>2.2419800981879234E-2</v>
      </c>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205</v>
      </c>
      <c r="B16">
        <v>1.3289999961853027</v>
      </c>
      <c r="C16">
        <v>1.0988441705703735</v>
      </c>
      <c r="D16"/>
      <c r="E16"/>
      <c r="F16" s="14">
        <v>1.5903754392638803E-3</v>
      </c>
      <c r="G16" s="11">
        <v>3.5622065297502559E-6</v>
      </c>
      <c r="H16" s="11">
        <v>4.8122063162736595E-5</v>
      </c>
      <c r="I16"/>
      <c r="J16"/>
      <c r="K16"/>
      <c r="L16"/>
      <c r="M16"/>
      <c r="N16"/>
      <c r="O16"/>
      <c r="P16"/>
      <c r="Q16"/>
      <c r="R16"/>
      <c r="S16"/>
      <c r="T16"/>
      <c r="U16"/>
      <c r="V16"/>
      <c r="W16" s="12">
        <v>4.918296355754137E-3</v>
      </c>
      <c r="X16" s="132">
        <v>3.8010615855455399E-2</v>
      </c>
      <c r="Y16" s="12">
        <v>4.3744659051299095E-3</v>
      </c>
      <c r="Z16" s="269">
        <v>4.4704660773277283E-2</v>
      </c>
      <c r="AA16" s="74">
        <v>0.12529338896274567</v>
      </c>
      <c r="AB16"/>
      <c r="AC16"/>
      <c r="AD16"/>
      <c r="AE16"/>
      <c r="AF16"/>
      <c r="AG16"/>
      <c r="AH16"/>
      <c r="AI16"/>
      <c r="AJ16"/>
      <c r="AK16"/>
      <c r="AL16" s="22">
        <v>1.1212325654923916E-2</v>
      </c>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206</v>
      </c>
      <c r="B17">
        <v>0.74800002574920654</v>
      </c>
      <c r="C17">
        <v>0.47633785009384155</v>
      </c>
      <c r="D17"/>
      <c r="E17" s="11">
        <v>1.5886415667409892E-6</v>
      </c>
      <c r="F17" s="11">
        <v>6.9148122747719754E-6</v>
      </c>
      <c r="G17" s="11">
        <v>2.8012279926770134E-6</v>
      </c>
      <c r="H17" s="11">
        <v>2.2870299289934337E-6</v>
      </c>
      <c r="I17"/>
      <c r="J17"/>
      <c r="K17"/>
      <c r="L17"/>
      <c r="M17" s="11">
        <v>1.0744436167442473E-6</v>
      </c>
      <c r="N17"/>
      <c r="O17" s="11">
        <v>1.3046815001871437E-4</v>
      </c>
      <c r="P17"/>
      <c r="Q17"/>
      <c r="R17"/>
      <c r="S17"/>
      <c r="T17"/>
      <c r="U17" s="11">
        <v>3.9291827124543488E-4</v>
      </c>
      <c r="V17"/>
      <c r="W17"/>
      <c r="X17" s="23">
        <v>4.4737588614225388E-3</v>
      </c>
      <c r="Y17" s="11">
        <v>5.2664807299152017E-4</v>
      </c>
      <c r="Z17" s="14">
        <v>7.4832106474786997E-4</v>
      </c>
      <c r="AA17" s="14">
        <v>1.8228603294119239E-3</v>
      </c>
      <c r="AB17"/>
      <c r="AC17"/>
      <c r="AD17" s="14">
        <v>9.6750800730660558E-4</v>
      </c>
      <c r="AE17"/>
      <c r="AF17" s="11">
        <v>2.89774383418262E-4</v>
      </c>
      <c r="AG17"/>
      <c r="AH17"/>
      <c r="AI17"/>
      <c r="AJ17"/>
      <c r="AK17"/>
      <c r="AL17"/>
      <c r="AM17"/>
      <c r="AN17"/>
      <c r="AO17" s="311">
        <v>0.11131536960601807</v>
      </c>
      <c r="AP17" s="19">
        <v>1.3794982805848122E-2</v>
      </c>
      <c r="AQ17"/>
      <c r="AR17"/>
      <c r="AS17"/>
      <c r="AT17"/>
      <c r="AU17"/>
      <c r="AV17" s="271">
        <v>2.9391791671514511E-2</v>
      </c>
      <c r="AW17"/>
      <c r="AX17"/>
      <c r="AY17"/>
      <c r="AZ17"/>
      <c r="BA17"/>
      <c r="BB17"/>
      <c r="BC17"/>
      <c r="BD17"/>
      <c r="BE17"/>
      <c r="BF17"/>
      <c r="BG17"/>
      <c r="BH17"/>
      <c r="BI17"/>
      <c r="BJ17"/>
      <c r="BK17" s="310">
        <v>0.10779312998056412</v>
      </c>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207</v>
      </c>
      <c r="B18">
        <v>0.84200000762939453</v>
      </c>
      <c r="C18">
        <v>0.44528666138648987</v>
      </c>
      <c r="D18"/>
      <c r="E18" s="11">
        <v>4.9107143422588706E-4</v>
      </c>
      <c r="F18"/>
      <c r="G18"/>
      <c r="H18"/>
      <c r="I18"/>
      <c r="J18"/>
      <c r="K18"/>
      <c r="L18"/>
      <c r="M18"/>
      <c r="N18" s="11">
        <v>4.9512984696775675E-4</v>
      </c>
      <c r="O18"/>
      <c r="P18"/>
      <c r="Q18"/>
      <c r="R18"/>
      <c r="S18"/>
      <c r="T18"/>
      <c r="U18"/>
      <c r="V18" s="15">
        <v>7.4539692141115665E-3</v>
      </c>
      <c r="W18" s="23">
        <v>5.2565387450158596E-3</v>
      </c>
      <c r="X18"/>
      <c r="Y18" s="11">
        <v>3.3036989043466747E-4</v>
      </c>
      <c r="Z18" s="13">
        <v>3.0915888026356697E-2</v>
      </c>
      <c r="AA18" s="126">
        <v>0.10830962657928467</v>
      </c>
      <c r="AB18"/>
      <c r="AC18"/>
      <c r="AD18" s="282">
        <v>0.17442022264003754</v>
      </c>
      <c r="AE18"/>
      <c r="AF18"/>
      <c r="AG18"/>
      <c r="AH18"/>
      <c r="AI18"/>
      <c r="AJ18"/>
      <c r="AK18"/>
      <c r="AL18"/>
      <c r="AM18"/>
      <c r="AN18"/>
      <c r="AO18" s="285">
        <v>6.9040499627590179E-2</v>
      </c>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208</v>
      </c>
      <c r="B19">
        <v>0.5350000262260437</v>
      </c>
      <c r="C19">
        <v>2.354830875992775E-2</v>
      </c>
      <c r="D19"/>
      <c r="E19" s="262">
        <v>0.29832348227500916</v>
      </c>
      <c r="F19" s="11">
        <v>2.8994081731070764E-5</v>
      </c>
      <c r="G19" s="13">
        <v>1.9428007304668427E-2</v>
      </c>
      <c r="H19" s="11">
        <v>3.2001972431316972E-4</v>
      </c>
      <c r="I19"/>
      <c r="J19"/>
      <c r="K19"/>
      <c r="L19"/>
      <c r="M19"/>
      <c r="N19"/>
      <c r="O19" s="14">
        <v>5.8185402303934097E-4</v>
      </c>
      <c r="P19"/>
      <c r="Q19"/>
      <c r="R19"/>
      <c r="S19"/>
      <c r="T19"/>
      <c r="U19"/>
      <c r="V19" s="281">
        <v>8.150850236415863E-2</v>
      </c>
      <c r="W19"/>
      <c r="X19"/>
      <c r="Y19"/>
      <c r="Z19"/>
      <c r="AA19"/>
      <c r="AB19"/>
      <c r="AC19"/>
      <c r="AD19"/>
      <c r="AE19"/>
      <c r="AF19"/>
      <c r="AG19"/>
      <c r="AH19" s="282">
        <v>0.11126084625720978</v>
      </c>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209</v>
      </c>
      <c r="B20">
        <v>6</v>
      </c>
      <c r="C20">
        <v>3.4798352718353271</v>
      </c>
      <c r="D20"/>
      <c r="E20"/>
      <c r="F20"/>
      <c r="G20"/>
      <c r="H20"/>
      <c r="I20"/>
      <c r="J20"/>
      <c r="K20"/>
      <c r="L20"/>
      <c r="M20"/>
      <c r="N20"/>
      <c r="O20"/>
      <c r="P20"/>
      <c r="Q20"/>
      <c r="R20"/>
      <c r="S20"/>
      <c r="T20"/>
      <c r="U20" s="11">
        <v>3.2090542372316122E-3</v>
      </c>
      <c r="V20" s="11">
        <v>4.3803961016237736E-3</v>
      </c>
      <c r="W20" s="11">
        <v>9.5510702522005886E-5</v>
      </c>
      <c r="X20"/>
      <c r="Y20"/>
      <c r="Z20"/>
      <c r="AA20" s="135">
        <v>1.5222276449203491</v>
      </c>
      <c r="AB20"/>
      <c r="AC20"/>
      <c r="AD20" s="12">
        <v>2.6938162744045258E-2</v>
      </c>
      <c r="AE20"/>
      <c r="AF20"/>
      <c r="AG20"/>
      <c r="AH20" s="11">
        <v>1.9009372917935252E-3</v>
      </c>
      <c r="AI20"/>
      <c r="AJ20"/>
      <c r="AK20" s="22">
        <v>5.2274953573942184E-2</v>
      </c>
      <c r="AL20"/>
      <c r="AM20"/>
      <c r="AN20"/>
      <c r="AO20" s="312">
        <v>0.90913832187652588</v>
      </c>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210</v>
      </c>
      <c r="B21">
        <v>1.2649999856948853</v>
      </c>
      <c r="C21">
        <v>0.34704646468162537</v>
      </c>
      <c r="D21"/>
      <c r="E21"/>
      <c r="F21"/>
      <c r="G21" s="11">
        <v>9.0579706011340022E-5</v>
      </c>
      <c r="H21" s="11">
        <v>1.5700483118052944E-6</v>
      </c>
      <c r="I21"/>
      <c r="J21"/>
      <c r="K21"/>
      <c r="L21"/>
      <c r="M21"/>
      <c r="N21"/>
      <c r="O21"/>
      <c r="P21"/>
      <c r="Q21"/>
      <c r="R21"/>
      <c r="S21"/>
      <c r="T21" s="14">
        <v>1.2534488923847675E-3</v>
      </c>
      <c r="U21"/>
      <c r="V21"/>
      <c r="W21"/>
      <c r="X21"/>
      <c r="Y21" s="14">
        <v>2.5899091269820929E-3</v>
      </c>
      <c r="Z21"/>
      <c r="AA21"/>
      <c r="AB21"/>
      <c r="AC21"/>
      <c r="AD21" s="290">
        <v>0.25952380895614624</v>
      </c>
      <c r="AE21"/>
      <c r="AF21" s="293">
        <v>0.51429659128189087</v>
      </c>
      <c r="AG21"/>
      <c r="AH21" s="17">
        <v>1.7288170754909515E-2</v>
      </c>
      <c r="AI21"/>
      <c r="AJ21" s="286">
        <v>0.12290950864553452</v>
      </c>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211</v>
      </c>
      <c r="B22">
        <v>0.43999999761581421</v>
      </c>
      <c r="C22">
        <v>0.13201062381267548</v>
      </c>
      <c r="D22"/>
      <c r="E22" s="11">
        <v>5.1680672186193988E-5</v>
      </c>
      <c r="F22"/>
      <c r="G22" s="14">
        <v>4.3697477667592466E-4</v>
      </c>
      <c r="H22" s="11">
        <v>1.400561595801264E-4</v>
      </c>
      <c r="I22" s="11">
        <v>4.0196077316068113E-4</v>
      </c>
      <c r="J22"/>
      <c r="K22"/>
      <c r="L22"/>
      <c r="M22"/>
      <c r="N22" s="23">
        <v>2.3809522390365601E-3</v>
      </c>
      <c r="O22"/>
      <c r="P22"/>
      <c r="Q22"/>
      <c r="R22"/>
      <c r="S22"/>
      <c r="T22"/>
      <c r="U22"/>
      <c r="V22" s="136">
        <v>0.11202586442232132</v>
      </c>
      <c r="W22" s="65">
        <v>9.646325372159481E-3</v>
      </c>
      <c r="X22"/>
      <c r="Y22"/>
      <c r="Z22" s="283">
        <v>5.5478859692811966E-2</v>
      </c>
      <c r="AA22"/>
      <c r="AB22"/>
      <c r="AC22"/>
      <c r="AD22"/>
      <c r="AE22"/>
      <c r="AF22"/>
      <c r="AG22"/>
      <c r="AH22" s="104">
        <v>0.12742669880390167</v>
      </c>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212</v>
      </c>
      <c r="B23">
        <v>1.4600000381469727</v>
      </c>
      <c r="C23">
        <v>6.8777322769165039E-2</v>
      </c>
      <c r="D23"/>
      <c r="E23"/>
      <c r="F23"/>
      <c r="G23"/>
      <c r="H23"/>
      <c r="I23"/>
      <c r="J23"/>
      <c r="K23"/>
      <c r="L23"/>
      <c r="M23"/>
      <c r="N23"/>
      <c r="O23"/>
      <c r="P23"/>
      <c r="Q23"/>
      <c r="R23" s="21">
        <v>2.7605088427662849E-2</v>
      </c>
      <c r="S23"/>
      <c r="T23"/>
      <c r="U23" s="277">
        <v>0.91751343011856079</v>
      </c>
      <c r="V23"/>
      <c r="W23"/>
      <c r="X23"/>
      <c r="Y23"/>
      <c r="Z23"/>
      <c r="AA23"/>
      <c r="AB23"/>
      <c r="AC23"/>
      <c r="AD23"/>
      <c r="AE23"/>
      <c r="AF23"/>
      <c r="AG23"/>
      <c r="AH23"/>
      <c r="AI23"/>
      <c r="AJ23"/>
      <c r="AK23"/>
      <c r="AL23"/>
      <c r="AM23"/>
      <c r="AN23"/>
      <c r="AO23"/>
      <c r="AP23"/>
      <c r="AQ23"/>
      <c r="AR23"/>
      <c r="AS23"/>
      <c r="AT23"/>
      <c r="AU23"/>
      <c r="AV23"/>
      <c r="AW23"/>
      <c r="AX23" s="276">
        <v>0.44610416889190674</v>
      </c>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213</v>
      </c>
      <c r="B24">
        <v>0.48500001430511475</v>
      </c>
      <c r="C24">
        <v>6.2996082007884979E-2</v>
      </c>
      <c r="D24"/>
      <c r="E24"/>
      <c r="F24"/>
      <c r="G24" s="11">
        <v>2.0718056475743651E-4</v>
      </c>
      <c r="H24"/>
      <c r="I24" s="11">
        <v>1.6156282072188333E-5</v>
      </c>
      <c r="J24"/>
      <c r="K24"/>
      <c r="L24"/>
      <c r="M24"/>
      <c r="N24"/>
      <c r="O24"/>
      <c r="P24"/>
      <c r="Q24"/>
      <c r="R24"/>
      <c r="S24"/>
      <c r="T24"/>
      <c r="U24"/>
      <c r="V24"/>
      <c r="W24"/>
      <c r="X24"/>
      <c r="Y24"/>
      <c r="Z24" s="22">
        <v>3.5393626894801855E-3</v>
      </c>
      <c r="AA24" s="297">
        <v>0.12681490182876587</v>
      </c>
      <c r="AB24"/>
      <c r="AC24"/>
      <c r="AD24"/>
      <c r="AE24"/>
      <c r="AF24"/>
      <c r="AG24"/>
      <c r="AH24" s="304">
        <v>0.29142630100250244</v>
      </c>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214</v>
      </c>
      <c r="B25">
        <v>1.1419999599456787</v>
      </c>
      <c r="C25">
        <v>0.5680808424949646</v>
      </c>
      <c r="D25"/>
      <c r="E25"/>
      <c r="F25"/>
      <c r="G25"/>
      <c r="H25"/>
      <c r="I25"/>
      <c r="J25"/>
      <c r="K25"/>
      <c r="L25"/>
      <c r="M25"/>
      <c r="N25"/>
      <c r="O25"/>
      <c r="P25"/>
      <c r="Q25"/>
      <c r="R25" s="11">
        <v>1.0165919957216829E-4</v>
      </c>
      <c r="S25" s="11">
        <v>9.8137359600514174E-4</v>
      </c>
      <c r="T25"/>
      <c r="U25"/>
      <c r="V25" s="11">
        <v>1.8882063159253448E-5</v>
      </c>
      <c r="W25"/>
      <c r="X25"/>
      <c r="Y25"/>
      <c r="Z25" s="11">
        <v>2.8193299658596516E-4</v>
      </c>
      <c r="AA25" s="19">
        <v>1.9205557182431221E-2</v>
      </c>
      <c r="AB25" s="323">
        <v>0.49747771024703979</v>
      </c>
      <c r="AC25" s="16">
        <v>1.9032478332519531E-2</v>
      </c>
      <c r="AD25" s="25">
        <v>3.68194580078125E-2</v>
      </c>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215</v>
      </c>
      <c r="B26">
        <v>0.4440000057220459</v>
      </c>
      <c r="C26">
        <v>0.4162711501121521</v>
      </c>
      <c r="D26"/>
      <c r="E26"/>
      <c r="F26" s="11">
        <v>6.5230963741669257E-8</v>
      </c>
      <c r="G26" s="11">
        <v>8.1148563424449094E-8</v>
      </c>
      <c r="H26" s="11">
        <v>1.5667914965433738E-7</v>
      </c>
      <c r="I26"/>
      <c r="J26"/>
      <c r="K26"/>
      <c r="L26"/>
      <c r="M26"/>
      <c r="N26"/>
      <c r="O26"/>
      <c r="P26"/>
      <c r="Q26"/>
      <c r="R26"/>
      <c r="S26"/>
      <c r="T26"/>
      <c r="U26"/>
      <c r="V26" s="12">
        <v>1.5506118070334196E-3</v>
      </c>
      <c r="W26"/>
      <c r="X26"/>
      <c r="Y26" s="267">
        <v>2.3800395429134369E-2</v>
      </c>
      <c r="Z26" s="23">
        <v>2.3775515146553516E-3</v>
      </c>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216</v>
      </c>
      <c r="B27">
        <v>1.2890000343322754</v>
      </c>
      <c r="C27">
        <v>1.0727416276931763</v>
      </c>
      <c r="D27"/>
      <c r="E27" s="11">
        <v>2.6418561560603848E-7</v>
      </c>
      <c r="F27"/>
      <c r="G27"/>
      <c r="H27"/>
      <c r="I27"/>
      <c r="J27"/>
      <c r="K27"/>
      <c r="L27"/>
      <c r="M27"/>
      <c r="N27"/>
      <c r="O27"/>
      <c r="P27"/>
      <c r="Q27"/>
      <c r="R27"/>
      <c r="S27"/>
      <c r="T27"/>
      <c r="U27"/>
      <c r="V27"/>
      <c r="W27"/>
      <c r="X27"/>
      <c r="Y27"/>
      <c r="Z27"/>
      <c r="AA27"/>
      <c r="AB27"/>
      <c r="AC27"/>
      <c r="AD27"/>
      <c r="AE27"/>
      <c r="AF27" s="260">
        <v>0.10304363071918488</v>
      </c>
      <c r="AG27"/>
      <c r="AH27"/>
      <c r="AI27"/>
      <c r="AJ27"/>
      <c r="AK27"/>
      <c r="AL27"/>
      <c r="AM27"/>
      <c r="AN27"/>
      <c r="AO27"/>
      <c r="AP27"/>
      <c r="AQ27"/>
      <c r="AR27"/>
      <c r="AS27"/>
      <c r="AT27"/>
      <c r="AU27"/>
      <c r="AV27"/>
      <c r="AW27"/>
      <c r="AX27"/>
      <c r="AY27"/>
      <c r="AZ27"/>
      <c r="BA27"/>
      <c r="BB27"/>
      <c r="BC27"/>
      <c r="BD27"/>
      <c r="BE27"/>
      <c r="BF27"/>
      <c r="BG27"/>
      <c r="BH27"/>
      <c r="BI27"/>
      <c r="BJ27"/>
      <c r="BK27" s="291">
        <v>0.11321447044610977</v>
      </c>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217</v>
      </c>
      <c r="B28">
        <v>2.0699999332427979</v>
      </c>
      <c r="C28">
        <v>1.5951714515686035</v>
      </c>
      <c r="D28"/>
      <c r="E28"/>
      <c r="F28"/>
      <c r="G28"/>
      <c r="H28"/>
      <c r="I28"/>
      <c r="J28"/>
      <c r="K28"/>
      <c r="L28"/>
      <c r="M28"/>
      <c r="N28"/>
      <c r="O28"/>
      <c r="P28"/>
      <c r="Q28"/>
      <c r="R28" s="23">
        <v>1.2422599829733372E-2</v>
      </c>
      <c r="S28"/>
      <c r="T28"/>
      <c r="U28"/>
      <c r="V28"/>
      <c r="W28"/>
      <c r="X28"/>
      <c r="Y28" s="23">
        <v>1.0776105336844921E-2</v>
      </c>
      <c r="Z28"/>
      <c r="AA28"/>
      <c r="AB28"/>
      <c r="AC28"/>
      <c r="AD28"/>
      <c r="AE28"/>
      <c r="AF28"/>
      <c r="AG28"/>
      <c r="AH28"/>
      <c r="AI28"/>
      <c r="AJ28"/>
      <c r="AK28"/>
      <c r="AL28"/>
      <c r="AM28"/>
      <c r="AN28"/>
      <c r="AO28"/>
      <c r="AP28" s="296">
        <v>0.45162969827651978</v>
      </c>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218</v>
      </c>
      <c r="B29">
        <v>0.79000002145767212</v>
      </c>
      <c r="C29">
        <v>0.6254807710647583</v>
      </c>
      <c r="D29"/>
      <c r="E29"/>
      <c r="F29"/>
      <c r="G29"/>
      <c r="H29"/>
      <c r="I29"/>
      <c r="J29"/>
      <c r="K29"/>
      <c r="L29"/>
      <c r="M29"/>
      <c r="N29"/>
      <c r="O29"/>
      <c r="P29"/>
      <c r="Q29"/>
      <c r="R29" s="14">
        <v>1.4765901723876595E-3</v>
      </c>
      <c r="S29"/>
      <c r="T29"/>
      <c r="U29"/>
      <c r="V29"/>
      <c r="W29" s="11">
        <v>1.9573253666749224E-5</v>
      </c>
      <c r="X29" s="309">
        <v>8.8606476783752441E-2</v>
      </c>
      <c r="Y29"/>
      <c r="Z29"/>
      <c r="AA29"/>
      <c r="AB29"/>
      <c r="AC29"/>
      <c r="AD29"/>
      <c r="AE29"/>
      <c r="AF29"/>
      <c r="AG29"/>
      <c r="AH29" s="74">
        <v>7.3822371661663055E-2</v>
      </c>
      <c r="AI29"/>
      <c r="AJ29"/>
      <c r="AK29"/>
      <c r="AL29"/>
      <c r="AM29"/>
      <c r="AN29"/>
      <c r="AO29"/>
      <c r="AP29"/>
      <c r="AQ29"/>
      <c r="AR29"/>
      <c r="AS29"/>
      <c r="AT29" s="11">
        <v>5.9420667821541429E-4</v>
      </c>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t="s">
        <v>219</v>
      </c>
      <c r="B30">
        <v>0.65299999713897705</v>
      </c>
      <c r="C30">
        <v>2.029629610478878E-2</v>
      </c>
      <c r="D30"/>
      <c r="E30"/>
      <c r="F30"/>
      <c r="G30" s="11">
        <v>2.1627905880450271E-5</v>
      </c>
      <c r="H30"/>
      <c r="I30"/>
      <c r="J30"/>
      <c r="K30"/>
      <c r="L30"/>
      <c r="M30"/>
      <c r="N30"/>
      <c r="O30"/>
      <c r="P30"/>
      <c r="Q30"/>
      <c r="R30"/>
      <c r="S30"/>
      <c r="T30"/>
      <c r="U30"/>
      <c r="V30" s="280">
        <v>0.60510051250457764</v>
      </c>
      <c r="W30" s="20">
        <v>2.7581557631492615E-2</v>
      </c>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t="s">
        <v>220</v>
      </c>
      <c r="B31">
        <v>0.65299999713897705</v>
      </c>
      <c r="C31">
        <v>0.57113093137741089</v>
      </c>
      <c r="D31"/>
      <c r="E31"/>
      <c r="F31" s="11">
        <v>8.800436626188457E-5</v>
      </c>
      <c r="G31"/>
      <c r="H31" s="11">
        <v>2.8898582968395203E-5</v>
      </c>
      <c r="I31"/>
      <c r="J31"/>
      <c r="K31"/>
      <c r="L31"/>
      <c r="M31"/>
      <c r="N31"/>
      <c r="O31"/>
      <c r="P31"/>
      <c r="Q31"/>
      <c r="R31"/>
      <c r="S31"/>
      <c r="T31"/>
      <c r="U31"/>
      <c r="V31"/>
      <c r="W31"/>
      <c r="X31"/>
      <c r="Y31" s="103">
        <v>8.128780871629715E-2</v>
      </c>
      <c r="Z31"/>
      <c r="AA31"/>
      <c r="AB31"/>
      <c r="AC31"/>
      <c r="AD31"/>
      <c r="AE31"/>
      <c r="AF31"/>
      <c r="AG31"/>
      <c r="AH31"/>
      <c r="AI31"/>
      <c r="AJ31"/>
      <c r="AK31"/>
      <c r="AL31"/>
      <c r="AM31"/>
      <c r="AN31"/>
      <c r="AO31"/>
      <c r="AP31"/>
      <c r="AQ31"/>
      <c r="AR31"/>
      <c r="AS31"/>
      <c r="AT31" s="11">
        <v>4.6435659169219434E-4</v>
      </c>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t="s">
        <v>221</v>
      </c>
      <c r="B32">
        <v>0.65499997138977051</v>
      </c>
      <c r="C32">
        <v>0.29158738255500793</v>
      </c>
      <c r="D32"/>
      <c r="E32"/>
      <c r="F32"/>
      <c r="G32"/>
      <c r="H32"/>
      <c r="I32"/>
      <c r="J32"/>
      <c r="K32"/>
      <c r="L32"/>
      <c r="M32"/>
      <c r="N32"/>
      <c r="O32"/>
      <c r="P32"/>
      <c r="Q32"/>
      <c r="R32"/>
      <c r="S32"/>
      <c r="T32"/>
      <c r="U32"/>
      <c r="V32"/>
      <c r="W32"/>
      <c r="X32"/>
      <c r="Y32" s="12">
        <v>2.8806219343096018E-3</v>
      </c>
      <c r="Z32"/>
      <c r="AA32"/>
      <c r="AB32"/>
      <c r="AC32"/>
      <c r="AD32"/>
      <c r="AE32"/>
      <c r="AF32"/>
      <c r="AG32"/>
      <c r="AH32"/>
      <c r="AI32"/>
      <c r="AJ32" s="307">
        <v>0.36053195595741272</v>
      </c>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t="s">
        <v>222</v>
      </c>
      <c r="B33">
        <v>0.41999998688697815</v>
      </c>
      <c r="C33">
        <v>0.41356664896011353</v>
      </c>
      <c r="D33"/>
      <c r="E33"/>
      <c r="F33"/>
      <c r="G33"/>
      <c r="H33"/>
      <c r="I33"/>
      <c r="J33"/>
      <c r="K33"/>
      <c r="L33"/>
      <c r="M33"/>
      <c r="N33"/>
      <c r="O33"/>
      <c r="P33"/>
      <c r="Q33"/>
      <c r="R33"/>
      <c r="S33"/>
      <c r="T33"/>
      <c r="U33"/>
      <c r="V33"/>
      <c r="W33"/>
      <c r="X33"/>
      <c r="Y33" s="16">
        <v>6.4333346672356129E-3</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t="s">
        <v>223</v>
      </c>
      <c r="B34">
        <v>0.29800000786781311</v>
      </c>
      <c r="C34">
        <v>1.8939213827252388E-2</v>
      </c>
      <c r="D34"/>
      <c r="E34" s="14">
        <v>5.3061224753037095E-4</v>
      </c>
      <c r="F34" s="266">
        <v>0.16326531767845154</v>
      </c>
      <c r="G34" s="271">
        <v>1.1600430123507977E-2</v>
      </c>
      <c r="H34" s="274">
        <v>2.0193342119455338E-2</v>
      </c>
      <c r="I34"/>
      <c r="J34"/>
      <c r="K34"/>
      <c r="L34"/>
      <c r="M34"/>
      <c r="N34" s="26">
        <v>7.5187976472079754E-3</v>
      </c>
      <c r="O34"/>
      <c r="P34"/>
      <c r="Q34" s="135">
        <v>7.518797367811203E-2</v>
      </c>
      <c r="R34"/>
      <c r="S34"/>
      <c r="T34"/>
      <c r="U34"/>
      <c r="V34"/>
      <c r="W34" s="14">
        <v>7.6434394577518106E-4</v>
      </c>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t="s">
        <v>224</v>
      </c>
      <c r="B35">
        <v>1.1200000047683716</v>
      </c>
      <c r="C35">
        <v>0.1027727797627449</v>
      </c>
      <c r="D35"/>
      <c r="E35"/>
      <c r="F35"/>
      <c r="G35"/>
      <c r="H35"/>
      <c r="I35"/>
      <c r="J35"/>
      <c r="K35"/>
      <c r="L35"/>
      <c r="M35"/>
      <c r="N35"/>
      <c r="O35"/>
      <c r="P35"/>
      <c r="Q35"/>
      <c r="R35" s="287">
        <v>1.0151125192642212</v>
      </c>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s="14">
        <v>2.1146521903574467E-3</v>
      </c>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t="s">
        <v>225</v>
      </c>
      <c r="B36">
        <v>2.5</v>
      </c>
      <c r="C36">
        <v>2.072615385055542</v>
      </c>
      <c r="D36"/>
      <c r="E36"/>
      <c r="F36"/>
      <c r="G36"/>
      <c r="H36"/>
      <c r="I36"/>
      <c r="J36"/>
      <c r="K36"/>
      <c r="L36"/>
      <c r="M36"/>
      <c r="N36"/>
      <c r="O36"/>
      <c r="P36"/>
      <c r="Q36"/>
      <c r="R36"/>
      <c r="S36"/>
      <c r="T36"/>
      <c r="U36"/>
      <c r="V36"/>
      <c r="W36"/>
      <c r="X36" s="11">
        <v>1.581410993821919E-3</v>
      </c>
      <c r="Y36"/>
      <c r="Z36"/>
      <c r="AA36"/>
      <c r="AB36" s="21">
        <v>4.8588607460260391E-2</v>
      </c>
      <c r="AC36" s="11">
        <v>9.7925018053501844E-4</v>
      </c>
      <c r="AD36" s="11">
        <v>7.4951420538127422E-4</v>
      </c>
      <c r="AE36"/>
      <c r="AF36" s="11">
        <v>2.1949539586785249E-5</v>
      </c>
      <c r="AG36"/>
      <c r="AH36"/>
      <c r="AI36"/>
      <c r="AJ36" s="11">
        <v>1.2443173909559846E-3</v>
      </c>
      <c r="AK36"/>
      <c r="AL36"/>
      <c r="AM36"/>
      <c r="AN36"/>
      <c r="AO36" s="23">
        <v>1.6863608732819557E-2</v>
      </c>
      <c r="AP36"/>
      <c r="AQ36"/>
      <c r="AR36"/>
      <c r="AS36"/>
      <c r="AT36"/>
      <c r="AU36" s="12">
        <v>8.1204148009419441E-3</v>
      </c>
      <c r="AV36"/>
      <c r="AW36"/>
      <c r="AX36"/>
      <c r="AY36"/>
      <c r="AZ36"/>
      <c r="BA36"/>
      <c r="BB36"/>
      <c r="BC36"/>
      <c r="BD36"/>
      <c r="BE36"/>
      <c r="BF36"/>
      <c r="BG36" s="77">
        <v>0.1599251925945282</v>
      </c>
      <c r="BH36"/>
      <c r="BI36" s="284">
        <v>5.9645231813192368E-2</v>
      </c>
      <c r="BJ36" s="69">
        <v>0.1274092048406601</v>
      </c>
      <c r="BK36"/>
      <c r="BL36"/>
      <c r="BM36"/>
      <c r="BN36"/>
      <c r="BO36" s="11">
        <v>1.5746177814435214E-4</v>
      </c>
      <c r="BP36" s="11">
        <v>2.6200545835308731E-4</v>
      </c>
      <c r="BQ36" s="11">
        <v>1.7998048570007086E-3</v>
      </c>
      <c r="BR36" s="11">
        <v>1.0089603165397421E-5</v>
      </c>
      <c r="BS36" s="11">
        <v>2.4610819309600629E-5</v>
      </c>
      <c r="BT36"/>
      <c r="BU36" s="11">
        <v>1.9383205653866753E-6</v>
      </c>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t="s">
        <v>226</v>
      </c>
      <c r="B37">
        <v>13.25</v>
      </c>
      <c r="C37">
        <v>1.9573252201080322</v>
      </c>
      <c r="D37"/>
      <c r="E37"/>
      <c r="F37"/>
      <c r="G37"/>
      <c r="H37"/>
      <c r="I37"/>
      <c r="J37"/>
      <c r="K37"/>
      <c r="L37"/>
      <c r="M37"/>
      <c r="N37"/>
      <c r="O37"/>
      <c r="P37"/>
      <c r="Q37"/>
      <c r="R37"/>
      <c r="S37"/>
      <c r="T37"/>
      <c r="U37"/>
      <c r="V37"/>
      <c r="W37"/>
      <c r="X37"/>
      <c r="Y37"/>
      <c r="Z37"/>
      <c r="AA37" s="298">
        <v>0.58859628438949585</v>
      </c>
      <c r="AB37"/>
      <c r="AC37"/>
      <c r="AD37"/>
      <c r="AE37"/>
      <c r="AF37" s="11">
        <v>4.7433874569833279E-3</v>
      </c>
      <c r="AG37" s="333">
        <v>10.450947761535645</v>
      </c>
      <c r="AH37"/>
      <c r="AI37"/>
      <c r="AJ37" s="11">
        <v>9.7723854705691338E-3</v>
      </c>
      <c r="AK37"/>
      <c r="AL37"/>
      <c r="AM37"/>
      <c r="AN37"/>
      <c r="AO37" s="11">
        <v>7.4884821660816669E-3</v>
      </c>
      <c r="AP37"/>
      <c r="AQ37"/>
      <c r="AR37"/>
      <c r="AS37"/>
      <c r="AT37"/>
      <c r="AU37"/>
      <c r="AV37" s="14">
        <v>1.9196745008230209E-2</v>
      </c>
      <c r="AW37"/>
      <c r="AX37"/>
      <c r="AY37"/>
      <c r="AZ37"/>
      <c r="BA37"/>
      <c r="BB37"/>
      <c r="BC37"/>
      <c r="BD37"/>
      <c r="BE37"/>
      <c r="BF37"/>
      <c r="BG37"/>
      <c r="BH37"/>
      <c r="BI37"/>
      <c r="BJ37"/>
      <c r="BK37"/>
      <c r="BL37"/>
      <c r="BM37"/>
      <c r="BN37"/>
      <c r="BO37"/>
      <c r="BP37" s="12">
        <v>4.5183140784502029E-2</v>
      </c>
      <c r="BQ37"/>
      <c r="BR37" s="18">
        <v>0.16674648225307465</v>
      </c>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t="s">
        <v>227</v>
      </c>
      <c r="B38">
        <v>3.9000000953674316</v>
      </c>
      <c r="C38">
        <v>0.93614464998245239</v>
      </c>
      <c r="D38"/>
      <c r="E38"/>
      <c r="F38"/>
      <c r="G38"/>
      <c r="H38"/>
      <c r="I38"/>
      <c r="J38"/>
      <c r="K38"/>
      <c r="L38"/>
      <c r="M38"/>
      <c r="N38"/>
      <c r="O38"/>
      <c r="P38"/>
      <c r="Q38"/>
      <c r="R38"/>
      <c r="S38"/>
      <c r="T38"/>
      <c r="U38"/>
      <c r="V38"/>
      <c r="W38"/>
      <c r="X38"/>
      <c r="Y38"/>
      <c r="Z38"/>
      <c r="AA38"/>
      <c r="AB38" s="27">
        <v>0.30130550265312195</v>
      </c>
      <c r="AC38" s="12">
        <v>1.1537715792655945E-2</v>
      </c>
      <c r="AD38"/>
      <c r="AE38"/>
      <c r="AF38" s="22">
        <v>2.910214476287365E-2</v>
      </c>
      <c r="AG38"/>
      <c r="AH38" s="13">
        <v>0.14789873361587524</v>
      </c>
      <c r="AI38"/>
      <c r="AJ38" s="298">
        <v>0.17628201842308044</v>
      </c>
      <c r="AK38"/>
      <c r="AL38"/>
      <c r="AM38"/>
      <c r="AN38"/>
      <c r="AO38"/>
      <c r="AP38" s="11">
        <v>3.693464444950223E-3</v>
      </c>
      <c r="AQ38" s="12">
        <v>1.3745167292654514E-2</v>
      </c>
      <c r="AR38"/>
      <c r="AS38" s="314">
        <v>1.0591415166854858</v>
      </c>
      <c r="AT38" s="11">
        <v>7.4239223977201618E-6</v>
      </c>
      <c r="AU38" s="15">
        <v>3.7799209356307983E-2</v>
      </c>
      <c r="AV38"/>
      <c r="AW38"/>
      <c r="AX38" s="11">
        <v>1.8333048501517624E-5</v>
      </c>
      <c r="AY38"/>
      <c r="AZ38"/>
      <c r="BA38"/>
      <c r="BB38"/>
      <c r="BC38"/>
      <c r="BD38"/>
      <c r="BE38" s="11">
        <v>9.3130511231720448E-4</v>
      </c>
      <c r="BF38" s="260">
        <v>0.31281155347824097</v>
      </c>
      <c r="BG38" s="77">
        <v>0.24872356653213501</v>
      </c>
      <c r="BH38"/>
      <c r="BI38" s="14">
        <v>9.5109231770038605E-3</v>
      </c>
      <c r="BJ38"/>
      <c r="BK38"/>
      <c r="BL38" s="11">
        <v>2.9981702100485563E-3</v>
      </c>
      <c r="BM38"/>
      <c r="BN38" s="15">
        <v>3.8379795849323273E-2</v>
      </c>
      <c r="BO38" s="65">
        <v>8.3486035466194153E-2</v>
      </c>
      <c r="BP38" s="305">
        <v>0.40130990743637085</v>
      </c>
      <c r="BQ38" s="12">
        <v>1.7357217147946358E-2</v>
      </c>
      <c r="BR38" s="14">
        <v>9.906470775604248E-3</v>
      </c>
      <c r="BS38"/>
      <c r="BT38"/>
      <c r="BU38"/>
      <c r="BV38"/>
      <c r="BW38"/>
      <c r="BX38"/>
      <c r="BY38" s="16">
        <v>5.7909708470106125E-2</v>
      </c>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t="s">
        <v>228</v>
      </c>
      <c r="B39">
        <v>1.3500000238418579</v>
      </c>
      <c r="C39">
        <v>9.8023205995559692E-2</v>
      </c>
      <c r="D39"/>
      <c r="E39"/>
      <c r="F39"/>
      <c r="G39"/>
      <c r="H39"/>
      <c r="I39"/>
      <c r="J39"/>
      <c r="K39"/>
      <c r="L39"/>
      <c r="M39"/>
      <c r="N39"/>
      <c r="O39"/>
      <c r="P39"/>
      <c r="Q39"/>
      <c r="R39"/>
      <c r="S39"/>
      <c r="T39"/>
      <c r="U39"/>
      <c r="V39"/>
      <c r="W39"/>
      <c r="X39"/>
      <c r="Y39"/>
      <c r="Z39"/>
      <c r="AA39"/>
      <c r="AB39"/>
      <c r="AC39"/>
      <c r="AD39"/>
      <c r="AE39"/>
      <c r="AF39"/>
      <c r="AG39"/>
      <c r="AH39" s="14">
        <v>3.1427515204995871E-3</v>
      </c>
      <c r="AI39"/>
      <c r="AJ39"/>
      <c r="AK39"/>
      <c r="AL39"/>
      <c r="AM39"/>
      <c r="AN39"/>
      <c r="AO39"/>
      <c r="AP39"/>
      <c r="AQ39"/>
      <c r="AR39"/>
      <c r="AS39" s="294">
        <v>1.0126476287841797</v>
      </c>
      <c r="AT39"/>
      <c r="AU39"/>
      <c r="AV39"/>
      <c r="AW39"/>
      <c r="AX39" s="11">
        <v>3.4671308821998537E-4</v>
      </c>
      <c r="AY39"/>
      <c r="AZ39"/>
      <c r="BA39"/>
      <c r="BB39"/>
      <c r="BC39"/>
      <c r="BD39"/>
      <c r="BE39"/>
      <c r="BF39"/>
      <c r="BG39"/>
      <c r="BH39"/>
      <c r="BI39" s="132">
        <v>3.9971064776182175E-2</v>
      </c>
      <c r="BJ39"/>
      <c r="BK39"/>
      <c r="BL39"/>
      <c r="BM39"/>
      <c r="BN39"/>
      <c r="BO39"/>
      <c r="BP39" s="288">
        <v>0.19586847722530365</v>
      </c>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t="s">
        <v>229</v>
      </c>
      <c r="B40">
        <v>1.2089999914169312</v>
      </c>
      <c r="C40">
        <v>6.0413263738155365E-2</v>
      </c>
      <c r="D40"/>
      <c r="E40"/>
      <c r="F40"/>
      <c r="G40"/>
      <c r="H40"/>
      <c r="I40"/>
      <c r="J40"/>
      <c r="K40"/>
      <c r="L40"/>
      <c r="M40"/>
      <c r="N40"/>
      <c r="O40"/>
      <c r="P40"/>
      <c r="Q40"/>
      <c r="R40"/>
      <c r="S40"/>
      <c r="T40"/>
      <c r="U40"/>
      <c r="V40"/>
      <c r="W40"/>
      <c r="X40" s="303">
        <v>0.19897352159023285</v>
      </c>
      <c r="Y40"/>
      <c r="Z40"/>
      <c r="AA40"/>
      <c r="AB40"/>
      <c r="AC40"/>
      <c r="AD40"/>
      <c r="AE40"/>
      <c r="AF40" s="12">
        <v>4.0944353677332401E-3</v>
      </c>
      <c r="AG40"/>
      <c r="AH40" s="295">
        <v>6.9677792489528656E-2</v>
      </c>
      <c r="AI40"/>
      <c r="AJ40"/>
      <c r="AK40"/>
      <c r="AL40"/>
      <c r="AM40"/>
      <c r="AN40"/>
      <c r="AO40"/>
      <c r="AP40"/>
      <c r="AQ40"/>
      <c r="AR40"/>
      <c r="AS40"/>
      <c r="AT40"/>
      <c r="AU40"/>
      <c r="AV40"/>
      <c r="AW40"/>
      <c r="AX40"/>
      <c r="AY40"/>
      <c r="AZ40"/>
      <c r="BA40"/>
      <c r="BB40"/>
      <c r="BC40"/>
      <c r="BD40"/>
      <c r="BE40"/>
      <c r="BF40"/>
      <c r="BG40"/>
      <c r="BH40"/>
      <c r="BI40"/>
      <c r="BJ40" s="105">
        <v>0.18965846300125122</v>
      </c>
      <c r="BK40"/>
      <c r="BL40"/>
      <c r="BM40"/>
      <c r="BN40"/>
      <c r="BO40"/>
      <c r="BP40" s="313">
        <v>0.66302633285522461</v>
      </c>
      <c r="BQ40" s="19">
        <v>2.0713794976472855E-2</v>
      </c>
      <c r="BR40"/>
      <c r="BS40" s="14">
        <v>2.4423410650342703E-3</v>
      </c>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t="s">
        <v>230</v>
      </c>
      <c r="B41">
        <v>0.60000002384185791</v>
      </c>
      <c r="C41">
        <v>3.6577250808477402E-2</v>
      </c>
      <c r="D41"/>
      <c r="E41"/>
      <c r="F41"/>
      <c r="G41"/>
      <c r="H41"/>
      <c r="I41"/>
      <c r="J41"/>
      <c r="K41"/>
      <c r="L41"/>
      <c r="M41"/>
      <c r="N41"/>
      <c r="O41"/>
      <c r="P41"/>
      <c r="Q41"/>
      <c r="R41"/>
      <c r="S41"/>
      <c r="T41" s="11">
        <v>2.4433198268525302E-4</v>
      </c>
      <c r="U41"/>
      <c r="V41"/>
      <c r="W41"/>
      <c r="X41" s="18">
        <v>6.9309882819652557E-3</v>
      </c>
      <c r="Y41"/>
      <c r="Z41"/>
      <c r="AA41"/>
      <c r="AB41" s="326">
        <v>0.47073939442634583</v>
      </c>
      <c r="AC41" s="16">
        <v>9.012875147163868E-3</v>
      </c>
      <c r="AD41"/>
      <c r="AE41"/>
      <c r="AF41" s="11">
        <v>2.399940740360762E-6</v>
      </c>
      <c r="AG41"/>
      <c r="AH41"/>
      <c r="AI41" s="12">
        <v>2.4805713910609484E-3</v>
      </c>
      <c r="AJ41" s="13">
        <v>2.1803384646773338E-2</v>
      </c>
      <c r="AK41"/>
      <c r="AL41"/>
      <c r="AM41"/>
      <c r="AN41"/>
      <c r="AO41"/>
      <c r="AP41"/>
      <c r="AQ41"/>
      <c r="AR41"/>
      <c r="AS41"/>
      <c r="AT41"/>
      <c r="AU41"/>
      <c r="AV41"/>
      <c r="AW41"/>
      <c r="AX41"/>
      <c r="AY41"/>
      <c r="AZ41"/>
      <c r="BA41"/>
      <c r="BB41"/>
      <c r="BC41"/>
      <c r="BD41"/>
      <c r="BE41"/>
      <c r="BF41"/>
      <c r="BG41"/>
      <c r="BH41"/>
      <c r="BI41" s="11">
        <v>9.0806395746767521E-5</v>
      </c>
      <c r="BJ41" s="308">
        <v>5.2118029445409775E-2</v>
      </c>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t="s">
        <v>231</v>
      </c>
      <c r="B42">
        <v>7.0100002288818359</v>
      </c>
      <c r="C42">
        <v>0.11167012155056</v>
      </c>
      <c r="D42"/>
      <c r="E42"/>
      <c r="F42"/>
      <c r="G42"/>
      <c r="H42"/>
      <c r="I42"/>
      <c r="J42"/>
      <c r="K42"/>
      <c r="L42"/>
      <c r="M42"/>
      <c r="N42"/>
      <c r="O42"/>
      <c r="P42"/>
      <c r="Q42"/>
      <c r="R42"/>
      <c r="S42"/>
      <c r="T42"/>
      <c r="U42"/>
      <c r="V42"/>
      <c r="W42"/>
      <c r="X42" s="11">
        <v>1.9253890495747328E-3</v>
      </c>
      <c r="Y42"/>
      <c r="Z42" s="11">
        <v>1.9927328685298562E-4</v>
      </c>
      <c r="AA42"/>
      <c r="AB42" s="344">
        <v>4.4984445571899414</v>
      </c>
      <c r="AC42" s="21">
        <v>0.14080357551574707</v>
      </c>
      <c r="AD42"/>
      <c r="AE42"/>
      <c r="AF42"/>
      <c r="AG42" s="305">
        <v>0.71461045742034912</v>
      </c>
      <c r="AH42"/>
      <c r="AI42"/>
      <c r="AJ42" s="17">
        <v>0.10060756653547287</v>
      </c>
      <c r="AK42" s="23">
        <v>3.7279453128576279E-2</v>
      </c>
      <c r="AL42" s="11">
        <v>2.2717962565366179E-5</v>
      </c>
      <c r="AM42" s="11">
        <v>4.872766012908869E-8</v>
      </c>
      <c r="AN42"/>
      <c r="AO42" s="11">
        <v>8.8820001110434532E-5</v>
      </c>
      <c r="AP42"/>
      <c r="AQ42" s="19">
        <v>0.11931001394987106</v>
      </c>
      <c r="AR42"/>
      <c r="AS42" s="17">
        <v>9.1935001313686371E-2</v>
      </c>
      <c r="AT42"/>
      <c r="AU42" s="14">
        <v>9.0003181248903275E-3</v>
      </c>
      <c r="AV42" s="11">
        <v>2.2769030183553696E-3</v>
      </c>
      <c r="AW42"/>
      <c r="AX42" s="11">
        <v>2.291521814186126E-4</v>
      </c>
      <c r="AY42"/>
      <c r="AZ42"/>
      <c r="BA42"/>
      <c r="BB42"/>
      <c r="BC42"/>
      <c r="BD42"/>
      <c r="BE42"/>
      <c r="BF42"/>
      <c r="BG42"/>
      <c r="BH42"/>
      <c r="BI42" s="11">
        <v>1.0090199793921784E-4</v>
      </c>
      <c r="BJ42" s="66">
        <v>0.28956177830696106</v>
      </c>
      <c r="BK42"/>
      <c r="BL42"/>
      <c r="BM42"/>
      <c r="BN42" s="23">
        <v>3.664562851190567E-2</v>
      </c>
      <c r="BO42" s="268">
        <v>0.63609987497329712</v>
      </c>
      <c r="BP42" s="21">
        <v>0.14228460192680359</v>
      </c>
      <c r="BQ42" s="14">
        <v>1.6412734985351562E-2</v>
      </c>
      <c r="BR42"/>
      <c r="BS42" s="22">
        <v>6.0491323471069336E-2</v>
      </c>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t="s">
        <v>232</v>
      </c>
      <c r="B43">
        <v>9.6000003814697266</v>
      </c>
      <c r="C43">
        <v>2.2030999660491943</v>
      </c>
      <c r="D43"/>
      <c r="E43"/>
      <c r="F43"/>
      <c r="G43"/>
      <c r="H43"/>
      <c r="I43"/>
      <c r="J43"/>
      <c r="K43"/>
      <c r="L43"/>
      <c r="M43"/>
      <c r="N43"/>
      <c r="O43"/>
      <c r="P43"/>
      <c r="Q43"/>
      <c r="R43"/>
      <c r="S43"/>
      <c r="T43"/>
      <c r="U43"/>
      <c r="V43"/>
      <c r="W43"/>
      <c r="X43" s="23">
        <v>5.1298290491104126E-2</v>
      </c>
      <c r="Y43"/>
      <c r="Z43"/>
      <c r="AA43" s="14">
        <v>1.5803104266524315E-2</v>
      </c>
      <c r="AB43" s="341">
        <v>3.5492043495178223</v>
      </c>
      <c r="AC43" s="21">
        <v>0.18641158938407898</v>
      </c>
      <c r="AD43"/>
      <c r="AE43"/>
      <c r="AF43"/>
      <c r="AG43" s="71">
        <v>0.68437904119491577</v>
      </c>
      <c r="AH43" s="14">
        <v>2.5815458968281746E-2</v>
      </c>
      <c r="AI43" s="11">
        <v>3.6335343611426651E-4</v>
      </c>
      <c r="AJ43" s="23">
        <v>5.080123245716095E-2</v>
      </c>
      <c r="AK43" s="12">
        <v>2.8808102011680603E-2</v>
      </c>
      <c r="AL43" s="11">
        <v>5.6567892897874117E-5</v>
      </c>
      <c r="AM43"/>
      <c r="AN43"/>
      <c r="AO43" s="17">
        <v>0.13864830136299133</v>
      </c>
      <c r="AP43" s="15">
        <v>8.6481563746929169E-2</v>
      </c>
      <c r="AQ43" s="315">
        <v>0.92838376760482788</v>
      </c>
      <c r="AR43"/>
      <c r="AS43"/>
      <c r="AT43" s="11">
        <v>1.5759251255076379E-5</v>
      </c>
      <c r="AU43"/>
      <c r="AV43"/>
      <c r="AW43" s="11">
        <v>5.677276203641668E-5</v>
      </c>
      <c r="AX43"/>
      <c r="AY43"/>
      <c r="AZ43"/>
      <c r="BA43"/>
      <c r="BB43"/>
      <c r="BC43"/>
      <c r="BD43"/>
      <c r="BE43"/>
      <c r="BF43"/>
      <c r="BG43"/>
      <c r="BH43"/>
      <c r="BI43" s="11">
        <v>1.2562335314214579E-6</v>
      </c>
      <c r="BJ43"/>
      <c r="BK43" s="67">
        <v>0.57271021604537964</v>
      </c>
      <c r="BL43" s="22">
        <v>6.6826373338699341E-2</v>
      </c>
      <c r="BM43"/>
      <c r="BN43"/>
      <c r="BO43" s="285">
        <v>0.7919466495513916</v>
      </c>
      <c r="BP43" s="19">
        <v>0.17714484035968781</v>
      </c>
      <c r="BQ43" s="14">
        <v>1.91819928586483E-2</v>
      </c>
      <c r="BR43"/>
      <c r="BS43" s="14">
        <v>2.2562239319086075E-2</v>
      </c>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t="s">
        <v>233</v>
      </c>
      <c r="B44">
        <v>1.1399999856948853</v>
      </c>
      <c r="C44">
        <v>0.15851490199565887</v>
      </c>
      <c r="D44"/>
      <c r="E44"/>
      <c r="F44"/>
      <c r="G44"/>
      <c r="H44"/>
      <c r="I44"/>
      <c r="J44"/>
      <c r="K44"/>
      <c r="L44"/>
      <c r="M44"/>
      <c r="N44"/>
      <c r="O44"/>
      <c r="P44"/>
      <c r="Q44"/>
      <c r="R44"/>
      <c r="S44"/>
      <c r="T44"/>
      <c r="U44"/>
      <c r="V44"/>
      <c r="W44"/>
      <c r="X44"/>
      <c r="Y44"/>
      <c r="Z44" s="11">
        <v>3.2250948152068304E-6</v>
      </c>
      <c r="AA44" s="11">
        <v>2.372723538428545E-4</v>
      </c>
      <c r="AB44" s="273">
        <v>0.23280376195907593</v>
      </c>
      <c r="AC44" s="64">
        <v>6.2137551605701447E-2</v>
      </c>
      <c r="AD44" s="14">
        <v>1.3646427541971207E-3</v>
      </c>
      <c r="AE44"/>
      <c r="AF44"/>
      <c r="AG44"/>
      <c r="AH44" s="12">
        <v>4.8149162903428078E-3</v>
      </c>
      <c r="AI44" s="11">
        <v>2.3120899641071446E-5</v>
      </c>
      <c r="AJ44" s="14">
        <v>2.2655322682112455E-3</v>
      </c>
      <c r="AK44"/>
      <c r="AL44" s="11">
        <v>3.3164178603328764E-4</v>
      </c>
      <c r="AM44"/>
      <c r="AN44"/>
      <c r="AO44" s="25">
        <v>3.5089854151010513E-2</v>
      </c>
      <c r="AP44" s="21">
        <v>2.2830052301287651E-2</v>
      </c>
      <c r="AQ44"/>
      <c r="AR44"/>
      <c r="AS44"/>
      <c r="AT44" s="11">
        <v>4.7117926442297176E-5</v>
      </c>
      <c r="AU44" s="16">
        <v>1.76981370896101E-2</v>
      </c>
      <c r="AV44" s="22">
        <v>8.1070074811577797E-3</v>
      </c>
      <c r="AW44" s="11">
        <v>1.7474598280386999E-5</v>
      </c>
      <c r="AX44" s="11">
        <v>4.7877816541586071E-5</v>
      </c>
      <c r="AY44"/>
      <c r="AZ44"/>
      <c r="BA44"/>
      <c r="BB44"/>
      <c r="BC44"/>
      <c r="BD44"/>
      <c r="BE44"/>
      <c r="BF44"/>
      <c r="BG44"/>
      <c r="BH44"/>
      <c r="BI44" s="11">
        <v>1.7963287746169954E-6</v>
      </c>
      <c r="BJ44" s="268">
        <v>0.10309968143701553</v>
      </c>
      <c r="BK44" s="12">
        <v>3.6513104569166899E-3</v>
      </c>
      <c r="BL44"/>
      <c r="BM44" s="340">
        <v>0.48542103171348572</v>
      </c>
      <c r="BN44"/>
      <c r="BO44"/>
      <c r="BP44" s="11">
        <v>4.7703413292765617E-4</v>
      </c>
      <c r="BQ44" s="11">
        <v>1.7871294403448701E-4</v>
      </c>
      <c r="BR44"/>
      <c r="BS44" s="11">
        <v>8.3643442485481501E-4</v>
      </c>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t="s">
        <v>234</v>
      </c>
      <c r="B45">
        <v>0.50999999046325684</v>
      </c>
      <c r="C45">
        <v>9.514300525188446E-2</v>
      </c>
      <c r="D45"/>
      <c r="E45"/>
      <c r="F45"/>
      <c r="G45"/>
      <c r="H45"/>
      <c r="I45"/>
      <c r="J45"/>
      <c r="K45"/>
      <c r="L45"/>
      <c r="M45"/>
      <c r="N45"/>
      <c r="O45"/>
      <c r="P45"/>
      <c r="Q45"/>
      <c r="R45"/>
      <c r="S45"/>
      <c r="T45"/>
      <c r="U45"/>
      <c r="V45"/>
      <c r="W45" s="11">
        <v>2.8750518686138093E-4</v>
      </c>
      <c r="X45" s="301">
        <v>7.4546702206134796E-2</v>
      </c>
      <c r="Y45"/>
      <c r="Z45"/>
      <c r="AA45" s="291">
        <v>4.5318379998207092E-2</v>
      </c>
      <c r="AB45"/>
      <c r="AC45"/>
      <c r="AD45"/>
      <c r="AE45"/>
      <c r="AF45" s="265">
        <v>8.4631875157356262E-2</v>
      </c>
      <c r="AG45" s="22">
        <v>4.3613016605377197E-3</v>
      </c>
      <c r="AH45"/>
      <c r="AI45"/>
      <c r="AJ45" s="75">
        <v>4.0386319160461426E-2</v>
      </c>
      <c r="AK45"/>
      <c r="AL45"/>
      <c r="AM45"/>
      <c r="AN45"/>
      <c r="AO45" s="276">
        <v>0.15638157725334167</v>
      </c>
      <c r="AP45"/>
      <c r="AQ45"/>
      <c r="AR45"/>
      <c r="AS45" s="11">
        <v>2.9500524760806002E-5</v>
      </c>
      <c r="AT45"/>
      <c r="AU45"/>
      <c r="AV45"/>
      <c r="AW45"/>
      <c r="AX45"/>
      <c r="AY45"/>
      <c r="AZ45"/>
      <c r="BA45"/>
      <c r="BB45"/>
      <c r="BC45"/>
      <c r="BD45"/>
      <c r="BE45"/>
      <c r="BF45"/>
      <c r="BG45"/>
      <c r="BH45"/>
      <c r="BI45"/>
      <c r="BJ45" s="19">
        <v>8.9138029143214226E-3</v>
      </c>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t="s">
        <v>235</v>
      </c>
      <c r="B46">
        <v>2.7999999523162842</v>
      </c>
      <c r="C46">
        <v>0.14000003039836884</v>
      </c>
      <c r="D46"/>
      <c r="E46"/>
      <c r="F46"/>
      <c r="G46"/>
      <c r="H46"/>
      <c r="I46"/>
      <c r="J46" s="11">
        <v>2.77458515483886E-4</v>
      </c>
      <c r="K46"/>
      <c r="L46"/>
      <c r="M46"/>
      <c r="N46"/>
      <c r="O46"/>
      <c r="P46"/>
      <c r="Q46" s="11">
        <v>8.5506071627605706E-6</v>
      </c>
      <c r="R46" s="11">
        <v>4.7452504077227786E-5</v>
      </c>
      <c r="S46"/>
      <c r="T46"/>
      <c r="U46"/>
      <c r="V46"/>
      <c r="W46" s="11">
        <v>1.8214322335552424E-4</v>
      </c>
      <c r="X46" s="14">
        <v>6.1033619567751884E-3</v>
      </c>
      <c r="Y46"/>
      <c r="Z46" s="11">
        <v>5.3172034313320182E-6</v>
      </c>
      <c r="AA46" s="12">
        <v>9.3140518292784691E-3</v>
      </c>
      <c r="AB46" s="24">
        <v>7.6764561235904694E-2</v>
      </c>
      <c r="AC46" s="14">
        <v>5.8498978614807129E-3</v>
      </c>
      <c r="AD46" s="22">
        <v>2.1998841315507889E-2</v>
      </c>
      <c r="AE46"/>
      <c r="AF46"/>
      <c r="AG46" s="342">
        <v>0.9357953667640686</v>
      </c>
      <c r="AH46"/>
      <c r="AI46"/>
      <c r="AJ46" s="15">
        <v>2.8781065717339516E-2</v>
      </c>
      <c r="AK46"/>
      <c r="AL46"/>
      <c r="AM46"/>
      <c r="AN46"/>
      <c r="AO46" s="337">
        <v>0.65084099769592285</v>
      </c>
      <c r="AP46" s="11">
        <v>3.7247751606628299E-4</v>
      </c>
      <c r="AQ46" s="270">
        <v>0.13536190986633301</v>
      </c>
      <c r="AR46"/>
      <c r="AS46" s="334">
        <v>0.37777721881866455</v>
      </c>
      <c r="AT46"/>
      <c r="AU46" s="11">
        <v>2.4015524832066149E-4</v>
      </c>
      <c r="AV46"/>
      <c r="AW46" s="11">
        <v>6.5787326093413867E-6</v>
      </c>
      <c r="AX46" s="11">
        <v>7.0061532824183814E-6</v>
      </c>
      <c r="AY46"/>
      <c r="AZ46"/>
      <c r="BA46"/>
      <c r="BB46"/>
      <c r="BC46"/>
      <c r="BD46"/>
      <c r="BE46"/>
      <c r="BF46"/>
      <c r="BG46"/>
      <c r="BH46"/>
      <c r="BI46"/>
      <c r="BJ46"/>
      <c r="BK46" s="64">
        <v>0.15307755768299103</v>
      </c>
      <c r="BL46" s="12">
        <v>1.1457803659141064E-2</v>
      </c>
      <c r="BM46" s="26">
        <v>7.3093511164188385E-2</v>
      </c>
      <c r="BN46"/>
      <c r="BO46"/>
      <c r="BP46" s="133">
        <v>0.16988068819046021</v>
      </c>
      <c r="BQ46" s="14">
        <v>2.7513396926224232E-3</v>
      </c>
      <c r="BR46"/>
      <c r="BS46"/>
      <c r="BT46"/>
      <c r="BU46" s="11">
        <v>4.5593965296575334E-6</v>
      </c>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t="s">
        <v>236</v>
      </c>
      <c r="B47">
        <v>2.369999885559082</v>
      </c>
      <c r="C47">
        <v>0.94799977540969849</v>
      </c>
      <c r="D47"/>
      <c r="E47" s="11">
        <v>1.3130462050980896E-8</v>
      </c>
      <c r="F47"/>
      <c r="G47"/>
      <c r="H47"/>
      <c r="I47"/>
      <c r="J47"/>
      <c r="K47"/>
      <c r="L47"/>
      <c r="M47" s="11">
        <v>2.5884423493494069E-8</v>
      </c>
      <c r="N47"/>
      <c r="O47"/>
      <c r="P47"/>
      <c r="Q47"/>
      <c r="R47" s="14">
        <v>4.6537318266928196E-3</v>
      </c>
      <c r="S47" s="15">
        <v>2.2462554275989532E-2</v>
      </c>
      <c r="T47"/>
      <c r="U47"/>
      <c r="V47" s="11">
        <v>4.3218940845690668E-4</v>
      </c>
      <c r="W47" s="11">
        <v>4.8406224232167006E-4</v>
      </c>
      <c r="X47"/>
      <c r="Y47" s="19">
        <v>4.0772948414087296E-2</v>
      </c>
      <c r="Z47"/>
      <c r="AA47"/>
      <c r="AB47"/>
      <c r="AC47"/>
      <c r="AD47"/>
      <c r="AE47"/>
      <c r="AF47"/>
      <c r="AG47"/>
      <c r="AH47"/>
      <c r="AI47"/>
      <c r="AJ47"/>
      <c r="AK47" s="15">
        <v>2.184186689555645E-2</v>
      </c>
      <c r="AL47" s="12">
        <v>1.1419442482292652E-2</v>
      </c>
      <c r="AM47"/>
      <c r="AN47"/>
      <c r="AO47"/>
      <c r="AP47" s="26">
        <v>5.8158621191978455E-2</v>
      </c>
      <c r="AQ47"/>
      <c r="AR47"/>
      <c r="AS47"/>
      <c r="AT47"/>
      <c r="AU47"/>
      <c r="AV47"/>
      <c r="AW47" s="11">
        <v>2.5390269001945853E-4</v>
      </c>
      <c r="AX47" s="14">
        <v>4.1947644203901291E-3</v>
      </c>
      <c r="AY47"/>
      <c r="AZ47"/>
      <c r="BA47"/>
      <c r="BB47"/>
      <c r="BC47"/>
      <c r="BD47"/>
      <c r="BE47"/>
      <c r="BF47"/>
      <c r="BG47"/>
      <c r="BH47"/>
      <c r="BI47"/>
      <c r="BJ47"/>
      <c r="BK47"/>
      <c r="BL47" s="299">
        <v>0.27167361974716187</v>
      </c>
      <c r="BM47" s="322">
        <v>0.98565232753753662</v>
      </c>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t="s">
        <v>237</v>
      </c>
      <c r="B48">
        <v>1.7999999523162842</v>
      </c>
      <c r="C48">
        <v>1.2599999904632568</v>
      </c>
      <c r="D48"/>
      <c r="E48"/>
      <c r="F48"/>
      <c r="G48"/>
      <c r="H48"/>
      <c r="I48"/>
      <c r="J48"/>
      <c r="K48"/>
      <c r="L48"/>
      <c r="M48"/>
      <c r="N48"/>
      <c r="O48"/>
      <c r="P48"/>
      <c r="Q48"/>
      <c r="R48" s="67">
        <v>0.1051766499876976</v>
      </c>
      <c r="S48" s="19">
        <v>3.0536236241459846E-2</v>
      </c>
      <c r="T48"/>
      <c r="U48"/>
      <c r="V48" s="15">
        <v>1.9124122336506844E-2</v>
      </c>
      <c r="W48" s="23">
        <v>1.1698630638420582E-2</v>
      </c>
      <c r="X48"/>
      <c r="Y48" s="289">
        <v>0.12896591424942017</v>
      </c>
      <c r="Z48"/>
      <c r="AA48"/>
      <c r="AB48"/>
      <c r="AC48"/>
      <c r="AD48" s="15">
        <v>1.833067461848259E-2</v>
      </c>
      <c r="AE48"/>
      <c r="AF48"/>
      <c r="AG48"/>
      <c r="AH48"/>
      <c r="AI48"/>
      <c r="AJ48"/>
      <c r="AK48"/>
      <c r="AL48" s="11">
        <v>1.2223553494550288E-4</v>
      </c>
      <c r="AM48"/>
      <c r="AN48"/>
      <c r="AO48"/>
      <c r="AP48" s="15">
        <v>1.7249995842576027E-2</v>
      </c>
      <c r="AQ48" s="270">
        <v>8.8886179029941559E-2</v>
      </c>
      <c r="AR48"/>
      <c r="AS48"/>
      <c r="AT48"/>
      <c r="AU48"/>
      <c r="AV48" s="106">
        <v>0.11908002942800522</v>
      </c>
      <c r="AW48" s="11">
        <v>4.1585844883229584E-5</v>
      </c>
      <c r="AX48" s="11">
        <v>1.7124571604654193E-4</v>
      </c>
      <c r="AY48" s="11">
        <v>6.1649695271626115E-4</v>
      </c>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t="s">
        <v>238</v>
      </c>
      <c r="B49">
        <v>2.369999885559082</v>
      </c>
      <c r="C49">
        <v>0.47400036454200745</v>
      </c>
      <c r="D49" s="23">
        <v>1.1692296713590622E-2</v>
      </c>
      <c r="E49"/>
      <c r="F49"/>
      <c r="G49"/>
      <c r="H49"/>
      <c r="I49"/>
      <c r="J49" s="11">
        <v>1.0010527912527323E-3</v>
      </c>
      <c r="K49"/>
      <c r="L49"/>
      <c r="M49"/>
      <c r="N49"/>
      <c r="O49"/>
      <c r="P49" s="11">
        <v>1.6461757695651613E-5</v>
      </c>
      <c r="Q49"/>
      <c r="R49"/>
      <c r="S49" s="19">
        <v>4.2470540851354599E-2</v>
      </c>
      <c r="T49"/>
      <c r="U49"/>
      <c r="V49" s="11">
        <v>2.0122365094721317E-3</v>
      </c>
      <c r="W49" s="14">
        <v>4.6269921585917473E-3</v>
      </c>
      <c r="X49" s="270">
        <v>0.1152680516242981</v>
      </c>
      <c r="Y49" s="14">
        <v>2.8622699901461601E-3</v>
      </c>
      <c r="Z49" s="11">
        <v>1.8979504238814116E-3</v>
      </c>
      <c r="AA49" s="18">
        <v>2.6715587824583054E-2</v>
      </c>
      <c r="AB49"/>
      <c r="AC49"/>
      <c r="AD49" s="132">
        <v>7.0110559463500977E-2</v>
      </c>
      <c r="AE49"/>
      <c r="AF49"/>
      <c r="AG49"/>
      <c r="AH49"/>
      <c r="AI49"/>
      <c r="AJ49" s="315">
        <v>0.22877718508243561</v>
      </c>
      <c r="AK49" s="12">
        <v>1.1183170601725578E-2</v>
      </c>
      <c r="AL49" s="11">
        <v>4.2502044379943982E-5</v>
      </c>
      <c r="AM49"/>
      <c r="AN49"/>
      <c r="AO49"/>
      <c r="AP49" s="11">
        <v>5.9979280922561884E-4</v>
      </c>
      <c r="AQ49"/>
      <c r="AR49"/>
      <c r="AS49" s="325">
        <v>0.91731816530227661</v>
      </c>
      <c r="AT49" s="11">
        <v>4.7362587793031707E-5</v>
      </c>
      <c r="AU49" s="132">
        <v>7.0567801594734192E-2</v>
      </c>
      <c r="AV49" s="303">
        <v>0.3884899914264679</v>
      </c>
      <c r="AW49" s="11">
        <v>1.4459651538345497E-6</v>
      </c>
      <c r="AX49"/>
      <c r="AY49"/>
      <c r="AZ49"/>
      <c r="BA49"/>
      <c r="BB49"/>
      <c r="BC49"/>
      <c r="BD49"/>
      <c r="BE49"/>
      <c r="BF49"/>
      <c r="BG49"/>
      <c r="BH49"/>
      <c r="BI49"/>
      <c r="BJ49"/>
      <c r="BK49"/>
      <c r="BL49"/>
      <c r="BM49"/>
      <c r="BN49"/>
      <c r="BO49"/>
      <c r="BP49"/>
      <c r="BQ49"/>
      <c r="BR49"/>
      <c r="BS49"/>
      <c r="BT49"/>
      <c r="BU49"/>
      <c r="BV49" s="11">
        <v>2.9835899476893246E-4</v>
      </c>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t="s">
        <v>239</v>
      </c>
      <c r="B50">
        <v>2.7699999809265137</v>
      </c>
      <c r="C50">
        <v>0.13836298882961273</v>
      </c>
      <c r="D50"/>
      <c r="E50"/>
      <c r="F50"/>
      <c r="G50"/>
      <c r="H50"/>
      <c r="I50"/>
      <c r="J50"/>
      <c r="K50"/>
      <c r="L50"/>
      <c r="M50"/>
      <c r="N50"/>
      <c r="O50"/>
      <c r="P50"/>
      <c r="Q50"/>
      <c r="R50"/>
      <c r="S50"/>
      <c r="T50"/>
      <c r="U50"/>
      <c r="V50"/>
      <c r="W50"/>
      <c r="X50"/>
      <c r="Y50"/>
      <c r="Z50" s="11">
        <v>9.5042726024985313E-4</v>
      </c>
      <c r="AA50"/>
      <c r="AB50"/>
      <c r="AC50"/>
      <c r="AD50" s="11">
        <v>2.8185342671349645E-4</v>
      </c>
      <c r="AE50"/>
      <c r="AF50" s="18">
        <v>3.1787227839231491E-2</v>
      </c>
      <c r="AG50" s="328">
        <v>2.4402697086334229</v>
      </c>
      <c r="AH50"/>
      <c r="AI50"/>
      <c r="AJ50"/>
      <c r="AK50" s="11">
        <v>7.4112694710493088E-4</v>
      </c>
      <c r="AL50" s="11">
        <v>5.2259263611631468E-5</v>
      </c>
      <c r="AM50"/>
      <c r="AN50"/>
      <c r="AO50"/>
      <c r="AP50" s="66">
        <v>0.11321084201335907</v>
      </c>
      <c r="AQ50"/>
      <c r="AR50"/>
      <c r="AS50" s="17">
        <v>3.7514470517635345E-2</v>
      </c>
      <c r="AT50"/>
      <c r="AU50"/>
      <c r="AV50"/>
      <c r="AW50" s="11">
        <v>7.4859635788016021E-5</v>
      </c>
      <c r="AX50"/>
      <c r="AY50"/>
      <c r="AZ50"/>
      <c r="BA50"/>
      <c r="BB50"/>
      <c r="BC50"/>
      <c r="BD50"/>
      <c r="BE50"/>
      <c r="BF50"/>
      <c r="BG50"/>
      <c r="BH50"/>
      <c r="BI50"/>
      <c r="BJ50"/>
      <c r="BK50"/>
      <c r="BL50"/>
      <c r="BM50"/>
      <c r="BN50"/>
      <c r="BO50"/>
      <c r="BP50"/>
      <c r="BQ50" s="14">
        <v>6.7543764598667622E-3</v>
      </c>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t="s">
        <v>240</v>
      </c>
      <c r="B51">
        <v>0.67900002002716064</v>
      </c>
      <c r="C51">
        <v>0.22928188741207123</v>
      </c>
      <c r="D51"/>
      <c r="E51"/>
      <c r="F51"/>
      <c r="G51"/>
      <c r="H51"/>
      <c r="I51"/>
      <c r="J51"/>
      <c r="K51"/>
      <c r="L51"/>
      <c r="M51"/>
      <c r="N51"/>
      <c r="O51"/>
      <c r="P51"/>
      <c r="Q51"/>
      <c r="R51"/>
      <c r="S51"/>
      <c r="T51"/>
      <c r="U51"/>
      <c r="V51"/>
      <c r="W51"/>
      <c r="X51"/>
      <c r="Y51"/>
      <c r="Z51"/>
      <c r="AA51"/>
      <c r="AB51" s="24">
        <v>1.8671734258532524E-2</v>
      </c>
      <c r="AC51"/>
      <c r="AD51" s="320">
        <v>0.15262113511562347</v>
      </c>
      <c r="AE51"/>
      <c r="AF51"/>
      <c r="AG51" s="295">
        <v>3.9244320243597031E-2</v>
      </c>
      <c r="AH51"/>
      <c r="AI51"/>
      <c r="AJ51" s="11">
        <v>8.639141742605716E-5</v>
      </c>
      <c r="AK51" s="11">
        <v>7.2108568929252215E-6</v>
      </c>
      <c r="AL51"/>
      <c r="AM51"/>
      <c r="AN51"/>
      <c r="AO51" s="319">
        <v>0.1495116800069809</v>
      </c>
      <c r="AP51" s="14">
        <v>9.0599100803956389E-4</v>
      </c>
      <c r="AQ51"/>
      <c r="AR51"/>
      <c r="AS51"/>
      <c r="AT51"/>
      <c r="AU51" s="11">
        <v>5.8413857914274558E-5</v>
      </c>
      <c r="AV51" s="11">
        <v>1.4824842219240963E-4</v>
      </c>
      <c r="AW51"/>
      <c r="AX51"/>
      <c r="AY51"/>
      <c r="AZ51"/>
      <c r="BA51"/>
      <c r="BB51"/>
      <c r="BC51"/>
      <c r="BD51"/>
      <c r="BE51"/>
      <c r="BF51"/>
      <c r="BG51"/>
      <c r="BH51"/>
      <c r="BI51"/>
      <c r="BJ51"/>
      <c r="BK51"/>
      <c r="BL51"/>
      <c r="BM51" s="126">
        <v>8.7387360632419586E-2</v>
      </c>
      <c r="BN51"/>
      <c r="BO51"/>
      <c r="BP51"/>
      <c r="BQ51" s="14">
        <v>1.0756170377135277E-3</v>
      </c>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t="s">
        <v>241</v>
      </c>
      <c r="B52">
        <v>1.2580000162124634</v>
      </c>
      <c r="C52">
        <v>0.17314669489860535</v>
      </c>
      <c r="D52" s="14">
        <v>1.9379844889044762E-3</v>
      </c>
      <c r="E52"/>
      <c r="F52"/>
      <c r="G52"/>
      <c r="H52"/>
      <c r="I52"/>
      <c r="J52"/>
      <c r="K52"/>
      <c r="L52"/>
      <c r="M52"/>
      <c r="N52"/>
      <c r="O52"/>
      <c r="P52"/>
      <c r="Q52"/>
      <c r="R52"/>
      <c r="S52" s="22">
        <v>9.2498278245329857E-3</v>
      </c>
      <c r="T52"/>
      <c r="U52"/>
      <c r="V52"/>
      <c r="W52"/>
      <c r="X52" s="11">
        <v>6.2761717708781362E-4</v>
      </c>
      <c r="Y52" s="11">
        <v>8.3034916315227747E-4</v>
      </c>
      <c r="Z52"/>
      <c r="AA52"/>
      <c r="AB52" s="12">
        <v>4.2626550421118736E-3</v>
      </c>
      <c r="AC52"/>
      <c r="AD52" s="271">
        <v>4.8585273325443268E-2</v>
      </c>
      <c r="AE52"/>
      <c r="AF52"/>
      <c r="AG52" s="19">
        <v>2.2398162633180618E-2</v>
      </c>
      <c r="AH52" s="11">
        <v>2.9387164977379143E-4</v>
      </c>
      <c r="AI52"/>
      <c r="AJ52" s="11">
        <v>1.993051846511662E-4</v>
      </c>
      <c r="AK52" s="11">
        <v>1.4965450100135058E-4</v>
      </c>
      <c r="AL52" s="11">
        <v>3.7026758946012706E-5</v>
      </c>
      <c r="AM52"/>
      <c r="AN52"/>
      <c r="AO52" s="18">
        <v>1.4476283453404903E-2</v>
      </c>
      <c r="AP52"/>
      <c r="AQ52" s="11">
        <v>3.7395543586171698E-6</v>
      </c>
      <c r="AR52"/>
      <c r="AS52" s="11">
        <v>1.5982909826561809E-4</v>
      </c>
      <c r="AT52" s="11">
        <v>1.8755066548692412E-6</v>
      </c>
      <c r="AU52" s="11">
        <v>1.3335566109162755E-5</v>
      </c>
      <c r="AV52" s="11">
        <v>3.3844306017272174E-5</v>
      </c>
      <c r="AW52"/>
      <c r="AX52"/>
      <c r="AY52"/>
      <c r="AZ52"/>
      <c r="BA52"/>
      <c r="BB52"/>
      <c r="BC52"/>
      <c r="BD52"/>
      <c r="BE52"/>
      <c r="BF52"/>
      <c r="BG52"/>
      <c r="BH52"/>
      <c r="BI52" s="11">
        <v>1.345537748420611E-4</v>
      </c>
      <c r="BJ52"/>
      <c r="BK52"/>
      <c r="BL52"/>
      <c r="BM52" s="327">
        <v>0.96998584270477295</v>
      </c>
      <c r="BN52"/>
      <c r="BO52"/>
      <c r="BP52"/>
      <c r="BQ52" s="15">
        <v>1.1472313664853573E-2</v>
      </c>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t="s">
        <v>242</v>
      </c>
      <c r="B53">
        <v>2.1500000953674316</v>
      </c>
      <c r="C53">
        <v>0.41205680370330811</v>
      </c>
      <c r="D53" s="261">
        <v>0.59743160009384155</v>
      </c>
      <c r="E53"/>
      <c r="F53"/>
      <c r="G53"/>
      <c r="H53"/>
      <c r="I53"/>
      <c r="J53"/>
      <c r="K53"/>
      <c r="L53" s="23">
        <v>1.3190953992307186E-2</v>
      </c>
      <c r="M53"/>
      <c r="N53"/>
      <c r="O53"/>
      <c r="P53" s="14">
        <v>4.8436629585921764E-3</v>
      </c>
      <c r="Q53"/>
      <c r="R53"/>
      <c r="S53" s="68">
        <v>0.13324709236621857</v>
      </c>
      <c r="T53"/>
      <c r="U53"/>
      <c r="V53" s="11">
        <v>5.127465701662004E-4</v>
      </c>
      <c r="W53"/>
      <c r="X53" s="11">
        <v>9.9451550340745598E-5</v>
      </c>
      <c r="Y53" s="11">
        <v>1.0404928616480902E-4</v>
      </c>
      <c r="Z53" s="11">
        <v>4.6786382881691679E-5</v>
      </c>
      <c r="AA53" s="14">
        <v>3.129186574369669E-3</v>
      </c>
      <c r="AB53"/>
      <c r="AC53"/>
      <c r="AD53" s="306">
        <v>0.8798595666885376</v>
      </c>
      <c r="AE53"/>
      <c r="AF53"/>
      <c r="AG53"/>
      <c r="AH53" s="11">
        <v>7.1966549148783088E-4</v>
      </c>
      <c r="AI53"/>
      <c r="AJ53"/>
      <c r="AK53"/>
      <c r="AL53" s="11">
        <v>5.3338374709710479E-4</v>
      </c>
      <c r="AM53"/>
      <c r="AN53"/>
      <c r="AO53" s="11">
        <v>2.0853604655712843E-3</v>
      </c>
      <c r="AP53"/>
      <c r="AQ53" s="11">
        <v>5.3869622206548229E-5</v>
      </c>
      <c r="AR53"/>
      <c r="AS53" s="14">
        <v>2.3023956455290318E-3</v>
      </c>
      <c r="AT53" s="11">
        <v>4.5929486987006385E-6</v>
      </c>
      <c r="AU53" s="11">
        <v>1.9210361642763019E-4</v>
      </c>
      <c r="AV53" s="11">
        <v>4.8753939336165786E-4</v>
      </c>
      <c r="AW53"/>
      <c r="AX53"/>
      <c r="AY53"/>
      <c r="AZ53"/>
      <c r="BA53"/>
      <c r="BB53"/>
      <c r="BC53"/>
      <c r="BD53"/>
      <c r="BE53"/>
      <c r="BF53"/>
      <c r="BG53"/>
      <c r="BH53"/>
      <c r="BI53"/>
      <c r="BJ53"/>
      <c r="BK53"/>
      <c r="BL53"/>
      <c r="BM53" s="29">
        <v>9.9099256098270416E-2</v>
      </c>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t="s">
        <v>243</v>
      </c>
      <c r="B54">
        <v>2.7000000476837158</v>
      </c>
      <c r="C54">
        <v>1.0970481634140015</v>
      </c>
      <c r="D54"/>
      <c r="E54"/>
      <c r="F54"/>
      <c r="G54"/>
      <c r="H54"/>
      <c r="I54"/>
      <c r="J54"/>
      <c r="K54"/>
      <c r="L54"/>
      <c r="M54"/>
      <c r="N54"/>
      <c r="O54"/>
      <c r="P54"/>
      <c r="Q54"/>
      <c r="R54"/>
      <c r="S54"/>
      <c r="T54"/>
      <c r="U54"/>
      <c r="V54"/>
      <c r="W54"/>
      <c r="X54"/>
      <c r="Y54"/>
      <c r="Z54"/>
      <c r="AA54"/>
      <c r="AB54"/>
      <c r="AC54"/>
      <c r="AD54"/>
      <c r="AE54"/>
      <c r="AF54" s="14">
        <v>3.8841592613607645E-3</v>
      </c>
      <c r="AG54" s="12">
        <v>1.1188237927854061E-2</v>
      </c>
      <c r="AH54" s="23">
        <v>1.4679357409477234E-2</v>
      </c>
      <c r="AI54"/>
      <c r="AJ54"/>
      <c r="AK54"/>
      <c r="AL54"/>
      <c r="AM54"/>
      <c r="AN54"/>
      <c r="AO54" s="23">
        <v>1.446226891130209E-2</v>
      </c>
      <c r="AP54"/>
      <c r="AQ54"/>
      <c r="AR54"/>
      <c r="AS54"/>
      <c r="AT54"/>
      <c r="AU54" s="132">
        <v>7.9935945570468903E-2</v>
      </c>
      <c r="AV54" s="300">
        <v>0.37074059247970581</v>
      </c>
      <c r="AW54"/>
      <c r="AX54"/>
      <c r="AY54"/>
      <c r="AZ54"/>
      <c r="BA54"/>
      <c r="BB54"/>
      <c r="BC54"/>
      <c r="BD54"/>
      <c r="BE54"/>
      <c r="BF54"/>
      <c r="BG54"/>
      <c r="BH54"/>
      <c r="BI54"/>
      <c r="BJ54" s="14">
        <v>4.6676909551024437E-3</v>
      </c>
      <c r="BK54"/>
      <c r="BL54"/>
      <c r="BM54"/>
      <c r="BN54"/>
      <c r="BO54" s="292">
        <v>0.78663831949234009</v>
      </c>
      <c r="BP54" s="299">
        <v>0.30584901571273804</v>
      </c>
      <c r="BQ54" s="12">
        <v>1.0906186886131763E-2</v>
      </c>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t="s">
        <v>244</v>
      </c>
      <c r="B55">
        <v>2.7999999523162842</v>
      </c>
      <c r="C55">
        <v>1.8030678033828735</v>
      </c>
      <c r="D55"/>
      <c r="E55"/>
      <c r="F55"/>
      <c r="G55"/>
      <c r="H55"/>
      <c r="I55"/>
      <c r="J55"/>
      <c r="K55"/>
      <c r="L55"/>
      <c r="M55"/>
      <c r="N55"/>
      <c r="O55"/>
      <c r="P55"/>
      <c r="Q55"/>
      <c r="R55"/>
      <c r="S55"/>
      <c r="T55"/>
      <c r="U55"/>
      <c r="V55"/>
      <c r="W55"/>
      <c r="X55" s="284">
        <v>6.4256042242050171E-2</v>
      </c>
      <c r="Y55"/>
      <c r="Z55" s="11">
        <v>1.9346472981851548E-4</v>
      </c>
      <c r="AA55"/>
      <c r="AB55"/>
      <c r="AC55"/>
      <c r="AD55"/>
      <c r="AE55"/>
      <c r="AF55"/>
      <c r="AG55"/>
      <c r="AH55"/>
      <c r="AI55"/>
      <c r="AJ55"/>
      <c r="AK55" s="11">
        <v>2.2982654627412558E-4</v>
      </c>
      <c r="AL55"/>
      <c r="AM55"/>
      <c r="AN55"/>
      <c r="AO55"/>
      <c r="AP55"/>
      <c r="AQ55" s="16">
        <v>4.5943092554807663E-2</v>
      </c>
      <c r="AR55"/>
      <c r="AS55" s="18">
        <v>3.238600492477417E-2</v>
      </c>
      <c r="AT55"/>
      <c r="AU55" s="292">
        <v>0.81918483972549438</v>
      </c>
      <c r="AV55" s="18">
        <v>3.4270193427801132E-2</v>
      </c>
      <c r="AW55"/>
      <c r="AX55"/>
      <c r="AY55"/>
      <c r="AZ55"/>
      <c r="BA55"/>
      <c r="BB55"/>
      <c r="BC55"/>
      <c r="BD55"/>
      <c r="BE55"/>
      <c r="BF55"/>
      <c r="BG55"/>
      <c r="BH55"/>
      <c r="BI55"/>
      <c r="BJ55" s="11">
        <v>4.6868214849382639E-4</v>
      </c>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t="s">
        <v>245</v>
      </c>
      <c r="B56">
        <v>2.7999999523162842</v>
      </c>
      <c r="C56">
        <v>0.43988522887229919</v>
      </c>
      <c r="D56"/>
      <c r="E56"/>
      <c r="F56"/>
      <c r="G56"/>
      <c r="H56"/>
      <c r="I56"/>
      <c r="J56"/>
      <c r="K56"/>
      <c r="L56"/>
      <c r="M56"/>
      <c r="N56"/>
      <c r="O56"/>
      <c r="P56"/>
      <c r="Q56"/>
      <c r="R56"/>
      <c r="S56"/>
      <c r="T56"/>
      <c r="U56"/>
      <c r="V56"/>
      <c r="W56"/>
      <c r="X56" s="14">
        <v>4.1123866103589535E-3</v>
      </c>
      <c r="Y56"/>
      <c r="Z56" s="23">
        <v>1.4838746748864651E-2</v>
      </c>
      <c r="AA56" s="332">
        <v>1.052249550819397</v>
      </c>
      <c r="AB56" s="129">
        <v>0.27930536866188049</v>
      </c>
      <c r="AC56"/>
      <c r="AD56"/>
      <c r="AE56"/>
      <c r="AF56" s="12">
        <v>1.2887783348560333E-2</v>
      </c>
      <c r="AG56"/>
      <c r="AH56"/>
      <c r="AI56"/>
      <c r="AJ56"/>
      <c r="AK56" s="11">
        <v>9.805933223105967E-5</v>
      </c>
      <c r="AL56" s="23">
        <v>1.7832083627581596E-2</v>
      </c>
      <c r="AM56"/>
      <c r="AN56"/>
      <c r="AO56" s="128">
        <v>0.94854110479354858</v>
      </c>
      <c r="AP56"/>
      <c r="AQ56" s="11">
        <v>2.4502985179424286E-3</v>
      </c>
      <c r="AR56"/>
      <c r="AS56"/>
      <c r="AT56" s="11">
        <v>2.4578066586400382E-6</v>
      </c>
      <c r="AU56" s="11">
        <v>4.028204784845002E-6</v>
      </c>
      <c r="AV56"/>
      <c r="AW56"/>
      <c r="AX56"/>
      <c r="AY56"/>
      <c r="AZ56"/>
      <c r="BA56"/>
      <c r="BB56"/>
      <c r="BC56"/>
      <c r="BD56"/>
      <c r="BE56"/>
      <c r="BF56"/>
      <c r="BG56"/>
      <c r="BH56"/>
      <c r="BI56"/>
      <c r="BJ56"/>
      <c r="BK56"/>
      <c r="BL56" s="15">
        <v>2.7792567387223244E-2</v>
      </c>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t="s">
        <v>246</v>
      </c>
      <c r="B57">
        <v>5.000000074505806E-2</v>
      </c>
      <c r="C57">
        <v>4.5000001788139343E-2</v>
      </c>
      <c r="D57"/>
      <c r="E57"/>
      <c r="F57"/>
      <c r="G57" s="129">
        <v>5.0000003539025784E-3</v>
      </c>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t="s">
        <v>247</v>
      </c>
      <c r="B58">
        <v>2.7999999523162842</v>
      </c>
      <c r="C58">
        <v>0.55999946594238281</v>
      </c>
      <c r="D58"/>
      <c r="E58"/>
      <c r="F58"/>
      <c r="G58"/>
      <c r="H58"/>
      <c r="I58"/>
      <c r="J58"/>
      <c r="K58" s="23">
        <v>1.7478879541158676E-2</v>
      </c>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s="302">
        <v>2.2225215435028076</v>
      </c>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t="s">
        <v>248</v>
      </c>
      <c r="B59">
        <v>29.5</v>
      </c>
      <c r="C59">
        <v>22.70176887512207</v>
      </c>
      <c r="D59"/>
      <c r="E59"/>
      <c r="F59"/>
      <c r="G59"/>
      <c r="H59"/>
      <c r="I59"/>
      <c r="J59"/>
      <c r="K59"/>
      <c r="L59"/>
      <c r="M59"/>
      <c r="N59"/>
      <c r="O59"/>
      <c r="P59"/>
      <c r="Q59"/>
      <c r="R59"/>
      <c r="S59"/>
      <c r="T59"/>
      <c r="U59"/>
      <c r="V59"/>
      <c r="W59"/>
      <c r="X59"/>
      <c r="Y59"/>
      <c r="Z59"/>
      <c r="AA59"/>
      <c r="AB59"/>
      <c r="AC59"/>
      <c r="AD59"/>
      <c r="AE59"/>
      <c r="AF59"/>
      <c r="AG59"/>
      <c r="AH59"/>
      <c r="AI59"/>
      <c r="AJ59"/>
      <c r="AK59"/>
      <c r="AL59"/>
      <c r="AM59" s="9">
        <v>4.5533285475407581E-10</v>
      </c>
      <c r="AN59"/>
      <c r="AO59"/>
      <c r="AP59"/>
      <c r="AQ59"/>
      <c r="AR59" s="23">
        <v>0.2010100930929184</v>
      </c>
      <c r="AS59"/>
      <c r="AT59"/>
      <c r="AU59"/>
      <c r="AV59"/>
      <c r="AW59"/>
      <c r="AX59"/>
      <c r="AY59"/>
      <c r="AZ59"/>
      <c r="BA59"/>
      <c r="BB59"/>
      <c r="BC59"/>
      <c r="BD59"/>
      <c r="BE59"/>
      <c r="BF59"/>
      <c r="BG59"/>
      <c r="BH59"/>
      <c r="BI59"/>
      <c r="BJ59"/>
      <c r="BK59"/>
      <c r="BL59"/>
      <c r="BM59"/>
      <c r="BN59"/>
      <c r="BO59"/>
      <c r="BP59"/>
      <c r="BQ59"/>
      <c r="BR59"/>
      <c r="BS59"/>
      <c r="BT59"/>
      <c r="BU59"/>
      <c r="BV59"/>
      <c r="BW59"/>
      <c r="BX59" s="330">
        <v>6.5972223281860352</v>
      </c>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t="s">
        <v>249</v>
      </c>
      <c r="B60">
        <v>17.299999237060547</v>
      </c>
      <c r="C60">
        <v>16.605701446533203</v>
      </c>
      <c r="D60"/>
      <c r="E60"/>
      <c r="F60"/>
      <c r="G60"/>
      <c r="H60"/>
      <c r="I60"/>
      <c r="J60"/>
      <c r="K60"/>
      <c r="L60"/>
      <c r="M60"/>
      <c r="N60"/>
      <c r="O60"/>
      <c r="P60"/>
      <c r="Q60"/>
      <c r="R60"/>
      <c r="S60"/>
      <c r="T60"/>
      <c r="U60"/>
      <c r="V60"/>
      <c r="W60"/>
      <c r="X60"/>
      <c r="Y60"/>
      <c r="Z60"/>
      <c r="AA60"/>
      <c r="AB60"/>
      <c r="AC60"/>
      <c r="AD60"/>
      <c r="AE60"/>
      <c r="AF60"/>
      <c r="AG60"/>
      <c r="AH60"/>
      <c r="AI60"/>
      <c r="AJ60"/>
      <c r="AK60"/>
      <c r="AL60"/>
      <c r="AM60" s="11">
        <v>5.3241154091665521E-5</v>
      </c>
      <c r="AN60"/>
      <c r="AO60"/>
      <c r="AP60"/>
      <c r="AQ60"/>
      <c r="AR60" s="17">
        <v>0.22288000583648682</v>
      </c>
      <c r="AS60"/>
      <c r="AT60"/>
      <c r="AU60"/>
      <c r="AV60"/>
      <c r="AW60"/>
      <c r="AX60"/>
      <c r="AY60" s="11">
        <v>1.0052949190139771E-2</v>
      </c>
      <c r="AZ60"/>
      <c r="BA60"/>
      <c r="BB60"/>
      <c r="BC60"/>
      <c r="BD60"/>
      <c r="BE60"/>
      <c r="BF60"/>
      <c r="BG60"/>
      <c r="BH60"/>
      <c r="BI60"/>
      <c r="BJ60"/>
      <c r="BK60"/>
      <c r="BL60"/>
      <c r="BM60"/>
      <c r="BN60"/>
      <c r="BO60"/>
      <c r="BP60"/>
      <c r="BQ60"/>
      <c r="BR60"/>
      <c r="BS60"/>
      <c r="BT60"/>
      <c r="BU60"/>
      <c r="BV60"/>
      <c r="BW60"/>
      <c r="BX60"/>
      <c r="BY60"/>
      <c r="BZ60" s="24">
        <v>0.46131199598312378</v>
      </c>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t="s">
        <v>250</v>
      </c>
      <c r="B61">
        <v>8.6999998092651367</v>
      </c>
      <c r="C61">
        <v>0.43500009179115295</v>
      </c>
      <c r="D61"/>
      <c r="E61"/>
      <c r="F61"/>
      <c r="G61"/>
      <c r="H61"/>
      <c r="I61"/>
      <c r="J61"/>
      <c r="K61"/>
      <c r="L61"/>
      <c r="M61"/>
      <c r="N61"/>
      <c r="O61"/>
      <c r="P61"/>
      <c r="Q61"/>
      <c r="R61"/>
      <c r="S61"/>
      <c r="T61"/>
      <c r="U61"/>
      <c r="V61"/>
      <c r="W61"/>
      <c r="X61"/>
      <c r="Y61"/>
      <c r="Z61"/>
      <c r="AA61"/>
      <c r="AB61"/>
      <c r="AC61"/>
      <c r="AD61"/>
      <c r="AE61"/>
      <c r="AF61"/>
      <c r="AG61"/>
      <c r="AH61"/>
      <c r="AI61"/>
      <c r="AJ61"/>
      <c r="AK61" s="11">
        <v>5.2962941117584705E-4</v>
      </c>
      <c r="AL61"/>
      <c r="AM61"/>
      <c r="AN61"/>
      <c r="AO61" s="295">
        <v>0.4973958432674408</v>
      </c>
      <c r="AP61"/>
      <c r="AQ61"/>
      <c r="AR61"/>
      <c r="AS61" s="126">
        <v>1.1194907426834106</v>
      </c>
      <c r="AT61"/>
      <c r="AU61"/>
      <c r="AV61" s="321">
        <v>1.3527275323867798</v>
      </c>
      <c r="AW61" s="11">
        <v>2.24686274304986E-3</v>
      </c>
      <c r="AX61"/>
      <c r="AY61"/>
      <c r="AZ61"/>
      <c r="BA61"/>
      <c r="BB61"/>
      <c r="BC61"/>
      <c r="BD61"/>
      <c r="BE61"/>
      <c r="BF61"/>
      <c r="BG61"/>
      <c r="BH61"/>
      <c r="BI61"/>
      <c r="BJ61"/>
      <c r="BK61"/>
      <c r="BL61"/>
      <c r="BM61"/>
      <c r="BN61"/>
      <c r="BO61"/>
      <c r="BP61"/>
      <c r="BQ61"/>
      <c r="BR61"/>
      <c r="BS61"/>
      <c r="BT61"/>
      <c r="BU61"/>
      <c r="BV61"/>
      <c r="BW61"/>
      <c r="BX61"/>
      <c r="BY61"/>
      <c r="BZ61" s="331">
        <v>5.2926092147827148</v>
      </c>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t="s">
        <v>251</v>
      </c>
      <c r="B62">
        <v>16.5</v>
      </c>
      <c r="C62">
        <v>16.5</v>
      </c>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t="s">
        <v>252</v>
      </c>
      <c r="B63">
        <v>95</v>
      </c>
      <c r="C63">
        <v>25.335710525512695</v>
      </c>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s="346">
        <v>42.972332000732422</v>
      </c>
      <c r="BA63"/>
      <c r="BB63" s="14">
        <v>9.5658048987388611E-2</v>
      </c>
      <c r="BC63" s="11">
        <v>2.0709536038339138E-3</v>
      </c>
      <c r="BD63" s="11">
        <v>1.528805959969759E-2</v>
      </c>
      <c r="BE63" s="19">
        <v>1.6030212640762329</v>
      </c>
      <c r="BF63" s="127">
        <v>11.32628059387207</v>
      </c>
      <c r="BG63" s="127">
        <v>11.297576904296875</v>
      </c>
      <c r="BH63"/>
      <c r="BI63"/>
      <c r="BJ63"/>
      <c r="BK63"/>
      <c r="BL63"/>
      <c r="BM63"/>
      <c r="BN63"/>
      <c r="BO63"/>
      <c r="BP63"/>
      <c r="BQ63"/>
      <c r="BR63" s="14">
        <v>0.15041984617710114</v>
      </c>
      <c r="BS63"/>
      <c r="BT63"/>
      <c r="BU63"/>
      <c r="BV63"/>
      <c r="BW63"/>
      <c r="BX63"/>
      <c r="BY63" s="284">
        <v>2.2016341686248779</v>
      </c>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t="s">
        <v>253</v>
      </c>
      <c r="B64">
        <v>3</v>
      </c>
      <c r="C64">
        <v>1.4441537857055664</v>
      </c>
      <c r="D64"/>
      <c r="E64"/>
      <c r="F64"/>
      <c r="G64"/>
      <c r="H64"/>
      <c r="I64"/>
      <c r="J64"/>
      <c r="K64"/>
      <c r="L64"/>
      <c r="M64"/>
      <c r="N64"/>
      <c r="O64"/>
      <c r="P64"/>
      <c r="Q64"/>
      <c r="R64"/>
      <c r="S64"/>
      <c r="T64"/>
      <c r="U64"/>
      <c r="V64"/>
      <c r="W64"/>
      <c r="X64"/>
      <c r="Y64"/>
      <c r="Z64"/>
      <c r="AA64"/>
      <c r="AB64"/>
      <c r="AC64"/>
      <c r="AD64"/>
      <c r="AE64" s="324">
        <v>0.70570051670074463</v>
      </c>
      <c r="AF64" s="11">
        <v>5.3263496374711394E-4</v>
      </c>
      <c r="AG64"/>
      <c r="AH64"/>
      <c r="AI64"/>
      <c r="AJ64"/>
      <c r="AK64"/>
      <c r="AL64"/>
      <c r="AM64"/>
      <c r="AN64" s="12">
        <v>1.3602745719254017E-2</v>
      </c>
      <c r="AO64" s="12">
        <v>9.7682634368538857E-3</v>
      </c>
      <c r="AP64"/>
      <c r="AQ64"/>
      <c r="AR64"/>
      <c r="AS64" s="269">
        <v>9.8180733621120453E-2</v>
      </c>
      <c r="AT64"/>
      <c r="AU64"/>
      <c r="AV64" s="74">
        <v>0.2844957709312439</v>
      </c>
      <c r="AW64"/>
      <c r="AX64"/>
      <c r="AY64"/>
      <c r="AZ64"/>
      <c r="BA64"/>
      <c r="BB64"/>
      <c r="BC64"/>
      <c r="BD64"/>
      <c r="BE64"/>
      <c r="BF64" s="18">
        <v>3.5231515765190125E-2</v>
      </c>
      <c r="BG64" s="18">
        <v>3.3012401312589645E-2</v>
      </c>
      <c r="BH64" s="15">
        <v>2.8243076056241989E-2</v>
      </c>
      <c r="BI64"/>
      <c r="BJ64"/>
      <c r="BK64"/>
      <c r="BL64"/>
      <c r="BM64"/>
      <c r="BN64"/>
      <c r="BO64"/>
      <c r="BP64"/>
      <c r="BQ64"/>
      <c r="BR64" s="11">
        <v>3.512551193125546E-4</v>
      </c>
      <c r="BS64"/>
      <c r="BT64" s="316">
        <v>0.34672752022743225</v>
      </c>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t="s">
        <v>254</v>
      </c>
      <c r="B65">
        <v>2</v>
      </c>
      <c r="C65">
        <v>0.48096787929534912</v>
      </c>
      <c r="D65"/>
      <c r="E65"/>
      <c r="F65"/>
      <c r="G65"/>
      <c r="H65"/>
      <c r="I65"/>
      <c r="J65"/>
      <c r="K65"/>
      <c r="L65"/>
      <c r="M65"/>
      <c r="N65"/>
      <c r="O65"/>
      <c r="P65"/>
      <c r="Q65"/>
      <c r="R65"/>
      <c r="S65"/>
      <c r="T65"/>
      <c r="U65"/>
      <c r="V65"/>
      <c r="W65"/>
      <c r="X65"/>
      <c r="Y65"/>
      <c r="Z65"/>
      <c r="AA65"/>
      <c r="AB65"/>
      <c r="AC65"/>
      <c r="AD65"/>
      <c r="AE65" s="297">
        <v>0.51978099346160889</v>
      </c>
      <c r="AF65" s="11">
        <v>6.296087522059679E-4</v>
      </c>
      <c r="AG65"/>
      <c r="AH65"/>
      <c r="AI65" s="11">
        <v>2.7308058179187356E-6</v>
      </c>
      <c r="AJ65"/>
      <c r="AK65"/>
      <c r="AL65"/>
      <c r="AM65"/>
      <c r="AN65" s="12">
        <v>5.9247515164315701E-3</v>
      </c>
      <c r="AO65" s="69">
        <v>0.10222142189741135</v>
      </c>
      <c r="AP65"/>
      <c r="AQ65"/>
      <c r="AR65"/>
      <c r="AS65" s="71">
        <v>0.14203478395938873</v>
      </c>
      <c r="AT65"/>
      <c r="AU65"/>
      <c r="AV65"/>
      <c r="AW65"/>
      <c r="AX65"/>
      <c r="AY65"/>
      <c r="AZ65"/>
      <c r="BA65"/>
      <c r="BB65"/>
      <c r="BC65"/>
      <c r="BD65"/>
      <c r="BE65"/>
      <c r="BF65" s="285">
        <v>0.16441375017166138</v>
      </c>
      <c r="BG65"/>
      <c r="BH65" s="338">
        <v>0.5291786789894104</v>
      </c>
      <c r="BI65"/>
      <c r="BJ65"/>
      <c r="BK65"/>
      <c r="BL65"/>
      <c r="BM65"/>
      <c r="BN65"/>
      <c r="BO65"/>
      <c r="BP65"/>
      <c r="BQ65"/>
      <c r="BR65" s="22">
        <v>1.6584752127528191E-2</v>
      </c>
      <c r="BS65"/>
      <c r="BT65" s="21">
        <v>3.8245100528001785E-2</v>
      </c>
      <c r="BU65" s="11">
        <v>4.3616751099762041E-6</v>
      </c>
      <c r="BV65" s="11">
        <v>1.108728156395955E-5</v>
      </c>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t="s">
        <v>255</v>
      </c>
      <c r="B66">
        <v>2</v>
      </c>
      <c r="C66">
        <v>0.54298102855682373</v>
      </c>
      <c r="D66"/>
      <c r="E66"/>
      <c r="F66"/>
      <c r="G66"/>
      <c r="H66"/>
      <c r="I66"/>
      <c r="J66"/>
      <c r="K66"/>
      <c r="L66"/>
      <c r="M66"/>
      <c r="N66"/>
      <c r="O66"/>
      <c r="P66"/>
      <c r="Q66"/>
      <c r="R66"/>
      <c r="S66"/>
      <c r="T66"/>
      <c r="U66"/>
      <c r="V66"/>
      <c r="W66"/>
      <c r="X66"/>
      <c r="Y66"/>
      <c r="Z66"/>
      <c r="AA66"/>
      <c r="AB66"/>
      <c r="AC66"/>
      <c r="AD66"/>
      <c r="AE66" s="279">
        <v>0.42157807946205139</v>
      </c>
      <c r="AF66" s="11">
        <v>1.3386283535510302E-3</v>
      </c>
      <c r="AG66"/>
      <c r="AH66"/>
      <c r="AI66" s="11">
        <v>8.5337674704533129E-8</v>
      </c>
      <c r="AJ66"/>
      <c r="AK66"/>
      <c r="AL66"/>
      <c r="AM66"/>
      <c r="AN66" s="24">
        <v>5.5015545338392258E-2</v>
      </c>
      <c r="AO66" s="74">
        <v>0.18907509744167328</v>
      </c>
      <c r="AP66"/>
      <c r="AQ66"/>
      <c r="AR66"/>
      <c r="AS66" s="65">
        <v>4.4385869055986404E-2</v>
      </c>
      <c r="AT66"/>
      <c r="AU66"/>
      <c r="AV66" s="11">
        <v>7.9786468995735049E-4</v>
      </c>
      <c r="AW66"/>
      <c r="AX66"/>
      <c r="AY66"/>
      <c r="AZ66"/>
      <c r="BA66"/>
      <c r="BB66"/>
      <c r="BC66"/>
      <c r="BD66"/>
      <c r="BE66" s="11">
        <v>7.4545256211422384E-5</v>
      </c>
      <c r="BF66" s="12">
        <v>9.5146847888827324E-3</v>
      </c>
      <c r="BG66" s="12">
        <v>7.6417592354118824E-3</v>
      </c>
      <c r="BH66" s="347">
        <v>0.68800634145736694</v>
      </c>
      <c r="BI66"/>
      <c r="BJ66" s="11">
        <v>1.8264108803123236E-3</v>
      </c>
      <c r="BK66" s="11">
        <v>2.8747987016686238E-5</v>
      </c>
      <c r="BL66"/>
      <c r="BM66"/>
      <c r="BN66" s="23">
        <v>1.1954025365412235E-2</v>
      </c>
      <c r="BO66" s="14">
        <v>5.0787334330379963E-3</v>
      </c>
      <c r="BP66" s="12">
        <v>8.0938534811139107E-3</v>
      </c>
      <c r="BQ66" s="11">
        <v>5.7453231420367956E-4</v>
      </c>
      <c r="BR66" s="11">
        <v>6.026436312822625E-5</v>
      </c>
      <c r="BS66"/>
      <c r="BT66" s="23">
        <v>1.1951593682169914E-2</v>
      </c>
      <c r="BU66"/>
      <c r="BV66" s="11">
        <v>2.23533916141605E-5</v>
      </c>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t="s">
        <v>256</v>
      </c>
      <c r="B67">
        <v>2</v>
      </c>
      <c r="C67">
        <v>0.40033185482025146</v>
      </c>
      <c r="D67"/>
      <c r="E67"/>
      <c r="F67"/>
      <c r="G67"/>
      <c r="H67"/>
      <c r="I67"/>
      <c r="J67"/>
      <c r="K67"/>
      <c r="L67"/>
      <c r="M67"/>
      <c r="N67"/>
      <c r="O67"/>
      <c r="P67"/>
      <c r="Q67"/>
      <c r="R67"/>
      <c r="S67"/>
      <c r="T67"/>
      <c r="U67"/>
      <c r="V67"/>
      <c r="W67"/>
      <c r="X67"/>
      <c r="Y67"/>
      <c r="Z67"/>
      <c r="AA67"/>
      <c r="AB67"/>
      <c r="AC67"/>
      <c r="AD67"/>
      <c r="AE67" s="305">
        <v>0.20582932233810425</v>
      </c>
      <c r="AF67" s="14">
        <v>1.9675272051244974E-3</v>
      </c>
      <c r="AG67"/>
      <c r="AH67"/>
      <c r="AI67"/>
      <c r="AJ67"/>
      <c r="AK67"/>
      <c r="AL67"/>
      <c r="AM67"/>
      <c r="AN67" s="19">
        <v>3.4384716302156448E-2</v>
      </c>
      <c r="AO67"/>
      <c r="AP67"/>
      <c r="AQ67"/>
      <c r="AR67"/>
      <c r="AS67"/>
      <c r="AT67"/>
      <c r="AU67"/>
      <c r="AV67"/>
      <c r="AW67"/>
      <c r="AX67"/>
      <c r="AY67"/>
      <c r="AZ67"/>
      <c r="BA67"/>
      <c r="BB67"/>
      <c r="BC67"/>
      <c r="BD67"/>
      <c r="BE67"/>
      <c r="BF67" s="336">
        <v>1.332055926322937</v>
      </c>
      <c r="BG67"/>
      <c r="BH67" s="14">
        <v>4.0725036524236202E-3</v>
      </c>
      <c r="BI67"/>
      <c r="BJ67"/>
      <c r="BK67"/>
      <c r="BL67"/>
      <c r="BM67"/>
      <c r="BN67"/>
      <c r="BO67"/>
      <c r="BP67"/>
      <c r="BQ67"/>
      <c r="BR67" s="23">
        <v>1.2052870355546474E-2</v>
      </c>
      <c r="BS67"/>
      <c r="BT67" s="12">
        <v>9.1935349628329277E-3</v>
      </c>
      <c r="BU67"/>
      <c r="BV67" s="11">
        <v>1.1176695261383429E-4</v>
      </c>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t="s">
        <v>257</v>
      </c>
      <c r="B68">
        <v>2</v>
      </c>
      <c r="C68">
        <v>1.2281126976013184</v>
      </c>
      <c r="D68"/>
      <c r="E68"/>
      <c r="F68"/>
      <c r="G68"/>
      <c r="H68"/>
      <c r="I68"/>
      <c r="J68"/>
      <c r="K68"/>
      <c r="L68"/>
      <c r="M68"/>
      <c r="N68"/>
      <c r="O68"/>
      <c r="P68"/>
      <c r="Q68"/>
      <c r="R68"/>
      <c r="S68"/>
      <c r="T68"/>
      <c r="U68"/>
      <c r="V68"/>
      <c r="W68"/>
      <c r="X68"/>
      <c r="Y68"/>
      <c r="Z68"/>
      <c r="AA68"/>
      <c r="AB68"/>
      <c r="AC68"/>
      <c r="AD68"/>
      <c r="AE68"/>
      <c r="AF68"/>
      <c r="AG68"/>
      <c r="AH68"/>
      <c r="AI68"/>
      <c r="AJ68" s="23">
        <v>1.3382437638938427E-2</v>
      </c>
      <c r="AK68" s="11">
        <v>5.3089938592165709E-4</v>
      </c>
      <c r="AL68"/>
      <c r="AM68"/>
      <c r="AN68" s="132">
        <v>5.7197656482458115E-2</v>
      </c>
      <c r="AO68"/>
      <c r="AP68"/>
      <c r="AQ68"/>
      <c r="AR68"/>
      <c r="AS68"/>
      <c r="AT68"/>
      <c r="AU68"/>
      <c r="AV68"/>
      <c r="AW68"/>
      <c r="AX68"/>
      <c r="AY68"/>
      <c r="AZ68"/>
      <c r="BA68"/>
      <c r="BB68"/>
      <c r="BC68"/>
      <c r="BD68"/>
      <c r="BE68"/>
      <c r="BF68" s="269">
        <v>6.6602803766727448E-2</v>
      </c>
      <c r="BG68"/>
      <c r="BH68"/>
      <c r="BI68"/>
      <c r="BJ68"/>
      <c r="BK68"/>
      <c r="BL68"/>
      <c r="BM68"/>
      <c r="BN68" s="305">
        <v>0.2048761248588562</v>
      </c>
      <c r="BO68" s="16">
        <v>2.9625946655869484E-2</v>
      </c>
      <c r="BP68" s="65">
        <v>4.3286159634590149E-2</v>
      </c>
      <c r="BQ68" s="11">
        <v>1.6423742054030299E-3</v>
      </c>
      <c r="BR68" s="23">
        <v>1.2956838123500347E-2</v>
      </c>
      <c r="BS68"/>
      <c r="BT68" s="310">
        <v>0.28499951958656311</v>
      </c>
      <c r="BU68"/>
      <c r="BV68" s="14">
        <v>3.8559592794626951E-3</v>
      </c>
      <c r="BW68"/>
      <c r="BX68"/>
      <c r="BY68" s="26">
        <v>5.2930671721696854E-2</v>
      </c>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t="s">
        <v>258</v>
      </c>
      <c r="B69">
        <v>2.1449999809265137</v>
      </c>
      <c r="C69">
        <v>0.22890780866146088</v>
      </c>
      <c r="D69"/>
      <c r="E69"/>
      <c r="F69"/>
      <c r="G69"/>
      <c r="H69"/>
      <c r="I69"/>
      <c r="J69"/>
      <c r="K69"/>
      <c r="L69"/>
      <c r="M69"/>
      <c r="N69"/>
      <c r="O69"/>
      <c r="P69"/>
      <c r="Q69"/>
      <c r="R69"/>
      <c r="S69"/>
      <c r="T69"/>
      <c r="U69"/>
      <c r="V69"/>
      <c r="W69"/>
      <c r="X69"/>
      <c r="Y69"/>
      <c r="Z69"/>
      <c r="AA69" s="19">
        <v>3.6671094596385956E-2</v>
      </c>
      <c r="AB69"/>
      <c r="AC69"/>
      <c r="AD69"/>
      <c r="AE69"/>
      <c r="AF69"/>
      <c r="AG69" s="267">
        <v>0.11420053243637085</v>
      </c>
      <c r="AH69"/>
      <c r="AI69" s="11">
        <v>1.684217932051979E-5</v>
      </c>
      <c r="AJ69" s="18">
        <v>2.5133183225989342E-2</v>
      </c>
      <c r="AK69" s="11">
        <v>3.5767353256233037E-4</v>
      </c>
      <c r="AL69"/>
      <c r="AM69"/>
      <c r="AN69" s="15">
        <v>1.9601505249738693E-2</v>
      </c>
      <c r="AO69"/>
      <c r="AP69"/>
      <c r="AQ69"/>
      <c r="AR69"/>
      <c r="AS69"/>
      <c r="AT69"/>
      <c r="AU69"/>
      <c r="AV69" s="26">
        <v>5.3925160318613052E-2</v>
      </c>
      <c r="AW69"/>
      <c r="AX69"/>
      <c r="AY69" s="11">
        <v>3.6434263165574521E-5</v>
      </c>
      <c r="AZ69"/>
      <c r="BA69"/>
      <c r="BB69" s="14">
        <v>3.6922204308211803E-3</v>
      </c>
      <c r="BC69"/>
      <c r="BD69"/>
      <c r="BE69"/>
      <c r="BF69" s="106">
        <v>0.14102356135845184</v>
      </c>
      <c r="BG69" s="275">
        <v>0.23219054937362671</v>
      </c>
      <c r="BH69" s="339">
        <v>0.68592417240142822</v>
      </c>
      <c r="BI69"/>
      <c r="BJ69" s="310">
        <v>0.3083026111125946</v>
      </c>
      <c r="BK69"/>
      <c r="BL69"/>
      <c r="BM69"/>
      <c r="BN69"/>
      <c r="BO69" s="295">
        <v>0.12336792796850204</v>
      </c>
      <c r="BP69" s="19">
        <v>3.764546662569046E-2</v>
      </c>
      <c r="BQ69" s="11">
        <v>9.1174611588940024E-4</v>
      </c>
      <c r="BR69" s="23">
        <v>1.3844892382621765E-2</v>
      </c>
      <c r="BS69"/>
      <c r="BT69" s="64">
        <v>0.11923061311244965</v>
      </c>
      <c r="BU69" s="11">
        <v>1.6114245227072388E-5</v>
      </c>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t="s">
        <v>259</v>
      </c>
      <c r="B70">
        <v>7.3000001907348633</v>
      </c>
      <c r="C70">
        <v>5.2240647375583649E-2</v>
      </c>
      <c r="D70"/>
      <c r="E70"/>
      <c r="F70"/>
      <c r="G70"/>
      <c r="H70"/>
      <c r="I70"/>
      <c r="J70"/>
      <c r="K70"/>
      <c r="L70"/>
      <c r="M70"/>
      <c r="N70"/>
      <c r="O70"/>
      <c r="P70"/>
      <c r="Q70"/>
      <c r="R70"/>
      <c r="S70"/>
      <c r="T70"/>
      <c r="U70"/>
      <c r="V70"/>
      <c r="W70"/>
      <c r="X70"/>
      <c r="Y70"/>
      <c r="Z70"/>
      <c r="AA70" s="12">
        <v>2.5694362819194794E-2</v>
      </c>
      <c r="AB70"/>
      <c r="AC70"/>
      <c r="AD70"/>
      <c r="AE70" s="349">
        <v>2.1032226085662842</v>
      </c>
      <c r="AF70" s="11">
        <v>3.2707129139453173E-3</v>
      </c>
      <c r="AG70" s="284">
        <v>0.16528505086898804</v>
      </c>
      <c r="AH70"/>
      <c r="AI70" s="11">
        <v>2.3926164431031793E-4</v>
      </c>
      <c r="AJ70"/>
      <c r="AK70"/>
      <c r="AL70"/>
      <c r="AM70"/>
      <c r="AN70" s="12">
        <v>3.1760338693857193E-2</v>
      </c>
      <c r="AO70"/>
      <c r="AP70"/>
      <c r="AQ70" s="11">
        <v>2.5049024261534214E-3</v>
      </c>
      <c r="AR70"/>
      <c r="AS70"/>
      <c r="AT70"/>
      <c r="AU70"/>
      <c r="AV70" s="18">
        <v>8.5344932973384857E-2</v>
      </c>
      <c r="AW70"/>
      <c r="AX70"/>
      <c r="AY70"/>
      <c r="AZ70"/>
      <c r="BA70"/>
      <c r="BB70" s="14">
        <v>9.916950948536396E-3</v>
      </c>
      <c r="BC70"/>
      <c r="BD70"/>
      <c r="BE70"/>
      <c r="BF70" s="260">
        <v>0.58298540115356445</v>
      </c>
      <c r="BG70" s="343">
        <v>0.80550956726074219</v>
      </c>
      <c r="BH70" s="348">
        <v>2.0826303958892822</v>
      </c>
      <c r="BI70"/>
      <c r="BJ70" s="75">
        <v>0.57956212759017944</v>
      </c>
      <c r="BK70"/>
      <c r="BL70"/>
      <c r="BM70"/>
      <c r="BN70" s="22">
        <v>6.3041836023330688E-2</v>
      </c>
      <c r="BO70" s="298">
        <v>0.32231971621513367</v>
      </c>
      <c r="BP70" s="17">
        <v>9.8974987864494324E-2</v>
      </c>
      <c r="BQ70" s="11">
        <v>3.0453149229288101E-3</v>
      </c>
      <c r="BR70" s="14">
        <v>1.9870810210704803E-2</v>
      </c>
      <c r="BS70"/>
      <c r="BT70" s="28">
        <v>0.2625586986541748</v>
      </c>
      <c r="BU70" s="11">
        <v>2.2657337467535399E-5</v>
      </c>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t="s">
        <v>260</v>
      </c>
      <c r="B71">
        <v>2</v>
      </c>
      <c r="C71">
        <v>0.1165308952331543</v>
      </c>
      <c r="D71"/>
      <c r="E71"/>
      <c r="F71"/>
      <c r="G71"/>
      <c r="H71"/>
      <c r="I71"/>
      <c r="J71"/>
      <c r="K71"/>
      <c r="L71"/>
      <c r="M71"/>
      <c r="N71"/>
      <c r="O71"/>
      <c r="P71"/>
      <c r="Q71"/>
      <c r="R71"/>
      <c r="S71"/>
      <c r="T71"/>
      <c r="U71"/>
      <c r="V71"/>
      <c r="W71"/>
      <c r="X71"/>
      <c r="Y71"/>
      <c r="Z71"/>
      <c r="AA71" s="11">
        <v>3.462909662630409E-4</v>
      </c>
      <c r="AB71"/>
      <c r="AC71"/>
      <c r="AD71"/>
      <c r="AE71" s="129">
        <v>0.20022027194499969</v>
      </c>
      <c r="AF71" s="14">
        <v>3.6837165243923664E-3</v>
      </c>
      <c r="AG71"/>
      <c r="AH71"/>
      <c r="AI71"/>
      <c r="AJ71"/>
      <c r="AK71"/>
      <c r="AL71"/>
      <c r="AM71"/>
      <c r="AN71" s="14">
        <v>5.5096088908612728E-3</v>
      </c>
      <c r="AO71"/>
      <c r="AP71"/>
      <c r="AQ71"/>
      <c r="AR71"/>
      <c r="AS71" s="14">
        <v>2.6257969439029694E-3</v>
      </c>
      <c r="AT71"/>
      <c r="AU71"/>
      <c r="AV71" s="11">
        <v>1.1043110862374306E-3</v>
      </c>
      <c r="AW71"/>
      <c r="AX71"/>
      <c r="AY71"/>
      <c r="AZ71"/>
      <c r="BA71"/>
      <c r="BB71"/>
      <c r="BC71"/>
      <c r="BD71"/>
      <c r="BE71"/>
      <c r="BF71" s="134">
        <v>0.50042635202407837</v>
      </c>
      <c r="BG71"/>
      <c r="BH71"/>
      <c r="BI71"/>
      <c r="BJ71"/>
      <c r="BK71"/>
      <c r="BL71"/>
      <c r="BM71"/>
      <c r="BN71"/>
      <c r="BO71" s="329">
        <v>0.31632250547409058</v>
      </c>
      <c r="BP71" s="27">
        <v>0.15465259552001953</v>
      </c>
      <c r="BQ71" s="11">
        <v>1.5457639237865806E-3</v>
      </c>
      <c r="BR71" s="22">
        <v>1.6265120357275009E-2</v>
      </c>
      <c r="BS71"/>
      <c r="BT71" s="335">
        <v>0.68076670169830322</v>
      </c>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t="s">
        <v>261</v>
      </c>
      <c r="B72">
        <v>706.5</v>
      </c>
      <c r="C72">
        <v>479.0894775390625</v>
      </c>
      <c r="D72"/>
      <c r="E72"/>
      <c r="F72"/>
      <c r="G72"/>
      <c r="H72"/>
      <c r="I72"/>
      <c r="J72"/>
      <c r="K72"/>
      <c r="L72"/>
      <c r="M72"/>
      <c r="N72"/>
      <c r="O72"/>
      <c r="P72"/>
      <c r="Q72"/>
      <c r="R72"/>
      <c r="S72"/>
      <c r="T72"/>
      <c r="U72"/>
      <c r="V72"/>
      <c r="W72"/>
      <c r="X72"/>
      <c r="Y72"/>
      <c r="Z72"/>
      <c r="AA72"/>
      <c r="AB72"/>
      <c r="AC72"/>
      <c r="AD72"/>
      <c r="AE72"/>
      <c r="AF72"/>
      <c r="AG72"/>
      <c r="AH72"/>
      <c r="AI72" s="11">
        <v>1.5495283296331763E-3</v>
      </c>
      <c r="AJ72"/>
      <c r="AK72"/>
      <c r="AL72"/>
      <c r="AM72"/>
      <c r="AN72"/>
      <c r="AO72"/>
      <c r="AP72"/>
      <c r="AQ72"/>
      <c r="AR72"/>
      <c r="AS72" s="11">
        <v>0.46858984231948853</v>
      </c>
      <c r="AT72"/>
      <c r="AU72"/>
      <c r="AV72"/>
      <c r="AW72"/>
      <c r="AX72"/>
      <c r="AY72"/>
      <c r="AZ72" s="64">
        <v>38.110450744628906</v>
      </c>
      <c r="BA72"/>
      <c r="BB72" s="25">
        <v>21.740467071533203</v>
      </c>
      <c r="BC72" s="11">
        <v>8.3580203354358673E-2</v>
      </c>
      <c r="BD72" s="23">
        <v>3.8098239898681641</v>
      </c>
      <c r="BE72" s="25">
        <v>21.956968307495117</v>
      </c>
      <c r="BF72" s="289">
        <v>51.898281097412109</v>
      </c>
      <c r="BG72" s="103">
        <v>87.532882690429688</v>
      </c>
      <c r="BH72"/>
      <c r="BI72"/>
      <c r="BJ72"/>
      <c r="BK72"/>
      <c r="BL72"/>
      <c r="BM72"/>
      <c r="BN72"/>
      <c r="BO72"/>
      <c r="BP72"/>
      <c r="BQ72"/>
      <c r="BR72" s="14">
        <v>1.8079309463500977</v>
      </c>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t="s">
        <v>262</v>
      </c>
      <c r="B73">
        <v>50.970001220703125</v>
      </c>
      <c r="C73">
        <v>0.10194172710180283</v>
      </c>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s="11">
        <v>1.279172720387578E-4</v>
      </c>
      <c r="BB73" s="11">
        <v>9.1276764869689941E-3</v>
      </c>
      <c r="BC73" s="11">
        <v>1.4146459579933435E-4</v>
      </c>
      <c r="BD73"/>
      <c r="BE73"/>
      <c r="BF73"/>
      <c r="BG73"/>
      <c r="BH73"/>
      <c r="BI73"/>
      <c r="BJ73"/>
      <c r="BK73"/>
      <c r="BL73"/>
      <c r="BM73"/>
      <c r="BN73"/>
      <c r="BO73"/>
      <c r="BP73"/>
      <c r="BQ73"/>
      <c r="BR73"/>
      <c r="BS73"/>
      <c r="BT73"/>
      <c r="BU73"/>
      <c r="BV73"/>
      <c r="BW73" s="11">
        <v>4.6573160216212273E-3</v>
      </c>
      <c r="BX73" s="350">
        <v>50.854007720947266</v>
      </c>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t="s">
        <v>263</v>
      </c>
      <c r="B74">
        <v>24.200000762939453</v>
      </c>
      <c r="C74">
        <v>3.6314375400543213</v>
      </c>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s="11">
        <v>1.2263853568583727E-4</v>
      </c>
      <c r="BC74"/>
      <c r="BD74" s="11">
        <v>1.8912354425992817E-4</v>
      </c>
      <c r="BE74"/>
      <c r="BF74"/>
      <c r="BG74"/>
      <c r="BH74"/>
      <c r="BI74"/>
      <c r="BJ74"/>
      <c r="BK74"/>
      <c r="BL74"/>
      <c r="BM74"/>
      <c r="BN74"/>
      <c r="BO74"/>
      <c r="BP74"/>
      <c r="BQ74"/>
      <c r="BR74"/>
      <c r="BS74"/>
      <c r="BT74"/>
      <c r="BU74"/>
      <c r="BV74"/>
      <c r="BW74" s="22">
        <v>0.16761219501495361</v>
      </c>
      <c r="BX74" s="345">
        <v>20.400638580322266</v>
      </c>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t="s">
        <v>264</v>
      </c>
      <c r="B75"/>
      <c r="C75">
        <v>0.75740623474121094</v>
      </c>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s="9">
        <v>0.15635280311107635</v>
      </c>
      <c r="AT75"/>
      <c r="AU75"/>
      <c r="AV75"/>
      <c r="AW75"/>
      <c r="AX75"/>
      <c r="AY75"/>
      <c r="AZ75"/>
      <c r="BA75"/>
      <c r="BB75"/>
      <c r="BC75"/>
      <c r="BD75"/>
      <c r="BE75"/>
      <c r="BF75"/>
      <c r="BG75"/>
      <c r="BH75" s="9">
        <v>40.132671356201172</v>
      </c>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t="s">
        <v>265</v>
      </c>
      <c r="B76"/>
      <c r="C76">
        <v>0.23942491412162781</v>
      </c>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s="9">
        <v>0.3631364107131958</v>
      </c>
      <c r="BH76" s="9">
        <v>27.693023681640625</v>
      </c>
      <c r="BI76"/>
      <c r="BJ76" s="9">
        <v>0.10227901488542557</v>
      </c>
      <c r="BK76"/>
      <c r="BL76"/>
      <c r="BM76"/>
      <c r="BN76"/>
      <c r="BO76"/>
      <c r="BP76"/>
      <c r="BQ76"/>
      <c r="BR76" s="9">
        <v>8.8227018713951111E-3</v>
      </c>
      <c r="BS76"/>
      <c r="BT76" s="9">
        <v>0.22064483165740967</v>
      </c>
      <c r="BU76"/>
      <c r="BV76" s="9">
        <v>1.0729627683758736E-2</v>
      </c>
      <c r="BW76"/>
      <c r="BX76"/>
      <c r="BY76" s="9">
        <v>0.42358627915382385</v>
      </c>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t="s">
        <v>266</v>
      </c>
      <c r="B77"/>
      <c r="C77">
        <v>0.59651392698287964</v>
      </c>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s="9">
        <v>96.259178161621094</v>
      </c>
      <c r="BI77"/>
      <c r="BJ77"/>
      <c r="BK77"/>
      <c r="BL77"/>
      <c r="BM77"/>
      <c r="BN77"/>
      <c r="BO77"/>
      <c r="BP77"/>
      <c r="BQ77"/>
      <c r="BR77" s="9">
        <v>1.4463447034358978E-2</v>
      </c>
      <c r="BS77"/>
      <c r="BT77" s="9">
        <v>0.22064483165740967</v>
      </c>
      <c r="BU77"/>
      <c r="BV77" s="9">
        <v>3.7553694099187851E-2</v>
      </c>
      <c r="BW77"/>
      <c r="BX77"/>
      <c r="BY77" s="9">
        <v>8.454817533493042E-2</v>
      </c>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t="s">
        <v>267</v>
      </c>
      <c r="B78"/>
      <c r="C78">
        <v>0.96179759502410889</v>
      </c>
      <c r="D78"/>
      <c r="E78"/>
      <c r="F78"/>
      <c r="G78"/>
      <c r="H78"/>
      <c r="I78"/>
      <c r="J78"/>
      <c r="K78"/>
      <c r="L78"/>
      <c r="M78"/>
      <c r="N78"/>
      <c r="O78"/>
      <c r="P78"/>
      <c r="Q78"/>
      <c r="R78"/>
      <c r="S78"/>
      <c r="T78"/>
      <c r="U78"/>
      <c r="V78"/>
      <c r="W78"/>
      <c r="X78"/>
      <c r="Y78"/>
      <c r="Z78"/>
      <c r="AA78"/>
      <c r="AB78"/>
      <c r="AC78"/>
      <c r="AD78"/>
      <c r="AE78"/>
      <c r="AF78"/>
      <c r="AG78" s="9">
        <v>41.606822967529297</v>
      </c>
      <c r="AH78"/>
      <c r="AI78"/>
      <c r="AJ78"/>
      <c r="AK78"/>
      <c r="AL78"/>
      <c r="AM78"/>
      <c r="AN78"/>
      <c r="AO78"/>
      <c r="AP78"/>
      <c r="AQ78" s="9">
        <v>3.9364042282104492</v>
      </c>
      <c r="AR78"/>
      <c r="AS78"/>
      <c r="AT78"/>
      <c r="AU78"/>
      <c r="AV78"/>
      <c r="AW78"/>
      <c r="AX78"/>
      <c r="AY78"/>
      <c r="AZ78"/>
      <c r="BA78"/>
      <c r="BB78" s="9">
        <v>9.446232795715332</v>
      </c>
      <c r="BC78"/>
      <c r="BD78"/>
      <c r="BE78"/>
      <c r="BF78"/>
      <c r="BG78"/>
      <c r="BH78"/>
      <c r="BI78"/>
      <c r="BJ78" s="9">
        <v>72.082351684570312</v>
      </c>
      <c r="BK78"/>
      <c r="BL78"/>
      <c r="BM78" s="9">
        <v>3.0527722090482712E-2</v>
      </c>
      <c r="BN78" s="9">
        <v>14.064658164978027</v>
      </c>
      <c r="BO78" s="9">
        <v>13.407856941223145</v>
      </c>
      <c r="BP78"/>
      <c r="BQ78"/>
      <c r="BR78" s="9">
        <v>5.1200594902038574</v>
      </c>
      <c r="BS78" s="9">
        <v>1.5523030015174299E-5</v>
      </c>
      <c r="BT78" s="9">
        <v>20.188997268676758</v>
      </c>
      <c r="BU78"/>
      <c r="BV78"/>
      <c r="BW78" s="9">
        <v>78.006721496582031</v>
      </c>
      <c r="BX78"/>
      <c r="BY78" s="9">
        <v>73.387809753417969</v>
      </c>
      <c r="BZ78"/>
      <c r="CA78" s="9">
        <v>376.25</v>
      </c>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t="s">
        <v>268</v>
      </c>
      <c r="B79"/>
      <c r="C79">
        <v>0.44814258813858032</v>
      </c>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s="9">
        <v>4.1886873245239258</v>
      </c>
      <c r="BN79"/>
      <c r="BO79"/>
      <c r="BP79"/>
      <c r="BQ79" s="9">
        <v>0.33826935291290283</v>
      </c>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t="s">
        <v>269</v>
      </c>
      <c r="B80"/>
      <c r="C80">
        <v>0.44417989253997803</v>
      </c>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s="9">
        <v>1.3893191814422607</v>
      </c>
      <c r="AR80"/>
      <c r="AS80"/>
      <c r="AT80"/>
      <c r="AU80"/>
      <c r="AV80"/>
      <c r="AW80"/>
      <c r="AX80"/>
      <c r="AY80"/>
      <c r="AZ80" s="9">
        <v>78.365242004394531</v>
      </c>
      <c r="BA80" s="9">
        <v>23.460027694702148</v>
      </c>
      <c r="BB80" s="9">
        <v>5.8590555191040039</v>
      </c>
      <c r="BC80" s="9">
        <v>0.11609453707933426</v>
      </c>
      <c r="BD80" s="9">
        <v>0.73758184909820557</v>
      </c>
      <c r="BE80" s="9">
        <v>0.57250756025314331</v>
      </c>
      <c r="BF80"/>
      <c r="BG80" s="9">
        <v>210.91256713867188</v>
      </c>
      <c r="BH80"/>
      <c r="BI80"/>
      <c r="BJ80"/>
      <c r="BK80"/>
      <c r="BL80"/>
      <c r="BM80"/>
      <c r="BN80" s="9">
        <v>2.8129317760467529</v>
      </c>
      <c r="BO80"/>
      <c r="BP80" s="9">
        <v>2.3932268619537354</v>
      </c>
      <c r="BQ80"/>
      <c r="BR80"/>
      <c r="BS80"/>
      <c r="BT80"/>
      <c r="BU80"/>
      <c r="BV80"/>
      <c r="BW80" s="9">
        <v>7.5174078941345215</v>
      </c>
      <c r="BX80"/>
      <c r="BY80"/>
      <c r="BZ80"/>
      <c r="CA80" s="9">
        <v>161.25</v>
      </c>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t="s">
        <v>270</v>
      </c>
      <c r="B81"/>
      <c r="C81">
        <v>0.67241036891937256</v>
      </c>
      <c r="D81"/>
      <c r="E81"/>
      <c r="F81"/>
      <c r="G81"/>
      <c r="H81"/>
      <c r="I81"/>
      <c r="J81"/>
      <c r="K81"/>
      <c r="L81"/>
      <c r="M81"/>
      <c r="N81"/>
      <c r="O81"/>
      <c r="P81"/>
      <c r="Q81"/>
      <c r="R81"/>
      <c r="S81"/>
      <c r="T81"/>
      <c r="U81"/>
      <c r="V81"/>
      <c r="W81"/>
      <c r="X81" s="9">
        <v>0.66065490245819092</v>
      </c>
      <c r="Y81"/>
      <c r="Z81"/>
      <c r="AA81"/>
      <c r="AB81"/>
      <c r="AC81"/>
      <c r="AD81"/>
      <c r="AE81" s="9">
        <v>58.028987884521484</v>
      </c>
      <c r="AF81" s="9">
        <v>1.6938873529434204</v>
      </c>
      <c r="AG81" s="9">
        <v>25.4263916015625</v>
      </c>
      <c r="AH81"/>
      <c r="AI81"/>
      <c r="AJ81" s="9">
        <v>4.0536050796508789</v>
      </c>
      <c r="AK81" s="9">
        <v>0.16834335029125214</v>
      </c>
      <c r="AL81"/>
      <c r="AM81"/>
      <c r="AN81"/>
      <c r="AO81"/>
      <c r="AP81"/>
      <c r="AQ81" s="9">
        <v>0.81043624877929688</v>
      </c>
      <c r="AR81"/>
      <c r="AS81" s="9">
        <v>17.525259017944336</v>
      </c>
      <c r="AT81"/>
      <c r="AU81" s="9">
        <v>2.7868666648864746</v>
      </c>
      <c r="AV81" s="9">
        <v>7.3148236274719238</v>
      </c>
      <c r="AW81"/>
      <c r="AX81"/>
      <c r="AY81" s="9">
        <v>3.8150861859321594E-2</v>
      </c>
      <c r="AZ81" s="9">
        <v>817.18963623046875</v>
      </c>
      <c r="BA81" s="9">
        <v>10.054298400878906</v>
      </c>
      <c r="BB81" s="9">
        <v>8.7686548233032227</v>
      </c>
      <c r="BC81" s="9">
        <v>0.59056788682937622</v>
      </c>
      <c r="BD81" s="9">
        <v>65.912994384765625</v>
      </c>
      <c r="BE81" s="9">
        <v>65.051177978515625</v>
      </c>
      <c r="BF81" s="9">
        <v>289.55087280273438</v>
      </c>
      <c r="BG81"/>
      <c r="BH81" s="9">
        <v>97.740089416503906</v>
      </c>
      <c r="BI81" s="9">
        <v>5.1378011703491211</v>
      </c>
      <c r="BJ81" s="9">
        <v>236.70285034179688</v>
      </c>
      <c r="BK81"/>
      <c r="BL81"/>
      <c r="BM81"/>
      <c r="BN81" s="9">
        <v>10.142243385314941</v>
      </c>
      <c r="BO81" s="9">
        <v>46.859779357910156</v>
      </c>
      <c r="BP81" s="9">
        <v>2.4382970333099365</v>
      </c>
      <c r="BQ81"/>
      <c r="BR81"/>
      <c r="BS81"/>
      <c r="BT81" s="9">
        <v>56.043781280517578</v>
      </c>
      <c r="BU81"/>
      <c r="BV81" s="9">
        <v>1.4914181232452393</v>
      </c>
      <c r="BW81" s="9">
        <v>22.661170959472656</v>
      </c>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topLeftCell="A52" workbookViewId="0">
      <selection activeCell="F67" sqref="F67"/>
    </sheetView>
  </sheetViews>
  <sheetFormatPr baseColWidth="10" defaultRowHeight="13" x14ac:dyDescent="0.15"/>
  <cols>
    <col min="1" max="1" width="33.6640625" bestFit="1" customWidth="1"/>
    <col min="2" max="2" width="9" customWidth="1"/>
    <col min="3" max="3" width="9" style="6" customWidth="1"/>
    <col min="4" max="4" width="29.6640625" bestFit="1" customWidth="1"/>
    <col min="5" max="5" width="3.33203125" bestFit="1" customWidth="1"/>
    <col min="6" max="6" width="5.83203125" bestFit="1" customWidth="1"/>
    <col min="7" max="7" width="3.33203125" bestFit="1" customWidth="1"/>
    <col min="8" max="8" width="29.664062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4"/>
      <c r="D1" s="1" t="s">
        <v>32</v>
      </c>
      <c r="E1" s="1" t="s">
        <v>33</v>
      </c>
      <c r="F1" s="1" t="s">
        <v>34</v>
      </c>
      <c r="G1" s="1" t="s">
        <v>35</v>
      </c>
      <c r="H1" s="1" t="s">
        <v>36</v>
      </c>
      <c r="J1" s="1" t="s">
        <v>130</v>
      </c>
      <c r="K1" s="1" t="s">
        <v>131</v>
      </c>
      <c r="L1" s="62" t="s">
        <v>165</v>
      </c>
    </row>
    <row r="2" spans="1:12" x14ac:dyDescent="0.15">
      <c r="A2" s="1" t="s">
        <v>37</v>
      </c>
      <c r="B2" s="39">
        <v>3</v>
      </c>
      <c r="C2" s="37"/>
      <c r="D2" t="s">
        <v>38</v>
      </c>
      <c r="E2">
        <v>1</v>
      </c>
      <c r="F2">
        <v>1</v>
      </c>
      <c r="G2">
        <v>1</v>
      </c>
      <c r="H2" t="s">
        <v>38</v>
      </c>
      <c r="J2" s="55"/>
      <c r="K2" s="56"/>
      <c r="L2" s="62" t="s">
        <v>166</v>
      </c>
    </row>
    <row r="3" spans="1:12" ht="14" thickBot="1" x14ac:dyDescent="0.2">
      <c r="A3" s="1" t="s">
        <v>39</v>
      </c>
      <c r="B3" s="40">
        <v>0</v>
      </c>
      <c r="C3" s="37"/>
      <c r="D3" t="s">
        <v>40</v>
      </c>
      <c r="E3">
        <v>2</v>
      </c>
      <c r="F3">
        <v>1.1000000000000001</v>
      </c>
      <c r="G3">
        <v>2</v>
      </c>
      <c r="H3" t="s">
        <v>40</v>
      </c>
      <c r="J3" s="57"/>
      <c r="K3" s="58"/>
    </row>
    <row r="4" spans="1:12" x14ac:dyDescent="0.15">
      <c r="D4" t="s">
        <v>41</v>
      </c>
      <c r="E4">
        <v>3</v>
      </c>
      <c r="F4">
        <v>1.2</v>
      </c>
      <c r="G4">
        <v>3</v>
      </c>
      <c r="H4" t="s">
        <v>41</v>
      </c>
      <c r="J4" s="57"/>
      <c r="K4" s="58"/>
    </row>
    <row r="5" spans="1:12" x14ac:dyDescent="0.15">
      <c r="D5" s="186" t="s">
        <v>191</v>
      </c>
      <c r="E5">
        <v>4</v>
      </c>
      <c r="F5">
        <v>3.16</v>
      </c>
      <c r="G5">
        <v>4</v>
      </c>
      <c r="H5" s="187" t="s">
        <v>191</v>
      </c>
      <c r="J5" s="57"/>
      <c r="K5" s="58"/>
    </row>
    <row r="6" spans="1:12" ht="14" thickBot="1" x14ac:dyDescent="0.2">
      <c r="A6" s="41" t="s">
        <v>121</v>
      </c>
      <c r="D6" s="186" t="s">
        <v>192</v>
      </c>
      <c r="E6">
        <v>5</v>
      </c>
      <c r="F6">
        <v>3.16</v>
      </c>
      <c r="G6">
        <v>5</v>
      </c>
      <c r="H6" s="187" t="s">
        <v>192</v>
      </c>
      <c r="J6" s="57"/>
      <c r="K6" s="58"/>
    </row>
    <row r="7" spans="1:12" x14ac:dyDescent="0.15">
      <c r="A7" s="36" t="s">
        <v>126</v>
      </c>
      <c r="B7" s="43">
        <v>1</v>
      </c>
      <c r="C7" s="38"/>
      <c r="D7" s="186" t="s">
        <v>193</v>
      </c>
      <c r="E7">
        <v>6</v>
      </c>
      <c r="F7">
        <v>3.16</v>
      </c>
      <c r="G7">
        <v>6</v>
      </c>
      <c r="H7" s="187" t="s">
        <v>193</v>
      </c>
      <c r="J7" s="57"/>
      <c r="K7" s="58"/>
    </row>
    <row r="8" spans="1:12" x14ac:dyDescent="0.15">
      <c r="A8" s="36" t="s">
        <v>38</v>
      </c>
      <c r="B8" s="44">
        <v>1</v>
      </c>
      <c r="C8" s="38"/>
      <c r="D8" s="186" t="s">
        <v>194</v>
      </c>
      <c r="E8">
        <v>7</v>
      </c>
      <c r="F8">
        <v>3.16</v>
      </c>
      <c r="G8">
        <v>7</v>
      </c>
      <c r="H8" s="187" t="s">
        <v>194</v>
      </c>
      <c r="J8" s="57"/>
      <c r="K8" s="58"/>
    </row>
    <row r="9" spans="1:12" x14ac:dyDescent="0.15">
      <c r="A9" s="36" t="s">
        <v>40</v>
      </c>
      <c r="B9" s="44">
        <v>1.1000000000000001</v>
      </c>
      <c r="C9" s="38"/>
      <c r="D9" s="186" t="s">
        <v>195</v>
      </c>
      <c r="E9">
        <v>8</v>
      </c>
      <c r="F9">
        <v>3.14</v>
      </c>
      <c r="G9">
        <v>8</v>
      </c>
      <c r="H9" s="187" t="s">
        <v>195</v>
      </c>
      <c r="J9" s="57"/>
      <c r="K9" s="58"/>
    </row>
    <row r="10" spans="1:12" x14ac:dyDescent="0.15">
      <c r="A10" s="36" t="s">
        <v>41</v>
      </c>
      <c r="B10" s="44">
        <v>1.2</v>
      </c>
      <c r="C10" s="38"/>
      <c r="D10" s="186" t="s">
        <v>196</v>
      </c>
      <c r="E10">
        <v>9</v>
      </c>
      <c r="F10">
        <v>3.14</v>
      </c>
      <c r="G10">
        <v>9</v>
      </c>
      <c r="H10" s="187" t="s">
        <v>196</v>
      </c>
      <c r="J10" s="57"/>
      <c r="K10" s="58"/>
    </row>
    <row r="11" spans="1:12" ht="12" customHeight="1" x14ac:dyDescent="0.15">
      <c r="A11" s="42" t="s">
        <v>127</v>
      </c>
      <c r="B11" s="44">
        <v>2</v>
      </c>
      <c r="C11" s="38"/>
      <c r="D11" s="186" t="s">
        <v>197</v>
      </c>
      <c r="E11">
        <v>10</v>
      </c>
      <c r="F11">
        <v>3.24</v>
      </c>
      <c r="G11">
        <v>10</v>
      </c>
      <c r="H11" s="187" t="s">
        <v>197</v>
      </c>
      <c r="J11" s="57"/>
      <c r="K11" s="58"/>
    </row>
    <row r="12" spans="1:12" x14ac:dyDescent="0.15">
      <c r="A12" s="36" t="s">
        <v>42</v>
      </c>
      <c r="B12" s="44">
        <v>2.1</v>
      </c>
      <c r="C12" s="38"/>
      <c r="D12" s="186" t="s">
        <v>198</v>
      </c>
      <c r="E12">
        <v>11</v>
      </c>
      <c r="F12">
        <v>3.24</v>
      </c>
      <c r="G12">
        <v>11</v>
      </c>
      <c r="H12" s="187" t="s">
        <v>198</v>
      </c>
      <c r="J12" s="57"/>
      <c r="K12" s="58"/>
    </row>
    <row r="13" spans="1:12" x14ac:dyDescent="0.15">
      <c r="A13" s="36" t="s">
        <v>43</v>
      </c>
      <c r="B13" s="44">
        <v>2.2000000000000002</v>
      </c>
      <c r="C13" s="38"/>
      <c r="D13" s="186" t="s">
        <v>199</v>
      </c>
      <c r="E13">
        <v>12</v>
      </c>
      <c r="F13">
        <v>3.24</v>
      </c>
      <c r="G13">
        <v>12</v>
      </c>
      <c r="H13" s="187" t="s">
        <v>199</v>
      </c>
      <c r="J13" s="57"/>
      <c r="K13" s="58"/>
    </row>
    <row r="14" spans="1:12" x14ac:dyDescent="0.15">
      <c r="A14" s="36" t="s">
        <v>67</v>
      </c>
      <c r="B14" s="44">
        <v>2.2999999999999998</v>
      </c>
      <c r="C14" s="38"/>
      <c r="D14" s="186" t="s">
        <v>200</v>
      </c>
      <c r="E14">
        <v>13</v>
      </c>
      <c r="F14">
        <v>3.24</v>
      </c>
      <c r="G14">
        <v>13</v>
      </c>
      <c r="H14" s="187" t="s">
        <v>200</v>
      </c>
      <c r="J14" s="57"/>
      <c r="K14" s="58"/>
    </row>
    <row r="15" spans="1:12" x14ac:dyDescent="0.15">
      <c r="A15" s="42" t="s">
        <v>128</v>
      </c>
      <c r="B15" s="44">
        <v>3</v>
      </c>
      <c r="C15" s="38"/>
      <c r="D15" s="186" t="s">
        <v>201</v>
      </c>
      <c r="E15">
        <v>14</v>
      </c>
      <c r="F15">
        <v>3.24</v>
      </c>
      <c r="G15">
        <v>14</v>
      </c>
      <c r="H15" s="187" t="s">
        <v>201</v>
      </c>
      <c r="J15" s="57"/>
      <c r="K15" s="58"/>
    </row>
    <row r="16" spans="1:12" x14ac:dyDescent="0.15">
      <c r="A16" s="36" t="s">
        <v>62</v>
      </c>
      <c r="B16" s="44">
        <v>3.11</v>
      </c>
      <c r="C16" s="38"/>
      <c r="D16" s="186" t="s">
        <v>202</v>
      </c>
      <c r="E16">
        <v>15</v>
      </c>
      <c r="F16">
        <v>3.24</v>
      </c>
      <c r="G16">
        <v>15</v>
      </c>
      <c r="H16" s="187" t="s">
        <v>202</v>
      </c>
      <c r="J16" s="57"/>
      <c r="K16" s="58"/>
    </row>
    <row r="17" spans="1:12" x14ac:dyDescent="0.15">
      <c r="A17" s="36" t="s">
        <v>61</v>
      </c>
      <c r="B17" s="44">
        <v>3.12</v>
      </c>
      <c r="C17" s="38"/>
      <c r="D17" s="186" t="s">
        <v>203</v>
      </c>
      <c r="E17">
        <v>16</v>
      </c>
      <c r="F17">
        <v>3.24</v>
      </c>
      <c r="G17">
        <v>16</v>
      </c>
      <c r="H17" s="187" t="s">
        <v>203</v>
      </c>
      <c r="J17" s="57"/>
      <c r="K17" s="58"/>
    </row>
    <row r="18" spans="1:12" x14ac:dyDescent="0.15">
      <c r="A18" s="36" t="s">
        <v>68</v>
      </c>
      <c r="B18" s="44">
        <v>3.13</v>
      </c>
      <c r="C18" s="38"/>
      <c r="D18" s="186" t="s">
        <v>204</v>
      </c>
      <c r="E18">
        <v>17</v>
      </c>
      <c r="F18">
        <v>3.24</v>
      </c>
      <c r="G18">
        <v>17</v>
      </c>
      <c r="H18" s="187" t="s">
        <v>204</v>
      </c>
      <c r="J18" s="57"/>
      <c r="K18" s="58"/>
    </row>
    <row r="19" spans="1:12" x14ac:dyDescent="0.15">
      <c r="A19" s="36" t="s">
        <v>66</v>
      </c>
      <c r="B19" s="44">
        <v>3.21</v>
      </c>
      <c r="C19" s="38"/>
      <c r="D19" s="186" t="s">
        <v>205</v>
      </c>
      <c r="E19">
        <v>18</v>
      </c>
      <c r="F19">
        <v>3.24</v>
      </c>
      <c r="G19">
        <v>18</v>
      </c>
      <c r="H19" s="187" t="s">
        <v>205</v>
      </c>
      <c r="J19" s="57"/>
      <c r="K19" s="58"/>
    </row>
    <row r="20" spans="1:12" x14ac:dyDescent="0.15">
      <c r="A20" s="36" t="s">
        <v>63</v>
      </c>
      <c r="B20" s="44">
        <v>3.22</v>
      </c>
      <c r="C20" s="38"/>
      <c r="D20" s="186" t="s">
        <v>206</v>
      </c>
      <c r="E20">
        <v>19</v>
      </c>
      <c r="F20">
        <v>3.24</v>
      </c>
      <c r="G20">
        <v>19</v>
      </c>
      <c r="H20" s="187" t="s">
        <v>206</v>
      </c>
      <c r="J20" s="57"/>
      <c r="K20" s="58"/>
    </row>
    <row r="21" spans="1:12" ht="14" thickBot="1" x14ac:dyDescent="0.2">
      <c r="A21" s="36" t="s">
        <v>69</v>
      </c>
      <c r="B21" s="44">
        <v>3.23</v>
      </c>
      <c r="C21" s="38"/>
      <c r="D21" s="186" t="s">
        <v>207</v>
      </c>
      <c r="E21">
        <v>20</v>
      </c>
      <c r="F21">
        <v>3.21</v>
      </c>
      <c r="G21">
        <v>20</v>
      </c>
      <c r="H21" s="187" t="s">
        <v>207</v>
      </c>
      <c r="J21" s="59"/>
      <c r="K21" s="60"/>
      <c r="L21" s="62" t="s">
        <v>152</v>
      </c>
    </row>
    <row r="22" spans="1:12" x14ac:dyDescent="0.15">
      <c r="A22" s="36" t="s">
        <v>64</v>
      </c>
      <c r="B22" s="44">
        <v>8</v>
      </c>
      <c r="C22" s="38"/>
      <c r="D22" s="186" t="s">
        <v>208</v>
      </c>
      <c r="E22">
        <v>21</v>
      </c>
      <c r="F22">
        <v>3.24</v>
      </c>
      <c r="G22">
        <v>21</v>
      </c>
      <c r="H22" s="187" t="s">
        <v>208</v>
      </c>
    </row>
    <row r="23" spans="1:12" x14ac:dyDescent="0.15">
      <c r="A23" s="36" t="s">
        <v>129</v>
      </c>
      <c r="B23" s="44">
        <v>4</v>
      </c>
      <c r="C23" s="38"/>
      <c r="D23" s="186" t="s">
        <v>209</v>
      </c>
      <c r="E23">
        <v>22</v>
      </c>
      <c r="F23">
        <v>3.24</v>
      </c>
      <c r="G23">
        <v>22</v>
      </c>
      <c r="H23" s="187" t="s">
        <v>209</v>
      </c>
    </row>
    <row r="24" spans="1:12" x14ac:dyDescent="0.15">
      <c r="A24" s="36" t="s">
        <v>122</v>
      </c>
      <c r="B24" s="44">
        <v>4.0999999999999996</v>
      </c>
      <c r="C24" s="38"/>
      <c r="D24" s="186" t="s">
        <v>210</v>
      </c>
      <c r="E24">
        <v>23</v>
      </c>
      <c r="F24">
        <v>3.24</v>
      </c>
      <c r="G24">
        <v>23</v>
      </c>
      <c r="H24" s="187" t="s">
        <v>210</v>
      </c>
    </row>
    <row r="25" spans="1:12" x14ac:dyDescent="0.15">
      <c r="A25" s="36" t="s">
        <v>70</v>
      </c>
      <c r="B25" s="44">
        <v>4.2</v>
      </c>
      <c r="C25" s="38"/>
      <c r="D25" s="186" t="s">
        <v>211</v>
      </c>
      <c r="E25">
        <v>24</v>
      </c>
      <c r="F25">
        <v>3.21</v>
      </c>
      <c r="G25">
        <v>24</v>
      </c>
      <c r="H25" s="187" t="s">
        <v>211</v>
      </c>
    </row>
    <row r="26" spans="1:12" x14ac:dyDescent="0.15">
      <c r="A26" s="36" t="s">
        <v>123</v>
      </c>
      <c r="B26" s="44">
        <v>4.3</v>
      </c>
      <c r="C26" s="38"/>
      <c r="D26" s="186" t="s">
        <v>212</v>
      </c>
      <c r="E26">
        <v>25</v>
      </c>
      <c r="F26">
        <v>3.1</v>
      </c>
      <c r="G26">
        <v>25</v>
      </c>
      <c r="H26" s="187" t="s">
        <v>212</v>
      </c>
    </row>
    <row r="27" spans="1:12" x14ac:dyDescent="0.15">
      <c r="A27" s="36" t="s">
        <v>125</v>
      </c>
      <c r="B27" s="44">
        <v>6.1</v>
      </c>
      <c r="D27" s="186" t="s">
        <v>213</v>
      </c>
      <c r="E27">
        <v>26</v>
      </c>
      <c r="F27">
        <v>3.24</v>
      </c>
      <c r="G27">
        <v>26</v>
      </c>
      <c r="H27" s="187" t="s">
        <v>213</v>
      </c>
    </row>
    <row r="28" spans="1:12" x14ac:dyDescent="0.15">
      <c r="A28" s="36" t="s">
        <v>124</v>
      </c>
      <c r="B28" s="44">
        <v>6.2</v>
      </c>
      <c r="D28" s="186" t="s">
        <v>214</v>
      </c>
      <c r="E28">
        <v>27</v>
      </c>
      <c r="F28">
        <v>3.24</v>
      </c>
      <c r="G28">
        <v>27</v>
      </c>
      <c r="H28" s="187" t="s">
        <v>214</v>
      </c>
    </row>
    <row r="29" spans="1:12" x14ac:dyDescent="0.15">
      <c r="A29" s="36" t="s">
        <v>44</v>
      </c>
      <c r="B29" s="44">
        <v>5</v>
      </c>
      <c r="D29" s="186" t="s">
        <v>215</v>
      </c>
      <c r="E29">
        <v>28</v>
      </c>
      <c r="F29">
        <v>3.24</v>
      </c>
      <c r="G29">
        <v>28</v>
      </c>
      <c r="H29" s="187" t="s">
        <v>215</v>
      </c>
    </row>
    <row r="30" spans="1:12" x14ac:dyDescent="0.15">
      <c r="A30" s="36" t="s">
        <v>73</v>
      </c>
      <c r="B30" s="44">
        <v>7</v>
      </c>
      <c r="D30" s="186" t="s">
        <v>216</v>
      </c>
      <c r="E30">
        <v>29</v>
      </c>
      <c r="F30">
        <v>3.24</v>
      </c>
      <c r="G30">
        <v>29</v>
      </c>
      <c r="H30" s="187" t="s">
        <v>216</v>
      </c>
    </row>
    <row r="31" spans="1:12" x14ac:dyDescent="0.15">
      <c r="A31" s="36" t="s">
        <v>168</v>
      </c>
      <c r="B31" s="44">
        <v>3.14</v>
      </c>
      <c r="D31" s="186" t="s">
        <v>217</v>
      </c>
      <c r="E31">
        <v>30</v>
      </c>
      <c r="F31">
        <v>3.24</v>
      </c>
      <c r="G31">
        <v>30</v>
      </c>
      <c r="H31" s="187" t="s">
        <v>217</v>
      </c>
    </row>
    <row r="32" spans="1:12" ht="12" customHeight="1" thickBot="1" x14ac:dyDescent="0.2">
      <c r="A32" s="42" t="s">
        <v>169</v>
      </c>
      <c r="B32" s="45">
        <v>9</v>
      </c>
      <c r="D32" s="186" t="s">
        <v>218</v>
      </c>
      <c r="E32">
        <v>31</v>
      </c>
      <c r="F32">
        <v>3.24</v>
      </c>
      <c r="G32">
        <v>31</v>
      </c>
      <c r="H32" s="187" t="s">
        <v>218</v>
      </c>
    </row>
    <row r="33" spans="4:8" customFormat="1" ht="12" customHeight="1" x14ac:dyDescent="0.15">
      <c r="D33" s="186" t="s">
        <v>219</v>
      </c>
      <c r="E33">
        <v>32</v>
      </c>
      <c r="F33">
        <v>3.24</v>
      </c>
      <c r="G33">
        <v>32</v>
      </c>
      <c r="H33" s="187" t="s">
        <v>219</v>
      </c>
    </row>
    <row r="34" spans="4:8" customFormat="1" ht="12" customHeight="1" x14ac:dyDescent="0.15">
      <c r="D34" s="186" t="s">
        <v>220</v>
      </c>
      <c r="E34">
        <v>33</v>
      </c>
      <c r="F34">
        <v>3.24</v>
      </c>
      <c r="G34">
        <v>33</v>
      </c>
      <c r="H34" s="187" t="s">
        <v>220</v>
      </c>
    </row>
    <row r="35" spans="4:8" customFormat="1" x14ac:dyDescent="0.15">
      <c r="D35" s="186" t="s">
        <v>221</v>
      </c>
      <c r="E35">
        <v>34</v>
      </c>
      <c r="F35">
        <v>3.24</v>
      </c>
      <c r="G35">
        <v>34</v>
      </c>
      <c r="H35" s="187" t="s">
        <v>221</v>
      </c>
    </row>
    <row r="36" spans="4:8" customFormat="1" x14ac:dyDescent="0.15">
      <c r="D36" s="186" t="s">
        <v>222</v>
      </c>
      <c r="E36">
        <v>35</v>
      </c>
      <c r="F36">
        <v>3.24</v>
      </c>
      <c r="G36">
        <v>35</v>
      </c>
      <c r="H36" s="187" t="s">
        <v>222</v>
      </c>
    </row>
    <row r="37" spans="4:8" customFormat="1" ht="12" customHeight="1" x14ac:dyDescent="0.15">
      <c r="D37" s="186" t="s">
        <v>223</v>
      </c>
      <c r="E37">
        <v>36</v>
      </c>
      <c r="F37">
        <v>3.24</v>
      </c>
      <c r="G37">
        <v>36</v>
      </c>
      <c r="H37" s="187" t="s">
        <v>223</v>
      </c>
    </row>
    <row r="38" spans="4:8" customFormat="1" x14ac:dyDescent="0.15">
      <c r="D38" s="186" t="s">
        <v>224</v>
      </c>
      <c r="E38">
        <v>37</v>
      </c>
      <c r="F38">
        <v>3.14</v>
      </c>
      <c r="G38">
        <v>37</v>
      </c>
      <c r="H38" s="187" t="s">
        <v>224</v>
      </c>
    </row>
    <row r="39" spans="4:8" customFormat="1" x14ac:dyDescent="0.15">
      <c r="D39" s="186" t="s">
        <v>225</v>
      </c>
      <c r="E39">
        <v>38</v>
      </c>
      <c r="F39">
        <v>3.21</v>
      </c>
      <c r="G39">
        <v>38</v>
      </c>
      <c r="H39" s="187" t="s">
        <v>225</v>
      </c>
    </row>
    <row r="40" spans="4:8" customFormat="1" x14ac:dyDescent="0.15">
      <c r="D40" s="186" t="s">
        <v>226</v>
      </c>
      <c r="E40">
        <v>39</v>
      </c>
      <c r="F40">
        <v>3.21</v>
      </c>
      <c r="G40">
        <v>39</v>
      </c>
      <c r="H40" s="187" t="s">
        <v>226</v>
      </c>
    </row>
    <row r="41" spans="4:8" customFormat="1" x14ac:dyDescent="0.15">
      <c r="D41" s="186" t="s">
        <v>227</v>
      </c>
      <c r="E41">
        <v>40</v>
      </c>
      <c r="F41">
        <v>3.21</v>
      </c>
      <c r="G41">
        <v>40</v>
      </c>
      <c r="H41" s="187" t="s">
        <v>227</v>
      </c>
    </row>
    <row r="42" spans="4:8" customFormat="1" x14ac:dyDescent="0.15">
      <c r="D42" s="186" t="s">
        <v>228</v>
      </c>
      <c r="E42">
        <v>41</v>
      </c>
      <c r="F42">
        <v>3.21</v>
      </c>
      <c r="G42">
        <v>41</v>
      </c>
      <c r="H42" s="187" t="s">
        <v>228</v>
      </c>
    </row>
    <row r="43" spans="4:8" customFormat="1" x14ac:dyDescent="0.15">
      <c r="D43" s="186" t="s">
        <v>229</v>
      </c>
      <c r="E43">
        <v>42</v>
      </c>
      <c r="F43">
        <v>3.21</v>
      </c>
      <c r="G43">
        <v>42</v>
      </c>
      <c r="H43" s="187" t="s">
        <v>229</v>
      </c>
    </row>
    <row r="44" spans="4:8" customFormat="1" x14ac:dyDescent="0.15">
      <c r="D44" s="186" t="s">
        <v>230</v>
      </c>
      <c r="E44">
        <v>43</v>
      </c>
      <c r="F44">
        <v>3.21</v>
      </c>
      <c r="G44">
        <v>43</v>
      </c>
      <c r="H44" s="187" t="s">
        <v>230</v>
      </c>
    </row>
    <row r="45" spans="4:8" customFormat="1" x14ac:dyDescent="0.15">
      <c r="D45" s="186" t="s">
        <v>231</v>
      </c>
      <c r="E45">
        <v>44</v>
      </c>
      <c r="F45">
        <v>3.21</v>
      </c>
      <c r="G45">
        <v>44</v>
      </c>
      <c r="H45" s="187" t="s">
        <v>231</v>
      </c>
    </row>
    <row r="46" spans="4:8" customFormat="1" x14ac:dyDescent="0.15">
      <c r="D46" s="186" t="s">
        <v>232</v>
      </c>
      <c r="E46">
        <v>45</v>
      </c>
      <c r="F46">
        <v>3.21</v>
      </c>
      <c r="G46">
        <v>45</v>
      </c>
      <c r="H46" s="187" t="s">
        <v>232</v>
      </c>
    </row>
    <row r="47" spans="4:8" customFormat="1" x14ac:dyDescent="0.15">
      <c r="D47" s="186" t="s">
        <v>233</v>
      </c>
      <c r="E47">
        <v>46</v>
      </c>
      <c r="F47">
        <v>3.21</v>
      </c>
      <c r="G47">
        <v>46</v>
      </c>
      <c r="H47" s="187" t="s">
        <v>233</v>
      </c>
    </row>
    <row r="48" spans="4:8" customFormat="1" x14ac:dyDescent="0.15">
      <c r="D48" s="186" t="s">
        <v>234</v>
      </c>
      <c r="E48">
        <v>47</v>
      </c>
      <c r="F48">
        <v>3.21</v>
      </c>
      <c r="G48">
        <v>47</v>
      </c>
      <c r="H48" s="187" t="s">
        <v>234</v>
      </c>
    </row>
    <row r="49" spans="4:8" customFormat="1" x14ac:dyDescent="0.15">
      <c r="D49" s="186" t="s">
        <v>235</v>
      </c>
      <c r="E49">
        <v>48</v>
      </c>
      <c r="F49">
        <v>3.21</v>
      </c>
      <c r="G49">
        <v>48</v>
      </c>
      <c r="H49" s="187" t="s">
        <v>235</v>
      </c>
    </row>
    <row r="50" spans="4:8" customFormat="1" ht="12" customHeight="1" x14ac:dyDescent="0.15">
      <c r="D50" s="186" t="s">
        <v>236</v>
      </c>
      <c r="E50">
        <v>49</v>
      </c>
      <c r="F50">
        <v>3.13</v>
      </c>
      <c r="G50">
        <v>49</v>
      </c>
      <c r="H50" s="187" t="s">
        <v>236</v>
      </c>
    </row>
    <row r="51" spans="4:8" customFormat="1" x14ac:dyDescent="0.15">
      <c r="D51" s="186" t="s">
        <v>237</v>
      </c>
      <c r="E51">
        <v>50</v>
      </c>
      <c r="F51">
        <v>3.13</v>
      </c>
      <c r="G51">
        <v>50</v>
      </c>
      <c r="H51" s="187" t="s">
        <v>237</v>
      </c>
    </row>
    <row r="52" spans="4:8" customFormat="1" ht="12" customHeight="1" x14ac:dyDescent="0.15">
      <c r="D52" s="186" t="s">
        <v>238</v>
      </c>
      <c r="E52">
        <v>51</v>
      </c>
      <c r="F52">
        <v>3.23</v>
      </c>
      <c r="G52">
        <v>51</v>
      </c>
      <c r="H52" s="187" t="s">
        <v>238</v>
      </c>
    </row>
    <row r="53" spans="4:8" customFormat="1" x14ac:dyDescent="0.15">
      <c r="D53" s="186" t="s">
        <v>239</v>
      </c>
      <c r="E53">
        <v>52</v>
      </c>
      <c r="F53">
        <v>3.21</v>
      </c>
      <c r="G53">
        <v>52</v>
      </c>
      <c r="H53" s="187" t="s">
        <v>239</v>
      </c>
    </row>
    <row r="54" spans="4:8" customFormat="1" ht="12" customHeight="1" x14ac:dyDescent="0.15">
      <c r="D54" s="186" t="s">
        <v>240</v>
      </c>
      <c r="E54">
        <v>53</v>
      </c>
      <c r="F54">
        <v>3.21</v>
      </c>
      <c r="G54">
        <v>53</v>
      </c>
      <c r="H54" s="187" t="s">
        <v>240</v>
      </c>
    </row>
    <row r="55" spans="4:8" customFormat="1" ht="12" customHeight="1" x14ac:dyDescent="0.15">
      <c r="D55" s="186" t="s">
        <v>241</v>
      </c>
      <c r="E55">
        <v>54</v>
      </c>
      <c r="F55">
        <v>3.21</v>
      </c>
      <c r="G55">
        <v>54</v>
      </c>
      <c r="H55" s="187" t="s">
        <v>241</v>
      </c>
    </row>
    <row r="56" spans="4:8" customFormat="1" x14ac:dyDescent="0.15">
      <c r="D56" s="186" t="s">
        <v>242</v>
      </c>
      <c r="E56">
        <v>55</v>
      </c>
      <c r="F56">
        <v>3.21</v>
      </c>
      <c r="G56">
        <v>55</v>
      </c>
      <c r="H56" s="187" t="s">
        <v>242</v>
      </c>
    </row>
    <row r="57" spans="4:8" customFormat="1" x14ac:dyDescent="0.15">
      <c r="D57" s="186" t="s">
        <v>243</v>
      </c>
      <c r="E57">
        <v>56</v>
      </c>
      <c r="F57">
        <v>3.21</v>
      </c>
      <c r="G57">
        <v>56</v>
      </c>
      <c r="H57" s="187" t="s">
        <v>243</v>
      </c>
    </row>
    <row r="58" spans="4:8" customFormat="1" x14ac:dyDescent="0.15">
      <c r="D58" s="186" t="s">
        <v>244</v>
      </c>
      <c r="E58">
        <v>57</v>
      </c>
      <c r="F58">
        <v>3.21</v>
      </c>
      <c r="G58">
        <v>57</v>
      </c>
      <c r="H58" s="187" t="s">
        <v>244</v>
      </c>
    </row>
    <row r="59" spans="4:8" customFormat="1" x14ac:dyDescent="0.15">
      <c r="D59" s="186" t="s">
        <v>245</v>
      </c>
      <c r="E59">
        <v>58</v>
      </c>
      <c r="F59">
        <v>3.21</v>
      </c>
      <c r="G59">
        <v>58</v>
      </c>
      <c r="H59" s="187" t="s">
        <v>245</v>
      </c>
    </row>
    <row r="60" spans="4:8" customFormat="1" x14ac:dyDescent="0.15">
      <c r="D60" s="186" t="s">
        <v>246</v>
      </c>
      <c r="E60">
        <v>59</v>
      </c>
      <c r="F60">
        <v>3.15</v>
      </c>
      <c r="G60">
        <v>59</v>
      </c>
      <c r="H60" s="187" t="s">
        <v>246</v>
      </c>
    </row>
    <row r="61" spans="4:8" customFormat="1" x14ac:dyDescent="0.15">
      <c r="D61" s="186" t="s">
        <v>247</v>
      </c>
      <c r="E61">
        <v>60</v>
      </c>
      <c r="F61">
        <v>3.21</v>
      </c>
      <c r="G61">
        <v>60</v>
      </c>
      <c r="H61" s="187" t="s">
        <v>247</v>
      </c>
    </row>
    <row r="62" spans="4:8" customFormat="1" x14ac:dyDescent="0.15">
      <c r="D62" s="186" t="s">
        <v>248</v>
      </c>
      <c r="E62">
        <v>61</v>
      </c>
      <c r="F62">
        <v>3.11</v>
      </c>
      <c r="G62">
        <v>61</v>
      </c>
      <c r="H62" s="187" t="s">
        <v>248</v>
      </c>
    </row>
    <row r="63" spans="4:8" customFormat="1" x14ac:dyDescent="0.15">
      <c r="D63" s="186" t="s">
        <v>249</v>
      </c>
      <c r="E63">
        <v>62</v>
      </c>
      <c r="F63">
        <v>3.11</v>
      </c>
      <c r="G63">
        <v>62</v>
      </c>
      <c r="H63" s="187" t="s">
        <v>249</v>
      </c>
    </row>
    <row r="64" spans="4:8" customFormat="1" x14ac:dyDescent="0.15">
      <c r="D64" s="186" t="s">
        <v>250</v>
      </c>
      <c r="E64">
        <v>63</v>
      </c>
      <c r="F64">
        <v>3.11</v>
      </c>
      <c r="G64">
        <v>63</v>
      </c>
      <c r="H64" s="187" t="s">
        <v>250</v>
      </c>
    </row>
    <row r="65" spans="4:8" customFormat="1" x14ac:dyDescent="0.15">
      <c r="D65" s="186" t="s">
        <v>251</v>
      </c>
      <c r="E65">
        <v>64</v>
      </c>
      <c r="F65">
        <v>3.11</v>
      </c>
      <c r="G65">
        <v>64</v>
      </c>
      <c r="H65" s="187" t="s">
        <v>251</v>
      </c>
    </row>
    <row r="66" spans="4:8" customFormat="1" x14ac:dyDescent="0.15">
      <c r="D66" s="186" t="s">
        <v>252</v>
      </c>
      <c r="E66">
        <v>65</v>
      </c>
      <c r="F66">
        <v>3.0110000000000001</v>
      </c>
      <c r="G66">
        <v>65</v>
      </c>
      <c r="H66" s="187" t="s">
        <v>252</v>
      </c>
    </row>
    <row r="67" spans="4:8" customFormat="1" x14ac:dyDescent="0.15">
      <c r="D67" s="186" t="s">
        <v>253</v>
      </c>
      <c r="E67">
        <v>66</v>
      </c>
      <c r="F67">
        <v>2.2200000000000002</v>
      </c>
      <c r="G67">
        <v>66</v>
      </c>
      <c r="H67" s="187" t="s">
        <v>253</v>
      </c>
    </row>
    <row r="68" spans="4:8" customFormat="1" x14ac:dyDescent="0.15">
      <c r="D68" s="186" t="s">
        <v>254</v>
      </c>
      <c r="E68">
        <v>67</v>
      </c>
      <c r="F68">
        <v>2.2200000000000002</v>
      </c>
      <c r="G68">
        <v>67</v>
      </c>
      <c r="H68" s="187" t="s">
        <v>254</v>
      </c>
    </row>
    <row r="69" spans="4:8" customFormat="1" x14ac:dyDescent="0.15">
      <c r="D69" s="186" t="s">
        <v>255</v>
      </c>
      <c r="E69">
        <v>68</v>
      </c>
      <c r="F69">
        <v>2</v>
      </c>
      <c r="G69">
        <v>68</v>
      </c>
      <c r="H69" s="187" t="s">
        <v>255</v>
      </c>
    </row>
    <row r="70" spans="4:8" customFormat="1" x14ac:dyDescent="0.15">
      <c r="D70" s="186" t="s">
        <v>256</v>
      </c>
      <c r="E70">
        <v>69</v>
      </c>
      <c r="F70">
        <v>2.2200000000000002</v>
      </c>
      <c r="G70">
        <v>69</v>
      </c>
      <c r="H70" s="187" t="s">
        <v>256</v>
      </c>
    </row>
    <row r="71" spans="4:8" customFormat="1" x14ac:dyDescent="0.15">
      <c r="D71" s="186" t="s">
        <v>257</v>
      </c>
      <c r="E71">
        <v>70</v>
      </c>
      <c r="F71">
        <v>2.2000000000000002</v>
      </c>
      <c r="G71">
        <v>70</v>
      </c>
      <c r="H71" s="187" t="s">
        <v>257</v>
      </c>
    </row>
    <row r="72" spans="4:8" customFormat="1" x14ac:dyDescent="0.15">
      <c r="D72" s="186" t="s">
        <v>258</v>
      </c>
      <c r="E72">
        <v>71</v>
      </c>
      <c r="F72">
        <v>2.2200000000000002</v>
      </c>
      <c r="G72">
        <v>71</v>
      </c>
      <c r="H72" s="187" t="s">
        <v>258</v>
      </c>
    </row>
    <row r="73" spans="4:8" customFormat="1" x14ac:dyDescent="0.15">
      <c r="D73" s="186" t="s">
        <v>259</v>
      </c>
      <c r="E73">
        <v>72</v>
      </c>
      <c r="F73">
        <v>2.2200000000000002</v>
      </c>
      <c r="G73">
        <v>72</v>
      </c>
      <c r="H73" s="187" t="s">
        <v>259</v>
      </c>
    </row>
    <row r="74" spans="4:8" customFormat="1" x14ac:dyDescent="0.15">
      <c r="D74" s="186" t="s">
        <v>260</v>
      </c>
      <c r="E74">
        <v>73</v>
      </c>
      <c r="F74">
        <v>2.2200000000000002</v>
      </c>
      <c r="G74">
        <v>73</v>
      </c>
      <c r="H74" s="187" t="s">
        <v>260</v>
      </c>
    </row>
    <row r="75" spans="4:8" customFormat="1" x14ac:dyDescent="0.15">
      <c r="D75" s="186" t="s">
        <v>261</v>
      </c>
      <c r="E75">
        <v>74</v>
      </c>
      <c r="F75">
        <v>2.21</v>
      </c>
      <c r="G75">
        <v>74</v>
      </c>
      <c r="H75" s="187" t="s">
        <v>261</v>
      </c>
    </row>
    <row r="76" spans="4:8" customFormat="1" x14ac:dyDescent="0.15">
      <c r="D76" s="186" t="s">
        <v>262</v>
      </c>
      <c r="E76">
        <v>75</v>
      </c>
      <c r="F76">
        <v>2.1</v>
      </c>
      <c r="G76">
        <v>75</v>
      </c>
      <c r="H76" s="187" t="s">
        <v>262</v>
      </c>
    </row>
    <row r="77" spans="4:8" customFormat="1" x14ac:dyDescent="0.15">
      <c r="D77" s="186" t="s">
        <v>263</v>
      </c>
      <c r="E77">
        <v>76</v>
      </c>
      <c r="F77">
        <v>2.12</v>
      </c>
      <c r="G77">
        <v>76</v>
      </c>
      <c r="H77" s="187" t="s">
        <v>263</v>
      </c>
    </row>
    <row r="78" spans="4:8" customFormat="1" x14ac:dyDescent="0.15">
      <c r="D78" s="186" t="s">
        <v>264</v>
      </c>
      <c r="E78">
        <v>77</v>
      </c>
      <c r="F78">
        <v>4.2</v>
      </c>
      <c r="G78">
        <v>77</v>
      </c>
      <c r="H78" s="187" t="s">
        <v>264</v>
      </c>
    </row>
    <row r="79" spans="4:8" customFormat="1" x14ac:dyDescent="0.15">
      <c r="D79" s="186" t="s">
        <v>265</v>
      </c>
      <c r="E79">
        <v>78</v>
      </c>
      <c r="F79">
        <v>4.2</v>
      </c>
      <c r="G79">
        <v>78</v>
      </c>
      <c r="H79" s="187" t="s">
        <v>265</v>
      </c>
    </row>
    <row r="80" spans="4:8" customFormat="1" x14ac:dyDescent="0.15">
      <c r="D80" s="186" t="s">
        <v>266</v>
      </c>
      <c r="E80">
        <v>79</v>
      </c>
      <c r="F80">
        <v>4.2</v>
      </c>
      <c r="G80">
        <v>79</v>
      </c>
      <c r="H80" s="187" t="s">
        <v>266</v>
      </c>
    </row>
    <row r="81" spans="4:8" customFormat="1" x14ac:dyDescent="0.15">
      <c r="D81" s="186" t="s">
        <v>267</v>
      </c>
      <c r="E81">
        <v>80</v>
      </c>
      <c r="F81" s="195">
        <v>4.2</v>
      </c>
      <c r="G81">
        <v>80</v>
      </c>
      <c r="H81" s="187" t="s">
        <v>267</v>
      </c>
    </row>
    <row r="82" spans="4:8" customFormat="1" x14ac:dyDescent="0.15">
      <c r="D82" s="186" t="s">
        <v>268</v>
      </c>
      <c r="E82">
        <v>81</v>
      </c>
      <c r="F82">
        <v>4</v>
      </c>
      <c r="G82">
        <v>81</v>
      </c>
      <c r="H82" s="187" t="s">
        <v>268</v>
      </c>
    </row>
    <row r="83" spans="4:8" customFormat="1" x14ac:dyDescent="0.15">
      <c r="D83" s="186" t="s">
        <v>269</v>
      </c>
      <c r="E83">
        <v>82</v>
      </c>
      <c r="F83">
        <v>4.0999999999999996</v>
      </c>
      <c r="G83">
        <v>82</v>
      </c>
      <c r="H83" s="187" t="s">
        <v>269</v>
      </c>
    </row>
    <row r="84" spans="4:8" customFormat="1" x14ac:dyDescent="0.15">
      <c r="D84" s="186" t="s">
        <v>270</v>
      </c>
      <c r="E84">
        <v>83</v>
      </c>
      <c r="F84">
        <v>4.3</v>
      </c>
      <c r="G84">
        <v>83</v>
      </c>
      <c r="H84" s="187" t="s">
        <v>270</v>
      </c>
    </row>
    <row r="85" spans="4:8" customFormat="1" x14ac:dyDescent="0.15">
      <c r="D85" s="186" t="s">
        <v>271</v>
      </c>
      <c r="E85">
        <v>84</v>
      </c>
      <c r="F85">
        <v>5</v>
      </c>
      <c r="G85">
        <v>84</v>
      </c>
      <c r="H85" s="187" t="s">
        <v>271</v>
      </c>
    </row>
    <row r="86" spans="4:8" customFormat="1" x14ac:dyDescent="0.15">
      <c r="D86" s="186" t="s">
        <v>272</v>
      </c>
      <c r="E86">
        <v>85</v>
      </c>
      <c r="F86">
        <v>5</v>
      </c>
      <c r="G86">
        <v>85</v>
      </c>
      <c r="H86" s="187" t="s">
        <v>272</v>
      </c>
    </row>
    <row r="87" spans="4:8" customFormat="1" x14ac:dyDescent="0.15">
      <c r="D87" s="186" t="s">
        <v>273</v>
      </c>
      <c r="E87">
        <v>86</v>
      </c>
      <c r="F87">
        <v>5</v>
      </c>
      <c r="G87">
        <v>86</v>
      </c>
      <c r="H87" s="187" t="s">
        <v>273</v>
      </c>
    </row>
    <row r="88" spans="4:8" customFormat="1" x14ac:dyDescent="0.15">
      <c r="D88" s="186" t="s">
        <v>274</v>
      </c>
      <c r="E88">
        <v>87</v>
      </c>
      <c r="F88">
        <v>5</v>
      </c>
      <c r="G88">
        <v>87</v>
      </c>
      <c r="H88" s="187" t="s">
        <v>274</v>
      </c>
    </row>
    <row r="89" spans="4:8" customFormat="1" x14ac:dyDescent="0.15">
      <c r="D89" s="186" t="s">
        <v>275</v>
      </c>
      <c r="E89">
        <v>88</v>
      </c>
      <c r="F89">
        <v>5</v>
      </c>
      <c r="G89">
        <v>88</v>
      </c>
      <c r="H89" s="187" t="s">
        <v>275</v>
      </c>
    </row>
    <row r="90" spans="4:8" customFormat="1" x14ac:dyDescent="0.15">
      <c r="D90" s="186" t="s">
        <v>276</v>
      </c>
      <c r="E90">
        <v>89</v>
      </c>
      <c r="F90">
        <v>5</v>
      </c>
      <c r="G90">
        <v>89</v>
      </c>
      <c r="H90" s="187" t="s">
        <v>276</v>
      </c>
    </row>
    <row r="91" spans="4:8" customFormat="1" x14ac:dyDescent="0.15">
      <c r="D91" s="186" t="s">
        <v>277</v>
      </c>
      <c r="E91">
        <v>90</v>
      </c>
      <c r="F91">
        <v>5</v>
      </c>
      <c r="G91">
        <v>90</v>
      </c>
      <c r="H91" s="187" t="s">
        <v>277</v>
      </c>
    </row>
    <row r="92" spans="4:8" customFormat="1" x14ac:dyDescent="0.15">
      <c r="D92" s="186" t="s">
        <v>278</v>
      </c>
      <c r="E92">
        <v>91</v>
      </c>
      <c r="F92">
        <v>5</v>
      </c>
      <c r="G92">
        <v>91</v>
      </c>
      <c r="H92" s="187" t="s">
        <v>278</v>
      </c>
    </row>
    <row r="93" spans="4:8" customFormat="1" x14ac:dyDescent="0.15">
      <c r="D93" s="186" t="s">
        <v>279</v>
      </c>
      <c r="E93">
        <v>92</v>
      </c>
      <c r="F93">
        <v>5</v>
      </c>
      <c r="G93">
        <v>92</v>
      </c>
      <c r="H93" s="187" t="s">
        <v>279</v>
      </c>
    </row>
    <row r="94" spans="4:8" customFormat="1" x14ac:dyDescent="0.15">
      <c r="D94" s="186" t="s">
        <v>280</v>
      </c>
      <c r="E94">
        <v>93</v>
      </c>
      <c r="F94">
        <v>5</v>
      </c>
      <c r="G94">
        <v>93</v>
      </c>
      <c r="H94" s="187" t="s">
        <v>280</v>
      </c>
    </row>
    <row r="95" spans="4:8" customFormat="1" x14ac:dyDescent="0.15">
      <c r="D95" s="186" t="s">
        <v>281</v>
      </c>
      <c r="E95">
        <v>94</v>
      </c>
      <c r="F95">
        <v>5</v>
      </c>
      <c r="G95">
        <v>94</v>
      </c>
      <c r="H95" s="187" t="s">
        <v>281</v>
      </c>
    </row>
    <row r="96" spans="4:8" customFormat="1" x14ac:dyDescent="0.15">
      <c r="D96" s="186" t="s">
        <v>282</v>
      </c>
      <c r="E96">
        <v>95</v>
      </c>
      <c r="F96">
        <v>5</v>
      </c>
      <c r="G96">
        <v>95</v>
      </c>
      <c r="H96" s="187" t="s">
        <v>282</v>
      </c>
    </row>
    <row r="97" spans="4:8" customFormat="1" x14ac:dyDescent="0.15">
      <c r="D97" s="186" t="s">
        <v>283</v>
      </c>
      <c r="E97">
        <v>96</v>
      </c>
      <c r="F97">
        <v>5</v>
      </c>
      <c r="G97">
        <v>96</v>
      </c>
      <c r="H97" s="187" t="s">
        <v>283</v>
      </c>
    </row>
    <row r="98" spans="4:8" customFormat="1" x14ac:dyDescent="0.15">
      <c r="D98" s="186" t="s">
        <v>284</v>
      </c>
      <c r="E98">
        <v>97</v>
      </c>
      <c r="F98">
        <v>5</v>
      </c>
      <c r="G98">
        <v>97</v>
      </c>
      <c r="H98" s="187" t="s">
        <v>284</v>
      </c>
    </row>
    <row r="99" spans="4:8" customFormat="1" x14ac:dyDescent="0.15">
      <c r="D99" s="186" t="s">
        <v>138</v>
      </c>
      <c r="E99">
        <v>98</v>
      </c>
      <c r="F99">
        <v>6.1</v>
      </c>
      <c r="G99">
        <v>98</v>
      </c>
      <c r="H99" s="187" t="s">
        <v>138</v>
      </c>
    </row>
    <row r="100" spans="4:8" customFormat="1" x14ac:dyDescent="0.15">
      <c r="D100" s="186" t="s">
        <v>45</v>
      </c>
      <c r="E100">
        <v>99</v>
      </c>
      <c r="F100">
        <v>6.2</v>
      </c>
      <c r="G100">
        <v>99</v>
      </c>
      <c r="H100" s="187" t="s">
        <v>45</v>
      </c>
    </row>
    <row r="101" spans="4:8" customFormat="1" x14ac:dyDescent="0.15"/>
    <row r="102" spans="4:8" customFormat="1" x14ac:dyDescent="0.15"/>
    <row r="103" spans="4:8" customFormat="1" x14ac:dyDescent="0.15"/>
    <row r="104" spans="4:8" customFormat="1" x14ac:dyDescent="0.15"/>
    <row r="105" spans="4:8" customFormat="1" x14ac:dyDescent="0.15"/>
    <row r="106" spans="4:8" customFormat="1" x14ac:dyDescent="0.15"/>
    <row r="107" spans="4:8" customFormat="1" x14ac:dyDescent="0.15"/>
    <row r="108" spans="4:8" customFormat="1" x14ac:dyDescent="0.15"/>
    <row r="109" spans="4:8" customFormat="1" x14ac:dyDescent="0.15"/>
    <row r="110" spans="4:8" customFormat="1" x14ac:dyDescent="0.15"/>
    <row r="111" spans="4:8" customFormat="1" x14ac:dyDescent="0.15"/>
    <row r="112" spans="4:8"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abSelected="1" workbookViewId="0">
      <pane ySplit="2" topLeftCell="A27" activePane="bottomLeft" state="frozen"/>
      <selection pane="bottomLeft" activeCell="T29" sqref="T29"/>
    </sheetView>
  </sheetViews>
  <sheetFormatPr baseColWidth="10" defaultColWidth="11.5" defaultRowHeight="15" customHeight="1" x14ac:dyDescent="0.15"/>
  <cols>
    <col min="1" max="1" width="20.33203125" style="83" bestFit="1" customWidth="1"/>
    <col min="2" max="2" width="14.83203125" style="82" customWidth="1"/>
    <col min="3" max="3" width="20.33203125" style="82" customWidth="1"/>
    <col min="4" max="4" width="11.83203125" style="82" customWidth="1"/>
    <col min="5" max="5" width="14.83203125" style="82" customWidth="1"/>
    <col min="6" max="6" width="29.6640625" style="82" bestFit="1" customWidth="1"/>
    <col min="7" max="9" width="2.33203125" style="82" customWidth="1"/>
    <col min="10" max="10" width="2.33203125" style="82" bestFit="1" customWidth="1"/>
    <col min="11" max="15" width="3.83203125" style="82" customWidth="1"/>
    <col min="16" max="16" width="3.83203125" style="72" customWidth="1"/>
    <col min="17" max="17" width="2.33203125" style="82" customWidth="1"/>
    <col min="18" max="18" width="2.33203125" style="73" customWidth="1"/>
    <col min="19" max="16384" width="11.5" style="82"/>
  </cols>
  <sheetData>
    <row r="1" spans="1:23" ht="15" customHeight="1" thickBot="1" x14ac:dyDescent="0.2">
      <c r="F1" s="1"/>
      <c r="G1" s="70" t="s">
        <v>46</v>
      </c>
      <c r="H1" s="70" t="s">
        <v>47</v>
      </c>
      <c r="I1" s="70" t="s">
        <v>120</v>
      </c>
      <c r="J1" s="70" t="s">
        <v>132</v>
      </c>
      <c r="K1" s="84" t="s">
        <v>48</v>
      </c>
      <c r="L1" s="73"/>
      <c r="M1" s="84" t="s">
        <v>119</v>
      </c>
      <c r="N1" s="73"/>
      <c r="O1" s="84" t="s">
        <v>49</v>
      </c>
      <c r="P1" s="76"/>
      <c r="Q1" s="84" t="s">
        <v>50</v>
      </c>
      <c r="R1" s="70" t="s">
        <v>154</v>
      </c>
    </row>
    <row r="2" spans="1:23" ht="15" customHeight="1" x14ac:dyDescent="0.15">
      <c r="A2" s="84" t="s">
        <v>51</v>
      </c>
      <c r="B2" s="85">
        <v>0.5</v>
      </c>
      <c r="C2" s="83" t="s">
        <v>52</v>
      </c>
      <c r="D2" s="86"/>
      <c r="F2" s="1"/>
      <c r="G2" s="87"/>
      <c r="H2" s="87"/>
      <c r="I2" s="87" t="s">
        <v>133</v>
      </c>
      <c r="J2" s="87" t="s">
        <v>133</v>
      </c>
      <c r="K2" s="87" t="s">
        <v>52</v>
      </c>
      <c r="L2" s="87" t="s">
        <v>53</v>
      </c>
      <c r="M2" s="87" t="s">
        <v>52</v>
      </c>
      <c r="N2" s="87" t="s">
        <v>53</v>
      </c>
      <c r="O2" s="87" t="s">
        <v>52</v>
      </c>
      <c r="P2" s="88" t="s">
        <v>53</v>
      </c>
      <c r="Q2" s="87"/>
      <c r="R2" s="89" t="s">
        <v>155</v>
      </c>
    </row>
    <row r="3" spans="1:23" ht="15" customHeight="1" thickBot="1" x14ac:dyDescent="0.2">
      <c r="A3" s="84" t="s">
        <v>54</v>
      </c>
      <c r="B3" s="90">
        <v>0.5</v>
      </c>
      <c r="C3" s="83" t="s">
        <v>53</v>
      </c>
      <c r="D3" s="86"/>
      <c r="F3" t="s">
        <v>38</v>
      </c>
      <c r="G3">
        <v>0</v>
      </c>
      <c r="H3">
        <v>0</v>
      </c>
      <c r="I3">
        <v>0</v>
      </c>
      <c r="J3">
        <v>0</v>
      </c>
      <c r="K3">
        <v>0</v>
      </c>
      <c r="L3">
        <v>0</v>
      </c>
      <c r="M3">
        <v>0</v>
      </c>
      <c r="N3">
        <v>0</v>
      </c>
      <c r="O3">
        <v>0</v>
      </c>
      <c r="P3">
        <v>0</v>
      </c>
      <c r="Q3" s="125">
        <v>0</v>
      </c>
      <c r="R3" s="38">
        <v>0</v>
      </c>
    </row>
    <row r="4" spans="1:23" ht="15" customHeight="1" thickBot="1" x14ac:dyDescent="0.2">
      <c r="F4" t="s">
        <v>40</v>
      </c>
      <c r="G4">
        <v>0</v>
      </c>
      <c r="H4">
        <v>0</v>
      </c>
      <c r="I4">
        <v>0</v>
      </c>
      <c r="J4">
        <v>0</v>
      </c>
      <c r="K4">
        <v>0</v>
      </c>
      <c r="L4">
        <v>0</v>
      </c>
      <c r="M4">
        <v>0</v>
      </c>
      <c r="N4">
        <v>0</v>
      </c>
      <c r="O4">
        <v>0</v>
      </c>
      <c r="P4">
        <v>0</v>
      </c>
      <c r="Q4" s="125">
        <v>0</v>
      </c>
      <c r="R4" s="108">
        <v>0</v>
      </c>
    </row>
    <row r="5" spans="1:23" ht="15" customHeight="1" x14ac:dyDescent="0.15">
      <c r="A5" s="84" t="s">
        <v>55</v>
      </c>
      <c r="B5" s="91">
        <v>0.5</v>
      </c>
      <c r="C5" s="83" t="s">
        <v>52</v>
      </c>
      <c r="D5" s="86"/>
      <c r="F5" t="s">
        <v>41</v>
      </c>
      <c r="G5">
        <v>0</v>
      </c>
      <c r="H5">
        <v>0</v>
      </c>
      <c r="I5">
        <v>0</v>
      </c>
      <c r="J5">
        <v>0</v>
      </c>
      <c r="K5">
        <v>0</v>
      </c>
      <c r="L5">
        <v>0</v>
      </c>
      <c r="M5">
        <v>0</v>
      </c>
      <c r="N5">
        <v>0</v>
      </c>
      <c r="O5">
        <v>0</v>
      </c>
      <c r="P5">
        <v>0</v>
      </c>
      <c r="Q5" s="125">
        <v>0</v>
      </c>
      <c r="R5" s="108">
        <v>0</v>
      </c>
    </row>
    <row r="6" spans="1:23" ht="15" customHeight="1" thickBot="1" x14ac:dyDescent="0.2">
      <c r="A6" s="84"/>
      <c r="B6" s="92">
        <v>0.5</v>
      </c>
      <c r="C6" s="83" t="s">
        <v>53</v>
      </c>
      <c r="D6" s="86"/>
      <c r="F6" s="188" t="s">
        <v>191</v>
      </c>
      <c r="G6" s="82">
        <v>0</v>
      </c>
      <c r="H6" s="82">
        <v>0</v>
      </c>
      <c r="I6" s="82">
        <v>0</v>
      </c>
      <c r="J6" s="82">
        <v>0</v>
      </c>
      <c r="K6" s="82">
        <v>0</v>
      </c>
      <c r="L6" s="82">
        <v>1</v>
      </c>
      <c r="M6" s="82">
        <v>0</v>
      </c>
      <c r="N6" s="82">
        <v>1</v>
      </c>
      <c r="O6" s="82">
        <v>0</v>
      </c>
      <c r="P6" s="72">
        <v>1</v>
      </c>
      <c r="Q6" s="82">
        <v>0</v>
      </c>
      <c r="R6" s="73">
        <v>1</v>
      </c>
      <c r="S6"/>
      <c r="T6"/>
    </row>
    <row r="7" spans="1:23" ht="15" customHeight="1" thickBot="1" x14ac:dyDescent="0.2">
      <c r="F7" s="188" t="s">
        <v>192</v>
      </c>
      <c r="G7" s="82">
        <v>0</v>
      </c>
      <c r="H7" s="82">
        <v>0</v>
      </c>
      <c r="I7" s="82">
        <v>0</v>
      </c>
      <c r="J7" s="82">
        <v>0</v>
      </c>
      <c r="K7" s="82">
        <v>0</v>
      </c>
      <c r="L7" s="82">
        <v>1</v>
      </c>
      <c r="M7" s="82">
        <v>0</v>
      </c>
      <c r="N7" s="82">
        <v>1</v>
      </c>
      <c r="O7" s="82">
        <v>0</v>
      </c>
      <c r="P7" s="72">
        <v>1</v>
      </c>
      <c r="Q7" s="82">
        <v>0</v>
      </c>
      <c r="R7" s="73">
        <v>1</v>
      </c>
      <c r="S7"/>
      <c r="T7"/>
    </row>
    <row r="8" spans="1:23" ht="15" customHeight="1" x14ac:dyDescent="0.15">
      <c r="A8" s="84" t="s">
        <v>56</v>
      </c>
      <c r="B8" s="91">
        <v>8.082012695747284E-3</v>
      </c>
      <c r="C8" s="189" t="s">
        <v>253</v>
      </c>
      <c r="D8" s="86" t="s">
        <v>160</v>
      </c>
      <c r="F8" s="188" t="s">
        <v>193</v>
      </c>
      <c r="G8" s="82">
        <v>0</v>
      </c>
      <c r="H8" s="82">
        <v>0</v>
      </c>
      <c r="I8" s="82">
        <v>0</v>
      </c>
      <c r="J8" s="82">
        <v>0</v>
      </c>
      <c r="K8" s="82">
        <v>0</v>
      </c>
      <c r="L8" s="82">
        <v>1</v>
      </c>
      <c r="M8" s="82">
        <v>0</v>
      </c>
      <c r="N8" s="82">
        <v>1</v>
      </c>
      <c r="O8" s="82">
        <v>0</v>
      </c>
      <c r="P8" s="72">
        <v>1</v>
      </c>
      <c r="Q8" s="82">
        <v>0</v>
      </c>
      <c r="R8" s="73">
        <v>1</v>
      </c>
      <c r="S8"/>
      <c r="T8"/>
      <c r="W8"/>
    </row>
    <row r="9" spans="1:23" ht="15" customHeight="1" x14ac:dyDescent="0.15">
      <c r="A9" s="122" t="s">
        <v>167</v>
      </c>
      <c r="B9" s="93">
        <v>5.7728662112480594E-2</v>
      </c>
      <c r="C9" s="189" t="s">
        <v>254</v>
      </c>
      <c r="D9" s="86" t="s">
        <v>160</v>
      </c>
      <c r="F9" s="188" t="s">
        <v>194</v>
      </c>
      <c r="G9" s="82">
        <v>0</v>
      </c>
      <c r="H9" s="82">
        <v>0</v>
      </c>
      <c r="I9" s="82">
        <v>0</v>
      </c>
      <c r="J9" s="82">
        <v>0</v>
      </c>
      <c r="K9" s="82">
        <v>0</v>
      </c>
      <c r="L9" s="82">
        <v>1</v>
      </c>
      <c r="M9" s="82">
        <v>0</v>
      </c>
      <c r="N9" s="82">
        <v>1</v>
      </c>
      <c r="O9" s="82">
        <v>0</v>
      </c>
      <c r="P9" s="72">
        <v>1</v>
      </c>
      <c r="Q9" s="82">
        <v>0</v>
      </c>
      <c r="R9" s="73">
        <v>1</v>
      </c>
      <c r="S9"/>
      <c r="T9"/>
      <c r="W9"/>
    </row>
    <row r="10" spans="1:23" ht="15" customHeight="1" x14ac:dyDescent="0.15">
      <c r="B10" s="93">
        <v>0.18473171875993791</v>
      </c>
      <c r="C10" s="189" t="s">
        <v>255</v>
      </c>
      <c r="D10" s="86" t="s">
        <v>160</v>
      </c>
      <c r="F10" s="188" t="s">
        <v>195</v>
      </c>
      <c r="G10" s="82">
        <v>0</v>
      </c>
      <c r="H10" s="82">
        <v>0</v>
      </c>
      <c r="I10" s="82">
        <v>0</v>
      </c>
      <c r="J10" s="82">
        <v>0</v>
      </c>
      <c r="K10" s="82">
        <v>0</v>
      </c>
      <c r="L10" s="82">
        <v>1</v>
      </c>
      <c r="M10" s="82">
        <v>0</v>
      </c>
      <c r="N10" s="82">
        <v>1</v>
      </c>
      <c r="O10" s="82">
        <v>0</v>
      </c>
      <c r="P10" s="72">
        <v>1</v>
      </c>
      <c r="Q10" s="82">
        <v>0</v>
      </c>
      <c r="R10" s="73">
        <v>1</v>
      </c>
      <c r="S10"/>
      <c r="T10"/>
      <c r="W10"/>
    </row>
    <row r="11" spans="1:23" ht="15" customHeight="1" x14ac:dyDescent="0.15">
      <c r="A11" s="84"/>
      <c r="B11" s="93">
        <v>1.8473171875993791E-2</v>
      </c>
      <c r="C11" s="189" t="s">
        <v>256</v>
      </c>
      <c r="D11" s="86" t="s">
        <v>160</v>
      </c>
      <c r="F11" s="188" t="s">
        <v>196</v>
      </c>
      <c r="G11" s="82">
        <v>0</v>
      </c>
      <c r="H11" s="82">
        <v>0</v>
      </c>
      <c r="I11" s="82">
        <v>0</v>
      </c>
      <c r="J11" s="82">
        <v>0</v>
      </c>
      <c r="K11" s="82">
        <v>0</v>
      </c>
      <c r="L11" s="82">
        <v>1</v>
      </c>
      <c r="M11" s="82">
        <v>0</v>
      </c>
      <c r="N11" s="82">
        <v>1</v>
      </c>
      <c r="O11" s="82">
        <v>0</v>
      </c>
      <c r="P11" s="72">
        <v>1</v>
      </c>
      <c r="Q11" s="82">
        <v>0</v>
      </c>
      <c r="R11" s="73">
        <v>1</v>
      </c>
      <c r="S11"/>
      <c r="T11"/>
      <c r="W11"/>
    </row>
    <row r="12" spans="1:23" ht="15" customHeight="1" x14ac:dyDescent="0.15">
      <c r="B12" s="93">
        <v>7.3892687503975166E-2</v>
      </c>
      <c r="C12" s="189" t="s">
        <v>257</v>
      </c>
      <c r="D12" s="86" t="s">
        <v>160</v>
      </c>
      <c r="F12" s="188" t="s">
        <v>197</v>
      </c>
      <c r="G12" s="82">
        <v>0</v>
      </c>
      <c r="H12" s="82">
        <v>0</v>
      </c>
      <c r="I12" s="82">
        <v>0</v>
      </c>
      <c r="J12" s="82">
        <v>0</v>
      </c>
      <c r="K12" s="82">
        <v>0</v>
      </c>
      <c r="L12" s="82">
        <v>1</v>
      </c>
      <c r="M12" s="82">
        <v>0</v>
      </c>
      <c r="N12" s="82">
        <v>1</v>
      </c>
      <c r="O12" s="82">
        <v>0</v>
      </c>
      <c r="P12" s="72">
        <v>1</v>
      </c>
      <c r="Q12" s="82">
        <v>0</v>
      </c>
      <c r="R12" s="73">
        <v>1</v>
      </c>
      <c r="S12"/>
      <c r="T12"/>
      <c r="W12"/>
    </row>
    <row r="13" spans="1:23" ht="15" customHeight="1" x14ac:dyDescent="0.15">
      <c r="B13" s="93">
        <v>5.3468925413598198E-2</v>
      </c>
      <c r="C13" s="189" t="s">
        <v>258</v>
      </c>
      <c r="D13" s="86" t="s">
        <v>160</v>
      </c>
      <c r="F13" s="188" t="s">
        <v>198</v>
      </c>
      <c r="G13" s="82">
        <v>0</v>
      </c>
      <c r="H13" s="82">
        <v>0</v>
      </c>
      <c r="I13" s="82">
        <v>0</v>
      </c>
      <c r="J13" s="82">
        <v>0</v>
      </c>
      <c r="K13" s="82">
        <v>0</v>
      </c>
      <c r="L13" s="82">
        <v>1</v>
      </c>
      <c r="M13" s="82">
        <v>0</v>
      </c>
      <c r="N13" s="82">
        <v>1</v>
      </c>
      <c r="O13" s="82">
        <v>0</v>
      </c>
      <c r="P13" s="72">
        <v>1</v>
      </c>
      <c r="Q13" s="82">
        <v>0</v>
      </c>
      <c r="R13" s="73">
        <v>1</v>
      </c>
      <c r="S13"/>
      <c r="T13"/>
      <c r="W13"/>
    </row>
    <row r="14" spans="1:23" ht="15" customHeight="1" x14ac:dyDescent="0.15">
      <c r="B14" s="93">
        <v>0.25970662624964841</v>
      </c>
      <c r="C14" s="189" t="s">
        <v>259</v>
      </c>
      <c r="D14" s="86" t="s">
        <v>160</v>
      </c>
      <c r="F14" s="188" t="s">
        <v>199</v>
      </c>
      <c r="G14" s="82">
        <v>0</v>
      </c>
      <c r="H14" s="82">
        <v>0</v>
      </c>
      <c r="I14" s="82">
        <v>0</v>
      </c>
      <c r="J14" s="82">
        <v>0</v>
      </c>
      <c r="K14" s="82">
        <v>0</v>
      </c>
      <c r="L14" s="82">
        <v>1</v>
      </c>
      <c r="M14" s="82">
        <v>0</v>
      </c>
      <c r="N14" s="82">
        <v>1</v>
      </c>
      <c r="O14" s="82">
        <v>0</v>
      </c>
      <c r="P14" s="72">
        <v>1</v>
      </c>
      <c r="Q14" s="82">
        <v>0</v>
      </c>
      <c r="R14" s="73">
        <v>1</v>
      </c>
      <c r="S14"/>
      <c r="T14"/>
      <c r="W14"/>
    </row>
    <row r="15" spans="1:23" ht="15" customHeight="1" x14ac:dyDescent="0.15">
      <c r="B15" s="93">
        <v>2.6693733360811028E-2</v>
      </c>
      <c r="C15" s="189" t="s">
        <v>260</v>
      </c>
      <c r="D15" s="86" t="s">
        <v>160</v>
      </c>
      <c r="F15" s="188" t="s">
        <v>200</v>
      </c>
      <c r="G15" s="82">
        <v>0</v>
      </c>
      <c r="H15" s="82">
        <v>0</v>
      </c>
      <c r="I15" s="82">
        <v>0</v>
      </c>
      <c r="J15" s="82">
        <v>0</v>
      </c>
      <c r="K15" s="82">
        <v>0</v>
      </c>
      <c r="L15" s="82">
        <v>1</v>
      </c>
      <c r="M15" s="82">
        <v>0</v>
      </c>
      <c r="N15" s="82">
        <v>1</v>
      </c>
      <c r="O15" s="82">
        <v>0</v>
      </c>
      <c r="P15" s="72">
        <v>1</v>
      </c>
      <c r="Q15" s="82">
        <v>0</v>
      </c>
      <c r="R15" s="73">
        <v>1</v>
      </c>
      <c r="S15"/>
      <c r="T15"/>
      <c r="W15"/>
    </row>
    <row r="16" spans="1:23" ht="15" customHeight="1" x14ac:dyDescent="0.15">
      <c r="B16" s="93">
        <v>2.3927375872380956E-2</v>
      </c>
      <c r="C16" s="189" t="s">
        <v>261</v>
      </c>
      <c r="D16" s="86" t="s">
        <v>160</v>
      </c>
      <c r="F16" s="188" t="s">
        <v>201</v>
      </c>
      <c r="G16" s="82">
        <v>0</v>
      </c>
      <c r="H16" s="82">
        <v>0</v>
      </c>
      <c r="I16" s="82">
        <v>0</v>
      </c>
      <c r="J16" s="82">
        <v>0</v>
      </c>
      <c r="K16" s="82">
        <v>0</v>
      </c>
      <c r="L16" s="82">
        <v>1</v>
      </c>
      <c r="M16" s="82">
        <v>0</v>
      </c>
      <c r="N16" s="82">
        <v>1</v>
      </c>
      <c r="O16" s="82">
        <v>0</v>
      </c>
      <c r="P16" s="72">
        <v>1</v>
      </c>
      <c r="Q16" s="82">
        <v>0</v>
      </c>
      <c r="R16" s="73">
        <v>1</v>
      </c>
      <c r="S16"/>
      <c r="T16"/>
    </row>
    <row r="17" spans="1:20" ht="15" customHeight="1" thickBot="1" x14ac:dyDescent="0.2">
      <c r="B17" s="92">
        <v>0.2569722119542539</v>
      </c>
      <c r="C17" s="189" t="s">
        <v>262</v>
      </c>
      <c r="D17" s="86" t="s">
        <v>160</v>
      </c>
      <c r="F17" s="188" t="s">
        <v>202</v>
      </c>
      <c r="G17" s="82">
        <v>0</v>
      </c>
      <c r="H17" s="82">
        <v>0</v>
      </c>
      <c r="I17" s="82">
        <v>0</v>
      </c>
      <c r="J17" s="82">
        <v>0</v>
      </c>
      <c r="K17" s="82">
        <v>0</v>
      </c>
      <c r="L17" s="82">
        <v>1</v>
      </c>
      <c r="M17" s="82">
        <v>0</v>
      </c>
      <c r="N17" s="82">
        <v>1</v>
      </c>
      <c r="O17" s="82">
        <v>0</v>
      </c>
      <c r="P17" s="72">
        <v>1</v>
      </c>
      <c r="Q17" s="82">
        <v>0</v>
      </c>
      <c r="R17" s="73">
        <v>1</v>
      </c>
      <c r="S17"/>
      <c r="T17"/>
    </row>
    <row r="18" spans="1:20" ht="15" customHeight="1" thickBot="1" x14ac:dyDescent="0.2">
      <c r="B18" s="94">
        <v>3.6322874201172792E-2</v>
      </c>
      <c r="C18" s="189" t="s">
        <v>263</v>
      </c>
      <c r="F18" s="188" t="s">
        <v>203</v>
      </c>
      <c r="G18" s="82">
        <v>0</v>
      </c>
      <c r="H18" s="82">
        <v>0</v>
      </c>
      <c r="I18" s="82">
        <v>0</v>
      </c>
      <c r="J18" s="82">
        <v>0</v>
      </c>
      <c r="K18" s="82">
        <v>0</v>
      </c>
      <c r="L18" s="82">
        <v>1</v>
      </c>
      <c r="M18" s="82">
        <v>0</v>
      </c>
      <c r="N18" s="82">
        <v>1</v>
      </c>
      <c r="O18" s="82">
        <v>0</v>
      </c>
      <c r="P18" s="72">
        <v>1</v>
      </c>
      <c r="Q18" s="82">
        <v>0</v>
      </c>
      <c r="R18" s="73">
        <v>1</v>
      </c>
      <c r="S18"/>
      <c r="T18"/>
    </row>
    <row r="19" spans="1:20" ht="15" customHeight="1" x14ac:dyDescent="0.15">
      <c r="A19" s="84" t="s">
        <v>57</v>
      </c>
      <c r="B19" s="91">
        <v>8.082012695747284E-3</v>
      </c>
      <c r="C19" s="190" t="s">
        <v>253</v>
      </c>
      <c r="D19" s="86" t="s">
        <v>160</v>
      </c>
      <c r="F19" s="188" t="s">
        <v>204</v>
      </c>
      <c r="G19" s="82">
        <v>0</v>
      </c>
      <c r="H19" s="82">
        <v>0</v>
      </c>
      <c r="I19" s="82">
        <v>0</v>
      </c>
      <c r="J19" s="82">
        <v>0</v>
      </c>
      <c r="K19" s="82">
        <v>0</v>
      </c>
      <c r="L19" s="82">
        <v>1</v>
      </c>
      <c r="M19" s="82">
        <v>0</v>
      </c>
      <c r="N19" s="82">
        <v>1</v>
      </c>
      <c r="O19" s="82">
        <v>0</v>
      </c>
      <c r="P19" s="72">
        <v>1</v>
      </c>
      <c r="Q19" s="82">
        <v>0</v>
      </c>
      <c r="R19" s="73">
        <v>1</v>
      </c>
      <c r="S19"/>
      <c r="T19"/>
    </row>
    <row r="20" spans="1:20" ht="15" customHeight="1" x14ac:dyDescent="0.15">
      <c r="A20" s="122" t="s">
        <v>167</v>
      </c>
      <c r="B20" s="93">
        <v>5.7728662112480594E-2</v>
      </c>
      <c r="C20" s="190" t="s">
        <v>254</v>
      </c>
      <c r="D20" s="86" t="s">
        <v>160</v>
      </c>
      <c r="F20" s="188" t="s">
        <v>205</v>
      </c>
      <c r="G20" s="82">
        <v>0</v>
      </c>
      <c r="H20" s="82">
        <v>0</v>
      </c>
      <c r="I20" s="82">
        <v>0</v>
      </c>
      <c r="J20" s="82">
        <v>0</v>
      </c>
      <c r="K20" s="82">
        <v>0</v>
      </c>
      <c r="L20" s="82">
        <v>1</v>
      </c>
      <c r="M20" s="82">
        <v>0</v>
      </c>
      <c r="N20" s="82">
        <v>1</v>
      </c>
      <c r="O20" s="82">
        <v>0</v>
      </c>
      <c r="P20" s="72">
        <v>1</v>
      </c>
      <c r="Q20" s="82">
        <v>0</v>
      </c>
      <c r="R20" s="73">
        <v>1</v>
      </c>
      <c r="S20"/>
      <c r="T20"/>
    </row>
    <row r="21" spans="1:20" ht="15" customHeight="1" x14ac:dyDescent="0.15">
      <c r="B21" s="93">
        <v>0.18473171875993791</v>
      </c>
      <c r="C21" s="190" t="s">
        <v>255</v>
      </c>
      <c r="D21" s="86" t="s">
        <v>160</v>
      </c>
      <c r="F21" s="188" t="s">
        <v>206</v>
      </c>
      <c r="G21" s="82">
        <v>0</v>
      </c>
      <c r="H21" s="82">
        <v>0</v>
      </c>
      <c r="I21" s="82">
        <v>0</v>
      </c>
      <c r="J21" s="82">
        <v>0</v>
      </c>
      <c r="K21" s="82">
        <v>0</v>
      </c>
      <c r="L21" s="82">
        <v>1</v>
      </c>
      <c r="M21" s="82">
        <v>0</v>
      </c>
      <c r="N21" s="82">
        <v>1</v>
      </c>
      <c r="O21" s="82">
        <v>0</v>
      </c>
      <c r="P21" s="72">
        <v>1</v>
      </c>
      <c r="Q21" s="82">
        <v>0</v>
      </c>
      <c r="R21" s="73">
        <v>1</v>
      </c>
      <c r="S21"/>
      <c r="T21"/>
    </row>
    <row r="22" spans="1:20" ht="15" customHeight="1" x14ac:dyDescent="0.15">
      <c r="A22" s="82"/>
      <c r="B22" s="93">
        <v>1.8473171875993791E-2</v>
      </c>
      <c r="C22" s="190" t="s">
        <v>256</v>
      </c>
      <c r="D22" s="86" t="s">
        <v>160</v>
      </c>
      <c r="F22" s="188" t="s">
        <v>207</v>
      </c>
      <c r="G22" s="82">
        <v>0</v>
      </c>
      <c r="H22" s="82">
        <v>0</v>
      </c>
      <c r="I22" s="82">
        <v>0</v>
      </c>
      <c r="J22" s="82">
        <v>0</v>
      </c>
      <c r="K22" s="82">
        <v>0</v>
      </c>
      <c r="L22" s="82">
        <v>1</v>
      </c>
      <c r="M22" s="82">
        <v>0</v>
      </c>
      <c r="N22" s="82">
        <v>1</v>
      </c>
      <c r="O22" s="82">
        <v>0</v>
      </c>
      <c r="P22" s="72">
        <v>1</v>
      </c>
      <c r="Q22" s="82">
        <v>0</v>
      </c>
      <c r="R22" s="73">
        <v>1</v>
      </c>
      <c r="S22"/>
      <c r="T22"/>
    </row>
    <row r="23" spans="1:20" ht="15" customHeight="1" x14ac:dyDescent="0.15">
      <c r="A23" s="82"/>
      <c r="B23" s="93">
        <v>7.3892687503975166E-2</v>
      </c>
      <c r="C23" s="190" t="s">
        <v>257</v>
      </c>
      <c r="D23" s="86" t="s">
        <v>160</v>
      </c>
      <c r="F23" s="188" t="s">
        <v>208</v>
      </c>
      <c r="G23" s="82">
        <v>0</v>
      </c>
      <c r="H23" s="82">
        <v>0</v>
      </c>
      <c r="I23" s="82">
        <v>0</v>
      </c>
      <c r="J23" s="82">
        <v>0</v>
      </c>
      <c r="K23" s="82">
        <v>0</v>
      </c>
      <c r="L23" s="82">
        <v>1</v>
      </c>
      <c r="M23" s="82">
        <v>0</v>
      </c>
      <c r="N23" s="82">
        <v>1</v>
      </c>
      <c r="O23" s="82">
        <v>0</v>
      </c>
      <c r="P23" s="72">
        <v>1</v>
      </c>
      <c r="Q23" s="82">
        <v>0</v>
      </c>
      <c r="R23" s="73">
        <v>1</v>
      </c>
      <c r="S23"/>
      <c r="T23"/>
    </row>
    <row r="24" spans="1:20" ht="15" customHeight="1" x14ac:dyDescent="0.15">
      <c r="A24" s="82"/>
      <c r="B24" s="93">
        <v>5.3468925413598198E-2</v>
      </c>
      <c r="C24" s="190" t="s">
        <v>258</v>
      </c>
      <c r="D24" s="86" t="s">
        <v>160</v>
      </c>
      <c r="F24" s="188" t="s">
        <v>209</v>
      </c>
      <c r="G24" s="82">
        <v>0</v>
      </c>
      <c r="H24" s="82">
        <v>0</v>
      </c>
      <c r="I24" s="82">
        <v>0</v>
      </c>
      <c r="J24" s="82">
        <v>0</v>
      </c>
      <c r="K24" s="82">
        <v>0</v>
      </c>
      <c r="L24" s="82">
        <v>1</v>
      </c>
      <c r="M24" s="82">
        <v>0</v>
      </c>
      <c r="N24" s="82">
        <v>1</v>
      </c>
      <c r="O24" s="82">
        <v>0</v>
      </c>
      <c r="P24" s="72">
        <v>1</v>
      </c>
      <c r="Q24" s="82">
        <v>0</v>
      </c>
      <c r="R24" s="73">
        <v>1</v>
      </c>
      <c r="S24"/>
      <c r="T24"/>
    </row>
    <row r="25" spans="1:20" ht="15" customHeight="1" x14ac:dyDescent="0.15">
      <c r="A25" s="82"/>
      <c r="B25" s="93">
        <v>0.25970662624964841</v>
      </c>
      <c r="C25" s="190" t="s">
        <v>259</v>
      </c>
      <c r="D25" s="86" t="s">
        <v>160</v>
      </c>
      <c r="F25" s="188" t="s">
        <v>210</v>
      </c>
      <c r="G25" s="82">
        <v>0</v>
      </c>
      <c r="H25" s="82">
        <v>0</v>
      </c>
      <c r="I25" s="82">
        <v>0</v>
      </c>
      <c r="J25" s="82">
        <v>0</v>
      </c>
      <c r="K25" s="82">
        <v>0</v>
      </c>
      <c r="L25" s="82">
        <v>1</v>
      </c>
      <c r="M25" s="82">
        <v>0</v>
      </c>
      <c r="N25" s="82">
        <v>1</v>
      </c>
      <c r="O25" s="82">
        <v>0</v>
      </c>
      <c r="P25" s="72">
        <v>1</v>
      </c>
      <c r="Q25" s="82">
        <v>0</v>
      </c>
      <c r="R25" s="73">
        <v>1</v>
      </c>
      <c r="S25"/>
      <c r="T25"/>
    </row>
    <row r="26" spans="1:20" ht="15" customHeight="1" x14ac:dyDescent="0.15">
      <c r="B26" s="93">
        <v>2.6693733360811028E-2</v>
      </c>
      <c r="C26" s="190" t="s">
        <v>260</v>
      </c>
      <c r="D26" s="86" t="s">
        <v>160</v>
      </c>
      <c r="F26" s="188" t="s">
        <v>211</v>
      </c>
      <c r="G26" s="82">
        <v>0</v>
      </c>
      <c r="H26" s="82">
        <v>0</v>
      </c>
      <c r="I26" s="82">
        <v>0</v>
      </c>
      <c r="J26" s="82">
        <v>0</v>
      </c>
      <c r="K26" s="82">
        <v>0</v>
      </c>
      <c r="L26" s="82">
        <v>1</v>
      </c>
      <c r="M26" s="82">
        <v>0</v>
      </c>
      <c r="N26" s="82">
        <v>1</v>
      </c>
      <c r="O26" s="82">
        <v>0</v>
      </c>
      <c r="P26" s="72">
        <v>1</v>
      </c>
      <c r="Q26" s="82">
        <v>0</v>
      </c>
      <c r="R26" s="73">
        <v>1</v>
      </c>
      <c r="S26"/>
      <c r="T26"/>
    </row>
    <row r="27" spans="1:20" ht="15" customHeight="1" x14ac:dyDescent="0.15">
      <c r="B27" s="93">
        <v>2.3927375872380956E-2</v>
      </c>
      <c r="C27" s="190" t="s">
        <v>261</v>
      </c>
      <c r="D27" s="86" t="s">
        <v>160</v>
      </c>
      <c r="F27" s="188" t="s">
        <v>212</v>
      </c>
      <c r="G27" s="82">
        <v>0</v>
      </c>
      <c r="H27" s="82">
        <v>0</v>
      </c>
      <c r="I27" s="82">
        <v>0</v>
      </c>
      <c r="J27" s="82">
        <v>0</v>
      </c>
      <c r="K27" s="82">
        <v>0</v>
      </c>
      <c r="L27" s="82">
        <v>1</v>
      </c>
      <c r="M27" s="82">
        <v>0</v>
      </c>
      <c r="N27" s="82">
        <v>1</v>
      </c>
      <c r="O27" s="82">
        <v>0</v>
      </c>
      <c r="P27" s="72">
        <v>1</v>
      </c>
      <c r="Q27" s="82">
        <v>0</v>
      </c>
      <c r="R27" s="73">
        <v>1</v>
      </c>
      <c r="S27"/>
      <c r="T27"/>
    </row>
    <row r="28" spans="1:20" ht="15" customHeight="1" thickBot="1" x14ac:dyDescent="0.2">
      <c r="B28" s="92">
        <v>0.2569722119542539</v>
      </c>
      <c r="C28" s="190" t="s">
        <v>262</v>
      </c>
      <c r="D28" s="86" t="s">
        <v>160</v>
      </c>
      <c r="F28" s="188" t="s">
        <v>213</v>
      </c>
      <c r="G28" s="82">
        <v>0</v>
      </c>
      <c r="H28" s="82">
        <v>0</v>
      </c>
      <c r="I28" s="82">
        <v>0</v>
      </c>
      <c r="J28" s="82">
        <v>0</v>
      </c>
      <c r="K28" s="82">
        <v>0</v>
      </c>
      <c r="L28" s="82">
        <v>1</v>
      </c>
      <c r="M28" s="82">
        <v>0</v>
      </c>
      <c r="N28" s="82">
        <v>1</v>
      </c>
      <c r="O28" s="82">
        <v>0</v>
      </c>
      <c r="P28" s="72">
        <v>1</v>
      </c>
      <c r="Q28" s="82">
        <v>0</v>
      </c>
      <c r="R28" s="73">
        <v>1</v>
      </c>
      <c r="S28"/>
      <c r="T28"/>
    </row>
    <row r="29" spans="1:20" ht="15" customHeight="1" x14ac:dyDescent="0.15">
      <c r="B29" s="82">
        <v>3.6322874201172792E-2</v>
      </c>
      <c r="C29" s="190" t="s">
        <v>263</v>
      </c>
      <c r="F29" s="188" t="s">
        <v>214</v>
      </c>
      <c r="G29" s="82">
        <v>0</v>
      </c>
      <c r="H29" s="82">
        <v>0</v>
      </c>
      <c r="I29" s="82">
        <v>0</v>
      </c>
      <c r="J29" s="82">
        <v>0</v>
      </c>
      <c r="K29" s="82">
        <v>0</v>
      </c>
      <c r="L29" s="82">
        <v>1</v>
      </c>
      <c r="M29" s="82">
        <v>0</v>
      </c>
      <c r="N29" s="82">
        <v>1</v>
      </c>
      <c r="O29" s="82">
        <v>0</v>
      </c>
      <c r="P29" s="72">
        <v>1</v>
      </c>
      <c r="Q29" s="82">
        <v>0</v>
      </c>
      <c r="R29" s="73">
        <v>1</v>
      </c>
      <c r="S29"/>
      <c r="T29"/>
    </row>
    <row r="30" spans="1:20" ht="15" customHeight="1" x14ac:dyDescent="0.15">
      <c r="F30" s="188" t="s">
        <v>215</v>
      </c>
      <c r="G30" s="82">
        <v>0</v>
      </c>
      <c r="H30" s="82">
        <v>0</v>
      </c>
      <c r="I30" s="82">
        <v>0</v>
      </c>
      <c r="J30" s="82">
        <v>0</v>
      </c>
      <c r="K30" s="82">
        <v>0</v>
      </c>
      <c r="L30" s="82">
        <v>1</v>
      </c>
      <c r="M30" s="82">
        <v>0</v>
      </c>
      <c r="N30" s="82">
        <v>1</v>
      </c>
      <c r="O30" s="82">
        <v>0</v>
      </c>
      <c r="P30" s="72">
        <v>1</v>
      </c>
      <c r="Q30" s="82">
        <v>0</v>
      </c>
      <c r="R30" s="73">
        <v>1</v>
      </c>
      <c r="S30"/>
      <c r="T30"/>
    </row>
    <row r="31" spans="1:20" ht="15" customHeight="1" x14ac:dyDescent="0.15">
      <c r="A31" s="123"/>
      <c r="B31" s="352" t="s">
        <v>17</v>
      </c>
      <c r="C31" s="352" t="s">
        <v>1</v>
      </c>
      <c r="D31" s="352" t="s">
        <v>161</v>
      </c>
      <c r="E31" s="353" t="s">
        <v>162</v>
      </c>
      <c r="F31" s="188" t="s">
        <v>216</v>
      </c>
      <c r="G31" s="82">
        <v>0</v>
      </c>
      <c r="H31" s="82">
        <v>0</v>
      </c>
      <c r="I31" s="82">
        <v>0</v>
      </c>
      <c r="J31" s="82">
        <v>0</v>
      </c>
      <c r="K31" s="82">
        <v>0.2</v>
      </c>
      <c r="L31" s="82">
        <v>0.8</v>
      </c>
      <c r="M31" s="82">
        <v>0.2</v>
      </c>
      <c r="N31" s="82">
        <v>0.8</v>
      </c>
      <c r="O31" s="82">
        <v>0.2</v>
      </c>
      <c r="P31" s="72">
        <v>0.8</v>
      </c>
      <c r="Q31" s="82">
        <v>0</v>
      </c>
      <c r="R31" s="73">
        <v>1</v>
      </c>
      <c r="S31"/>
      <c r="T31"/>
    </row>
    <row r="32" spans="1:20" ht="15" customHeight="1" x14ac:dyDescent="0.15">
      <c r="A32" s="191" t="s">
        <v>253</v>
      </c>
      <c r="B32" s="123">
        <v>7</v>
      </c>
      <c r="C32" s="355">
        <v>3</v>
      </c>
      <c r="D32" s="355">
        <v>21</v>
      </c>
      <c r="E32" s="356">
        <v>8.082012695747284E-3</v>
      </c>
      <c r="F32" s="188" t="s">
        <v>217</v>
      </c>
      <c r="G32" s="82">
        <v>0</v>
      </c>
      <c r="H32" s="82">
        <v>0</v>
      </c>
      <c r="I32" s="82">
        <v>0</v>
      </c>
      <c r="J32" s="82">
        <v>0</v>
      </c>
      <c r="K32" s="82">
        <v>0</v>
      </c>
      <c r="L32" s="82">
        <v>1</v>
      </c>
      <c r="M32" s="82">
        <v>0</v>
      </c>
      <c r="N32" s="82">
        <v>1</v>
      </c>
      <c r="O32" s="82">
        <v>0</v>
      </c>
      <c r="P32" s="72">
        <v>1</v>
      </c>
      <c r="Q32" s="82">
        <v>0</v>
      </c>
      <c r="R32" s="73">
        <v>1</v>
      </c>
      <c r="S32"/>
      <c r="T32"/>
    </row>
    <row r="33" spans="1:20" ht="15" customHeight="1" x14ac:dyDescent="0.15">
      <c r="A33" s="191" t="s">
        <v>254</v>
      </c>
      <c r="B33" s="357">
        <v>75</v>
      </c>
      <c r="C33" s="354">
        <v>2</v>
      </c>
      <c r="D33" s="354">
        <v>150</v>
      </c>
      <c r="E33" s="358">
        <v>5.7728662112480594E-2</v>
      </c>
      <c r="F33" s="188" t="s">
        <v>218</v>
      </c>
      <c r="G33" s="82">
        <v>0</v>
      </c>
      <c r="H33" s="82">
        <v>0</v>
      </c>
      <c r="I33" s="82">
        <v>0</v>
      </c>
      <c r="J33" s="82">
        <v>0</v>
      </c>
      <c r="K33" s="82">
        <v>0</v>
      </c>
      <c r="L33" s="82">
        <v>1</v>
      </c>
      <c r="M33" s="82">
        <v>0</v>
      </c>
      <c r="N33" s="82">
        <v>1</v>
      </c>
      <c r="O33" s="82">
        <v>0</v>
      </c>
      <c r="P33" s="72">
        <v>1</v>
      </c>
      <c r="Q33" s="82">
        <v>0</v>
      </c>
      <c r="R33" s="73">
        <v>1</v>
      </c>
      <c r="S33"/>
      <c r="T33"/>
    </row>
    <row r="34" spans="1:20" ht="15" customHeight="1" x14ac:dyDescent="0.15">
      <c r="A34" s="191" t="s">
        <v>255</v>
      </c>
      <c r="B34" s="357">
        <v>240</v>
      </c>
      <c r="C34" s="354">
        <v>2</v>
      </c>
      <c r="D34" s="354">
        <v>480</v>
      </c>
      <c r="E34" s="358">
        <v>0.18473171875993791</v>
      </c>
      <c r="F34" s="188" t="s">
        <v>219</v>
      </c>
      <c r="G34" s="82">
        <v>0</v>
      </c>
      <c r="H34" s="82">
        <v>0</v>
      </c>
      <c r="I34" s="82">
        <v>0</v>
      </c>
      <c r="J34" s="82">
        <v>0</v>
      </c>
      <c r="K34" s="82">
        <v>0</v>
      </c>
      <c r="L34" s="82">
        <v>1</v>
      </c>
      <c r="M34" s="82">
        <v>0</v>
      </c>
      <c r="N34" s="82">
        <v>1</v>
      </c>
      <c r="O34" s="82">
        <v>0</v>
      </c>
      <c r="P34" s="72">
        <v>1</v>
      </c>
      <c r="Q34" s="82">
        <v>0</v>
      </c>
      <c r="R34" s="73">
        <v>1</v>
      </c>
      <c r="S34"/>
      <c r="T34"/>
    </row>
    <row r="35" spans="1:20" ht="15" customHeight="1" x14ac:dyDescent="0.15">
      <c r="A35" s="191" t="s">
        <v>256</v>
      </c>
      <c r="B35" s="357">
        <v>24</v>
      </c>
      <c r="C35" s="354">
        <v>2</v>
      </c>
      <c r="D35" s="354">
        <v>48</v>
      </c>
      <c r="E35" s="358">
        <v>1.8473171875993791E-2</v>
      </c>
      <c r="F35" s="188" t="s">
        <v>220</v>
      </c>
      <c r="G35" s="82">
        <v>0</v>
      </c>
      <c r="H35" s="82">
        <v>0</v>
      </c>
      <c r="I35" s="82">
        <v>0</v>
      </c>
      <c r="J35" s="82">
        <v>0</v>
      </c>
      <c r="K35" s="82">
        <v>0</v>
      </c>
      <c r="L35" s="82">
        <v>1</v>
      </c>
      <c r="M35" s="82">
        <v>0</v>
      </c>
      <c r="N35" s="82">
        <v>1</v>
      </c>
      <c r="O35" s="82">
        <v>0</v>
      </c>
      <c r="P35" s="72">
        <v>1</v>
      </c>
      <c r="Q35" s="82">
        <v>0</v>
      </c>
      <c r="R35" s="73">
        <v>1</v>
      </c>
      <c r="S35"/>
      <c r="T35"/>
    </row>
    <row r="36" spans="1:20" ht="15" customHeight="1" x14ac:dyDescent="0.15">
      <c r="A36" s="191" t="s">
        <v>257</v>
      </c>
      <c r="B36" s="357">
        <v>96</v>
      </c>
      <c r="C36" s="354">
        <v>2</v>
      </c>
      <c r="D36" s="354">
        <v>192</v>
      </c>
      <c r="E36" s="358">
        <v>7.3892687503975166E-2</v>
      </c>
      <c r="F36" s="188" t="s">
        <v>221</v>
      </c>
      <c r="G36" s="82">
        <v>0</v>
      </c>
      <c r="H36" s="82">
        <v>0</v>
      </c>
      <c r="I36" s="82">
        <v>0</v>
      </c>
      <c r="J36" s="82">
        <v>0</v>
      </c>
      <c r="K36" s="82">
        <v>0</v>
      </c>
      <c r="L36" s="82">
        <v>1</v>
      </c>
      <c r="M36" s="82">
        <v>0</v>
      </c>
      <c r="N36" s="82">
        <v>1</v>
      </c>
      <c r="O36" s="82">
        <v>0</v>
      </c>
      <c r="P36" s="72">
        <v>1</v>
      </c>
      <c r="Q36" s="82">
        <v>0</v>
      </c>
      <c r="R36" s="73">
        <v>1</v>
      </c>
      <c r="S36"/>
      <c r="T36"/>
    </row>
    <row r="37" spans="1:20" ht="15" customHeight="1" x14ac:dyDescent="0.15">
      <c r="A37" s="191" t="s">
        <v>258</v>
      </c>
      <c r="B37" s="357">
        <v>64.770004299999997</v>
      </c>
      <c r="C37" s="354">
        <v>2.145</v>
      </c>
      <c r="D37" s="354">
        <v>138.93165922349999</v>
      </c>
      <c r="E37" s="358">
        <v>5.3468925413598198E-2</v>
      </c>
      <c r="F37" s="188" t="s">
        <v>222</v>
      </c>
      <c r="G37" s="82">
        <v>0</v>
      </c>
      <c r="H37" s="82">
        <v>0</v>
      </c>
      <c r="I37" s="82">
        <v>0</v>
      </c>
      <c r="J37" s="82">
        <v>0</v>
      </c>
      <c r="K37" s="82">
        <v>0</v>
      </c>
      <c r="L37" s="82">
        <v>1</v>
      </c>
      <c r="M37" s="82">
        <v>0</v>
      </c>
      <c r="N37" s="82">
        <v>1</v>
      </c>
      <c r="O37" s="82">
        <v>0</v>
      </c>
      <c r="P37" s="72">
        <v>1</v>
      </c>
      <c r="Q37" s="82">
        <v>0</v>
      </c>
      <c r="R37" s="73">
        <v>1</v>
      </c>
      <c r="S37"/>
      <c r="T37"/>
    </row>
    <row r="38" spans="1:20" ht="15" customHeight="1" x14ac:dyDescent="0.15">
      <c r="A38" s="191" t="s">
        <v>259</v>
      </c>
      <c r="B38" s="357">
        <v>92.44</v>
      </c>
      <c r="C38" s="354">
        <v>7.3</v>
      </c>
      <c r="D38" s="354">
        <v>674.81200000000001</v>
      </c>
      <c r="E38" s="358">
        <v>0.25970662624964841</v>
      </c>
      <c r="F38" s="188" t="s">
        <v>223</v>
      </c>
      <c r="G38" s="82">
        <v>0</v>
      </c>
      <c r="H38" s="82">
        <v>0</v>
      </c>
      <c r="I38" s="82">
        <v>0</v>
      </c>
      <c r="J38" s="82">
        <v>0</v>
      </c>
      <c r="K38" s="82">
        <v>0</v>
      </c>
      <c r="L38" s="82">
        <v>1</v>
      </c>
      <c r="M38" s="82">
        <v>0</v>
      </c>
      <c r="N38" s="82">
        <v>1</v>
      </c>
      <c r="O38" s="82">
        <v>0</v>
      </c>
      <c r="P38" s="72">
        <v>1</v>
      </c>
      <c r="Q38" s="82">
        <v>0</v>
      </c>
      <c r="R38" s="73">
        <v>1</v>
      </c>
      <c r="S38"/>
      <c r="T38"/>
    </row>
    <row r="39" spans="1:20" ht="15" customHeight="1" x14ac:dyDescent="0.15">
      <c r="A39" s="191" t="s">
        <v>260</v>
      </c>
      <c r="B39" s="357">
        <v>34.68</v>
      </c>
      <c r="C39" s="354">
        <v>2</v>
      </c>
      <c r="D39" s="354">
        <v>69.36</v>
      </c>
      <c r="E39" s="358">
        <v>2.6693733360811028E-2</v>
      </c>
      <c r="F39" s="188" t="s">
        <v>224</v>
      </c>
      <c r="G39" s="82">
        <v>0</v>
      </c>
      <c r="H39" s="82">
        <v>0</v>
      </c>
      <c r="I39" s="82">
        <v>0</v>
      </c>
      <c r="J39" s="82">
        <v>0</v>
      </c>
      <c r="K39" s="82">
        <v>0</v>
      </c>
      <c r="L39" s="82">
        <v>1</v>
      </c>
      <c r="M39" s="82">
        <v>0</v>
      </c>
      <c r="N39" s="82">
        <v>1</v>
      </c>
      <c r="O39" s="82">
        <v>0</v>
      </c>
      <c r="P39" s="72">
        <v>1</v>
      </c>
      <c r="Q39" s="82">
        <v>0</v>
      </c>
      <c r="R39" s="73">
        <v>1</v>
      </c>
      <c r="S39"/>
      <c r="T39"/>
    </row>
    <row r="40" spans="1:20" ht="15" customHeight="1" x14ac:dyDescent="0.15">
      <c r="A40" s="191" t="s">
        <v>261</v>
      </c>
      <c r="B40" s="357">
        <v>8.7999999999999995E-2</v>
      </c>
      <c r="C40" s="354">
        <v>706.5</v>
      </c>
      <c r="D40" s="354">
        <v>62.171999999999997</v>
      </c>
      <c r="E40" s="358">
        <v>2.3927375872380956E-2</v>
      </c>
      <c r="F40" s="188" t="s">
        <v>225</v>
      </c>
      <c r="G40" s="82">
        <v>0</v>
      </c>
      <c r="H40" s="82">
        <v>0</v>
      </c>
      <c r="I40" s="82">
        <v>0</v>
      </c>
      <c r="J40" s="82">
        <v>0</v>
      </c>
      <c r="K40" s="82">
        <v>0.5</v>
      </c>
      <c r="L40" s="82">
        <v>0.5</v>
      </c>
      <c r="M40" s="82">
        <v>0.5</v>
      </c>
      <c r="N40" s="82">
        <v>0.5</v>
      </c>
      <c r="O40" s="82">
        <v>0.5</v>
      </c>
      <c r="P40" s="72">
        <v>0.5</v>
      </c>
      <c r="Q40" s="82">
        <v>0</v>
      </c>
      <c r="R40" s="73">
        <v>1</v>
      </c>
      <c r="S40"/>
      <c r="T40"/>
    </row>
    <row r="41" spans="1:20" ht="15" customHeight="1" x14ac:dyDescent="0.15">
      <c r="A41" s="191" t="s">
        <v>262</v>
      </c>
      <c r="B41" s="357">
        <v>13.1</v>
      </c>
      <c r="C41" s="354">
        <v>50.97</v>
      </c>
      <c r="D41" s="354">
        <v>667.70699999999999</v>
      </c>
      <c r="E41" s="358">
        <v>0.2569722119542539</v>
      </c>
      <c r="F41" s="188" t="s">
        <v>226</v>
      </c>
      <c r="G41" s="82">
        <v>0</v>
      </c>
      <c r="H41" s="82">
        <v>0</v>
      </c>
      <c r="I41" s="82">
        <v>0</v>
      </c>
      <c r="J41" s="82">
        <v>0</v>
      </c>
      <c r="K41" s="82">
        <v>0.5</v>
      </c>
      <c r="L41" s="82">
        <v>0.5</v>
      </c>
      <c r="M41" s="82">
        <v>0.5</v>
      </c>
      <c r="N41" s="82">
        <v>0.5</v>
      </c>
      <c r="O41" s="82">
        <v>0.5</v>
      </c>
      <c r="P41" s="72">
        <v>0.5</v>
      </c>
      <c r="Q41" s="82">
        <v>0</v>
      </c>
      <c r="R41" s="73">
        <v>1</v>
      </c>
      <c r="S41"/>
      <c r="T41"/>
    </row>
    <row r="42" spans="1:20" ht="15" customHeight="1" x14ac:dyDescent="0.15">
      <c r="A42" s="191" t="s">
        <v>263</v>
      </c>
      <c r="B42" s="359">
        <v>3.9</v>
      </c>
      <c r="C42" s="124">
        <v>24.2</v>
      </c>
      <c r="D42" s="124">
        <v>94.38</v>
      </c>
      <c r="E42" s="360">
        <v>3.6322874201172792E-2</v>
      </c>
      <c r="F42" s="188" t="s">
        <v>227</v>
      </c>
      <c r="G42" s="82">
        <v>0</v>
      </c>
      <c r="H42" s="82">
        <v>0</v>
      </c>
      <c r="I42" s="82">
        <v>0</v>
      </c>
      <c r="J42" s="82">
        <v>0</v>
      </c>
      <c r="K42" s="82">
        <v>0.2</v>
      </c>
      <c r="L42" s="82">
        <v>0.8</v>
      </c>
      <c r="M42" s="82">
        <v>0.2</v>
      </c>
      <c r="N42" s="82">
        <v>0.8</v>
      </c>
      <c r="O42" s="82">
        <v>0.2</v>
      </c>
      <c r="P42" s="72">
        <v>0.8</v>
      </c>
      <c r="Q42" s="82">
        <v>0</v>
      </c>
      <c r="R42" s="73">
        <v>1</v>
      </c>
      <c r="S42"/>
      <c r="T42"/>
    </row>
    <row r="43" spans="1:20" ht="15" customHeight="1" thickBot="1" x14ac:dyDescent="0.2">
      <c r="A43" s="82"/>
      <c r="B43" s="361"/>
      <c r="C43" s="362" t="s">
        <v>303</v>
      </c>
      <c r="D43" s="362">
        <f>SUM(D32:D42)</f>
        <v>2598.3626592235</v>
      </c>
      <c r="E43" s="362">
        <f>SUM(E32:E42)</f>
        <v>0.99999999999999989</v>
      </c>
      <c r="F43" s="188" t="s">
        <v>228</v>
      </c>
      <c r="G43" s="82">
        <v>0</v>
      </c>
      <c r="H43" s="82">
        <v>0</v>
      </c>
      <c r="I43" s="82">
        <v>0</v>
      </c>
      <c r="J43" s="82">
        <v>0</v>
      </c>
      <c r="K43" s="82">
        <v>0.5</v>
      </c>
      <c r="L43" s="82">
        <v>0.5</v>
      </c>
      <c r="M43" s="82">
        <v>0.5</v>
      </c>
      <c r="N43" s="82">
        <v>0.5</v>
      </c>
      <c r="O43" s="82">
        <v>0.5</v>
      </c>
      <c r="P43" s="72">
        <v>0.5</v>
      </c>
      <c r="Q43" s="82">
        <v>0</v>
      </c>
      <c r="R43" s="73">
        <v>1</v>
      </c>
      <c r="S43"/>
      <c r="T43"/>
    </row>
    <row r="44" spans="1:20" ht="15" customHeight="1" x14ac:dyDescent="0.15">
      <c r="A44" s="82"/>
      <c r="F44" s="188" t="s">
        <v>229</v>
      </c>
      <c r="G44" s="82">
        <v>0</v>
      </c>
      <c r="H44" s="82">
        <v>0</v>
      </c>
      <c r="I44" s="82">
        <v>0</v>
      </c>
      <c r="J44" s="82">
        <v>0</v>
      </c>
      <c r="K44" s="82">
        <v>0.5</v>
      </c>
      <c r="L44" s="82">
        <v>0.5</v>
      </c>
      <c r="M44" s="82">
        <v>0.5</v>
      </c>
      <c r="N44" s="82">
        <v>0.5</v>
      </c>
      <c r="O44" s="82">
        <v>0.5</v>
      </c>
      <c r="P44" s="72">
        <v>0.5</v>
      </c>
      <c r="Q44" s="82">
        <v>0</v>
      </c>
      <c r="R44" s="73">
        <v>1</v>
      </c>
    </row>
    <row r="45" spans="1:20" ht="15" customHeight="1" x14ac:dyDescent="0.15">
      <c r="A45" s="82"/>
      <c r="F45" s="188" t="s">
        <v>230</v>
      </c>
      <c r="G45" s="82">
        <v>0</v>
      </c>
      <c r="H45" s="82">
        <v>0</v>
      </c>
      <c r="I45" s="82">
        <v>0</v>
      </c>
      <c r="J45" s="82">
        <v>0</v>
      </c>
      <c r="K45" s="82">
        <v>0.5</v>
      </c>
      <c r="L45" s="82">
        <v>0.5</v>
      </c>
      <c r="M45" s="82">
        <v>0.5</v>
      </c>
      <c r="N45" s="82">
        <v>0.5</v>
      </c>
      <c r="O45" s="82">
        <v>0.5</v>
      </c>
      <c r="P45" s="72">
        <v>0.5</v>
      </c>
      <c r="Q45" s="82">
        <v>0</v>
      </c>
      <c r="R45" s="73">
        <v>1</v>
      </c>
    </row>
    <row r="46" spans="1:20" ht="15" customHeight="1" x14ac:dyDescent="0.15">
      <c r="A46" s="82"/>
      <c r="F46" s="188" t="s">
        <v>231</v>
      </c>
      <c r="G46" s="82">
        <v>0</v>
      </c>
      <c r="H46" s="82">
        <v>0</v>
      </c>
      <c r="I46" s="82">
        <v>0</v>
      </c>
      <c r="J46" s="82">
        <v>0</v>
      </c>
      <c r="K46" s="82">
        <v>0</v>
      </c>
      <c r="L46" s="82">
        <v>1</v>
      </c>
      <c r="M46" s="82">
        <v>0</v>
      </c>
      <c r="N46" s="82">
        <v>1</v>
      </c>
      <c r="O46" s="82">
        <v>0</v>
      </c>
      <c r="P46" s="72">
        <v>1</v>
      </c>
      <c r="Q46" s="82">
        <v>0</v>
      </c>
      <c r="R46" s="73">
        <v>1</v>
      </c>
    </row>
    <row r="47" spans="1:20" ht="15" customHeight="1" x14ac:dyDescent="0.15">
      <c r="A47" s="82"/>
      <c r="F47" s="188" t="s">
        <v>232</v>
      </c>
      <c r="G47" s="82">
        <v>0</v>
      </c>
      <c r="H47" s="82">
        <v>0</v>
      </c>
      <c r="I47" s="82">
        <v>0</v>
      </c>
      <c r="J47" s="82">
        <v>0</v>
      </c>
      <c r="K47" s="82">
        <v>0.5</v>
      </c>
      <c r="L47" s="82">
        <v>0.5</v>
      </c>
      <c r="M47" s="82">
        <v>0.5</v>
      </c>
      <c r="N47" s="82">
        <v>0.5</v>
      </c>
      <c r="O47" s="82">
        <v>0.5</v>
      </c>
      <c r="P47" s="72">
        <v>0.5</v>
      </c>
      <c r="Q47" s="82">
        <v>0</v>
      </c>
      <c r="R47" s="73">
        <v>1</v>
      </c>
    </row>
    <row r="48" spans="1:20" ht="15" customHeight="1" x14ac:dyDescent="0.15">
      <c r="A48" s="82"/>
      <c r="F48" s="188" t="s">
        <v>233</v>
      </c>
      <c r="G48" s="82">
        <v>0</v>
      </c>
      <c r="H48" s="82">
        <v>0</v>
      </c>
      <c r="I48" s="82">
        <v>0</v>
      </c>
      <c r="J48" s="82">
        <v>0</v>
      </c>
      <c r="K48" s="82">
        <v>0</v>
      </c>
      <c r="L48" s="82">
        <v>1</v>
      </c>
      <c r="M48" s="82">
        <v>0</v>
      </c>
      <c r="N48" s="82">
        <v>1</v>
      </c>
      <c r="O48" s="82">
        <v>0</v>
      </c>
      <c r="P48" s="72">
        <v>1</v>
      </c>
      <c r="Q48" s="82">
        <v>0</v>
      </c>
      <c r="R48" s="73">
        <v>1</v>
      </c>
    </row>
    <row r="49" spans="6:18" s="82" customFormat="1" ht="15" customHeight="1" x14ac:dyDescent="0.15">
      <c r="F49" s="188" t="s">
        <v>234</v>
      </c>
      <c r="G49" s="82">
        <v>0</v>
      </c>
      <c r="H49" s="82">
        <v>0</v>
      </c>
      <c r="I49" s="82">
        <v>0</v>
      </c>
      <c r="J49" s="82">
        <v>0</v>
      </c>
      <c r="K49" s="82">
        <v>0</v>
      </c>
      <c r="L49" s="82">
        <v>1</v>
      </c>
      <c r="M49" s="82">
        <v>0</v>
      </c>
      <c r="N49" s="82">
        <v>1</v>
      </c>
      <c r="O49" s="82">
        <v>0</v>
      </c>
      <c r="P49" s="72">
        <v>1</v>
      </c>
      <c r="Q49" s="82">
        <v>0</v>
      </c>
      <c r="R49" s="73">
        <v>1</v>
      </c>
    </row>
    <row r="50" spans="6:18" s="82" customFormat="1" ht="15" customHeight="1" x14ac:dyDescent="0.15">
      <c r="F50" s="188" t="s">
        <v>235</v>
      </c>
      <c r="G50" s="82">
        <v>0</v>
      </c>
      <c r="H50" s="82">
        <v>0</v>
      </c>
      <c r="I50" s="82">
        <v>0</v>
      </c>
      <c r="J50" s="82">
        <v>0</v>
      </c>
      <c r="K50" s="82">
        <v>0</v>
      </c>
      <c r="L50" s="82">
        <v>1</v>
      </c>
      <c r="M50" s="82">
        <v>0</v>
      </c>
      <c r="N50" s="82">
        <v>1</v>
      </c>
      <c r="O50" s="82">
        <v>0</v>
      </c>
      <c r="P50" s="72">
        <v>1</v>
      </c>
      <c r="Q50" s="82">
        <v>0</v>
      </c>
      <c r="R50" s="73">
        <v>1</v>
      </c>
    </row>
    <row r="51" spans="6:18" s="82" customFormat="1" ht="15" customHeight="1" x14ac:dyDescent="0.15">
      <c r="F51" s="188" t="s">
        <v>236</v>
      </c>
      <c r="G51" s="82">
        <v>0</v>
      </c>
      <c r="H51" s="82">
        <v>0</v>
      </c>
      <c r="I51" s="82">
        <v>0</v>
      </c>
      <c r="J51" s="82">
        <v>0</v>
      </c>
      <c r="K51" s="82">
        <v>0</v>
      </c>
      <c r="L51" s="82">
        <v>1</v>
      </c>
      <c r="M51" s="82">
        <v>0</v>
      </c>
      <c r="N51" s="82">
        <v>1</v>
      </c>
      <c r="O51" s="82">
        <v>0</v>
      </c>
      <c r="P51" s="72">
        <v>1</v>
      </c>
      <c r="Q51" s="82">
        <v>0</v>
      </c>
      <c r="R51" s="73">
        <v>1</v>
      </c>
    </row>
    <row r="52" spans="6:18" s="82" customFormat="1" ht="15" customHeight="1" x14ac:dyDescent="0.15">
      <c r="F52" s="188" t="s">
        <v>237</v>
      </c>
      <c r="G52" s="82">
        <v>0</v>
      </c>
      <c r="H52" s="82">
        <v>0</v>
      </c>
      <c r="I52" s="82">
        <v>0</v>
      </c>
      <c r="J52" s="82">
        <v>0</v>
      </c>
      <c r="K52" s="82">
        <v>0</v>
      </c>
      <c r="L52" s="82">
        <v>1</v>
      </c>
      <c r="M52" s="82">
        <v>0</v>
      </c>
      <c r="N52" s="82">
        <v>1</v>
      </c>
      <c r="O52" s="82">
        <v>0</v>
      </c>
      <c r="P52" s="72">
        <v>1</v>
      </c>
      <c r="Q52" s="82">
        <v>0</v>
      </c>
      <c r="R52" s="73">
        <v>1</v>
      </c>
    </row>
    <row r="53" spans="6:18" s="82" customFormat="1" ht="15" customHeight="1" x14ac:dyDescent="0.15">
      <c r="F53" s="188" t="s">
        <v>238</v>
      </c>
      <c r="G53" s="82">
        <v>0</v>
      </c>
      <c r="H53" s="82">
        <v>0</v>
      </c>
      <c r="I53" s="82">
        <v>0</v>
      </c>
      <c r="J53" s="82">
        <v>0</v>
      </c>
      <c r="K53" s="82">
        <v>0</v>
      </c>
      <c r="L53" s="82">
        <v>1</v>
      </c>
      <c r="M53" s="82">
        <v>0</v>
      </c>
      <c r="N53" s="82">
        <v>1</v>
      </c>
      <c r="O53" s="82">
        <v>0</v>
      </c>
      <c r="P53" s="72">
        <v>1</v>
      </c>
      <c r="Q53" s="82">
        <v>0</v>
      </c>
      <c r="R53" s="73">
        <v>1</v>
      </c>
    </row>
    <row r="54" spans="6:18" s="82" customFormat="1" ht="15" customHeight="1" x14ac:dyDescent="0.15">
      <c r="F54" s="188" t="s">
        <v>239</v>
      </c>
      <c r="G54" s="82">
        <v>0</v>
      </c>
      <c r="H54" s="82">
        <v>0</v>
      </c>
      <c r="I54" s="82">
        <v>0</v>
      </c>
      <c r="J54" s="82">
        <v>0</v>
      </c>
      <c r="K54" s="82">
        <v>0.2</v>
      </c>
      <c r="L54" s="82">
        <v>0.8</v>
      </c>
      <c r="M54" s="82">
        <v>0.2</v>
      </c>
      <c r="N54" s="82">
        <v>0.8</v>
      </c>
      <c r="O54" s="82">
        <v>0.2</v>
      </c>
      <c r="P54" s="72">
        <v>0.8</v>
      </c>
      <c r="Q54" s="82">
        <v>0</v>
      </c>
      <c r="R54" s="73">
        <v>1</v>
      </c>
    </row>
    <row r="55" spans="6:18" s="82" customFormat="1" ht="15" customHeight="1" x14ac:dyDescent="0.15">
      <c r="F55" s="188" t="s">
        <v>240</v>
      </c>
      <c r="G55" s="82">
        <v>0</v>
      </c>
      <c r="H55" s="82">
        <v>0</v>
      </c>
      <c r="I55" s="82">
        <v>0</v>
      </c>
      <c r="J55" s="82">
        <v>0</v>
      </c>
      <c r="K55" s="82">
        <v>0</v>
      </c>
      <c r="L55" s="82">
        <v>1</v>
      </c>
      <c r="M55" s="82">
        <v>0</v>
      </c>
      <c r="N55" s="82">
        <v>1</v>
      </c>
      <c r="O55" s="82">
        <v>0</v>
      </c>
      <c r="P55" s="72">
        <v>1</v>
      </c>
      <c r="Q55" s="82">
        <v>0</v>
      </c>
      <c r="R55" s="73">
        <v>1</v>
      </c>
    </row>
    <row r="56" spans="6:18" s="82" customFormat="1" ht="15" customHeight="1" x14ac:dyDescent="0.15">
      <c r="F56" s="188" t="s">
        <v>241</v>
      </c>
      <c r="G56" s="82">
        <v>0</v>
      </c>
      <c r="H56" s="82">
        <v>0</v>
      </c>
      <c r="I56" s="82">
        <v>0</v>
      </c>
      <c r="J56" s="82">
        <v>0</v>
      </c>
      <c r="K56" s="82">
        <v>0.5</v>
      </c>
      <c r="L56" s="82">
        <v>0.5</v>
      </c>
      <c r="M56" s="82">
        <v>0.5</v>
      </c>
      <c r="N56" s="82">
        <v>0.5</v>
      </c>
      <c r="O56" s="82">
        <v>0.5</v>
      </c>
      <c r="P56" s="72">
        <v>0.5</v>
      </c>
      <c r="Q56" s="82">
        <v>0</v>
      </c>
      <c r="R56" s="73">
        <v>1</v>
      </c>
    </row>
    <row r="57" spans="6:18" s="82" customFormat="1" ht="15" customHeight="1" x14ac:dyDescent="0.15">
      <c r="F57" s="188" t="s">
        <v>242</v>
      </c>
      <c r="G57" s="82">
        <v>0</v>
      </c>
      <c r="H57" s="82">
        <v>0</v>
      </c>
      <c r="I57" s="82">
        <v>0</v>
      </c>
      <c r="J57" s="82">
        <v>0</v>
      </c>
      <c r="K57" s="82">
        <v>0</v>
      </c>
      <c r="L57" s="82">
        <v>1</v>
      </c>
      <c r="M57" s="82">
        <v>0</v>
      </c>
      <c r="N57" s="82">
        <v>1</v>
      </c>
      <c r="O57" s="82">
        <v>0</v>
      </c>
      <c r="P57" s="72">
        <v>1</v>
      </c>
      <c r="Q57" s="82">
        <v>0</v>
      </c>
      <c r="R57" s="73">
        <v>1</v>
      </c>
    </row>
    <row r="58" spans="6:18" s="82" customFormat="1" ht="15" customHeight="1" x14ac:dyDescent="0.15">
      <c r="F58" s="188" t="s">
        <v>243</v>
      </c>
      <c r="G58" s="82">
        <v>0</v>
      </c>
      <c r="H58" s="82">
        <v>0</v>
      </c>
      <c r="I58" s="82">
        <v>0</v>
      </c>
      <c r="J58" s="82">
        <v>0</v>
      </c>
      <c r="K58" s="82">
        <v>0</v>
      </c>
      <c r="L58" s="82">
        <v>1</v>
      </c>
      <c r="M58" s="82">
        <v>0</v>
      </c>
      <c r="N58" s="82">
        <v>1</v>
      </c>
      <c r="O58" s="82">
        <v>0</v>
      </c>
      <c r="P58" s="72">
        <v>1</v>
      </c>
      <c r="Q58" s="82">
        <v>0</v>
      </c>
      <c r="R58" s="73">
        <v>1</v>
      </c>
    </row>
    <row r="59" spans="6:18" s="82" customFormat="1" ht="15" customHeight="1" x14ac:dyDescent="0.15">
      <c r="F59" s="188" t="s">
        <v>244</v>
      </c>
      <c r="G59" s="82">
        <v>0</v>
      </c>
      <c r="H59" s="82">
        <v>0</v>
      </c>
      <c r="I59" s="82">
        <v>0</v>
      </c>
      <c r="J59" s="82">
        <v>0</v>
      </c>
      <c r="K59" s="82">
        <v>0</v>
      </c>
      <c r="L59" s="82">
        <v>1</v>
      </c>
      <c r="M59" s="82">
        <v>0</v>
      </c>
      <c r="N59" s="82">
        <v>1</v>
      </c>
      <c r="O59" s="82">
        <v>0</v>
      </c>
      <c r="P59" s="72">
        <v>1</v>
      </c>
      <c r="Q59" s="82">
        <v>0</v>
      </c>
      <c r="R59" s="73">
        <v>1</v>
      </c>
    </row>
    <row r="60" spans="6:18" s="82" customFormat="1" ht="15" customHeight="1" x14ac:dyDescent="0.15">
      <c r="F60" s="188" t="s">
        <v>245</v>
      </c>
      <c r="G60" s="82">
        <v>0</v>
      </c>
      <c r="H60" s="82">
        <v>0</v>
      </c>
      <c r="I60" s="82">
        <v>0</v>
      </c>
      <c r="J60" s="82">
        <v>0</v>
      </c>
      <c r="K60" s="82">
        <v>0</v>
      </c>
      <c r="L60" s="82">
        <v>1</v>
      </c>
      <c r="M60" s="82">
        <v>0</v>
      </c>
      <c r="N60" s="82">
        <v>1</v>
      </c>
      <c r="O60" s="82">
        <v>0</v>
      </c>
      <c r="P60" s="72">
        <v>1</v>
      </c>
      <c r="Q60" s="82">
        <v>0</v>
      </c>
      <c r="R60" s="73">
        <v>1</v>
      </c>
    </row>
    <row r="61" spans="6:18" s="82" customFormat="1" ht="15" customHeight="1" x14ac:dyDescent="0.15">
      <c r="F61" s="188" t="s">
        <v>246</v>
      </c>
      <c r="G61" s="82">
        <v>0</v>
      </c>
      <c r="H61" s="82">
        <v>0</v>
      </c>
      <c r="I61" s="82">
        <v>0</v>
      </c>
      <c r="J61" s="82">
        <v>0</v>
      </c>
      <c r="K61" s="82">
        <v>0</v>
      </c>
      <c r="L61" s="82">
        <v>1</v>
      </c>
      <c r="M61" s="82">
        <v>0</v>
      </c>
      <c r="N61" s="82">
        <v>1</v>
      </c>
      <c r="O61" s="82">
        <v>0</v>
      </c>
      <c r="P61" s="72">
        <v>1</v>
      </c>
      <c r="Q61" s="82">
        <v>0</v>
      </c>
      <c r="R61" s="73">
        <v>1</v>
      </c>
    </row>
    <row r="62" spans="6:18" s="82" customFormat="1" ht="15" customHeight="1" x14ac:dyDescent="0.15">
      <c r="F62" s="188" t="s">
        <v>247</v>
      </c>
      <c r="G62" s="82">
        <v>0</v>
      </c>
      <c r="H62" s="82">
        <v>0</v>
      </c>
      <c r="I62" s="82">
        <v>0</v>
      </c>
      <c r="J62" s="82">
        <v>0</v>
      </c>
      <c r="K62" s="82">
        <v>0</v>
      </c>
      <c r="L62" s="82">
        <v>1</v>
      </c>
      <c r="M62" s="82">
        <v>0</v>
      </c>
      <c r="N62" s="82">
        <v>1</v>
      </c>
      <c r="O62" s="82">
        <v>0</v>
      </c>
      <c r="P62" s="72">
        <v>1</v>
      </c>
      <c r="Q62" s="82">
        <v>0</v>
      </c>
      <c r="R62" s="73">
        <v>1</v>
      </c>
    </row>
    <row r="63" spans="6:18" s="82" customFormat="1" ht="15" customHeight="1" x14ac:dyDescent="0.15">
      <c r="F63" s="188" t="s">
        <v>248</v>
      </c>
      <c r="G63" s="82">
        <v>0</v>
      </c>
      <c r="H63" s="82">
        <v>0</v>
      </c>
      <c r="I63" s="82">
        <v>0</v>
      </c>
      <c r="J63" s="82">
        <v>0</v>
      </c>
      <c r="K63" s="82">
        <v>0.2</v>
      </c>
      <c r="L63" s="82">
        <v>0.8</v>
      </c>
      <c r="M63" s="82">
        <v>0.2</v>
      </c>
      <c r="N63" s="82">
        <v>0.8</v>
      </c>
      <c r="O63" s="82">
        <v>0.2</v>
      </c>
      <c r="P63" s="72">
        <v>0.8</v>
      </c>
      <c r="Q63" s="82">
        <v>0</v>
      </c>
      <c r="R63" s="73">
        <v>1</v>
      </c>
    </row>
    <row r="64" spans="6:18" s="82" customFormat="1" ht="15" customHeight="1" x14ac:dyDescent="0.15">
      <c r="F64" s="188" t="s">
        <v>249</v>
      </c>
      <c r="G64" s="82">
        <v>0</v>
      </c>
      <c r="H64" s="82">
        <v>0</v>
      </c>
      <c r="I64" s="82">
        <v>0</v>
      </c>
      <c r="J64" s="82">
        <v>0</v>
      </c>
      <c r="K64" s="82">
        <v>0.6</v>
      </c>
      <c r="L64" s="82">
        <v>0.4</v>
      </c>
      <c r="M64" s="82">
        <v>0.6</v>
      </c>
      <c r="N64" s="82">
        <v>0.4</v>
      </c>
      <c r="O64" s="82">
        <v>0.6</v>
      </c>
      <c r="P64" s="72">
        <v>0.4</v>
      </c>
      <c r="Q64" s="82">
        <v>0</v>
      </c>
      <c r="R64" s="73">
        <v>1</v>
      </c>
    </row>
    <row r="65" spans="1:18" ht="15" customHeight="1" x14ac:dyDescent="0.15">
      <c r="F65" s="188" t="s">
        <v>250</v>
      </c>
      <c r="G65" s="82">
        <v>0</v>
      </c>
      <c r="H65" s="82">
        <v>0</v>
      </c>
      <c r="I65" s="82">
        <v>0</v>
      </c>
      <c r="J65" s="82">
        <v>0</v>
      </c>
      <c r="K65" s="82">
        <v>0</v>
      </c>
      <c r="L65" s="82">
        <v>1</v>
      </c>
      <c r="M65" s="82">
        <v>0</v>
      </c>
      <c r="N65" s="82">
        <v>1</v>
      </c>
      <c r="O65" s="82">
        <v>0</v>
      </c>
      <c r="P65" s="72">
        <v>1</v>
      </c>
      <c r="Q65" s="82">
        <v>0</v>
      </c>
      <c r="R65" s="73">
        <v>1</v>
      </c>
    </row>
    <row r="66" spans="1:18" ht="15" customHeight="1" x14ac:dyDescent="0.15">
      <c r="F66" s="188" t="s">
        <v>251</v>
      </c>
      <c r="G66" s="82">
        <v>0</v>
      </c>
      <c r="H66" s="82">
        <v>0</v>
      </c>
      <c r="I66" s="82">
        <v>0</v>
      </c>
      <c r="J66" s="82">
        <v>0</v>
      </c>
      <c r="K66" s="82">
        <v>0</v>
      </c>
      <c r="L66" s="82">
        <v>1</v>
      </c>
      <c r="M66" s="82">
        <v>0</v>
      </c>
      <c r="N66" s="82">
        <v>1</v>
      </c>
      <c r="O66" s="82">
        <v>0</v>
      </c>
      <c r="P66" s="72">
        <v>1</v>
      </c>
      <c r="Q66" s="82">
        <v>0</v>
      </c>
      <c r="R66" s="73">
        <v>1</v>
      </c>
    </row>
    <row r="67" spans="1:18" ht="15" customHeight="1" x14ac:dyDescent="0.15">
      <c r="F67" s="188" t="s">
        <v>252</v>
      </c>
      <c r="G67" s="82">
        <v>0</v>
      </c>
      <c r="H67" s="82">
        <v>0</v>
      </c>
      <c r="I67" s="82">
        <v>0</v>
      </c>
      <c r="J67" s="82">
        <v>0</v>
      </c>
      <c r="K67" s="82">
        <v>0.5</v>
      </c>
      <c r="L67" s="82">
        <v>0.5</v>
      </c>
      <c r="M67" s="82">
        <v>0.5</v>
      </c>
      <c r="N67" s="82">
        <v>0.5</v>
      </c>
      <c r="O67" s="82">
        <v>0.5</v>
      </c>
      <c r="P67" s="72">
        <v>0.5</v>
      </c>
      <c r="Q67" s="82">
        <v>0</v>
      </c>
      <c r="R67" s="73">
        <v>1</v>
      </c>
    </row>
    <row r="68" spans="1:18" ht="15" customHeight="1" x14ac:dyDescent="0.15">
      <c r="F68" s="188" t="s">
        <v>253</v>
      </c>
      <c r="G68" s="82">
        <v>0</v>
      </c>
      <c r="H68" s="82">
        <v>0</v>
      </c>
      <c r="I68" s="82">
        <v>0</v>
      </c>
      <c r="J68" s="82">
        <v>0</v>
      </c>
      <c r="K68" s="82">
        <v>0</v>
      </c>
      <c r="L68" s="82">
        <v>0</v>
      </c>
      <c r="M68" s="82">
        <v>0.9</v>
      </c>
      <c r="N68" s="82">
        <v>9.9999999999999978E-2</v>
      </c>
      <c r="O68" s="82">
        <v>0</v>
      </c>
      <c r="P68" s="72">
        <v>0</v>
      </c>
      <c r="Q68" s="82">
        <v>0</v>
      </c>
      <c r="R68" s="73">
        <v>1</v>
      </c>
    </row>
    <row r="69" spans="1:18" ht="15" customHeight="1" x14ac:dyDescent="0.15">
      <c r="F69" s="188" t="s">
        <v>254</v>
      </c>
      <c r="G69" s="82">
        <v>0</v>
      </c>
      <c r="H69" s="82">
        <v>0</v>
      </c>
      <c r="I69" s="82">
        <v>0</v>
      </c>
      <c r="J69" s="82">
        <v>0</v>
      </c>
      <c r="K69" s="82">
        <v>0</v>
      </c>
      <c r="L69" s="82">
        <v>0</v>
      </c>
      <c r="M69" s="82">
        <v>0.9</v>
      </c>
      <c r="N69" s="82">
        <v>9.9999999999999978E-2</v>
      </c>
      <c r="O69" s="82">
        <v>0</v>
      </c>
      <c r="P69" s="72">
        <v>0</v>
      </c>
      <c r="Q69" s="82">
        <v>0</v>
      </c>
      <c r="R69" s="73">
        <v>1</v>
      </c>
    </row>
    <row r="70" spans="1:18" ht="15" customHeight="1" x14ac:dyDescent="0.15">
      <c r="F70" s="188" t="s">
        <v>255</v>
      </c>
      <c r="G70" s="82">
        <v>0</v>
      </c>
      <c r="H70" s="82">
        <v>0</v>
      </c>
      <c r="I70" s="82">
        <v>0</v>
      </c>
      <c r="J70" s="82">
        <v>0</v>
      </c>
      <c r="K70" s="82">
        <v>0</v>
      </c>
      <c r="L70" s="82">
        <v>0</v>
      </c>
      <c r="M70" s="82">
        <v>1</v>
      </c>
      <c r="N70" s="82">
        <v>0</v>
      </c>
      <c r="O70" s="82">
        <v>0</v>
      </c>
      <c r="P70" s="72">
        <v>0</v>
      </c>
      <c r="Q70" s="82">
        <v>0</v>
      </c>
      <c r="R70" s="73">
        <v>1</v>
      </c>
    </row>
    <row r="71" spans="1:18" ht="15" customHeight="1" x14ac:dyDescent="0.15">
      <c r="F71" s="188" t="s">
        <v>256</v>
      </c>
      <c r="G71" s="82">
        <v>0</v>
      </c>
      <c r="H71" s="82">
        <v>0</v>
      </c>
      <c r="I71" s="82">
        <v>0</v>
      </c>
      <c r="J71" s="82">
        <v>0</v>
      </c>
      <c r="K71" s="82">
        <v>0</v>
      </c>
      <c r="L71" s="82">
        <v>0</v>
      </c>
      <c r="M71" s="82">
        <v>1</v>
      </c>
      <c r="N71" s="82">
        <v>0</v>
      </c>
      <c r="O71" s="82">
        <v>0</v>
      </c>
      <c r="P71" s="72">
        <v>0</v>
      </c>
      <c r="Q71" s="82">
        <v>0</v>
      </c>
      <c r="R71" s="73">
        <v>1</v>
      </c>
    </row>
    <row r="72" spans="1:18" ht="15" customHeight="1" x14ac:dyDescent="0.15">
      <c r="F72" s="188" t="s">
        <v>257</v>
      </c>
      <c r="G72" s="82">
        <v>0</v>
      </c>
      <c r="H72" s="82">
        <v>0</v>
      </c>
      <c r="I72" s="82">
        <v>0</v>
      </c>
      <c r="J72" s="82">
        <v>0</v>
      </c>
      <c r="K72" s="82">
        <v>0</v>
      </c>
      <c r="L72" s="82">
        <v>0</v>
      </c>
      <c r="M72" s="82">
        <v>1</v>
      </c>
      <c r="N72" s="82">
        <v>0</v>
      </c>
      <c r="O72" s="82">
        <v>0</v>
      </c>
      <c r="P72" s="72">
        <v>0</v>
      </c>
      <c r="Q72" s="82">
        <v>0</v>
      </c>
      <c r="R72" s="73">
        <v>1</v>
      </c>
    </row>
    <row r="73" spans="1:18" ht="15" customHeight="1" x14ac:dyDescent="0.15">
      <c r="F73" s="188" t="s">
        <v>258</v>
      </c>
      <c r="G73" s="82">
        <v>0</v>
      </c>
      <c r="H73" s="82">
        <v>0</v>
      </c>
      <c r="I73" s="82">
        <v>0</v>
      </c>
      <c r="J73" s="82">
        <v>0</v>
      </c>
      <c r="K73" s="82">
        <v>0</v>
      </c>
      <c r="L73" s="82">
        <v>0</v>
      </c>
      <c r="M73" s="82">
        <v>1</v>
      </c>
      <c r="N73" s="82">
        <v>0</v>
      </c>
      <c r="O73" s="82">
        <v>0</v>
      </c>
      <c r="P73" s="72">
        <v>0</v>
      </c>
      <c r="Q73" s="82">
        <v>0</v>
      </c>
      <c r="R73" s="73">
        <v>1</v>
      </c>
    </row>
    <row r="74" spans="1:18" ht="15" customHeight="1" x14ac:dyDescent="0.15">
      <c r="F74" s="188" t="s">
        <v>259</v>
      </c>
      <c r="G74" s="82">
        <v>0</v>
      </c>
      <c r="H74" s="82">
        <v>0</v>
      </c>
      <c r="I74" s="82">
        <v>0</v>
      </c>
      <c r="J74" s="82">
        <v>0</v>
      </c>
      <c r="K74" s="82">
        <v>0</v>
      </c>
      <c r="L74" s="82">
        <v>0</v>
      </c>
      <c r="M74" s="82">
        <v>1</v>
      </c>
      <c r="N74" s="82">
        <v>0</v>
      </c>
      <c r="O74" s="82">
        <v>0</v>
      </c>
      <c r="P74" s="72">
        <v>0</v>
      </c>
      <c r="Q74" s="82">
        <v>0</v>
      </c>
      <c r="R74" s="73">
        <v>1</v>
      </c>
    </row>
    <row r="75" spans="1:18" ht="15" customHeight="1" x14ac:dyDescent="0.15">
      <c r="F75" s="188" t="s">
        <v>260</v>
      </c>
      <c r="G75" s="82">
        <v>0</v>
      </c>
      <c r="H75" s="82">
        <v>0</v>
      </c>
      <c r="I75" s="82">
        <v>0</v>
      </c>
      <c r="J75" s="82">
        <v>0</v>
      </c>
      <c r="K75" s="82">
        <v>0</v>
      </c>
      <c r="L75" s="82">
        <v>0</v>
      </c>
      <c r="M75" s="82">
        <v>1</v>
      </c>
      <c r="N75" s="82">
        <v>0</v>
      </c>
      <c r="O75" s="82">
        <v>0</v>
      </c>
      <c r="P75" s="72">
        <v>0</v>
      </c>
      <c r="Q75" s="82">
        <v>0</v>
      </c>
      <c r="R75" s="73">
        <v>1</v>
      </c>
    </row>
    <row r="76" spans="1:18" ht="15" customHeight="1" x14ac:dyDescent="0.15">
      <c r="A76" s="82"/>
      <c r="F76" s="188" t="s">
        <v>261</v>
      </c>
      <c r="G76" s="82">
        <v>0</v>
      </c>
      <c r="H76" s="82">
        <v>0</v>
      </c>
      <c r="I76" s="82">
        <v>0</v>
      </c>
      <c r="J76" s="82">
        <v>0</v>
      </c>
      <c r="K76" s="82">
        <v>0</v>
      </c>
      <c r="L76" s="82">
        <v>0</v>
      </c>
      <c r="M76" s="82">
        <v>1</v>
      </c>
      <c r="N76" s="82">
        <v>0</v>
      </c>
      <c r="O76" s="82">
        <v>0</v>
      </c>
      <c r="P76" s="72">
        <v>0</v>
      </c>
      <c r="Q76" s="82">
        <v>0</v>
      </c>
      <c r="R76" s="73">
        <v>1</v>
      </c>
    </row>
    <row r="77" spans="1:18" ht="15" customHeight="1" x14ac:dyDescent="0.15">
      <c r="A77" s="82"/>
      <c r="F77" s="188" t="s">
        <v>262</v>
      </c>
      <c r="G77" s="82">
        <v>0</v>
      </c>
      <c r="H77" s="82">
        <v>0</v>
      </c>
      <c r="I77" s="82">
        <v>0</v>
      </c>
      <c r="J77" s="82">
        <v>0</v>
      </c>
      <c r="K77" s="82">
        <v>0</v>
      </c>
      <c r="L77" s="82">
        <v>0</v>
      </c>
      <c r="M77" s="82">
        <v>0.7</v>
      </c>
      <c r="N77" s="82">
        <v>0.30000000000000004</v>
      </c>
      <c r="O77" s="82">
        <v>0</v>
      </c>
      <c r="P77" s="72">
        <v>0</v>
      </c>
      <c r="Q77" s="82">
        <v>0</v>
      </c>
      <c r="R77" s="73">
        <v>1</v>
      </c>
    </row>
    <row r="78" spans="1:18" ht="15" customHeight="1" x14ac:dyDescent="0.15">
      <c r="A78" s="82"/>
      <c r="F78" s="188" t="s">
        <v>263</v>
      </c>
      <c r="G78" s="82">
        <v>0</v>
      </c>
      <c r="H78" s="82">
        <v>0</v>
      </c>
      <c r="I78" s="82">
        <v>0</v>
      </c>
      <c r="J78" s="82">
        <v>0</v>
      </c>
      <c r="K78" s="82">
        <v>0</v>
      </c>
      <c r="L78" s="82">
        <v>0</v>
      </c>
      <c r="M78" s="82">
        <v>0.7</v>
      </c>
      <c r="N78" s="82">
        <v>0.30000000000000004</v>
      </c>
      <c r="O78" s="82">
        <v>0</v>
      </c>
      <c r="P78" s="72">
        <v>0</v>
      </c>
      <c r="Q78" s="82">
        <v>0</v>
      </c>
      <c r="R78" s="73">
        <v>1</v>
      </c>
    </row>
    <row r="79" spans="1:18" ht="15" customHeight="1" x14ac:dyDescent="0.15">
      <c r="A79" s="82"/>
      <c r="F79" s="188" t="s">
        <v>264</v>
      </c>
      <c r="G79" s="82">
        <v>0</v>
      </c>
      <c r="H79" s="82">
        <v>0</v>
      </c>
      <c r="I79" s="82">
        <v>0</v>
      </c>
      <c r="J79" s="82">
        <v>0</v>
      </c>
      <c r="K79" s="82">
        <v>0</v>
      </c>
      <c r="L79" s="82">
        <v>1</v>
      </c>
      <c r="M79" s="82">
        <v>0</v>
      </c>
      <c r="N79" s="82">
        <v>1</v>
      </c>
      <c r="O79" s="82">
        <v>0</v>
      </c>
      <c r="P79" s="72">
        <v>1</v>
      </c>
      <c r="Q79" s="82">
        <v>0</v>
      </c>
      <c r="R79" s="73">
        <v>1</v>
      </c>
    </row>
    <row r="80" spans="1:18" ht="15" customHeight="1" x14ac:dyDescent="0.15">
      <c r="A80" s="82"/>
      <c r="F80" s="188" t="s">
        <v>265</v>
      </c>
      <c r="G80" s="82">
        <v>0</v>
      </c>
      <c r="H80" s="82">
        <v>0</v>
      </c>
      <c r="I80" s="82">
        <v>0</v>
      </c>
      <c r="J80" s="82">
        <v>0</v>
      </c>
      <c r="K80" s="82">
        <v>0</v>
      </c>
      <c r="L80" s="82">
        <v>1</v>
      </c>
      <c r="M80" s="82">
        <v>0</v>
      </c>
      <c r="N80" s="82">
        <v>1</v>
      </c>
      <c r="O80" s="82">
        <v>0</v>
      </c>
      <c r="P80" s="72">
        <v>1</v>
      </c>
      <c r="Q80" s="82">
        <v>0</v>
      </c>
      <c r="R80" s="73">
        <v>1</v>
      </c>
    </row>
    <row r="81" spans="1:18" ht="15" customHeight="1" x14ac:dyDescent="0.15">
      <c r="A81" s="82"/>
      <c r="F81" s="188" t="s">
        <v>266</v>
      </c>
      <c r="G81" s="82">
        <v>0</v>
      </c>
      <c r="H81" s="82">
        <v>0</v>
      </c>
      <c r="I81" s="82">
        <v>0</v>
      </c>
      <c r="J81" s="82">
        <v>0</v>
      </c>
      <c r="K81" s="82">
        <v>0</v>
      </c>
      <c r="L81" s="82">
        <v>1</v>
      </c>
      <c r="M81" s="82">
        <v>0</v>
      </c>
      <c r="N81" s="82">
        <v>1</v>
      </c>
      <c r="O81" s="82">
        <v>0</v>
      </c>
      <c r="P81" s="72">
        <v>1</v>
      </c>
      <c r="Q81" s="82">
        <v>0</v>
      </c>
      <c r="R81" s="73">
        <v>1</v>
      </c>
    </row>
    <row r="82" spans="1:18" ht="15" customHeight="1" x14ac:dyDescent="0.15">
      <c r="A82" s="82"/>
      <c r="F82" s="188" t="s">
        <v>267</v>
      </c>
      <c r="G82" s="82">
        <v>0</v>
      </c>
      <c r="H82" s="82">
        <v>0</v>
      </c>
      <c r="I82" s="82">
        <v>0</v>
      </c>
      <c r="J82" s="82">
        <v>0</v>
      </c>
      <c r="K82" s="82">
        <v>0</v>
      </c>
      <c r="L82" s="82">
        <v>1</v>
      </c>
      <c r="M82" s="82">
        <v>0</v>
      </c>
      <c r="N82" s="82">
        <v>1</v>
      </c>
      <c r="O82" s="82">
        <v>0</v>
      </c>
      <c r="P82" s="72">
        <v>1</v>
      </c>
      <c r="Q82" s="82">
        <v>0</v>
      </c>
      <c r="R82" s="73">
        <v>1</v>
      </c>
    </row>
    <row r="83" spans="1:18" ht="15" customHeight="1" x14ac:dyDescent="0.15">
      <c r="A83" s="82"/>
      <c r="F83" s="188" t="s">
        <v>268</v>
      </c>
      <c r="G83" s="82">
        <v>0</v>
      </c>
      <c r="H83" s="82">
        <v>0</v>
      </c>
      <c r="I83" s="82">
        <v>0</v>
      </c>
      <c r="J83" s="82">
        <v>0</v>
      </c>
      <c r="K83" s="82">
        <v>0</v>
      </c>
      <c r="L83" s="82">
        <v>1</v>
      </c>
      <c r="M83" s="82">
        <v>0</v>
      </c>
      <c r="N83" s="82">
        <v>1</v>
      </c>
      <c r="O83" s="82">
        <v>0</v>
      </c>
      <c r="P83" s="72">
        <v>1</v>
      </c>
      <c r="Q83" s="82">
        <v>0</v>
      </c>
      <c r="R83" s="73">
        <v>1</v>
      </c>
    </row>
    <row r="84" spans="1:18" ht="15" customHeight="1" x14ac:dyDescent="0.15">
      <c r="A84" s="82"/>
      <c r="F84" s="188" t="s">
        <v>269</v>
      </c>
      <c r="G84" s="82">
        <v>0</v>
      </c>
      <c r="H84" s="82">
        <v>0</v>
      </c>
      <c r="I84" s="82">
        <v>0</v>
      </c>
      <c r="J84" s="82">
        <v>0</v>
      </c>
      <c r="K84" s="82">
        <v>0</v>
      </c>
      <c r="L84" s="82">
        <v>1</v>
      </c>
      <c r="M84" s="82">
        <v>0</v>
      </c>
      <c r="N84" s="82">
        <v>1</v>
      </c>
      <c r="O84" s="82">
        <v>0</v>
      </c>
      <c r="P84" s="72">
        <v>1</v>
      </c>
      <c r="Q84" s="82">
        <v>0</v>
      </c>
      <c r="R84" s="73">
        <v>1</v>
      </c>
    </row>
    <row r="85" spans="1:18" ht="15" customHeight="1" x14ac:dyDescent="0.15">
      <c r="A85" s="82"/>
      <c r="F85" s="188" t="s">
        <v>270</v>
      </c>
      <c r="G85" s="82">
        <v>0</v>
      </c>
      <c r="H85" s="82">
        <v>0</v>
      </c>
      <c r="I85" s="82">
        <v>0</v>
      </c>
      <c r="J85" s="82">
        <v>0</v>
      </c>
      <c r="K85" s="82">
        <v>0</v>
      </c>
      <c r="L85" s="82">
        <v>1</v>
      </c>
      <c r="M85" s="82">
        <v>0</v>
      </c>
      <c r="N85" s="82">
        <v>1</v>
      </c>
      <c r="O85" s="82">
        <v>0</v>
      </c>
      <c r="P85" s="72">
        <v>1</v>
      </c>
      <c r="Q85" s="82">
        <v>0</v>
      </c>
      <c r="R85" s="73">
        <v>1</v>
      </c>
    </row>
    <row r="86" spans="1:18" ht="15" customHeight="1" x14ac:dyDescent="0.15">
      <c r="A86" s="82"/>
      <c r="F86" s="188" t="s">
        <v>271</v>
      </c>
      <c r="G86" s="82">
        <v>0</v>
      </c>
      <c r="H86" s="82">
        <v>0</v>
      </c>
      <c r="I86" s="82">
        <v>0</v>
      </c>
      <c r="J86" s="82">
        <v>0</v>
      </c>
      <c r="K86" s="82">
        <v>0</v>
      </c>
      <c r="L86" s="82">
        <v>1</v>
      </c>
      <c r="M86" s="82">
        <v>0</v>
      </c>
      <c r="N86" s="82">
        <v>0</v>
      </c>
      <c r="O86" s="82">
        <v>0</v>
      </c>
      <c r="P86" s="72">
        <v>0</v>
      </c>
      <c r="Q86" s="82">
        <v>0</v>
      </c>
      <c r="R86" s="73">
        <v>1</v>
      </c>
    </row>
    <row r="87" spans="1:18" ht="15" customHeight="1" x14ac:dyDescent="0.15">
      <c r="A87" s="82"/>
      <c r="F87" s="188" t="s">
        <v>272</v>
      </c>
      <c r="G87" s="82">
        <v>0</v>
      </c>
      <c r="H87" s="82">
        <v>0</v>
      </c>
      <c r="I87" s="82">
        <v>0</v>
      </c>
      <c r="J87" s="82">
        <v>0</v>
      </c>
      <c r="K87" s="82">
        <v>0</v>
      </c>
      <c r="L87" s="82">
        <v>1</v>
      </c>
      <c r="M87" s="82">
        <v>0</v>
      </c>
      <c r="N87" s="82">
        <v>0</v>
      </c>
      <c r="O87" s="82">
        <v>0</v>
      </c>
      <c r="P87" s="72">
        <v>0</v>
      </c>
      <c r="Q87" s="82">
        <v>0</v>
      </c>
      <c r="R87" s="73">
        <v>1</v>
      </c>
    </row>
    <row r="88" spans="1:18" ht="15" customHeight="1" x14ac:dyDescent="0.15">
      <c r="A88" s="82"/>
      <c r="F88" s="188" t="s">
        <v>273</v>
      </c>
      <c r="G88" s="82">
        <v>0</v>
      </c>
      <c r="H88" s="82">
        <v>0</v>
      </c>
      <c r="I88" s="82">
        <v>0</v>
      </c>
      <c r="J88" s="82">
        <v>0</v>
      </c>
      <c r="K88" s="82">
        <v>0</v>
      </c>
      <c r="L88" s="82">
        <v>1</v>
      </c>
      <c r="M88" s="82">
        <v>0</v>
      </c>
      <c r="N88" s="82">
        <v>0</v>
      </c>
      <c r="O88" s="82">
        <v>0</v>
      </c>
      <c r="P88" s="72">
        <v>0</v>
      </c>
      <c r="Q88" s="82">
        <v>0</v>
      </c>
      <c r="R88" s="73">
        <v>1</v>
      </c>
    </row>
    <row r="89" spans="1:18" ht="15" customHeight="1" x14ac:dyDescent="0.15">
      <c r="A89" s="82"/>
      <c r="F89" s="188" t="s">
        <v>274</v>
      </c>
      <c r="G89" s="82">
        <v>0</v>
      </c>
      <c r="H89" s="82">
        <v>0</v>
      </c>
      <c r="I89" s="82">
        <v>0</v>
      </c>
      <c r="J89" s="82">
        <v>0</v>
      </c>
      <c r="K89" s="82">
        <v>0</v>
      </c>
      <c r="L89" s="82">
        <v>1</v>
      </c>
      <c r="M89" s="82">
        <v>0</v>
      </c>
      <c r="N89" s="82">
        <v>0</v>
      </c>
      <c r="O89" s="82">
        <v>0</v>
      </c>
      <c r="P89" s="72">
        <v>0</v>
      </c>
      <c r="Q89" s="82">
        <v>0</v>
      </c>
      <c r="R89" s="73">
        <v>1</v>
      </c>
    </row>
    <row r="90" spans="1:18" ht="15" customHeight="1" x14ac:dyDescent="0.15">
      <c r="A90" s="82"/>
      <c r="F90" s="188" t="s">
        <v>275</v>
      </c>
      <c r="G90" s="82">
        <v>0</v>
      </c>
      <c r="H90" s="82">
        <v>0</v>
      </c>
      <c r="I90" s="82">
        <v>0</v>
      </c>
      <c r="J90" s="82">
        <v>0</v>
      </c>
      <c r="K90" s="82">
        <v>0</v>
      </c>
      <c r="L90" s="82">
        <v>1</v>
      </c>
      <c r="M90" s="82">
        <v>0</v>
      </c>
      <c r="N90" s="82">
        <v>0</v>
      </c>
      <c r="O90" s="82">
        <v>0</v>
      </c>
      <c r="P90" s="72">
        <v>0</v>
      </c>
      <c r="Q90" s="82">
        <v>0</v>
      </c>
      <c r="R90" s="73">
        <v>1</v>
      </c>
    </row>
    <row r="91" spans="1:18" ht="15" customHeight="1" x14ac:dyDescent="0.15">
      <c r="A91" s="82"/>
      <c r="F91" s="188" t="s">
        <v>276</v>
      </c>
      <c r="G91" s="82">
        <v>0</v>
      </c>
      <c r="H91" s="82">
        <v>0</v>
      </c>
      <c r="I91" s="82">
        <v>0</v>
      </c>
      <c r="J91" s="82">
        <v>0</v>
      </c>
      <c r="K91" s="82">
        <v>0</v>
      </c>
      <c r="L91" s="82">
        <v>1</v>
      </c>
      <c r="M91" s="82">
        <v>0</v>
      </c>
      <c r="N91" s="82">
        <v>0</v>
      </c>
      <c r="O91" s="82">
        <v>0</v>
      </c>
      <c r="P91" s="72">
        <v>0</v>
      </c>
      <c r="Q91" s="82">
        <v>0</v>
      </c>
      <c r="R91" s="73">
        <v>1</v>
      </c>
    </row>
    <row r="92" spans="1:18" ht="15" customHeight="1" x14ac:dyDescent="0.15">
      <c r="A92" s="82"/>
      <c r="F92" s="188" t="s">
        <v>277</v>
      </c>
      <c r="G92" s="82">
        <v>0</v>
      </c>
      <c r="H92" s="82">
        <v>0</v>
      </c>
      <c r="I92" s="82">
        <v>0</v>
      </c>
      <c r="J92" s="82">
        <v>0</v>
      </c>
      <c r="K92" s="82">
        <v>0</v>
      </c>
      <c r="L92" s="82">
        <v>1</v>
      </c>
      <c r="M92" s="82">
        <v>0</v>
      </c>
      <c r="N92" s="82">
        <v>0</v>
      </c>
      <c r="O92" s="82">
        <v>0</v>
      </c>
      <c r="P92" s="72">
        <v>0</v>
      </c>
      <c r="Q92" s="82">
        <v>0</v>
      </c>
      <c r="R92" s="73">
        <v>1</v>
      </c>
    </row>
    <row r="93" spans="1:18" ht="15" customHeight="1" x14ac:dyDescent="0.15">
      <c r="A93" s="82"/>
      <c r="F93" s="188" t="s">
        <v>278</v>
      </c>
      <c r="G93" s="82">
        <v>0</v>
      </c>
      <c r="H93" s="82">
        <v>0</v>
      </c>
      <c r="I93" s="82">
        <v>0</v>
      </c>
      <c r="J93" s="82">
        <v>0</v>
      </c>
      <c r="K93" s="82">
        <v>0</v>
      </c>
      <c r="L93" s="82">
        <v>1</v>
      </c>
      <c r="M93" s="82">
        <v>0</v>
      </c>
      <c r="N93" s="82">
        <v>0</v>
      </c>
      <c r="O93" s="82">
        <v>0</v>
      </c>
      <c r="P93" s="72">
        <v>0</v>
      </c>
      <c r="Q93" s="82">
        <v>0</v>
      </c>
      <c r="R93" s="73">
        <v>1</v>
      </c>
    </row>
    <row r="94" spans="1:18" ht="15" customHeight="1" x14ac:dyDescent="0.15">
      <c r="A94" s="82"/>
      <c r="F94" s="188" t="s">
        <v>279</v>
      </c>
      <c r="G94" s="82">
        <v>0</v>
      </c>
      <c r="H94" s="82">
        <v>0</v>
      </c>
      <c r="I94" s="82">
        <v>0</v>
      </c>
      <c r="J94" s="82">
        <v>0</v>
      </c>
      <c r="K94" s="82">
        <v>0</v>
      </c>
      <c r="L94" s="82">
        <v>1</v>
      </c>
      <c r="M94" s="82">
        <v>0</v>
      </c>
      <c r="N94" s="82">
        <v>0</v>
      </c>
      <c r="O94" s="82">
        <v>0</v>
      </c>
      <c r="P94" s="72">
        <v>0</v>
      </c>
      <c r="Q94" s="82">
        <v>0</v>
      </c>
      <c r="R94" s="73">
        <v>1</v>
      </c>
    </row>
    <row r="95" spans="1:18" ht="15" customHeight="1" x14ac:dyDescent="0.15">
      <c r="A95" s="82"/>
      <c r="F95" s="188" t="s">
        <v>280</v>
      </c>
      <c r="G95" s="82">
        <v>0</v>
      </c>
      <c r="H95" s="82">
        <v>0</v>
      </c>
      <c r="I95" s="82">
        <v>0</v>
      </c>
      <c r="J95" s="82">
        <v>0</v>
      </c>
      <c r="K95" s="82">
        <v>0</v>
      </c>
      <c r="L95" s="82">
        <v>1</v>
      </c>
      <c r="M95" s="82">
        <v>0</v>
      </c>
      <c r="N95" s="82">
        <v>0</v>
      </c>
      <c r="O95" s="82">
        <v>0</v>
      </c>
      <c r="P95" s="72">
        <v>0</v>
      </c>
      <c r="Q95" s="82">
        <v>0</v>
      </c>
      <c r="R95" s="73">
        <v>1</v>
      </c>
    </row>
    <row r="96" spans="1:18" ht="15" customHeight="1" x14ac:dyDescent="0.15">
      <c r="A96" s="82"/>
      <c r="F96" s="188" t="s">
        <v>281</v>
      </c>
      <c r="G96" s="82">
        <v>0</v>
      </c>
      <c r="H96" s="82">
        <v>0</v>
      </c>
      <c r="I96" s="82">
        <v>0</v>
      </c>
      <c r="J96" s="82">
        <v>0</v>
      </c>
      <c r="K96" s="82">
        <v>0</v>
      </c>
      <c r="L96" s="82">
        <v>1</v>
      </c>
      <c r="M96" s="82">
        <v>0</v>
      </c>
      <c r="N96" s="82">
        <v>0</v>
      </c>
      <c r="O96" s="82">
        <v>0</v>
      </c>
      <c r="P96" s="72">
        <v>0</v>
      </c>
      <c r="Q96" s="82">
        <v>0</v>
      </c>
      <c r="R96" s="73">
        <v>1</v>
      </c>
    </row>
    <row r="97" spans="1:18" ht="15" customHeight="1" x14ac:dyDescent="0.15">
      <c r="A97" s="82"/>
      <c r="F97" s="188" t="s">
        <v>282</v>
      </c>
      <c r="G97" s="82">
        <v>0</v>
      </c>
      <c r="H97" s="82">
        <v>0</v>
      </c>
      <c r="I97" s="82">
        <v>0</v>
      </c>
      <c r="J97" s="82">
        <v>0</v>
      </c>
      <c r="K97" s="82">
        <v>0</v>
      </c>
      <c r="L97" s="82">
        <v>1</v>
      </c>
      <c r="M97" s="82">
        <v>0</v>
      </c>
      <c r="N97" s="82">
        <v>0</v>
      </c>
      <c r="O97" s="82">
        <v>0</v>
      </c>
      <c r="P97" s="72">
        <v>0</v>
      </c>
      <c r="Q97" s="82">
        <v>0</v>
      </c>
      <c r="R97" s="73">
        <v>1</v>
      </c>
    </row>
    <row r="98" spans="1:18" ht="15" customHeight="1" x14ac:dyDescent="0.15">
      <c r="A98" s="82"/>
      <c r="F98" s="188" t="s">
        <v>283</v>
      </c>
      <c r="G98" s="82">
        <v>0</v>
      </c>
      <c r="H98" s="82">
        <v>0</v>
      </c>
      <c r="I98" s="82">
        <v>0</v>
      </c>
      <c r="J98" s="82">
        <v>0</v>
      </c>
      <c r="K98" s="82">
        <v>0</v>
      </c>
      <c r="L98" s="82">
        <v>1</v>
      </c>
      <c r="M98" s="82">
        <v>0</v>
      </c>
      <c r="N98" s="82">
        <v>0</v>
      </c>
      <c r="O98" s="82">
        <v>0</v>
      </c>
      <c r="P98" s="72">
        <v>0</v>
      </c>
      <c r="Q98" s="82">
        <v>0</v>
      </c>
      <c r="R98" s="73">
        <v>1</v>
      </c>
    </row>
    <row r="99" spans="1:18" ht="15" customHeight="1" x14ac:dyDescent="0.15">
      <c r="A99" s="82"/>
      <c r="F99" s="188" t="s">
        <v>284</v>
      </c>
      <c r="G99" s="82">
        <v>0</v>
      </c>
      <c r="H99" s="82">
        <v>0</v>
      </c>
      <c r="I99" s="82">
        <v>0</v>
      </c>
      <c r="J99" s="82">
        <v>0</v>
      </c>
      <c r="K99" s="82">
        <v>0</v>
      </c>
      <c r="L99" s="82">
        <v>1</v>
      </c>
      <c r="M99" s="82">
        <v>0</v>
      </c>
      <c r="N99" s="82">
        <v>0</v>
      </c>
      <c r="O99" s="82">
        <v>0</v>
      </c>
      <c r="P99" s="72">
        <v>0</v>
      </c>
      <c r="Q99" s="82">
        <v>0</v>
      </c>
      <c r="R99" s="73">
        <v>1</v>
      </c>
    </row>
    <row r="100" spans="1:18" ht="15" customHeight="1" x14ac:dyDescent="0.15">
      <c r="A100" s="82"/>
      <c r="F100"/>
      <c r="G100"/>
      <c r="H100"/>
      <c r="I100"/>
      <c r="J100"/>
      <c r="K100"/>
      <c r="L100"/>
      <c r="M100"/>
      <c r="N100"/>
      <c r="O100"/>
      <c r="P100"/>
      <c r="Q100"/>
      <c r="R100"/>
    </row>
    <row r="101" spans="1:18" ht="15" customHeight="1" x14ac:dyDescent="0.15">
      <c r="A101" s="82"/>
      <c r="F101"/>
      <c r="G101"/>
      <c r="H101"/>
      <c r="I101"/>
      <c r="J101"/>
      <c r="K101"/>
      <c r="L101"/>
      <c r="M101"/>
      <c r="N101"/>
      <c r="O101"/>
      <c r="P101"/>
      <c r="Q101"/>
      <c r="R101"/>
    </row>
    <row r="102" spans="1:18" ht="15" customHeight="1" x14ac:dyDescent="0.15">
      <c r="A102" s="82"/>
      <c r="F102"/>
      <c r="G102"/>
      <c r="H102"/>
      <c r="I102"/>
      <c r="J102"/>
      <c r="K102"/>
      <c r="L102"/>
      <c r="M102"/>
      <c r="N102"/>
      <c r="O102"/>
      <c r="P102"/>
      <c r="Q102"/>
      <c r="R102"/>
    </row>
    <row r="103" spans="1:18" ht="15" customHeight="1" x14ac:dyDescent="0.15">
      <c r="A103" s="82"/>
      <c r="F103"/>
      <c r="G103"/>
      <c r="H103"/>
      <c r="I103"/>
      <c r="J103"/>
      <c r="K103"/>
      <c r="L103"/>
      <c r="M103"/>
      <c r="N103"/>
      <c r="O103"/>
      <c r="P103"/>
      <c r="Q103"/>
      <c r="R103"/>
    </row>
    <row r="104" spans="1:18" ht="15" customHeight="1" x14ac:dyDescent="0.15">
      <c r="A104" s="82"/>
      <c r="F104"/>
      <c r="G104"/>
      <c r="H104"/>
      <c r="I104"/>
      <c r="J104"/>
      <c r="K104"/>
      <c r="L104"/>
      <c r="M104"/>
      <c r="N104"/>
      <c r="O104"/>
      <c r="P104"/>
      <c r="Q104"/>
      <c r="R104"/>
    </row>
    <row r="105" spans="1:18" ht="15" customHeight="1" x14ac:dyDescent="0.15">
      <c r="A105" s="82"/>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82" customFormat="1" ht="15" customHeight="1" x14ac:dyDescent="0.15">
      <c r="F113"/>
      <c r="G113"/>
      <c r="H113"/>
      <c r="I113"/>
      <c r="J113"/>
      <c r="K113"/>
      <c r="L113"/>
      <c r="M113"/>
      <c r="N113"/>
      <c r="O113"/>
      <c r="P113"/>
      <c r="Q113"/>
      <c r="R113"/>
    </row>
    <row r="114" spans="6:18" s="82" customFormat="1" ht="15" customHeight="1" x14ac:dyDescent="0.15">
      <c r="F114"/>
      <c r="G114"/>
      <c r="H114"/>
      <c r="I114"/>
      <c r="J114"/>
      <c r="K114"/>
      <c r="L114"/>
      <c r="M114"/>
      <c r="N114"/>
      <c r="O114"/>
      <c r="P114"/>
      <c r="Q114"/>
      <c r="R114"/>
    </row>
    <row r="115" spans="6:18" s="82" customFormat="1" ht="15" customHeight="1" x14ac:dyDescent="0.15">
      <c r="F115"/>
      <c r="G115"/>
      <c r="H115"/>
      <c r="I115"/>
      <c r="J115"/>
      <c r="K115"/>
      <c r="L115"/>
      <c r="M115"/>
      <c r="N115"/>
      <c r="O115"/>
      <c r="P115"/>
      <c r="Q115"/>
      <c r="R115"/>
    </row>
    <row r="116" spans="6:18" s="82" customFormat="1" ht="15" customHeight="1" x14ac:dyDescent="0.15">
      <c r="F116"/>
      <c r="G116"/>
      <c r="H116"/>
      <c r="I116"/>
      <c r="J116"/>
      <c r="K116"/>
      <c r="L116"/>
      <c r="M116"/>
      <c r="N116"/>
      <c r="O116"/>
      <c r="P116"/>
      <c r="Q116"/>
      <c r="R116"/>
    </row>
    <row r="117" spans="6:18" s="82" customFormat="1" ht="15" customHeight="1" x14ac:dyDescent="0.15">
      <c r="F117"/>
      <c r="G117"/>
      <c r="H117"/>
      <c r="I117"/>
      <c r="J117"/>
      <c r="K117"/>
      <c r="L117"/>
      <c r="M117"/>
      <c r="N117"/>
      <c r="O117"/>
      <c r="P117"/>
      <c r="Q117"/>
      <c r="R117"/>
    </row>
    <row r="118" spans="6:18" s="82" customFormat="1" ht="15" customHeight="1" x14ac:dyDescent="0.15">
      <c r="F118"/>
      <c r="G118"/>
      <c r="H118"/>
      <c r="I118"/>
      <c r="J118"/>
      <c r="K118"/>
      <c r="L118"/>
      <c r="M118"/>
      <c r="N118"/>
      <c r="O118"/>
      <c r="P118"/>
      <c r="Q118"/>
      <c r="R118"/>
    </row>
    <row r="119" spans="6:18" s="82" customFormat="1" ht="15" customHeight="1" x14ac:dyDescent="0.15">
      <c r="F119"/>
      <c r="G119"/>
      <c r="H119"/>
      <c r="I119"/>
      <c r="J119"/>
      <c r="K119"/>
      <c r="L119"/>
      <c r="M119"/>
      <c r="N119"/>
      <c r="O119"/>
      <c r="P119"/>
      <c r="Q119"/>
      <c r="R119"/>
    </row>
    <row r="120" spans="6:18" s="82" customFormat="1" ht="15" customHeight="1" x14ac:dyDescent="0.15">
      <c r="F120"/>
      <c r="G120"/>
      <c r="H120"/>
      <c r="I120"/>
      <c r="J120"/>
      <c r="K120"/>
      <c r="L120"/>
      <c r="M120"/>
      <c r="N120"/>
      <c r="O120"/>
      <c r="P120"/>
      <c r="Q120"/>
      <c r="R120"/>
    </row>
    <row r="121" spans="6:18" s="82" customFormat="1" ht="15" customHeight="1" x14ac:dyDescent="0.15">
      <c r="F121"/>
      <c r="G121"/>
      <c r="H121"/>
      <c r="I121"/>
      <c r="J121"/>
      <c r="K121"/>
      <c r="L121"/>
      <c r="M121"/>
      <c r="N121"/>
      <c r="O121"/>
      <c r="P121"/>
      <c r="Q121"/>
      <c r="R121"/>
    </row>
    <row r="122" spans="6:18" s="82" customFormat="1" ht="15" customHeight="1" x14ac:dyDescent="0.15">
      <c r="F122"/>
      <c r="G122"/>
      <c r="H122"/>
      <c r="I122"/>
      <c r="J122"/>
      <c r="K122"/>
      <c r="L122"/>
      <c r="M122"/>
      <c r="N122"/>
      <c r="O122"/>
      <c r="P122"/>
      <c r="Q122"/>
      <c r="R122"/>
    </row>
    <row r="123" spans="6:18" s="82" customFormat="1" ht="15" customHeight="1" x14ac:dyDescent="0.15">
      <c r="F123"/>
      <c r="G123"/>
      <c r="H123"/>
      <c r="I123"/>
      <c r="J123"/>
      <c r="K123"/>
      <c r="L123"/>
      <c r="M123"/>
      <c r="N123"/>
      <c r="O123"/>
      <c r="P123"/>
      <c r="Q123"/>
      <c r="R123"/>
    </row>
    <row r="124" spans="6:18" s="82" customFormat="1" ht="15" customHeight="1" x14ac:dyDescent="0.15">
      <c r="F124"/>
      <c r="G124"/>
      <c r="H124"/>
      <c r="I124"/>
      <c r="J124"/>
      <c r="K124"/>
      <c r="L124"/>
      <c r="M124"/>
      <c r="N124"/>
      <c r="O124"/>
      <c r="P124"/>
      <c r="Q124"/>
      <c r="R124"/>
    </row>
    <row r="125" spans="6:18" s="82" customFormat="1" ht="15" customHeight="1" x14ac:dyDescent="0.15">
      <c r="F125"/>
      <c r="G125"/>
      <c r="H125"/>
      <c r="I125"/>
      <c r="J125"/>
      <c r="K125"/>
      <c r="L125"/>
      <c r="M125"/>
      <c r="N125"/>
      <c r="O125"/>
      <c r="P125"/>
      <c r="Q125"/>
      <c r="R125"/>
    </row>
    <row r="126" spans="6:18" s="82" customFormat="1" ht="15" customHeight="1" x14ac:dyDescent="0.15">
      <c r="F126"/>
      <c r="G126"/>
      <c r="H126"/>
      <c r="I126"/>
      <c r="J126"/>
      <c r="K126"/>
      <c r="L126"/>
      <c r="M126"/>
      <c r="N126"/>
      <c r="O126"/>
      <c r="P126"/>
      <c r="Q126"/>
      <c r="R126"/>
    </row>
    <row r="127" spans="6:18" s="82" customFormat="1" ht="15" customHeight="1" x14ac:dyDescent="0.15">
      <c r="F127"/>
      <c r="G127"/>
      <c r="H127"/>
      <c r="I127"/>
      <c r="J127"/>
      <c r="K127"/>
      <c r="L127"/>
      <c r="M127"/>
      <c r="N127"/>
      <c r="O127"/>
      <c r="P127"/>
      <c r="Q127"/>
      <c r="R127"/>
    </row>
    <row r="128" spans="6:18" s="82" customFormat="1" ht="15" customHeight="1" x14ac:dyDescent="0.15">
      <c r="F128"/>
      <c r="G128"/>
      <c r="H128"/>
      <c r="I128"/>
      <c r="J128"/>
      <c r="K128"/>
      <c r="L128"/>
      <c r="M128"/>
      <c r="N128"/>
      <c r="O128"/>
      <c r="P128"/>
      <c r="Q128"/>
      <c r="R128"/>
    </row>
    <row r="129" spans="6:18" s="82" customFormat="1" ht="15" customHeight="1" x14ac:dyDescent="0.15">
      <c r="F129"/>
      <c r="G129"/>
      <c r="H129"/>
      <c r="I129"/>
      <c r="J129"/>
      <c r="K129"/>
      <c r="L129"/>
      <c r="M129"/>
      <c r="N129"/>
      <c r="O129"/>
      <c r="P129"/>
      <c r="Q129"/>
      <c r="R129"/>
    </row>
    <row r="130" spans="6:18" s="82" customFormat="1" ht="15" customHeight="1" x14ac:dyDescent="0.15">
      <c r="F130"/>
      <c r="G130"/>
      <c r="H130"/>
      <c r="I130"/>
      <c r="J130"/>
      <c r="K130"/>
      <c r="L130"/>
      <c r="M130"/>
      <c r="N130"/>
      <c r="O130"/>
      <c r="P130"/>
      <c r="Q130"/>
      <c r="R130"/>
    </row>
    <row r="131" spans="6:18" s="82" customFormat="1" ht="15" customHeight="1" x14ac:dyDescent="0.15">
      <c r="F131"/>
      <c r="G131"/>
      <c r="H131"/>
      <c r="I131"/>
      <c r="J131"/>
      <c r="K131"/>
      <c r="L131"/>
      <c r="M131"/>
      <c r="N131"/>
      <c r="O131"/>
      <c r="P131"/>
      <c r="Q131"/>
      <c r="R131"/>
    </row>
    <row r="132" spans="6:18" s="82" customFormat="1" ht="15" customHeight="1" x14ac:dyDescent="0.15">
      <c r="F132"/>
      <c r="G132"/>
      <c r="H132"/>
      <c r="I132"/>
      <c r="J132"/>
      <c r="K132"/>
      <c r="L132"/>
      <c r="M132"/>
      <c r="N132"/>
      <c r="O132"/>
      <c r="P132"/>
      <c r="Q132"/>
      <c r="R132"/>
    </row>
    <row r="133" spans="6:18" s="82" customFormat="1" ht="15" customHeight="1" x14ac:dyDescent="0.15">
      <c r="F133"/>
      <c r="G133"/>
      <c r="H133"/>
      <c r="I133"/>
      <c r="J133"/>
      <c r="K133"/>
      <c r="L133"/>
      <c r="M133"/>
      <c r="N133"/>
      <c r="O133"/>
      <c r="P133"/>
      <c r="Q133"/>
      <c r="R133"/>
    </row>
    <row r="134" spans="6:18" s="82" customFormat="1" ht="15" customHeight="1" x14ac:dyDescent="0.15">
      <c r="F134"/>
      <c r="G134"/>
      <c r="H134"/>
      <c r="I134"/>
      <c r="J134"/>
      <c r="K134"/>
      <c r="L134"/>
      <c r="M134"/>
      <c r="N134"/>
      <c r="O134"/>
      <c r="P134"/>
      <c r="Q134"/>
      <c r="R134"/>
    </row>
    <row r="135" spans="6:18" s="82" customFormat="1" ht="15" customHeight="1" x14ac:dyDescent="0.15">
      <c r="F135"/>
      <c r="G135"/>
      <c r="H135"/>
      <c r="I135"/>
      <c r="J135"/>
      <c r="K135"/>
      <c r="L135"/>
      <c r="M135"/>
      <c r="N135"/>
      <c r="O135"/>
      <c r="P135"/>
      <c r="Q135"/>
      <c r="R135"/>
    </row>
    <row r="136" spans="6:18" s="82" customFormat="1" ht="15" customHeight="1" x14ac:dyDescent="0.15">
      <c r="F136"/>
      <c r="G136"/>
      <c r="H136"/>
      <c r="I136"/>
      <c r="J136"/>
      <c r="K136"/>
      <c r="L136"/>
      <c r="M136"/>
      <c r="N136"/>
      <c r="O136"/>
      <c r="P136"/>
      <c r="Q136"/>
      <c r="R136"/>
    </row>
    <row r="137" spans="6:18" s="82" customFormat="1" ht="15" customHeight="1" x14ac:dyDescent="0.15">
      <c r="F137"/>
      <c r="G137"/>
      <c r="H137"/>
      <c r="I137"/>
      <c r="J137"/>
      <c r="K137"/>
      <c r="L137"/>
      <c r="M137"/>
      <c r="N137"/>
      <c r="O137"/>
      <c r="P137"/>
      <c r="Q137"/>
      <c r="R137"/>
    </row>
    <row r="138" spans="6:18" s="82" customFormat="1" ht="15" customHeight="1" x14ac:dyDescent="0.15">
      <c r="F138"/>
      <c r="G138"/>
      <c r="H138"/>
      <c r="I138"/>
      <c r="J138"/>
      <c r="K138"/>
      <c r="L138"/>
      <c r="M138"/>
      <c r="N138"/>
      <c r="O138"/>
      <c r="P138"/>
      <c r="Q138"/>
      <c r="R138"/>
    </row>
    <row r="139" spans="6:18" s="82" customFormat="1" ht="15" customHeight="1" x14ac:dyDescent="0.15">
      <c r="F139"/>
      <c r="G139"/>
      <c r="H139"/>
      <c r="I139"/>
      <c r="J139"/>
      <c r="K139"/>
      <c r="L139"/>
      <c r="M139"/>
      <c r="N139"/>
      <c r="O139"/>
      <c r="P139"/>
      <c r="Q139"/>
      <c r="R139"/>
    </row>
    <row r="140" spans="6:18" s="82" customFormat="1" ht="15" customHeight="1" x14ac:dyDescent="0.15">
      <c r="F140"/>
      <c r="G140"/>
      <c r="H140"/>
      <c r="I140"/>
      <c r="J140"/>
      <c r="K140"/>
      <c r="L140"/>
      <c r="M140"/>
      <c r="N140"/>
      <c r="O140"/>
      <c r="P140"/>
      <c r="Q140"/>
      <c r="R140"/>
    </row>
    <row r="141" spans="6:18" s="82" customFormat="1" ht="15" customHeight="1" x14ac:dyDescent="0.15">
      <c r="F141"/>
      <c r="G141"/>
      <c r="H141"/>
      <c r="I141"/>
      <c r="J141"/>
      <c r="K141"/>
      <c r="L141"/>
      <c r="M141"/>
      <c r="N141"/>
      <c r="O141"/>
      <c r="P141"/>
      <c r="Q141"/>
      <c r="R141"/>
    </row>
    <row r="142" spans="6:18" s="82" customFormat="1" ht="15" customHeight="1" x14ac:dyDescent="0.15">
      <c r="F142"/>
      <c r="G142"/>
      <c r="H142"/>
      <c r="I142"/>
      <c r="J142"/>
      <c r="K142"/>
      <c r="L142"/>
      <c r="M142"/>
      <c r="N142"/>
      <c r="O142"/>
      <c r="P142"/>
      <c r="Q142"/>
      <c r="R142"/>
    </row>
    <row r="143" spans="6:18" s="82" customFormat="1" ht="15" customHeight="1" x14ac:dyDescent="0.15">
      <c r="F143"/>
      <c r="G143"/>
      <c r="H143"/>
      <c r="I143"/>
      <c r="J143"/>
      <c r="K143"/>
      <c r="L143"/>
      <c r="M143"/>
      <c r="N143"/>
      <c r="O143"/>
      <c r="P143"/>
      <c r="Q143"/>
      <c r="R143"/>
    </row>
    <row r="144" spans="6:18" s="82" customFormat="1" ht="15" customHeight="1" x14ac:dyDescent="0.15">
      <c r="F144"/>
      <c r="G144"/>
      <c r="H144"/>
      <c r="I144"/>
      <c r="J144"/>
      <c r="K144"/>
      <c r="L144"/>
      <c r="M144"/>
      <c r="N144"/>
      <c r="O144"/>
      <c r="P144"/>
      <c r="Q144"/>
      <c r="R144"/>
    </row>
    <row r="145" spans="6:18" s="82" customFormat="1" ht="15" customHeight="1" x14ac:dyDescent="0.15">
      <c r="F145"/>
      <c r="G145"/>
      <c r="H145"/>
      <c r="I145"/>
      <c r="J145"/>
      <c r="K145"/>
      <c r="L145"/>
      <c r="M145"/>
      <c r="N145"/>
      <c r="O145"/>
      <c r="P145"/>
      <c r="Q145"/>
      <c r="R145"/>
    </row>
    <row r="146" spans="6:18" s="82" customFormat="1" ht="15" customHeight="1" x14ac:dyDescent="0.15">
      <c r="F146"/>
      <c r="G146"/>
      <c r="H146"/>
      <c r="I146"/>
      <c r="J146"/>
      <c r="K146"/>
      <c r="L146"/>
      <c r="M146"/>
      <c r="N146"/>
      <c r="O146"/>
      <c r="P146"/>
      <c r="Q146"/>
      <c r="R146"/>
    </row>
    <row r="147" spans="6:18" s="82" customFormat="1" ht="15" customHeight="1" x14ac:dyDescent="0.15">
      <c r="F147"/>
      <c r="G147"/>
      <c r="H147"/>
      <c r="I147"/>
      <c r="J147"/>
      <c r="K147"/>
      <c r="L147"/>
      <c r="M147"/>
      <c r="N147"/>
      <c r="O147"/>
      <c r="P147"/>
      <c r="Q147"/>
      <c r="R147"/>
    </row>
    <row r="148" spans="6:18" s="82" customFormat="1" ht="15" customHeight="1" x14ac:dyDescent="0.15">
      <c r="F148"/>
      <c r="G148"/>
      <c r="H148"/>
      <c r="I148"/>
      <c r="J148"/>
      <c r="K148"/>
      <c r="L148"/>
      <c r="M148"/>
      <c r="N148"/>
      <c r="O148"/>
      <c r="P148"/>
      <c r="Q148"/>
      <c r="R148"/>
    </row>
    <row r="149" spans="6:18" s="82" customFormat="1" ht="15" customHeight="1" x14ac:dyDescent="0.15">
      <c r="F149"/>
      <c r="G149"/>
      <c r="H149"/>
      <c r="I149"/>
      <c r="J149"/>
      <c r="K149"/>
      <c r="L149"/>
      <c r="M149"/>
      <c r="N149"/>
      <c r="O149"/>
      <c r="P149"/>
      <c r="Q149"/>
      <c r="R149"/>
    </row>
    <row r="150" spans="6:18" s="82" customFormat="1" ht="15" customHeight="1" x14ac:dyDescent="0.15">
      <c r="F150"/>
      <c r="G150"/>
      <c r="H150"/>
      <c r="I150"/>
      <c r="J150"/>
      <c r="K150"/>
      <c r="L150"/>
      <c r="M150"/>
      <c r="N150"/>
      <c r="O150"/>
      <c r="P150"/>
      <c r="Q150"/>
      <c r="R150"/>
    </row>
    <row r="151" spans="6:18" s="82" customFormat="1" ht="15" customHeight="1" x14ac:dyDescent="0.15">
      <c r="F151"/>
      <c r="G151"/>
      <c r="H151"/>
      <c r="I151"/>
      <c r="J151"/>
      <c r="K151"/>
      <c r="L151"/>
      <c r="M151"/>
      <c r="N151"/>
      <c r="O151"/>
      <c r="P151"/>
      <c r="Q151"/>
      <c r="R151"/>
    </row>
    <row r="152" spans="6:18" s="82" customFormat="1" ht="15" customHeight="1" x14ac:dyDescent="0.15">
      <c r="F152"/>
      <c r="G152"/>
      <c r="H152"/>
      <c r="I152"/>
      <c r="J152"/>
      <c r="K152"/>
      <c r="L152"/>
      <c r="M152"/>
      <c r="N152"/>
      <c r="O152"/>
      <c r="P152"/>
      <c r="Q152"/>
      <c r="R152"/>
    </row>
    <row r="153" spans="6:18" s="82" customFormat="1" ht="15" customHeight="1" x14ac:dyDescent="0.15">
      <c r="F153"/>
      <c r="G153"/>
      <c r="H153"/>
      <c r="I153"/>
      <c r="J153"/>
      <c r="K153"/>
      <c r="L153"/>
      <c r="M153"/>
      <c r="N153"/>
      <c r="O153"/>
      <c r="P153"/>
      <c r="Q153"/>
      <c r="R153"/>
    </row>
    <row r="154" spans="6:18" s="82" customFormat="1" ht="15" customHeight="1" x14ac:dyDescent="0.15">
      <c r="F154"/>
      <c r="G154"/>
      <c r="H154"/>
      <c r="I154"/>
      <c r="J154"/>
      <c r="K154"/>
      <c r="L154"/>
      <c r="M154"/>
      <c r="N154"/>
      <c r="O154"/>
      <c r="P154"/>
      <c r="Q154"/>
      <c r="R154"/>
    </row>
    <row r="155" spans="6:18" s="82" customFormat="1" ht="15" customHeight="1" x14ac:dyDescent="0.15">
      <c r="F155"/>
      <c r="G155"/>
      <c r="H155"/>
      <c r="I155"/>
      <c r="J155"/>
      <c r="K155"/>
      <c r="L155"/>
      <c r="M155"/>
      <c r="N155"/>
      <c r="O155"/>
      <c r="P155"/>
      <c r="Q155"/>
      <c r="R155"/>
    </row>
    <row r="156" spans="6:18" s="82" customFormat="1" ht="15" customHeight="1" x14ac:dyDescent="0.15">
      <c r="F156"/>
      <c r="G156"/>
      <c r="H156"/>
      <c r="I156"/>
      <c r="J156"/>
      <c r="K156"/>
      <c r="L156"/>
      <c r="M156"/>
      <c r="N156"/>
      <c r="O156"/>
      <c r="P156"/>
      <c r="Q156"/>
      <c r="R156"/>
    </row>
    <row r="157" spans="6:18" s="82" customFormat="1" ht="15" customHeight="1" x14ac:dyDescent="0.15">
      <c r="F157"/>
      <c r="G157"/>
      <c r="H157"/>
      <c r="I157"/>
      <c r="J157"/>
      <c r="K157"/>
      <c r="L157"/>
      <c r="M157"/>
      <c r="N157"/>
      <c r="O157"/>
      <c r="P157"/>
      <c r="Q157"/>
      <c r="R157"/>
    </row>
    <row r="158" spans="6:18" s="82" customFormat="1" ht="15" customHeight="1" x14ac:dyDescent="0.15">
      <c r="F158"/>
      <c r="G158"/>
      <c r="H158"/>
      <c r="I158"/>
      <c r="J158"/>
      <c r="K158"/>
      <c r="L158"/>
      <c r="M158"/>
      <c r="N158"/>
      <c r="O158"/>
      <c r="P158"/>
      <c r="Q158"/>
      <c r="R158"/>
    </row>
    <row r="159" spans="6:18" s="82" customFormat="1" ht="15" customHeight="1" x14ac:dyDescent="0.15">
      <c r="F159"/>
      <c r="G159"/>
      <c r="H159"/>
      <c r="I159"/>
      <c r="J159"/>
      <c r="K159"/>
      <c r="L159"/>
      <c r="M159"/>
      <c r="N159"/>
      <c r="O159"/>
      <c r="P159"/>
      <c r="Q159"/>
      <c r="R159"/>
    </row>
    <row r="160" spans="6:18" s="82" customFormat="1" ht="15" customHeight="1" x14ac:dyDescent="0.15">
      <c r="F160"/>
      <c r="G160"/>
      <c r="H160"/>
      <c r="I160"/>
      <c r="J160"/>
      <c r="K160"/>
      <c r="L160"/>
      <c r="M160"/>
      <c r="N160"/>
      <c r="O160"/>
      <c r="P160"/>
      <c r="Q160"/>
      <c r="R160"/>
    </row>
    <row r="161" spans="6:18" s="82" customFormat="1" ht="15" customHeight="1" x14ac:dyDescent="0.15">
      <c r="F161"/>
      <c r="G161"/>
      <c r="H161"/>
      <c r="I161"/>
      <c r="J161"/>
      <c r="K161"/>
      <c r="L161"/>
      <c r="M161"/>
      <c r="N161"/>
      <c r="O161"/>
      <c r="P161"/>
      <c r="Q161"/>
      <c r="R161"/>
    </row>
    <row r="162" spans="6:18" s="82" customFormat="1" ht="15" customHeight="1" x14ac:dyDescent="0.15">
      <c r="F162"/>
      <c r="G162"/>
      <c r="H162"/>
      <c r="I162"/>
      <c r="J162"/>
      <c r="K162"/>
      <c r="L162"/>
      <c r="M162"/>
      <c r="N162"/>
      <c r="O162"/>
      <c r="P162"/>
      <c r="Q162"/>
      <c r="R162"/>
    </row>
    <row r="163" spans="6:18" s="82" customFormat="1" ht="15" customHeight="1" x14ac:dyDescent="0.15">
      <c r="F163"/>
      <c r="G163"/>
      <c r="H163"/>
      <c r="I163"/>
      <c r="J163"/>
      <c r="K163"/>
      <c r="L163"/>
      <c r="M163"/>
      <c r="N163"/>
      <c r="O163"/>
      <c r="P163"/>
      <c r="Q163"/>
      <c r="R163"/>
    </row>
    <row r="164" spans="6:18" s="82" customFormat="1" ht="15" customHeight="1" x14ac:dyDescent="0.15">
      <c r="F164"/>
      <c r="G164"/>
      <c r="H164"/>
      <c r="I164"/>
      <c r="J164"/>
      <c r="K164"/>
      <c r="L164"/>
      <c r="M164"/>
      <c r="N164"/>
      <c r="O164"/>
      <c r="P164"/>
      <c r="Q164"/>
      <c r="R164"/>
    </row>
    <row r="165" spans="6:18" s="82" customFormat="1" ht="15" customHeight="1" x14ac:dyDescent="0.15">
      <c r="F165"/>
      <c r="G165"/>
      <c r="H165"/>
      <c r="I165"/>
      <c r="J165"/>
      <c r="K165"/>
      <c r="L165"/>
      <c r="M165"/>
      <c r="N165"/>
      <c r="O165"/>
      <c r="P165"/>
      <c r="Q165"/>
      <c r="R165"/>
    </row>
    <row r="166" spans="6:18" s="82" customFormat="1" ht="15" customHeight="1" x14ac:dyDescent="0.15">
      <c r="F166"/>
      <c r="G166"/>
      <c r="H166"/>
      <c r="I166"/>
      <c r="J166"/>
      <c r="K166"/>
      <c r="L166"/>
      <c r="M166"/>
      <c r="N166"/>
      <c r="O166"/>
      <c r="P166"/>
      <c r="Q166"/>
      <c r="R166"/>
    </row>
    <row r="167" spans="6:18" s="82" customFormat="1" ht="15" customHeight="1" x14ac:dyDescent="0.15">
      <c r="F167"/>
      <c r="G167"/>
      <c r="H167"/>
      <c r="I167"/>
      <c r="J167"/>
      <c r="K167"/>
      <c r="L167"/>
      <c r="M167"/>
      <c r="N167"/>
      <c r="O167"/>
      <c r="P167"/>
      <c r="Q167"/>
      <c r="R167"/>
    </row>
    <row r="168" spans="6:18" s="82" customFormat="1" ht="15" customHeight="1" x14ac:dyDescent="0.15">
      <c r="F168"/>
      <c r="G168"/>
      <c r="H168"/>
      <c r="I168"/>
      <c r="J168"/>
      <c r="K168"/>
      <c r="L168"/>
      <c r="M168"/>
      <c r="N168"/>
      <c r="O168"/>
      <c r="P168"/>
      <c r="Q168"/>
      <c r="R168"/>
    </row>
    <row r="169" spans="6:18" s="82" customFormat="1" ht="15" customHeight="1" x14ac:dyDescent="0.15">
      <c r="F169"/>
      <c r="G169"/>
      <c r="H169"/>
      <c r="I169"/>
      <c r="J169"/>
      <c r="K169"/>
      <c r="L169"/>
      <c r="M169"/>
      <c r="N169"/>
      <c r="O169"/>
      <c r="P169"/>
      <c r="Q169"/>
      <c r="R169"/>
    </row>
    <row r="170" spans="6:18" s="82" customFormat="1" ht="15" customHeight="1" x14ac:dyDescent="0.15">
      <c r="F170"/>
      <c r="G170"/>
      <c r="H170"/>
      <c r="I170"/>
      <c r="J170"/>
      <c r="K170"/>
      <c r="L170"/>
      <c r="M170"/>
      <c r="N170"/>
      <c r="O170"/>
      <c r="P170"/>
      <c r="Q170"/>
      <c r="R170"/>
    </row>
    <row r="171" spans="6:18" s="82" customFormat="1" ht="15" customHeight="1" x14ac:dyDescent="0.15">
      <c r="F171"/>
      <c r="G171"/>
      <c r="H171"/>
      <c r="I171"/>
      <c r="J171"/>
      <c r="K171"/>
      <c r="L171"/>
      <c r="M171"/>
      <c r="N171"/>
      <c r="O171"/>
      <c r="P171"/>
      <c r="Q171"/>
      <c r="R171"/>
    </row>
    <row r="172" spans="6:18" s="82" customFormat="1" ht="15" customHeight="1" x14ac:dyDescent="0.15">
      <c r="F172"/>
      <c r="G172"/>
      <c r="H172"/>
      <c r="I172"/>
      <c r="J172"/>
      <c r="K172"/>
      <c r="L172"/>
      <c r="M172"/>
      <c r="N172"/>
      <c r="O172"/>
      <c r="P172"/>
      <c r="Q172"/>
      <c r="R172"/>
    </row>
    <row r="173" spans="6:18" s="82" customFormat="1" ht="15" customHeight="1" x14ac:dyDescent="0.15">
      <c r="F173"/>
      <c r="G173"/>
      <c r="H173"/>
      <c r="I173"/>
      <c r="J173"/>
      <c r="K173"/>
      <c r="L173"/>
      <c r="M173"/>
      <c r="N173"/>
      <c r="O173"/>
      <c r="P173"/>
      <c r="Q173"/>
      <c r="R173"/>
    </row>
    <row r="174" spans="6:18" s="82" customFormat="1" ht="15" customHeight="1" x14ac:dyDescent="0.15">
      <c r="F174"/>
      <c r="G174"/>
      <c r="H174"/>
      <c r="I174"/>
      <c r="J174"/>
      <c r="K174"/>
      <c r="L174"/>
      <c r="M174"/>
      <c r="N174"/>
      <c r="O174"/>
      <c r="P174"/>
      <c r="Q174"/>
      <c r="R174"/>
    </row>
    <row r="175" spans="6:18" s="82" customFormat="1" ht="15" customHeight="1" x14ac:dyDescent="0.15">
      <c r="F175"/>
      <c r="G175"/>
      <c r="H175"/>
      <c r="I175"/>
      <c r="J175"/>
      <c r="K175"/>
      <c r="L175"/>
      <c r="M175"/>
      <c r="N175"/>
      <c r="O175"/>
      <c r="P175"/>
      <c r="Q175"/>
      <c r="R175"/>
    </row>
    <row r="176" spans="6:18" s="82" customFormat="1" ht="15" customHeight="1" x14ac:dyDescent="0.15">
      <c r="F176"/>
      <c r="G176"/>
      <c r="H176"/>
      <c r="I176"/>
      <c r="J176"/>
      <c r="K176"/>
      <c r="L176"/>
      <c r="M176"/>
      <c r="N176"/>
      <c r="O176"/>
      <c r="P176"/>
      <c r="Q176"/>
      <c r="R176"/>
    </row>
    <row r="177" spans="6:18" s="82" customFormat="1" ht="15" customHeight="1" x14ac:dyDescent="0.15">
      <c r="F177"/>
      <c r="G177"/>
      <c r="H177"/>
      <c r="I177"/>
      <c r="J177"/>
      <c r="K177"/>
      <c r="L177"/>
      <c r="M177"/>
      <c r="N177"/>
      <c r="O177"/>
      <c r="P177"/>
      <c r="Q177"/>
      <c r="R177"/>
    </row>
    <row r="178" spans="6:18" s="82" customFormat="1" ht="15" customHeight="1" x14ac:dyDescent="0.15">
      <c r="F178"/>
      <c r="G178"/>
      <c r="H178"/>
      <c r="I178"/>
      <c r="J178"/>
      <c r="K178"/>
      <c r="L178"/>
      <c r="M178"/>
      <c r="N178"/>
      <c r="O178"/>
      <c r="P178"/>
      <c r="Q178"/>
      <c r="R178"/>
    </row>
    <row r="179" spans="6:18" s="82" customFormat="1" ht="15" customHeight="1" x14ac:dyDescent="0.15">
      <c r="F179"/>
      <c r="G179"/>
      <c r="H179"/>
      <c r="I179"/>
      <c r="J179"/>
      <c r="K179"/>
      <c r="L179"/>
      <c r="M179"/>
      <c r="N179"/>
      <c r="O179"/>
      <c r="P179"/>
      <c r="Q179"/>
      <c r="R179"/>
    </row>
    <row r="180" spans="6:18" s="82" customFormat="1" ht="15" customHeight="1" x14ac:dyDescent="0.15">
      <c r="F180"/>
      <c r="G180"/>
      <c r="H180"/>
      <c r="I180"/>
      <c r="J180"/>
      <c r="K180"/>
      <c r="L180"/>
      <c r="M180"/>
      <c r="N180"/>
      <c r="O180"/>
      <c r="P180"/>
      <c r="Q180"/>
      <c r="R180"/>
    </row>
    <row r="181" spans="6:18" s="82" customFormat="1" ht="15" customHeight="1" x14ac:dyDescent="0.15">
      <c r="F181"/>
      <c r="G181"/>
      <c r="H181"/>
      <c r="I181"/>
      <c r="J181"/>
      <c r="K181"/>
      <c r="L181"/>
      <c r="M181"/>
      <c r="N181"/>
      <c r="O181"/>
      <c r="P181"/>
      <c r="Q181"/>
      <c r="R181"/>
    </row>
    <row r="182" spans="6:18" s="82" customFormat="1" ht="15" customHeight="1" x14ac:dyDescent="0.15">
      <c r="F182"/>
      <c r="G182"/>
      <c r="H182"/>
      <c r="I182"/>
      <c r="J182"/>
      <c r="K182"/>
      <c r="L182"/>
      <c r="M182"/>
      <c r="N182"/>
      <c r="O182"/>
      <c r="P182"/>
      <c r="Q182"/>
      <c r="R182"/>
    </row>
    <row r="183" spans="6:18" s="82" customFormat="1" ht="15" customHeight="1" x14ac:dyDescent="0.15">
      <c r="F183"/>
      <c r="G183"/>
      <c r="H183"/>
      <c r="I183"/>
      <c r="J183"/>
      <c r="K183"/>
      <c r="L183"/>
      <c r="M183"/>
      <c r="N183"/>
      <c r="O183"/>
      <c r="P183"/>
      <c r="Q183"/>
      <c r="R183"/>
    </row>
    <row r="184" spans="6:18" s="82" customFormat="1" ht="15" customHeight="1" x14ac:dyDescent="0.15">
      <c r="F184"/>
      <c r="G184"/>
      <c r="H184"/>
      <c r="I184"/>
      <c r="J184"/>
      <c r="K184"/>
      <c r="L184"/>
      <c r="M184"/>
      <c r="N184"/>
      <c r="O184"/>
      <c r="P184"/>
      <c r="Q184"/>
      <c r="R184"/>
    </row>
    <row r="185" spans="6:18" s="82" customFormat="1" ht="15" customHeight="1" x14ac:dyDescent="0.15">
      <c r="F185"/>
      <c r="G185"/>
      <c r="H185"/>
      <c r="I185"/>
      <c r="J185"/>
      <c r="K185"/>
      <c r="L185"/>
      <c r="M185"/>
      <c r="N185"/>
      <c r="O185"/>
      <c r="P185"/>
      <c r="Q185"/>
      <c r="R185"/>
    </row>
    <row r="186" spans="6:18" s="82" customFormat="1" ht="15" customHeight="1" x14ac:dyDescent="0.15">
      <c r="F186"/>
      <c r="G186"/>
      <c r="H186"/>
      <c r="I186"/>
      <c r="J186"/>
      <c r="K186"/>
      <c r="L186"/>
      <c r="M186"/>
      <c r="N186"/>
      <c r="O186"/>
      <c r="P186"/>
      <c r="Q186"/>
      <c r="R186"/>
    </row>
    <row r="187" spans="6:18" s="82" customFormat="1" ht="15" customHeight="1" x14ac:dyDescent="0.15">
      <c r="F187"/>
      <c r="G187"/>
      <c r="H187"/>
      <c r="I187"/>
      <c r="J187"/>
      <c r="K187"/>
      <c r="L187"/>
      <c r="M187"/>
      <c r="N187"/>
      <c r="O187"/>
      <c r="P187"/>
      <c r="Q187"/>
      <c r="R187"/>
    </row>
    <row r="188" spans="6:18" s="82"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CX192"/>
  <sheetViews>
    <sheetView workbookViewId="0">
      <pane xSplit="1" ySplit="1" topLeftCell="B2" activePane="bottomRight" state="frozen"/>
      <selection pane="topRight" activeCell="B1" sqref="B1"/>
      <selection pane="bottomLeft" activeCell="A2" sqref="A2"/>
      <selection pane="bottomRight" activeCell="A6" sqref="A6"/>
    </sheetView>
  </sheetViews>
  <sheetFormatPr baseColWidth="10" defaultColWidth="8.83203125" defaultRowHeight="13" x14ac:dyDescent="0.15"/>
  <cols>
    <col min="1" max="1" width="29.6640625" bestFit="1" customWidth="1"/>
    <col min="2" max="2" width="2.33203125" style="108" customWidth="1"/>
    <col min="3" max="5" width="7.83203125" style="108" customWidth="1"/>
    <col min="6" max="8" width="8.83203125" style="6"/>
    <col min="9" max="9" width="8.5" style="6" customWidth="1"/>
    <col min="10" max="10" width="9" style="6" customWidth="1"/>
    <col min="11" max="11" width="12.83203125" style="6" customWidth="1"/>
    <col min="12" max="12" width="17.33203125" style="6" customWidth="1"/>
    <col min="13" max="13" width="18.5" style="6" customWidth="1"/>
    <col min="14" max="14" width="18.6640625" style="6" customWidth="1"/>
    <col min="15" max="15" width="5.5" style="6" customWidth="1"/>
    <col min="16" max="16" width="7.5" style="6" customWidth="1"/>
    <col min="17" max="17" width="12.1640625" style="6" customWidth="1"/>
    <col min="18" max="18" width="15.1640625" style="6" customWidth="1"/>
    <col min="19" max="19" width="11.5" style="6" customWidth="1"/>
    <col min="20" max="20" width="14.1640625" style="6" customWidth="1"/>
    <col min="21" max="21" width="12.6640625" style="6" customWidth="1"/>
    <col min="22" max="23" width="22.83203125" style="6" customWidth="1"/>
    <col min="24" max="24" width="29.6640625" style="6" customWidth="1"/>
    <col min="25" max="25" width="19.33203125" style="6" customWidth="1"/>
    <col min="26" max="26" width="23.83203125" style="6" customWidth="1"/>
    <col min="27" max="27" width="27.5" style="6" customWidth="1"/>
    <col min="28" max="28" width="29.33203125" style="6" customWidth="1"/>
    <col min="29" max="29" width="27.1640625" style="6" customWidth="1"/>
    <col min="30" max="30" width="28.33203125" style="6" customWidth="1"/>
    <col min="31" max="33" width="20.6640625" style="6" customWidth="1"/>
    <col min="34" max="34" width="27.5" style="6" customWidth="1"/>
    <col min="35" max="35" width="26.5" style="6" customWidth="1"/>
    <col min="36" max="37" width="21.6640625" style="6" customWidth="1"/>
    <col min="38" max="38" width="28.5" style="6" customWidth="1"/>
    <col min="39" max="40" width="25.33203125" customWidth="1"/>
    <col min="41" max="41" width="25" customWidth="1"/>
    <col min="42" max="42" width="27.5" customWidth="1"/>
    <col min="43" max="43" width="17" customWidth="1"/>
    <col min="44" max="44" width="19.83203125" customWidth="1"/>
    <col min="45" max="45" width="7.1640625" customWidth="1"/>
    <col min="46" max="46" width="14.5" customWidth="1"/>
    <col min="47" max="47" width="14.33203125" customWidth="1"/>
    <col min="48" max="48" width="17.5" customWidth="1"/>
    <col min="49" max="49" width="18.5" customWidth="1"/>
    <col min="50" max="50" width="20.83203125" customWidth="1"/>
    <col min="51" max="52" width="22" customWidth="1"/>
    <col min="53" max="53" width="11.33203125" customWidth="1"/>
    <col min="54" max="54" width="9" customWidth="1"/>
    <col min="55" max="55" width="6" customWidth="1"/>
    <col min="56" max="56" width="8.33203125" customWidth="1"/>
    <col min="57" max="57" width="19.1640625" customWidth="1"/>
    <col min="58" max="58" width="15" customWidth="1"/>
    <col min="59" max="59" width="18.5" customWidth="1"/>
    <col min="60" max="60" width="12.33203125" customWidth="1"/>
    <col min="61" max="61" width="16.1640625" customWidth="1"/>
    <col min="62" max="63" width="21" customWidth="1"/>
    <col min="64" max="64" width="10.33203125" customWidth="1"/>
    <col min="65" max="65" width="11.5" customWidth="1"/>
    <col min="66" max="67" width="16.5" customWidth="1"/>
    <col min="68" max="68" width="12.6640625" customWidth="1"/>
    <col min="69" max="69" width="18" customWidth="1"/>
    <col min="70" max="70" width="19.5" customWidth="1"/>
    <col min="71" max="71" width="8.5" customWidth="1"/>
    <col min="72" max="72" width="10.6640625" customWidth="1"/>
    <col min="73" max="73" width="9.5" customWidth="1"/>
    <col min="74" max="74" width="5.33203125" customWidth="1"/>
    <col min="75" max="75" width="13.5" customWidth="1"/>
    <col min="76" max="76" width="20.33203125" customWidth="1"/>
    <col min="77" max="77" width="18.1640625" customWidth="1"/>
    <col min="78" max="78" width="17.6640625" customWidth="1"/>
    <col min="79" max="79" width="17" customWidth="1"/>
    <col min="80" max="80" width="18.5" customWidth="1"/>
    <col min="81" max="81" width="18.33203125" bestFit="1" customWidth="1"/>
    <col min="82" max="82" width="17.33203125" customWidth="1"/>
    <col min="83" max="83" width="19.5" customWidth="1"/>
    <col min="84" max="84" width="18.83203125" customWidth="1"/>
    <col min="85" max="85" width="15" customWidth="1"/>
    <col min="86" max="86" width="4.5" customWidth="1"/>
    <col min="87" max="87" width="18.5" customWidth="1"/>
    <col min="88" max="88" width="7.6640625" customWidth="1"/>
    <col min="89" max="89" width="11.6640625" customWidth="1"/>
    <col min="90" max="90" width="11.83203125" customWidth="1"/>
    <col min="91" max="92" width="10.5" customWidth="1"/>
    <col min="93" max="93" width="10.83203125" customWidth="1"/>
    <col min="94" max="94" width="10.5" customWidth="1"/>
    <col min="95" max="95" width="5.83203125" customWidth="1"/>
    <col min="96" max="96" width="8" customWidth="1"/>
    <col min="97" max="97" width="9.5" customWidth="1"/>
    <col min="98" max="98" width="17.83203125" customWidth="1"/>
    <col min="99" max="99" width="16.5" customWidth="1"/>
    <col min="100" max="100" width="11.5" customWidth="1"/>
    <col min="101" max="101" width="10.5" customWidth="1"/>
    <col min="102" max="102" width="15.83203125" customWidth="1"/>
  </cols>
  <sheetData>
    <row r="1" spans="1:102" x14ac:dyDescent="0.15">
      <c r="A1" s="4" t="s">
        <v>156</v>
      </c>
      <c r="B1" s="37" t="s">
        <v>157</v>
      </c>
      <c r="C1" s="37" t="s">
        <v>17</v>
      </c>
      <c r="D1" s="37" t="s">
        <v>158</v>
      </c>
      <c r="E1" s="37" t="s">
        <v>159</v>
      </c>
      <c r="F1"/>
      <c r="G1"/>
      <c r="H1"/>
      <c r="I1" s="193" t="s">
        <v>191</v>
      </c>
      <c r="J1" s="193" t="s">
        <v>192</v>
      </c>
      <c r="K1" s="193" t="s">
        <v>193</v>
      </c>
      <c r="L1" s="193" t="s">
        <v>194</v>
      </c>
      <c r="M1" s="193" t="s">
        <v>195</v>
      </c>
      <c r="N1" s="193" t="s">
        <v>196</v>
      </c>
      <c r="O1" s="193" t="s">
        <v>197</v>
      </c>
      <c r="P1" s="193" t="s">
        <v>198</v>
      </c>
      <c r="Q1" s="193" t="s">
        <v>199</v>
      </c>
      <c r="R1" s="193" t="s">
        <v>200</v>
      </c>
      <c r="S1" s="193" t="s">
        <v>201</v>
      </c>
      <c r="T1" s="193" t="s">
        <v>202</v>
      </c>
      <c r="U1" s="193" t="s">
        <v>203</v>
      </c>
      <c r="V1" s="193" t="s">
        <v>204</v>
      </c>
      <c r="W1" s="193" t="s">
        <v>205</v>
      </c>
      <c r="X1" s="193" t="s">
        <v>206</v>
      </c>
      <c r="Y1" s="193" t="s">
        <v>207</v>
      </c>
      <c r="Z1" s="193" t="s">
        <v>208</v>
      </c>
      <c r="AA1" s="193" t="s">
        <v>209</v>
      </c>
      <c r="AB1" s="193" t="s">
        <v>210</v>
      </c>
      <c r="AC1" s="193" t="s">
        <v>211</v>
      </c>
      <c r="AD1" s="193" t="s">
        <v>212</v>
      </c>
      <c r="AE1" s="193" t="s">
        <v>213</v>
      </c>
      <c r="AF1" s="193" t="s">
        <v>214</v>
      </c>
      <c r="AG1" s="193" t="s">
        <v>215</v>
      </c>
      <c r="AH1" s="193" t="s">
        <v>216</v>
      </c>
      <c r="AI1" s="193" t="s">
        <v>217</v>
      </c>
      <c r="AJ1" s="193" t="s">
        <v>218</v>
      </c>
      <c r="AK1" s="193" t="s">
        <v>219</v>
      </c>
      <c r="AL1" s="193" t="s">
        <v>220</v>
      </c>
      <c r="AM1" s="193" t="s">
        <v>221</v>
      </c>
      <c r="AN1" s="193" t="s">
        <v>222</v>
      </c>
      <c r="AO1" s="193" t="s">
        <v>223</v>
      </c>
      <c r="AP1" s="193" t="s">
        <v>224</v>
      </c>
      <c r="AQ1" s="193" t="s">
        <v>225</v>
      </c>
      <c r="AR1" s="193" t="s">
        <v>226</v>
      </c>
      <c r="AS1" s="193" t="s">
        <v>227</v>
      </c>
      <c r="AT1" s="193" t="s">
        <v>228</v>
      </c>
      <c r="AU1" s="193" t="s">
        <v>229</v>
      </c>
      <c r="AV1" s="193" t="s">
        <v>230</v>
      </c>
      <c r="AW1" s="193" t="s">
        <v>231</v>
      </c>
      <c r="AX1" s="193" t="s">
        <v>232</v>
      </c>
      <c r="AY1" s="193" t="s">
        <v>233</v>
      </c>
      <c r="AZ1" s="193" t="s">
        <v>234</v>
      </c>
      <c r="BA1" s="193" t="s">
        <v>235</v>
      </c>
      <c r="BB1" s="193" t="s">
        <v>236</v>
      </c>
      <c r="BC1" s="193" t="s">
        <v>237</v>
      </c>
      <c r="BD1" s="193" t="s">
        <v>238</v>
      </c>
      <c r="BE1" s="193" t="s">
        <v>239</v>
      </c>
      <c r="BF1" s="193" t="s">
        <v>240</v>
      </c>
      <c r="BG1" s="193" t="s">
        <v>241</v>
      </c>
      <c r="BH1" s="193" t="s">
        <v>242</v>
      </c>
      <c r="BI1" s="193" t="s">
        <v>243</v>
      </c>
      <c r="BJ1" s="193" t="s">
        <v>244</v>
      </c>
      <c r="BK1" s="193" t="s">
        <v>245</v>
      </c>
      <c r="BL1" s="193" t="s">
        <v>246</v>
      </c>
      <c r="BM1" s="193" t="s">
        <v>247</v>
      </c>
      <c r="BN1" s="193" t="s">
        <v>248</v>
      </c>
      <c r="BO1" s="193" t="s">
        <v>249</v>
      </c>
      <c r="BP1" s="193" t="s">
        <v>250</v>
      </c>
      <c r="BQ1" s="193" t="s">
        <v>251</v>
      </c>
      <c r="BR1" s="193" t="s">
        <v>252</v>
      </c>
      <c r="BS1" s="193" t="s">
        <v>253</v>
      </c>
      <c r="BT1" s="193" t="s">
        <v>254</v>
      </c>
      <c r="BU1" s="193" t="s">
        <v>255</v>
      </c>
      <c r="BV1" s="193" t="s">
        <v>256</v>
      </c>
      <c r="BW1" s="193" t="s">
        <v>257</v>
      </c>
      <c r="BX1" s="193" t="s">
        <v>258</v>
      </c>
      <c r="BY1" s="193" t="s">
        <v>259</v>
      </c>
      <c r="BZ1" s="193" t="s">
        <v>260</v>
      </c>
      <c r="CA1" s="193" t="s">
        <v>261</v>
      </c>
      <c r="CB1" s="193" t="s">
        <v>262</v>
      </c>
      <c r="CC1" s="193" t="s">
        <v>263</v>
      </c>
      <c r="CD1" s="193" t="s">
        <v>264</v>
      </c>
      <c r="CE1" s="193" t="s">
        <v>265</v>
      </c>
      <c r="CF1" s="193" t="s">
        <v>266</v>
      </c>
      <c r="CG1" s="193" t="s">
        <v>267</v>
      </c>
      <c r="CH1" s="193" t="s">
        <v>268</v>
      </c>
      <c r="CI1" s="193" t="s">
        <v>269</v>
      </c>
      <c r="CJ1" s="193" t="s">
        <v>270</v>
      </c>
      <c r="CK1" s="193" t="s">
        <v>271</v>
      </c>
      <c r="CL1" s="193" t="s">
        <v>272</v>
      </c>
      <c r="CM1" s="193" t="s">
        <v>273</v>
      </c>
      <c r="CN1" s="193" t="s">
        <v>274</v>
      </c>
      <c r="CO1" s="193" t="s">
        <v>275</v>
      </c>
      <c r="CP1" s="193" t="s">
        <v>276</v>
      </c>
      <c r="CQ1" s="193" t="s">
        <v>277</v>
      </c>
      <c r="CR1" s="193" t="s">
        <v>278</v>
      </c>
      <c r="CS1" s="193" t="s">
        <v>279</v>
      </c>
      <c r="CT1" s="193" t="s">
        <v>280</v>
      </c>
      <c r="CU1" s="193" t="s">
        <v>281</v>
      </c>
      <c r="CV1" s="193" t="s">
        <v>282</v>
      </c>
      <c r="CW1" s="193" t="s">
        <v>283</v>
      </c>
      <c r="CX1" s="193" t="s">
        <v>284</v>
      </c>
    </row>
    <row r="2" spans="1:102" x14ac:dyDescent="0.15">
      <c r="A2" t="s">
        <v>38</v>
      </c>
      <c r="B2" s="108">
        <v>0</v>
      </c>
      <c r="C2"/>
      <c r="D2"/>
      <c r="E2"/>
      <c r="F2"/>
      <c r="G2"/>
      <c r="H2"/>
      <c r="I2"/>
      <c r="J2"/>
      <c r="K2"/>
      <c r="L2"/>
      <c r="M2"/>
      <c r="N2"/>
      <c r="O2"/>
      <c r="P2"/>
      <c r="Q2"/>
      <c r="R2"/>
      <c r="S2"/>
      <c r="T2"/>
      <c r="U2"/>
      <c r="V2"/>
      <c r="W2"/>
      <c r="X2"/>
      <c r="Y2"/>
      <c r="Z2"/>
      <c r="AA2"/>
      <c r="AB2"/>
      <c r="AC2"/>
      <c r="AD2"/>
      <c r="AE2"/>
      <c r="AF2"/>
      <c r="AG2"/>
      <c r="AH2"/>
      <c r="AI2"/>
      <c r="AJ2"/>
      <c r="AK2"/>
      <c r="AL2"/>
    </row>
    <row r="3" spans="1:102" x14ac:dyDescent="0.15">
      <c r="A3" t="s">
        <v>40</v>
      </c>
      <c r="B3" s="108">
        <v>0</v>
      </c>
      <c r="C3"/>
      <c r="D3"/>
      <c r="E3"/>
      <c r="F3"/>
      <c r="G3"/>
      <c r="H3"/>
      <c r="I3"/>
      <c r="J3"/>
      <c r="K3"/>
      <c r="L3"/>
      <c r="M3"/>
      <c r="N3"/>
      <c r="O3"/>
      <c r="P3"/>
      <c r="Q3"/>
      <c r="R3"/>
      <c r="S3"/>
      <c r="T3"/>
      <c r="U3"/>
      <c r="V3"/>
      <c r="W3"/>
      <c r="X3"/>
      <c r="Y3"/>
      <c r="Z3"/>
      <c r="AA3"/>
      <c r="AB3"/>
      <c r="AC3"/>
      <c r="AD3"/>
      <c r="AE3"/>
      <c r="AF3"/>
      <c r="AG3"/>
      <c r="AH3"/>
      <c r="AI3"/>
      <c r="AJ3"/>
      <c r="AK3"/>
      <c r="AL3"/>
    </row>
    <row r="4" spans="1:102" x14ac:dyDescent="0.15">
      <c r="A4" t="s">
        <v>41</v>
      </c>
      <c r="B4" s="108">
        <v>0</v>
      </c>
      <c r="C4"/>
      <c r="D4"/>
      <c r="E4"/>
      <c r="F4"/>
      <c r="G4"/>
      <c r="H4"/>
      <c r="I4"/>
      <c r="J4"/>
      <c r="K4"/>
      <c r="L4"/>
      <c r="M4"/>
      <c r="N4"/>
      <c r="O4"/>
      <c r="P4"/>
      <c r="Q4"/>
      <c r="R4"/>
      <c r="S4"/>
      <c r="T4"/>
      <c r="U4"/>
      <c r="V4"/>
      <c r="W4"/>
      <c r="X4"/>
      <c r="Y4"/>
      <c r="Z4"/>
      <c r="AA4"/>
      <c r="AB4"/>
      <c r="AC4"/>
      <c r="AD4"/>
      <c r="AE4"/>
      <c r="AF4"/>
      <c r="AG4"/>
      <c r="AH4"/>
      <c r="AI4"/>
      <c r="AJ4"/>
      <c r="AK4"/>
      <c r="AL4"/>
    </row>
    <row r="5" spans="1:102" x14ac:dyDescent="0.15">
      <c r="A5" s="192" t="s">
        <v>191</v>
      </c>
      <c r="B5" s="108">
        <v>0</v>
      </c>
      <c r="C5"/>
      <c r="D5"/>
      <c r="E5"/>
      <c r="F5"/>
      <c r="G5"/>
      <c r="H5"/>
      <c r="I5"/>
      <c r="J5"/>
      <c r="K5"/>
      <c r="L5"/>
      <c r="M5"/>
      <c r="N5"/>
      <c r="O5"/>
      <c r="P5"/>
      <c r="Q5"/>
      <c r="R5"/>
      <c r="S5"/>
      <c r="T5"/>
      <c r="U5"/>
      <c r="V5"/>
      <c r="W5"/>
      <c r="X5"/>
      <c r="Y5"/>
      <c r="Z5"/>
      <c r="AA5"/>
      <c r="AB5"/>
      <c r="AC5"/>
      <c r="AD5"/>
      <c r="AE5"/>
      <c r="AF5"/>
      <c r="AG5"/>
      <c r="AH5"/>
      <c r="AI5"/>
      <c r="AJ5"/>
      <c r="AK5"/>
      <c r="AL5"/>
    </row>
    <row r="6" spans="1:102" x14ac:dyDescent="0.15">
      <c r="A6" s="192" t="s">
        <v>192</v>
      </c>
      <c r="B6" s="108">
        <v>0</v>
      </c>
      <c r="C6"/>
      <c r="D6"/>
      <c r="E6"/>
      <c r="F6"/>
      <c r="G6"/>
      <c r="H6"/>
      <c r="I6"/>
      <c r="J6"/>
      <c r="K6"/>
      <c r="L6"/>
      <c r="M6"/>
      <c r="N6"/>
      <c r="O6"/>
      <c r="P6"/>
      <c r="Q6"/>
      <c r="R6"/>
      <c r="S6"/>
      <c r="T6"/>
      <c r="U6"/>
      <c r="V6"/>
      <c r="W6"/>
      <c r="X6"/>
      <c r="Y6"/>
      <c r="Z6"/>
      <c r="AA6"/>
      <c r="AB6"/>
      <c r="AC6"/>
      <c r="AD6"/>
      <c r="AE6"/>
      <c r="AF6"/>
      <c r="AG6"/>
      <c r="AH6"/>
      <c r="AI6"/>
      <c r="AJ6"/>
      <c r="AK6"/>
      <c r="AL6"/>
    </row>
    <row r="7" spans="1:102" x14ac:dyDescent="0.15">
      <c r="A7" s="192" t="s">
        <v>193</v>
      </c>
      <c r="B7" s="108">
        <v>0</v>
      </c>
      <c r="C7"/>
      <c r="D7"/>
      <c r="E7"/>
      <c r="F7"/>
      <c r="G7"/>
      <c r="H7"/>
      <c r="I7"/>
      <c r="J7"/>
      <c r="K7"/>
      <c r="L7"/>
      <c r="M7"/>
      <c r="N7"/>
      <c r="O7"/>
      <c r="P7"/>
      <c r="Q7"/>
      <c r="R7"/>
      <c r="S7"/>
      <c r="T7"/>
      <c r="U7"/>
      <c r="V7"/>
      <c r="W7"/>
      <c r="X7"/>
      <c r="Y7"/>
      <c r="Z7"/>
      <c r="AA7"/>
      <c r="AB7"/>
      <c r="AC7"/>
      <c r="AD7"/>
      <c r="AE7"/>
      <c r="AF7"/>
      <c r="AG7"/>
      <c r="AH7"/>
      <c r="AI7"/>
      <c r="AJ7"/>
      <c r="AK7"/>
      <c r="AL7"/>
    </row>
    <row r="8" spans="1:102" x14ac:dyDescent="0.15">
      <c r="A8" s="192" t="s">
        <v>194</v>
      </c>
      <c r="B8" s="108">
        <v>0</v>
      </c>
      <c r="C8"/>
      <c r="D8"/>
      <c r="E8"/>
      <c r="F8"/>
      <c r="G8"/>
      <c r="H8"/>
      <c r="I8"/>
      <c r="J8"/>
      <c r="K8"/>
      <c r="L8"/>
      <c r="M8"/>
      <c r="N8"/>
      <c r="O8"/>
      <c r="P8"/>
      <c r="Q8"/>
      <c r="R8"/>
      <c r="S8"/>
      <c r="T8"/>
      <c r="U8"/>
      <c r="V8"/>
      <c r="W8"/>
      <c r="X8"/>
      <c r="Y8"/>
      <c r="Z8"/>
      <c r="AA8"/>
      <c r="AB8"/>
      <c r="AC8"/>
      <c r="AD8"/>
      <c r="AE8"/>
      <c r="AF8"/>
      <c r="AG8"/>
      <c r="AH8"/>
      <c r="AI8"/>
      <c r="AJ8"/>
      <c r="AK8"/>
      <c r="AL8"/>
    </row>
    <row r="9" spans="1:102" x14ac:dyDescent="0.15">
      <c r="A9" s="192" t="s">
        <v>195</v>
      </c>
      <c r="B9" s="108">
        <v>0</v>
      </c>
      <c r="C9"/>
      <c r="D9"/>
      <c r="E9"/>
      <c r="F9"/>
      <c r="G9"/>
      <c r="H9"/>
      <c r="I9"/>
      <c r="J9"/>
      <c r="K9"/>
      <c r="L9"/>
      <c r="M9"/>
      <c r="N9"/>
      <c r="O9"/>
      <c r="P9"/>
      <c r="Q9"/>
      <c r="R9"/>
      <c r="S9"/>
      <c r="T9"/>
      <c r="U9"/>
      <c r="V9"/>
      <c r="W9"/>
      <c r="X9"/>
      <c r="Y9"/>
      <c r="Z9"/>
      <c r="AA9"/>
      <c r="AB9"/>
      <c r="AC9"/>
      <c r="AD9"/>
      <c r="AE9"/>
      <c r="AF9"/>
      <c r="AG9"/>
      <c r="AH9"/>
      <c r="AI9"/>
      <c r="AJ9"/>
      <c r="AK9"/>
      <c r="AL9"/>
    </row>
    <row r="10" spans="1:102" x14ac:dyDescent="0.15">
      <c r="A10" s="192" t="s">
        <v>196</v>
      </c>
      <c r="B10" s="108">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102" x14ac:dyDescent="0.15">
      <c r="A11" s="192" t="s">
        <v>197</v>
      </c>
      <c r="B11" s="108">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102" x14ac:dyDescent="0.15">
      <c r="A12" s="192" t="s">
        <v>198</v>
      </c>
      <c r="B12" s="108">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102" x14ac:dyDescent="0.15">
      <c r="A13" s="192" t="s">
        <v>199</v>
      </c>
      <c r="B13" s="108">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102" x14ac:dyDescent="0.15">
      <c r="A14" s="192" t="s">
        <v>200</v>
      </c>
      <c r="B14" s="108">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102" x14ac:dyDescent="0.15">
      <c r="A15" s="192" t="s">
        <v>201</v>
      </c>
      <c r="B15" s="108">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102" x14ac:dyDescent="0.15">
      <c r="A16" s="192" t="s">
        <v>202</v>
      </c>
      <c r="B16" s="108">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192" t="s">
        <v>203</v>
      </c>
      <c r="B17" s="108">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192" t="s">
        <v>204</v>
      </c>
      <c r="B18" s="108">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192" t="s">
        <v>205</v>
      </c>
      <c r="B19" s="108">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192" t="s">
        <v>206</v>
      </c>
      <c r="B20" s="108">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192" t="s">
        <v>207</v>
      </c>
      <c r="B21" s="108">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192" t="s">
        <v>208</v>
      </c>
      <c r="B22" s="108">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192" t="s">
        <v>209</v>
      </c>
      <c r="B23" s="108">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192" t="s">
        <v>210</v>
      </c>
      <c r="B24" s="108">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192" t="s">
        <v>211</v>
      </c>
      <c r="B25" s="108">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192" t="s">
        <v>212</v>
      </c>
      <c r="B26" s="108">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192" t="s">
        <v>213</v>
      </c>
      <c r="B27" s="108">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192" t="s">
        <v>214</v>
      </c>
      <c r="B28" s="108">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192" t="s">
        <v>215</v>
      </c>
      <c r="B29" s="108">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192" t="s">
        <v>216</v>
      </c>
      <c r="B30" s="108">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192" t="s">
        <v>217</v>
      </c>
      <c r="B31" s="108">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192" t="s">
        <v>218</v>
      </c>
      <c r="B32" s="108">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192" t="s">
        <v>219</v>
      </c>
      <c r="B33" s="108">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192" t="s">
        <v>220</v>
      </c>
      <c r="B34" s="108">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192" t="s">
        <v>221</v>
      </c>
      <c r="B35" s="108">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192" t="s">
        <v>222</v>
      </c>
      <c r="B36" s="108">
        <v>0</v>
      </c>
      <c r="C36"/>
      <c r="D36"/>
    </row>
    <row r="37" spans="1:38" ht="15" customHeight="1" x14ac:dyDescent="0.15">
      <c r="A37" s="192" t="s">
        <v>223</v>
      </c>
      <c r="B37" s="108">
        <v>0</v>
      </c>
      <c r="C37"/>
      <c r="D37"/>
    </row>
    <row r="38" spans="1:38" ht="15" customHeight="1" x14ac:dyDescent="0.15">
      <c r="A38" s="192" t="s">
        <v>224</v>
      </c>
      <c r="B38" s="108">
        <v>0</v>
      </c>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A39" s="192" t="s">
        <v>225</v>
      </c>
      <c r="B39" s="108">
        <v>0</v>
      </c>
      <c r="C39"/>
      <c r="D39"/>
    </row>
    <row r="40" spans="1:38" ht="15" customHeight="1" x14ac:dyDescent="0.15">
      <c r="A40" s="192" t="s">
        <v>226</v>
      </c>
      <c r="B40" s="108">
        <v>0</v>
      </c>
      <c r="C40"/>
      <c r="D40"/>
    </row>
    <row r="41" spans="1:38" ht="15" customHeight="1" x14ac:dyDescent="0.15">
      <c r="A41" s="192" t="s">
        <v>227</v>
      </c>
      <c r="B41" s="108">
        <v>0</v>
      </c>
      <c r="C41"/>
      <c r="D41"/>
    </row>
    <row r="42" spans="1:38" ht="15" customHeight="1" x14ac:dyDescent="0.15">
      <c r="A42" s="192" t="s">
        <v>228</v>
      </c>
      <c r="B42" s="108">
        <v>0</v>
      </c>
    </row>
    <row r="43" spans="1:38" ht="15" customHeight="1" x14ac:dyDescent="0.15">
      <c r="A43" s="192" t="s">
        <v>229</v>
      </c>
      <c r="B43" s="108">
        <v>0</v>
      </c>
    </row>
    <row r="44" spans="1:38" ht="15" customHeight="1" x14ac:dyDescent="0.15">
      <c r="A44" s="192" t="s">
        <v>230</v>
      </c>
      <c r="B44" s="108">
        <v>0</v>
      </c>
    </row>
    <row r="45" spans="1:38" ht="15" customHeight="1" x14ac:dyDescent="0.15">
      <c r="A45" s="192" t="s">
        <v>231</v>
      </c>
      <c r="B45" s="108">
        <v>0</v>
      </c>
    </row>
    <row r="46" spans="1:38" ht="15" customHeight="1" x14ac:dyDescent="0.15">
      <c r="A46" s="192" t="s">
        <v>232</v>
      </c>
      <c r="B46" s="108">
        <v>0</v>
      </c>
    </row>
    <row r="47" spans="1:38" ht="15" customHeight="1" x14ac:dyDescent="0.15">
      <c r="A47" s="192" t="s">
        <v>233</v>
      </c>
      <c r="B47" s="108">
        <v>0</v>
      </c>
    </row>
    <row r="48" spans="1:38" ht="15" customHeight="1" x14ac:dyDescent="0.15">
      <c r="A48" s="192" t="s">
        <v>234</v>
      </c>
      <c r="B48" s="108">
        <v>0</v>
      </c>
    </row>
    <row r="49" spans="1:38" ht="15" customHeight="1" x14ac:dyDescent="0.15">
      <c r="A49" s="192" t="s">
        <v>235</v>
      </c>
      <c r="B49" s="108">
        <v>0</v>
      </c>
    </row>
    <row r="50" spans="1:38" ht="15" customHeight="1" x14ac:dyDescent="0.15">
      <c r="A50" s="192" t="s">
        <v>236</v>
      </c>
      <c r="B50" s="108">
        <v>0</v>
      </c>
    </row>
    <row r="51" spans="1:38" ht="15" customHeight="1" x14ac:dyDescent="0.15">
      <c r="A51" s="192" t="s">
        <v>237</v>
      </c>
      <c r="B51" s="108">
        <v>0</v>
      </c>
    </row>
    <row r="52" spans="1:38" ht="15" customHeight="1" x14ac:dyDescent="0.15">
      <c r="A52" s="192" t="s">
        <v>238</v>
      </c>
      <c r="B52" s="108">
        <v>0</v>
      </c>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ht="15" customHeight="1" x14ac:dyDescent="0.15">
      <c r="A53" s="192" t="s">
        <v>239</v>
      </c>
      <c r="B53" s="108">
        <v>0</v>
      </c>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ht="15" customHeight="1" x14ac:dyDescent="0.15">
      <c r="A54" s="192" t="s">
        <v>240</v>
      </c>
      <c r="B54" s="108">
        <v>0</v>
      </c>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ht="15" customHeight="1" x14ac:dyDescent="0.15">
      <c r="A55" s="192" t="s">
        <v>241</v>
      </c>
      <c r="B55" s="108">
        <v>0</v>
      </c>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ht="15" customHeight="1" x14ac:dyDescent="0.15">
      <c r="A56" s="192" t="s">
        <v>242</v>
      </c>
      <c r="B56" s="108">
        <v>0</v>
      </c>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ht="15" customHeight="1" x14ac:dyDescent="0.15">
      <c r="A57" s="192" t="s">
        <v>243</v>
      </c>
      <c r="B57" s="108">
        <v>0</v>
      </c>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ht="15" customHeight="1" x14ac:dyDescent="0.15">
      <c r="A58" s="192" t="s">
        <v>244</v>
      </c>
      <c r="B58" s="108">
        <v>0</v>
      </c>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ht="15" customHeight="1" x14ac:dyDescent="0.15">
      <c r="A59" s="192" t="s">
        <v>245</v>
      </c>
      <c r="B59" s="108">
        <v>0</v>
      </c>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ht="15" customHeight="1" x14ac:dyDescent="0.15">
      <c r="A60" s="192" t="s">
        <v>246</v>
      </c>
      <c r="B60" s="108">
        <v>0</v>
      </c>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ht="15" customHeight="1" x14ac:dyDescent="0.15">
      <c r="A61" s="192" t="s">
        <v>247</v>
      </c>
      <c r="B61" s="108">
        <v>0</v>
      </c>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ht="15" customHeight="1" x14ac:dyDescent="0.15">
      <c r="A62" s="192" t="s">
        <v>248</v>
      </c>
      <c r="B62" s="108">
        <v>0</v>
      </c>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ht="15" customHeight="1" x14ac:dyDescent="0.15">
      <c r="A63" s="192" t="s">
        <v>249</v>
      </c>
      <c r="B63" s="108">
        <v>0</v>
      </c>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ht="15" customHeight="1" x14ac:dyDescent="0.15">
      <c r="A64" s="192" t="s">
        <v>250</v>
      </c>
      <c r="B64" s="108">
        <v>0</v>
      </c>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1:38" ht="15" customHeight="1" x14ac:dyDescent="0.15">
      <c r="A65" s="192" t="s">
        <v>251</v>
      </c>
      <c r="B65" s="108">
        <v>0</v>
      </c>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1:38" ht="15" customHeight="1" x14ac:dyDescent="0.15">
      <c r="A66" s="192" t="s">
        <v>252</v>
      </c>
      <c r="B66" s="108">
        <v>0</v>
      </c>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1:38" ht="15" customHeight="1" x14ac:dyDescent="0.15">
      <c r="A67" s="192" t="s">
        <v>253</v>
      </c>
      <c r="B67" s="108">
        <v>0</v>
      </c>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1:38" ht="15" customHeight="1" x14ac:dyDescent="0.15">
      <c r="A68" s="192" t="s">
        <v>254</v>
      </c>
      <c r="B68" s="108">
        <v>0</v>
      </c>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1:38" ht="15" customHeight="1" x14ac:dyDescent="0.15">
      <c r="A69" s="192" t="s">
        <v>255</v>
      </c>
      <c r="B69" s="108">
        <v>0</v>
      </c>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1:38" ht="15" customHeight="1" x14ac:dyDescent="0.15">
      <c r="A70" s="192" t="s">
        <v>256</v>
      </c>
      <c r="B70" s="108">
        <v>0</v>
      </c>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1:38" ht="15" customHeight="1" x14ac:dyDescent="0.15">
      <c r="A71" s="192" t="s">
        <v>257</v>
      </c>
      <c r="B71" s="108">
        <v>0</v>
      </c>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1:38" ht="15" customHeight="1" x14ac:dyDescent="0.15">
      <c r="A72" s="192" t="s">
        <v>258</v>
      </c>
      <c r="B72" s="108">
        <v>0</v>
      </c>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1:38" ht="15" customHeight="1" x14ac:dyDescent="0.15">
      <c r="A73" s="192" t="s">
        <v>259</v>
      </c>
      <c r="B73" s="108">
        <v>0</v>
      </c>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1:38" ht="15" customHeight="1" x14ac:dyDescent="0.15">
      <c r="A74" s="192" t="s">
        <v>260</v>
      </c>
      <c r="B74" s="108">
        <v>0</v>
      </c>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1:38" ht="15" customHeight="1" x14ac:dyDescent="0.15">
      <c r="A75" s="192" t="s">
        <v>261</v>
      </c>
      <c r="B75" s="108">
        <v>0</v>
      </c>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1:38" ht="15" customHeight="1" x14ac:dyDescent="0.15">
      <c r="A76" s="192" t="s">
        <v>262</v>
      </c>
      <c r="B76" s="108">
        <v>0</v>
      </c>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1:38" ht="15" customHeight="1" x14ac:dyDescent="0.15">
      <c r="A77" s="192" t="s">
        <v>263</v>
      </c>
      <c r="B77" s="108">
        <v>0</v>
      </c>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1:38" ht="15" customHeight="1" x14ac:dyDescent="0.15">
      <c r="A78" s="192" t="s">
        <v>264</v>
      </c>
      <c r="B78" s="108">
        <v>0</v>
      </c>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1:38" ht="15" customHeight="1" x14ac:dyDescent="0.15">
      <c r="A79" s="192" t="s">
        <v>265</v>
      </c>
      <c r="B79" s="108">
        <v>0</v>
      </c>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1:38" ht="15" customHeight="1" x14ac:dyDescent="0.15">
      <c r="A80" s="192" t="s">
        <v>266</v>
      </c>
      <c r="B80" s="108">
        <v>0</v>
      </c>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1:38" ht="15" customHeight="1" x14ac:dyDescent="0.15">
      <c r="A81" s="192" t="s">
        <v>267</v>
      </c>
      <c r="B81" s="108">
        <v>0</v>
      </c>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1:38" ht="15" customHeight="1" x14ac:dyDescent="0.15">
      <c r="A82" s="192" t="s">
        <v>268</v>
      </c>
      <c r="B82" s="108">
        <v>0</v>
      </c>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1:38" ht="15" customHeight="1" x14ac:dyDescent="0.15">
      <c r="A83" s="192" t="s">
        <v>269</v>
      </c>
      <c r="B83" s="108">
        <v>0</v>
      </c>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1:38" ht="15" customHeight="1" x14ac:dyDescent="0.15">
      <c r="A84" s="192" t="s">
        <v>270</v>
      </c>
      <c r="B84" s="108">
        <v>0</v>
      </c>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1:38" ht="15" customHeight="1" x14ac:dyDescent="0.15">
      <c r="A85" s="192" t="s">
        <v>271</v>
      </c>
      <c r="B85" s="108">
        <v>0</v>
      </c>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1:38" ht="15" customHeight="1" x14ac:dyDescent="0.15">
      <c r="A86" s="192" t="s">
        <v>272</v>
      </c>
      <c r="B86" s="108">
        <v>0</v>
      </c>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1:38" ht="15" customHeight="1" x14ac:dyDescent="0.15">
      <c r="A87" s="192" t="s">
        <v>273</v>
      </c>
      <c r="B87" s="108">
        <v>0</v>
      </c>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1:38" ht="15" customHeight="1" x14ac:dyDescent="0.15">
      <c r="A88" s="192" t="s">
        <v>274</v>
      </c>
      <c r="B88" s="108">
        <v>0</v>
      </c>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1:38" ht="15" customHeight="1" x14ac:dyDescent="0.15">
      <c r="A89" s="192" t="s">
        <v>275</v>
      </c>
      <c r="B89" s="108">
        <v>0</v>
      </c>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1:38" ht="15" customHeight="1" x14ac:dyDescent="0.15">
      <c r="A90" s="192" t="s">
        <v>276</v>
      </c>
      <c r="B90" s="108">
        <v>0</v>
      </c>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1:38" ht="15" customHeight="1" x14ac:dyDescent="0.15">
      <c r="A91" s="192" t="s">
        <v>277</v>
      </c>
      <c r="B91" s="108">
        <v>0</v>
      </c>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1:38" ht="15" customHeight="1" x14ac:dyDescent="0.15">
      <c r="A92" s="192" t="s">
        <v>278</v>
      </c>
      <c r="B92" s="108">
        <v>0</v>
      </c>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1:38" ht="15" customHeight="1" x14ac:dyDescent="0.15">
      <c r="A93" s="192" t="s">
        <v>279</v>
      </c>
      <c r="B93" s="108">
        <v>0</v>
      </c>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1:38" ht="15" customHeight="1" x14ac:dyDescent="0.15">
      <c r="A94" s="192" t="s">
        <v>280</v>
      </c>
      <c r="B94" s="108">
        <v>0</v>
      </c>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1:38" ht="15" customHeight="1" x14ac:dyDescent="0.15">
      <c r="A95" s="192" t="s">
        <v>281</v>
      </c>
      <c r="B95" s="108">
        <v>0</v>
      </c>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1:38" ht="15" customHeight="1" x14ac:dyDescent="0.15">
      <c r="A96" s="192" t="s">
        <v>282</v>
      </c>
      <c r="B96" s="108">
        <v>0</v>
      </c>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1:38" ht="15" customHeight="1" x14ac:dyDescent="0.15">
      <c r="A97" s="192" t="s">
        <v>283</v>
      </c>
      <c r="B97" s="108">
        <v>0</v>
      </c>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1:38" ht="15" customHeight="1" x14ac:dyDescent="0.15">
      <c r="A98" s="192" t="s">
        <v>284</v>
      </c>
      <c r="B98" s="108">
        <v>0</v>
      </c>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1: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1: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1: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1: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1: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1: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1: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1: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1: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1: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1: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1: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1: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1: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2023-08-14T23:37:49Z</dcterms:modified>
</cp:coreProperties>
</file>