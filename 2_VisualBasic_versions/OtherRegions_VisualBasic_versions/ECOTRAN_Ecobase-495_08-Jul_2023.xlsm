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OtherRegions/OtherRegions_ECOTRAN_K-path_versions/"/>
    </mc:Choice>
  </mc:AlternateContent>
  <xr:revisionPtr revIDLastSave="0" documentId="13_ncr:1_{12B54956-D61C-1A4C-8F1A-1B46E52A5508}" xr6:coauthVersionLast="45" xr6:coauthVersionMax="45" xr10:uidLastSave="{00000000-0000-0000-0000-000000000000}"/>
  <bookViews>
    <workbookView xWindow="0" yWindow="460" windowWidth="25600" windowHeight="14240" tabRatio="728" activeTab="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Main!$C$2:$N$47</definedName>
    <definedName name="matDetritus">Detritus!$C$2:$F$47</definedName>
    <definedName name="matDiet">Diets!$B$2:$AM$43</definedName>
    <definedName name="matDiscards">Discards!$C$2:$G$42</definedName>
    <definedName name="matFishery">Fishing!$C$2:$G$42</definedName>
    <definedName name="matFishing">Fishing!#REF!</definedName>
    <definedName name="matMort">Mortalities!$A$1:$AW$42</definedName>
    <definedName name="matOut">MainOutputs!$A$2:$I$47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2" i="1"/>
  <c r="E42" i="86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<sst xmlns="http://schemas.openxmlformats.org/spreadsheetml/2006/main" count="1215" uniqueCount="247">
  <si>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</si>
  <si>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</si>
  <si>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</si>
  <si>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</si>
  <si>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</si>
  <si>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</si>
  <si>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</si>
  <si>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</si>
  <si>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</si>
  <si>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</si>
  <si>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</si>
  <si>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</si>
  <si>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</si>
  <si>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</si>
  <si>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</si>
  <si>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</si>
  <si>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</si>
  <si>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</si>
  <si>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</si>
  <si>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</si>
  <si>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</si>
  <si>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</si>
  <si>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</si>
  <si>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</si>
  <si>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</si>
  <si>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</si>
  <si>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</si>
  <si>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</si>
  <si>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</si>
  <si>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</si>
  <si>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</si>
  <si>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</si>
  <si>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</si>
  <si>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</si>
  <si>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</si>
  <si>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</si>
  <si>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</si>
  <si>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</si>
  <si>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</si>
  <si>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</si>
  <si>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</si>
  <si>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</si>
  <si>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</si>
  <si>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</si>
  <si>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</si>
  <si>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</si>
  <si>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</si>
  <si>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</si>
  <si>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</si>
  <si>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</si>
  <si>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</si>
  <si>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</si>
  <si>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</si>
  <si>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</si>
  <si>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</si>
  <si>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</si>
  <si>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</si>
  <si>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</si>
  <si>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</si>
  <si>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</si>
  <si>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</si>
  <si>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</si>
  <si>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</si>
  <si>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</si>
  <si>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</si>
  <si>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</si>
  <si>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</si>
  <si>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</si>
  <si>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</si>
  <si>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</si>
  <si>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</si>
  <si>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</si>
  <si>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</si>
  <si>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</si>
  <si>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</si>
  <si>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</si>
  <si>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</si>
  <si>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</si>
  <si>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</si>
  <si>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</si>
  <si>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</si>
  <si>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</si>
  <si>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</si>
  <si>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</si>
  <si>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</si>
  <si>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</si>
  <si>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</si>
  <si>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</si>
  <si>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</si>
  <si>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</si>
  <si>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</si>
  <si>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</si>
  <si>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</si>
  <si>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</si>
  <si>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</si>
  <si>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</si>
  <si>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</si>
  <si>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</si>
  <si>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</si>
  <si>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</si>
  <si>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</si>
  <si>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</si>
  <si>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</si>
  <si>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</si>
  <si>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</si>
  <si>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</si>
  <si>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</si>
  <si>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</si>
  <si>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</si>
  <si>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</si>
  <si>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</si>
  <si>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</si>
  <si>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</si>
  <si>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</si>
  <si>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</si>
  <si>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</si>
  <si>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</si>
  <si>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</si>
  <si>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</si>
  <si>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</si>
  <si>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</si>
  <si>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</si>
  <si>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</si>
  <si>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</si>
  <si>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</si>
  <si>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</si>
  <si>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</si>
  <si>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</si>
  <si>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</si>
  <si>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</si>
  <si>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</si>
  <si>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</si>
  <si>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</si>
  <si>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</si>
  <si>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</si>
  <si>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</si>
  <si>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</si>
  <si>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</si>
  <si>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</si>
  <si>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</si>
  <si>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</si>
  <si>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</si>
  <si>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</si>
  <si>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</si>
  <si>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</si>
  <si>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</si>
  <si>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</si>
  <si>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</si>
  <si>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</si>
  <si>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</si>
  <si>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</si>
  <si>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</si>
  <si>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</si>
  <si>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</si>
  <si>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</si>
  <si>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</si>
  <si>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</si>
  <si>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</si>
  <si>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</si>
  <si>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</si>
  <si>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</si>
  <si>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</si>
  <si>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</si>
  <si>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</si>
  <si>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</si>
  <si>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</si>
  <si>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</si>
  <si>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</si>
  <si>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</si>
  <si>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</si>
  <si>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</si>
  <si>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</si>
  <si>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</si>
  <si>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</si>
  <si>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</si>
  <si>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</si>
  <si>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</si>
  <si>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</si>
  <si>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</si>
  <si>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</si>
  <si>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</si>
  <si>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</si>
  <si>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</si>
  <si>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</si>
  <si>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</si>
  <si>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North Aegean</t>
  </si>
  <si>
    <t>Greece,Turkey</t>
  </si>
  <si>
    <t>BOX(23.7750309571881 40.1480530378696,26.0011225197038 40.9065398807429)</t>
  </si>
  <si>
    <t>continental shelf</t>
  </si>
  <si>
    <t>WetWeight</t>
  </si>
  <si>
    <t>No description</t>
  </si>
  <si>
    <t>Tsagarakis K.,Coll M.,Giannoulaki M.,Somarakis S.,Papaconstantinou C.,Machias A.(2010). Food-web traits of the North Aegean Sea ecosystem (Eastern Mediterranean) and comparison with other Mediterranean ecosystems Estuarine, Coastal and Shelf Science. pp 233-248</t>
  </si>
  <si>
    <t>phyto</t>
  </si>
  <si>
    <t>micro-</t>
  </si>
  <si>
    <t>mesozooplankton</t>
  </si>
  <si>
    <t>Macrozooplankton</t>
  </si>
  <si>
    <t>Jellyfish+ mnemiopsis</t>
  </si>
  <si>
    <t>Suprabenthos</t>
  </si>
  <si>
    <t>Polychaetes</t>
  </si>
  <si>
    <t>Shrimps</t>
  </si>
  <si>
    <t>Crabs</t>
  </si>
  <si>
    <t>Norway lobster</t>
  </si>
  <si>
    <t>Benthic invert. (no crustacea)</t>
  </si>
  <si>
    <t>Benthic cephalopods</t>
  </si>
  <si>
    <t>Benthopelagic cephalopods</t>
  </si>
  <si>
    <t>Mullets</t>
  </si>
  <si>
    <t>Anglerfish</t>
  </si>
  <si>
    <t>Flatfishes</t>
  </si>
  <si>
    <t>Other gadiforms</t>
  </si>
  <si>
    <t>Hake</t>
  </si>
  <si>
    <t>DemeFish1</t>
  </si>
  <si>
    <t>DemeFish2</t>
  </si>
  <si>
    <t>DemeFish3</t>
  </si>
  <si>
    <t>DemeFish4</t>
  </si>
  <si>
    <t>BepeFish</t>
  </si>
  <si>
    <t>picarels and bogue</t>
  </si>
  <si>
    <t>sharks</t>
  </si>
  <si>
    <t>rays &amp;amp; skates</t>
  </si>
  <si>
    <t>Juv anchovy</t>
  </si>
  <si>
    <t>Adult anchovy</t>
  </si>
  <si>
    <t>Juv sardine</t>
  </si>
  <si>
    <t>Adult sardine</t>
  </si>
  <si>
    <t>Horse mackerel</t>
  </si>
  <si>
    <t>Mackerel</t>
  </si>
  <si>
    <t>Other Small pelagic fishes</t>
  </si>
  <si>
    <t>Medium pelagic fish</t>
  </si>
  <si>
    <t>Large pelagic fishes</t>
  </si>
  <si>
    <t>Loggerhead turtle</t>
  </si>
  <si>
    <t>Sea birds</t>
  </si>
  <si>
    <t>dolphins</t>
  </si>
  <si>
    <t>Detritus</t>
  </si>
  <si>
    <t>Discards</t>
  </si>
  <si>
    <t>detritus_TerminalBenthic</t>
  </si>
  <si>
    <t>Trawls</t>
  </si>
  <si>
    <t>Purse seines</t>
  </si>
  <si>
    <t>Longlines + Troll baits</t>
  </si>
  <si>
    <t>Nets</t>
  </si>
  <si>
    <t>Traps</t>
  </si>
  <si>
    <t>Import</t>
  </si>
  <si>
    <t>export</t>
  </si>
  <si>
    <t>sum</t>
  </si>
  <si>
    <t>TOTAL</t>
  </si>
  <si>
    <t>F Trawls</t>
  </si>
  <si>
    <t>F Purse seines</t>
  </si>
  <si>
    <t>F Longlines + Troll baits</t>
  </si>
  <si>
    <t>F Nets</t>
  </si>
  <si>
    <t>F Traps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</si>
</sst>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81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B3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FFC6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CEFF00"/>
        <bgColor indexed="64"/>
      </patternFill>
    </fill>
    <fill>
      <patternFill patternType="solid">
        <fgColor rgb="FFF6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CA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EAFF00"/>
        <bgColor indexed="64"/>
      </patternFill>
    </fill>
    <fill>
      <patternFill patternType="solid">
        <fgColor rgb="FFC4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FD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04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41" borderId="0" xfId="0" applyFill="1"/>
    <xf numFmtId="0" fontId="0" fillId="0" borderId="0" xfId="0" applyFont="1" applyFill="1" applyAlignment="1">
      <alignment horizontal="center"/>
    </xf>
    <xf numFmtId="0" fontId="0" fillId="42" borderId="0" xfId="0" applyFill="1"/>
    <xf numFmtId="0" fontId="0" fillId="43" borderId="0" xfId="0" applyFill="1"/>
    <xf numFmtId="0" fontId="0" fillId="44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9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8" fillId="54" borderId="0" xfId="0" applyFont="1" applyFill="1" applyAlignment="1">
      <alignment horizontal="center"/>
    </xf>
    <xf numFmtId="49" fontId="0" fillId="0" borderId="32" xfId="0" applyNumberFormat="1" applyBorder="1" applyAlignment="1">
      <alignment horizontal="center"/>
    </xf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28.8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50" t="s">
        <v>171</v>
      </c>
      <c r="C53" s="113">
        <v>495</v>
      </c>
      <c r="D53" s="113"/>
    </row>
    <row r="54" spans="2:4" x14ac:dyDescent="0.15">
      <c r="B54" s="150" t="s">
        <v>172</v>
      </c>
      <c r="C54" s="150" t="s">
        <v>185</v>
      </c>
      <c r="D54" s="113"/>
    </row>
    <row r="55" spans="2:4" x14ac:dyDescent="0.15">
      <c r="B55" s="150" t="s">
        <v>173</v>
      </c>
      <c r="C55" s="150" t="s">
        <v>186</v>
      </c>
      <c r="D55" s="113"/>
    </row>
    <row r="56" spans="2:4" x14ac:dyDescent="0.15">
      <c r="B56" s="150" t="s">
        <v>174</v>
      </c>
      <c r="C56" s="113">
        <v>8374</v>
      </c>
      <c r="D56" s="113"/>
    </row>
    <row r="57" spans="2:4" x14ac:dyDescent="0.15">
      <c r="B57" s="150" t="s">
        <v>175</v>
      </c>
      <c r="C57" s="150" t="s">
        <v>187</v>
      </c>
      <c r="D57" s="113"/>
    </row>
    <row r="58" spans="2:4" x14ac:dyDescent="0.15">
      <c r="B58" s="150" t="s">
        <v>176</v>
      </c>
      <c r="C58" s="150" t="s">
        <v>188</v>
      </c>
      <c r="D58" s="113"/>
    </row>
    <row r="59" spans="2:4" x14ac:dyDescent="0.15">
      <c r="B59" s="150" t="s">
        <v>177</v>
      </c>
      <c r="C59" s="150" t="s">
        <v>189</v>
      </c>
      <c r="D59" s="113"/>
    </row>
    <row r="60" spans="2:4" x14ac:dyDescent="0.15">
      <c r="B60" s="150" t="s">
        <v>178</v>
      </c>
      <c r="C60" s="150" t="s">
        <v>190</v>
      </c>
      <c r="D60" s="113"/>
    </row>
    <row r="61" spans="2:4" x14ac:dyDescent="0.15">
      <c r="B61" s="150" t="s">
        <v>179</v>
      </c>
      <c r="C61" s="113">
        <v>40</v>
      </c>
      <c r="D61" s="113"/>
    </row>
    <row r="62" spans="2:4" x14ac:dyDescent="0.15">
      <c r="B62" s="150" t="s">
        <v>180</v>
      </c>
      <c r="C62" s="113">
        <v>5</v>
      </c>
      <c r="D62" s="113"/>
    </row>
    <row r="63" spans="2:4" x14ac:dyDescent="0.15">
      <c r="B63" s="150" t="s">
        <v>181</v>
      </c>
      <c r="C63" s="113">
        <v>2003</v>
      </c>
      <c r="D63" s="113"/>
    </row>
    <row r="64" spans="2:4" x14ac:dyDescent="0.15">
      <c r="B64" s="150" t="s">
        <v>182</v>
      </c>
      <c r="C64" s="113">
        <v>3</v>
      </c>
      <c r="D64" s="113"/>
    </row>
    <row r="65" spans="2:4" x14ac:dyDescent="0.15">
      <c r="B65" s="150" t="s">
        <v>183</v>
      </c>
      <c r="C65" s="150" t="s">
        <v>191</v>
      </c>
      <c r="D65" s="113"/>
    </row>
    <row r="66" spans="2:4" x14ac:dyDescent="0.15">
      <c r="B66" s="150" t="s">
        <v>184</v>
      </c>
      <c r="D66" s="113"/>
    </row>
    <row r="67" spans="2:4" x14ac:dyDescent="0.15">
      <c r="B67" s="113"/>
      <c r="C67" s="113"/>
      <c r="D67" s="113"/>
    </row>
    <row r="68" spans="2:4" x14ac:dyDescent="0.15">
      <c r="B68" s="113"/>
      <c r="C68" s="113"/>
      <c r="D68" s="113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tabSelected="1" workbookViewId="0">
      <pane ySplit="1" topLeftCell="A2" activePane="bottomLeft" state="frozenSplit"/>
      <selection activeCell="E1" sqref="E1"/>
      <selection pane="bottomLeft" activeCell="P6" sqref="P6"/>
    </sheetView>
  </sheetViews>
  <sheetFormatPr baseColWidth="10" defaultColWidth="8.83203125" defaultRowHeight="15" customHeight="1" x14ac:dyDescent="0.15"/>
  <cols>
    <col min="1" max="1" width="22.5" style="85" customWidth="1"/>
    <col min="2" max="3" width="3.33203125" style="85" customWidth="1"/>
    <col min="4" max="4" width="14.33203125" style="85" customWidth="1"/>
    <col min="5" max="5" width="25.5" style="85" bestFit="1" customWidth="1"/>
    <col min="6" max="6" width="2.33203125" style="85" bestFit="1" customWidth="1"/>
    <col min="7" max="7" width="11.83203125" style="85" bestFit="1" customWidth="1"/>
    <col min="8" max="9" width="10.83203125" style="85" customWidth="1"/>
    <col min="10" max="10" width="12.83203125" style="85" customWidth="1"/>
    <col min="11" max="11" width="13.83203125" style="85" customWidth="1"/>
    <col min="12" max="12" width="2.33203125" style="85" customWidth="1"/>
    <col min="13" max="13" width="4.83203125" style="85" customWidth="1"/>
    <col min="14" max="14" width="2.33203125" style="85" customWidth="1"/>
    <col min="16" max="25" width="8.83203125" style="85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5"/>
  </cols>
  <sheetData>
    <row r="1" spans="1:46" s="102" customFormat="1" ht="15" customHeight="1" x14ac:dyDescent="0.15">
      <c r="A1" s="81" t="s">
        <v>18</v>
      </c>
      <c r="C1" s="82" t="s">
        <v>8</v>
      </c>
      <c r="D1" s="81" t="s">
        <v>23</v>
      </c>
      <c r="E1" s="81" t="s">
        <v>0</v>
      </c>
      <c r="F1" s="81" t="s">
        <v>7</v>
      </c>
      <c r="G1" s="83" t="s">
        <v>13</v>
      </c>
      <c r="H1" s="81" t="s">
        <v>1</v>
      </c>
      <c r="I1" s="81" t="s">
        <v>2</v>
      </c>
      <c r="J1" s="81" t="s">
        <v>14</v>
      </c>
      <c r="K1" s="81" t="s">
        <v>3</v>
      </c>
      <c r="L1" s="81" t="s">
        <v>4</v>
      </c>
      <c r="M1" s="81" t="s">
        <v>5</v>
      </c>
      <c r="N1" s="81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2">
        <v>1</v>
      </c>
      <c r="D2"/>
      <c r="E2" s="151" t="s">
        <v>192</v>
      </c>
      <c r="F2" s="85">
        <v>1</v>
      </c>
      <c r="G2" s="85">
        <v>4.5650000000000004</v>
      </c>
      <c r="H2" s="85">
        <v>117.3</v>
      </c>
      <c r="I2" s="6">
        <v>0</v>
      </c>
      <c r="J2" s="6">
        <v>0.68697180000000002</v>
      </c>
      <c r="K2" s="6">
        <v>0</v>
      </c>
      <c r="L2" s="6">
        <v>0</v>
      </c>
      <c r="M2" s="85">
        <v>0</v>
      </c>
      <c r="N2" s="85">
        <v>0</v>
      </c>
    </row>
    <row r="3" spans="1:46" ht="15" customHeight="1" x14ac:dyDescent="0.15">
      <c r="A3" s="1" t="s">
        <v>9</v>
      </c>
      <c r="B3" s="4">
        <v>38</v>
      </c>
      <c r="C3" s="85">
        <v>2</v>
      </c>
      <c r="D3"/>
      <c r="E3" s="151" t="s">
        <v>193</v>
      </c>
      <c r="F3" s="85">
        <v>0</v>
      </c>
      <c r="G3" s="85">
        <v>0.47499999999999998</v>
      </c>
      <c r="H3" s="85">
        <v>258.84699999999998</v>
      </c>
      <c r="I3" s="85">
        <v>776.54079999999999</v>
      </c>
      <c r="J3" s="85">
        <v>0.68968343700000001</v>
      </c>
      <c r="K3" s="85">
        <v>0.3333334</v>
      </c>
      <c r="L3" s="85">
        <v>0</v>
      </c>
      <c r="M3" s="85">
        <v>0.4</v>
      </c>
      <c r="N3" s="85">
        <v>0</v>
      </c>
    </row>
    <row r="4" spans="1:46" ht="15" customHeight="1" x14ac:dyDescent="0.15">
      <c r="A4" s="1" t="s">
        <v>10</v>
      </c>
      <c r="B4" s="4">
        <v>3</v>
      </c>
      <c r="C4" s="85">
        <v>3</v>
      </c>
      <c r="D4"/>
      <c r="E4" s="151" t="s">
        <v>194</v>
      </c>
      <c r="F4" s="85">
        <v>0</v>
      </c>
      <c r="G4" s="85">
        <v>2.79</v>
      </c>
      <c r="H4" s="85">
        <v>29.184999999999999</v>
      </c>
      <c r="I4" s="85">
        <v>87.55471</v>
      </c>
      <c r="J4" s="85">
        <v>0.99024210000000001</v>
      </c>
      <c r="K4" s="85">
        <v>0.33333441600000002</v>
      </c>
      <c r="L4" s="85">
        <v>0</v>
      </c>
      <c r="M4" s="85">
        <v>0.4</v>
      </c>
      <c r="N4" s="85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5</v>
      </c>
      <c r="C5" s="85">
        <v>4</v>
      </c>
      <c r="D5"/>
      <c r="E5" s="151" t="s">
        <v>195</v>
      </c>
      <c r="F5" s="85">
        <v>0</v>
      </c>
      <c r="G5" s="85">
        <v>0.28742839999999997</v>
      </c>
      <c r="H5" s="85">
        <v>21.073</v>
      </c>
      <c r="I5" s="85">
        <v>53.169933299999997</v>
      </c>
      <c r="J5" s="85">
        <v>0.95</v>
      </c>
      <c r="K5" s="85">
        <v>0.39633299999999999</v>
      </c>
      <c r="L5" s="85">
        <v>0</v>
      </c>
      <c r="M5" s="85">
        <v>0.2</v>
      </c>
      <c r="N5" s="85">
        <v>0</v>
      </c>
      <c r="P5" s="73"/>
      <c r="Q5" s="73"/>
      <c r="R5" s="73"/>
    </row>
    <row r="6" spans="1:46" ht="15" customHeight="1" thickBot="1" x14ac:dyDescent="0.2">
      <c r="B6" s="1"/>
      <c r="C6" s="85">
        <v>5</v>
      </c>
      <c r="D6"/>
      <c r="E6" s="151" t="s">
        <v>196</v>
      </c>
      <c r="F6" s="85">
        <v>0</v>
      </c>
      <c r="G6" s="85">
        <v>2.476</v>
      </c>
      <c r="H6" s="85">
        <v>4.8360000000000003</v>
      </c>
      <c r="I6" s="85">
        <v>12.090260000000001</v>
      </c>
      <c r="J6" s="85">
        <v>9.2438355099999994E-2</v>
      </c>
      <c r="K6" s="85">
        <v>0.39999142300000001</v>
      </c>
      <c r="L6" s="85">
        <v>0</v>
      </c>
      <c r="M6" s="85">
        <v>0.2</v>
      </c>
      <c r="N6" s="85">
        <v>0</v>
      </c>
      <c r="P6" s="73"/>
      <c r="Q6" s="73"/>
      <c r="R6" s="73"/>
      <c r="W6" s="36" t="s">
        <v>31</v>
      </c>
      <c r="X6" s="52">
        <f>MAX(MainOutputs!G:G)</f>
        <v>0.99569839239120483</v>
      </c>
    </row>
    <row r="7" spans="1:46" ht="15" customHeight="1" x14ac:dyDescent="0.15">
      <c r="A7" s="2" t="s">
        <v>27</v>
      </c>
      <c r="B7" s="85">
        <f ca="1">COUNTIF(OFFSET(cornerDiets,1,1,NumLiving+NumDead+1,NumLiving+NumDead),"&gt;0")+NumLiving+NumDead+1</f>
        <v>464</v>
      </c>
      <c r="C7" s="85">
        <v>6</v>
      </c>
      <c r="D7"/>
      <c r="E7" s="151" t="s">
        <v>197</v>
      </c>
      <c r="F7" s="85">
        <v>0</v>
      </c>
      <c r="G7" s="85">
        <v>1.109</v>
      </c>
      <c r="H7" s="85">
        <v>7.3150000000000004</v>
      </c>
      <c r="I7" s="85">
        <v>54.401589999999999</v>
      </c>
      <c r="J7" s="85">
        <v>0.6091799</v>
      </c>
      <c r="K7" s="85">
        <v>0.13446298200000001</v>
      </c>
      <c r="L7" s="85">
        <v>0</v>
      </c>
      <c r="M7" s="85">
        <v>0.3</v>
      </c>
      <c r="N7" s="85">
        <v>0</v>
      </c>
      <c r="P7" s="73"/>
      <c r="Q7" s="73"/>
      <c r="R7" s="73"/>
    </row>
    <row r="8" spans="1:46" ht="15" customHeight="1" x14ac:dyDescent="0.15">
      <c r="A8" s="2" t="s">
        <v>28</v>
      </c>
      <c r="B8" s="85">
        <f ca="1">COUNTIF(OFFSET(cornerFishing,1,2,NumLiving+NumDead,NumGears),"&gt;0")+NumDead*COUNTIF(OFFSET(cornerDiscards,1,2,NumLiving+NumDead,NumGears),"&gt;0")+NumLiving+NumDead+1</f>
        <v>395</v>
      </c>
      <c r="C8" s="85">
        <v>7</v>
      </c>
      <c r="D8"/>
      <c r="E8" s="151" t="s">
        <v>198</v>
      </c>
      <c r="F8" s="85">
        <v>0</v>
      </c>
      <c r="G8" s="85">
        <v>5.3330000000000002</v>
      </c>
      <c r="H8" s="85">
        <v>1.633</v>
      </c>
      <c r="I8" s="85">
        <v>12.4621353</v>
      </c>
      <c r="J8" s="85">
        <v>0.91832876200000002</v>
      </c>
      <c r="K8" s="85">
        <v>0.13103693699999999</v>
      </c>
      <c r="L8" s="85">
        <v>0</v>
      </c>
      <c r="M8" s="85">
        <v>0.6</v>
      </c>
      <c r="N8" s="85">
        <v>0</v>
      </c>
      <c r="P8" s="73"/>
      <c r="Q8" s="73"/>
      <c r="R8" s="73"/>
    </row>
    <row r="9" spans="1:46" ht="15" customHeight="1" x14ac:dyDescent="0.15">
      <c r="B9" s="1"/>
      <c r="C9" s="85">
        <v>8</v>
      </c>
      <c r="D9"/>
      <c r="E9" s="151" t="s">
        <v>199</v>
      </c>
      <c r="F9" s="85">
        <v>0</v>
      </c>
      <c r="G9" s="85">
        <v>0.39900000000000002</v>
      </c>
      <c r="H9" s="85">
        <v>3.18</v>
      </c>
      <c r="I9" s="85">
        <v>7.5151849999999998</v>
      </c>
      <c r="J9" s="85">
        <v>0.97931635399999994</v>
      </c>
      <c r="K9" s="85">
        <v>0.4231433</v>
      </c>
      <c r="L9" s="85">
        <v>0</v>
      </c>
      <c r="M9" s="85">
        <v>0.2</v>
      </c>
      <c r="N9" s="85">
        <v>0</v>
      </c>
      <c r="P9" s="73"/>
      <c r="Q9" s="73"/>
      <c r="R9" s="73"/>
    </row>
    <row r="10" spans="1:46" ht="15" customHeight="1" x14ac:dyDescent="0.15">
      <c r="B10" s="1"/>
      <c r="C10" s="85">
        <v>9</v>
      </c>
      <c r="D10"/>
      <c r="E10" s="151" t="s">
        <v>200</v>
      </c>
      <c r="F10" s="85">
        <v>0</v>
      </c>
      <c r="G10" s="85">
        <v>0.27</v>
      </c>
      <c r="H10" s="85">
        <v>2.423</v>
      </c>
      <c r="I10" s="85">
        <v>4.9370589999999996</v>
      </c>
      <c r="J10" s="85">
        <v>0.95878994500000003</v>
      </c>
      <c r="K10" s="85">
        <v>0.490778029</v>
      </c>
      <c r="L10" s="85">
        <v>0</v>
      </c>
      <c r="M10" s="85">
        <v>0.2</v>
      </c>
      <c r="N10" s="85">
        <v>0</v>
      </c>
    </row>
    <row r="11" spans="1:46" ht="15" customHeight="1" x14ac:dyDescent="0.15">
      <c r="C11" s="85">
        <v>10</v>
      </c>
      <c r="D11"/>
      <c r="E11" s="151" t="s">
        <v>201</v>
      </c>
      <c r="F11" s="85">
        <v>0</v>
      </c>
      <c r="G11" s="85">
        <v>2.4E-2</v>
      </c>
      <c r="H11" s="85">
        <v>1.3180000000000001</v>
      </c>
      <c r="I11" s="85">
        <v>4.7596170000000004</v>
      </c>
      <c r="J11" s="85">
        <v>0.97911939999999997</v>
      </c>
      <c r="K11" s="85">
        <v>0.27691304700000002</v>
      </c>
      <c r="L11" s="85">
        <v>0</v>
      </c>
      <c r="M11" s="85">
        <v>0.2</v>
      </c>
      <c r="N11" s="85">
        <v>0</v>
      </c>
    </row>
    <row r="12" spans="1:46" ht="15" customHeight="1" x14ac:dyDescent="0.15">
      <c r="C12" s="85">
        <v>11</v>
      </c>
      <c r="D12"/>
      <c r="E12" s="151" t="s">
        <v>202</v>
      </c>
      <c r="F12" s="85">
        <v>0</v>
      </c>
      <c r="G12" s="85">
        <v>8.7119999999999997</v>
      </c>
      <c r="H12" s="85">
        <v>1.1479999999999999</v>
      </c>
      <c r="I12" s="85">
        <v>3.2670178399999998</v>
      </c>
      <c r="J12" s="85">
        <v>0.94494750000000005</v>
      </c>
      <c r="K12" s="85">
        <v>0.3513908</v>
      </c>
      <c r="L12" s="85">
        <v>0</v>
      </c>
      <c r="M12" s="85">
        <v>0.43</v>
      </c>
      <c r="N12" s="85">
        <v>0</v>
      </c>
    </row>
    <row r="13" spans="1:46" ht="15" customHeight="1" x14ac:dyDescent="0.15">
      <c r="C13" s="85">
        <v>12</v>
      </c>
      <c r="D13"/>
      <c r="E13" s="151" t="s">
        <v>203</v>
      </c>
      <c r="F13" s="85">
        <v>0</v>
      </c>
      <c r="G13" s="85">
        <v>0.29199999999999998</v>
      </c>
      <c r="H13" s="85">
        <v>2.6829999999999998</v>
      </c>
      <c r="I13" s="85">
        <v>5.5</v>
      </c>
      <c r="J13" s="85">
        <v>0.97401649999999995</v>
      </c>
      <c r="K13" s="85">
        <v>0.48781819999999998</v>
      </c>
      <c r="L13" s="85">
        <v>0</v>
      </c>
      <c r="M13" s="85">
        <v>0.13</v>
      </c>
      <c r="N13" s="85">
        <v>0</v>
      </c>
    </row>
    <row r="14" spans="1:46" ht="15" customHeight="1" x14ac:dyDescent="0.15">
      <c r="C14" s="85">
        <v>13</v>
      </c>
      <c r="D14"/>
      <c r="E14" s="151" t="s">
        <v>204</v>
      </c>
      <c r="F14" s="85">
        <v>0</v>
      </c>
      <c r="G14" s="85">
        <v>0.114</v>
      </c>
      <c r="H14" s="85">
        <v>2.5960000000000001</v>
      </c>
      <c r="I14" s="85">
        <v>26.47</v>
      </c>
      <c r="J14" s="85">
        <v>0.97236469999999997</v>
      </c>
      <c r="K14" s="85">
        <v>9.8073289999999994E-2</v>
      </c>
      <c r="L14" s="85">
        <v>0</v>
      </c>
      <c r="M14" s="85">
        <v>0.4</v>
      </c>
      <c r="N14" s="85">
        <v>0</v>
      </c>
    </row>
    <row r="15" spans="1:46" ht="15" customHeight="1" x14ac:dyDescent="0.15">
      <c r="C15" s="85">
        <v>14</v>
      </c>
      <c r="D15"/>
      <c r="E15" s="151" t="s">
        <v>205</v>
      </c>
      <c r="F15" s="85">
        <v>0</v>
      </c>
      <c r="G15" s="85">
        <v>7.1999999999999995E-2</v>
      </c>
      <c r="H15" s="85">
        <v>1.7989999999999999</v>
      </c>
      <c r="I15" s="85">
        <v>7.67139959</v>
      </c>
      <c r="J15" s="85">
        <v>0.98341190000000001</v>
      </c>
      <c r="K15" s="85">
        <v>0.234507412</v>
      </c>
      <c r="L15" s="85">
        <v>0</v>
      </c>
      <c r="M15" s="85">
        <v>0.2</v>
      </c>
      <c r="N15" s="85">
        <v>0</v>
      </c>
    </row>
    <row r="16" spans="1:46" ht="15" customHeight="1" x14ac:dyDescent="0.15">
      <c r="C16" s="85">
        <v>15</v>
      </c>
      <c r="D16"/>
      <c r="E16" s="151" t="s">
        <v>206</v>
      </c>
      <c r="F16" s="85">
        <v>0</v>
      </c>
      <c r="G16" s="85">
        <v>8.1000000000000003E-2</v>
      </c>
      <c r="H16" s="85">
        <v>0.90400000000000003</v>
      </c>
      <c r="I16" s="85">
        <v>4.3450174300000004</v>
      </c>
      <c r="J16" s="85">
        <v>0.72300302999999999</v>
      </c>
      <c r="K16" s="85">
        <v>0.2080544</v>
      </c>
      <c r="L16" s="85">
        <v>0</v>
      </c>
      <c r="M16" s="85">
        <v>0.2</v>
      </c>
      <c r="N16" s="85">
        <v>0</v>
      </c>
    </row>
    <row r="17" spans="1:22" ht="15" customHeight="1" x14ac:dyDescent="0.15">
      <c r="C17" s="85">
        <v>16</v>
      </c>
      <c r="D17"/>
      <c r="E17" s="151" t="s">
        <v>207</v>
      </c>
      <c r="F17" s="85">
        <v>0</v>
      </c>
      <c r="G17" s="85">
        <v>6.0999999999999999E-2</v>
      </c>
      <c r="H17" s="85">
        <v>1.5980000000000001</v>
      </c>
      <c r="I17" s="85">
        <v>9.0917279999999998</v>
      </c>
      <c r="J17" s="85">
        <v>0.99569845199999996</v>
      </c>
      <c r="K17" s="85">
        <v>0.175764173</v>
      </c>
      <c r="L17" s="85">
        <v>0</v>
      </c>
      <c r="M17" s="85">
        <v>0.2</v>
      </c>
      <c r="N17" s="85">
        <v>0</v>
      </c>
      <c r="V17" s="1" t="s">
        <v>30</v>
      </c>
    </row>
    <row r="18" spans="1:22" ht="15" customHeight="1" x14ac:dyDescent="0.15">
      <c r="C18" s="85">
        <v>17</v>
      </c>
      <c r="D18"/>
      <c r="E18" s="151" t="s">
        <v>208</v>
      </c>
      <c r="F18" s="85">
        <v>0</v>
      </c>
      <c r="G18" s="85">
        <v>0.182</v>
      </c>
      <c r="H18" s="85">
        <v>1.1000000000000001</v>
      </c>
      <c r="I18" s="85">
        <v>7.6366290000000001</v>
      </c>
      <c r="J18" s="85">
        <v>0.97292749999999995</v>
      </c>
      <c r="K18" s="85">
        <v>0.14404261099999999</v>
      </c>
      <c r="L18" s="85">
        <v>0</v>
      </c>
      <c r="M18" s="85">
        <v>0.2</v>
      </c>
      <c r="N18" s="85">
        <v>0</v>
      </c>
      <c r="V18" s="1"/>
    </row>
    <row r="19" spans="1:22" ht="15" customHeight="1" x14ac:dyDescent="0.15">
      <c r="C19" s="85">
        <v>18</v>
      </c>
      <c r="D19"/>
      <c r="E19" s="151" t="s">
        <v>209</v>
      </c>
      <c r="F19" s="85">
        <v>0</v>
      </c>
      <c r="G19" s="85">
        <v>0.30599999999999999</v>
      </c>
      <c r="H19" s="85">
        <v>0.745</v>
      </c>
      <c r="I19" s="85">
        <v>5.2611039999999996</v>
      </c>
      <c r="J19" s="85">
        <v>0.96334916400000004</v>
      </c>
      <c r="K19" s="85">
        <v>0.14160525800000001</v>
      </c>
      <c r="L19" s="85">
        <v>0</v>
      </c>
      <c r="M19" s="85">
        <v>0.2</v>
      </c>
      <c r="N19" s="85">
        <v>0</v>
      </c>
    </row>
    <row r="20" spans="1:22" ht="15" customHeight="1" thickBot="1" x14ac:dyDescent="0.2">
      <c r="C20" s="85">
        <v>19</v>
      </c>
      <c r="D20"/>
      <c r="E20" s="151" t="s">
        <v>210</v>
      </c>
      <c r="F20" s="85">
        <v>0</v>
      </c>
      <c r="G20" s="85">
        <v>6.8000000000000005E-2</v>
      </c>
      <c r="H20" s="85">
        <v>1.5509999999999999</v>
      </c>
      <c r="I20" s="85">
        <v>7.47940731</v>
      </c>
      <c r="J20" s="85">
        <v>0.98531073300000005</v>
      </c>
      <c r="K20" s="85">
        <v>0.207369372</v>
      </c>
      <c r="L20" s="85">
        <v>0</v>
      </c>
      <c r="M20" s="85">
        <v>0.2</v>
      </c>
      <c r="N20" s="85">
        <v>0</v>
      </c>
    </row>
    <row r="21" spans="1:22" ht="15" customHeight="1" thickBot="1" x14ac:dyDescent="0.2">
      <c r="A21" s="47" t="s">
        <v>137</v>
      </c>
      <c r="B21" s="103"/>
      <c r="C21" s="85">
        <v>20</v>
      </c>
      <c r="D21"/>
      <c r="E21" s="151" t="s">
        <v>211</v>
      </c>
      <c r="F21" s="85">
        <v>0</v>
      </c>
      <c r="G21" s="85">
        <v>7.5999999999999998E-2</v>
      </c>
      <c r="H21" s="85">
        <v>1.494</v>
      </c>
      <c r="I21" s="85">
        <v>5.1513499999999999</v>
      </c>
      <c r="J21" s="85">
        <v>0.97851089999999996</v>
      </c>
      <c r="K21" s="85">
        <v>0.290021062</v>
      </c>
      <c r="L21" s="85">
        <v>0</v>
      </c>
      <c r="M21" s="85">
        <v>0.2</v>
      </c>
      <c r="N21" s="85">
        <v>0</v>
      </c>
    </row>
    <row r="22" spans="1:22" ht="15" customHeight="1" x14ac:dyDescent="0.15">
      <c r="A22" s="104" t="s">
        <v>58</v>
      </c>
      <c r="B22" s="105">
        <v>0</v>
      </c>
      <c r="C22" s="85">
        <v>21</v>
      </c>
      <c r="D22"/>
      <c r="E22" s="151" t="s">
        <v>212</v>
      </c>
      <c r="F22" s="85">
        <v>0</v>
      </c>
      <c r="G22" s="85">
        <v>0.20100000000000001</v>
      </c>
      <c r="H22" s="85">
        <v>1.7130000000000001</v>
      </c>
      <c r="I22" s="85">
        <v>8.4480909999999998</v>
      </c>
      <c r="J22" s="85">
        <v>0.97829279999999996</v>
      </c>
      <c r="K22" s="85">
        <v>0.20276771499999999</v>
      </c>
      <c r="L22" s="85">
        <v>0</v>
      </c>
      <c r="M22" s="85">
        <v>0.2</v>
      </c>
      <c r="N22" s="85">
        <v>0</v>
      </c>
    </row>
    <row r="23" spans="1:22" ht="15" customHeight="1" x14ac:dyDescent="0.15">
      <c r="A23" s="104" t="s">
        <v>59</v>
      </c>
      <c r="B23" s="105">
        <v>1</v>
      </c>
      <c r="C23" s="85">
        <v>22</v>
      </c>
      <c r="D23"/>
      <c r="E23" s="151" t="s">
        <v>213</v>
      </c>
      <c r="F23" s="85">
        <v>0</v>
      </c>
      <c r="G23" s="85">
        <v>9.9000000000000005E-2</v>
      </c>
      <c r="H23" s="85">
        <v>2.2229999999999999</v>
      </c>
      <c r="I23" s="85">
        <v>9.0029350000000008</v>
      </c>
      <c r="J23" s="85">
        <v>0.97424924400000001</v>
      </c>
      <c r="K23" s="85">
        <v>0.246919468</v>
      </c>
      <c r="L23" s="85">
        <v>0</v>
      </c>
      <c r="M23" s="85">
        <v>0.2</v>
      </c>
      <c r="N23" s="85">
        <v>0</v>
      </c>
    </row>
    <row r="24" spans="1:22" ht="15" customHeight="1" x14ac:dyDescent="0.15">
      <c r="A24" s="104" t="s">
        <v>60</v>
      </c>
      <c r="B24" s="105">
        <v>2</v>
      </c>
      <c r="C24" s="85">
        <v>23</v>
      </c>
      <c r="D24"/>
      <c r="E24" s="151" t="s">
        <v>214</v>
      </c>
      <c r="F24" s="85">
        <v>0</v>
      </c>
      <c r="G24" s="85">
        <v>0.26800000000000002</v>
      </c>
      <c r="H24" s="85">
        <v>1.25</v>
      </c>
      <c r="I24" s="85">
        <v>9.2748480000000004</v>
      </c>
      <c r="J24" s="85">
        <v>0.96803229999999996</v>
      </c>
      <c r="K24" s="85">
        <v>0.13477310000000001</v>
      </c>
      <c r="L24" s="85">
        <v>0</v>
      </c>
      <c r="M24" s="85">
        <v>0.3</v>
      </c>
      <c r="N24" s="85">
        <v>0</v>
      </c>
    </row>
    <row r="25" spans="1:22" ht="15" customHeight="1" thickBot="1" x14ac:dyDescent="0.2">
      <c r="A25" s="106" t="s">
        <v>44</v>
      </c>
      <c r="B25" s="107">
        <v>3</v>
      </c>
      <c r="C25" s="85">
        <v>24</v>
      </c>
      <c r="D25"/>
      <c r="E25" s="151" t="s">
        <v>215</v>
      </c>
      <c r="F25" s="85">
        <v>0</v>
      </c>
      <c r="G25" s="85">
        <v>0.187</v>
      </c>
      <c r="H25" s="85">
        <v>1.69</v>
      </c>
      <c r="I25" s="85">
        <v>7.6823482500000004</v>
      </c>
      <c r="J25" s="85">
        <v>0.9717538</v>
      </c>
      <c r="K25" s="85">
        <v>0.21998482899999999</v>
      </c>
      <c r="L25" s="85">
        <v>0</v>
      </c>
      <c r="M25" s="85">
        <v>0.2</v>
      </c>
      <c r="N25" s="85">
        <v>0</v>
      </c>
    </row>
    <row r="26" spans="1:22" ht="15" customHeight="1" x14ac:dyDescent="0.15">
      <c r="A26" s="108" t="s">
        <v>140</v>
      </c>
      <c r="C26" s="85">
        <v>25</v>
      </c>
      <c r="D26"/>
      <c r="E26" s="151" t="s">
        <v>216</v>
      </c>
      <c r="F26" s="85">
        <v>0</v>
      </c>
      <c r="G26" s="85">
        <v>8.2000000000000003E-2</v>
      </c>
      <c r="H26" s="85">
        <v>0.57799999999999996</v>
      </c>
      <c r="I26" s="85">
        <v>5.1583423599999998</v>
      </c>
      <c r="J26" s="85">
        <v>0.59190589999999998</v>
      </c>
      <c r="K26" s="85">
        <v>0.1120515</v>
      </c>
      <c r="L26" s="85">
        <v>0</v>
      </c>
      <c r="M26" s="85">
        <v>0.2</v>
      </c>
      <c r="N26" s="85">
        <v>0</v>
      </c>
    </row>
    <row r="27" spans="1:22" ht="15" customHeight="1" x14ac:dyDescent="0.15">
      <c r="C27" s="85">
        <v>26</v>
      </c>
      <c r="D27"/>
      <c r="E27" s="151" t="s">
        <v>217</v>
      </c>
      <c r="F27" s="85">
        <v>0</v>
      </c>
      <c r="G27" s="85">
        <v>8.2000000000000003E-2</v>
      </c>
      <c r="H27" s="85">
        <v>0.875</v>
      </c>
      <c r="I27" s="85">
        <v>4.0720939999999999</v>
      </c>
      <c r="J27" s="85">
        <v>0.74099999999999999</v>
      </c>
      <c r="K27" s="85">
        <v>0.21487715800000001</v>
      </c>
      <c r="L27" s="85">
        <v>0</v>
      </c>
      <c r="M27" s="85">
        <v>0.2</v>
      </c>
      <c r="N27" s="85">
        <v>0</v>
      </c>
    </row>
    <row r="28" spans="1:22" ht="15" customHeight="1" x14ac:dyDescent="0.15">
      <c r="C28" s="85">
        <v>27</v>
      </c>
      <c r="D28"/>
      <c r="E28" s="151" t="s">
        <v>218</v>
      </c>
      <c r="F28" s="85">
        <v>0</v>
      </c>
      <c r="G28" s="85">
        <v>0.35834112800000001</v>
      </c>
      <c r="H28" s="85">
        <v>2.2454636099999998</v>
      </c>
      <c r="I28" s="85">
        <v>12.208993899999999</v>
      </c>
      <c r="J28" s="85">
        <v>0.95108336199999999</v>
      </c>
      <c r="K28" s="85">
        <v>0.18391879999999999</v>
      </c>
      <c r="L28" s="85">
        <v>0</v>
      </c>
      <c r="M28" s="85">
        <v>0.3</v>
      </c>
      <c r="N28" s="85">
        <v>0</v>
      </c>
    </row>
    <row r="29" spans="1:22" customFormat="1" ht="15" customHeight="1" x14ac:dyDescent="0.15">
      <c r="C29" s="85">
        <v>28</v>
      </c>
      <c r="E29" s="151" t="s">
        <v>219</v>
      </c>
      <c r="F29" s="85">
        <v>0</v>
      </c>
      <c r="G29" s="85">
        <v>1.7899996</v>
      </c>
      <c r="H29" s="85">
        <v>1.3733642100000001</v>
      </c>
      <c r="I29" s="85">
        <v>5.2012499999999999</v>
      </c>
      <c r="J29" s="85">
        <v>0.91052710000000003</v>
      </c>
      <c r="K29" s="85">
        <v>0.26404503000000001</v>
      </c>
      <c r="L29" s="85">
        <v>0</v>
      </c>
      <c r="M29" s="85">
        <v>0.3</v>
      </c>
      <c r="N29" s="85">
        <v>0</v>
      </c>
    </row>
    <row r="30" spans="1:22" customFormat="1" ht="15" customHeight="1" x14ac:dyDescent="0.15">
      <c r="C30" s="85">
        <v>29</v>
      </c>
      <c r="E30" s="151" t="s">
        <v>220</v>
      </c>
      <c r="F30" s="85">
        <v>0</v>
      </c>
      <c r="G30" s="85">
        <v>0.179389462</v>
      </c>
      <c r="H30" s="85">
        <v>1.6160365299999999</v>
      </c>
      <c r="I30" s="85">
        <v>18.4114246</v>
      </c>
      <c r="J30" s="85">
        <v>0.95855945300000001</v>
      </c>
      <c r="K30" s="85">
        <v>8.7773580000000004E-2</v>
      </c>
      <c r="L30" s="85">
        <v>0</v>
      </c>
      <c r="M30" s="85">
        <v>0.3</v>
      </c>
      <c r="N30" s="85">
        <v>0</v>
      </c>
    </row>
    <row r="31" spans="1:22" customFormat="1" ht="15" customHeight="1" x14ac:dyDescent="0.15">
      <c r="C31" s="85">
        <v>30</v>
      </c>
      <c r="E31" s="151" t="s">
        <v>221</v>
      </c>
      <c r="F31" s="85">
        <v>0</v>
      </c>
      <c r="G31" s="85">
        <v>0.8100001</v>
      </c>
      <c r="H31" s="85">
        <v>1.2023296400000001</v>
      </c>
      <c r="I31" s="85">
        <v>9.4917599999999993</v>
      </c>
      <c r="J31" s="85">
        <v>0.97794836799999996</v>
      </c>
      <c r="K31" s="85">
        <v>0.12667088200000001</v>
      </c>
      <c r="L31" s="85">
        <v>0</v>
      </c>
      <c r="M31" s="85">
        <v>0.3</v>
      </c>
      <c r="N31" s="85">
        <v>0</v>
      </c>
    </row>
    <row r="32" spans="1:22" customFormat="1" ht="15" customHeight="1" x14ac:dyDescent="0.15">
      <c r="C32" s="85">
        <v>31</v>
      </c>
      <c r="E32" s="151" t="s">
        <v>222</v>
      </c>
      <c r="F32" s="85">
        <v>0</v>
      </c>
      <c r="G32" s="85">
        <v>0.182</v>
      </c>
      <c r="H32" s="85">
        <v>1.0780000000000001</v>
      </c>
      <c r="I32" s="85">
        <v>7.7889419999999996</v>
      </c>
      <c r="J32" s="85">
        <v>0.98239547000000005</v>
      </c>
      <c r="K32" s="85">
        <v>0.13840132999999999</v>
      </c>
      <c r="L32" s="85">
        <v>0</v>
      </c>
      <c r="M32" s="85">
        <v>0.2</v>
      </c>
      <c r="N32" s="85">
        <v>0</v>
      </c>
    </row>
    <row r="33" spans="3:14" customFormat="1" ht="15" customHeight="1" x14ac:dyDescent="0.15">
      <c r="C33" s="85">
        <v>32</v>
      </c>
      <c r="E33" s="151" t="s">
        <v>223</v>
      </c>
      <c r="F33" s="85">
        <v>0</v>
      </c>
      <c r="G33" s="85">
        <v>0.28399999999999997</v>
      </c>
      <c r="H33" s="85">
        <v>0.97099999999999997</v>
      </c>
      <c r="I33" s="85">
        <v>5.87897158</v>
      </c>
      <c r="J33" s="85">
        <v>0.97574323399999996</v>
      </c>
      <c r="K33" s="85">
        <v>0.16516494800000001</v>
      </c>
      <c r="L33" s="85">
        <v>0</v>
      </c>
      <c r="M33" s="85">
        <v>0.2</v>
      </c>
      <c r="N33" s="85">
        <v>0</v>
      </c>
    </row>
    <row r="34" spans="3:14" customFormat="1" ht="15" customHeight="1" x14ac:dyDescent="0.15">
      <c r="C34" s="85">
        <v>33</v>
      </c>
      <c r="E34" s="151" t="s">
        <v>224</v>
      </c>
      <c r="F34" s="85">
        <v>0</v>
      </c>
      <c r="G34" s="85">
        <v>0.56299999999999994</v>
      </c>
      <c r="H34" s="85">
        <v>0.753</v>
      </c>
      <c r="I34" s="85">
        <v>8.4051869999999997</v>
      </c>
      <c r="J34" s="85">
        <v>0.9810681</v>
      </c>
      <c r="K34" s="85">
        <v>8.9587539999999993E-2</v>
      </c>
      <c r="L34" s="85">
        <v>0</v>
      </c>
      <c r="M34" s="85">
        <v>0.3</v>
      </c>
      <c r="N34" s="85">
        <v>0</v>
      </c>
    </row>
    <row r="35" spans="3:14" customFormat="1" ht="15" customHeight="1" x14ac:dyDescent="0.15">
      <c r="C35" s="85">
        <v>34</v>
      </c>
      <c r="E35" s="151" t="s">
        <v>225</v>
      </c>
      <c r="F35" s="85">
        <v>0</v>
      </c>
      <c r="G35" s="85">
        <v>0.2</v>
      </c>
      <c r="H35" s="85">
        <v>0.61</v>
      </c>
      <c r="I35" s="85">
        <v>3.2392542400000002</v>
      </c>
      <c r="J35" s="85">
        <v>0.88255155100000005</v>
      </c>
      <c r="K35" s="85">
        <v>0.188314959</v>
      </c>
      <c r="L35" s="85">
        <v>0</v>
      </c>
      <c r="M35" s="85">
        <v>0.2</v>
      </c>
      <c r="N35" s="85">
        <v>0</v>
      </c>
    </row>
    <row r="36" spans="3:14" customFormat="1" ht="15" customHeight="1" x14ac:dyDescent="0.15">
      <c r="C36" s="85">
        <v>35</v>
      </c>
      <c r="E36" s="151" t="s">
        <v>226</v>
      </c>
      <c r="F36" s="85">
        <v>0</v>
      </c>
      <c r="G36" s="85">
        <v>3.5000000000000003E-2</v>
      </c>
      <c r="H36" s="85">
        <v>0.33500000000000002</v>
      </c>
      <c r="I36" s="85">
        <v>2.3890319999999998</v>
      </c>
      <c r="J36" s="85">
        <v>0.65781999999999996</v>
      </c>
      <c r="K36" s="85">
        <v>0.14022417400000001</v>
      </c>
      <c r="L36" s="85">
        <v>0</v>
      </c>
      <c r="M36" s="85">
        <v>0.2</v>
      </c>
      <c r="N36" s="85">
        <v>0</v>
      </c>
    </row>
    <row r="37" spans="3:14" customFormat="1" ht="15" customHeight="1" x14ac:dyDescent="0.15">
      <c r="C37" s="85">
        <v>36</v>
      </c>
      <c r="E37" s="151" t="s">
        <v>227</v>
      </c>
      <c r="F37" s="85">
        <v>0</v>
      </c>
      <c r="G37" s="85">
        <v>0.02</v>
      </c>
      <c r="H37" s="85">
        <v>0.16400000000000001</v>
      </c>
      <c r="I37" s="85">
        <v>2.6840321999999999</v>
      </c>
      <c r="J37" s="85">
        <v>6.4969520000000003E-2</v>
      </c>
      <c r="K37" s="85">
        <v>6.1102099999999999E-2</v>
      </c>
      <c r="L37" s="85">
        <v>0</v>
      </c>
      <c r="M37" s="85">
        <v>0.2</v>
      </c>
      <c r="N37" s="85">
        <v>0</v>
      </c>
    </row>
    <row r="38" spans="3:14" customFormat="1" ht="15" customHeight="1" x14ac:dyDescent="0.15">
      <c r="C38" s="85">
        <v>37</v>
      </c>
      <c r="E38" s="151" t="s">
        <v>228</v>
      </c>
      <c r="F38" s="85">
        <v>0</v>
      </c>
      <c r="G38" s="85">
        <v>1E-3</v>
      </c>
      <c r="H38" s="85">
        <v>4.782</v>
      </c>
      <c r="I38" s="85">
        <v>111.61359400000001</v>
      </c>
      <c r="J38" s="85">
        <v>7.9409630000000005E-3</v>
      </c>
      <c r="K38" s="85">
        <v>4.2844243300000001E-2</v>
      </c>
      <c r="L38" s="85">
        <v>0</v>
      </c>
      <c r="M38" s="85">
        <v>0.2</v>
      </c>
      <c r="N38" s="85">
        <v>0</v>
      </c>
    </row>
    <row r="39" spans="3:14" customFormat="1" ht="15" customHeight="1" x14ac:dyDescent="0.15">
      <c r="C39" s="85">
        <v>38</v>
      </c>
      <c r="E39" s="151" t="s">
        <v>229</v>
      </c>
      <c r="F39" s="85">
        <v>0</v>
      </c>
      <c r="G39" s="85">
        <v>0.01</v>
      </c>
      <c r="H39" s="85">
        <v>8.3000000000000004E-2</v>
      </c>
      <c r="I39" s="85">
        <v>13.807885199999999</v>
      </c>
      <c r="J39" s="85">
        <v>0.25669399999999998</v>
      </c>
      <c r="K39" s="85">
        <v>6.0110576500000002E-3</v>
      </c>
      <c r="L39" s="85">
        <v>0</v>
      </c>
      <c r="M39" s="85">
        <v>0.2</v>
      </c>
      <c r="N39" s="85">
        <v>0</v>
      </c>
    </row>
    <row r="40" spans="3:14" customFormat="1" ht="15" customHeight="1" x14ac:dyDescent="0.15">
      <c r="C40" s="85">
        <v>39</v>
      </c>
      <c r="E40" s="151" t="s">
        <v>230</v>
      </c>
      <c r="F40" s="85">
        <v>2</v>
      </c>
      <c r="G40" s="85">
        <v>31.44</v>
      </c>
      <c r="H40" s="85">
        <v>0</v>
      </c>
      <c r="I40" s="85">
        <v>0</v>
      </c>
      <c r="J40" s="85">
        <v>0.51522326500000004</v>
      </c>
      <c r="K40" s="85">
        <v>0</v>
      </c>
      <c r="L40" s="85">
        <v>0</v>
      </c>
      <c r="M40" s="85">
        <v>0</v>
      </c>
      <c r="N40" s="85">
        <v>0</v>
      </c>
    </row>
    <row r="41" spans="3:14" customFormat="1" ht="15" customHeight="1" x14ac:dyDescent="0.15">
      <c r="C41" s="85">
        <v>40</v>
      </c>
      <c r="E41" s="151" t="s">
        <v>231</v>
      </c>
      <c r="F41" s="85">
        <v>2</v>
      </c>
      <c r="G41" s="85">
        <v>0.58399999999999996</v>
      </c>
      <c r="H41" s="85">
        <v>0</v>
      </c>
      <c r="I41" s="85">
        <v>0</v>
      </c>
      <c r="J41" s="85">
        <v>0.7974272</v>
      </c>
      <c r="K41" s="85">
        <v>0</v>
      </c>
      <c r="L41" s="85">
        <v>0</v>
      </c>
      <c r="M41" s="85">
        <v>0</v>
      </c>
      <c r="N41" s="85">
        <v>0</v>
      </c>
    </row>
    <row r="42" spans="3:14" customFormat="1" ht="15" customHeight="1" x14ac:dyDescent="0.15">
      <c r="C42" s="85">
        <v>41</v>
      </c>
      <c r="E42" s="151" t="s">
        <v>232</v>
      </c>
      <c r="F42" s="85">
        <v>2</v>
      </c>
      <c r="G42" s="85">
        <v>5</v>
      </c>
      <c r="H42" s="85">
        <v>0</v>
      </c>
      <c r="I42" s="85">
        <v>0</v>
      </c>
      <c r="J42" s="85">
        <v>0</v>
      </c>
      <c r="K42" s="85">
        <v>0</v>
      </c>
      <c r="L42" s="85">
        <v>0</v>
      </c>
      <c r="M42" s="85">
        <v>0</v>
      </c>
      <c r="N42" s="85">
        <v>0</v>
      </c>
    </row>
    <row r="43" spans="3:14" customFormat="1" ht="15" customHeight="1" x14ac:dyDescent="0.15">
      <c r="C43" s="85">
        <v>42</v>
      </c>
      <c r="E43" s="151" t="s">
        <v>233</v>
      </c>
      <c r="F43" s="85">
        <v>3</v>
      </c>
      <c r="G43" s="85">
        <v>0</v>
      </c>
      <c r="H43" s="85">
        <v>0</v>
      </c>
      <c r="I43" s="85">
        <v>0</v>
      </c>
      <c r="J43" s="85">
        <v>0</v>
      </c>
      <c r="K43" s="85">
        <v>0</v>
      </c>
      <c r="L43" s="85">
        <v>0</v>
      </c>
      <c r="M43" s="85">
        <v>0</v>
      </c>
      <c r="N43" s="85">
        <v>0</v>
      </c>
    </row>
    <row r="44" spans="3:14" customFormat="1" ht="15" customHeight="1" x14ac:dyDescent="0.15">
      <c r="C44" s="85">
        <v>43</v>
      </c>
      <c r="E44" s="151" t="s">
        <v>234</v>
      </c>
      <c r="F44" s="85">
        <v>3</v>
      </c>
      <c r="G44" s="85">
        <v>0</v>
      </c>
      <c r="H44" s="85">
        <v>0</v>
      </c>
      <c r="I44" s="85">
        <v>0</v>
      </c>
      <c r="J44" s="85">
        <v>0</v>
      </c>
      <c r="K44" s="85">
        <v>0</v>
      </c>
      <c r="L44" s="85">
        <v>0</v>
      </c>
      <c r="M44" s="85">
        <v>0</v>
      </c>
      <c r="N44" s="85">
        <v>0</v>
      </c>
    </row>
    <row r="45" spans="3:14" customFormat="1" ht="15" customHeight="1" x14ac:dyDescent="0.15">
      <c r="C45" s="85">
        <v>44</v>
      </c>
      <c r="E45" s="151" t="s">
        <v>235</v>
      </c>
      <c r="F45" s="85">
        <v>3</v>
      </c>
      <c r="G45" s="85">
        <v>0</v>
      </c>
      <c r="H45" s="85">
        <v>0</v>
      </c>
      <c r="I45" s="85">
        <v>0</v>
      </c>
      <c r="J45" s="85">
        <v>0</v>
      </c>
      <c r="K45" s="85">
        <v>0</v>
      </c>
      <c r="L45" s="85">
        <v>0</v>
      </c>
      <c r="M45" s="85">
        <v>0</v>
      </c>
      <c r="N45" s="85">
        <v>0</v>
      </c>
    </row>
    <row r="46" spans="3:14" customFormat="1" ht="15" customHeight="1" x14ac:dyDescent="0.15">
      <c r="C46" s="85">
        <v>45</v>
      </c>
      <c r="E46" s="151" t="s">
        <v>236</v>
      </c>
      <c r="F46" s="85">
        <v>3</v>
      </c>
      <c r="G46" s="85">
        <v>0</v>
      </c>
      <c r="H46" s="85">
        <v>0</v>
      </c>
      <c r="I46" s="85">
        <v>0</v>
      </c>
      <c r="J46" s="85">
        <v>0</v>
      </c>
      <c r="K46" s="85">
        <v>0</v>
      </c>
      <c r="L46" s="85">
        <v>0</v>
      </c>
      <c r="M46" s="85">
        <v>0</v>
      </c>
      <c r="N46" s="85">
        <v>0</v>
      </c>
    </row>
    <row r="47" spans="3:14" customFormat="1" ht="15" customHeight="1" x14ac:dyDescent="0.15">
      <c r="C47" s="85">
        <v>46</v>
      </c>
      <c r="E47" s="151" t="s">
        <v>237</v>
      </c>
      <c r="F47" s="85">
        <v>3</v>
      </c>
      <c r="G47" s="85">
        <v>0</v>
      </c>
      <c r="H47" s="85">
        <v>0</v>
      </c>
      <c r="I47" s="85">
        <v>0</v>
      </c>
      <c r="J47" s="85">
        <v>0</v>
      </c>
      <c r="K47" s="85">
        <v>0</v>
      </c>
      <c r="L47" s="85">
        <v>0</v>
      </c>
      <c r="M47" s="85">
        <v>0</v>
      </c>
      <c r="N47" s="85">
        <v>0</v>
      </c>
    </row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P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5.5" style="145" bestFit="1" customWidth="1"/>
    <col min="2" max="2" width="2.33203125" style="145" bestFit="1" customWidth="1"/>
    <col min="3" max="6" width="4.83203125" style="145" bestFit="1" customWidth="1"/>
    <col min="7" max="7" width="5.83203125" style="145" bestFit="1" customWidth="1"/>
    <col min="8" max="8" width="4.83203125" style="145" bestFit="1" customWidth="1"/>
    <col min="9" max="10" width="14.83203125" style="145" bestFit="1" customWidth="1"/>
    <col min="11" max="11" width="5.83203125" style="145" bestFit="1" customWidth="1"/>
    <col min="12" max="12" width="4.83203125" style="145" bestFit="1" customWidth="1"/>
    <col min="13" max="13" width="5.83203125" style="145" bestFit="1" customWidth="1"/>
    <col min="14" max="14" width="14.83203125" style="145" bestFit="1" customWidth="1"/>
    <col min="15" max="15" width="13.83203125" style="145" bestFit="1" customWidth="1"/>
    <col min="16" max="17" width="14.83203125" style="145" bestFit="1" customWidth="1"/>
    <col min="18" max="18" width="5.83203125" style="145" bestFit="1" customWidth="1"/>
    <col min="19" max="19" width="15.83203125" style="145" bestFit="1" customWidth="1"/>
    <col min="20" max="20" width="5.83203125" style="145" bestFit="1" customWidth="1"/>
    <col min="21" max="22" width="14.83203125" style="145" bestFit="1" customWidth="1"/>
    <col min="23" max="25" width="5.83203125" style="145" bestFit="1" customWidth="1"/>
    <col min="26" max="27" width="14.83203125" style="145" bestFit="1" customWidth="1"/>
    <col min="28" max="29" width="2.33203125" style="145" bestFit="1" customWidth="1"/>
    <col min="30" max="30" width="2.33203125" style="145" customWidth="1"/>
    <col min="31" max="31" width="5.83203125" style="145" customWidth="1"/>
    <col min="32" max="32" width="15.83203125" style="145" customWidth="1"/>
    <col min="33" max="33" width="14.83203125" style="145" customWidth="1"/>
    <col min="34" max="34" width="5.83203125" style="145" customWidth="1"/>
    <col min="35" max="35" width="15.83203125" style="145" customWidth="1"/>
    <col min="36" max="37" width="5.83203125" style="145" customWidth="1"/>
    <col min="38" max="38" width="15.83203125" style="145" customWidth="1"/>
    <col min="39" max="39" width="5.83203125" style="145" customWidth="1"/>
    <col min="40" max="42" width="2.33203125" style="145" customWidth="1"/>
    <col min="43" max="16384" width="8.83203125" style="145"/>
  </cols>
  <sheetData>
    <row r="1" spans="1:42" x14ac:dyDescent="0.15">
      <c r="A1" s="144" t="s">
        <v>19</v>
      </c>
      <c r="B1" s="153" t="s">
        <v>192</v>
      </c>
      <c r="C1" s="153" t="s">
        <v>193</v>
      </c>
      <c r="D1" s="153" t="s">
        <v>194</v>
      </c>
      <c r="E1" s="153" t="s">
        <v>195</v>
      </c>
      <c r="F1" s="153" t="s">
        <v>196</v>
      </c>
      <c r="G1" s="153" t="s">
        <v>197</v>
      </c>
      <c r="H1" s="153" t="s">
        <v>198</v>
      </c>
      <c r="I1" s="153" t="s">
        <v>199</v>
      </c>
      <c r="J1" s="153" t="s">
        <v>200</v>
      </c>
      <c r="K1" s="153" t="s">
        <v>201</v>
      </c>
      <c r="L1" s="153" t="s">
        <v>202</v>
      </c>
      <c r="M1" s="153" t="s">
        <v>203</v>
      </c>
      <c r="N1" s="153" t="s">
        <v>204</v>
      </c>
      <c r="O1" s="153" t="s">
        <v>205</v>
      </c>
      <c r="P1" s="153" t="s">
        <v>206</v>
      </c>
      <c r="Q1" s="153" t="s">
        <v>207</v>
      </c>
      <c r="R1" s="153" t="s">
        <v>208</v>
      </c>
      <c r="S1" s="153" t="s">
        <v>209</v>
      </c>
      <c r="T1" s="153" t="s">
        <v>210</v>
      </c>
      <c r="U1" s="153" t="s">
        <v>211</v>
      </c>
      <c r="V1" s="153" t="s">
        <v>212</v>
      </c>
      <c r="W1" s="153" t="s">
        <v>213</v>
      </c>
      <c r="X1" s="153" t="s">
        <v>214</v>
      </c>
      <c r="Y1" s="153" t="s">
        <v>215</v>
      </c>
      <c r="Z1" s="153" t="s">
        <v>216</v>
      </c>
      <c r="AA1" s="153" t="s">
        <v>217</v>
      </c>
      <c r="AB1" s="153" t="s">
        <v>218</v>
      </c>
      <c r="AC1" s="153" t="s">
        <v>219</v>
      </c>
      <c r="AD1" s="153" t="s">
        <v>220</v>
      </c>
      <c r="AE1" s="153" t="s">
        <v>221</v>
      </c>
      <c r="AF1" s="153" t="s">
        <v>222</v>
      </c>
      <c r="AG1" s="153" t="s">
        <v>223</v>
      </c>
      <c r="AH1" s="153" t="s">
        <v>224</v>
      </c>
      <c r="AI1" s="153" t="s">
        <v>225</v>
      </c>
      <c r="AJ1" s="153" t="s">
        <v>226</v>
      </c>
      <c r="AK1" s="153" t="s">
        <v>227</v>
      </c>
      <c r="AL1" s="153" t="s">
        <v>228</v>
      </c>
      <c r="AM1" s="153" t="s">
        <v>229</v>
      </c>
      <c r="AN1" s="153" t="s">
        <v>230</v>
      </c>
      <c r="AO1" s="153" t="s">
        <v>231</v>
      </c>
      <c r="AP1" s="153" t="s">
        <v>232</v>
      </c>
    </row>
    <row r="2" spans="1:42" customFormat="1" x14ac:dyDescent="0.15">
      <c r="A2" s="152" t="s">
        <v>192</v>
      </c>
      <c r="B2" s="145">
        <v>0</v>
      </c>
      <c r="C2" s="145">
        <v>0.65</v>
      </c>
      <c r="D2" s="145">
        <v>0.5</v>
      </c>
      <c r="E2" s="145">
        <v>0.15</v>
      </c>
      <c r="F2" s="145">
        <v>0.08</v>
      </c>
      <c r="G2" s="145">
        <v>0.02</v>
      </c>
      <c r="H2" s="145">
        <v>0</v>
      </c>
      <c r="I2" s="145">
        <v>0</v>
      </c>
      <c r="J2" s="145">
        <v>0</v>
      </c>
      <c r="K2" s="145">
        <v>0</v>
      </c>
      <c r="L2" s="145">
        <v>0</v>
      </c>
      <c r="M2" s="145">
        <v>0</v>
      </c>
      <c r="N2" s="145">
        <v>0</v>
      </c>
      <c r="O2" s="145">
        <v>0</v>
      </c>
      <c r="P2" s="145">
        <v>0</v>
      </c>
      <c r="Q2" s="145">
        <v>0</v>
      </c>
      <c r="R2" s="145">
        <v>0</v>
      </c>
      <c r="S2" s="145">
        <v>0</v>
      </c>
      <c r="T2" s="145">
        <v>0</v>
      </c>
      <c r="U2" s="145">
        <v>0</v>
      </c>
      <c r="V2" s="145">
        <v>0</v>
      </c>
      <c r="W2" s="145">
        <v>0</v>
      </c>
      <c r="X2" s="145">
        <v>0</v>
      </c>
      <c r="Y2" s="145">
        <v>0</v>
      </c>
      <c r="Z2" s="145">
        <v>0</v>
      </c>
      <c r="AA2" s="145">
        <v>0</v>
      </c>
      <c r="AB2" s="145">
        <v>0</v>
      </c>
      <c r="AC2" s="145">
        <v>0</v>
      </c>
      <c r="AD2" s="145">
        <v>0</v>
      </c>
      <c r="AE2" s="145">
        <v>0</v>
      </c>
      <c r="AF2" s="145">
        <v>0</v>
      </c>
      <c r="AG2" s="145">
        <v>0</v>
      </c>
      <c r="AH2" s="145">
        <v>1.4E-2</v>
      </c>
      <c r="AI2" s="145">
        <v>0</v>
      </c>
      <c r="AJ2" s="145">
        <v>0</v>
      </c>
      <c r="AK2" s="145">
        <v>0</v>
      </c>
      <c r="AL2" s="145">
        <v>0</v>
      </c>
      <c r="AM2" s="145">
        <v>0</v>
      </c>
      <c r="AN2" s="145">
        <v>0</v>
      </c>
      <c r="AO2" s="145">
        <v>0</v>
      </c>
      <c r="AP2" s="145">
        <v>0</v>
      </c>
    </row>
    <row r="3" spans="1:42" customFormat="1" x14ac:dyDescent="0.15">
      <c r="A3" s="152" t="s">
        <v>193</v>
      </c>
      <c r="B3" s="145">
        <v>0</v>
      </c>
      <c r="C3" s="145">
        <v>0.05</v>
      </c>
      <c r="D3" s="145">
        <v>0.25</v>
      </c>
      <c r="E3" s="145">
        <v>0.15</v>
      </c>
      <c r="F3" s="145">
        <v>0.1</v>
      </c>
      <c r="G3" s="145">
        <v>0</v>
      </c>
      <c r="H3" s="145">
        <v>0</v>
      </c>
      <c r="I3" s="145">
        <v>0</v>
      </c>
      <c r="J3" s="145">
        <v>0</v>
      </c>
      <c r="K3" s="145">
        <v>0</v>
      </c>
      <c r="L3" s="145">
        <v>0</v>
      </c>
      <c r="M3" s="145">
        <v>0</v>
      </c>
      <c r="N3" s="145">
        <v>0</v>
      </c>
      <c r="O3" s="145">
        <v>0</v>
      </c>
      <c r="P3" s="145">
        <v>0</v>
      </c>
      <c r="Q3" s="145">
        <v>0</v>
      </c>
      <c r="R3" s="145">
        <v>0</v>
      </c>
      <c r="S3" s="145">
        <v>0</v>
      </c>
      <c r="T3" s="145">
        <v>0</v>
      </c>
      <c r="U3" s="145">
        <v>0</v>
      </c>
      <c r="V3" s="145">
        <v>0</v>
      </c>
      <c r="W3" s="145">
        <v>0</v>
      </c>
      <c r="X3" s="145">
        <v>0</v>
      </c>
      <c r="Y3" s="145">
        <v>0</v>
      </c>
      <c r="Z3" s="145">
        <v>0</v>
      </c>
      <c r="AA3" s="145">
        <v>0</v>
      </c>
      <c r="AB3" s="145">
        <v>0</v>
      </c>
      <c r="AC3" s="145">
        <v>0</v>
      </c>
      <c r="AD3" s="145">
        <v>0</v>
      </c>
      <c r="AE3" s="145">
        <v>0</v>
      </c>
      <c r="AF3" s="145">
        <v>0</v>
      </c>
      <c r="AG3" s="145">
        <v>0</v>
      </c>
      <c r="AH3" s="145">
        <v>0</v>
      </c>
      <c r="AI3" s="145">
        <v>0</v>
      </c>
      <c r="AJ3" s="145">
        <v>0</v>
      </c>
      <c r="AK3" s="145">
        <v>0</v>
      </c>
      <c r="AL3" s="145">
        <v>0</v>
      </c>
      <c r="AM3" s="145">
        <v>0</v>
      </c>
      <c r="AN3" s="145">
        <v>0</v>
      </c>
      <c r="AO3" s="145">
        <v>0</v>
      </c>
      <c r="AP3" s="145">
        <v>0</v>
      </c>
    </row>
    <row r="4" spans="1:42" customFormat="1" x14ac:dyDescent="0.15">
      <c r="A4" s="152" t="s">
        <v>194</v>
      </c>
      <c r="B4" s="145">
        <v>0</v>
      </c>
      <c r="C4" s="145">
        <v>0</v>
      </c>
      <c r="D4" s="145">
        <v>0.05</v>
      </c>
      <c r="E4" s="145">
        <v>0.5</v>
      </c>
      <c r="F4" s="145">
        <v>0.75</v>
      </c>
      <c r="G4" s="145">
        <v>0.1</v>
      </c>
      <c r="H4" s="145">
        <v>0</v>
      </c>
      <c r="I4" s="145">
        <v>4.0959042368151739E-2</v>
      </c>
      <c r="J4" s="145">
        <v>0</v>
      </c>
      <c r="K4" s="145">
        <v>0</v>
      </c>
      <c r="L4" s="145">
        <v>0</v>
      </c>
      <c r="M4" s="145">
        <v>0</v>
      </c>
      <c r="N4" s="145">
        <v>5.4999998738200107E-2</v>
      </c>
      <c r="O4" s="145">
        <v>1.4985014700599385E-2</v>
      </c>
      <c r="P4" s="145">
        <v>0</v>
      </c>
      <c r="Q4" s="145">
        <v>1.1976048034371255E-2</v>
      </c>
      <c r="R4" s="145">
        <v>7.6999999999999985E-2</v>
      </c>
      <c r="S4" s="145">
        <v>0</v>
      </c>
      <c r="T4" s="145">
        <v>9.5000000000000001E-2</v>
      </c>
      <c r="U4" s="145">
        <v>6.0060057057057204E-3</v>
      </c>
      <c r="V4" s="145">
        <v>0</v>
      </c>
      <c r="W4" s="145">
        <v>1.4999999999999999E-2</v>
      </c>
      <c r="X4" s="145">
        <v>0.45800000000000002</v>
      </c>
      <c r="Y4" s="145">
        <v>0.86499999999999999</v>
      </c>
      <c r="Z4" s="145">
        <v>0</v>
      </c>
      <c r="AA4" s="145">
        <v>0</v>
      </c>
      <c r="AB4" s="145">
        <v>1</v>
      </c>
      <c r="AC4" s="145">
        <v>1</v>
      </c>
      <c r="AD4" s="145">
        <v>1</v>
      </c>
      <c r="AE4" s="145">
        <v>0.97299999999999998</v>
      </c>
      <c r="AF4" s="145">
        <v>0.66333666041870176</v>
      </c>
      <c r="AG4" s="145">
        <v>0.46746747503228309</v>
      </c>
      <c r="AH4" s="145">
        <v>0.68600000000000005</v>
      </c>
      <c r="AI4" s="145">
        <v>0</v>
      </c>
      <c r="AJ4" s="145">
        <v>0</v>
      </c>
      <c r="AK4" s="145">
        <v>0</v>
      </c>
      <c r="AL4" s="145">
        <v>0</v>
      </c>
      <c r="AM4" s="145">
        <v>0</v>
      </c>
      <c r="AN4" s="145">
        <v>0</v>
      </c>
      <c r="AO4" s="145">
        <v>0</v>
      </c>
      <c r="AP4" s="145">
        <v>0</v>
      </c>
    </row>
    <row r="5" spans="1:42" customFormat="1" x14ac:dyDescent="0.15">
      <c r="A5" s="152" t="s">
        <v>195</v>
      </c>
      <c r="B5" s="145">
        <v>0</v>
      </c>
      <c r="C5" s="145">
        <v>0</v>
      </c>
      <c r="D5" s="145">
        <v>0</v>
      </c>
      <c r="E5" s="145">
        <v>0.05</v>
      </c>
      <c r="F5" s="145">
        <v>0.04</v>
      </c>
      <c r="G5" s="145">
        <v>0</v>
      </c>
      <c r="H5" s="145">
        <v>0</v>
      </c>
      <c r="I5" s="145">
        <v>6.1938061566473544E-2</v>
      </c>
      <c r="J5" s="145">
        <v>4.9999999391999936E-3</v>
      </c>
      <c r="K5" s="145">
        <v>0.24099999999999999</v>
      </c>
      <c r="L5" s="145">
        <v>0</v>
      </c>
      <c r="M5" s="145">
        <v>3.5999999999999997E-2</v>
      </c>
      <c r="N5" s="145">
        <v>8.6000002710639775E-2</v>
      </c>
      <c r="O5" s="145">
        <v>0.11088911366443574</v>
      </c>
      <c r="P5" s="145">
        <v>0</v>
      </c>
      <c r="Q5" s="145">
        <v>0.10479041580074862</v>
      </c>
      <c r="R5" s="145">
        <v>0.29899999999999993</v>
      </c>
      <c r="S5" s="145">
        <v>9.3718842256949236E-2</v>
      </c>
      <c r="T5" s="145">
        <v>5.6000000000000001E-2</v>
      </c>
      <c r="U5" s="145">
        <v>2.4024023422822852E-2</v>
      </c>
      <c r="V5" s="145">
        <v>9.0090086748648764E-3</v>
      </c>
      <c r="W5" s="145">
        <v>5.0000000000000001E-3</v>
      </c>
      <c r="X5" s="145">
        <v>0.45800000000000002</v>
      </c>
      <c r="Y5" s="145">
        <v>0.10199999999999999</v>
      </c>
      <c r="Z5" s="145">
        <v>0.11534604254087251</v>
      </c>
      <c r="AA5" s="145">
        <v>4.8048047463543582E-2</v>
      </c>
      <c r="AB5" s="145">
        <v>0</v>
      </c>
      <c r="AC5" s="145">
        <v>0</v>
      </c>
      <c r="AD5" s="145">
        <v>0</v>
      </c>
      <c r="AE5" s="145">
        <v>5.0000000000000001E-3</v>
      </c>
      <c r="AF5" s="145">
        <v>0.20579420272026</v>
      </c>
      <c r="AG5" s="145">
        <v>0.25325324802177124</v>
      </c>
      <c r="AH5" s="145">
        <v>8.5999999999999993E-2</v>
      </c>
      <c r="AI5" s="145">
        <v>2.9970029083716248E-3</v>
      </c>
      <c r="AJ5" s="145">
        <v>2E-3</v>
      </c>
      <c r="AK5" s="145">
        <v>0</v>
      </c>
      <c r="AL5" s="145">
        <v>0</v>
      </c>
      <c r="AM5" s="145">
        <v>0</v>
      </c>
      <c r="AN5" s="145">
        <v>0</v>
      </c>
      <c r="AO5" s="145">
        <v>0</v>
      </c>
      <c r="AP5" s="145">
        <v>0</v>
      </c>
    </row>
    <row r="6" spans="1:42" customFormat="1" x14ac:dyDescent="0.15">
      <c r="A6" s="152" t="s">
        <v>196</v>
      </c>
      <c r="B6" s="145">
        <v>0</v>
      </c>
      <c r="C6" s="145">
        <v>0</v>
      </c>
      <c r="D6" s="145">
        <v>0</v>
      </c>
      <c r="E6" s="145">
        <v>0</v>
      </c>
      <c r="F6" s="145">
        <v>0.03</v>
      </c>
      <c r="G6" s="145">
        <v>0</v>
      </c>
      <c r="H6" s="145">
        <v>0</v>
      </c>
      <c r="I6" s="145">
        <v>0</v>
      </c>
      <c r="J6" s="145">
        <v>0</v>
      </c>
      <c r="K6" s="145">
        <v>0</v>
      </c>
      <c r="L6" s="145">
        <v>0</v>
      </c>
      <c r="M6" s="145">
        <v>0</v>
      </c>
      <c r="N6" s="145">
        <v>0</v>
      </c>
      <c r="O6" s="145">
        <v>0</v>
      </c>
      <c r="P6" s="145">
        <v>0</v>
      </c>
      <c r="Q6" s="145">
        <v>0</v>
      </c>
      <c r="R6" s="145">
        <v>5.9999999999999984E-3</v>
      </c>
      <c r="S6" s="145">
        <v>0</v>
      </c>
      <c r="T6" s="145">
        <v>0</v>
      </c>
      <c r="U6" s="145">
        <v>0</v>
      </c>
      <c r="V6" s="145">
        <v>0</v>
      </c>
      <c r="W6" s="145">
        <v>0</v>
      </c>
      <c r="X6" s="145">
        <v>0</v>
      </c>
      <c r="Y6" s="145">
        <v>0</v>
      </c>
      <c r="Z6" s="145">
        <v>1.2036108247743227E-2</v>
      </c>
      <c r="AA6" s="145">
        <v>0</v>
      </c>
      <c r="AB6" s="145">
        <v>0</v>
      </c>
      <c r="AC6" s="145">
        <v>0</v>
      </c>
      <c r="AD6" s="145">
        <v>0</v>
      </c>
      <c r="AE6" s="145">
        <v>0</v>
      </c>
      <c r="AF6" s="145">
        <v>2.4975026409740184E-2</v>
      </c>
      <c r="AG6" s="145">
        <v>9.0090089256756684E-2</v>
      </c>
      <c r="AH6" s="145">
        <v>0</v>
      </c>
      <c r="AI6" s="145">
        <v>1.0989010397362615E-2</v>
      </c>
      <c r="AJ6" s="145">
        <v>0</v>
      </c>
      <c r="AK6" s="145">
        <v>4.4999999999999998E-2</v>
      </c>
      <c r="AL6" s="145">
        <v>0</v>
      </c>
      <c r="AM6" s="145">
        <v>0</v>
      </c>
      <c r="AN6" s="145">
        <v>0</v>
      </c>
      <c r="AO6" s="145">
        <v>0</v>
      </c>
      <c r="AP6" s="145">
        <v>0</v>
      </c>
    </row>
    <row r="7" spans="1:42" customFormat="1" x14ac:dyDescent="0.15">
      <c r="A7" s="152" t="s">
        <v>197</v>
      </c>
      <c r="B7" s="145">
        <v>0</v>
      </c>
      <c r="C7" s="145">
        <v>0</v>
      </c>
      <c r="D7" s="145">
        <v>0</v>
      </c>
      <c r="E7" s="145">
        <v>0</v>
      </c>
      <c r="F7" s="145">
        <v>0</v>
      </c>
      <c r="G7" s="145">
        <v>2.5000000000000001E-2</v>
      </c>
      <c r="H7" s="145">
        <v>0</v>
      </c>
      <c r="I7" s="145">
        <v>0.23076923048153847</v>
      </c>
      <c r="J7" s="145">
        <v>5.6999998518879852E-2</v>
      </c>
      <c r="K7" s="145">
        <v>2.8000000000000001E-2</v>
      </c>
      <c r="L7" s="145">
        <v>0</v>
      </c>
      <c r="M7" s="145">
        <v>2.5999999999999999E-2</v>
      </c>
      <c r="N7" s="145">
        <v>1.6000001243839896E-2</v>
      </c>
      <c r="O7" s="145">
        <v>0.12987012480519453</v>
      </c>
      <c r="P7" s="145">
        <v>4.2000001034000124E-2</v>
      </c>
      <c r="Q7" s="145">
        <v>0.22155689323586808</v>
      </c>
      <c r="R7" s="145">
        <v>0.15199999999999997</v>
      </c>
      <c r="S7" s="145">
        <v>5.8823532239999761E-2</v>
      </c>
      <c r="T7" s="145">
        <v>0.53700000000000003</v>
      </c>
      <c r="U7" s="145">
        <v>1.0010010109509505E-2</v>
      </c>
      <c r="V7" s="145">
        <v>0.17717718460567541</v>
      </c>
      <c r="W7" s="145">
        <v>4.9000000000000002E-2</v>
      </c>
      <c r="X7" s="145">
        <v>3.7999999999999999E-2</v>
      </c>
      <c r="Y7" s="145">
        <v>1.7000000000000001E-2</v>
      </c>
      <c r="Z7" s="145">
        <v>0</v>
      </c>
      <c r="AA7" s="145">
        <v>6.0060056829429609E-3</v>
      </c>
      <c r="AB7" s="145">
        <v>0</v>
      </c>
      <c r="AC7" s="145">
        <v>0</v>
      </c>
      <c r="AD7" s="145">
        <v>0</v>
      </c>
      <c r="AE7" s="145">
        <v>2.1999999999999999E-2</v>
      </c>
      <c r="AF7" s="145">
        <v>7.192807570805175E-2</v>
      </c>
      <c r="AG7" s="145">
        <v>4.3043044422672816E-2</v>
      </c>
      <c r="AH7" s="145">
        <v>0.20300000000000001</v>
      </c>
      <c r="AI7" s="145">
        <v>1.6983017914105926E-2</v>
      </c>
      <c r="AJ7" s="145">
        <v>0</v>
      </c>
      <c r="AK7" s="145">
        <v>0</v>
      </c>
      <c r="AL7" s="145">
        <v>0</v>
      </c>
      <c r="AM7" s="145">
        <v>0</v>
      </c>
      <c r="AN7" s="145">
        <v>0</v>
      </c>
      <c r="AO7" s="145">
        <v>0</v>
      </c>
      <c r="AP7" s="145">
        <v>0</v>
      </c>
    </row>
    <row r="8" spans="1:42" customFormat="1" x14ac:dyDescent="0.15">
      <c r="A8" s="152" t="s">
        <v>198</v>
      </c>
      <c r="B8" s="145">
        <v>0</v>
      </c>
      <c r="C8" s="145">
        <v>0</v>
      </c>
      <c r="D8" s="145">
        <v>0</v>
      </c>
      <c r="E8" s="145">
        <v>0</v>
      </c>
      <c r="F8" s="145">
        <v>0</v>
      </c>
      <c r="G8" s="145">
        <v>0.02</v>
      </c>
      <c r="H8" s="145">
        <v>0.05</v>
      </c>
      <c r="I8" s="145">
        <v>0.19480518605584476</v>
      </c>
      <c r="J8" s="145">
        <v>0.41399998798975873</v>
      </c>
      <c r="K8" s="145">
        <v>2.1999999999999999E-2</v>
      </c>
      <c r="L8" s="145">
        <v>0.02</v>
      </c>
      <c r="M8" s="145">
        <v>5.8999999999999997E-2</v>
      </c>
      <c r="N8" s="145">
        <v>5.9999997314400234E-2</v>
      </c>
      <c r="O8" s="145">
        <v>0.18981018340759204</v>
      </c>
      <c r="P8" s="145">
        <v>3.9000002053000256E-2</v>
      </c>
      <c r="Q8" s="145">
        <v>0.15169660236870275</v>
      </c>
      <c r="R8" s="145">
        <v>3.4999999999999996E-2</v>
      </c>
      <c r="S8" s="145">
        <v>2.3928215623050822E-2</v>
      </c>
      <c r="T8" s="145">
        <v>7.8E-2</v>
      </c>
      <c r="U8" s="145">
        <v>1.3013012962362364E-2</v>
      </c>
      <c r="V8" s="145">
        <v>0.39939938558567617</v>
      </c>
      <c r="W8" s="145">
        <v>0.39600000000000002</v>
      </c>
      <c r="X8" s="145">
        <v>1E-3</v>
      </c>
      <c r="Y8" s="145">
        <v>1.2E-2</v>
      </c>
      <c r="Z8" s="145">
        <v>0.17352056280496481</v>
      </c>
      <c r="AA8" s="145">
        <v>7.6076071383944191E-2</v>
      </c>
      <c r="AB8" s="145">
        <v>0</v>
      </c>
      <c r="AC8" s="145">
        <v>0</v>
      </c>
      <c r="AD8" s="145">
        <v>0</v>
      </c>
      <c r="AE8" s="145">
        <v>0</v>
      </c>
      <c r="AF8" s="145">
        <v>0</v>
      </c>
      <c r="AG8" s="145">
        <v>0</v>
      </c>
      <c r="AH8" s="145">
        <v>0</v>
      </c>
      <c r="AI8" s="145">
        <v>0</v>
      </c>
      <c r="AJ8" s="145">
        <v>0</v>
      </c>
      <c r="AK8" s="145">
        <v>0</v>
      </c>
      <c r="AL8" s="145">
        <v>0</v>
      </c>
      <c r="AM8" s="145">
        <v>0</v>
      </c>
      <c r="AN8" s="145">
        <v>0</v>
      </c>
      <c r="AO8" s="145">
        <v>0</v>
      </c>
      <c r="AP8" s="145">
        <v>0</v>
      </c>
    </row>
    <row r="9" spans="1:42" customFormat="1" x14ac:dyDescent="0.15">
      <c r="A9" s="152" t="s">
        <v>199</v>
      </c>
      <c r="B9" s="145">
        <v>0</v>
      </c>
      <c r="C9" s="145">
        <v>0</v>
      </c>
      <c r="D9" s="145">
        <v>0</v>
      </c>
      <c r="E9" s="145">
        <v>0</v>
      </c>
      <c r="F9" s="145">
        <v>0</v>
      </c>
      <c r="G9" s="145">
        <v>0</v>
      </c>
      <c r="H9" s="145">
        <v>0</v>
      </c>
      <c r="I9" s="145">
        <v>2.6973028069270644E-2</v>
      </c>
      <c r="J9" s="145">
        <v>1.6000000561440058E-2</v>
      </c>
      <c r="K9" s="145">
        <v>0.111</v>
      </c>
      <c r="L9" s="145">
        <v>0</v>
      </c>
      <c r="M9" s="145">
        <v>5.7000000000000002E-2</v>
      </c>
      <c r="N9" s="145">
        <v>1.7000001359079888E-2</v>
      </c>
      <c r="O9" s="145">
        <v>7.1928074322877275E-2</v>
      </c>
      <c r="P9" s="145">
        <v>1.8999999912999988E-2</v>
      </c>
      <c r="Q9" s="145">
        <v>9.7804387014032088E-2</v>
      </c>
      <c r="R9" s="145">
        <v>0.17399999999999996</v>
      </c>
      <c r="S9" s="145">
        <v>6.4805584645762582E-2</v>
      </c>
      <c r="T9" s="145">
        <v>8.8999999999999996E-2</v>
      </c>
      <c r="U9" s="145">
        <v>4.6046047743743657E-2</v>
      </c>
      <c r="V9" s="145">
        <v>0.10610610617063063</v>
      </c>
      <c r="W9" s="145">
        <v>1.6E-2</v>
      </c>
      <c r="X9" s="145">
        <v>1.7000000000000001E-2</v>
      </c>
      <c r="Y9" s="145">
        <v>4.0000000000000001E-3</v>
      </c>
      <c r="Z9" s="145">
        <v>0.16048143596990977</v>
      </c>
      <c r="AA9" s="145">
        <v>7.7077075931101177E-2</v>
      </c>
      <c r="AB9" s="145">
        <v>0</v>
      </c>
      <c r="AC9" s="145">
        <v>0</v>
      </c>
      <c r="AD9" s="145">
        <v>0</v>
      </c>
      <c r="AE9" s="145">
        <v>0</v>
      </c>
      <c r="AF9" s="145">
        <v>2.9970030811688276E-3</v>
      </c>
      <c r="AG9" s="145">
        <v>1.2012011234234156E-2</v>
      </c>
      <c r="AH9" s="145">
        <v>0</v>
      </c>
      <c r="AI9" s="145">
        <v>3.9960041444955094E-3</v>
      </c>
      <c r="AJ9" s="145">
        <v>2.9000000000000001E-2</v>
      </c>
      <c r="AK9" s="145">
        <v>0</v>
      </c>
      <c r="AL9" s="145">
        <v>0</v>
      </c>
      <c r="AM9" s="145">
        <v>1E-3</v>
      </c>
      <c r="AN9" s="145">
        <v>0</v>
      </c>
      <c r="AO9" s="145">
        <v>0</v>
      </c>
      <c r="AP9" s="145">
        <v>0</v>
      </c>
    </row>
    <row r="10" spans="1:42" customFormat="1" x14ac:dyDescent="0.15">
      <c r="A10" s="152" t="s">
        <v>200</v>
      </c>
      <c r="B10" s="145">
        <v>0</v>
      </c>
      <c r="C10" s="145">
        <v>0</v>
      </c>
      <c r="D10" s="145">
        <v>0</v>
      </c>
      <c r="E10" s="145">
        <v>0</v>
      </c>
      <c r="F10" s="145">
        <v>0</v>
      </c>
      <c r="G10" s="145">
        <v>0</v>
      </c>
      <c r="H10" s="145">
        <v>0</v>
      </c>
      <c r="I10" s="145">
        <v>2.9970030454745215E-3</v>
      </c>
      <c r="J10" s="145">
        <v>1.9999999776799979E-2</v>
      </c>
      <c r="K10" s="145">
        <v>7.2999999999999995E-2</v>
      </c>
      <c r="L10" s="145">
        <v>0</v>
      </c>
      <c r="M10" s="145">
        <v>0.156</v>
      </c>
      <c r="N10" s="145">
        <v>3.0000000057199996E-3</v>
      </c>
      <c r="O10" s="145">
        <v>2.6973027521078954E-2</v>
      </c>
      <c r="P10" s="145">
        <v>9.0000001430000174E-3</v>
      </c>
      <c r="Q10" s="145">
        <v>6.1876248110918151E-2</v>
      </c>
      <c r="R10" s="145">
        <v>2.7999999999999994E-2</v>
      </c>
      <c r="S10" s="145">
        <v>0</v>
      </c>
      <c r="T10" s="145">
        <v>4.7E-2</v>
      </c>
      <c r="U10" s="145">
        <v>5.8058057155155197E-2</v>
      </c>
      <c r="V10" s="145">
        <v>2.4024023732972979E-2</v>
      </c>
      <c r="W10" s="145">
        <v>4.2000000000000003E-2</v>
      </c>
      <c r="X10" s="145">
        <v>1.4E-2</v>
      </c>
      <c r="Y10" s="145">
        <v>0</v>
      </c>
      <c r="Z10" s="145">
        <v>4.0120365492477368E-3</v>
      </c>
      <c r="AA10" s="145">
        <v>8.1081080619729767E-2</v>
      </c>
      <c r="AB10" s="145">
        <v>0</v>
      </c>
      <c r="AC10" s="145">
        <v>0</v>
      </c>
      <c r="AD10" s="145">
        <v>0</v>
      </c>
      <c r="AE10" s="145">
        <v>0</v>
      </c>
      <c r="AF10" s="145">
        <v>9.9900104038960834E-4</v>
      </c>
      <c r="AG10" s="145">
        <v>0</v>
      </c>
      <c r="AH10" s="145">
        <v>0</v>
      </c>
      <c r="AI10" s="145">
        <v>0</v>
      </c>
      <c r="AJ10" s="145">
        <v>0</v>
      </c>
      <c r="AK10" s="145">
        <v>0.16800000000000001</v>
      </c>
      <c r="AL10" s="145">
        <v>0</v>
      </c>
      <c r="AM10" s="145">
        <v>0</v>
      </c>
      <c r="AN10" s="145">
        <v>0</v>
      </c>
      <c r="AO10" s="145">
        <v>0</v>
      </c>
      <c r="AP10" s="145">
        <v>0</v>
      </c>
    </row>
    <row r="11" spans="1:42" customFormat="1" x14ac:dyDescent="0.15">
      <c r="A11" s="152" t="s">
        <v>201</v>
      </c>
      <c r="B11" s="145">
        <v>0</v>
      </c>
      <c r="C11" s="145">
        <v>0</v>
      </c>
      <c r="D11" s="145">
        <v>0</v>
      </c>
      <c r="E11" s="145">
        <v>0</v>
      </c>
      <c r="F11" s="145">
        <v>0</v>
      </c>
      <c r="G11" s="145">
        <v>0</v>
      </c>
      <c r="H11" s="145">
        <v>0</v>
      </c>
      <c r="I11" s="145">
        <v>0</v>
      </c>
      <c r="J11" s="145">
        <v>5.9999996230399606E-3</v>
      </c>
      <c r="K11" s="145">
        <v>0</v>
      </c>
      <c r="L11" s="145">
        <v>0</v>
      </c>
      <c r="M11" s="145">
        <v>4.0000000000000001E-3</v>
      </c>
      <c r="N11" s="145">
        <v>0</v>
      </c>
      <c r="O11" s="145">
        <v>0</v>
      </c>
      <c r="P11" s="145">
        <v>9.0000001430000174E-3</v>
      </c>
      <c r="Q11" s="145">
        <v>0</v>
      </c>
      <c r="R11" s="145">
        <v>0</v>
      </c>
      <c r="S11" s="145">
        <v>9.970090176271147E-4</v>
      </c>
      <c r="T11" s="145">
        <v>0</v>
      </c>
      <c r="U11" s="145">
        <v>0</v>
      </c>
      <c r="V11" s="145">
        <v>0</v>
      </c>
      <c r="W11" s="145">
        <v>0</v>
      </c>
      <c r="X11" s="145">
        <v>0</v>
      </c>
      <c r="Y11" s="145">
        <v>0</v>
      </c>
      <c r="Z11" s="145">
        <v>0</v>
      </c>
      <c r="AA11" s="145">
        <v>0</v>
      </c>
      <c r="AB11" s="145">
        <v>0</v>
      </c>
      <c r="AC11" s="145">
        <v>0</v>
      </c>
      <c r="AD11" s="145">
        <v>0</v>
      </c>
      <c r="AE11" s="145">
        <v>0</v>
      </c>
      <c r="AF11" s="145">
        <v>0</v>
      </c>
      <c r="AG11" s="145">
        <v>0</v>
      </c>
      <c r="AH11" s="145">
        <v>0</v>
      </c>
      <c r="AI11" s="145">
        <v>0</v>
      </c>
      <c r="AJ11" s="145">
        <v>0</v>
      </c>
      <c r="AK11" s="145">
        <v>0</v>
      </c>
      <c r="AL11" s="145">
        <v>0</v>
      </c>
      <c r="AM11" s="145">
        <v>0</v>
      </c>
      <c r="AN11" s="145">
        <v>0</v>
      </c>
      <c r="AO11" s="145">
        <v>0</v>
      </c>
      <c r="AP11" s="145">
        <v>0</v>
      </c>
    </row>
    <row r="12" spans="1:42" customFormat="1" x14ac:dyDescent="0.15">
      <c r="A12" s="152" t="s">
        <v>202</v>
      </c>
      <c r="B12" s="145">
        <v>0</v>
      </c>
      <c r="C12" s="145">
        <v>0</v>
      </c>
      <c r="D12" s="145">
        <v>0</v>
      </c>
      <c r="E12" s="145">
        <v>0</v>
      </c>
      <c r="F12" s="145">
        <v>0</v>
      </c>
      <c r="G12" s="145">
        <v>0.03</v>
      </c>
      <c r="H12" s="145">
        <v>0.05</v>
      </c>
      <c r="I12" s="145">
        <v>0.27672328019214759</v>
      </c>
      <c r="J12" s="145">
        <v>0.31400001360576141</v>
      </c>
      <c r="K12" s="145">
        <v>0.13500000000000001</v>
      </c>
      <c r="L12" s="145">
        <v>0.03</v>
      </c>
      <c r="M12" s="145">
        <v>0.52800000000000002</v>
      </c>
      <c r="N12" s="145">
        <v>2.1999999835280018E-2</v>
      </c>
      <c r="O12" s="145">
        <v>5.7942058682317735E-2</v>
      </c>
      <c r="P12" s="145">
        <v>0.10400000020800002</v>
      </c>
      <c r="Q12" s="145">
        <v>0.14171656567339325</v>
      </c>
      <c r="R12" s="145">
        <v>6.9999999999999984E-3</v>
      </c>
      <c r="S12" s="145">
        <v>2.3928215623050822E-2</v>
      </c>
      <c r="T12" s="145">
        <v>1.7999999999999999E-2</v>
      </c>
      <c r="U12" s="145">
        <v>1.0010010109509505E-2</v>
      </c>
      <c r="V12" s="145">
        <v>0.20520520959414396</v>
      </c>
      <c r="W12" s="145">
        <v>0.47499999999999998</v>
      </c>
      <c r="X12" s="145">
        <v>1.2E-2</v>
      </c>
      <c r="Y12" s="145">
        <v>0</v>
      </c>
      <c r="Z12" s="145">
        <v>0.29689067224433291</v>
      </c>
      <c r="AA12" s="145">
        <v>5.1051051405015001E-2</v>
      </c>
      <c r="AB12" s="145">
        <v>0</v>
      </c>
      <c r="AC12" s="145">
        <v>0</v>
      </c>
      <c r="AD12" s="145">
        <v>0</v>
      </c>
      <c r="AE12" s="145">
        <v>0</v>
      </c>
      <c r="AF12" s="145">
        <v>0</v>
      </c>
      <c r="AG12" s="145">
        <v>6.0060056171170779E-3</v>
      </c>
      <c r="AH12" s="145">
        <v>6.0000000000000001E-3</v>
      </c>
      <c r="AI12" s="145">
        <v>0</v>
      </c>
      <c r="AJ12" s="145">
        <v>0</v>
      </c>
      <c r="AK12" s="145">
        <v>0.505</v>
      </c>
      <c r="AL12" s="145">
        <v>0</v>
      </c>
      <c r="AM12" s="145">
        <v>0</v>
      </c>
      <c r="AN12" s="145">
        <v>0</v>
      </c>
      <c r="AO12" s="145">
        <v>0</v>
      </c>
      <c r="AP12" s="145">
        <v>0</v>
      </c>
    </row>
    <row r="13" spans="1:42" customFormat="1" x14ac:dyDescent="0.15">
      <c r="A13" s="152" t="s">
        <v>203</v>
      </c>
      <c r="B13" s="145">
        <v>0</v>
      </c>
      <c r="C13" s="145">
        <v>0</v>
      </c>
      <c r="D13" s="145">
        <v>0</v>
      </c>
      <c r="E13" s="145">
        <v>0</v>
      </c>
      <c r="F13" s="145">
        <v>0</v>
      </c>
      <c r="G13" s="145">
        <v>0</v>
      </c>
      <c r="H13" s="145">
        <v>0</v>
      </c>
      <c r="I13" s="145">
        <v>1.5984016255864115E-2</v>
      </c>
      <c r="J13" s="145">
        <v>0</v>
      </c>
      <c r="K13" s="145">
        <v>6.0000000000000001E-3</v>
      </c>
      <c r="L13" s="145">
        <v>0</v>
      </c>
      <c r="M13" s="145">
        <v>4.8000000000000001E-2</v>
      </c>
      <c r="N13" s="145">
        <v>5.200000039247997E-2</v>
      </c>
      <c r="O13" s="145">
        <v>0</v>
      </c>
      <c r="P13" s="145">
        <v>0.1080000017160002</v>
      </c>
      <c r="Q13" s="145">
        <v>4.9900198476546948E-3</v>
      </c>
      <c r="R13" s="145">
        <v>1.6999999999999998E-2</v>
      </c>
      <c r="S13" s="145">
        <v>7.4775673822033817E-2</v>
      </c>
      <c r="T13" s="145">
        <v>3.0000000000000001E-3</v>
      </c>
      <c r="U13" s="145">
        <v>0.12212212501601587</v>
      </c>
      <c r="V13" s="145">
        <v>1.201201186648649E-2</v>
      </c>
      <c r="W13" s="145">
        <v>0</v>
      </c>
      <c r="X13" s="145">
        <v>2E-3</v>
      </c>
      <c r="Y13" s="145">
        <v>0</v>
      </c>
      <c r="Z13" s="145">
        <v>5.4162489314844492E-2</v>
      </c>
      <c r="AA13" s="145">
        <v>3.0030028414714804E-3</v>
      </c>
      <c r="AB13" s="145">
        <v>0</v>
      </c>
      <c r="AC13" s="145">
        <v>0</v>
      </c>
      <c r="AD13" s="145">
        <v>0</v>
      </c>
      <c r="AE13" s="145">
        <v>0</v>
      </c>
      <c r="AF13" s="145">
        <v>9.9900104038960834E-4</v>
      </c>
      <c r="AG13" s="145">
        <v>0</v>
      </c>
      <c r="AH13" s="145">
        <v>0</v>
      </c>
      <c r="AI13" s="145">
        <v>2.9970029083716248E-3</v>
      </c>
      <c r="AJ13" s="145">
        <v>0</v>
      </c>
      <c r="AK13" s="145">
        <v>0</v>
      </c>
      <c r="AL13" s="145">
        <v>0</v>
      </c>
      <c r="AM13" s="145">
        <v>0.10100000000000001</v>
      </c>
      <c r="AN13" s="145">
        <v>0</v>
      </c>
      <c r="AO13" s="145">
        <v>0</v>
      </c>
      <c r="AP13" s="145">
        <v>0</v>
      </c>
    </row>
    <row r="14" spans="1:42" customFormat="1" x14ac:dyDescent="0.15">
      <c r="A14" s="152" t="s">
        <v>204</v>
      </c>
      <c r="B14" s="145">
        <v>0</v>
      </c>
      <c r="C14" s="145">
        <v>0</v>
      </c>
      <c r="D14" s="145">
        <v>0</v>
      </c>
      <c r="E14" s="145">
        <v>0</v>
      </c>
      <c r="F14" s="145">
        <v>0</v>
      </c>
      <c r="G14" s="145">
        <v>0</v>
      </c>
      <c r="H14" s="145">
        <v>0</v>
      </c>
      <c r="I14" s="145">
        <v>0</v>
      </c>
      <c r="J14" s="145">
        <v>0</v>
      </c>
      <c r="K14" s="145">
        <v>0</v>
      </c>
      <c r="L14" s="145">
        <v>0</v>
      </c>
      <c r="M14" s="145">
        <v>0</v>
      </c>
      <c r="N14" s="145">
        <v>2.9999998657200117E-2</v>
      </c>
      <c r="O14" s="145">
        <v>0</v>
      </c>
      <c r="P14" s="145">
        <v>0</v>
      </c>
      <c r="Q14" s="145">
        <v>0</v>
      </c>
      <c r="R14" s="145">
        <v>0</v>
      </c>
      <c r="S14" s="145">
        <v>4.5862413910847354E-2</v>
      </c>
      <c r="T14" s="145">
        <v>0</v>
      </c>
      <c r="U14" s="145">
        <v>1.4014014313313297E-2</v>
      </c>
      <c r="V14" s="145">
        <v>0</v>
      </c>
      <c r="W14" s="145">
        <v>0</v>
      </c>
      <c r="X14" s="145">
        <v>0</v>
      </c>
      <c r="Y14" s="145">
        <v>0</v>
      </c>
      <c r="Z14" s="145">
        <v>1.8054160971614854E-2</v>
      </c>
      <c r="AA14" s="145">
        <v>3.0030028414714804E-3</v>
      </c>
      <c r="AB14" s="145">
        <v>0</v>
      </c>
      <c r="AC14" s="145">
        <v>0</v>
      </c>
      <c r="AD14" s="145">
        <v>0</v>
      </c>
      <c r="AE14" s="145">
        <v>0</v>
      </c>
      <c r="AF14" s="145">
        <v>9.9900104038960834E-4</v>
      </c>
      <c r="AG14" s="145">
        <v>8.008007822822804E-3</v>
      </c>
      <c r="AH14" s="145">
        <v>0</v>
      </c>
      <c r="AI14" s="145">
        <v>4.8951046470069835E-2</v>
      </c>
      <c r="AJ14" s="145">
        <v>0.184</v>
      </c>
      <c r="AK14" s="145">
        <v>0</v>
      </c>
      <c r="AL14" s="145">
        <v>3.0019812761084307E-3</v>
      </c>
      <c r="AM14" s="145">
        <v>0.10199999999999999</v>
      </c>
      <c r="AN14" s="145">
        <v>0</v>
      </c>
      <c r="AO14" s="145">
        <v>0</v>
      </c>
      <c r="AP14" s="145">
        <v>0</v>
      </c>
    </row>
    <row r="15" spans="1:42" customFormat="1" x14ac:dyDescent="0.15">
      <c r="A15" s="152" t="s">
        <v>205</v>
      </c>
      <c r="B15" s="145">
        <v>0</v>
      </c>
      <c r="C15" s="145">
        <v>0</v>
      </c>
      <c r="D15" s="145">
        <v>0</v>
      </c>
      <c r="E15" s="145">
        <v>0</v>
      </c>
      <c r="F15" s="145">
        <v>0</v>
      </c>
      <c r="G15" s="145">
        <v>0</v>
      </c>
      <c r="H15" s="145">
        <v>0</v>
      </c>
      <c r="I15" s="145">
        <v>0</v>
      </c>
      <c r="J15" s="145">
        <v>0</v>
      </c>
      <c r="K15" s="145">
        <v>0</v>
      </c>
      <c r="L15" s="145">
        <v>0</v>
      </c>
      <c r="M15" s="145">
        <v>0</v>
      </c>
      <c r="N15" s="145">
        <v>4.9999999262000062E-3</v>
      </c>
      <c r="O15" s="145">
        <v>0</v>
      </c>
      <c r="P15" s="145">
        <v>1.7999999685999957E-2</v>
      </c>
      <c r="Q15" s="145">
        <v>0</v>
      </c>
      <c r="R15" s="145">
        <v>9.999999999999998E-4</v>
      </c>
      <c r="S15" s="145">
        <v>2.9910269528813527E-3</v>
      </c>
      <c r="T15" s="145">
        <v>0</v>
      </c>
      <c r="U15" s="145">
        <v>1.3013012962362364E-2</v>
      </c>
      <c r="V15" s="145">
        <v>0</v>
      </c>
      <c r="W15" s="145">
        <v>0</v>
      </c>
      <c r="X15" s="145">
        <v>0</v>
      </c>
      <c r="Y15" s="145">
        <v>0</v>
      </c>
      <c r="Z15" s="145">
        <v>5.0150449365596794E-3</v>
      </c>
      <c r="AA15" s="145">
        <v>2.8028028520400376E-2</v>
      </c>
      <c r="AB15" s="145">
        <v>0</v>
      </c>
      <c r="AC15" s="145">
        <v>0</v>
      </c>
      <c r="AD15" s="145">
        <v>0</v>
      </c>
      <c r="AE15" s="145">
        <v>0</v>
      </c>
      <c r="AF15" s="145">
        <v>0</v>
      </c>
      <c r="AG15" s="145">
        <v>0</v>
      </c>
      <c r="AH15" s="145">
        <v>0</v>
      </c>
      <c r="AI15" s="145">
        <v>4.9950049206193767E-3</v>
      </c>
      <c r="AJ15" s="145">
        <v>0</v>
      </c>
      <c r="AK15" s="145">
        <v>0</v>
      </c>
      <c r="AL15" s="145">
        <v>0</v>
      </c>
      <c r="AM15" s="145">
        <v>0</v>
      </c>
      <c r="AN15" s="145">
        <v>0</v>
      </c>
      <c r="AO15" s="145">
        <v>0</v>
      </c>
      <c r="AP15" s="145">
        <v>0</v>
      </c>
    </row>
    <row r="16" spans="1:42" customFormat="1" x14ac:dyDescent="0.15">
      <c r="A16" s="152" t="s">
        <v>206</v>
      </c>
      <c r="B16" s="145">
        <v>0</v>
      </c>
      <c r="C16" s="145">
        <v>0</v>
      </c>
      <c r="D16" s="145">
        <v>0</v>
      </c>
      <c r="E16" s="145">
        <v>0</v>
      </c>
      <c r="F16" s="145">
        <v>0</v>
      </c>
      <c r="G16" s="145">
        <v>0</v>
      </c>
      <c r="H16" s="145">
        <v>0</v>
      </c>
      <c r="I16" s="145">
        <v>0</v>
      </c>
      <c r="J16" s="145">
        <v>0</v>
      </c>
      <c r="K16" s="145">
        <v>0</v>
      </c>
      <c r="L16" s="145">
        <v>0</v>
      </c>
      <c r="M16" s="145">
        <v>0</v>
      </c>
      <c r="N16" s="145">
        <v>0</v>
      </c>
      <c r="O16" s="145">
        <v>0</v>
      </c>
      <c r="P16" s="145">
        <v>1.3000000051000006E-2</v>
      </c>
      <c r="Q16" s="145">
        <v>0</v>
      </c>
      <c r="R16" s="145">
        <v>0</v>
      </c>
      <c r="S16" s="145">
        <v>0</v>
      </c>
      <c r="T16" s="145">
        <v>0</v>
      </c>
      <c r="U16" s="145">
        <v>0</v>
      </c>
      <c r="V16" s="145">
        <v>0</v>
      </c>
      <c r="W16" s="145">
        <v>0</v>
      </c>
      <c r="X16" s="145">
        <v>0</v>
      </c>
      <c r="Y16" s="145">
        <v>0</v>
      </c>
      <c r="Z16" s="145">
        <v>1.0030091373119342E-3</v>
      </c>
      <c r="AA16" s="145">
        <v>0</v>
      </c>
      <c r="AB16" s="145">
        <v>0</v>
      </c>
      <c r="AC16" s="145">
        <v>0</v>
      </c>
      <c r="AD16" s="145">
        <v>0</v>
      </c>
      <c r="AE16" s="145">
        <v>0</v>
      </c>
      <c r="AF16" s="145">
        <v>0</v>
      </c>
      <c r="AG16" s="145">
        <v>0</v>
      </c>
      <c r="AH16" s="145">
        <v>0</v>
      </c>
      <c r="AI16" s="145">
        <v>0</v>
      </c>
      <c r="AJ16" s="145">
        <v>0</v>
      </c>
      <c r="AK16" s="145">
        <v>0</v>
      </c>
      <c r="AL16" s="145">
        <v>0</v>
      </c>
      <c r="AM16" s="145">
        <v>0</v>
      </c>
      <c r="AN16" s="145">
        <v>0</v>
      </c>
      <c r="AO16" s="145">
        <v>0</v>
      </c>
      <c r="AP16" s="145">
        <v>0</v>
      </c>
    </row>
    <row r="17" spans="1:42" customFormat="1" x14ac:dyDescent="0.15">
      <c r="A17" s="152" t="s">
        <v>207</v>
      </c>
      <c r="B17" s="145">
        <v>0</v>
      </c>
      <c r="C17" s="145">
        <v>0</v>
      </c>
      <c r="D17" s="145">
        <v>0</v>
      </c>
      <c r="E17" s="145">
        <v>0</v>
      </c>
      <c r="F17" s="145">
        <v>0</v>
      </c>
      <c r="G17" s="145">
        <v>0</v>
      </c>
      <c r="H17" s="145">
        <v>0</v>
      </c>
      <c r="I17" s="145">
        <v>1.9980020369830139E-3</v>
      </c>
      <c r="J17" s="145">
        <v>0</v>
      </c>
      <c r="K17" s="145">
        <v>0</v>
      </c>
      <c r="L17" s="145">
        <v>0</v>
      </c>
      <c r="M17" s="145">
        <v>0</v>
      </c>
      <c r="N17" s="145">
        <v>0</v>
      </c>
      <c r="O17" s="145">
        <v>0</v>
      </c>
      <c r="P17" s="145">
        <v>2.8000000656000078E-2</v>
      </c>
      <c r="Q17" s="145">
        <v>1.1976048034371255E-2</v>
      </c>
      <c r="R17" s="145">
        <v>0</v>
      </c>
      <c r="S17" s="145">
        <v>1.1964107811525411E-2</v>
      </c>
      <c r="T17" s="145">
        <v>7.0000000000000001E-3</v>
      </c>
      <c r="U17" s="145">
        <v>1.5015014664264281E-2</v>
      </c>
      <c r="V17" s="145">
        <v>1.0010010638738715E-3</v>
      </c>
      <c r="W17" s="145">
        <v>0</v>
      </c>
      <c r="X17" s="145">
        <v>0</v>
      </c>
      <c r="Y17" s="145">
        <v>0</v>
      </c>
      <c r="Z17" s="145">
        <v>1.1033098960431295E-2</v>
      </c>
      <c r="AA17" s="145">
        <v>8.0080085772572286E-3</v>
      </c>
      <c r="AB17" s="145">
        <v>0</v>
      </c>
      <c r="AC17" s="145">
        <v>0</v>
      </c>
      <c r="AD17" s="145">
        <v>0</v>
      </c>
      <c r="AE17" s="145">
        <v>0</v>
      </c>
      <c r="AF17" s="145">
        <v>9.9900104038960834E-4</v>
      </c>
      <c r="AG17" s="145">
        <v>0</v>
      </c>
      <c r="AH17" s="145">
        <v>0</v>
      </c>
      <c r="AI17" s="145">
        <v>0</v>
      </c>
      <c r="AJ17" s="145">
        <v>0</v>
      </c>
      <c r="AK17" s="145">
        <v>0</v>
      </c>
      <c r="AL17" s="145">
        <v>0</v>
      </c>
      <c r="AM17" s="145">
        <v>2E-3</v>
      </c>
      <c r="AN17" s="145">
        <v>0</v>
      </c>
      <c r="AO17" s="145">
        <v>0</v>
      </c>
      <c r="AP17" s="145">
        <v>0</v>
      </c>
    </row>
    <row r="18" spans="1:42" customFormat="1" x14ac:dyDescent="0.15">
      <c r="A18" s="152" t="s">
        <v>208</v>
      </c>
      <c r="B18" s="145">
        <v>0</v>
      </c>
      <c r="C18" s="145">
        <v>0</v>
      </c>
      <c r="D18" s="145">
        <v>0</v>
      </c>
      <c r="E18" s="145">
        <v>0</v>
      </c>
      <c r="F18" s="145">
        <v>0</v>
      </c>
      <c r="G18" s="145">
        <v>0</v>
      </c>
      <c r="H18" s="145">
        <v>0</v>
      </c>
      <c r="I18" s="145">
        <v>0</v>
      </c>
      <c r="J18" s="145">
        <v>0</v>
      </c>
      <c r="K18" s="145">
        <v>0</v>
      </c>
      <c r="L18" s="145">
        <v>0</v>
      </c>
      <c r="M18" s="145">
        <v>8.0000000000000002E-3</v>
      </c>
      <c r="N18" s="145">
        <v>1.0999999967640003E-2</v>
      </c>
      <c r="O18" s="145">
        <v>0</v>
      </c>
      <c r="P18" s="145">
        <v>0.11399999947799991</v>
      </c>
      <c r="Q18" s="145">
        <v>1.3972056573433114E-2</v>
      </c>
      <c r="R18" s="145">
        <v>1.9999999999999996E-3</v>
      </c>
      <c r="S18" s="145">
        <v>7.9760723410169012E-3</v>
      </c>
      <c r="T18" s="145">
        <v>0</v>
      </c>
      <c r="U18" s="145">
        <v>4.2042041039939991E-2</v>
      </c>
      <c r="V18" s="145">
        <v>0</v>
      </c>
      <c r="W18" s="145">
        <v>0</v>
      </c>
      <c r="X18" s="145">
        <v>0</v>
      </c>
      <c r="Y18" s="145">
        <v>0</v>
      </c>
      <c r="Z18" s="145">
        <v>2.9087261832046126E-2</v>
      </c>
      <c r="AA18" s="145">
        <v>6.5065056565215662E-2</v>
      </c>
      <c r="AB18" s="145">
        <v>0</v>
      </c>
      <c r="AC18" s="145">
        <v>0</v>
      </c>
      <c r="AD18" s="145">
        <v>0</v>
      </c>
      <c r="AE18" s="145">
        <v>0</v>
      </c>
      <c r="AF18" s="145">
        <v>1.9980020607792181E-3</v>
      </c>
      <c r="AG18" s="145">
        <v>1.0010009728528499E-3</v>
      </c>
      <c r="AH18" s="145">
        <v>0</v>
      </c>
      <c r="AI18" s="145">
        <v>9.9900103612387734E-4</v>
      </c>
      <c r="AJ18" s="145">
        <v>0</v>
      </c>
      <c r="AK18" s="145">
        <v>0</v>
      </c>
      <c r="AL18" s="145">
        <v>0</v>
      </c>
      <c r="AM18" s="145">
        <v>4.8000000000000001E-2</v>
      </c>
      <c r="AN18" s="145">
        <v>0</v>
      </c>
      <c r="AO18" s="145">
        <v>0</v>
      </c>
      <c r="AP18" s="145">
        <v>0</v>
      </c>
    </row>
    <row r="19" spans="1:42" customFormat="1" x14ac:dyDescent="0.15">
      <c r="A19" s="152" t="s">
        <v>209</v>
      </c>
      <c r="B19" s="145">
        <v>0</v>
      </c>
      <c r="C19" s="145">
        <v>0</v>
      </c>
      <c r="D19" s="145">
        <v>0</v>
      </c>
      <c r="E19" s="145">
        <v>0</v>
      </c>
      <c r="F19" s="145">
        <v>0</v>
      </c>
      <c r="G19" s="145">
        <v>0</v>
      </c>
      <c r="H19" s="145">
        <v>0</v>
      </c>
      <c r="I19" s="145">
        <v>0</v>
      </c>
      <c r="J19" s="145">
        <v>0</v>
      </c>
      <c r="K19" s="145">
        <v>0</v>
      </c>
      <c r="L19" s="145">
        <v>0</v>
      </c>
      <c r="M19" s="145">
        <v>0</v>
      </c>
      <c r="N19" s="145">
        <v>3.0000000057199996E-3</v>
      </c>
      <c r="O19" s="145">
        <v>0</v>
      </c>
      <c r="P19" s="145">
        <v>8.7000001049000117E-2</v>
      </c>
      <c r="Q19" s="145">
        <v>0</v>
      </c>
      <c r="R19" s="145">
        <v>0</v>
      </c>
      <c r="S19" s="145">
        <v>3.7886340769830523E-2</v>
      </c>
      <c r="T19" s="145">
        <v>0</v>
      </c>
      <c r="U19" s="145">
        <v>4.0040042138037935E-3</v>
      </c>
      <c r="V19" s="145">
        <v>0</v>
      </c>
      <c r="W19" s="145">
        <v>0</v>
      </c>
      <c r="X19" s="145">
        <v>0</v>
      </c>
      <c r="Y19" s="145">
        <v>0</v>
      </c>
      <c r="Z19" s="145">
        <v>0</v>
      </c>
      <c r="AA19" s="145">
        <v>4.004004198628619E-3</v>
      </c>
      <c r="AB19" s="145">
        <v>0</v>
      </c>
      <c r="AC19" s="145">
        <v>0</v>
      </c>
      <c r="AD19" s="145">
        <v>0</v>
      </c>
      <c r="AE19" s="145">
        <v>0</v>
      </c>
      <c r="AF19" s="145">
        <v>0</v>
      </c>
      <c r="AG19" s="145">
        <v>0</v>
      </c>
      <c r="AH19" s="145">
        <v>0</v>
      </c>
      <c r="AI19" s="145">
        <v>0</v>
      </c>
      <c r="AJ19" s="145">
        <v>4.0000000000000001E-3</v>
      </c>
      <c r="AK19" s="145">
        <v>0</v>
      </c>
      <c r="AL19" s="145">
        <v>0</v>
      </c>
      <c r="AM19" s="145">
        <v>6.2E-2</v>
      </c>
      <c r="AN19" s="145">
        <v>0</v>
      </c>
      <c r="AO19" s="145">
        <v>0</v>
      </c>
      <c r="AP19" s="145">
        <v>0</v>
      </c>
    </row>
    <row r="20" spans="1:42" customFormat="1" x14ac:dyDescent="0.15">
      <c r="A20" s="152" t="s">
        <v>210</v>
      </c>
      <c r="B20" s="145">
        <v>0</v>
      </c>
      <c r="C20" s="145">
        <v>0</v>
      </c>
      <c r="D20" s="145">
        <v>0</v>
      </c>
      <c r="E20" s="145">
        <v>0</v>
      </c>
      <c r="F20" s="145">
        <v>0</v>
      </c>
      <c r="G20" s="145">
        <v>0</v>
      </c>
      <c r="H20" s="145">
        <v>0</v>
      </c>
      <c r="I20" s="145">
        <v>1.9980020369830139E-3</v>
      </c>
      <c r="J20" s="145">
        <v>2.999999871519987E-3</v>
      </c>
      <c r="K20" s="145">
        <v>0</v>
      </c>
      <c r="L20" s="145">
        <v>0</v>
      </c>
      <c r="M20" s="145">
        <v>7.0000000000000001E-3</v>
      </c>
      <c r="N20" s="145">
        <v>0</v>
      </c>
      <c r="O20" s="145">
        <v>0</v>
      </c>
      <c r="P20" s="145">
        <v>0</v>
      </c>
      <c r="Q20" s="145">
        <v>2.2954092599211554E-2</v>
      </c>
      <c r="R20" s="145">
        <v>6.9999999999999984E-3</v>
      </c>
      <c r="S20" s="145">
        <v>6.9790630433898097E-3</v>
      </c>
      <c r="T20" s="145">
        <v>1.2E-2</v>
      </c>
      <c r="U20" s="145">
        <v>7.0070071466566495E-3</v>
      </c>
      <c r="V20" s="145">
        <v>6.0060057832432507E-3</v>
      </c>
      <c r="W20" s="145">
        <v>0</v>
      </c>
      <c r="X20" s="145">
        <v>0</v>
      </c>
      <c r="Y20" s="145">
        <v>0</v>
      </c>
      <c r="Z20" s="145">
        <v>0</v>
      </c>
      <c r="AA20" s="145">
        <v>2.0020020043143145E-2</v>
      </c>
      <c r="AB20" s="145">
        <v>0</v>
      </c>
      <c r="AC20" s="145">
        <v>0</v>
      </c>
      <c r="AD20" s="145">
        <v>0</v>
      </c>
      <c r="AE20" s="145">
        <v>0</v>
      </c>
      <c r="AF20" s="145">
        <v>0</v>
      </c>
      <c r="AG20" s="145">
        <v>0</v>
      </c>
      <c r="AH20" s="145">
        <v>0</v>
      </c>
      <c r="AI20" s="145">
        <v>0</v>
      </c>
      <c r="AJ20" s="145">
        <v>0</v>
      </c>
      <c r="AK20" s="145">
        <v>0</v>
      </c>
      <c r="AL20" s="145">
        <v>0</v>
      </c>
      <c r="AM20" s="145">
        <v>0</v>
      </c>
      <c r="AN20" s="145">
        <v>0</v>
      </c>
      <c r="AO20" s="145">
        <v>0</v>
      </c>
      <c r="AP20" s="145">
        <v>0</v>
      </c>
    </row>
    <row r="21" spans="1:42" customFormat="1" x14ac:dyDescent="0.15">
      <c r="A21" s="152" t="s">
        <v>211</v>
      </c>
      <c r="B21" s="145">
        <v>0</v>
      </c>
      <c r="C21" s="145">
        <v>0</v>
      </c>
      <c r="D21" s="145">
        <v>0</v>
      </c>
      <c r="E21" s="145">
        <v>0</v>
      </c>
      <c r="F21" s="145">
        <v>0</v>
      </c>
      <c r="G21" s="145">
        <v>0</v>
      </c>
      <c r="H21" s="145">
        <v>0</v>
      </c>
      <c r="I21" s="145">
        <v>0</v>
      </c>
      <c r="J21" s="145">
        <v>0</v>
      </c>
      <c r="K21" s="145">
        <v>0</v>
      </c>
      <c r="L21" s="145">
        <v>0</v>
      </c>
      <c r="M21" s="145">
        <v>0</v>
      </c>
      <c r="N21" s="145">
        <v>0</v>
      </c>
      <c r="O21" s="145">
        <v>0</v>
      </c>
      <c r="P21" s="145">
        <v>5.6000001412000171E-2</v>
      </c>
      <c r="Q21" s="145">
        <v>3.9920163081237428E-3</v>
      </c>
      <c r="R21" s="145">
        <v>0</v>
      </c>
      <c r="S21" s="145">
        <v>1.0967099093898272E-2</v>
      </c>
      <c r="T21" s="145">
        <v>0</v>
      </c>
      <c r="U21" s="145">
        <v>2.4024023422822852E-2</v>
      </c>
      <c r="V21" s="145">
        <v>1.0010010638738715E-3</v>
      </c>
      <c r="W21" s="145">
        <v>0</v>
      </c>
      <c r="X21" s="145">
        <v>0</v>
      </c>
      <c r="Y21" s="145">
        <v>0</v>
      </c>
      <c r="Z21" s="145">
        <v>0</v>
      </c>
      <c r="AA21" s="145">
        <v>8.0080085772572286E-3</v>
      </c>
      <c r="AB21" s="145">
        <v>0</v>
      </c>
      <c r="AC21" s="145">
        <v>0</v>
      </c>
      <c r="AD21" s="145">
        <v>0</v>
      </c>
      <c r="AE21" s="145">
        <v>0</v>
      </c>
      <c r="AF21" s="145">
        <v>0</v>
      </c>
      <c r="AG21" s="145">
        <v>0</v>
      </c>
      <c r="AH21" s="145">
        <v>0</v>
      </c>
      <c r="AI21" s="145">
        <v>0</v>
      </c>
      <c r="AJ21" s="145">
        <v>2.3E-2</v>
      </c>
      <c r="AK21" s="145">
        <v>0</v>
      </c>
      <c r="AL21" s="145">
        <v>0</v>
      </c>
      <c r="AM21" s="145">
        <v>3.3000000000000002E-2</v>
      </c>
      <c r="AN21" s="145">
        <v>0</v>
      </c>
      <c r="AO21" s="145">
        <v>0</v>
      </c>
      <c r="AP21" s="145">
        <v>0</v>
      </c>
    </row>
    <row r="22" spans="1:42" customFormat="1" x14ac:dyDescent="0.15">
      <c r="A22" s="152" t="s">
        <v>212</v>
      </c>
      <c r="B22" s="145">
        <v>0</v>
      </c>
      <c r="C22" s="145">
        <v>0</v>
      </c>
      <c r="D22" s="145">
        <v>0</v>
      </c>
      <c r="E22" s="145">
        <v>0</v>
      </c>
      <c r="F22" s="145">
        <v>0</v>
      </c>
      <c r="G22" s="145">
        <v>0</v>
      </c>
      <c r="H22" s="145">
        <v>0</v>
      </c>
      <c r="I22" s="145">
        <v>0</v>
      </c>
      <c r="J22" s="145">
        <v>2.999999871519987E-3</v>
      </c>
      <c r="K22" s="145">
        <v>0</v>
      </c>
      <c r="L22" s="145">
        <v>0</v>
      </c>
      <c r="M22" s="145">
        <v>3.5000000000000003E-2</v>
      </c>
      <c r="N22" s="145">
        <v>0</v>
      </c>
      <c r="O22" s="145">
        <v>0</v>
      </c>
      <c r="P22" s="145">
        <v>9.5999998091999744E-2</v>
      </c>
      <c r="Q22" s="145">
        <v>4.0918166450768387E-2</v>
      </c>
      <c r="R22" s="145">
        <v>6.9999999999999984E-3</v>
      </c>
      <c r="S22" s="145">
        <v>2.1934198187796544E-2</v>
      </c>
      <c r="T22" s="145">
        <v>0.02</v>
      </c>
      <c r="U22" s="145">
        <v>6.8068066664664723E-2</v>
      </c>
      <c r="V22" s="145">
        <v>1.6016017021981944E-2</v>
      </c>
      <c r="W22" s="145">
        <v>0</v>
      </c>
      <c r="X22" s="145">
        <v>0</v>
      </c>
      <c r="Y22" s="145">
        <v>0</v>
      </c>
      <c r="Z22" s="145">
        <v>0</v>
      </c>
      <c r="AA22" s="145">
        <v>3.103102956187195E-2</v>
      </c>
      <c r="AB22" s="145">
        <v>0</v>
      </c>
      <c r="AC22" s="145">
        <v>0</v>
      </c>
      <c r="AD22" s="145">
        <v>0</v>
      </c>
      <c r="AE22" s="145">
        <v>0</v>
      </c>
      <c r="AF22" s="145">
        <v>9.9900104038960834E-4</v>
      </c>
      <c r="AG22" s="145">
        <v>0</v>
      </c>
      <c r="AH22" s="145">
        <v>0</v>
      </c>
      <c r="AI22" s="145">
        <v>0</v>
      </c>
      <c r="AJ22" s="145">
        <v>0</v>
      </c>
      <c r="AK22" s="145">
        <v>0</v>
      </c>
      <c r="AL22" s="145">
        <v>0</v>
      </c>
      <c r="AM22" s="145">
        <v>1.0999999999999999E-2</v>
      </c>
      <c r="AN22" s="145">
        <v>0</v>
      </c>
      <c r="AO22" s="145">
        <v>0</v>
      </c>
      <c r="AP22" s="145">
        <v>0</v>
      </c>
    </row>
    <row r="23" spans="1:42" customFormat="1" x14ac:dyDescent="0.15">
      <c r="A23" s="152" t="s">
        <v>213</v>
      </c>
      <c r="B23" s="145">
        <v>0</v>
      </c>
      <c r="C23" s="145">
        <v>0</v>
      </c>
      <c r="D23" s="145">
        <v>0</v>
      </c>
      <c r="E23" s="145">
        <v>0</v>
      </c>
      <c r="F23" s="145">
        <v>0</v>
      </c>
      <c r="G23" s="145">
        <v>0</v>
      </c>
      <c r="H23" s="145">
        <v>0</v>
      </c>
      <c r="I23" s="145">
        <v>0</v>
      </c>
      <c r="J23" s="145">
        <v>2.999999871519987E-3</v>
      </c>
      <c r="K23" s="145">
        <v>0</v>
      </c>
      <c r="L23" s="145">
        <v>0</v>
      </c>
      <c r="M23" s="145">
        <v>2.3E-2</v>
      </c>
      <c r="N23" s="145">
        <v>0</v>
      </c>
      <c r="O23" s="145">
        <v>0</v>
      </c>
      <c r="P23" s="145">
        <v>5.999999761999969E-3</v>
      </c>
      <c r="Q23" s="145">
        <v>2.2954092599211554E-2</v>
      </c>
      <c r="R23" s="145">
        <v>9.9999999999999985E-3</v>
      </c>
      <c r="S23" s="145">
        <v>8.9730812586440254E-3</v>
      </c>
      <c r="T23" s="145">
        <v>1.7999999999999999E-2</v>
      </c>
      <c r="U23" s="145">
        <v>4.7047047694694658E-2</v>
      </c>
      <c r="V23" s="145">
        <v>8.0080087109909645E-3</v>
      </c>
      <c r="W23" s="145">
        <v>0</v>
      </c>
      <c r="X23" s="145">
        <v>0</v>
      </c>
      <c r="Y23" s="145">
        <v>0</v>
      </c>
      <c r="Z23" s="145">
        <v>0</v>
      </c>
      <c r="AA23" s="145">
        <v>2.7027028573243163E-2</v>
      </c>
      <c r="AB23" s="145">
        <v>0</v>
      </c>
      <c r="AC23" s="145">
        <v>0</v>
      </c>
      <c r="AD23" s="145">
        <v>0</v>
      </c>
      <c r="AE23" s="145">
        <v>0</v>
      </c>
      <c r="AF23" s="145">
        <v>0</v>
      </c>
      <c r="AG23" s="145">
        <v>1.0010009728528499E-3</v>
      </c>
      <c r="AH23" s="145">
        <v>0</v>
      </c>
      <c r="AI23" s="145">
        <v>0</v>
      </c>
      <c r="AJ23" s="145">
        <v>0</v>
      </c>
      <c r="AK23" s="145">
        <v>0</v>
      </c>
      <c r="AL23" s="145">
        <v>0</v>
      </c>
      <c r="AM23" s="145">
        <v>2E-3</v>
      </c>
      <c r="AN23" s="145">
        <v>0</v>
      </c>
      <c r="AO23" s="145">
        <v>0</v>
      </c>
      <c r="AP23" s="145">
        <v>0</v>
      </c>
    </row>
    <row r="24" spans="1:42" customFormat="1" x14ac:dyDescent="0.15">
      <c r="A24" s="152" t="s">
        <v>214</v>
      </c>
      <c r="B24" s="145">
        <v>0</v>
      </c>
      <c r="C24" s="145">
        <v>0</v>
      </c>
      <c r="D24" s="145">
        <v>0</v>
      </c>
      <c r="E24" s="145">
        <v>0</v>
      </c>
      <c r="F24" s="145">
        <v>0</v>
      </c>
      <c r="G24" s="145">
        <v>0</v>
      </c>
      <c r="H24" s="145">
        <v>0</v>
      </c>
      <c r="I24" s="145">
        <v>2.9970030454745215E-3</v>
      </c>
      <c r="J24" s="145">
        <v>0</v>
      </c>
      <c r="K24" s="145">
        <v>0</v>
      </c>
      <c r="L24" s="145">
        <v>0</v>
      </c>
      <c r="M24" s="145">
        <v>0</v>
      </c>
      <c r="N24" s="145">
        <v>1.4999999328600059E-2</v>
      </c>
      <c r="O24" s="145">
        <v>0</v>
      </c>
      <c r="P24" s="145">
        <v>0.10199999595399947</v>
      </c>
      <c r="Q24" s="145">
        <v>0</v>
      </c>
      <c r="R24" s="145">
        <v>6.5999999999999989E-2</v>
      </c>
      <c r="S24" s="145">
        <v>2.7916252193559241E-2</v>
      </c>
      <c r="T24" s="145">
        <v>0</v>
      </c>
      <c r="U24" s="145">
        <v>0.10810811270270247</v>
      </c>
      <c r="V24" s="145">
        <v>8.0080087109909645E-3</v>
      </c>
      <c r="W24" s="145">
        <v>0</v>
      </c>
      <c r="X24" s="145">
        <v>0</v>
      </c>
      <c r="Y24" s="145">
        <v>0</v>
      </c>
      <c r="Z24" s="145">
        <v>2.0060182746238684E-3</v>
      </c>
      <c r="AA24" s="145">
        <v>7.0070071201000948E-3</v>
      </c>
      <c r="AB24" s="145">
        <v>0</v>
      </c>
      <c r="AC24" s="145">
        <v>0</v>
      </c>
      <c r="AD24" s="145">
        <v>0</v>
      </c>
      <c r="AE24" s="145">
        <v>0</v>
      </c>
      <c r="AF24" s="145">
        <v>1.098901064428574E-2</v>
      </c>
      <c r="AG24" s="145">
        <v>7.007006719969941E-3</v>
      </c>
      <c r="AH24" s="145">
        <v>0</v>
      </c>
      <c r="AI24" s="145">
        <v>0</v>
      </c>
      <c r="AJ24" s="145">
        <v>4.0000000000000001E-3</v>
      </c>
      <c r="AK24" s="145">
        <v>0</v>
      </c>
      <c r="AL24" s="145">
        <v>0</v>
      </c>
      <c r="AM24" s="145">
        <v>4.1000000000000002E-2</v>
      </c>
      <c r="AN24" s="145">
        <v>0</v>
      </c>
      <c r="AO24" s="145">
        <v>0</v>
      </c>
      <c r="AP24" s="145">
        <v>0</v>
      </c>
    </row>
    <row r="25" spans="1:42" customFormat="1" x14ac:dyDescent="0.15">
      <c r="A25" s="152" t="s">
        <v>215</v>
      </c>
      <c r="B25" s="145">
        <v>0</v>
      </c>
      <c r="C25" s="145">
        <v>0</v>
      </c>
      <c r="D25" s="145">
        <v>0</v>
      </c>
      <c r="E25" s="145">
        <v>0</v>
      </c>
      <c r="F25" s="145">
        <v>0</v>
      </c>
      <c r="G25" s="145">
        <v>0</v>
      </c>
      <c r="H25" s="145">
        <v>0</v>
      </c>
      <c r="I25" s="145">
        <v>0</v>
      </c>
      <c r="J25" s="145">
        <v>0</v>
      </c>
      <c r="K25" s="145">
        <v>0</v>
      </c>
      <c r="L25" s="145">
        <v>0</v>
      </c>
      <c r="M25" s="145">
        <v>1.2999999999999999E-2</v>
      </c>
      <c r="N25" s="145">
        <v>4.0000003209599731E-3</v>
      </c>
      <c r="O25" s="145">
        <v>0</v>
      </c>
      <c r="P25" s="145">
        <v>1.7999999685999957E-2</v>
      </c>
      <c r="Q25" s="145">
        <v>0</v>
      </c>
      <c r="R25" s="145">
        <v>9.999999999999998E-4</v>
      </c>
      <c r="S25" s="145">
        <v>2.8913259011186538E-2</v>
      </c>
      <c r="T25" s="145">
        <v>0</v>
      </c>
      <c r="U25" s="145">
        <v>3.9039038087087127E-2</v>
      </c>
      <c r="V25" s="145">
        <v>1.1011011502612593E-2</v>
      </c>
      <c r="W25" s="145">
        <v>0</v>
      </c>
      <c r="X25" s="145">
        <v>0</v>
      </c>
      <c r="Y25" s="145">
        <v>0</v>
      </c>
      <c r="Z25" s="145">
        <v>0</v>
      </c>
      <c r="AA25" s="145">
        <v>2.1021020390300335E-2</v>
      </c>
      <c r="AB25" s="145">
        <v>0</v>
      </c>
      <c r="AC25" s="145">
        <v>0</v>
      </c>
      <c r="AD25" s="145">
        <v>0</v>
      </c>
      <c r="AE25" s="145">
        <v>0</v>
      </c>
      <c r="AF25" s="145">
        <v>0</v>
      </c>
      <c r="AG25" s="145">
        <v>0</v>
      </c>
      <c r="AH25" s="145">
        <v>0</v>
      </c>
      <c r="AI25" s="145">
        <v>6.9930072528671412E-3</v>
      </c>
      <c r="AJ25" s="145">
        <v>0</v>
      </c>
      <c r="AK25" s="145">
        <v>0</v>
      </c>
      <c r="AL25" s="145">
        <v>0</v>
      </c>
      <c r="AM25" s="145">
        <v>8.0000000000000002E-3</v>
      </c>
      <c r="AN25" s="145">
        <v>0</v>
      </c>
      <c r="AO25" s="145">
        <v>0</v>
      </c>
      <c r="AP25" s="145">
        <v>0</v>
      </c>
    </row>
    <row r="26" spans="1:42" customFormat="1" x14ac:dyDescent="0.15">
      <c r="A26" s="152" t="s">
        <v>216</v>
      </c>
      <c r="B26" s="145">
        <v>0</v>
      </c>
      <c r="C26" s="145">
        <v>0</v>
      </c>
      <c r="D26" s="145">
        <v>0</v>
      </c>
      <c r="E26" s="145">
        <v>0</v>
      </c>
      <c r="F26" s="145">
        <v>0</v>
      </c>
      <c r="G26" s="145">
        <v>0</v>
      </c>
      <c r="H26" s="145">
        <v>0</v>
      </c>
      <c r="I26" s="145">
        <v>0</v>
      </c>
      <c r="J26" s="145">
        <v>0</v>
      </c>
      <c r="K26" s="145">
        <v>0</v>
      </c>
      <c r="L26" s="145">
        <v>0</v>
      </c>
      <c r="M26" s="145">
        <v>0</v>
      </c>
      <c r="N26" s="145">
        <v>2.0000001604799865E-3</v>
      </c>
      <c r="O26" s="145">
        <v>0</v>
      </c>
      <c r="P26" s="145">
        <v>4.0000002280000287E-3</v>
      </c>
      <c r="Q26" s="145">
        <v>0</v>
      </c>
      <c r="R26" s="145">
        <v>0</v>
      </c>
      <c r="S26" s="145">
        <v>0</v>
      </c>
      <c r="T26" s="145">
        <v>0</v>
      </c>
      <c r="U26" s="145">
        <v>0</v>
      </c>
      <c r="V26" s="145">
        <v>0</v>
      </c>
      <c r="W26" s="145">
        <v>0</v>
      </c>
      <c r="X26" s="145">
        <v>0</v>
      </c>
      <c r="Y26" s="145">
        <v>0</v>
      </c>
      <c r="Z26" s="145">
        <v>3.0090269619358076E-3</v>
      </c>
      <c r="AA26" s="145">
        <v>0</v>
      </c>
      <c r="AB26" s="145">
        <v>0</v>
      </c>
      <c r="AC26" s="145">
        <v>0</v>
      </c>
      <c r="AD26" s="145">
        <v>0</v>
      </c>
      <c r="AE26" s="145">
        <v>0</v>
      </c>
      <c r="AF26" s="145">
        <v>0</v>
      </c>
      <c r="AG26" s="145">
        <v>0</v>
      </c>
      <c r="AH26" s="145">
        <v>0</v>
      </c>
      <c r="AI26" s="145">
        <v>0</v>
      </c>
      <c r="AJ26" s="145">
        <v>0</v>
      </c>
      <c r="AK26" s="145">
        <v>0</v>
      </c>
      <c r="AL26" s="145">
        <v>0</v>
      </c>
      <c r="AM26" s="145">
        <v>0</v>
      </c>
      <c r="AN26" s="145">
        <v>0</v>
      </c>
      <c r="AO26" s="145">
        <v>0</v>
      </c>
      <c r="AP26" s="145">
        <v>0</v>
      </c>
    </row>
    <row r="27" spans="1:42" customFormat="1" x14ac:dyDescent="0.15">
      <c r="A27" s="152" t="s">
        <v>217</v>
      </c>
      <c r="B27" s="145">
        <v>0</v>
      </c>
      <c r="C27" s="145">
        <v>0</v>
      </c>
      <c r="D27" s="145">
        <v>0</v>
      </c>
      <c r="E27" s="145">
        <v>0</v>
      </c>
      <c r="F27" s="145">
        <v>0</v>
      </c>
      <c r="G27" s="145">
        <v>0</v>
      </c>
      <c r="H27" s="145">
        <v>0</v>
      </c>
      <c r="I27" s="145">
        <v>0</v>
      </c>
      <c r="J27" s="145">
        <v>0</v>
      </c>
      <c r="K27" s="145">
        <v>0</v>
      </c>
      <c r="L27" s="145">
        <v>0</v>
      </c>
      <c r="M27" s="145">
        <v>0</v>
      </c>
      <c r="N27" s="145">
        <v>0</v>
      </c>
      <c r="O27" s="145">
        <v>0</v>
      </c>
      <c r="P27" s="145">
        <v>4.0000002280000287E-3</v>
      </c>
      <c r="Q27" s="145">
        <v>0</v>
      </c>
      <c r="R27" s="145">
        <v>0</v>
      </c>
      <c r="S27" s="145">
        <v>0</v>
      </c>
      <c r="T27" s="145">
        <v>0</v>
      </c>
      <c r="U27" s="145">
        <v>0</v>
      </c>
      <c r="V27" s="145">
        <v>0</v>
      </c>
      <c r="W27" s="145">
        <v>0</v>
      </c>
      <c r="X27" s="145">
        <v>0</v>
      </c>
      <c r="Y27" s="145">
        <v>0</v>
      </c>
      <c r="Z27" s="145">
        <v>3.0090269619358076E-3</v>
      </c>
      <c r="AA27" s="145">
        <v>0</v>
      </c>
      <c r="AB27" s="145">
        <v>0</v>
      </c>
      <c r="AC27" s="145">
        <v>0</v>
      </c>
      <c r="AD27" s="145">
        <v>0</v>
      </c>
      <c r="AE27" s="145">
        <v>0</v>
      </c>
      <c r="AF27" s="145">
        <v>0</v>
      </c>
      <c r="AG27" s="145">
        <v>0</v>
      </c>
      <c r="AH27" s="145">
        <v>0</v>
      </c>
      <c r="AI27" s="145">
        <v>0</v>
      </c>
      <c r="AJ27" s="145">
        <v>0</v>
      </c>
      <c r="AK27" s="145">
        <v>0</v>
      </c>
      <c r="AL27" s="145">
        <v>0</v>
      </c>
      <c r="AM27" s="145">
        <v>0</v>
      </c>
      <c r="AN27" s="145">
        <v>0</v>
      </c>
      <c r="AO27" s="145">
        <v>0</v>
      </c>
      <c r="AP27" s="145">
        <v>0</v>
      </c>
    </row>
    <row r="28" spans="1:42" customFormat="1" x14ac:dyDescent="0.15">
      <c r="A28" s="152" t="s">
        <v>218</v>
      </c>
      <c r="B28" s="145">
        <v>0</v>
      </c>
      <c r="C28" s="145">
        <v>0</v>
      </c>
      <c r="D28" s="145">
        <v>0</v>
      </c>
      <c r="E28" s="145">
        <v>0</v>
      </c>
      <c r="F28" s="145">
        <v>0</v>
      </c>
      <c r="G28" s="145">
        <v>0</v>
      </c>
      <c r="H28" s="145">
        <v>0</v>
      </c>
      <c r="I28" s="145">
        <v>0</v>
      </c>
      <c r="J28" s="145">
        <v>0</v>
      </c>
      <c r="K28" s="145">
        <v>0</v>
      </c>
      <c r="L28" s="145">
        <v>0</v>
      </c>
      <c r="M28" s="145">
        <v>0</v>
      </c>
      <c r="N28" s="145">
        <v>9.7999996593520308E-2</v>
      </c>
      <c r="O28" s="145">
        <v>0</v>
      </c>
      <c r="P28" s="145">
        <v>1.0000000270000033E-2</v>
      </c>
      <c r="Q28" s="145">
        <v>9.9800396953093895E-3</v>
      </c>
      <c r="R28" s="145">
        <v>4.1999999999999996E-2</v>
      </c>
      <c r="S28" s="145">
        <v>7.4775673822033817E-2</v>
      </c>
      <c r="T28" s="145">
        <v>0</v>
      </c>
      <c r="U28" s="145">
        <v>3.5035034783283292E-2</v>
      </c>
      <c r="V28" s="145">
        <v>7.0070072371171081E-3</v>
      </c>
      <c r="W28" s="145">
        <v>0</v>
      </c>
      <c r="X28" s="145">
        <v>0</v>
      </c>
      <c r="Y28" s="145">
        <v>0</v>
      </c>
      <c r="Z28" s="145">
        <v>5.9177532051404198E-2</v>
      </c>
      <c r="AA28" s="145">
        <v>8.4084081661201335E-2</v>
      </c>
      <c r="AB28" s="145">
        <v>0</v>
      </c>
      <c r="AC28" s="145">
        <v>0</v>
      </c>
      <c r="AD28" s="145">
        <v>0</v>
      </c>
      <c r="AE28" s="145">
        <v>0</v>
      </c>
      <c r="AF28" s="145">
        <v>6.9930075827272405E-3</v>
      </c>
      <c r="AG28" s="145">
        <v>6.506506278543521E-2</v>
      </c>
      <c r="AH28" s="145">
        <v>0</v>
      </c>
      <c r="AI28" s="145">
        <v>9.3906093395644319E-2</v>
      </c>
      <c r="AJ28" s="145">
        <v>0.109</v>
      </c>
      <c r="AK28" s="145">
        <v>0</v>
      </c>
      <c r="AL28" s="145">
        <v>0</v>
      </c>
      <c r="AM28" s="145">
        <v>9.6000000000000002E-2</v>
      </c>
      <c r="AN28" s="145">
        <v>0</v>
      </c>
      <c r="AO28" s="145">
        <v>0</v>
      </c>
      <c r="AP28" s="145">
        <v>0</v>
      </c>
    </row>
    <row r="29" spans="1:42" customFormat="1" x14ac:dyDescent="0.15">
      <c r="A29" s="152" t="s">
        <v>219</v>
      </c>
      <c r="B29" s="145">
        <v>0</v>
      </c>
      <c r="C29" s="145">
        <v>0</v>
      </c>
      <c r="D29" s="145">
        <v>0</v>
      </c>
      <c r="E29" s="145">
        <v>0</v>
      </c>
      <c r="F29" s="145">
        <v>0</v>
      </c>
      <c r="G29" s="145">
        <v>0</v>
      </c>
      <c r="H29" s="145">
        <v>0</v>
      </c>
      <c r="I29" s="145">
        <v>0</v>
      </c>
      <c r="J29" s="145">
        <v>0</v>
      </c>
      <c r="K29" s="145">
        <v>0</v>
      </c>
      <c r="L29" s="145">
        <v>0</v>
      </c>
      <c r="M29" s="145">
        <v>0</v>
      </c>
      <c r="N29" s="145">
        <v>0.26400000562335957</v>
      </c>
      <c r="O29" s="145">
        <v>0</v>
      </c>
      <c r="P29" s="145">
        <v>2.6000000102000011E-2</v>
      </c>
      <c r="Q29" s="145">
        <v>3.4930138933582863E-2</v>
      </c>
      <c r="R29" s="145">
        <v>4.6999999999999986E-2</v>
      </c>
      <c r="S29" s="145">
        <v>0.18843468443152636</v>
      </c>
      <c r="T29" s="145">
        <v>0</v>
      </c>
      <c r="U29" s="145">
        <v>0.16916916471071092</v>
      </c>
      <c r="V29" s="145">
        <v>0</v>
      </c>
      <c r="W29" s="145">
        <v>0</v>
      </c>
      <c r="X29" s="145">
        <v>0</v>
      </c>
      <c r="Y29" s="145">
        <v>0</v>
      </c>
      <c r="Z29" s="145">
        <v>2.3069208208174506E-2</v>
      </c>
      <c r="AA29" s="145">
        <v>0.26926928578527443</v>
      </c>
      <c r="AB29" s="145">
        <v>0</v>
      </c>
      <c r="AC29" s="145">
        <v>0</v>
      </c>
      <c r="AD29" s="145">
        <v>0</v>
      </c>
      <c r="AE29" s="145">
        <v>0</v>
      </c>
      <c r="AF29" s="145">
        <v>0</v>
      </c>
      <c r="AG29" s="145">
        <v>0</v>
      </c>
      <c r="AH29" s="145">
        <v>0</v>
      </c>
      <c r="AI29" s="145">
        <v>0.55544455908487522</v>
      </c>
      <c r="AJ29" s="145">
        <v>0.41</v>
      </c>
      <c r="AK29" s="145">
        <v>0</v>
      </c>
      <c r="AL29" s="145">
        <v>9.2060752947325006E-2</v>
      </c>
      <c r="AM29" s="145">
        <v>0.22</v>
      </c>
      <c r="AN29" s="145">
        <v>0</v>
      </c>
      <c r="AO29" s="145">
        <v>0</v>
      </c>
      <c r="AP29" s="145">
        <v>0</v>
      </c>
    </row>
    <row r="30" spans="1:42" customFormat="1" x14ac:dyDescent="0.15">
      <c r="A30" s="152" t="s">
        <v>220</v>
      </c>
      <c r="B30" s="145">
        <v>0</v>
      </c>
      <c r="C30" s="145">
        <v>0</v>
      </c>
      <c r="D30" s="145">
        <v>0</v>
      </c>
      <c r="E30" s="145">
        <v>0</v>
      </c>
      <c r="F30" s="145">
        <v>0</v>
      </c>
      <c r="G30" s="145">
        <v>0</v>
      </c>
      <c r="H30" s="145">
        <v>0</v>
      </c>
      <c r="I30" s="145">
        <v>0</v>
      </c>
      <c r="J30" s="145">
        <v>0</v>
      </c>
      <c r="K30" s="145">
        <v>0</v>
      </c>
      <c r="L30" s="145">
        <v>0</v>
      </c>
      <c r="M30" s="145">
        <v>0</v>
      </c>
      <c r="N30" s="145">
        <v>4.3999999770560023E-2</v>
      </c>
      <c r="O30" s="145">
        <v>0</v>
      </c>
      <c r="P30" s="145">
        <v>2.9999999409999921E-3</v>
      </c>
      <c r="Q30" s="145">
        <v>9.9800396953093895E-3</v>
      </c>
      <c r="R30" s="145">
        <v>7.9999999999999984E-3</v>
      </c>
      <c r="S30" s="145">
        <v>1.994017835254246E-2</v>
      </c>
      <c r="T30" s="145">
        <v>0</v>
      </c>
      <c r="U30" s="145">
        <v>3.00300285285286E-2</v>
      </c>
      <c r="V30" s="145">
        <v>9.0090086748648764E-3</v>
      </c>
      <c r="W30" s="145">
        <v>0</v>
      </c>
      <c r="X30" s="145">
        <v>0</v>
      </c>
      <c r="Y30" s="145">
        <v>0</v>
      </c>
      <c r="Z30" s="145">
        <v>5.0150449365596794E-3</v>
      </c>
      <c r="AA30" s="145">
        <v>7.0070071201000948E-3</v>
      </c>
      <c r="AB30" s="145">
        <v>0</v>
      </c>
      <c r="AC30" s="145">
        <v>0</v>
      </c>
      <c r="AD30" s="145">
        <v>0</v>
      </c>
      <c r="AE30" s="145">
        <v>0</v>
      </c>
      <c r="AF30" s="145">
        <v>3.996004111558437E-3</v>
      </c>
      <c r="AG30" s="145">
        <v>2.6026026274174201E-2</v>
      </c>
      <c r="AH30" s="145">
        <v>0</v>
      </c>
      <c r="AI30" s="145">
        <v>1.2987013469610406E-2</v>
      </c>
      <c r="AJ30" s="145">
        <v>1.0999999999999999E-2</v>
      </c>
      <c r="AK30" s="145">
        <v>0</v>
      </c>
      <c r="AL30" s="145">
        <v>8.0052842562891753E-3</v>
      </c>
      <c r="AM30" s="145">
        <v>3.1E-2</v>
      </c>
      <c r="AN30" s="145">
        <v>0</v>
      </c>
      <c r="AO30" s="145">
        <v>0</v>
      </c>
      <c r="AP30" s="145">
        <v>0</v>
      </c>
    </row>
    <row r="31" spans="1:42" customFormat="1" x14ac:dyDescent="0.15">
      <c r="A31" s="152" t="s">
        <v>221</v>
      </c>
      <c r="B31" s="145">
        <v>0</v>
      </c>
      <c r="C31" s="145">
        <v>0</v>
      </c>
      <c r="D31" s="145">
        <v>0</v>
      </c>
      <c r="E31" s="145">
        <v>0</v>
      </c>
      <c r="F31" s="145">
        <v>0</v>
      </c>
      <c r="G31" s="145">
        <v>0</v>
      </c>
      <c r="H31" s="145">
        <v>0</v>
      </c>
      <c r="I31" s="145">
        <v>0</v>
      </c>
      <c r="J31" s="145">
        <v>0</v>
      </c>
      <c r="K31" s="145">
        <v>0</v>
      </c>
      <c r="L31" s="145">
        <v>0</v>
      </c>
      <c r="M31" s="145">
        <v>0</v>
      </c>
      <c r="N31" s="145">
        <v>0.10499999510020042</v>
      </c>
      <c r="O31" s="145">
        <v>0</v>
      </c>
      <c r="P31" s="145">
        <v>8.0000000160000018E-3</v>
      </c>
      <c r="Q31" s="145">
        <v>3.1936129024989983E-2</v>
      </c>
      <c r="R31" s="145">
        <v>9.999999999999998E-4</v>
      </c>
      <c r="S31" s="145">
        <v>7.4775673822033817E-2</v>
      </c>
      <c r="T31" s="145">
        <v>0</v>
      </c>
      <c r="U31" s="145">
        <v>7.4074076370370251E-2</v>
      </c>
      <c r="V31" s="145">
        <v>0</v>
      </c>
      <c r="W31" s="145">
        <v>0</v>
      </c>
      <c r="X31" s="145">
        <v>0</v>
      </c>
      <c r="Y31" s="145">
        <v>0</v>
      </c>
      <c r="Z31" s="145">
        <v>1.6048146196990947E-2</v>
      </c>
      <c r="AA31" s="145">
        <v>1.1011011318728713E-2</v>
      </c>
      <c r="AB31" s="145">
        <v>0</v>
      </c>
      <c r="AC31" s="145">
        <v>0</v>
      </c>
      <c r="AD31" s="145">
        <v>0</v>
      </c>
      <c r="AE31" s="145">
        <v>0</v>
      </c>
      <c r="AF31" s="145">
        <v>0</v>
      </c>
      <c r="AG31" s="145">
        <v>0</v>
      </c>
      <c r="AH31" s="145">
        <v>0</v>
      </c>
      <c r="AI31" s="145">
        <v>0.12787212862385616</v>
      </c>
      <c r="AJ31" s="145">
        <v>6.7000000000000004E-2</v>
      </c>
      <c r="AK31" s="145">
        <v>0</v>
      </c>
      <c r="AL31" s="145">
        <v>4.3028401377554273E-2</v>
      </c>
      <c r="AM31" s="145">
        <v>0.13100000000000001</v>
      </c>
      <c r="AN31" s="145">
        <v>0</v>
      </c>
      <c r="AO31" s="145">
        <v>0</v>
      </c>
      <c r="AP31" s="145">
        <v>0</v>
      </c>
    </row>
    <row r="32" spans="1:42" customFormat="1" x14ac:dyDescent="0.15">
      <c r="A32" s="152" t="s">
        <v>222</v>
      </c>
      <c r="B32" s="145">
        <v>0</v>
      </c>
      <c r="C32" s="145">
        <v>0</v>
      </c>
      <c r="D32" s="145">
        <v>0</v>
      </c>
      <c r="E32" s="145">
        <v>0</v>
      </c>
      <c r="F32" s="145">
        <v>0</v>
      </c>
      <c r="G32" s="145">
        <v>0</v>
      </c>
      <c r="H32" s="145">
        <v>0</v>
      </c>
      <c r="I32" s="145">
        <v>0</v>
      </c>
      <c r="J32" s="145">
        <v>0</v>
      </c>
      <c r="K32" s="145">
        <v>0</v>
      </c>
      <c r="L32" s="145">
        <v>0</v>
      </c>
      <c r="M32" s="145">
        <v>0</v>
      </c>
      <c r="N32" s="145">
        <v>1.9999999704800025E-2</v>
      </c>
      <c r="O32" s="145">
        <v>0</v>
      </c>
      <c r="P32" s="145">
        <v>5.2999998630999821E-2</v>
      </c>
      <c r="Q32" s="145">
        <v>0</v>
      </c>
      <c r="R32" s="145">
        <v>0</v>
      </c>
      <c r="S32" s="145">
        <v>1.6949152999660974E-2</v>
      </c>
      <c r="T32" s="145">
        <v>0</v>
      </c>
      <c r="U32" s="145">
        <v>2.1021020469969995E-2</v>
      </c>
      <c r="V32" s="145">
        <v>0</v>
      </c>
      <c r="W32" s="145">
        <v>0</v>
      </c>
      <c r="X32" s="145">
        <v>0</v>
      </c>
      <c r="Y32" s="145">
        <v>0</v>
      </c>
      <c r="Z32" s="145">
        <v>0</v>
      </c>
      <c r="AA32" s="145">
        <v>1.001001007157157E-2</v>
      </c>
      <c r="AB32" s="145">
        <v>0</v>
      </c>
      <c r="AC32" s="145">
        <v>0</v>
      </c>
      <c r="AD32" s="145">
        <v>0</v>
      </c>
      <c r="AE32" s="145">
        <v>0</v>
      </c>
      <c r="AF32" s="145">
        <v>0</v>
      </c>
      <c r="AG32" s="145">
        <v>3.0030029185585502E-3</v>
      </c>
      <c r="AH32" s="145">
        <v>0</v>
      </c>
      <c r="AI32" s="145">
        <v>9.9900103612387734E-4</v>
      </c>
      <c r="AJ32" s="145">
        <v>0.04</v>
      </c>
      <c r="AK32" s="145">
        <v>0</v>
      </c>
      <c r="AL32" s="145">
        <v>1.0006605020361459E-3</v>
      </c>
      <c r="AM32" s="145">
        <v>2.5999999999999999E-2</v>
      </c>
      <c r="AN32" s="145">
        <v>0</v>
      </c>
      <c r="AO32" s="145">
        <v>0</v>
      </c>
      <c r="AP32" s="145">
        <v>0</v>
      </c>
    </row>
    <row r="33" spans="1:42" customFormat="1" x14ac:dyDescent="0.15">
      <c r="A33" s="152" t="s">
        <v>223</v>
      </c>
      <c r="B33" s="145">
        <v>0</v>
      </c>
      <c r="C33" s="145">
        <v>0</v>
      </c>
      <c r="D33" s="145">
        <v>0</v>
      </c>
      <c r="E33" s="145">
        <v>0</v>
      </c>
      <c r="F33" s="145">
        <v>0</v>
      </c>
      <c r="G33" s="145">
        <v>0</v>
      </c>
      <c r="H33" s="145">
        <v>0</v>
      </c>
      <c r="I33" s="145">
        <v>0</v>
      </c>
      <c r="J33" s="145">
        <v>0</v>
      </c>
      <c r="K33" s="145">
        <v>0</v>
      </c>
      <c r="L33" s="145">
        <v>0</v>
      </c>
      <c r="M33" s="145">
        <v>0</v>
      </c>
      <c r="N33" s="145">
        <v>3.4000002718159776E-2</v>
      </c>
      <c r="O33" s="145">
        <v>0</v>
      </c>
      <c r="P33" s="145">
        <v>2.3999999547999938E-2</v>
      </c>
      <c r="Q33" s="145">
        <v>0</v>
      </c>
      <c r="R33" s="145">
        <v>0</v>
      </c>
      <c r="S33" s="145">
        <v>2.5922234858304954E-2</v>
      </c>
      <c r="T33" s="145">
        <v>0</v>
      </c>
      <c r="U33" s="145">
        <v>0</v>
      </c>
      <c r="V33" s="145">
        <v>0</v>
      </c>
      <c r="W33" s="145">
        <v>0</v>
      </c>
      <c r="X33" s="145">
        <v>0</v>
      </c>
      <c r="Y33" s="145">
        <v>0</v>
      </c>
      <c r="Z33" s="145">
        <v>0</v>
      </c>
      <c r="AA33" s="145">
        <v>1.601601675451448E-2</v>
      </c>
      <c r="AB33" s="145">
        <v>0</v>
      </c>
      <c r="AC33" s="145">
        <v>0</v>
      </c>
      <c r="AD33" s="145">
        <v>0</v>
      </c>
      <c r="AE33" s="145">
        <v>0</v>
      </c>
      <c r="AF33" s="145">
        <v>0</v>
      </c>
      <c r="AG33" s="145">
        <v>0</v>
      </c>
      <c r="AH33" s="145">
        <v>0</v>
      </c>
      <c r="AI33" s="145">
        <v>2.297702333084916E-2</v>
      </c>
      <c r="AJ33" s="145">
        <v>3.5999999999999997E-2</v>
      </c>
      <c r="AK33" s="145">
        <v>0</v>
      </c>
      <c r="AL33" s="145">
        <v>0</v>
      </c>
      <c r="AM33" s="145">
        <v>3.2000000000000001E-2</v>
      </c>
      <c r="AN33" s="145">
        <v>0</v>
      </c>
      <c r="AO33" s="145">
        <v>0</v>
      </c>
      <c r="AP33" s="145">
        <v>0</v>
      </c>
    </row>
    <row r="34" spans="1:42" customFormat="1" x14ac:dyDescent="0.15">
      <c r="A34" s="152" t="s">
        <v>224</v>
      </c>
      <c r="B34" s="145">
        <v>0</v>
      </c>
      <c r="C34" s="145">
        <v>0</v>
      </c>
      <c r="D34" s="145">
        <v>0</v>
      </c>
      <c r="E34" s="145">
        <v>0</v>
      </c>
      <c r="F34" s="145">
        <v>0</v>
      </c>
      <c r="G34" s="145">
        <v>0</v>
      </c>
      <c r="H34" s="145">
        <v>0</v>
      </c>
      <c r="I34" s="145">
        <v>0</v>
      </c>
      <c r="J34" s="145">
        <v>0</v>
      </c>
      <c r="K34" s="145">
        <v>0</v>
      </c>
      <c r="L34" s="145">
        <v>0</v>
      </c>
      <c r="M34" s="145">
        <v>0</v>
      </c>
      <c r="N34" s="145">
        <v>5.4000000522959959E-2</v>
      </c>
      <c r="O34" s="145">
        <v>0</v>
      </c>
      <c r="P34" s="145">
        <v>0</v>
      </c>
      <c r="Q34" s="145">
        <v>0</v>
      </c>
      <c r="R34" s="145">
        <v>0</v>
      </c>
      <c r="S34" s="145">
        <v>4.5862413910847354E-2</v>
      </c>
      <c r="T34" s="145">
        <v>0</v>
      </c>
      <c r="U34" s="145">
        <v>0</v>
      </c>
      <c r="V34" s="145">
        <v>0</v>
      </c>
      <c r="W34" s="145">
        <v>0</v>
      </c>
      <c r="X34" s="145">
        <v>0</v>
      </c>
      <c r="Y34" s="145">
        <v>0</v>
      </c>
      <c r="Z34" s="145">
        <v>0</v>
      </c>
      <c r="AA34" s="145">
        <v>3.0030028414714801E-2</v>
      </c>
      <c r="AB34" s="145">
        <v>0</v>
      </c>
      <c r="AC34" s="145">
        <v>0</v>
      </c>
      <c r="AD34" s="145">
        <v>0</v>
      </c>
      <c r="AE34" s="145">
        <v>0</v>
      </c>
      <c r="AF34" s="145">
        <v>1.9980020607792181E-3</v>
      </c>
      <c r="AG34" s="145">
        <v>1.7017017948498595E-2</v>
      </c>
      <c r="AH34" s="145">
        <v>0</v>
      </c>
      <c r="AI34" s="145">
        <v>8.5914083106653244E-2</v>
      </c>
      <c r="AJ34" s="145">
        <v>8.1000000000000003E-2</v>
      </c>
      <c r="AK34" s="145">
        <v>0</v>
      </c>
      <c r="AL34" s="145">
        <v>3.3021793857192727E-2</v>
      </c>
      <c r="AM34" s="145">
        <v>5.2999999999999999E-2</v>
      </c>
      <c r="AN34" s="145">
        <v>0</v>
      </c>
      <c r="AO34" s="145">
        <v>0</v>
      </c>
      <c r="AP34" s="145">
        <v>0</v>
      </c>
    </row>
    <row r="35" spans="1:42" customFormat="1" x14ac:dyDescent="0.15">
      <c r="A35" s="152" t="s">
        <v>225</v>
      </c>
      <c r="B35" s="145">
        <v>0</v>
      </c>
      <c r="C35" s="145">
        <v>0</v>
      </c>
      <c r="D35" s="145">
        <v>0</v>
      </c>
      <c r="E35" s="145">
        <v>0</v>
      </c>
      <c r="F35" s="145">
        <v>0</v>
      </c>
      <c r="G35" s="145">
        <v>0</v>
      </c>
      <c r="H35" s="145">
        <v>0</v>
      </c>
      <c r="I35" s="145">
        <v>0</v>
      </c>
      <c r="J35" s="145">
        <v>0</v>
      </c>
      <c r="K35" s="145">
        <v>0</v>
      </c>
      <c r="L35" s="145">
        <v>0</v>
      </c>
      <c r="M35" s="145">
        <v>0</v>
      </c>
      <c r="N35" s="145">
        <v>0</v>
      </c>
      <c r="O35" s="145">
        <v>0</v>
      </c>
      <c r="P35" s="145">
        <v>0</v>
      </c>
      <c r="Q35" s="145">
        <v>0</v>
      </c>
      <c r="R35" s="145">
        <v>0</v>
      </c>
      <c r="S35" s="145">
        <v>0</v>
      </c>
      <c r="T35" s="145">
        <v>0</v>
      </c>
      <c r="U35" s="145">
        <v>0</v>
      </c>
      <c r="V35" s="145">
        <v>0</v>
      </c>
      <c r="W35" s="145">
        <v>0</v>
      </c>
      <c r="X35" s="145">
        <v>0</v>
      </c>
      <c r="Y35" s="145">
        <v>0</v>
      </c>
      <c r="Z35" s="145">
        <v>0</v>
      </c>
      <c r="AA35" s="145">
        <v>0</v>
      </c>
      <c r="AB35" s="145">
        <v>0</v>
      </c>
      <c r="AC35" s="145">
        <v>0</v>
      </c>
      <c r="AD35" s="145">
        <v>0</v>
      </c>
      <c r="AE35" s="145">
        <v>0</v>
      </c>
      <c r="AF35" s="145">
        <v>0</v>
      </c>
      <c r="AG35" s="145">
        <v>0</v>
      </c>
      <c r="AH35" s="145">
        <v>0</v>
      </c>
      <c r="AI35" s="145">
        <v>0</v>
      </c>
      <c r="AJ35" s="145">
        <v>0</v>
      </c>
      <c r="AK35" s="145">
        <v>0</v>
      </c>
      <c r="AL35" s="145">
        <v>0</v>
      </c>
      <c r="AM35" s="145">
        <v>0</v>
      </c>
      <c r="AN35" s="145">
        <v>0</v>
      </c>
      <c r="AO35" s="145">
        <v>0</v>
      </c>
      <c r="AP35" s="145">
        <v>0</v>
      </c>
    </row>
    <row r="36" spans="1:42" customFormat="1" x14ac:dyDescent="0.15">
      <c r="A36" s="152" t="s">
        <v>226</v>
      </c>
      <c r="B36" s="145">
        <v>0</v>
      </c>
      <c r="C36" s="145">
        <v>0</v>
      </c>
      <c r="D36" s="145">
        <v>0</v>
      </c>
      <c r="E36" s="145">
        <v>0</v>
      </c>
      <c r="F36" s="145">
        <v>0</v>
      </c>
      <c r="G36" s="145">
        <v>0</v>
      </c>
      <c r="H36" s="145">
        <v>0</v>
      </c>
      <c r="I36" s="145">
        <v>0</v>
      </c>
      <c r="J36" s="145">
        <v>0</v>
      </c>
      <c r="K36" s="145">
        <v>0</v>
      </c>
      <c r="L36" s="145">
        <v>0</v>
      </c>
      <c r="M36" s="145">
        <v>0</v>
      </c>
      <c r="N36" s="145">
        <v>0</v>
      </c>
      <c r="O36" s="145">
        <v>0</v>
      </c>
      <c r="P36" s="145">
        <v>0</v>
      </c>
      <c r="Q36" s="145">
        <v>0</v>
      </c>
      <c r="R36" s="145">
        <v>0</v>
      </c>
      <c r="S36" s="145">
        <v>0</v>
      </c>
      <c r="T36" s="145">
        <v>0</v>
      </c>
      <c r="U36" s="145">
        <v>0</v>
      </c>
      <c r="V36" s="145">
        <v>0</v>
      </c>
      <c r="W36" s="145">
        <v>0</v>
      </c>
      <c r="X36" s="145">
        <v>0</v>
      </c>
      <c r="Y36" s="145">
        <v>0</v>
      </c>
      <c r="Z36" s="145">
        <v>0</v>
      </c>
      <c r="AA36" s="145">
        <v>0</v>
      </c>
      <c r="AB36" s="145">
        <v>0</v>
      </c>
      <c r="AC36" s="145">
        <v>0</v>
      </c>
      <c r="AD36" s="145">
        <v>0</v>
      </c>
      <c r="AE36" s="145">
        <v>0</v>
      </c>
      <c r="AF36" s="145">
        <v>0</v>
      </c>
      <c r="AG36" s="145">
        <v>0</v>
      </c>
      <c r="AH36" s="145">
        <v>0</v>
      </c>
      <c r="AI36" s="145">
        <v>0</v>
      </c>
      <c r="AJ36" s="145">
        <v>0</v>
      </c>
      <c r="AK36" s="145">
        <v>0</v>
      </c>
      <c r="AL36" s="145">
        <v>0</v>
      </c>
      <c r="AM36" s="145">
        <v>0</v>
      </c>
      <c r="AN36" s="145">
        <v>0</v>
      </c>
      <c r="AO36" s="145">
        <v>0</v>
      </c>
      <c r="AP36" s="145">
        <v>0</v>
      </c>
    </row>
    <row r="37" spans="1:42" customFormat="1" x14ac:dyDescent="0.15">
      <c r="A37" s="152" t="s">
        <v>227</v>
      </c>
      <c r="B37" s="145">
        <v>0</v>
      </c>
      <c r="C37" s="145">
        <v>0</v>
      </c>
      <c r="D37" s="145">
        <v>0</v>
      </c>
      <c r="E37" s="145">
        <v>0</v>
      </c>
      <c r="F37" s="145">
        <v>0</v>
      </c>
      <c r="G37" s="145">
        <v>0</v>
      </c>
      <c r="H37" s="145">
        <v>0</v>
      </c>
      <c r="I37" s="145">
        <v>0</v>
      </c>
      <c r="J37" s="145">
        <v>0</v>
      </c>
      <c r="K37" s="145">
        <v>0</v>
      </c>
      <c r="L37" s="145">
        <v>0</v>
      </c>
      <c r="M37" s="145">
        <v>0</v>
      </c>
      <c r="N37" s="145">
        <v>0</v>
      </c>
      <c r="O37" s="145">
        <v>0</v>
      </c>
      <c r="P37" s="145">
        <v>0</v>
      </c>
      <c r="Q37" s="145">
        <v>0</v>
      </c>
      <c r="R37" s="145">
        <v>0</v>
      </c>
      <c r="S37" s="145">
        <v>0</v>
      </c>
      <c r="T37" s="145">
        <v>0</v>
      </c>
      <c r="U37" s="145">
        <v>0</v>
      </c>
      <c r="V37" s="145">
        <v>0</v>
      </c>
      <c r="W37" s="145">
        <v>0</v>
      </c>
      <c r="X37" s="145">
        <v>0</v>
      </c>
      <c r="Y37" s="145">
        <v>0</v>
      </c>
      <c r="Z37" s="145">
        <v>0</v>
      </c>
      <c r="AA37" s="145">
        <v>0</v>
      </c>
      <c r="AB37" s="145">
        <v>0</v>
      </c>
      <c r="AC37" s="145">
        <v>0</v>
      </c>
      <c r="AD37" s="145">
        <v>0</v>
      </c>
      <c r="AE37" s="145">
        <v>0</v>
      </c>
      <c r="AF37" s="145">
        <v>0</v>
      </c>
      <c r="AG37" s="145">
        <v>0</v>
      </c>
      <c r="AH37" s="145">
        <v>0</v>
      </c>
      <c r="AI37" s="145">
        <v>0</v>
      </c>
      <c r="AJ37" s="145">
        <v>0</v>
      </c>
      <c r="AK37" s="145">
        <v>0</v>
      </c>
      <c r="AL37" s="145">
        <v>0</v>
      </c>
      <c r="AM37" s="145">
        <v>0</v>
      </c>
      <c r="AN37" s="145">
        <v>0</v>
      </c>
      <c r="AO37" s="145">
        <v>0</v>
      </c>
      <c r="AP37" s="145">
        <v>0</v>
      </c>
    </row>
    <row r="38" spans="1:42" customFormat="1" x14ac:dyDescent="0.15">
      <c r="A38" s="152" t="s">
        <v>228</v>
      </c>
      <c r="B38" s="145">
        <v>0</v>
      </c>
      <c r="C38" s="145">
        <v>0</v>
      </c>
      <c r="D38" s="145">
        <v>0</v>
      </c>
      <c r="E38" s="145">
        <v>0</v>
      </c>
      <c r="F38" s="145">
        <v>0</v>
      </c>
      <c r="G38" s="145">
        <v>0</v>
      </c>
      <c r="H38" s="145">
        <v>0</v>
      </c>
      <c r="I38" s="145">
        <v>0</v>
      </c>
      <c r="J38" s="145">
        <v>0</v>
      </c>
      <c r="K38" s="145">
        <v>0</v>
      </c>
      <c r="L38" s="145">
        <v>0</v>
      </c>
      <c r="M38" s="145">
        <v>0</v>
      </c>
      <c r="N38" s="145">
        <v>0</v>
      </c>
      <c r="O38" s="145">
        <v>0</v>
      </c>
      <c r="P38" s="145">
        <v>0</v>
      </c>
      <c r="Q38" s="145">
        <v>0</v>
      </c>
      <c r="R38" s="145">
        <v>0</v>
      </c>
      <c r="S38" s="145">
        <v>0</v>
      </c>
      <c r="T38" s="145">
        <v>0</v>
      </c>
      <c r="U38" s="145">
        <v>0</v>
      </c>
      <c r="V38" s="145">
        <v>0</v>
      </c>
      <c r="W38" s="145">
        <v>0</v>
      </c>
      <c r="X38" s="145">
        <v>0</v>
      </c>
      <c r="Y38" s="145">
        <v>0</v>
      </c>
      <c r="Z38" s="145">
        <v>0</v>
      </c>
      <c r="AA38" s="145">
        <v>0</v>
      </c>
      <c r="AB38" s="145">
        <v>0</v>
      </c>
      <c r="AC38" s="145">
        <v>0</v>
      </c>
      <c r="AD38" s="145">
        <v>0</v>
      </c>
      <c r="AE38" s="145">
        <v>0</v>
      </c>
      <c r="AF38" s="145">
        <v>0</v>
      </c>
      <c r="AG38" s="145">
        <v>0</v>
      </c>
      <c r="AH38" s="145">
        <v>0</v>
      </c>
      <c r="AI38" s="145">
        <v>0</v>
      </c>
      <c r="AJ38" s="145">
        <v>0</v>
      </c>
      <c r="AK38" s="145">
        <v>0</v>
      </c>
      <c r="AL38" s="145">
        <v>3.4022454589228881E-4</v>
      </c>
      <c r="AM38" s="145">
        <v>0</v>
      </c>
      <c r="AN38" s="145">
        <v>0</v>
      </c>
      <c r="AO38" s="145">
        <v>0</v>
      </c>
      <c r="AP38" s="145">
        <v>0</v>
      </c>
    </row>
    <row r="39" spans="1:42" x14ac:dyDescent="0.15">
      <c r="A39" s="152" t="s">
        <v>229</v>
      </c>
      <c r="B39" s="145">
        <v>0</v>
      </c>
      <c r="C39" s="145">
        <v>0</v>
      </c>
      <c r="D39" s="145">
        <v>0</v>
      </c>
      <c r="E39" s="145">
        <v>0</v>
      </c>
      <c r="F39" s="145">
        <v>0</v>
      </c>
      <c r="G39" s="145">
        <v>0</v>
      </c>
      <c r="H39" s="145">
        <v>0</v>
      </c>
      <c r="I39" s="145">
        <v>0</v>
      </c>
      <c r="J39" s="145">
        <v>0</v>
      </c>
      <c r="K39" s="145">
        <v>0</v>
      </c>
      <c r="L39" s="145">
        <v>0</v>
      </c>
      <c r="M39" s="145">
        <v>0</v>
      </c>
      <c r="N39" s="145">
        <v>0</v>
      </c>
      <c r="O39" s="145">
        <v>0</v>
      </c>
      <c r="P39" s="145">
        <v>0</v>
      </c>
      <c r="Q39" s="145">
        <v>0</v>
      </c>
      <c r="R39" s="145">
        <v>0</v>
      </c>
      <c r="S39" s="145">
        <v>0</v>
      </c>
      <c r="T39" s="145">
        <v>0</v>
      </c>
      <c r="U39" s="145">
        <v>0</v>
      </c>
      <c r="V39" s="145">
        <v>0</v>
      </c>
      <c r="W39" s="145">
        <v>0</v>
      </c>
      <c r="X39" s="145">
        <v>0</v>
      </c>
      <c r="Y39" s="145">
        <v>0</v>
      </c>
      <c r="Z39" s="145">
        <v>0</v>
      </c>
      <c r="AA39" s="145">
        <v>0</v>
      </c>
      <c r="AB39" s="145">
        <v>0</v>
      </c>
      <c r="AC39" s="145">
        <v>0</v>
      </c>
      <c r="AD39" s="145">
        <v>0</v>
      </c>
      <c r="AE39" s="145">
        <v>0</v>
      </c>
      <c r="AF39" s="145">
        <v>0</v>
      </c>
      <c r="AG39" s="145">
        <v>0</v>
      </c>
      <c r="AH39" s="145">
        <v>0</v>
      </c>
      <c r="AI39" s="145">
        <v>0</v>
      </c>
      <c r="AJ39" s="145">
        <v>0</v>
      </c>
      <c r="AK39" s="145">
        <v>0</v>
      </c>
      <c r="AL39" s="145">
        <v>0</v>
      </c>
      <c r="AM39" s="145">
        <v>0</v>
      </c>
      <c r="AN39" s="145">
        <v>0</v>
      </c>
      <c r="AO39" s="145">
        <v>0</v>
      </c>
      <c r="AP39" s="145">
        <v>0</v>
      </c>
    </row>
    <row r="40" spans="1:42" x14ac:dyDescent="0.15">
      <c r="A40" s="152" t="s">
        <v>230</v>
      </c>
      <c r="B40" s="145">
        <v>0</v>
      </c>
      <c r="C40" s="145">
        <v>0.3</v>
      </c>
      <c r="D40" s="145">
        <v>0.2</v>
      </c>
      <c r="E40" s="145">
        <v>0.15</v>
      </c>
      <c r="F40" s="145">
        <v>0</v>
      </c>
      <c r="G40" s="145">
        <v>0.8</v>
      </c>
      <c r="H40" s="145">
        <v>0.8</v>
      </c>
      <c r="I40" s="145">
        <v>8.1918084136303526E-2</v>
      </c>
      <c r="J40" s="145">
        <v>0.14700000026448004</v>
      </c>
      <c r="K40" s="145">
        <v>0.38400000000000001</v>
      </c>
      <c r="L40" s="145">
        <v>0.9</v>
      </c>
      <c r="M40" s="145">
        <v>0</v>
      </c>
      <c r="N40" s="145">
        <v>0</v>
      </c>
      <c r="O40" s="145">
        <v>0.39760240289590443</v>
      </c>
      <c r="P40" s="145">
        <v>0</v>
      </c>
      <c r="Q40" s="145">
        <v>0</v>
      </c>
      <c r="R40" s="145">
        <v>9.999999999999998E-4</v>
      </c>
      <c r="S40" s="145">
        <v>0</v>
      </c>
      <c r="T40" s="145">
        <v>0</v>
      </c>
      <c r="U40" s="145">
        <v>0</v>
      </c>
      <c r="V40" s="145">
        <v>0</v>
      </c>
      <c r="W40" s="145">
        <v>0</v>
      </c>
      <c r="X40" s="145">
        <v>0</v>
      </c>
      <c r="Y40" s="145">
        <v>0</v>
      </c>
      <c r="Z40" s="145">
        <v>0</v>
      </c>
      <c r="AA40" s="145">
        <v>0</v>
      </c>
      <c r="AB40" s="145">
        <v>0</v>
      </c>
      <c r="AC40" s="145">
        <v>0</v>
      </c>
      <c r="AD40" s="145">
        <v>0</v>
      </c>
      <c r="AE40" s="145">
        <v>0</v>
      </c>
      <c r="AF40" s="145">
        <v>0</v>
      </c>
      <c r="AG40" s="145">
        <v>0</v>
      </c>
      <c r="AH40" s="145">
        <v>3.0000000000000001E-3</v>
      </c>
      <c r="AI40" s="145">
        <v>0</v>
      </c>
      <c r="AJ40" s="145">
        <v>0</v>
      </c>
      <c r="AK40" s="145">
        <v>0</v>
      </c>
      <c r="AL40" s="145">
        <v>0</v>
      </c>
      <c r="AM40" s="145">
        <v>0</v>
      </c>
      <c r="AN40" s="145">
        <v>0</v>
      </c>
      <c r="AO40" s="145">
        <v>0</v>
      </c>
      <c r="AP40" s="145">
        <v>0</v>
      </c>
    </row>
    <row r="41" spans="1:42" x14ac:dyDescent="0.15">
      <c r="A41" s="152" t="s">
        <v>231</v>
      </c>
      <c r="B41" s="145">
        <v>0</v>
      </c>
      <c r="C41" s="145">
        <v>0</v>
      </c>
      <c r="D41" s="145">
        <v>0</v>
      </c>
      <c r="E41" s="145">
        <v>0</v>
      </c>
      <c r="F41" s="145">
        <v>0</v>
      </c>
      <c r="G41" s="145">
        <v>5.0000000000000001E-3</v>
      </c>
      <c r="H41" s="145">
        <v>0</v>
      </c>
      <c r="I41" s="145">
        <v>4.9950046424575671E-3</v>
      </c>
      <c r="J41" s="145">
        <v>1.0000000038400006E-2</v>
      </c>
      <c r="K41" s="145">
        <v>0</v>
      </c>
      <c r="L41" s="145">
        <v>0</v>
      </c>
      <c r="M41" s="145">
        <v>0</v>
      </c>
      <c r="N41" s="145">
        <v>0</v>
      </c>
      <c r="O41" s="145">
        <v>0</v>
      </c>
      <c r="P41" s="145">
        <v>0</v>
      </c>
      <c r="Q41" s="145">
        <v>0</v>
      </c>
      <c r="R41" s="145">
        <v>1.1999999999999997E-2</v>
      </c>
      <c r="S41" s="145">
        <v>0</v>
      </c>
      <c r="T41" s="145">
        <v>0</v>
      </c>
      <c r="U41" s="145">
        <v>0</v>
      </c>
      <c r="V41" s="145">
        <v>0</v>
      </c>
      <c r="W41" s="145">
        <v>0</v>
      </c>
      <c r="X41" s="145">
        <v>0</v>
      </c>
      <c r="Y41" s="145">
        <v>0</v>
      </c>
      <c r="Z41" s="145">
        <v>8.0240728984954744E-3</v>
      </c>
      <c r="AA41" s="145">
        <v>8.0080085772572286E-3</v>
      </c>
      <c r="AB41" s="145">
        <v>0</v>
      </c>
      <c r="AC41" s="145">
        <v>0</v>
      </c>
      <c r="AD41" s="145">
        <v>0</v>
      </c>
      <c r="AE41" s="145">
        <v>0</v>
      </c>
      <c r="AF41" s="145">
        <v>0</v>
      </c>
      <c r="AG41" s="145">
        <v>0</v>
      </c>
      <c r="AH41" s="145">
        <v>0</v>
      </c>
      <c r="AI41" s="145">
        <v>0</v>
      </c>
      <c r="AJ41" s="145">
        <v>0</v>
      </c>
      <c r="AK41" s="145">
        <v>0.28199999999999997</v>
      </c>
      <c r="AL41" s="145">
        <v>0.20513538156740924</v>
      </c>
      <c r="AM41" s="145">
        <v>0</v>
      </c>
      <c r="AN41" s="145">
        <v>0</v>
      </c>
      <c r="AO41" s="145">
        <v>0</v>
      </c>
      <c r="AP41" s="145">
        <v>0</v>
      </c>
    </row>
    <row r="42" spans="1:42" x14ac:dyDescent="0.15">
      <c r="A42" s="152" t="s">
        <v>232</v>
      </c>
      <c r="B42" s="145">
        <v>0</v>
      </c>
      <c r="C42" s="145">
        <v>0</v>
      </c>
      <c r="D42" s="145">
        <v>0</v>
      </c>
      <c r="E42" s="145">
        <v>0</v>
      </c>
      <c r="F42" s="145">
        <v>0</v>
      </c>
      <c r="G42" s="145">
        <v>0</v>
      </c>
      <c r="H42" s="145">
        <v>0</v>
      </c>
      <c r="I42" s="145">
        <v>0</v>
      </c>
      <c r="J42" s="145">
        <v>0</v>
      </c>
      <c r="K42" s="145">
        <v>0</v>
      </c>
      <c r="L42" s="145">
        <v>0</v>
      </c>
      <c r="M42" s="145">
        <v>0</v>
      </c>
      <c r="N42" s="145">
        <v>0</v>
      </c>
      <c r="O42" s="145">
        <v>0</v>
      </c>
      <c r="P42" s="145">
        <v>0</v>
      </c>
      <c r="Q42" s="145">
        <v>0</v>
      </c>
      <c r="R42" s="145">
        <v>0</v>
      </c>
      <c r="S42" s="145">
        <v>0</v>
      </c>
      <c r="T42" s="145">
        <v>0</v>
      </c>
      <c r="U42" s="145">
        <v>0</v>
      </c>
      <c r="V42" s="145">
        <v>0</v>
      </c>
      <c r="W42" s="145">
        <v>0</v>
      </c>
      <c r="X42" s="145">
        <v>0</v>
      </c>
      <c r="Y42" s="145">
        <v>0</v>
      </c>
      <c r="Z42" s="145">
        <v>0</v>
      </c>
      <c r="AA42" s="145">
        <v>0</v>
      </c>
      <c r="AB42" s="145">
        <v>0</v>
      </c>
      <c r="AC42" s="145">
        <v>0</v>
      </c>
      <c r="AD42" s="145">
        <v>0</v>
      </c>
      <c r="AE42" s="145">
        <v>0</v>
      </c>
      <c r="AF42" s="145">
        <v>0</v>
      </c>
      <c r="AG42" s="145">
        <v>0</v>
      </c>
      <c r="AH42" s="145">
        <v>0</v>
      </c>
      <c r="AI42" s="145">
        <v>0</v>
      </c>
      <c r="AJ42" s="145">
        <v>0</v>
      </c>
      <c r="AK42" s="145">
        <v>0</v>
      </c>
      <c r="AL42" s="145">
        <v>0</v>
      </c>
      <c r="AM42" s="145">
        <v>0</v>
      </c>
      <c r="AN42" s="145">
        <v>0</v>
      </c>
      <c r="AO42" s="145">
        <v>0</v>
      </c>
      <c r="AP42" s="145">
        <v>0</v>
      </c>
    </row>
    <row r="43" spans="1:42" x14ac:dyDescent="0.15">
      <c r="A43" s="152" t="s">
        <v>238</v>
      </c>
      <c r="B43" s="145">
        <v>0</v>
      </c>
      <c r="C43" s="145">
        <v>0</v>
      </c>
      <c r="D43" s="145">
        <v>0</v>
      </c>
      <c r="E43" s="145">
        <v>0</v>
      </c>
      <c r="F43" s="145">
        <v>0</v>
      </c>
      <c r="G43" s="145">
        <v>0</v>
      </c>
      <c r="H43" s="145">
        <v>0.1</v>
      </c>
      <c r="I43" s="145">
        <v>5.4945056067032878E-2</v>
      </c>
      <c r="J43" s="145">
        <v>2.0000000676800075E-3</v>
      </c>
      <c r="K43" s="145">
        <v>0</v>
      </c>
      <c r="L43" s="145">
        <v>0.05</v>
      </c>
      <c r="M43" s="145">
        <v>0</v>
      </c>
      <c r="N43" s="145">
        <v>0</v>
      </c>
      <c r="O43" s="145">
        <v>0</v>
      </c>
      <c r="P43" s="145">
        <v>0</v>
      </c>
      <c r="Q43" s="145">
        <v>0</v>
      </c>
      <c r="R43" s="145">
        <v>0</v>
      </c>
      <c r="S43" s="145">
        <v>0</v>
      </c>
      <c r="T43" s="145">
        <v>0.02</v>
      </c>
      <c r="U43" s="145">
        <v>0</v>
      </c>
      <c r="V43" s="145">
        <v>0</v>
      </c>
      <c r="W43" s="145">
        <v>2E-3</v>
      </c>
      <c r="X43" s="145">
        <v>0</v>
      </c>
      <c r="Y43" s="145">
        <v>0</v>
      </c>
      <c r="Z43" s="145">
        <v>0</v>
      </c>
      <c r="AA43" s="145">
        <v>0</v>
      </c>
      <c r="AB43" s="145">
        <v>0</v>
      </c>
      <c r="AC43" s="145">
        <v>0</v>
      </c>
      <c r="AD43" s="145">
        <v>0</v>
      </c>
      <c r="AE43" s="145">
        <v>0</v>
      </c>
      <c r="AF43" s="145">
        <v>0</v>
      </c>
      <c r="AG43" s="145">
        <v>0</v>
      </c>
      <c r="AH43" s="145">
        <v>2E-3</v>
      </c>
      <c r="AI43" s="145">
        <v>0</v>
      </c>
      <c r="AJ43" s="145">
        <v>0</v>
      </c>
      <c r="AK43" s="145">
        <v>0</v>
      </c>
      <c r="AL43" s="145">
        <v>0.61440551967019275</v>
      </c>
      <c r="AM43" s="145">
        <v>0</v>
      </c>
      <c r="AN43" s="145">
        <v>0</v>
      </c>
      <c r="AO43" s="145">
        <v>0</v>
      </c>
      <c r="AP43" s="145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3" activePane="bottomRight" state="frozen"/>
      <selection pane="topRight" activeCell="C1" sqref="C1"/>
      <selection pane="bottomLeft" activeCell="A2" sqref="A2"/>
      <selection pane="bottomRight" activeCell="C49" sqref="C49"/>
    </sheetView>
  </sheetViews>
  <sheetFormatPr baseColWidth="10" defaultColWidth="8.83203125" defaultRowHeight="13" x14ac:dyDescent="0.15"/>
  <cols>
    <col min="1" max="1" width="3.33203125" customWidth="1"/>
    <col min="2" max="2" width="25.5" customWidth="1"/>
    <col min="3" max="4" width="22.33203125" style="115" customWidth="1"/>
    <col min="5" max="6" width="22.33203125" style="114" customWidth="1"/>
    <col min="7" max="7" width="7.33203125" style="115" customWidth="1"/>
    <col min="8" max="8" width="8.83203125" style="115"/>
  </cols>
  <sheetData>
    <row r="1" spans="1:8" ht="70" x14ac:dyDescent="0.15">
      <c r="A1" s="5" t="s">
        <v>20</v>
      </c>
      <c r="B1" s="1" t="s">
        <v>0</v>
      </c>
      <c r="C1" s="177" t="s">
        <v>230</v>
      </c>
      <c r="D1" s="177" t="s">
        <v>231</v>
      </c>
      <c r="E1" s="177" t="s">
        <v>232</v>
      </c>
      <c r="F1" s="177" t="s">
        <v>239</v>
      </c>
      <c r="G1" s="177" t="s">
        <v>240</v>
      </c>
      <c r="H1"/>
    </row>
    <row r="2" spans="1:8" x14ac:dyDescent="0.15">
      <c r="A2">
        <v>1</v>
      </c>
      <c r="B2" s="154" t="s">
        <v>192</v>
      </c>
      <c r="C2" s="115">
        <v>1</v>
      </c>
      <c r="D2" s="115">
        <v>0</v>
      </c>
      <c r="E2" s="114">
        <v>0</v>
      </c>
      <c r="F2" s="114">
        <v>0</v>
      </c>
      <c r="G2" s="115">
        <f>SUM(C2:F2)</f>
        <v>1</v>
      </c>
      <c r="H2"/>
    </row>
    <row r="3" spans="1:8" x14ac:dyDescent="0.15">
      <c r="A3">
        <v>2</v>
      </c>
      <c r="B3" s="154" t="s">
        <v>193</v>
      </c>
      <c r="C3" s="115">
        <v>1</v>
      </c>
      <c r="D3" s="115">
        <v>0</v>
      </c>
      <c r="E3" s="114">
        <v>0</v>
      </c>
      <c r="F3" s="114">
        <v>0</v>
      </c>
      <c r="G3" s="115">
        <f t="shared" ref="G3:G47" si="0">SUM(C3:F3)</f>
        <v>1</v>
      </c>
      <c r="H3"/>
    </row>
    <row r="4" spans="1:8" x14ac:dyDescent="0.15">
      <c r="A4">
        <v>3</v>
      </c>
      <c r="B4" s="154" t="s">
        <v>194</v>
      </c>
      <c r="C4" s="115">
        <v>1</v>
      </c>
      <c r="D4" s="115">
        <v>0</v>
      </c>
      <c r="E4" s="114">
        <v>0</v>
      </c>
      <c r="F4" s="114">
        <v>0</v>
      </c>
      <c r="G4" s="115">
        <f t="shared" si="0"/>
        <v>1</v>
      </c>
      <c r="H4"/>
    </row>
    <row r="5" spans="1:8" x14ac:dyDescent="0.15">
      <c r="A5">
        <v>4</v>
      </c>
      <c r="B5" s="154" t="s">
        <v>195</v>
      </c>
      <c r="C5" s="115">
        <v>1</v>
      </c>
      <c r="D5" s="115">
        <v>0</v>
      </c>
      <c r="E5" s="114">
        <v>0</v>
      </c>
      <c r="F5" s="114">
        <v>0</v>
      </c>
      <c r="G5" s="115">
        <f t="shared" si="0"/>
        <v>1</v>
      </c>
      <c r="H5"/>
    </row>
    <row r="6" spans="1:8" x14ac:dyDescent="0.15">
      <c r="A6">
        <v>5</v>
      </c>
      <c r="B6" s="154" t="s">
        <v>196</v>
      </c>
      <c r="C6" s="115">
        <v>1</v>
      </c>
      <c r="D6" s="115">
        <v>0</v>
      </c>
      <c r="E6" s="114">
        <v>0</v>
      </c>
      <c r="F6" s="114">
        <v>0</v>
      </c>
      <c r="G6" s="115">
        <f t="shared" si="0"/>
        <v>1</v>
      </c>
      <c r="H6"/>
    </row>
    <row r="7" spans="1:8" x14ac:dyDescent="0.15">
      <c r="A7">
        <v>6</v>
      </c>
      <c r="B7" s="154" t="s">
        <v>197</v>
      </c>
      <c r="C7" s="115">
        <v>1</v>
      </c>
      <c r="D7" s="115">
        <v>0</v>
      </c>
      <c r="E7" s="114">
        <v>0</v>
      </c>
      <c r="F7" s="114">
        <v>0</v>
      </c>
      <c r="G7" s="115">
        <f t="shared" si="0"/>
        <v>1</v>
      </c>
      <c r="H7"/>
    </row>
    <row r="8" spans="1:8" x14ac:dyDescent="0.15">
      <c r="A8">
        <v>7</v>
      </c>
      <c r="B8" s="154" t="s">
        <v>198</v>
      </c>
      <c r="C8" s="115">
        <v>1</v>
      </c>
      <c r="D8" s="115">
        <v>0</v>
      </c>
      <c r="E8" s="114">
        <v>0</v>
      </c>
      <c r="F8" s="114">
        <v>0</v>
      </c>
      <c r="G8" s="115">
        <f t="shared" si="0"/>
        <v>1</v>
      </c>
      <c r="H8"/>
    </row>
    <row r="9" spans="1:8" x14ac:dyDescent="0.15">
      <c r="A9">
        <v>8</v>
      </c>
      <c r="B9" s="154" t="s">
        <v>199</v>
      </c>
      <c r="C9" s="115">
        <v>1</v>
      </c>
      <c r="D9" s="115">
        <v>0</v>
      </c>
      <c r="E9" s="114">
        <v>0</v>
      </c>
      <c r="F9" s="114">
        <v>0</v>
      </c>
      <c r="G9" s="115">
        <f t="shared" si="0"/>
        <v>1</v>
      </c>
      <c r="H9"/>
    </row>
    <row r="10" spans="1:8" x14ac:dyDescent="0.15">
      <c r="A10">
        <v>9</v>
      </c>
      <c r="B10" s="154" t="s">
        <v>200</v>
      </c>
      <c r="C10" s="115">
        <v>1</v>
      </c>
      <c r="D10" s="115">
        <v>0</v>
      </c>
      <c r="E10" s="114">
        <v>0</v>
      </c>
      <c r="F10" s="114">
        <v>0</v>
      </c>
      <c r="G10" s="115">
        <f t="shared" si="0"/>
        <v>1</v>
      </c>
      <c r="H10"/>
    </row>
    <row r="11" spans="1:8" x14ac:dyDescent="0.15">
      <c r="A11">
        <v>10</v>
      </c>
      <c r="B11" s="154" t="s">
        <v>201</v>
      </c>
      <c r="C11" s="115">
        <v>1</v>
      </c>
      <c r="D11" s="115">
        <v>0</v>
      </c>
      <c r="E11" s="114">
        <v>0</v>
      </c>
      <c r="F11" s="114">
        <v>0</v>
      </c>
      <c r="G11" s="115">
        <f t="shared" si="0"/>
        <v>1</v>
      </c>
      <c r="H11"/>
    </row>
    <row r="12" spans="1:8" x14ac:dyDescent="0.15">
      <c r="A12">
        <v>11</v>
      </c>
      <c r="B12" s="154" t="s">
        <v>202</v>
      </c>
      <c r="C12" s="115">
        <v>1</v>
      </c>
      <c r="D12" s="115">
        <v>0</v>
      </c>
      <c r="E12" s="114">
        <v>0</v>
      </c>
      <c r="F12" s="114">
        <v>0</v>
      </c>
      <c r="G12" s="115">
        <f t="shared" si="0"/>
        <v>1</v>
      </c>
      <c r="H12"/>
    </row>
    <row r="13" spans="1:8" x14ac:dyDescent="0.15">
      <c r="A13">
        <v>12</v>
      </c>
      <c r="B13" s="154" t="s">
        <v>203</v>
      </c>
      <c r="C13" s="115">
        <v>1</v>
      </c>
      <c r="D13" s="115">
        <v>0</v>
      </c>
      <c r="E13" s="114">
        <v>0</v>
      </c>
      <c r="F13" s="114">
        <v>0</v>
      </c>
      <c r="G13" s="115">
        <f t="shared" si="0"/>
        <v>1</v>
      </c>
      <c r="H13"/>
    </row>
    <row r="14" spans="1:8" x14ac:dyDescent="0.15">
      <c r="A14">
        <v>13</v>
      </c>
      <c r="B14" s="154" t="s">
        <v>204</v>
      </c>
      <c r="C14" s="115">
        <v>1</v>
      </c>
      <c r="D14" s="115">
        <v>0</v>
      </c>
      <c r="E14" s="114">
        <v>0</v>
      </c>
      <c r="F14" s="114">
        <v>0</v>
      </c>
      <c r="G14" s="115">
        <f t="shared" si="0"/>
        <v>1</v>
      </c>
      <c r="H14"/>
    </row>
    <row r="15" spans="1:8" x14ac:dyDescent="0.15">
      <c r="A15">
        <v>14</v>
      </c>
      <c r="B15" s="154" t="s">
        <v>205</v>
      </c>
      <c r="C15" s="115">
        <v>1</v>
      </c>
      <c r="D15" s="115">
        <v>0</v>
      </c>
      <c r="E15" s="114">
        <v>0</v>
      </c>
      <c r="F15" s="114">
        <v>0</v>
      </c>
      <c r="G15" s="115">
        <f t="shared" si="0"/>
        <v>1</v>
      </c>
      <c r="H15"/>
    </row>
    <row r="16" spans="1:8" x14ac:dyDescent="0.15">
      <c r="A16">
        <v>15</v>
      </c>
      <c r="B16" s="154" t="s">
        <v>206</v>
      </c>
      <c r="C16" s="115">
        <v>1</v>
      </c>
      <c r="D16" s="115">
        <v>0</v>
      </c>
      <c r="E16" s="114">
        <v>0</v>
      </c>
      <c r="F16" s="114">
        <v>0</v>
      </c>
      <c r="G16" s="115">
        <f t="shared" si="0"/>
        <v>1</v>
      </c>
      <c r="H16"/>
    </row>
    <row r="17" spans="1:8" ht="15" customHeight="1" x14ac:dyDescent="0.15">
      <c r="A17">
        <v>16</v>
      </c>
      <c r="B17" s="154" t="s">
        <v>207</v>
      </c>
      <c r="C17" s="115">
        <v>1</v>
      </c>
      <c r="D17" s="115">
        <v>0</v>
      </c>
      <c r="E17" s="114">
        <v>0</v>
      </c>
      <c r="F17" s="114">
        <v>0</v>
      </c>
      <c r="G17" s="115">
        <f t="shared" si="0"/>
        <v>1</v>
      </c>
      <c r="H17"/>
    </row>
    <row r="18" spans="1:8" ht="15" customHeight="1" x14ac:dyDescent="0.15">
      <c r="A18">
        <v>17</v>
      </c>
      <c r="B18" s="154" t="s">
        <v>208</v>
      </c>
      <c r="C18" s="115">
        <v>1</v>
      </c>
      <c r="D18" s="115">
        <v>0</v>
      </c>
      <c r="E18" s="114">
        <v>0</v>
      </c>
      <c r="F18" s="114">
        <v>0</v>
      </c>
      <c r="G18" s="115">
        <f t="shared" si="0"/>
        <v>1</v>
      </c>
      <c r="H18"/>
    </row>
    <row r="19" spans="1:8" ht="15" customHeight="1" x14ac:dyDescent="0.15">
      <c r="A19">
        <v>18</v>
      </c>
      <c r="B19" s="154" t="s">
        <v>209</v>
      </c>
      <c r="C19" s="115">
        <v>1</v>
      </c>
      <c r="D19" s="115">
        <v>0</v>
      </c>
      <c r="E19" s="114">
        <v>0</v>
      </c>
      <c r="F19" s="114">
        <v>0</v>
      </c>
      <c r="G19" s="115">
        <f t="shared" si="0"/>
        <v>1</v>
      </c>
      <c r="H19"/>
    </row>
    <row r="20" spans="1:8" ht="15" customHeight="1" x14ac:dyDescent="0.15">
      <c r="A20">
        <v>19</v>
      </c>
      <c r="B20" s="154" t="s">
        <v>210</v>
      </c>
      <c r="C20" s="115">
        <v>1</v>
      </c>
      <c r="D20" s="115">
        <v>0</v>
      </c>
      <c r="E20" s="114">
        <v>0</v>
      </c>
      <c r="F20" s="114">
        <v>0</v>
      </c>
      <c r="G20" s="115">
        <f t="shared" si="0"/>
        <v>1</v>
      </c>
      <c r="H20"/>
    </row>
    <row r="21" spans="1:8" ht="15" customHeight="1" x14ac:dyDescent="0.15">
      <c r="A21">
        <v>20</v>
      </c>
      <c r="B21" s="154" t="s">
        <v>211</v>
      </c>
      <c r="C21" s="115">
        <v>1</v>
      </c>
      <c r="D21" s="115">
        <v>0</v>
      </c>
      <c r="E21" s="114">
        <v>0</v>
      </c>
      <c r="F21" s="114">
        <v>0</v>
      </c>
      <c r="G21" s="115">
        <f t="shared" si="0"/>
        <v>1</v>
      </c>
      <c r="H21"/>
    </row>
    <row r="22" spans="1:8" ht="15" customHeight="1" x14ac:dyDescent="0.15">
      <c r="A22">
        <v>21</v>
      </c>
      <c r="B22" s="154" t="s">
        <v>212</v>
      </c>
      <c r="C22" s="115">
        <v>1</v>
      </c>
      <c r="D22" s="115">
        <v>0</v>
      </c>
      <c r="E22" s="114">
        <v>0</v>
      </c>
      <c r="F22" s="114">
        <v>0</v>
      </c>
      <c r="G22" s="115">
        <f t="shared" si="0"/>
        <v>1</v>
      </c>
      <c r="H22"/>
    </row>
    <row r="23" spans="1:8" ht="15" customHeight="1" x14ac:dyDescent="0.15">
      <c r="A23">
        <v>22</v>
      </c>
      <c r="B23" s="154" t="s">
        <v>213</v>
      </c>
      <c r="C23" s="115">
        <v>1</v>
      </c>
      <c r="D23" s="115">
        <v>0</v>
      </c>
      <c r="E23" s="114">
        <v>0</v>
      </c>
      <c r="F23" s="114">
        <v>0</v>
      </c>
      <c r="G23" s="115">
        <f t="shared" si="0"/>
        <v>1</v>
      </c>
      <c r="H23"/>
    </row>
    <row r="24" spans="1:8" ht="15" customHeight="1" x14ac:dyDescent="0.15">
      <c r="A24">
        <v>23</v>
      </c>
      <c r="B24" s="154" t="s">
        <v>214</v>
      </c>
      <c r="C24" s="115">
        <v>1</v>
      </c>
      <c r="D24" s="115">
        <v>0</v>
      </c>
      <c r="E24" s="114">
        <v>0</v>
      </c>
      <c r="F24" s="114">
        <v>0</v>
      </c>
      <c r="G24" s="115">
        <f t="shared" si="0"/>
        <v>1</v>
      </c>
      <c r="H24"/>
    </row>
    <row r="25" spans="1:8" ht="15" customHeight="1" x14ac:dyDescent="0.15">
      <c r="A25">
        <v>24</v>
      </c>
      <c r="B25" s="154" t="s">
        <v>215</v>
      </c>
      <c r="C25" s="115">
        <v>1</v>
      </c>
      <c r="D25" s="115">
        <v>0</v>
      </c>
      <c r="E25" s="114">
        <v>0</v>
      </c>
      <c r="F25" s="114">
        <v>0</v>
      </c>
      <c r="G25" s="115">
        <f t="shared" si="0"/>
        <v>1</v>
      </c>
      <c r="H25"/>
    </row>
    <row r="26" spans="1:8" ht="15" customHeight="1" x14ac:dyDescent="0.15">
      <c r="A26">
        <v>25</v>
      </c>
      <c r="B26" s="154" t="s">
        <v>216</v>
      </c>
      <c r="C26" s="115">
        <v>1</v>
      </c>
      <c r="D26" s="115">
        <v>0</v>
      </c>
      <c r="E26" s="114">
        <v>0</v>
      </c>
      <c r="F26" s="114">
        <v>0</v>
      </c>
      <c r="G26" s="115">
        <f t="shared" si="0"/>
        <v>1</v>
      </c>
      <c r="H26"/>
    </row>
    <row r="27" spans="1:8" ht="15" customHeight="1" x14ac:dyDescent="0.15">
      <c r="A27">
        <v>26</v>
      </c>
      <c r="B27" s="154" t="s">
        <v>217</v>
      </c>
      <c r="C27" s="115">
        <v>1</v>
      </c>
      <c r="D27" s="115">
        <v>0</v>
      </c>
      <c r="E27" s="114">
        <v>0</v>
      </c>
      <c r="F27" s="114">
        <v>0</v>
      </c>
      <c r="G27" s="115">
        <f t="shared" si="0"/>
        <v>1</v>
      </c>
      <c r="H27"/>
    </row>
    <row r="28" spans="1:8" ht="15" customHeight="1" x14ac:dyDescent="0.15">
      <c r="A28">
        <v>27</v>
      </c>
      <c r="B28" s="154" t="s">
        <v>218</v>
      </c>
      <c r="C28" s="115">
        <v>1</v>
      </c>
      <c r="D28" s="115">
        <v>0</v>
      </c>
      <c r="E28" s="114">
        <v>0</v>
      </c>
      <c r="F28" s="114">
        <v>0</v>
      </c>
      <c r="G28" s="115">
        <f t="shared" si="0"/>
        <v>1</v>
      </c>
      <c r="H28"/>
    </row>
    <row r="29" spans="1:8" ht="15" customHeight="1" x14ac:dyDescent="0.15">
      <c r="A29">
        <v>28</v>
      </c>
      <c r="B29" s="154" t="s">
        <v>219</v>
      </c>
      <c r="C29" s="115">
        <v>1</v>
      </c>
      <c r="D29" s="115">
        <v>0</v>
      </c>
      <c r="E29" s="114">
        <v>0</v>
      </c>
      <c r="F29" s="114">
        <v>0</v>
      </c>
      <c r="G29" s="115">
        <f t="shared" si="0"/>
        <v>1</v>
      </c>
      <c r="H29"/>
    </row>
    <row r="30" spans="1:8" ht="15" customHeight="1" x14ac:dyDescent="0.15">
      <c r="A30">
        <v>29</v>
      </c>
      <c r="B30" s="154" t="s">
        <v>220</v>
      </c>
      <c r="C30" s="115">
        <v>1</v>
      </c>
      <c r="D30" s="115">
        <v>0</v>
      </c>
      <c r="E30" s="114">
        <v>0</v>
      </c>
      <c r="F30" s="114">
        <v>0</v>
      </c>
      <c r="G30" s="115">
        <f t="shared" si="0"/>
        <v>1</v>
      </c>
      <c r="H30"/>
    </row>
    <row r="31" spans="1:8" ht="15" customHeight="1" x14ac:dyDescent="0.15">
      <c r="A31">
        <v>30</v>
      </c>
      <c r="B31" s="154" t="s">
        <v>221</v>
      </c>
      <c r="C31" s="115">
        <v>1</v>
      </c>
      <c r="D31" s="115">
        <v>0</v>
      </c>
      <c r="E31" s="114">
        <v>0</v>
      </c>
      <c r="F31" s="114">
        <v>0</v>
      </c>
      <c r="G31" s="115">
        <f t="shared" si="0"/>
        <v>1</v>
      </c>
      <c r="H31"/>
    </row>
    <row r="32" spans="1:8" ht="15" customHeight="1" x14ac:dyDescent="0.15">
      <c r="A32">
        <v>31</v>
      </c>
      <c r="B32" s="154" t="s">
        <v>222</v>
      </c>
      <c r="C32" s="115">
        <v>1</v>
      </c>
      <c r="D32" s="115">
        <v>0</v>
      </c>
      <c r="E32" s="114">
        <v>0</v>
      </c>
      <c r="F32" s="114">
        <v>0</v>
      </c>
      <c r="G32" s="115">
        <f t="shared" si="0"/>
        <v>1</v>
      </c>
    </row>
    <row r="33" spans="1:8" ht="15" customHeight="1" x14ac:dyDescent="0.15">
      <c r="A33">
        <v>32</v>
      </c>
      <c r="B33" s="154" t="s">
        <v>223</v>
      </c>
      <c r="C33" s="115">
        <v>1</v>
      </c>
      <c r="D33" s="115">
        <v>0</v>
      </c>
      <c r="E33" s="114">
        <v>0</v>
      </c>
      <c r="F33" s="114">
        <v>0</v>
      </c>
      <c r="G33" s="115">
        <f t="shared" si="0"/>
        <v>1</v>
      </c>
    </row>
    <row r="34" spans="1:8" ht="15" customHeight="1" x14ac:dyDescent="0.15">
      <c r="A34">
        <v>33</v>
      </c>
      <c r="B34" s="154" t="s">
        <v>224</v>
      </c>
      <c r="C34" s="115">
        <v>1</v>
      </c>
      <c r="D34" s="115">
        <v>0</v>
      </c>
      <c r="E34" s="114">
        <v>0</v>
      </c>
      <c r="F34" s="114">
        <v>0</v>
      </c>
      <c r="G34" s="115">
        <f t="shared" si="0"/>
        <v>1</v>
      </c>
    </row>
    <row r="35" spans="1:8" ht="15" customHeight="1" x14ac:dyDescent="0.15">
      <c r="A35">
        <v>34</v>
      </c>
      <c r="B35" s="154" t="s">
        <v>225</v>
      </c>
      <c r="C35" s="115">
        <v>1</v>
      </c>
      <c r="D35" s="115">
        <v>0</v>
      </c>
      <c r="E35" s="114">
        <v>0</v>
      </c>
      <c r="F35" s="114">
        <v>0</v>
      </c>
      <c r="G35" s="115">
        <f t="shared" si="0"/>
        <v>1</v>
      </c>
    </row>
    <row r="36" spans="1:8" ht="15" customHeight="1" x14ac:dyDescent="0.15">
      <c r="A36">
        <v>35</v>
      </c>
      <c r="B36" s="154" t="s">
        <v>226</v>
      </c>
      <c r="C36" s="115">
        <v>1</v>
      </c>
      <c r="D36" s="115">
        <v>0</v>
      </c>
      <c r="E36" s="115">
        <v>0</v>
      </c>
      <c r="F36" s="115">
        <v>0</v>
      </c>
      <c r="G36" s="115">
        <f t="shared" si="0"/>
        <v>1</v>
      </c>
      <c r="H36"/>
    </row>
    <row r="37" spans="1:8" ht="15" customHeight="1" x14ac:dyDescent="0.15">
      <c r="A37">
        <v>36</v>
      </c>
      <c r="B37" s="154" t="s">
        <v>227</v>
      </c>
      <c r="C37" s="115">
        <v>1</v>
      </c>
      <c r="D37" s="115">
        <v>0</v>
      </c>
      <c r="E37" s="115">
        <v>0</v>
      </c>
      <c r="F37" s="115">
        <v>0</v>
      </c>
      <c r="G37" s="115">
        <f t="shared" si="0"/>
        <v>1</v>
      </c>
      <c r="H37"/>
    </row>
    <row r="38" spans="1:8" ht="15" customHeight="1" x14ac:dyDescent="0.15">
      <c r="A38">
        <v>37</v>
      </c>
      <c r="B38" s="154" t="s">
        <v>228</v>
      </c>
      <c r="C38" s="115">
        <v>1</v>
      </c>
      <c r="D38" s="115">
        <v>0</v>
      </c>
      <c r="E38" s="115">
        <v>0</v>
      </c>
      <c r="F38" s="115">
        <v>0</v>
      </c>
      <c r="G38" s="115">
        <f t="shared" si="0"/>
        <v>1</v>
      </c>
      <c r="H38"/>
    </row>
    <row r="39" spans="1:8" ht="15" customHeight="1" x14ac:dyDescent="0.15">
      <c r="A39">
        <v>38</v>
      </c>
      <c r="B39" s="154" t="s">
        <v>229</v>
      </c>
      <c r="C39" s="115">
        <v>1</v>
      </c>
      <c r="D39" s="115">
        <v>0</v>
      </c>
      <c r="E39" s="115">
        <v>0</v>
      </c>
      <c r="F39" s="115">
        <v>0</v>
      </c>
      <c r="G39" s="115">
        <f t="shared" si="0"/>
        <v>1</v>
      </c>
      <c r="H39"/>
    </row>
    <row r="40" spans="1:8" ht="15" customHeight="1" x14ac:dyDescent="0.15">
      <c r="A40">
        <v>39</v>
      </c>
      <c r="B40" s="154" t="s">
        <v>230</v>
      </c>
      <c r="C40" s="115">
        <v>0</v>
      </c>
      <c r="D40" s="115">
        <v>0</v>
      </c>
      <c r="E40" s="115">
        <v>1</v>
      </c>
      <c r="F40" s="115">
        <v>0</v>
      </c>
      <c r="G40" s="115">
        <f t="shared" si="0"/>
        <v>1</v>
      </c>
      <c r="H40"/>
    </row>
    <row r="41" spans="1:8" ht="15" customHeight="1" x14ac:dyDescent="0.15">
      <c r="A41">
        <v>40</v>
      </c>
      <c r="B41" s="154" t="s">
        <v>231</v>
      </c>
      <c r="C41" s="115">
        <v>1</v>
      </c>
      <c r="D41" s="115">
        <v>0</v>
      </c>
      <c r="E41" s="115">
        <v>0</v>
      </c>
      <c r="F41" s="115">
        <v>0</v>
      </c>
      <c r="G41" s="115">
        <f t="shared" si="0"/>
        <v>1</v>
      </c>
      <c r="H41"/>
    </row>
    <row r="42" spans="1:8" ht="15" customHeight="1" x14ac:dyDescent="0.15">
      <c r="A42">
        <v>41</v>
      </c>
      <c r="B42" s="154" t="s">
        <v>232</v>
      </c>
      <c r="C42" s="115">
        <v>0</v>
      </c>
      <c r="D42" s="115">
        <v>0</v>
      </c>
      <c r="E42" s="115">
        <v>0</v>
      </c>
      <c r="F42" s="115">
        <v>1</v>
      </c>
      <c r="G42" s="115">
        <f t="shared" si="0"/>
        <v>1</v>
      </c>
      <c r="H42"/>
    </row>
    <row r="43" spans="1:8" ht="15" customHeight="1" x14ac:dyDescent="0.15">
      <c r="A43">
        <v>42</v>
      </c>
      <c r="B43" s="154" t="s">
        <v>233</v>
      </c>
      <c r="C43" s="115">
        <v>0</v>
      </c>
      <c r="D43" s="176">
        <v>1</v>
      </c>
      <c r="E43" s="176">
        <v>0</v>
      </c>
      <c r="F43" s="115">
        <v>0</v>
      </c>
      <c r="G43" s="115">
        <f t="shared" si="0"/>
        <v>1</v>
      </c>
      <c r="H43"/>
    </row>
    <row r="44" spans="1:8" ht="15" customHeight="1" x14ac:dyDescent="0.15">
      <c r="A44">
        <v>43</v>
      </c>
      <c r="B44" s="154" t="s">
        <v>234</v>
      </c>
      <c r="C44" s="115">
        <v>0</v>
      </c>
      <c r="D44" s="176">
        <v>1</v>
      </c>
      <c r="E44" s="176">
        <v>0</v>
      </c>
      <c r="F44" s="114">
        <v>0</v>
      </c>
      <c r="G44" s="115">
        <f t="shared" si="0"/>
        <v>1</v>
      </c>
      <c r="H44"/>
    </row>
    <row r="45" spans="1:8" ht="15" customHeight="1" x14ac:dyDescent="0.15">
      <c r="A45">
        <v>44</v>
      </c>
      <c r="B45" s="154" t="s">
        <v>235</v>
      </c>
      <c r="C45" s="115">
        <v>0</v>
      </c>
      <c r="D45" s="176">
        <v>1</v>
      </c>
      <c r="E45" s="176">
        <v>0</v>
      </c>
      <c r="F45" s="114">
        <v>0</v>
      </c>
      <c r="G45" s="115">
        <f t="shared" si="0"/>
        <v>1</v>
      </c>
      <c r="H45"/>
    </row>
    <row r="46" spans="1:8" ht="15" customHeight="1" x14ac:dyDescent="0.15">
      <c r="A46">
        <v>45</v>
      </c>
      <c r="B46" s="154" t="s">
        <v>236</v>
      </c>
      <c r="C46" s="115">
        <v>0</v>
      </c>
      <c r="D46" s="176">
        <v>1</v>
      </c>
      <c r="E46" s="176">
        <v>0</v>
      </c>
      <c r="F46" s="115">
        <v>0</v>
      </c>
      <c r="G46" s="115">
        <f t="shared" si="0"/>
        <v>1</v>
      </c>
      <c r="H46"/>
    </row>
    <row r="47" spans="1:8" ht="15" customHeight="1" x14ac:dyDescent="0.15">
      <c r="A47">
        <v>46</v>
      </c>
      <c r="B47" s="154" t="s">
        <v>237</v>
      </c>
      <c r="C47" s="115">
        <v>0</v>
      </c>
      <c r="D47" s="176">
        <v>1</v>
      </c>
      <c r="E47" s="176">
        <v>0</v>
      </c>
      <c r="F47" s="114">
        <v>0</v>
      </c>
      <c r="G47" s="115">
        <f t="shared" si="0"/>
        <v>1</v>
      </c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H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5.5" bestFit="1" customWidth="1"/>
    <col min="3" max="4" width="12.83203125" bestFit="1" customWidth="1"/>
    <col min="5" max="5" width="11.83203125" bestFit="1" customWidth="1"/>
    <col min="6" max="7" width="12.83203125" customWidth="1"/>
    <col min="8" max="8" width="14.83203125" customWidth="1"/>
  </cols>
  <sheetData>
    <row r="1" spans="1:8" s="116" customFormat="1" ht="112" x14ac:dyDescent="0.15">
      <c r="A1" s="5" t="s">
        <v>21</v>
      </c>
      <c r="B1" s="3" t="s">
        <v>0</v>
      </c>
      <c r="C1" s="156" t="s">
        <v>233</v>
      </c>
      <c r="D1" s="156" t="s">
        <v>234</v>
      </c>
      <c r="E1" s="156" t="s">
        <v>235</v>
      </c>
      <c r="F1" s="156" t="s">
        <v>236</v>
      </c>
      <c r="G1" s="156" t="s">
        <v>237</v>
      </c>
      <c r="H1" s="156" t="s">
        <v>241</v>
      </c>
    </row>
    <row r="2" spans="1:8" ht="15" customHeight="1" x14ac:dyDescent="0.15">
      <c r="A2">
        <v>1</v>
      </c>
      <c r="B2" s="155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 ht="15" customHeight="1" x14ac:dyDescent="0.15">
      <c r="A3">
        <v>2</v>
      </c>
      <c r="B3" s="155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</row>
    <row r="4" spans="1:8" ht="15" customHeight="1" x14ac:dyDescent="0.15">
      <c r="A4">
        <v>3</v>
      </c>
      <c r="B4" s="155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 ht="15" customHeight="1" x14ac:dyDescent="0.15">
      <c r="A5">
        <v>4</v>
      </c>
      <c r="B5" s="155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</row>
    <row r="6" spans="1:8" ht="15" customHeight="1" x14ac:dyDescent="0.15">
      <c r="A6">
        <v>5</v>
      </c>
      <c r="B6" s="155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</row>
    <row r="7" spans="1:8" ht="15" customHeight="1" x14ac:dyDescent="0.15">
      <c r="A7">
        <v>6</v>
      </c>
      <c r="B7" s="155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</row>
    <row r="8" spans="1:8" ht="15" customHeight="1" x14ac:dyDescent="0.15">
      <c r="A8">
        <v>7</v>
      </c>
      <c r="B8" s="155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ht="15" customHeight="1" x14ac:dyDescent="0.15">
      <c r="A9">
        <v>8</v>
      </c>
      <c r="B9" s="155" t="s">
        <v>199</v>
      </c>
      <c r="C9">
        <v>9.3853995199999998E-2</v>
      </c>
      <c r="D9">
        <v>0</v>
      </c>
      <c r="E9">
        <v>0</v>
      </c>
      <c r="F9">
        <v>9.9181040000000005E-3</v>
      </c>
      <c r="G9">
        <v>1.75854E-4</v>
      </c>
      <c r="H9">
        <v>0.1039479532</v>
      </c>
    </row>
    <row r="10" spans="1:8" ht="15" customHeight="1" x14ac:dyDescent="0.15">
      <c r="A10">
        <v>9</v>
      </c>
      <c r="B10" s="155" t="s">
        <v>200</v>
      </c>
      <c r="C10">
        <v>3.7628879999999998E-3</v>
      </c>
      <c r="D10">
        <v>0</v>
      </c>
      <c r="E10">
        <v>3.6866699999999998E-6</v>
      </c>
      <c r="F10">
        <v>5.9600460000000001E-3</v>
      </c>
      <c r="G10">
        <v>6.3880999999999996E-4</v>
      </c>
      <c r="H10">
        <v>1.036543067E-2</v>
      </c>
    </row>
    <row r="11" spans="1:8" ht="15" customHeight="1" x14ac:dyDescent="0.15">
      <c r="A11">
        <v>10</v>
      </c>
      <c r="B11" s="155" t="s">
        <v>201</v>
      </c>
      <c r="C11">
        <v>0.01</v>
      </c>
      <c r="D11">
        <v>1.68532E-5</v>
      </c>
      <c r="E11">
        <v>0</v>
      </c>
      <c r="F11">
        <v>1.6530169999999999E-3</v>
      </c>
      <c r="G11">
        <v>0</v>
      </c>
      <c r="H11">
        <v>1.16698702E-2</v>
      </c>
    </row>
    <row r="12" spans="1:8" ht="15" customHeight="1" x14ac:dyDescent="0.15">
      <c r="A12">
        <v>11</v>
      </c>
      <c r="B12" s="155" t="s">
        <v>202</v>
      </c>
      <c r="C12">
        <v>7.6789969999999999E-3</v>
      </c>
      <c r="D12">
        <v>6.4047600000000007E-5</v>
      </c>
      <c r="E12">
        <v>0</v>
      </c>
      <c r="F12">
        <v>7.8059199999999998E-4</v>
      </c>
      <c r="G12">
        <v>0</v>
      </c>
      <c r="H12">
        <v>8.5236366000000004E-3</v>
      </c>
    </row>
    <row r="13" spans="1:8" ht="15" customHeight="1" x14ac:dyDescent="0.15">
      <c r="A13">
        <v>12</v>
      </c>
      <c r="B13" s="155" t="s">
        <v>203</v>
      </c>
      <c r="C13">
        <v>3.8935583099999997E-2</v>
      </c>
      <c r="D13">
        <v>7.2941200000000006E-5</v>
      </c>
      <c r="E13">
        <v>3.4658099999999999E-4</v>
      </c>
      <c r="F13">
        <v>0.102854416</v>
      </c>
      <c r="G13">
        <v>3.1369127300000001E-2</v>
      </c>
      <c r="H13">
        <v>0.1735786486</v>
      </c>
    </row>
    <row r="14" spans="1:8" ht="15" customHeight="1" x14ac:dyDescent="0.15">
      <c r="A14">
        <v>13</v>
      </c>
      <c r="B14" s="155" t="s">
        <v>204</v>
      </c>
      <c r="C14">
        <v>2.10904032E-2</v>
      </c>
      <c r="D14">
        <v>8.8445899999999998E-4</v>
      </c>
      <c r="E14">
        <v>1.81967E-4</v>
      </c>
      <c r="F14">
        <v>5.197821E-3</v>
      </c>
      <c r="G14">
        <v>0</v>
      </c>
      <c r="H14">
        <v>2.7354650200000004E-2</v>
      </c>
    </row>
    <row r="15" spans="1:8" ht="15" customHeight="1" x14ac:dyDescent="0.15">
      <c r="A15">
        <v>14</v>
      </c>
      <c r="B15" s="155" t="s">
        <v>205</v>
      </c>
      <c r="C15">
        <v>3.3176127800000003E-2</v>
      </c>
      <c r="D15">
        <v>8.1912599999999996E-6</v>
      </c>
      <c r="E15">
        <v>9.5695200000000002E-6</v>
      </c>
      <c r="F15">
        <v>4.6008979999999998E-2</v>
      </c>
      <c r="G15">
        <v>0</v>
      </c>
      <c r="H15">
        <v>7.9202868580000002E-2</v>
      </c>
    </row>
    <row r="16" spans="1:8" ht="15" customHeight="1" x14ac:dyDescent="0.15">
      <c r="A16">
        <v>15</v>
      </c>
      <c r="B16" s="155" t="s">
        <v>206</v>
      </c>
      <c r="C16">
        <v>2.3183902700000002E-2</v>
      </c>
      <c r="D16">
        <v>7.4977100000000001E-6</v>
      </c>
      <c r="E16">
        <v>2.8660700000000002E-5</v>
      </c>
      <c r="F16">
        <v>2.1764729999999999E-2</v>
      </c>
      <c r="G16">
        <v>0</v>
      </c>
      <c r="H16">
        <v>4.4984791109999998E-2</v>
      </c>
    </row>
    <row r="17" spans="1:8" ht="15" customHeight="1" x14ac:dyDescent="0.15">
      <c r="A17">
        <v>16</v>
      </c>
      <c r="B17" s="155" t="s">
        <v>207</v>
      </c>
      <c r="C17">
        <v>5.5116940000000001E-3</v>
      </c>
      <c r="D17">
        <v>2.5622E-5</v>
      </c>
      <c r="E17">
        <v>1.2816499999999999E-4</v>
      </c>
      <c r="F17">
        <v>1.94688719E-2</v>
      </c>
      <c r="G17">
        <v>0</v>
      </c>
      <c r="H17">
        <v>2.51343529E-2</v>
      </c>
    </row>
    <row r="18" spans="1:8" ht="15" customHeight="1" x14ac:dyDescent="0.15">
      <c r="A18">
        <v>17</v>
      </c>
      <c r="B18" s="155" t="s">
        <v>208</v>
      </c>
      <c r="C18">
        <v>1.21943811E-2</v>
      </c>
      <c r="D18">
        <v>6.6604499999999998E-4</v>
      </c>
      <c r="E18">
        <v>4.6614699999999998E-4</v>
      </c>
      <c r="F18">
        <v>5.6845430000000002E-3</v>
      </c>
      <c r="G18">
        <v>0</v>
      </c>
      <c r="H18">
        <v>1.9011116100000003E-2</v>
      </c>
    </row>
    <row r="19" spans="1:8" ht="15" customHeight="1" x14ac:dyDescent="0.15">
      <c r="A19">
        <v>18</v>
      </c>
      <c r="B19" s="155" t="s">
        <v>209</v>
      </c>
      <c r="C19">
        <v>5.4617600000000002E-2</v>
      </c>
      <c r="D19">
        <v>1.87258E-5</v>
      </c>
      <c r="E19">
        <v>1.1503566999999999E-2</v>
      </c>
      <c r="F19">
        <v>3.4988869999999998E-2</v>
      </c>
      <c r="G19">
        <v>0</v>
      </c>
      <c r="H19">
        <v>0.10112876279999999</v>
      </c>
    </row>
    <row r="20" spans="1:8" ht="15" customHeight="1" x14ac:dyDescent="0.15">
      <c r="A20">
        <v>19</v>
      </c>
      <c r="B20" s="155" t="s">
        <v>210</v>
      </c>
      <c r="C20">
        <v>2.1724159999999999E-3</v>
      </c>
      <c r="D20">
        <v>3.5327400000000003E-5</v>
      </c>
      <c r="E20">
        <v>9.4627099999999994E-5</v>
      </c>
      <c r="F20">
        <v>3.9764249999999996E-3</v>
      </c>
      <c r="G20">
        <v>0</v>
      </c>
      <c r="H20">
        <v>6.2787954999999999E-3</v>
      </c>
    </row>
    <row r="21" spans="1:8" ht="15" customHeight="1" x14ac:dyDescent="0.15">
      <c r="A21">
        <v>20</v>
      </c>
      <c r="B21" s="155" t="s">
        <v>211</v>
      </c>
      <c r="C21">
        <v>9.1133440000000007E-3</v>
      </c>
      <c r="D21">
        <v>4.29381E-4</v>
      </c>
      <c r="E21">
        <v>6.0165499999999998E-4</v>
      </c>
      <c r="F21">
        <v>2.7733957399999998E-2</v>
      </c>
      <c r="G21">
        <v>0</v>
      </c>
      <c r="H21">
        <v>3.7878337399999996E-2</v>
      </c>
    </row>
    <row r="22" spans="1:8" ht="15" customHeight="1" x14ac:dyDescent="0.15">
      <c r="A22">
        <v>21</v>
      </c>
      <c r="B22" s="155" t="s">
        <v>212</v>
      </c>
      <c r="C22">
        <v>9.4333449999999992E-3</v>
      </c>
      <c r="D22">
        <v>7.5697000000000004E-5</v>
      </c>
      <c r="E22">
        <v>5.9133249999999997E-3</v>
      </c>
      <c r="F22">
        <v>3.1591000000000001E-2</v>
      </c>
      <c r="G22">
        <v>0</v>
      </c>
      <c r="H22">
        <v>4.7013367E-2</v>
      </c>
    </row>
    <row r="23" spans="1:8" ht="15" customHeight="1" x14ac:dyDescent="0.15">
      <c r="A23">
        <v>22</v>
      </c>
      <c r="B23" s="155" t="s">
        <v>213</v>
      </c>
      <c r="C23">
        <v>4.884762E-3</v>
      </c>
      <c r="D23">
        <v>1.8127320000000001E-3</v>
      </c>
      <c r="E23">
        <v>2.0095199999999999E-3</v>
      </c>
      <c r="F23">
        <v>2.3601414599999999E-2</v>
      </c>
      <c r="G23">
        <v>0</v>
      </c>
      <c r="H23">
        <v>3.2308428599999994E-2</v>
      </c>
    </row>
    <row r="24" spans="1:8" ht="15" customHeight="1" x14ac:dyDescent="0.15">
      <c r="A24">
        <v>23</v>
      </c>
      <c r="B24" s="155" t="s">
        <v>214</v>
      </c>
      <c r="C24">
        <v>5.6324399999999996E-4</v>
      </c>
      <c r="D24">
        <v>0</v>
      </c>
      <c r="E24">
        <v>7.8012299999999995E-6</v>
      </c>
      <c r="F24">
        <v>6.4283999999999999E-4</v>
      </c>
      <c r="G24">
        <v>0</v>
      </c>
      <c r="H24">
        <v>1.21388523E-3</v>
      </c>
    </row>
    <row r="25" spans="1:8" ht="15" customHeight="1" x14ac:dyDescent="0.15">
      <c r="A25">
        <v>24</v>
      </c>
      <c r="B25" s="155" t="s">
        <v>215</v>
      </c>
      <c r="C25">
        <v>9.5119660000000002E-3</v>
      </c>
      <c r="D25">
        <v>1.9868055400000001E-2</v>
      </c>
      <c r="E25">
        <v>7.30128E-5</v>
      </c>
      <c r="F25">
        <v>7.5946964300000003E-2</v>
      </c>
      <c r="G25">
        <v>0</v>
      </c>
      <c r="H25">
        <v>0.10539999850000001</v>
      </c>
    </row>
    <row r="26" spans="1:8" ht="15" customHeight="1" x14ac:dyDescent="0.15">
      <c r="A26">
        <v>25</v>
      </c>
      <c r="B26" s="155" t="s">
        <v>216</v>
      </c>
      <c r="C26">
        <v>5.0169719999999998E-3</v>
      </c>
      <c r="D26">
        <v>5.61773E-6</v>
      </c>
      <c r="E26">
        <v>1.113436E-3</v>
      </c>
      <c r="F26">
        <v>2.9019639999999999E-3</v>
      </c>
      <c r="G26">
        <v>0</v>
      </c>
      <c r="H26">
        <v>9.0379897299999994E-3</v>
      </c>
    </row>
    <row r="27" spans="1:8" ht="15" customHeight="1" x14ac:dyDescent="0.15">
      <c r="A27">
        <v>26</v>
      </c>
      <c r="B27" s="155" t="s">
        <v>217</v>
      </c>
      <c r="C27">
        <v>1.070378E-2</v>
      </c>
      <c r="D27">
        <v>7.6704500000000004E-6</v>
      </c>
      <c r="E27">
        <v>2.1198160000000001E-3</v>
      </c>
      <c r="F27">
        <v>7.8426490000000001E-3</v>
      </c>
      <c r="G27">
        <v>0</v>
      </c>
      <c r="H27">
        <v>2.067391545E-2</v>
      </c>
    </row>
    <row r="28" spans="1:8" ht="15" customHeight="1" x14ac:dyDescent="0.15">
      <c r="A28">
        <v>27</v>
      </c>
      <c r="B28" s="155" t="s">
        <v>218</v>
      </c>
      <c r="C28">
        <v>9.0583499999999998E-7</v>
      </c>
      <c r="D28">
        <v>1.2173049999999999E-3</v>
      </c>
      <c r="E28">
        <v>0</v>
      </c>
      <c r="F28">
        <v>1.2765000000000001E-5</v>
      </c>
      <c r="G28">
        <v>0</v>
      </c>
      <c r="H28">
        <v>1.230975835E-3</v>
      </c>
    </row>
    <row r="29" spans="1:8" ht="15" customHeight="1" x14ac:dyDescent="0.15">
      <c r="A29">
        <v>28</v>
      </c>
      <c r="B29" s="155" t="s">
        <v>219</v>
      </c>
      <c r="C29">
        <v>3.16094E-4</v>
      </c>
      <c r="D29">
        <v>0.42478270000000001</v>
      </c>
      <c r="E29">
        <v>0</v>
      </c>
      <c r="F29">
        <v>4.453963E-3</v>
      </c>
      <c r="G29">
        <v>0</v>
      </c>
      <c r="H29">
        <v>0.42955275700000001</v>
      </c>
    </row>
    <row r="30" spans="1:8" ht="15" customHeight="1" x14ac:dyDescent="0.15">
      <c r="A30">
        <v>29</v>
      </c>
      <c r="B30" s="155" t="s">
        <v>220</v>
      </c>
      <c r="C30">
        <v>2.6179000000000002E-7</v>
      </c>
      <c r="D30">
        <v>1.19929E-4</v>
      </c>
      <c r="E30">
        <v>0</v>
      </c>
      <c r="F30">
        <v>1.2214E-5</v>
      </c>
      <c r="G30">
        <v>0</v>
      </c>
      <c r="H30">
        <v>1.3240478999999999E-4</v>
      </c>
    </row>
    <row r="31" spans="1:8" ht="15" customHeight="1" x14ac:dyDescent="0.15">
      <c r="A31">
        <v>30</v>
      </c>
      <c r="B31" s="155" t="s">
        <v>221</v>
      </c>
      <c r="C31">
        <v>5.6073799999999997E-4</v>
      </c>
      <c r="D31">
        <v>0.25688007499999999</v>
      </c>
      <c r="E31">
        <v>0</v>
      </c>
      <c r="F31">
        <v>2.6264610000000001E-2</v>
      </c>
      <c r="G31">
        <v>0</v>
      </c>
      <c r="H31">
        <v>0.28370542300000001</v>
      </c>
    </row>
    <row r="32" spans="1:8" ht="15" customHeight="1" x14ac:dyDescent="0.15">
      <c r="A32">
        <v>31</v>
      </c>
      <c r="B32" s="155" t="s">
        <v>222</v>
      </c>
      <c r="C32">
        <v>1.21556856E-2</v>
      </c>
      <c r="D32">
        <v>1.8323572400000002E-2</v>
      </c>
      <c r="E32">
        <v>1.1186799999999999E-4</v>
      </c>
      <c r="F32">
        <v>1.02854408E-2</v>
      </c>
      <c r="G32">
        <v>0</v>
      </c>
      <c r="H32">
        <v>4.08765668E-2</v>
      </c>
    </row>
    <row r="33" spans="1:8" ht="15" customHeight="1" x14ac:dyDescent="0.15">
      <c r="A33">
        <v>32</v>
      </c>
      <c r="B33" s="155" t="s">
        <v>223</v>
      </c>
      <c r="C33">
        <v>7.7900089999999996E-3</v>
      </c>
      <c r="D33">
        <v>5.02886772E-2</v>
      </c>
      <c r="E33">
        <v>6.5930000000000003E-4</v>
      </c>
      <c r="F33">
        <v>2.4887094299999999E-2</v>
      </c>
      <c r="G33">
        <v>0</v>
      </c>
      <c r="H33">
        <v>8.3625080500000004E-2</v>
      </c>
    </row>
    <row r="34" spans="1:8" ht="15" customHeight="1" x14ac:dyDescent="0.15">
      <c r="A34">
        <v>33</v>
      </c>
      <c r="B34" s="155" t="s">
        <v>224</v>
      </c>
      <c r="C34">
        <v>3.1903299999999999E-3</v>
      </c>
      <c r="D34">
        <v>2.30307337E-2</v>
      </c>
      <c r="E34">
        <v>9.4735599999999995E-5</v>
      </c>
      <c r="F34">
        <v>1.01017728E-2</v>
      </c>
      <c r="G34">
        <v>0</v>
      </c>
      <c r="H34">
        <v>3.6417572099999997E-2</v>
      </c>
    </row>
    <row r="35" spans="1:8" ht="15" customHeight="1" x14ac:dyDescent="0.15">
      <c r="A35">
        <v>34</v>
      </c>
      <c r="B35" s="155" t="s">
        <v>225</v>
      </c>
      <c r="C35">
        <v>1.082069E-3</v>
      </c>
      <c r="D35">
        <v>2.6716650000000002E-2</v>
      </c>
      <c r="E35">
        <v>3.1399389999999999E-2</v>
      </c>
      <c r="F35">
        <v>4.8396676800000003E-2</v>
      </c>
      <c r="G35">
        <v>0</v>
      </c>
      <c r="H35">
        <v>0.10759478580000001</v>
      </c>
    </row>
    <row r="36" spans="1:8" ht="15" customHeight="1" x14ac:dyDescent="0.15">
      <c r="A36">
        <v>35</v>
      </c>
      <c r="B36" s="155" t="s">
        <v>226</v>
      </c>
      <c r="C36">
        <v>3.9920199999999998E-6</v>
      </c>
      <c r="D36">
        <v>0</v>
      </c>
      <c r="E36">
        <v>6.8938799999999998E-3</v>
      </c>
      <c r="F36">
        <v>5.3906699999999995E-4</v>
      </c>
      <c r="G36">
        <v>0</v>
      </c>
      <c r="H36">
        <v>7.43693902E-3</v>
      </c>
    </row>
    <row r="37" spans="1:8" ht="15" customHeight="1" x14ac:dyDescent="0.15">
      <c r="A37">
        <v>36</v>
      </c>
      <c r="B37" s="155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ht="15" customHeight="1" x14ac:dyDescent="0.15">
      <c r="A38">
        <v>37</v>
      </c>
      <c r="B38" s="155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ht="15" customHeight="1" x14ac:dyDescent="0.15">
      <c r="A39">
        <v>38</v>
      </c>
      <c r="B39" s="155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 ht="15" customHeight="1" x14ac:dyDescent="0.15">
      <c r="A40">
        <v>39</v>
      </c>
      <c r="B40" s="155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</row>
    <row r="41" spans="1:8" ht="15" customHeight="1" x14ac:dyDescent="0.15">
      <c r="A41">
        <v>40</v>
      </c>
      <c r="B41" s="155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 ht="15" customHeight="1" x14ac:dyDescent="0.15">
      <c r="A42">
        <v>41</v>
      </c>
      <c r="B42" s="155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  <row r="43" spans="1:8" ht="15" customHeight="1" x14ac:dyDescent="0.15"/>
    <row r="44" spans="1:8" ht="15" customHeight="1" x14ac:dyDescent="0.15"/>
    <row r="45" spans="1:8" ht="15" customHeight="1" x14ac:dyDescent="0.15"/>
    <row r="46" spans="1:8" ht="15" customHeight="1" x14ac:dyDescent="0.15"/>
    <row r="47" spans="1:8" ht="15" customHeight="1" x14ac:dyDescent="0.15"/>
    <row r="48" spans="1: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H4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5.5" bestFit="1" customWidth="1"/>
    <col min="3" max="5" width="8.83203125" bestFit="1" customWidth="1"/>
    <col min="6" max="6" width="12.83203125" customWidth="1"/>
    <col min="7" max="7" width="2.33203125" customWidth="1"/>
    <col min="8" max="8" width="13.83203125" customWidth="1"/>
  </cols>
  <sheetData>
    <row r="1" spans="1:8" s="116" customFormat="1" ht="112" x14ac:dyDescent="0.15">
      <c r="A1" s="5" t="s">
        <v>22</v>
      </c>
      <c r="B1" s="3" t="s">
        <v>0</v>
      </c>
      <c r="C1" s="158" t="s">
        <v>233</v>
      </c>
      <c r="D1" s="158" t="s">
        <v>234</v>
      </c>
      <c r="E1" s="158" t="s">
        <v>235</v>
      </c>
      <c r="F1" s="158" t="s">
        <v>236</v>
      </c>
      <c r="G1" s="158" t="s">
        <v>237</v>
      </c>
      <c r="H1" s="158" t="s">
        <v>241</v>
      </c>
    </row>
    <row r="2" spans="1:8" x14ac:dyDescent="0.15">
      <c r="A2">
        <v>1</v>
      </c>
      <c r="B2" s="157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 x14ac:dyDescent="0.15">
      <c r="A3">
        <v>2</v>
      </c>
      <c r="B3" s="157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</row>
    <row r="4" spans="1:8" x14ac:dyDescent="0.15">
      <c r="A4">
        <v>3</v>
      </c>
      <c r="B4" s="157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 x14ac:dyDescent="0.15">
      <c r="A5">
        <v>4</v>
      </c>
      <c r="B5" s="157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</row>
    <row r="6" spans="1:8" x14ac:dyDescent="0.15">
      <c r="A6">
        <v>5</v>
      </c>
      <c r="B6" s="157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</row>
    <row r="7" spans="1:8" x14ac:dyDescent="0.15">
      <c r="A7">
        <v>6</v>
      </c>
      <c r="B7" s="157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</row>
    <row r="8" spans="1:8" x14ac:dyDescent="0.15">
      <c r="A8">
        <v>7</v>
      </c>
      <c r="B8" s="157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15">
      <c r="A9">
        <v>8</v>
      </c>
      <c r="B9" s="157" t="s">
        <v>199</v>
      </c>
      <c r="C9">
        <v>5.2700000000000004E-3</v>
      </c>
      <c r="D9">
        <v>5.3100000000000001E-9</v>
      </c>
      <c r="E9">
        <v>0</v>
      </c>
      <c r="F9">
        <v>0</v>
      </c>
      <c r="G9">
        <v>0</v>
      </c>
      <c r="H9">
        <v>5.27000531E-3</v>
      </c>
    </row>
    <row r="10" spans="1:8" x14ac:dyDescent="0.15">
      <c r="A10">
        <v>9</v>
      </c>
      <c r="B10" s="157" t="s">
        <v>200</v>
      </c>
      <c r="C10">
        <v>1.9400000000000001E-2</v>
      </c>
      <c r="D10">
        <v>6.8700000000000003E-6</v>
      </c>
      <c r="E10">
        <v>0</v>
      </c>
      <c r="F10">
        <v>3.7376559999999998E-3</v>
      </c>
      <c r="G10">
        <v>0</v>
      </c>
      <c r="H10">
        <v>2.3144525999999999E-2</v>
      </c>
    </row>
    <row r="11" spans="1:8" x14ac:dyDescent="0.15">
      <c r="A11">
        <v>10</v>
      </c>
      <c r="B11" s="157" t="s">
        <v>201</v>
      </c>
      <c r="C11">
        <v>1.07E-4</v>
      </c>
      <c r="D11">
        <v>0</v>
      </c>
      <c r="E11">
        <v>0</v>
      </c>
      <c r="F11">
        <v>0</v>
      </c>
      <c r="G11">
        <v>0</v>
      </c>
      <c r="H11">
        <v>1.07E-4</v>
      </c>
    </row>
    <row r="12" spans="1:8" x14ac:dyDescent="0.15">
      <c r="A12">
        <v>11</v>
      </c>
      <c r="B12" s="157" t="s">
        <v>202</v>
      </c>
      <c r="C12">
        <v>3.4000000000000002E-2</v>
      </c>
      <c r="D12">
        <v>0</v>
      </c>
      <c r="E12">
        <v>0</v>
      </c>
      <c r="F12">
        <v>2.4978928300000001E-2</v>
      </c>
      <c r="G12">
        <v>0</v>
      </c>
      <c r="H12">
        <v>5.8978928300000004E-2</v>
      </c>
    </row>
    <row r="13" spans="1:8" x14ac:dyDescent="0.15">
      <c r="A13">
        <v>12</v>
      </c>
      <c r="B13" s="157" t="s">
        <v>203</v>
      </c>
      <c r="C13">
        <v>4.4099999999999999E-3</v>
      </c>
      <c r="D13">
        <v>3.6099999999999999E-4</v>
      </c>
      <c r="E13">
        <v>0</v>
      </c>
      <c r="F13">
        <v>1.405065E-3</v>
      </c>
      <c r="G13">
        <v>0</v>
      </c>
      <c r="H13">
        <v>6.1760649999999997E-3</v>
      </c>
    </row>
    <row r="14" spans="1:8" x14ac:dyDescent="0.15">
      <c r="A14">
        <v>13</v>
      </c>
      <c r="B14" s="157" t="s">
        <v>204</v>
      </c>
      <c r="C14">
        <v>5.3699999999999998E-3</v>
      </c>
      <c r="D14">
        <v>2.13E-4</v>
      </c>
      <c r="E14">
        <v>0</v>
      </c>
      <c r="F14">
        <v>3.6733699999999997E-5</v>
      </c>
      <c r="G14">
        <v>0</v>
      </c>
      <c r="H14">
        <v>5.6197336999999998E-3</v>
      </c>
    </row>
    <row r="15" spans="1:8" x14ac:dyDescent="0.15">
      <c r="A15">
        <v>14</v>
      </c>
      <c r="B15" s="157" t="s">
        <v>205</v>
      </c>
      <c r="C15">
        <v>3.7399999999999998E-4</v>
      </c>
      <c r="D15">
        <v>1.6500000000000001E-5</v>
      </c>
      <c r="E15">
        <v>0</v>
      </c>
      <c r="F15">
        <v>3.4713399999999997E-4</v>
      </c>
      <c r="G15">
        <v>0</v>
      </c>
      <c r="H15">
        <v>7.3763400000000003E-4</v>
      </c>
    </row>
    <row r="16" spans="1:8" x14ac:dyDescent="0.15">
      <c r="A16">
        <v>15</v>
      </c>
      <c r="B16" s="157" t="s">
        <v>206</v>
      </c>
      <c r="C16">
        <v>2.5500000000000002E-3</v>
      </c>
      <c r="D16">
        <v>2.02E-5</v>
      </c>
      <c r="E16">
        <v>0</v>
      </c>
      <c r="F16">
        <v>3.8662199999999999E-4</v>
      </c>
      <c r="G16">
        <v>0</v>
      </c>
      <c r="H16">
        <v>2.9568220000000004E-3</v>
      </c>
    </row>
    <row r="17" spans="1:8" x14ac:dyDescent="0.15">
      <c r="A17">
        <v>16</v>
      </c>
      <c r="B17" s="157" t="s">
        <v>207</v>
      </c>
      <c r="C17">
        <v>7.6800000000000002E-3</v>
      </c>
      <c r="D17">
        <v>2.8500000000000002E-5</v>
      </c>
      <c r="E17">
        <v>0</v>
      </c>
      <c r="F17">
        <v>2.2958570000000001E-3</v>
      </c>
      <c r="G17">
        <v>0</v>
      </c>
      <c r="H17">
        <v>1.0004357E-2</v>
      </c>
    </row>
    <row r="18" spans="1:8" x14ac:dyDescent="0.15">
      <c r="A18">
        <v>17</v>
      </c>
      <c r="B18" s="157" t="s">
        <v>208</v>
      </c>
      <c r="C18">
        <v>3.7799999999999999E-3</v>
      </c>
      <c r="D18">
        <v>9.7699999999999996E-6</v>
      </c>
      <c r="E18">
        <v>0</v>
      </c>
      <c r="F18">
        <v>1.7907700000000001E-4</v>
      </c>
      <c r="G18">
        <v>0</v>
      </c>
      <c r="H18">
        <v>3.9688470000000002E-3</v>
      </c>
    </row>
    <row r="19" spans="1:8" x14ac:dyDescent="0.15">
      <c r="A19">
        <v>18</v>
      </c>
      <c r="B19" s="157" t="s">
        <v>209</v>
      </c>
      <c r="C19">
        <v>3.5000000000000001E-3</v>
      </c>
      <c r="D19">
        <v>2.8600000000000001E-5</v>
      </c>
      <c r="E19">
        <v>1.2800000000000001E-3</v>
      </c>
      <c r="F19">
        <v>1.212213E-3</v>
      </c>
      <c r="G19">
        <v>0</v>
      </c>
      <c r="H19">
        <v>6.0208130000000007E-3</v>
      </c>
    </row>
    <row r="20" spans="1:8" x14ac:dyDescent="0.15">
      <c r="A20">
        <v>19</v>
      </c>
      <c r="B20" s="157" t="s">
        <v>210</v>
      </c>
      <c r="C20">
        <v>1.21E-2</v>
      </c>
      <c r="D20">
        <v>4.3300000000000002E-5</v>
      </c>
      <c r="E20">
        <v>0</v>
      </c>
      <c r="F20">
        <v>4.8396680000000001E-3</v>
      </c>
      <c r="G20">
        <v>0</v>
      </c>
      <c r="H20">
        <v>1.6982968000000001E-2</v>
      </c>
    </row>
    <row r="21" spans="1:8" x14ac:dyDescent="0.15">
      <c r="A21">
        <v>20</v>
      </c>
      <c r="B21" s="157" t="s">
        <v>211</v>
      </c>
      <c r="C21">
        <v>6.1019999999999998E-3</v>
      </c>
      <c r="D21">
        <v>3.9800000000000002E-4</v>
      </c>
      <c r="E21">
        <v>3.0400000000000002E-3</v>
      </c>
      <c r="F21">
        <v>3.8478570000000001E-3</v>
      </c>
      <c r="G21">
        <v>0</v>
      </c>
      <c r="H21">
        <v>1.3387857E-2</v>
      </c>
    </row>
    <row r="22" spans="1:8" x14ac:dyDescent="0.15">
      <c r="A22">
        <v>21</v>
      </c>
      <c r="B22" s="157" t="s">
        <v>212</v>
      </c>
      <c r="C22">
        <v>1.6310000000000002E-2</v>
      </c>
      <c r="D22">
        <v>2.0999999999999999E-3</v>
      </c>
      <c r="E22">
        <v>4.6400000000000003E-5</v>
      </c>
      <c r="F22">
        <v>3.2325673800000003E-2</v>
      </c>
      <c r="G22">
        <v>0</v>
      </c>
      <c r="H22">
        <v>5.0782073800000008E-2</v>
      </c>
    </row>
    <row r="23" spans="1:8" x14ac:dyDescent="0.15">
      <c r="A23">
        <v>22</v>
      </c>
      <c r="B23" s="157" t="s">
        <v>213</v>
      </c>
      <c r="C23">
        <v>9.4500000000000001E-3</v>
      </c>
      <c r="D23">
        <v>3.14E-3</v>
      </c>
      <c r="E23">
        <v>0</v>
      </c>
      <c r="F23">
        <v>3.32440175E-2</v>
      </c>
      <c r="G23">
        <v>0</v>
      </c>
      <c r="H23">
        <v>4.5834017500000004E-2</v>
      </c>
    </row>
    <row r="24" spans="1:8" x14ac:dyDescent="0.15">
      <c r="A24">
        <v>23</v>
      </c>
      <c r="B24" s="157" t="s">
        <v>214</v>
      </c>
      <c r="C24">
        <v>3.8300000000000001E-3</v>
      </c>
      <c r="D24">
        <v>5.7100000000000004E-6</v>
      </c>
      <c r="E24">
        <v>0</v>
      </c>
      <c r="F24">
        <v>3.5172500000000002E-5</v>
      </c>
      <c r="G24">
        <v>0</v>
      </c>
      <c r="H24">
        <v>3.8708825000000001E-3</v>
      </c>
    </row>
    <row r="25" spans="1:8" x14ac:dyDescent="0.15">
      <c r="A25">
        <v>24</v>
      </c>
      <c r="B25" s="157" t="s">
        <v>215</v>
      </c>
      <c r="C25">
        <v>6.3200000000000001E-3</v>
      </c>
      <c r="D25">
        <v>1.01E-2</v>
      </c>
      <c r="E25">
        <v>0</v>
      </c>
      <c r="F25">
        <v>5.1427207900000001E-2</v>
      </c>
      <c r="G25">
        <v>0</v>
      </c>
      <c r="H25">
        <v>6.7847207899999998E-2</v>
      </c>
    </row>
    <row r="26" spans="1:8" x14ac:dyDescent="0.15">
      <c r="A26">
        <v>25</v>
      </c>
      <c r="B26" s="157" t="s">
        <v>216</v>
      </c>
      <c r="C26">
        <v>1.03E-2</v>
      </c>
      <c r="D26">
        <v>2.6600000000000003E-7</v>
      </c>
      <c r="E26">
        <v>0</v>
      </c>
      <c r="F26">
        <v>0</v>
      </c>
      <c r="G26">
        <v>0</v>
      </c>
      <c r="H26">
        <v>1.0300266000000001E-2</v>
      </c>
    </row>
    <row r="27" spans="1:8" x14ac:dyDescent="0.15">
      <c r="A27">
        <v>26</v>
      </c>
      <c r="B27" s="157" t="s">
        <v>217</v>
      </c>
      <c r="C27">
        <v>2.15E-3</v>
      </c>
      <c r="D27">
        <v>3.0499999999999999E-5</v>
      </c>
      <c r="E27">
        <v>9.0799999999999995E-4</v>
      </c>
      <c r="F27">
        <v>2.67237816E-2</v>
      </c>
      <c r="G27">
        <v>0</v>
      </c>
      <c r="H27">
        <v>2.9812281600000001E-2</v>
      </c>
    </row>
    <row r="28" spans="1:8" x14ac:dyDescent="0.15">
      <c r="A28">
        <v>27</v>
      </c>
      <c r="B28" s="157" t="s">
        <v>218</v>
      </c>
      <c r="C28">
        <v>2.5000000000000002E-6</v>
      </c>
      <c r="D28">
        <v>1.6700000000000001E-8</v>
      </c>
      <c r="E28">
        <v>0</v>
      </c>
      <c r="F28">
        <v>3.8294899999999998E-5</v>
      </c>
      <c r="G28">
        <v>0</v>
      </c>
      <c r="H28">
        <v>4.0811600000000001E-5</v>
      </c>
    </row>
    <row r="29" spans="1:8" x14ac:dyDescent="0.15">
      <c r="A29">
        <v>28</v>
      </c>
      <c r="B29" s="157" t="s">
        <v>219</v>
      </c>
      <c r="C29">
        <v>8.7299999999999997E-4</v>
      </c>
      <c r="D29">
        <v>5.8200000000000002E-6</v>
      </c>
      <c r="E29">
        <v>0</v>
      </c>
      <c r="F29">
        <v>1.3407807799999999E-2</v>
      </c>
      <c r="G29">
        <v>0</v>
      </c>
      <c r="H29">
        <v>1.42866278E-2</v>
      </c>
    </row>
    <row r="30" spans="1:8" x14ac:dyDescent="0.15">
      <c r="A30">
        <v>29</v>
      </c>
      <c r="B30" s="157" t="s">
        <v>220</v>
      </c>
      <c r="C30">
        <v>3.3699999999999999E-6</v>
      </c>
      <c r="D30">
        <v>3.96E-7</v>
      </c>
      <c r="E30">
        <v>0</v>
      </c>
      <c r="F30">
        <v>2.3693199999999999E-5</v>
      </c>
      <c r="G30">
        <v>0</v>
      </c>
      <c r="H30">
        <v>2.74592E-5</v>
      </c>
    </row>
    <row r="31" spans="1:8" x14ac:dyDescent="0.15">
      <c r="A31">
        <v>30</v>
      </c>
      <c r="B31" s="157" t="s">
        <v>221</v>
      </c>
      <c r="C31">
        <v>7.2199999999999999E-3</v>
      </c>
      <c r="D31">
        <v>8.4900000000000004E-4</v>
      </c>
      <c r="E31">
        <v>0</v>
      </c>
      <c r="F31">
        <v>5.0692532200000001E-2</v>
      </c>
      <c r="G31">
        <v>0</v>
      </c>
      <c r="H31">
        <v>5.8761532200000001E-2</v>
      </c>
    </row>
    <row r="32" spans="1:8" x14ac:dyDescent="0.15">
      <c r="A32">
        <v>31</v>
      </c>
      <c r="B32" s="157" t="s">
        <v>222</v>
      </c>
      <c r="C32">
        <v>1.3899999999999999E-2</v>
      </c>
      <c r="D32">
        <v>3.5100000000000001E-3</v>
      </c>
      <c r="E32">
        <v>0</v>
      </c>
      <c r="F32">
        <v>3.8845910000000002E-3</v>
      </c>
      <c r="G32">
        <v>0</v>
      </c>
      <c r="H32">
        <v>2.1294590999999998E-2</v>
      </c>
    </row>
    <row r="33" spans="1:8" x14ac:dyDescent="0.15">
      <c r="A33">
        <v>32</v>
      </c>
      <c r="B33" s="157" t="s">
        <v>223</v>
      </c>
      <c r="C33">
        <v>4.8099999999999998E-4</v>
      </c>
      <c r="D33">
        <v>1.3100000000000001E-4</v>
      </c>
      <c r="E33">
        <v>0</v>
      </c>
      <c r="F33">
        <v>4.3988630000000003E-3</v>
      </c>
      <c r="G33">
        <v>0</v>
      </c>
      <c r="H33">
        <v>5.0108629999999999E-3</v>
      </c>
    </row>
    <row r="34" spans="1:8" x14ac:dyDescent="0.15">
      <c r="A34">
        <v>33</v>
      </c>
      <c r="B34" s="157" t="s">
        <v>224</v>
      </c>
      <c r="C34">
        <v>1.2700000000000001E-3</v>
      </c>
      <c r="D34">
        <v>2.49E-3</v>
      </c>
      <c r="E34">
        <v>0</v>
      </c>
      <c r="F34">
        <v>2.42442545E-2</v>
      </c>
      <c r="G34">
        <v>0</v>
      </c>
      <c r="H34">
        <v>2.8004254499999999E-2</v>
      </c>
    </row>
    <row r="35" spans="1:8" x14ac:dyDescent="0.15">
      <c r="A35">
        <v>34</v>
      </c>
      <c r="B35" s="157" t="s">
        <v>225</v>
      </c>
      <c r="C35">
        <v>4.3399999999999998E-5</v>
      </c>
      <c r="D35">
        <v>3.3099999999999998E-5</v>
      </c>
      <c r="E35">
        <v>0</v>
      </c>
      <c r="F35">
        <v>0</v>
      </c>
      <c r="G35">
        <v>0</v>
      </c>
      <c r="H35">
        <v>7.6499999999999989E-5</v>
      </c>
    </row>
    <row r="36" spans="1:8" x14ac:dyDescent="0.15">
      <c r="A36">
        <v>35</v>
      </c>
      <c r="B36" s="157" t="s">
        <v>226</v>
      </c>
      <c r="C36">
        <v>0</v>
      </c>
      <c r="D36">
        <v>0</v>
      </c>
      <c r="E36">
        <v>2.7599999999999999E-4</v>
      </c>
      <c r="F36">
        <v>0</v>
      </c>
      <c r="G36">
        <v>0</v>
      </c>
      <c r="H36">
        <v>2.7599999999999999E-4</v>
      </c>
    </row>
    <row r="37" spans="1:8" x14ac:dyDescent="0.15">
      <c r="A37">
        <v>36</v>
      </c>
      <c r="B37" s="157" t="s">
        <v>227</v>
      </c>
      <c r="C37">
        <v>1.4200000000000001E-4</v>
      </c>
      <c r="D37">
        <v>0</v>
      </c>
      <c r="E37">
        <v>7.1099999999999994E-5</v>
      </c>
      <c r="F37">
        <v>0</v>
      </c>
      <c r="G37">
        <v>0</v>
      </c>
      <c r="H37">
        <v>2.131E-4</v>
      </c>
    </row>
    <row r="38" spans="1:8" x14ac:dyDescent="0.15">
      <c r="A38">
        <v>37</v>
      </c>
      <c r="B38" s="157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x14ac:dyDescent="0.15">
      <c r="A39">
        <v>38</v>
      </c>
      <c r="B39" s="157" t="s">
        <v>229</v>
      </c>
      <c r="C39">
        <v>0</v>
      </c>
      <c r="D39">
        <v>0</v>
      </c>
      <c r="E39">
        <v>0</v>
      </c>
      <c r="F39">
        <v>2.1305599999999999E-4</v>
      </c>
      <c r="G39">
        <v>0</v>
      </c>
      <c r="H39">
        <v>2.1305599999999999E-4</v>
      </c>
    </row>
    <row r="40" spans="1:8" x14ac:dyDescent="0.15">
      <c r="A40">
        <v>39</v>
      </c>
      <c r="B40" s="157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</row>
    <row r="41" spans="1:8" x14ac:dyDescent="0.15">
      <c r="A41">
        <v>40</v>
      </c>
      <c r="B41" s="157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 x14ac:dyDescent="0.15">
      <c r="A42">
        <v>41</v>
      </c>
      <c r="B42" s="157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5.5" bestFit="1" customWidth="1"/>
    <col min="6" max="6" width="4.83203125" bestFit="1" customWidth="1"/>
    <col min="7" max="9" width="3.83203125" bestFit="1" customWidth="1"/>
    <col min="10" max="11" width="4.83203125" style="115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7" customFormat="1" ht="14" thickBot="1" x14ac:dyDescent="0.2">
      <c r="D1" s="118" t="s">
        <v>8</v>
      </c>
      <c r="E1" s="118" t="s">
        <v>0</v>
      </c>
      <c r="F1" s="119" t="s">
        <v>99</v>
      </c>
      <c r="G1" s="120" t="s">
        <v>84</v>
      </c>
      <c r="H1" s="120" t="s">
        <v>85</v>
      </c>
      <c r="I1" s="120" t="s">
        <v>86</v>
      </c>
      <c r="J1" s="120" t="s">
        <v>87</v>
      </c>
      <c r="K1" s="120" t="s">
        <v>88</v>
      </c>
      <c r="L1" s="121" t="s">
        <v>89</v>
      </c>
      <c r="M1" s="121" t="s">
        <v>93</v>
      </c>
      <c r="N1" s="121" t="s">
        <v>92</v>
      </c>
      <c r="O1" s="121" t="s">
        <v>90</v>
      </c>
      <c r="P1" s="121" t="s">
        <v>91</v>
      </c>
      <c r="Q1" s="122" t="s">
        <v>94</v>
      </c>
      <c r="R1" s="122" t="s">
        <v>95</v>
      </c>
      <c r="S1" s="122" t="s">
        <v>96</v>
      </c>
      <c r="T1" s="122" t="s">
        <v>97</v>
      </c>
      <c r="U1" s="122" t="s">
        <v>98</v>
      </c>
      <c r="V1" s="120" t="s">
        <v>100</v>
      </c>
      <c r="W1" s="120" t="s">
        <v>101</v>
      </c>
      <c r="X1" s="120" t="s">
        <v>102</v>
      </c>
      <c r="Y1" s="120" t="s">
        <v>134</v>
      </c>
      <c r="Z1" s="121" t="s">
        <v>103</v>
      </c>
      <c r="AA1" s="121" t="s">
        <v>104</v>
      </c>
      <c r="AB1" s="121" t="s">
        <v>105</v>
      </c>
      <c r="AC1" s="123" t="s">
        <v>135</v>
      </c>
      <c r="AD1" s="122" t="s">
        <v>106</v>
      </c>
      <c r="AE1" s="122" t="s">
        <v>107</v>
      </c>
      <c r="AF1" s="122" t="s">
        <v>108</v>
      </c>
      <c r="AG1" s="122" t="s">
        <v>136</v>
      </c>
      <c r="AH1" s="120" t="s">
        <v>109</v>
      </c>
      <c r="AI1" s="120" t="s">
        <v>111</v>
      </c>
      <c r="AJ1" s="120" t="s">
        <v>110</v>
      </c>
      <c r="AK1" s="121" t="s">
        <v>115</v>
      </c>
      <c r="AL1" s="121" t="s">
        <v>116</v>
      </c>
      <c r="AM1" s="121" t="s">
        <v>117</v>
      </c>
      <c r="AN1" s="122" t="s">
        <v>112</v>
      </c>
      <c r="AO1" s="122" t="s">
        <v>113</v>
      </c>
      <c r="AP1" s="122" t="s">
        <v>114</v>
      </c>
    </row>
    <row r="2" spans="1:42" x14ac:dyDescent="0.15">
      <c r="A2" s="124" t="s">
        <v>74</v>
      </c>
      <c r="B2" s="125">
        <v>1</v>
      </c>
      <c r="D2">
        <v>1</v>
      </c>
      <c r="E2" s="159" t="s">
        <v>192</v>
      </c>
      <c r="F2">
        <v>0.98</v>
      </c>
      <c r="G2">
        <v>0.8</v>
      </c>
      <c r="H2">
        <v>0.8</v>
      </c>
      <c r="I2">
        <v>0</v>
      </c>
      <c r="J2" s="115">
        <v>0</v>
      </c>
      <c r="K2" s="115">
        <v>0</v>
      </c>
    </row>
    <row r="3" spans="1:42" x14ac:dyDescent="0.15">
      <c r="A3" s="124" t="s">
        <v>75</v>
      </c>
      <c r="B3" s="126">
        <v>1</v>
      </c>
      <c r="D3">
        <v>2</v>
      </c>
      <c r="E3" s="159" t="s">
        <v>193</v>
      </c>
      <c r="F3">
        <v>0.98</v>
      </c>
      <c r="G3">
        <v>0.8</v>
      </c>
      <c r="H3">
        <v>0.8</v>
      </c>
      <c r="I3">
        <v>0.8</v>
      </c>
      <c r="J3" s="115">
        <v>0.25</v>
      </c>
      <c r="K3" s="115">
        <v>0.05</v>
      </c>
    </row>
    <row r="4" spans="1:42" x14ac:dyDescent="0.15">
      <c r="A4" s="124" t="s">
        <v>76</v>
      </c>
      <c r="B4" s="126">
        <v>1</v>
      </c>
      <c r="D4">
        <v>3</v>
      </c>
      <c r="E4" s="159" t="s">
        <v>194</v>
      </c>
      <c r="F4">
        <v>0.98</v>
      </c>
      <c r="G4">
        <v>0.8</v>
      </c>
      <c r="H4">
        <v>0.8</v>
      </c>
      <c r="I4">
        <v>0.8</v>
      </c>
      <c r="J4" s="115">
        <v>0.25</v>
      </c>
      <c r="K4" s="115">
        <v>0.05</v>
      </c>
    </row>
    <row r="5" spans="1:42" x14ac:dyDescent="0.15">
      <c r="A5" s="124" t="s">
        <v>77</v>
      </c>
      <c r="B5" s="126">
        <v>1</v>
      </c>
      <c r="D5">
        <v>4</v>
      </c>
      <c r="E5" s="159" t="s">
        <v>195</v>
      </c>
      <c r="F5">
        <v>0.98</v>
      </c>
      <c r="G5">
        <v>0.8</v>
      </c>
      <c r="H5">
        <v>0.8</v>
      </c>
      <c r="I5">
        <v>0.8</v>
      </c>
      <c r="J5" s="115">
        <v>0.25</v>
      </c>
      <c r="K5" s="115">
        <v>0.05</v>
      </c>
    </row>
    <row r="6" spans="1:42" x14ac:dyDescent="0.15">
      <c r="A6" s="124" t="s">
        <v>78</v>
      </c>
      <c r="B6" s="126">
        <v>1</v>
      </c>
      <c r="D6">
        <v>5</v>
      </c>
      <c r="E6" s="159" t="s">
        <v>196</v>
      </c>
      <c r="F6">
        <v>0.98</v>
      </c>
      <c r="G6">
        <v>0.8</v>
      </c>
      <c r="H6">
        <v>0.8</v>
      </c>
      <c r="I6">
        <v>0.8</v>
      </c>
      <c r="J6" s="115">
        <v>0.25</v>
      </c>
      <c r="K6" s="115">
        <v>0.05</v>
      </c>
    </row>
    <row r="7" spans="1:42" x14ac:dyDescent="0.15">
      <c r="A7" s="124" t="s">
        <v>79</v>
      </c>
      <c r="B7" s="126">
        <v>1</v>
      </c>
      <c r="D7">
        <v>6</v>
      </c>
      <c r="E7" s="159" t="s">
        <v>197</v>
      </c>
      <c r="F7">
        <v>0.98</v>
      </c>
      <c r="G7">
        <v>0.8</v>
      </c>
      <c r="H7">
        <v>0.8</v>
      </c>
      <c r="I7">
        <v>0.8</v>
      </c>
      <c r="J7" s="115">
        <v>0.25</v>
      </c>
      <c r="K7" s="115">
        <v>0.05</v>
      </c>
    </row>
    <row r="8" spans="1:42" x14ac:dyDescent="0.15">
      <c r="A8" s="124" t="s">
        <v>80</v>
      </c>
      <c r="B8" s="126">
        <v>1</v>
      </c>
      <c r="D8">
        <v>7</v>
      </c>
      <c r="E8" s="159" t="s">
        <v>198</v>
      </c>
      <c r="F8">
        <v>0.98</v>
      </c>
      <c r="G8">
        <v>0.8</v>
      </c>
      <c r="H8">
        <v>0.8</v>
      </c>
      <c r="I8">
        <v>0.8</v>
      </c>
      <c r="J8" s="115">
        <v>0.25</v>
      </c>
      <c r="K8" s="115">
        <v>0.05</v>
      </c>
    </row>
    <row r="9" spans="1:42" x14ac:dyDescent="0.15">
      <c r="A9" s="124" t="s">
        <v>81</v>
      </c>
      <c r="B9" s="126">
        <v>0.1</v>
      </c>
      <c r="C9" s="61" t="s">
        <v>150</v>
      </c>
      <c r="D9">
        <v>8</v>
      </c>
      <c r="E9" s="159" t="s">
        <v>199</v>
      </c>
      <c r="F9">
        <v>0.98</v>
      </c>
      <c r="G9">
        <v>0.8</v>
      </c>
      <c r="H9">
        <v>0.8</v>
      </c>
      <c r="I9">
        <v>0.8</v>
      </c>
      <c r="J9" s="115">
        <v>0.25</v>
      </c>
      <c r="K9" s="115">
        <v>0.05</v>
      </c>
    </row>
    <row r="10" spans="1:42" ht="14" thickBot="1" x14ac:dyDescent="0.2">
      <c r="A10" s="124" t="s">
        <v>149</v>
      </c>
      <c r="B10" s="127">
        <f>1/3</f>
        <v>0.33333333333333331</v>
      </c>
      <c r="C10" s="61" t="s">
        <v>150</v>
      </c>
      <c r="D10">
        <v>9</v>
      </c>
      <c r="E10" s="159" t="s">
        <v>200</v>
      </c>
      <c r="F10">
        <v>0.98</v>
      </c>
      <c r="G10">
        <v>0.8</v>
      </c>
      <c r="H10">
        <v>0.8</v>
      </c>
      <c r="I10">
        <v>0.8</v>
      </c>
      <c r="J10" s="115">
        <v>0.25</v>
      </c>
      <c r="K10" s="115">
        <v>0.05</v>
      </c>
    </row>
    <row r="11" spans="1:42" x14ac:dyDescent="0.15">
      <c r="D11">
        <v>10</v>
      </c>
      <c r="E11" s="159" t="s">
        <v>201</v>
      </c>
      <c r="F11">
        <v>0.98</v>
      </c>
      <c r="G11">
        <v>0.8</v>
      </c>
      <c r="H11">
        <v>0.8</v>
      </c>
      <c r="I11">
        <v>0.8</v>
      </c>
      <c r="J11" s="115">
        <v>0.25</v>
      </c>
      <c r="K11" s="115">
        <v>0.05</v>
      </c>
    </row>
    <row r="12" spans="1:42" x14ac:dyDescent="0.15">
      <c r="D12">
        <v>11</v>
      </c>
      <c r="E12" s="159" t="s">
        <v>202</v>
      </c>
      <c r="F12">
        <v>0.98</v>
      </c>
      <c r="G12">
        <v>0.8</v>
      </c>
      <c r="H12">
        <v>0.8</v>
      </c>
      <c r="I12">
        <v>0.8</v>
      </c>
      <c r="J12" s="115">
        <v>0.25</v>
      </c>
      <c r="K12" s="115">
        <v>0.05</v>
      </c>
    </row>
    <row r="13" spans="1:42" x14ac:dyDescent="0.15">
      <c r="D13">
        <v>12</v>
      </c>
      <c r="E13" s="159" t="s">
        <v>203</v>
      </c>
      <c r="F13">
        <v>0.98</v>
      </c>
      <c r="G13">
        <v>0.8</v>
      </c>
      <c r="H13">
        <v>0.8</v>
      </c>
      <c r="I13">
        <v>0.8</v>
      </c>
      <c r="J13" s="115">
        <v>0.25</v>
      </c>
      <c r="K13" s="115">
        <v>0.05</v>
      </c>
    </row>
    <row r="14" spans="1:42" x14ac:dyDescent="0.15">
      <c r="D14">
        <v>13</v>
      </c>
      <c r="E14" s="159" t="s">
        <v>204</v>
      </c>
      <c r="F14">
        <v>0.98</v>
      </c>
      <c r="G14">
        <v>0.8</v>
      </c>
      <c r="H14">
        <v>0.8</v>
      </c>
      <c r="I14">
        <v>0.8</v>
      </c>
      <c r="J14" s="115">
        <v>0.25</v>
      </c>
      <c r="K14" s="115">
        <v>0.05</v>
      </c>
    </row>
    <row r="15" spans="1:42" x14ac:dyDescent="0.15">
      <c r="D15">
        <v>14</v>
      </c>
      <c r="E15" s="159" t="s">
        <v>205</v>
      </c>
      <c r="F15">
        <v>0.98</v>
      </c>
      <c r="G15">
        <v>0.8</v>
      </c>
      <c r="H15">
        <v>0.8</v>
      </c>
      <c r="I15">
        <v>0.8</v>
      </c>
      <c r="J15" s="115">
        <v>0.25</v>
      </c>
      <c r="K15" s="115">
        <v>0.05</v>
      </c>
    </row>
    <row r="16" spans="1:42" x14ac:dyDescent="0.15">
      <c r="D16">
        <v>15</v>
      </c>
      <c r="E16" s="159" t="s">
        <v>206</v>
      </c>
      <c r="F16">
        <v>0.98</v>
      </c>
      <c r="G16">
        <v>0.8</v>
      </c>
      <c r="H16">
        <v>0.8</v>
      </c>
      <c r="I16">
        <v>0.8</v>
      </c>
      <c r="J16" s="115">
        <v>0.25</v>
      </c>
      <c r="K16" s="115">
        <v>0.05</v>
      </c>
    </row>
    <row r="17" spans="4:33" ht="15" customHeight="1" x14ac:dyDescent="0.15">
      <c r="D17">
        <v>16</v>
      </c>
      <c r="E17" s="159" t="s">
        <v>207</v>
      </c>
      <c r="F17">
        <v>0.98</v>
      </c>
      <c r="G17">
        <v>0.8</v>
      </c>
      <c r="H17">
        <v>0.8</v>
      </c>
      <c r="I17">
        <v>0.8</v>
      </c>
      <c r="J17" s="115">
        <v>0.25</v>
      </c>
      <c r="K17" s="115">
        <v>0.05</v>
      </c>
    </row>
    <row r="18" spans="4:33" ht="15" customHeight="1" x14ac:dyDescent="0.15">
      <c r="D18">
        <v>17</v>
      </c>
      <c r="E18" s="159" t="s">
        <v>208</v>
      </c>
      <c r="F18">
        <v>0.98</v>
      </c>
      <c r="G18">
        <v>0.8</v>
      </c>
      <c r="H18">
        <v>0.8</v>
      </c>
      <c r="I18">
        <v>0.8</v>
      </c>
      <c r="J18" s="115">
        <v>0.25</v>
      </c>
      <c r="K18" s="115">
        <v>0.05</v>
      </c>
    </row>
    <row r="19" spans="4:33" ht="15" customHeight="1" x14ac:dyDescent="0.15">
      <c r="D19">
        <v>18</v>
      </c>
      <c r="E19" s="159" t="s">
        <v>209</v>
      </c>
      <c r="F19">
        <v>0.98</v>
      </c>
      <c r="G19">
        <v>0.8</v>
      </c>
      <c r="H19">
        <v>0.8</v>
      </c>
      <c r="I19">
        <v>0.8</v>
      </c>
      <c r="J19" s="115">
        <v>0.25</v>
      </c>
      <c r="K19" s="115">
        <v>0.05</v>
      </c>
    </row>
    <row r="20" spans="4:33" ht="15" customHeight="1" x14ac:dyDescent="0.15">
      <c r="D20">
        <v>19</v>
      </c>
      <c r="E20" s="159" t="s">
        <v>210</v>
      </c>
      <c r="F20">
        <v>0.98</v>
      </c>
      <c r="G20">
        <v>0.8</v>
      </c>
      <c r="H20">
        <v>0.8</v>
      </c>
      <c r="I20">
        <v>0.8</v>
      </c>
      <c r="J20" s="115">
        <v>0.25</v>
      </c>
      <c r="K20" s="115">
        <v>0.05</v>
      </c>
    </row>
    <row r="21" spans="4:33" ht="15" customHeight="1" x14ac:dyDescent="0.15">
      <c r="D21">
        <v>20</v>
      </c>
      <c r="E21" s="159" t="s">
        <v>211</v>
      </c>
      <c r="F21">
        <v>0.98</v>
      </c>
      <c r="G21">
        <v>0.8</v>
      </c>
      <c r="H21">
        <v>0.8</v>
      </c>
      <c r="I21">
        <v>0.8</v>
      </c>
      <c r="J21" s="115">
        <v>0.25</v>
      </c>
      <c r="K21" s="115">
        <v>0.05</v>
      </c>
    </row>
    <row r="22" spans="4:33" ht="15" customHeight="1" x14ac:dyDescent="0.15">
      <c r="D22">
        <v>21</v>
      </c>
      <c r="E22" s="159" t="s">
        <v>212</v>
      </c>
      <c r="F22">
        <v>0.98</v>
      </c>
      <c r="G22">
        <v>0.8</v>
      </c>
      <c r="H22">
        <v>0.8</v>
      </c>
      <c r="I22">
        <v>0.8</v>
      </c>
      <c r="J22" s="115">
        <v>0.25</v>
      </c>
      <c r="K22" s="115">
        <v>0.05</v>
      </c>
    </row>
    <row r="23" spans="4:33" ht="15" customHeight="1" x14ac:dyDescent="0.15">
      <c r="D23">
        <v>22</v>
      </c>
      <c r="E23" s="159" t="s">
        <v>213</v>
      </c>
      <c r="F23">
        <v>0.98</v>
      </c>
      <c r="G23">
        <v>0.8</v>
      </c>
      <c r="H23">
        <v>0.8</v>
      </c>
      <c r="I23">
        <v>0.8</v>
      </c>
      <c r="J23" s="115">
        <v>0.25</v>
      </c>
      <c r="K23" s="115">
        <v>0.05</v>
      </c>
    </row>
    <row r="24" spans="4:33" ht="15" customHeight="1" x14ac:dyDescent="0.15">
      <c r="D24">
        <v>23</v>
      </c>
      <c r="E24" s="159" t="s">
        <v>214</v>
      </c>
      <c r="F24">
        <v>0.98</v>
      </c>
      <c r="G24">
        <v>0.8</v>
      </c>
      <c r="H24">
        <v>0.8</v>
      </c>
      <c r="I24">
        <v>0.8</v>
      </c>
      <c r="J24" s="115">
        <v>0.25</v>
      </c>
      <c r="K24" s="115">
        <v>0.05</v>
      </c>
    </row>
    <row r="25" spans="4:33" ht="15" customHeight="1" x14ac:dyDescent="0.15">
      <c r="D25">
        <v>24</v>
      </c>
      <c r="E25" s="159" t="s">
        <v>215</v>
      </c>
      <c r="F25">
        <v>0.98</v>
      </c>
      <c r="G25">
        <v>0.8</v>
      </c>
      <c r="H25">
        <v>0.8</v>
      </c>
      <c r="I25">
        <v>0.8</v>
      </c>
      <c r="J25" s="115">
        <v>0.25</v>
      </c>
      <c r="K25" s="115">
        <v>0.05</v>
      </c>
    </row>
    <row r="26" spans="4:33" ht="15" customHeight="1" x14ac:dyDescent="0.15">
      <c r="D26">
        <v>25</v>
      </c>
      <c r="E26" s="159" t="s">
        <v>216</v>
      </c>
      <c r="F26">
        <v>0.98</v>
      </c>
      <c r="G26">
        <v>0.8</v>
      </c>
      <c r="H26">
        <v>0.8</v>
      </c>
      <c r="I26">
        <v>0.8</v>
      </c>
      <c r="J26" s="115">
        <v>0.25</v>
      </c>
      <c r="K26" s="115">
        <v>0.05</v>
      </c>
    </row>
    <row r="27" spans="4:33" ht="15" customHeight="1" x14ac:dyDescent="0.15">
      <c r="D27">
        <v>26</v>
      </c>
      <c r="E27" s="159" t="s">
        <v>217</v>
      </c>
      <c r="F27">
        <v>0.98</v>
      </c>
      <c r="G27">
        <v>0.8</v>
      </c>
      <c r="H27">
        <v>0.8</v>
      </c>
      <c r="I27">
        <v>0.8</v>
      </c>
      <c r="J27" s="115">
        <v>0.25</v>
      </c>
      <c r="K27" s="115">
        <v>0.05</v>
      </c>
    </row>
    <row r="28" spans="4:33" ht="15" customHeight="1" x14ac:dyDescent="0.15">
      <c r="D28">
        <v>27</v>
      </c>
      <c r="E28" s="159" t="s">
        <v>218</v>
      </c>
      <c r="F28">
        <v>0.98</v>
      </c>
      <c r="G28">
        <v>0.8</v>
      </c>
      <c r="H28">
        <v>0.8</v>
      </c>
      <c r="I28">
        <v>0.8</v>
      </c>
      <c r="J28" s="115">
        <v>0.25</v>
      </c>
      <c r="K28" s="115">
        <v>0.05</v>
      </c>
    </row>
    <row r="29" spans="4:33" ht="15" customHeight="1" x14ac:dyDescent="0.15">
      <c r="D29">
        <v>28</v>
      </c>
      <c r="E29" s="159" t="s">
        <v>219</v>
      </c>
      <c r="F29">
        <v>0.98</v>
      </c>
      <c r="G29">
        <v>0.8</v>
      </c>
      <c r="H29">
        <v>0.8</v>
      </c>
      <c r="I29">
        <v>0.8</v>
      </c>
      <c r="J29" s="115">
        <v>0.25</v>
      </c>
      <c r="K29" s="115">
        <v>0.05</v>
      </c>
      <c r="Y29"/>
      <c r="AC29"/>
      <c r="AG29"/>
    </row>
    <row r="30" spans="4:33" ht="15" customHeight="1" x14ac:dyDescent="0.15">
      <c r="D30">
        <v>29</v>
      </c>
      <c r="E30" s="159" t="s">
        <v>220</v>
      </c>
      <c r="F30">
        <v>0.98</v>
      </c>
      <c r="G30">
        <v>0.8</v>
      </c>
      <c r="H30">
        <v>0.8</v>
      </c>
      <c r="I30">
        <v>0.8</v>
      </c>
      <c r="J30" s="115">
        <v>0.25</v>
      </c>
      <c r="K30" s="115">
        <v>0.05</v>
      </c>
      <c r="Y30"/>
      <c r="AC30"/>
      <c r="AG30"/>
    </row>
    <row r="31" spans="4:33" ht="15" customHeight="1" x14ac:dyDescent="0.15">
      <c r="D31">
        <v>30</v>
      </c>
      <c r="E31" s="159" t="s">
        <v>221</v>
      </c>
      <c r="F31">
        <v>0.98</v>
      </c>
      <c r="G31">
        <v>0.8</v>
      </c>
      <c r="H31">
        <v>0.8</v>
      </c>
      <c r="I31">
        <v>0.8</v>
      </c>
      <c r="J31" s="115">
        <v>0.25</v>
      </c>
      <c r="K31" s="115">
        <v>0.05</v>
      </c>
      <c r="Y31"/>
      <c r="AC31"/>
      <c r="AG31"/>
    </row>
    <row r="32" spans="4:33" ht="15" customHeight="1" x14ac:dyDescent="0.15">
      <c r="D32">
        <v>31</v>
      </c>
      <c r="E32" s="159" t="s">
        <v>222</v>
      </c>
      <c r="F32">
        <v>0.98</v>
      </c>
      <c r="G32">
        <v>0.8</v>
      </c>
      <c r="H32">
        <v>0.8</v>
      </c>
      <c r="I32">
        <v>0.8</v>
      </c>
      <c r="J32" s="115">
        <v>0.25</v>
      </c>
      <c r="K32" s="115">
        <v>0.05</v>
      </c>
      <c r="Y32"/>
      <c r="AC32"/>
      <c r="AG32"/>
    </row>
    <row r="33" spans="4:33" ht="15" customHeight="1" x14ac:dyDescent="0.15">
      <c r="D33">
        <v>32</v>
      </c>
      <c r="E33" s="159" t="s">
        <v>223</v>
      </c>
      <c r="F33">
        <v>0.98</v>
      </c>
      <c r="G33">
        <v>0.8</v>
      </c>
      <c r="H33">
        <v>0.8</v>
      </c>
      <c r="I33">
        <v>0.8</v>
      </c>
      <c r="J33" s="115">
        <v>0.25</v>
      </c>
      <c r="K33" s="115">
        <v>0.05</v>
      </c>
      <c r="Y33"/>
      <c r="AC33"/>
      <c r="AG33"/>
    </row>
    <row r="34" spans="4:33" ht="15" customHeight="1" x14ac:dyDescent="0.15">
      <c r="D34">
        <v>33</v>
      </c>
      <c r="E34" s="159" t="s">
        <v>224</v>
      </c>
      <c r="F34">
        <v>0.98</v>
      </c>
      <c r="G34">
        <v>0.8</v>
      </c>
      <c r="H34">
        <v>0.8</v>
      </c>
      <c r="I34">
        <v>0.8</v>
      </c>
      <c r="J34" s="115">
        <v>0.25</v>
      </c>
      <c r="K34" s="115">
        <v>0.05</v>
      </c>
      <c r="Y34"/>
      <c r="AC34"/>
      <c r="AG34"/>
    </row>
    <row r="35" spans="4:33" ht="15" customHeight="1" x14ac:dyDescent="0.15">
      <c r="D35">
        <v>34</v>
      </c>
      <c r="E35" s="159" t="s">
        <v>225</v>
      </c>
      <c r="F35">
        <v>0.98</v>
      </c>
      <c r="G35">
        <v>0.8</v>
      </c>
      <c r="H35">
        <v>0.8</v>
      </c>
      <c r="I35">
        <v>0.8</v>
      </c>
      <c r="J35" s="115">
        <v>0.25</v>
      </c>
      <c r="K35" s="115">
        <v>0.05</v>
      </c>
      <c r="Y35"/>
      <c r="AC35"/>
      <c r="AG35"/>
    </row>
    <row r="36" spans="4:33" ht="15" customHeight="1" x14ac:dyDescent="0.15">
      <c r="D36">
        <v>35</v>
      </c>
      <c r="E36" s="159" t="s">
        <v>226</v>
      </c>
      <c r="F36">
        <v>0.98</v>
      </c>
      <c r="G36">
        <v>0.8</v>
      </c>
      <c r="H36">
        <v>0.8</v>
      </c>
      <c r="I36">
        <v>0.8</v>
      </c>
      <c r="J36" s="115">
        <v>0.25</v>
      </c>
      <c r="K36" s="115">
        <v>0.05</v>
      </c>
      <c r="Y36"/>
      <c r="AC36"/>
      <c r="AG36"/>
    </row>
    <row r="37" spans="4:33" ht="15" customHeight="1" x14ac:dyDescent="0.15">
      <c r="D37">
        <v>36</v>
      </c>
      <c r="E37" s="159" t="s">
        <v>227</v>
      </c>
      <c r="F37">
        <v>0.98</v>
      </c>
      <c r="G37">
        <v>0.8</v>
      </c>
      <c r="H37">
        <v>0.8</v>
      </c>
      <c r="I37">
        <v>0.8</v>
      </c>
      <c r="J37" s="115">
        <v>0.25</v>
      </c>
      <c r="K37" s="115">
        <v>0.05</v>
      </c>
      <c r="Y37"/>
      <c r="AC37"/>
      <c r="AG37"/>
    </row>
    <row r="38" spans="4:33" ht="15" customHeight="1" x14ac:dyDescent="0.15">
      <c r="D38">
        <v>37</v>
      </c>
      <c r="E38" s="159" t="s">
        <v>228</v>
      </c>
      <c r="F38">
        <v>0.98</v>
      </c>
      <c r="G38">
        <v>0.8</v>
      </c>
      <c r="H38">
        <v>0.8</v>
      </c>
      <c r="I38">
        <v>0.8</v>
      </c>
      <c r="J38" s="115">
        <v>0.25</v>
      </c>
      <c r="K38" s="115">
        <v>0.05</v>
      </c>
      <c r="Y38"/>
      <c r="AC38"/>
      <c r="AG38"/>
    </row>
    <row r="39" spans="4:33" ht="15" customHeight="1" x14ac:dyDescent="0.15">
      <c r="D39">
        <v>38</v>
      </c>
      <c r="E39" s="159" t="s">
        <v>229</v>
      </c>
      <c r="F39">
        <v>0.98</v>
      </c>
      <c r="G39">
        <v>0.8</v>
      </c>
      <c r="H39">
        <v>0.8</v>
      </c>
      <c r="I39">
        <v>0.8</v>
      </c>
      <c r="J39" s="115">
        <v>0.25</v>
      </c>
      <c r="K39" s="115">
        <v>0.05</v>
      </c>
    </row>
    <row r="40" spans="4:33" ht="15" customHeight="1" x14ac:dyDescent="0.15">
      <c r="D40">
        <v>39</v>
      </c>
      <c r="E40" s="159" t="s">
        <v>230</v>
      </c>
      <c r="F40">
        <v>0.98</v>
      </c>
      <c r="G40">
        <v>0.8</v>
      </c>
      <c r="H40">
        <v>0</v>
      </c>
      <c r="I40">
        <v>0</v>
      </c>
      <c r="J40" s="115">
        <v>0</v>
      </c>
      <c r="K40" s="115">
        <v>0</v>
      </c>
      <c r="Y40"/>
      <c r="AC40"/>
      <c r="AG40"/>
    </row>
    <row r="41" spans="4:33" ht="15" customHeight="1" x14ac:dyDescent="0.15">
      <c r="D41">
        <v>40</v>
      </c>
      <c r="E41" s="159" t="s">
        <v>231</v>
      </c>
      <c r="F41">
        <v>0.98</v>
      </c>
      <c r="G41">
        <v>0.8</v>
      </c>
      <c r="H41">
        <v>0</v>
      </c>
      <c r="I41">
        <v>0</v>
      </c>
      <c r="J41" s="115">
        <v>0</v>
      </c>
      <c r="K41" s="115">
        <v>0</v>
      </c>
      <c r="Y41"/>
      <c r="AC41"/>
      <c r="AG41"/>
    </row>
    <row r="42" spans="4:33" ht="15" customHeight="1" x14ac:dyDescent="0.15">
      <c r="D42">
        <v>41</v>
      </c>
      <c r="E42" s="159" t="s">
        <v>232</v>
      </c>
      <c r="F42">
        <v>0.98</v>
      </c>
      <c r="G42">
        <v>0.8</v>
      </c>
      <c r="H42">
        <v>0</v>
      </c>
      <c r="I42">
        <v>0</v>
      </c>
      <c r="J42" s="115">
        <v>0</v>
      </c>
      <c r="K42" s="115">
        <v>0</v>
      </c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P43"/>
  <sheetViews>
    <sheetView workbookViewId="0">
      <selection activeCell="A3" sqref="A3"/>
    </sheetView>
  </sheetViews>
  <sheetFormatPr baseColWidth="10" defaultRowHeight="13" x14ac:dyDescent="0.15"/>
  <cols>
    <col min="1" max="1" width="25.5" style="113" bestFit="1" customWidth="1"/>
    <col min="2" max="2" width="2.33203125" style="113" customWidth="1"/>
    <col min="3" max="39" width="3.83203125" style="113" customWidth="1"/>
    <col min="40" max="42" width="2.33203125" style="113" customWidth="1"/>
    <col min="43" max="16384" width="10.83203125" style="113"/>
  </cols>
  <sheetData>
    <row r="1" spans="1:42" x14ac:dyDescent="0.15">
      <c r="A1" s="63" t="s">
        <v>118</v>
      </c>
      <c r="B1" s="161" t="s">
        <v>192</v>
      </c>
      <c r="C1" s="161" t="s">
        <v>193</v>
      </c>
      <c r="D1" s="161" t="s">
        <v>194</v>
      </c>
      <c r="E1" s="161" t="s">
        <v>195</v>
      </c>
      <c r="F1" s="161" t="s">
        <v>196</v>
      </c>
      <c r="G1" s="161" t="s">
        <v>197</v>
      </c>
      <c r="H1" s="161" t="s">
        <v>198</v>
      </c>
      <c r="I1" s="161" t="s">
        <v>199</v>
      </c>
      <c r="J1" s="161" t="s">
        <v>200</v>
      </c>
      <c r="K1" s="161" t="s">
        <v>201</v>
      </c>
      <c r="L1" s="161" t="s">
        <v>202</v>
      </c>
      <c r="M1" s="161" t="s">
        <v>203</v>
      </c>
      <c r="N1" s="161" t="s">
        <v>204</v>
      </c>
      <c r="O1" s="161" t="s">
        <v>205</v>
      </c>
      <c r="P1" s="161" t="s">
        <v>206</v>
      </c>
      <c r="Q1" s="161" t="s">
        <v>207</v>
      </c>
      <c r="R1" s="161" t="s">
        <v>208</v>
      </c>
      <c r="S1" s="161" t="s">
        <v>209</v>
      </c>
      <c r="T1" s="161" t="s">
        <v>210</v>
      </c>
      <c r="U1" s="161" t="s">
        <v>211</v>
      </c>
      <c r="V1" s="161" t="s">
        <v>212</v>
      </c>
      <c r="W1" s="161" t="s">
        <v>213</v>
      </c>
      <c r="X1" s="161" t="s">
        <v>214</v>
      </c>
      <c r="Y1" s="161" t="s">
        <v>215</v>
      </c>
      <c r="Z1" s="161" t="s">
        <v>216</v>
      </c>
      <c r="AA1" s="161" t="s">
        <v>217</v>
      </c>
      <c r="AB1" s="161" t="s">
        <v>218</v>
      </c>
      <c r="AC1" s="161" t="s">
        <v>219</v>
      </c>
      <c r="AD1" s="161" t="s">
        <v>220</v>
      </c>
      <c r="AE1" s="161" t="s">
        <v>221</v>
      </c>
      <c r="AF1" s="161" t="s">
        <v>222</v>
      </c>
      <c r="AG1" s="161" t="s">
        <v>223</v>
      </c>
      <c r="AH1" s="161" t="s">
        <v>224</v>
      </c>
      <c r="AI1" s="161" t="s">
        <v>225</v>
      </c>
      <c r="AJ1" s="161" t="s">
        <v>226</v>
      </c>
      <c r="AK1" s="161" t="s">
        <v>227</v>
      </c>
      <c r="AL1" s="161" t="s">
        <v>228</v>
      </c>
      <c r="AM1" s="161" t="s">
        <v>229</v>
      </c>
      <c r="AN1" s="161" t="s">
        <v>230</v>
      </c>
      <c r="AO1" s="161" t="s">
        <v>231</v>
      </c>
      <c r="AP1" s="161" t="s">
        <v>232</v>
      </c>
    </row>
    <row r="2" spans="1:42" customFormat="1" x14ac:dyDescent="0.15">
      <c r="A2" s="160" t="s">
        <v>192</v>
      </c>
      <c r="B2" s="113">
        <v>0</v>
      </c>
      <c r="C2" s="113">
        <v>0.8</v>
      </c>
      <c r="D2" s="113">
        <v>0.8</v>
      </c>
      <c r="E2" s="113">
        <v>0.8</v>
      </c>
      <c r="F2" s="113">
        <v>0.8</v>
      </c>
      <c r="G2" s="113">
        <v>0.8</v>
      </c>
      <c r="H2" s="113">
        <v>0</v>
      </c>
      <c r="I2" s="113">
        <v>0</v>
      </c>
      <c r="J2" s="113">
        <v>0</v>
      </c>
      <c r="K2" s="113">
        <v>0</v>
      </c>
      <c r="L2" s="113">
        <v>0</v>
      </c>
      <c r="M2" s="113">
        <v>0</v>
      </c>
      <c r="N2" s="113">
        <v>0</v>
      </c>
      <c r="O2" s="113">
        <v>0</v>
      </c>
      <c r="P2" s="113">
        <v>0</v>
      </c>
      <c r="Q2" s="113">
        <v>0</v>
      </c>
      <c r="R2" s="113">
        <v>0</v>
      </c>
      <c r="S2" s="113">
        <v>0</v>
      </c>
      <c r="T2" s="113">
        <v>0</v>
      </c>
      <c r="U2" s="113">
        <v>0</v>
      </c>
      <c r="V2" s="113">
        <v>0</v>
      </c>
      <c r="W2" s="113">
        <v>0</v>
      </c>
      <c r="X2" s="113">
        <v>0</v>
      </c>
      <c r="Y2" s="113">
        <v>0</v>
      </c>
      <c r="Z2" s="113">
        <v>0</v>
      </c>
      <c r="AA2" s="113">
        <v>0</v>
      </c>
      <c r="AB2" s="113">
        <v>0</v>
      </c>
      <c r="AC2" s="113">
        <v>0</v>
      </c>
      <c r="AD2" s="113">
        <v>0</v>
      </c>
      <c r="AE2" s="113">
        <v>0</v>
      </c>
      <c r="AF2" s="113">
        <v>0</v>
      </c>
      <c r="AG2" s="113">
        <v>0</v>
      </c>
      <c r="AH2" s="113">
        <v>0.8</v>
      </c>
      <c r="AI2" s="113">
        <v>0</v>
      </c>
      <c r="AJ2" s="113">
        <v>0</v>
      </c>
      <c r="AK2" s="113">
        <v>0</v>
      </c>
      <c r="AL2" s="113">
        <v>0</v>
      </c>
      <c r="AM2" s="113">
        <v>0</v>
      </c>
      <c r="AN2" s="113">
        <v>0</v>
      </c>
      <c r="AO2" s="113">
        <v>0</v>
      </c>
      <c r="AP2" s="113">
        <v>0</v>
      </c>
    </row>
    <row r="3" spans="1:42" customFormat="1" x14ac:dyDescent="0.15">
      <c r="A3" s="160" t="s">
        <v>193</v>
      </c>
      <c r="B3" s="113">
        <v>0</v>
      </c>
      <c r="C3" s="113">
        <v>0.8</v>
      </c>
      <c r="D3" s="113">
        <v>0.8</v>
      </c>
      <c r="E3" s="113">
        <v>0.8</v>
      </c>
      <c r="F3" s="113">
        <v>0.8</v>
      </c>
      <c r="G3" s="113">
        <v>0</v>
      </c>
      <c r="H3" s="113">
        <v>0</v>
      </c>
      <c r="I3" s="113">
        <v>0</v>
      </c>
      <c r="J3" s="113">
        <v>0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>
        <v>0</v>
      </c>
      <c r="AC3" s="113">
        <v>0</v>
      </c>
      <c r="AD3" s="113">
        <v>0</v>
      </c>
      <c r="AE3" s="113">
        <v>0</v>
      </c>
      <c r="AF3" s="113">
        <v>0</v>
      </c>
      <c r="AG3" s="113">
        <v>0</v>
      </c>
      <c r="AH3" s="113">
        <v>0</v>
      </c>
      <c r="AI3" s="113">
        <v>0</v>
      </c>
      <c r="AJ3" s="113">
        <v>0</v>
      </c>
      <c r="AK3" s="113">
        <v>0</v>
      </c>
      <c r="AL3" s="113">
        <v>0</v>
      </c>
      <c r="AM3" s="113">
        <v>0</v>
      </c>
      <c r="AN3" s="113">
        <v>0</v>
      </c>
      <c r="AO3" s="113">
        <v>0</v>
      </c>
      <c r="AP3" s="113">
        <v>0</v>
      </c>
    </row>
    <row r="4" spans="1:42" customFormat="1" x14ac:dyDescent="0.15">
      <c r="A4" s="160" t="s">
        <v>194</v>
      </c>
      <c r="B4" s="113">
        <v>0</v>
      </c>
      <c r="C4" s="113">
        <v>0</v>
      </c>
      <c r="D4" s="113">
        <v>0.8</v>
      </c>
      <c r="E4" s="113">
        <v>0.8</v>
      </c>
      <c r="F4" s="113">
        <v>0.8</v>
      </c>
      <c r="G4" s="113">
        <v>0.8</v>
      </c>
      <c r="H4" s="113">
        <v>0</v>
      </c>
      <c r="I4" s="113">
        <v>0.8</v>
      </c>
      <c r="J4" s="113">
        <v>0</v>
      </c>
      <c r="K4" s="113">
        <v>0</v>
      </c>
      <c r="L4" s="113">
        <v>0</v>
      </c>
      <c r="M4" s="113">
        <v>0</v>
      </c>
      <c r="N4" s="113">
        <v>0.8</v>
      </c>
      <c r="O4" s="113">
        <v>0.8</v>
      </c>
      <c r="P4" s="113">
        <v>0</v>
      </c>
      <c r="Q4" s="113">
        <v>0.8</v>
      </c>
      <c r="R4" s="113">
        <v>0.8</v>
      </c>
      <c r="S4" s="113">
        <v>0</v>
      </c>
      <c r="T4" s="113">
        <v>0.8</v>
      </c>
      <c r="U4" s="113">
        <v>0.8</v>
      </c>
      <c r="V4" s="113">
        <v>0</v>
      </c>
      <c r="W4" s="113">
        <v>0.8</v>
      </c>
      <c r="X4" s="113">
        <v>0.8</v>
      </c>
      <c r="Y4" s="113">
        <v>0.8</v>
      </c>
      <c r="Z4" s="113">
        <v>0</v>
      </c>
      <c r="AA4" s="113">
        <v>0</v>
      </c>
      <c r="AB4" s="113">
        <v>0.8</v>
      </c>
      <c r="AC4" s="113">
        <v>0.8</v>
      </c>
      <c r="AD4" s="113">
        <v>0.8</v>
      </c>
      <c r="AE4" s="113">
        <v>0.8</v>
      </c>
      <c r="AF4" s="113">
        <v>0.8</v>
      </c>
      <c r="AG4" s="113">
        <v>0.8</v>
      </c>
      <c r="AH4" s="113">
        <v>0.8</v>
      </c>
      <c r="AI4" s="113">
        <v>0</v>
      </c>
      <c r="AJ4" s="113">
        <v>0</v>
      </c>
      <c r="AK4" s="113">
        <v>0</v>
      </c>
      <c r="AL4" s="113">
        <v>0</v>
      </c>
      <c r="AM4" s="113">
        <v>0</v>
      </c>
      <c r="AN4" s="113">
        <v>0</v>
      </c>
      <c r="AO4" s="113">
        <v>0</v>
      </c>
      <c r="AP4" s="113">
        <v>0</v>
      </c>
    </row>
    <row r="5" spans="1:42" customFormat="1" x14ac:dyDescent="0.15">
      <c r="A5" s="160" t="s">
        <v>195</v>
      </c>
      <c r="B5" s="113">
        <v>0</v>
      </c>
      <c r="C5" s="113">
        <v>0</v>
      </c>
      <c r="D5" s="113">
        <v>0</v>
      </c>
      <c r="E5" s="113">
        <v>0.8</v>
      </c>
      <c r="F5" s="113">
        <v>0.8</v>
      </c>
      <c r="G5" s="113">
        <v>0</v>
      </c>
      <c r="H5" s="113">
        <v>0</v>
      </c>
      <c r="I5" s="113">
        <v>0.8</v>
      </c>
      <c r="J5" s="113">
        <v>0.8</v>
      </c>
      <c r="K5" s="113">
        <v>0.8</v>
      </c>
      <c r="L5" s="113">
        <v>0</v>
      </c>
      <c r="M5" s="113">
        <v>0.8</v>
      </c>
      <c r="N5" s="113">
        <v>0.8</v>
      </c>
      <c r="O5" s="113">
        <v>0.8</v>
      </c>
      <c r="P5" s="113">
        <v>0</v>
      </c>
      <c r="Q5" s="113">
        <v>0.8</v>
      </c>
      <c r="R5" s="113">
        <v>0.8</v>
      </c>
      <c r="S5" s="113">
        <v>0.8</v>
      </c>
      <c r="T5" s="113">
        <v>0.8</v>
      </c>
      <c r="U5" s="113">
        <v>0.8</v>
      </c>
      <c r="V5" s="113">
        <v>0.8</v>
      </c>
      <c r="W5" s="113">
        <v>0.8</v>
      </c>
      <c r="X5" s="113">
        <v>0.8</v>
      </c>
      <c r="Y5" s="113">
        <v>0.8</v>
      </c>
      <c r="Z5" s="113">
        <v>0.8</v>
      </c>
      <c r="AA5" s="113">
        <v>0.8</v>
      </c>
      <c r="AB5" s="113">
        <v>0</v>
      </c>
      <c r="AC5" s="113">
        <v>0</v>
      </c>
      <c r="AD5" s="113">
        <v>0</v>
      </c>
      <c r="AE5" s="113">
        <v>0.8</v>
      </c>
      <c r="AF5" s="113">
        <v>0.8</v>
      </c>
      <c r="AG5" s="113">
        <v>0.8</v>
      </c>
      <c r="AH5" s="113">
        <v>0.8</v>
      </c>
      <c r="AI5" s="113">
        <v>0.8</v>
      </c>
      <c r="AJ5" s="113">
        <v>0.8</v>
      </c>
      <c r="AK5" s="113">
        <v>0</v>
      </c>
      <c r="AL5" s="113">
        <v>0</v>
      </c>
      <c r="AM5" s="113">
        <v>0</v>
      </c>
      <c r="AN5" s="113">
        <v>0</v>
      </c>
      <c r="AO5" s="113">
        <v>0</v>
      </c>
      <c r="AP5" s="113">
        <v>0</v>
      </c>
    </row>
    <row r="6" spans="1:42" customFormat="1" x14ac:dyDescent="0.15">
      <c r="A6" s="160" t="s">
        <v>196</v>
      </c>
      <c r="B6" s="113">
        <v>0</v>
      </c>
      <c r="C6" s="113">
        <v>0</v>
      </c>
      <c r="D6" s="113">
        <v>0</v>
      </c>
      <c r="E6" s="113">
        <v>0</v>
      </c>
      <c r="F6" s="113">
        <v>0.8</v>
      </c>
      <c r="G6" s="113">
        <v>0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0.8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0.8</v>
      </c>
      <c r="AA6" s="113">
        <v>0</v>
      </c>
      <c r="AB6" s="113">
        <v>0</v>
      </c>
      <c r="AC6" s="113">
        <v>0</v>
      </c>
      <c r="AD6" s="113">
        <v>0</v>
      </c>
      <c r="AE6" s="113">
        <v>0</v>
      </c>
      <c r="AF6" s="113">
        <v>0.8</v>
      </c>
      <c r="AG6" s="113">
        <v>0.8</v>
      </c>
      <c r="AH6" s="113">
        <v>0</v>
      </c>
      <c r="AI6" s="113">
        <v>0.8</v>
      </c>
      <c r="AJ6" s="113">
        <v>0</v>
      </c>
      <c r="AK6" s="113">
        <v>0.8</v>
      </c>
      <c r="AL6" s="113">
        <v>0</v>
      </c>
      <c r="AM6" s="113">
        <v>0</v>
      </c>
      <c r="AN6" s="113">
        <v>0</v>
      </c>
      <c r="AO6" s="113">
        <v>0</v>
      </c>
      <c r="AP6" s="113">
        <v>0</v>
      </c>
    </row>
    <row r="7" spans="1:42" customFormat="1" x14ac:dyDescent="0.15">
      <c r="A7" s="160" t="s">
        <v>197</v>
      </c>
      <c r="B7" s="113">
        <v>0</v>
      </c>
      <c r="C7" s="113">
        <v>0</v>
      </c>
      <c r="D7" s="113">
        <v>0</v>
      </c>
      <c r="E7" s="113">
        <v>0</v>
      </c>
      <c r="F7" s="113">
        <v>0</v>
      </c>
      <c r="G7" s="113">
        <v>0.8</v>
      </c>
      <c r="H7" s="113">
        <v>0</v>
      </c>
      <c r="I7" s="113">
        <v>0.8</v>
      </c>
      <c r="J7" s="113">
        <v>0.8</v>
      </c>
      <c r="K7" s="113">
        <v>0.8</v>
      </c>
      <c r="L7" s="113">
        <v>0</v>
      </c>
      <c r="M7" s="113">
        <v>0.8</v>
      </c>
      <c r="N7" s="113">
        <v>0.8</v>
      </c>
      <c r="O7" s="113">
        <v>0.8</v>
      </c>
      <c r="P7" s="113">
        <v>0.8</v>
      </c>
      <c r="Q7" s="113">
        <v>0.8</v>
      </c>
      <c r="R7" s="113">
        <v>0.8</v>
      </c>
      <c r="S7" s="113">
        <v>0.8</v>
      </c>
      <c r="T7" s="113">
        <v>0.8</v>
      </c>
      <c r="U7" s="113">
        <v>0.8</v>
      </c>
      <c r="V7" s="113">
        <v>0.8</v>
      </c>
      <c r="W7" s="113">
        <v>0.8</v>
      </c>
      <c r="X7" s="113">
        <v>0.8</v>
      </c>
      <c r="Y7" s="113">
        <v>0.8</v>
      </c>
      <c r="Z7" s="113">
        <v>0</v>
      </c>
      <c r="AA7" s="113">
        <v>0.8</v>
      </c>
      <c r="AB7" s="113">
        <v>0</v>
      </c>
      <c r="AC7" s="113">
        <v>0</v>
      </c>
      <c r="AD7" s="113">
        <v>0</v>
      </c>
      <c r="AE7" s="113">
        <v>0.8</v>
      </c>
      <c r="AF7" s="113">
        <v>0.8</v>
      </c>
      <c r="AG7" s="113">
        <v>0.8</v>
      </c>
      <c r="AH7" s="113">
        <v>0.8</v>
      </c>
      <c r="AI7" s="113">
        <v>0.8</v>
      </c>
      <c r="AJ7" s="113">
        <v>0</v>
      </c>
      <c r="AK7" s="113">
        <v>0</v>
      </c>
      <c r="AL7" s="113">
        <v>0</v>
      </c>
      <c r="AM7" s="113">
        <v>0</v>
      </c>
      <c r="AN7" s="113">
        <v>0</v>
      </c>
      <c r="AO7" s="113">
        <v>0</v>
      </c>
      <c r="AP7" s="113">
        <v>0</v>
      </c>
    </row>
    <row r="8" spans="1:42" customFormat="1" x14ac:dyDescent="0.15">
      <c r="A8" s="160" t="s">
        <v>198</v>
      </c>
      <c r="B8" s="113">
        <v>0</v>
      </c>
      <c r="C8" s="113">
        <v>0</v>
      </c>
      <c r="D8" s="113">
        <v>0</v>
      </c>
      <c r="E8" s="113">
        <v>0</v>
      </c>
      <c r="F8" s="113">
        <v>0</v>
      </c>
      <c r="G8" s="113">
        <v>0.8</v>
      </c>
      <c r="H8" s="113">
        <v>0.8</v>
      </c>
      <c r="I8" s="113">
        <v>0.8</v>
      </c>
      <c r="J8" s="113">
        <v>0.8</v>
      </c>
      <c r="K8" s="113">
        <v>0.8</v>
      </c>
      <c r="L8" s="113">
        <v>0.8</v>
      </c>
      <c r="M8" s="113">
        <v>0.8</v>
      </c>
      <c r="N8" s="113">
        <v>0.8</v>
      </c>
      <c r="O8" s="113">
        <v>0.8</v>
      </c>
      <c r="P8" s="113">
        <v>0.8</v>
      </c>
      <c r="Q8" s="113">
        <v>0.8</v>
      </c>
      <c r="R8" s="113">
        <v>0.8</v>
      </c>
      <c r="S8" s="113">
        <v>0.8</v>
      </c>
      <c r="T8" s="113">
        <v>0.8</v>
      </c>
      <c r="U8" s="113">
        <v>0.8</v>
      </c>
      <c r="V8" s="113">
        <v>0.8</v>
      </c>
      <c r="W8" s="113">
        <v>0.8</v>
      </c>
      <c r="X8" s="113">
        <v>0.8</v>
      </c>
      <c r="Y8" s="113">
        <v>0.8</v>
      </c>
      <c r="Z8" s="113">
        <v>0.8</v>
      </c>
      <c r="AA8" s="113">
        <v>0.8</v>
      </c>
      <c r="AB8" s="113">
        <v>0</v>
      </c>
      <c r="AC8" s="113">
        <v>0</v>
      </c>
      <c r="AD8" s="113">
        <v>0</v>
      </c>
      <c r="AE8" s="113">
        <v>0</v>
      </c>
      <c r="AF8" s="113">
        <v>0</v>
      </c>
      <c r="AG8" s="113">
        <v>0</v>
      </c>
      <c r="AH8" s="113">
        <v>0</v>
      </c>
      <c r="AI8" s="113">
        <v>0</v>
      </c>
      <c r="AJ8" s="113">
        <v>0</v>
      </c>
      <c r="AK8" s="113">
        <v>0</v>
      </c>
      <c r="AL8" s="113">
        <v>0</v>
      </c>
      <c r="AM8" s="113">
        <v>0</v>
      </c>
      <c r="AN8" s="113">
        <v>0</v>
      </c>
      <c r="AO8" s="113">
        <v>0</v>
      </c>
      <c r="AP8" s="113">
        <v>0</v>
      </c>
    </row>
    <row r="9" spans="1:42" customFormat="1" x14ac:dyDescent="0.15">
      <c r="A9" s="160" t="s">
        <v>199</v>
      </c>
      <c r="B9" s="113">
        <v>0</v>
      </c>
      <c r="C9" s="113">
        <v>0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0.8</v>
      </c>
      <c r="J9" s="113">
        <v>0.8</v>
      </c>
      <c r="K9" s="113">
        <v>0.8</v>
      </c>
      <c r="L9" s="113">
        <v>0</v>
      </c>
      <c r="M9" s="113">
        <v>0.8</v>
      </c>
      <c r="N9" s="113">
        <v>0.8</v>
      </c>
      <c r="O9" s="113">
        <v>0.8</v>
      </c>
      <c r="P9" s="113">
        <v>0.8</v>
      </c>
      <c r="Q9" s="113">
        <v>0.8</v>
      </c>
      <c r="R9" s="113">
        <v>0.8</v>
      </c>
      <c r="S9" s="113">
        <v>0.8</v>
      </c>
      <c r="T9" s="113">
        <v>0.8</v>
      </c>
      <c r="U9" s="113">
        <v>0.8</v>
      </c>
      <c r="V9" s="113">
        <v>0.8</v>
      </c>
      <c r="W9" s="113">
        <v>0.8</v>
      </c>
      <c r="X9" s="113">
        <v>0.8</v>
      </c>
      <c r="Y9" s="113">
        <v>0.8</v>
      </c>
      <c r="Z9" s="113">
        <v>0.8</v>
      </c>
      <c r="AA9" s="113">
        <v>0.8</v>
      </c>
      <c r="AB9" s="113">
        <v>0</v>
      </c>
      <c r="AC9" s="113">
        <v>0</v>
      </c>
      <c r="AD9" s="113">
        <v>0</v>
      </c>
      <c r="AE9" s="113">
        <v>0</v>
      </c>
      <c r="AF9" s="113">
        <v>0.8</v>
      </c>
      <c r="AG9" s="113">
        <v>0.8</v>
      </c>
      <c r="AH9" s="113">
        <v>0</v>
      </c>
      <c r="AI9" s="113">
        <v>0.8</v>
      </c>
      <c r="AJ9" s="113">
        <v>0.8</v>
      </c>
      <c r="AK9" s="113">
        <v>0</v>
      </c>
      <c r="AL9" s="113">
        <v>0</v>
      </c>
      <c r="AM9" s="113">
        <v>0.8</v>
      </c>
      <c r="AN9" s="113">
        <v>0</v>
      </c>
      <c r="AO9" s="113">
        <v>0</v>
      </c>
      <c r="AP9" s="113">
        <v>0</v>
      </c>
    </row>
    <row r="10" spans="1:42" customFormat="1" x14ac:dyDescent="0.15">
      <c r="A10" s="160" t="s">
        <v>200</v>
      </c>
      <c r="B10" s="113">
        <v>0</v>
      </c>
      <c r="C10" s="113">
        <v>0</v>
      </c>
      <c r="D10" s="113">
        <v>0</v>
      </c>
      <c r="E10" s="113">
        <v>0</v>
      </c>
      <c r="F10" s="113">
        <v>0</v>
      </c>
      <c r="G10" s="113">
        <v>0</v>
      </c>
      <c r="H10" s="113">
        <v>0</v>
      </c>
      <c r="I10" s="113">
        <v>0.8</v>
      </c>
      <c r="J10" s="113">
        <v>0.8</v>
      </c>
      <c r="K10" s="113">
        <v>0.8</v>
      </c>
      <c r="L10" s="113">
        <v>0</v>
      </c>
      <c r="M10" s="113">
        <v>0.8</v>
      </c>
      <c r="N10" s="113">
        <v>0.8</v>
      </c>
      <c r="O10" s="113">
        <v>0.8</v>
      </c>
      <c r="P10" s="113">
        <v>0.8</v>
      </c>
      <c r="Q10" s="113">
        <v>0.8</v>
      </c>
      <c r="R10" s="113">
        <v>0.8</v>
      </c>
      <c r="S10" s="113">
        <v>0</v>
      </c>
      <c r="T10" s="113">
        <v>0.8</v>
      </c>
      <c r="U10" s="113">
        <v>0.8</v>
      </c>
      <c r="V10" s="113">
        <v>0.8</v>
      </c>
      <c r="W10" s="113">
        <v>0.8</v>
      </c>
      <c r="X10" s="113">
        <v>0.8</v>
      </c>
      <c r="Y10" s="113">
        <v>0</v>
      </c>
      <c r="Z10" s="113">
        <v>0.8</v>
      </c>
      <c r="AA10" s="113">
        <v>0.8</v>
      </c>
      <c r="AB10" s="113">
        <v>0</v>
      </c>
      <c r="AC10" s="113">
        <v>0</v>
      </c>
      <c r="AD10" s="113">
        <v>0</v>
      </c>
      <c r="AE10" s="113">
        <v>0</v>
      </c>
      <c r="AF10" s="113">
        <v>0.8</v>
      </c>
      <c r="AG10" s="113">
        <v>0</v>
      </c>
      <c r="AH10" s="113">
        <v>0</v>
      </c>
      <c r="AI10" s="113">
        <v>0</v>
      </c>
      <c r="AJ10" s="113">
        <v>0</v>
      </c>
      <c r="AK10" s="113">
        <v>0.8</v>
      </c>
      <c r="AL10" s="113">
        <v>0</v>
      </c>
      <c r="AM10" s="113">
        <v>0</v>
      </c>
      <c r="AN10" s="113">
        <v>0</v>
      </c>
      <c r="AO10" s="113">
        <v>0</v>
      </c>
      <c r="AP10" s="113">
        <v>0</v>
      </c>
    </row>
    <row r="11" spans="1:42" customFormat="1" x14ac:dyDescent="0.15">
      <c r="A11" s="160" t="s">
        <v>201</v>
      </c>
      <c r="B11" s="113">
        <v>0</v>
      </c>
      <c r="C11" s="113">
        <v>0</v>
      </c>
      <c r="D11" s="113">
        <v>0</v>
      </c>
      <c r="E11" s="113">
        <v>0</v>
      </c>
      <c r="F11" s="113">
        <v>0</v>
      </c>
      <c r="G11" s="113">
        <v>0</v>
      </c>
      <c r="H11" s="113">
        <v>0</v>
      </c>
      <c r="I11" s="113">
        <v>0</v>
      </c>
      <c r="J11" s="113">
        <v>0.8</v>
      </c>
      <c r="K11" s="113">
        <v>0</v>
      </c>
      <c r="L11" s="113">
        <v>0</v>
      </c>
      <c r="M11" s="113">
        <v>0.8</v>
      </c>
      <c r="N11" s="113">
        <v>0</v>
      </c>
      <c r="O11" s="113">
        <v>0</v>
      </c>
      <c r="P11" s="113">
        <v>0.8</v>
      </c>
      <c r="Q11" s="113">
        <v>0</v>
      </c>
      <c r="R11" s="113">
        <v>0</v>
      </c>
      <c r="S11" s="113">
        <v>0.8</v>
      </c>
      <c r="T11" s="113">
        <v>0</v>
      </c>
      <c r="U11" s="113">
        <v>0</v>
      </c>
      <c r="V11" s="113">
        <v>0</v>
      </c>
      <c r="W11" s="113">
        <v>0</v>
      </c>
      <c r="X11" s="113">
        <v>0</v>
      </c>
      <c r="Y11" s="113">
        <v>0</v>
      </c>
      <c r="Z11" s="113">
        <v>0</v>
      </c>
      <c r="AA11" s="113">
        <v>0</v>
      </c>
      <c r="AB11" s="113">
        <v>0</v>
      </c>
      <c r="AC11" s="113">
        <v>0</v>
      </c>
      <c r="AD11" s="113">
        <v>0</v>
      </c>
      <c r="AE11" s="113">
        <v>0</v>
      </c>
      <c r="AF11" s="113">
        <v>0</v>
      </c>
      <c r="AG11" s="113">
        <v>0</v>
      </c>
      <c r="AH11" s="113">
        <v>0</v>
      </c>
      <c r="AI11" s="113">
        <v>0</v>
      </c>
      <c r="AJ11" s="113">
        <v>0</v>
      </c>
      <c r="AK11" s="113">
        <v>0</v>
      </c>
      <c r="AL11" s="113">
        <v>0</v>
      </c>
      <c r="AM11" s="113">
        <v>0</v>
      </c>
      <c r="AN11" s="113">
        <v>0</v>
      </c>
      <c r="AO11" s="113">
        <v>0</v>
      </c>
      <c r="AP11" s="113">
        <v>0</v>
      </c>
    </row>
    <row r="12" spans="1:42" customFormat="1" x14ac:dyDescent="0.15">
      <c r="A12" s="160" t="s">
        <v>202</v>
      </c>
      <c r="B12" s="113">
        <v>0</v>
      </c>
      <c r="C12" s="113">
        <v>0</v>
      </c>
      <c r="D12" s="113">
        <v>0</v>
      </c>
      <c r="E12" s="113">
        <v>0</v>
      </c>
      <c r="F12" s="113">
        <v>0</v>
      </c>
      <c r="G12" s="113">
        <v>0.8</v>
      </c>
      <c r="H12" s="113">
        <v>0.8</v>
      </c>
      <c r="I12" s="113">
        <v>0.8</v>
      </c>
      <c r="J12" s="113">
        <v>0.8</v>
      </c>
      <c r="K12" s="113">
        <v>0.8</v>
      </c>
      <c r="L12" s="113">
        <v>0.8</v>
      </c>
      <c r="M12" s="113">
        <v>0.8</v>
      </c>
      <c r="N12" s="113">
        <v>0.8</v>
      </c>
      <c r="O12" s="113">
        <v>0.8</v>
      </c>
      <c r="P12" s="113">
        <v>0.8</v>
      </c>
      <c r="Q12" s="113">
        <v>0.8</v>
      </c>
      <c r="R12" s="113">
        <v>0.8</v>
      </c>
      <c r="S12" s="113">
        <v>0.8</v>
      </c>
      <c r="T12" s="113">
        <v>0.8</v>
      </c>
      <c r="U12" s="113">
        <v>0.8</v>
      </c>
      <c r="V12" s="113">
        <v>0.8</v>
      </c>
      <c r="W12" s="113">
        <v>0.8</v>
      </c>
      <c r="X12" s="113">
        <v>0.8</v>
      </c>
      <c r="Y12" s="113">
        <v>0</v>
      </c>
      <c r="Z12" s="113">
        <v>0.8</v>
      </c>
      <c r="AA12" s="113">
        <v>0.8</v>
      </c>
      <c r="AB12" s="113">
        <v>0</v>
      </c>
      <c r="AC12" s="113">
        <v>0</v>
      </c>
      <c r="AD12" s="113">
        <v>0</v>
      </c>
      <c r="AE12" s="113">
        <v>0</v>
      </c>
      <c r="AF12" s="113">
        <v>0</v>
      </c>
      <c r="AG12" s="113">
        <v>0.8</v>
      </c>
      <c r="AH12" s="113">
        <v>0.8</v>
      </c>
      <c r="AI12" s="113">
        <v>0</v>
      </c>
      <c r="AJ12" s="113">
        <v>0</v>
      </c>
      <c r="AK12" s="113">
        <v>0.8</v>
      </c>
      <c r="AL12" s="113">
        <v>0</v>
      </c>
      <c r="AM12" s="113">
        <v>0</v>
      </c>
      <c r="AN12" s="113">
        <v>0</v>
      </c>
      <c r="AO12" s="113">
        <v>0</v>
      </c>
      <c r="AP12" s="113">
        <v>0</v>
      </c>
    </row>
    <row r="13" spans="1:42" customFormat="1" x14ac:dyDescent="0.15">
      <c r="A13" s="160" t="s">
        <v>203</v>
      </c>
      <c r="B13" s="113">
        <v>0</v>
      </c>
      <c r="C13" s="113">
        <v>0</v>
      </c>
      <c r="D13" s="113">
        <v>0</v>
      </c>
      <c r="E13" s="113">
        <v>0</v>
      </c>
      <c r="F13" s="113">
        <v>0</v>
      </c>
      <c r="G13" s="113">
        <v>0</v>
      </c>
      <c r="H13" s="113">
        <v>0</v>
      </c>
      <c r="I13" s="113">
        <v>0.8</v>
      </c>
      <c r="J13" s="113">
        <v>0</v>
      </c>
      <c r="K13" s="113">
        <v>0.8</v>
      </c>
      <c r="L13" s="113">
        <v>0</v>
      </c>
      <c r="M13" s="113">
        <v>0.8</v>
      </c>
      <c r="N13" s="113">
        <v>0.8</v>
      </c>
      <c r="O13" s="113">
        <v>0</v>
      </c>
      <c r="P13" s="113">
        <v>0.8</v>
      </c>
      <c r="Q13" s="113">
        <v>0.8</v>
      </c>
      <c r="R13" s="113">
        <v>0.8</v>
      </c>
      <c r="S13" s="113">
        <v>0.8</v>
      </c>
      <c r="T13" s="113">
        <v>0.8</v>
      </c>
      <c r="U13" s="113">
        <v>0.8</v>
      </c>
      <c r="V13" s="113">
        <v>0.8</v>
      </c>
      <c r="W13" s="113">
        <v>0</v>
      </c>
      <c r="X13" s="113">
        <v>0.8</v>
      </c>
      <c r="Y13" s="113">
        <v>0</v>
      </c>
      <c r="Z13" s="113">
        <v>0.8</v>
      </c>
      <c r="AA13" s="113">
        <v>0.8</v>
      </c>
      <c r="AB13" s="113">
        <v>0</v>
      </c>
      <c r="AC13" s="113">
        <v>0</v>
      </c>
      <c r="AD13" s="113">
        <v>0</v>
      </c>
      <c r="AE13" s="113">
        <v>0</v>
      </c>
      <c r="AF13" s="113">
        <v>0.8</v>
      </c>
      <c r="AG13" s="113">
        <v>0</v>
      </c>
      <c r="AH13" s="113">
        <v>0</v>
      </c>
      <c r="AI13" s="113">
        <v>0.8</v>
      </c>
      <c r="AJ13" s="113">
        <v>0</v>
      </c>
      <c r="AK13" s="113">
        <v>0</v>
      </c>
      <c r="AL13" s="113">
        <v>0</v>
      </c>
      <c r="AM13" s="113">
        <v>0.8</v>
      </c>
      <c r="AN13" s="113">
        <v>0</v>
      </c>
      <c r="AO13" s="113">
        <v>0</v>
      </c>
      <c r="AP13" s="113">
        <v>0</v>
      </c>
    </row>
    <row r="14" spans="1:42" customFormat="1" x14ac:dyDescent="0.15">
      <c r="A14" s="160" t="s">
        <v>204</v>
      </c>
      <c r="B14" s="113">
        <v>0</v>
      </c>
      <c r="C14" s="113">
        <v>0</v>
      </c>
      <c r="D14" s="113">
        <v>0</v>
      </c>
      <c r="E14" s="113">
        <v>0</v>
      </c>
      <c r="F14" s="113">
        <v>0</v>
      </c>
      <c r="G14" s="113">
        <v>0</v>
      </c>
      <c r="H14" s="113">
        <v>0</v>
      </c>
      <c r="I14" s="113">
        <v>0</v>
      </c>
      <c r="J14" s="113">
        <v>0</v>
      </c>
      <c r="K14" s="113">
        <v>0</v>
      </c>
      <c r="L14" s="113">
        <v>0</v>
      </c>
      <c r="M14" s="113">
        <v>0</v>
      </c>
      <c r="N14" s="113">
        <v>0.8</v>
      </c>
      <c r="O14" s="113">
        <v>0</v>
      </c>
      <c r="P14" s="113">
        <v>0</v>
      </c>
      <c r="Q14" s="113">
        <v>0</v>
      </c>
      <c r="R14" s="113">
        <v>0</v>
      </c>
      <c r="S14" s="113">
        <v>0.8</v>
      </c>
      <c r="T14" s="113">
        <v>0</v>
      </c>
      <c r="U14" s="113">
        <v>0.8</v>
      </c>
      <c r="V14" s="113">
        <v>0</v>
      </c>
      <c r="W14" s="113">
        <v>0</v>
      </c>
      <c r="X14" s="113">
        <v>0</v>
      </c>
      <c r="Y14" s="113">
        <v>0</v>
      </c>
      <c r="Z14" s="113">
        <v>0.8</v>
      </c>
      <c r="AA14" s="113">
        <v>0.8</v>
      </c>
      <c r="AB14" s="113">
        <v>0</v>
      </c>
      <c r="AC14" s="113">
        <v>0</v>
      </c>
      <c r="AD14" s="113">
        <v>0</v>
      </c>
      <c r="AE14" s="113">
        <v>0</v>
      </c>
      <c r="AF14" s="113">
        <v>0.8</v>
      </c>
      <c r="AG14" s="113">
        <v>0.8</v>
      </c>
      <c r="AH14" s="113">
        <v>0</v>
      </c>
      <c r="AI14" s="113">
        <v>0.8</v>
      </c>
      <c r="AJ14" s="113">
        <v>0.8</v>
      </c>
      <c r="AK14" s="113">
        <v>0</v>
      </c>
      <c r="AL14" s="113">
        <v>0.8</v>
      </c>
      <c r="AM14" s="113">
        <v>0.8</v>
      </c>
      <c r="AN14" s="113">
        <v>0</v>
      </c>
      <c r="AO14" s="113">
        <v>0</v>
      </c>
      <c r="AP14" s="113">
        <v>0</v>
      </c>
    </row>
    <row r="15" spans="1:42" customFormat="1" x14ac:dyDescent="0.15">
      <c r="A15" s="160" t="s">
        <v>205</v>
      </c>
      <c r="B15" s="113">
        <v>0</v>
      </c>
      <c r="C15" s="113">
        <v>0</v>
      </c>
      <c r="D15" s="113">
        <v>0</v>
      </c>
      <c r="E15" s="113">
        <v>0</v>
      </c>
      <c r="F15" s="113">
        <v>0</v>
      </c>
      <c r="G15" s="113">
        <v>0</v>
      </c>
      <c r="H15" s="113">
        <v>0</v>
      </c>
      <c r="I15" s="113">
        <v>0</v>
      </c>
      <c r="J15" s="113">
        <v>0</v>
      </c>
      <c r="K15" s="113">
        <v>0</v>
      </c>
      <c r="L15" s="113">
        <v>0</v>
      </c>
      <c r="M15" s="113">
        <v>0</v>
      </c>
      <c r="N15" s="113">
        <v>0.8</v>
      </c>
      <c r="O15" s="113">
        <v>0</v>
      </c>
      <c r="P15" s="113">
        <v>0.8</v>
      </c>
      <c r="Q15" s="113">
        <v>0</v>
      </c>
      <c r="R15" s="113">
        <v>0.8</v>
      </c>
      <c r="S15" s="113">
        <v>0.8</v>
      </c>
      <c r="T15" s="113">
        <v>0</v>
      </c>
      <c r="U15" s="113">
        <v>0.8</v>
      </c>
      <c r="V15" s="113">
        <v>0</v>
      </c>
      <c r="W15" s="113">
        <v>0</v>
      </c>
      <c r="X15" s="113">
        <v>0</v>
      </c>
      <c r="Y15" s="113">
        <v>0</v>
      </c>
      <c r="Z15" s="113">
        <v>0.8</v>
      </c>
      <c r="AA15" s="113">
        <v>0.8</v>
      </c>
      <c r="AB15" s="113">
        <v>0</v>
      </c>
      <c r="AC15" s="113">
        <v>0</v>
      </c>
      <c r="AD15" s="113">
        <v>0</v>
      </c>
      <c r="AE15" s="113">
        <v>0</v>
      </c>
      <c r="AF15" s="113">
        <v>0</v>
      </c>
      <c r="AG15" s="113">
        <v>0</v>
      </c>
      <c r="AH15" s="113">
        <v>0</v>
      </c>
      <c r="AI15" s="113">
        <v>0.8</v>
      </c>
      <c r="AJ15" s="113">
        <v>0</v>
      </c>
      <c r="AK15" s="113">
        <v>0</v>
      </c>
      <c r="AL15" s="113">
        <v>0</v>
      </c>
      <c r="AM15" s="113">
        <v>0</v>
      </c>
      <c r="AN15" s="113">
        <v>0</v>
      </c>
      <c r="AO15" s="113">
        <v>0</v>
      </c>
      <c r="AP15" s="113">
        <v>0</v>
      </c>
    </row>
    <row r="16" spans="1:42" customFormat="1" x14ac:dyDescent="0.15">
      <c r="A16" s="160" t="s">
        <v>206</v>
      </c>
      <c r="B16" s="113">
        <v>0</v>
      </c>
      <c r="C16" s="113">
        <v>0</v>
      </c>
      <c r="D16" s="113">
        <v>0</v>
      </c>
      <c r="E16" s="113">
        <v>0</v>
      </c>
      <c r="F16" s="113">
        <v>0</v>
      </c>
      <c r="G16" s="113">
        <v>0</v>
      </c>
      <c r="H16" s="113">
        <v>0</v>
      </c>
      <c r="I16" s="113">
        <v>0</v>
      </c>
      <c r="J16" s="113">
        <v>0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0.8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0.8</v>
      </c>
      <c r="AA16" s="113">
        <v>0</v>
      </c>
      <c r="AB16" s="113">
        <v>0</v>
      </c>
      <c r="AC16" s="113">
        <v>0</v>
      </c>
      <c r="AD16" s="113">
        <v>0</v>
      </c>
      <c r="AE16" s="113">
        <v>0</v>
      </c>
      <c r="AF16" s="113">
        <v>0</v>
      </c>
      <c r="AG16" s="113">
        <v>0</v>
      </c>
      <c r="AH16" s="113">
        <v>0</v>
      </c>
      <c r="AI16" s="113">
        <v>0</v>
      </c>
      <c r="AJ16" s="113">
        <v>0</v>
      </c>
      <c r="AK16" s="113">
        <v>0</v>
      </c>
      <c r="AL16" s="113">
        <v>0</v>
      </c>
      <c r="AM16" s="113">
        <v>0</v>
      </c>
      <c r="AN16" s="113">
        <v>0</v>
      </c>
      <c r="AO16" s="113">
        <v>0</v>
      </c>
      <c r="AP16" s="113">
        <v>0</v>
      </c>
    </row>
    <row r="17" spans="1:42" customFormat="1" x14ac:dyDescent="0.15">
      <c r="A17" s="160" t="s">
        <v>207</v>
      </c>
      <c r="B17" s="113">
        <v>0</v>
      </c>
      <c r="C17" s="113">
        <v>0</v>
      </c>
      <c r="D17" s="113">
        <v>0</v>
      </c>
      <c r="E17" s="113">
        <v>0</v>
      </c>
      <c r="F17" s="113">
        <v>0</v>
      </c>
      <c r="G17" s="113">
        <v>0</v>
      </c>
      <c r="H17" s="113">
        <v>0</v>
      </c>
      <c r="I17" s="113">
        <v>0.8</v>
      </c>
      <c r="J17" s="113">
        <v>0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0.8</v>
      </c>
      <c r="Q17" s="113">
        <v>0.8</v>
      </c>
      <c r="R17" s="113">
        <v>0</v>
      </c>
      <c r="S17" s="113">
        <v>0.8</v>
      </c>
      <c r="T17" s="113">
        <v>0.8</v>
      </c>
      <c r="U17" s="113">
        <v>0.8</v>
      </c>
      <c r="V17" s="113">
        <v>0.8</v>
      </c>
      <c r="W17" s="113">
        <v>0</v>
      </c>
      <c r="X17" s="113">
        <v>0</v>
      </c>
      <c r="Y17" s="113">
        <v>0</v>
      </c>
      <c r="Z17" s="113">
        <v>0.8</v>
      </c>
      <c r="AA17" s="113">
        <v>0.8</v>
      </c>
      <c r="AB17" s="113">
        <v>0</v>
      </c>
      <c r="AC17" s="113">
        <v>0</v>
      </c>
      <c r="AD17" s="113">
        <v>0</v>
      </c>
      <c r="AE17" s="113">
        <v>0</v>
      </c>
      <c r="AF17" s="113">
        <v>0.8</v>
      </c>
      <c r="AG17" s="113">
        <v>0</v>
      </c>
      <c r="AH17" s="113">
        <v>0</v>
      </c>
      <c r="AI17" s="113">
        <v>0</v>
      </c>
      <c r="AJ17" s="113">
        <v>0</v>
      </c>
      <c r="AK17" s="113">
        <v>0</v>
      </c>
      <c r="AL17" s="113">
        <v>0</v>
      </c>
      <c r="AM17" s="113">
        <v>0.8</v>
      </c>
      <c r="AN17" s="113">
        <v>0</v>
      </c>
      <c r="AO17" s="113">
        <v>0</v>
      </c>
      <c r="AP17" s="113">
        <v>0</v>
      </c>
    </row>
    <row r="18" spans="1:42" customFormat="1" x14ac:dyDescent="0.15">
      <c r="A18" s="160" t="s">
        <v>208</v>
      </c>
      <c r="B18" s="113">
        <v>0</v>
      </c>
      <c r="C18" s="113">
        <v>0</v>
      </c>
      <c r="D18" s="113">
        <v>0</v>
      </c>
      <c r="E18" s="113">
        <v>0</v>
      </c>
      <c r="F18" s="113">
        <v>0</v>
      </c>
      <c r="G18" s="113">
        <v>0</v>
      </c>
      <c r="H18" s="113">
        <v>0</v>
      </c>
      <c r="I18" s="113">
        <v>0</v>
      </c>
      <c r="J18" s="113">
        <v>0</v>
      </c>
      <c r="K18" s="113">
        <v>0</v>
      </c>
      <c r="L18" s="113">
        <v>0</v>
      </c>
      <c r="M18" s="113">
        <v>0.8</v>
      </c>
      <c r="N18" s="113">
        <v>0.8</v>
      </c>
      <c r="O18" s="113">
        <v>0</v>
      </c>
      <c r="P18" s="113">
        <v>0.8</v>
      </c>
      <c r="Q18" s="113">
        <v>0.8</v>
      </c>
      <c r="R18" s="113">
        <v>0.8</v>
      </c>
      <c r="S18" s="113">
        <v>0.8</v>
      </c>
      <c r="T18" s="113">
        <v>0</v>
      </c>
      <c r="U18" s="113">
        <v>0.8</v>
      </c>
      <c r="V18" s="113">
        <v>0</v>
      </c>
      <c r="W18" s="113">
        <v>0</v>
      </c>
      <c r="X18" s="113">
        <v>0</v>
      </c>
      <c r="Y18" s="113">
        <v>0</v>
      </c>
      <c r="Z18" s="113">
        <v>0.8</v>
      </c>
      <c r="AA18" s="113">
        <v>0.8</v>
      </c>
      <c r="AB18" s="113">
        <v>0</v>
      </c>
      <c r="AC18" s="113">
        <v>0</v>
      </c>
      <c r="AD18" s="113">
        <v>0</v>
      </c>
      <c r="AE18" s="113">
        <v>0</v>
      </c>
      <c r="AF18" s="113">
        <v>0.8</v>
      </c>
      <c r="AG18" s="113">
        <v>0.8</v>
      </c>
      <c r="AH18" s="113">
        <v>0</v>
      </c>
      <c r="AI18" s="113">
        <v>0.8</v>
      </c>
      <c r="AJ18" s="113">
        <v>0</v>
      </c>
      <c r="AK18" s="113">
        <v>0</v>
      </c>
      <c r="AL18" s="113">
        <v>0</v>
      </c>
      <c r="AM18" s="113">
        <v>0.8</v>
      </c>
      <c r="AN18" s="113">
        <v>0</v>
      </c>
      <c r="AO18" s="113">
        <v>0</v>
      </c>
      <c r="AP18" s="113">
        <v>0</v>
      </c>
    </row>
    <row r="19" spans="1:42" customFormat="1" x14ac:dyDescent="0.15">
      <c r="A19" s="160" t="s">
        <v>209</v>
      </c>
      <c r="B19" s="113">
        <v>0</v>
      </c>
      <c r="C19" s="113">
        <v>0</v>
      </c>
      <c r="D19" s="113">
        <v>0</v>
      </c>
      <c r="E19" s="113">
        <v>0</v>
      </c>
      <c r="F19" s="113">
        <v>0</v>
      </c>
      <c r="G19" s="113">
        <v>0</v>
      </c>
      <c r="H19" s="113">
        <v>0</v>
      </c>
      <c r="I19" s="113">
        <v>0</v>
      </c>
      <c r="J19" s="113">
        <v>0</v>
      </c>
      <c r="K19" s="113">
        <v>0</v>
      </c>
      <c r="L19" s="113">
        <v>0</v>
      </c>
      <c r="M19" s="113">
        <v>0</v>
      </c>
      <c r="N19" s="113">
        <v>0.8</v>
      </c>
      <c r="O19" s="113">
        <v>0</v>
      </c>
      <c r="P19" s="113">
        <v>0.8</v>
      </c>
      <c r="Q19" s="113">
        <v>0</v>
      </c>
      <c r="R19" s="113">
        <v>0</v>
      </c>
      <c r="S19" s="113">
        <v>0.8</v>
      </c>
      <c r="T19" s="113">
        <v>0</v>
      </c>
      <c r="U19" s="113">
        <v>0.8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0.8</v>
      </c>
      <c r="AB19" s="113">
        <v>0</v>
      </c>
      <c r="AC19" s="113">
        <v>0</v>
      </c>
      <c r="AD19" s="113">
        <v>0</v>
      </c>
      <c r="AE19" s="113">
        <v>0</v>
      </c>
      <c r="AF19" s="113">
        <v>0</v>
      </c>
      <c r="AG19" s="113">
        <v>0</v>
      </c>
      <c r="AH19" s="113">
        <v>0</v>
      </c>
      <c r="AI19" s="113">
        <v>0</v>
      </c>
      <c r="AJ19" s="113">
        <v>0.8</v>
      </c>
      <c r="AK19" s="113">
        <v>0</v>
      </c>
      <c r="AL19" s="113">
        <v>0</v>
      </c>
      <c r="AM19" s="113">
        <v>0.8</v>
      </c>
      <c r="AN19" s="113">
        <v>0</v>
      </c>
      <c r="AO19" s="113">
        <v>0</v>
      </c>
      <c r="AP19" s="113">
        <v>0</v>
      </c>
    </row>
    <row r="20" spans="1:42" customFormat="1" x14ac:dyDescent="0.15">
      <c r="A20" s="160" t="s">
        <v>210</v>
      </c>
      <c r="B20" s="113">
        <v>0</v>
      </c>
      <c r="C20" s="113">
        <v>0</v>
      </c>
      <c r="D20" s="113">
        <v>0</v>
      </c>
      <c r="E20" s="113">
        <v>0</v>
      </c>
      <c r="F20" s="113">
        <v>0</v>
      </c>
      <c r="G20" s="113">
        <v>0</v>
      </c>
      <c r="H20" s="113">
        <v>0</v>
      </c>
      <c r="I20" s="113">
        <v>0.8</v>
      </c>
      <c r="J20" s="113">
        <v>0.8</v>
      </c>
      <c r="K20" s="113">
        <v>0</v>
      </c>
      <c r="L20" s="113">
        <v>0</v>
      </c>
      <c r="M20" s="113">
        <v>0.8</v>
      </c>
      <c r="N20" s="113">
        <v>0</v>
      </c>
      <c r="O20" s="113">
        <v>0</v>
      </c>
      <c r="P20" s="113">
        <v>0</v>
      </c>
      <c r="Q20" s="113">
        <v>0.8</v>
      </c>
      <c r="R20" s="113">
        <v>0.8</v>
      </c>
      <c r="S20" s="113">
        <v>0.8</v>
      </c>
      <c r="T20" s="113">
        <v>0.8</v>
      </c>
      <c r="U20" s="113">
        <v>0.8</v>
      </c>
      <c r="V20" s="113">
        <v>0.8</v>
      </c>
      <c r="W20" s="113">
        <v>0</v>
      </c>
      <c r="X20" s="113">
        <v>0</v>
      </c>
      <c r="Y20" s="113">
        <v>0</v>
      </c>
      <c r="Z20" s="113">
        <v>0</v>
      </c>
      <c r="AA20" s="113">
        <v>0.8</v>
      </c>
      <c r="AB20" s="113">
        <v>0</v>
      </c>
      <c r="AC20" s="113">
        <v>0</v>
      </c>
      <c r="AD20" s="113">
        <v>0</v>
      </c>
      <c r="AE20" s="113">
        <v>0</v>
      </c>
      <c r="AF20" s="113">
        <v>0</v>
      </c>
      <c r="AG20" s="113">
        <v>0</v>
      </c>
      <c r="AH20" s="113">
        <v>0</v>
      </c>
      <c r="AI20" s="113">
        <v>0</v>
      </c>
      <c r="AJ20" s="113">
        <v>0</v>
      </c>
      <c r="AK20" s="113">
        <v>0</v>
      </c>
      <c r="AL20" s="113">
        <v>0</v>
      </c>
      <c r="AM20" s="113">
        <v>0</v>
      </c>
      <c r="AN20" s="113">
        <v>0</v>
      </c>
      <c r="AO20" s="113">
        <v>0</v>
      </c>
      <c r="AP20" s="113">
        <v>0</v>
      </c>
    </row>
    <row r="21" spans="1:42" customFormat="1" x14ac:dyDescent="0.15">
      <c r="A21" s="160" t="s">
        <v>211</v>
      </c>
      <c r="B21" s="113">
        <v>0</v>
      </c>
      <c r="C21" s="113">
        <v>0</v>
      </c>
      <c r="D21" s="113">
        <v>0</v>
      </c>
      <c r="E21" s="113">
        <v>0</v>
      </c>
      <c r="F21" s="113">
        <v>0</v>
      </c>
      <c r="G21" s="113">
        <v>0</v>
      </c>
      <c r="H21" s="113">
        <v>0</v>
      </c>
      <c r="I21" s="113">
        <v>0</v>
      </c>
      <c r="J21" s="113">
        <v>0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0.8</v>
      </c>
      <c r="Q21" s="113">
        <v>0.8</v>
      </c>
      <c r="R21" s="113">
        <v>0</v>
      </c>
      <c r="S21" s="113">
        <v>0.8</v>
      </c>
      <c r="T21" s="113">
        <v>0</v>
      </c>
      <c r="U21" s="113">
        <v>0.8</v>
      </c>
      <c r="V21" s="113">
        <v>0.8</v>
      </c>
      <c r="W21" s="113">
        <v>0</v>
      </c>
      <c r="X21" s="113">
        <v>0</v>
      </c>
      <c r="Y21" s="113">
        <v>0</v>
      </c>
      <c r="Z21" s="113">
        <v>0</v>
      </c>
      <c r="AA21" s="113">
        <v>0.8</v>
      </c>
      <c r="AB21" s="113">
        <v>0</v>
      </c>
      <c r="AC21" s="113">
        <v>0</v>
      </c>
      <c r="AD21" s="113">
        <v>0</v>
      </c>
      <c r="AE21" s="113">
        <v>0</v>
      </c>
      <c r="AF21" s="113">
        <v>0</v>
      </c>
      <c r="AG21" s="113">
        <v>0</v>
      </c>
      <c r="AH21" s="113">
        <v>0</v>
      </c>
      <c r="AI21" s="113">
        <v>0</v>
      </c>
      <c r="AJ21" s="113">
        <v>0.8</v>
      </c>
      <c r="AK21" s="113">
        <v>0</v>
      </c>
      <c r="AL21" s="113">
        <v>0</v>
      </c>
      <c r="AM21" s="113">
        <v>0.8</v>
      </c>
      <c r="AN21" s="113">
        <v>0</v>
      </c>
      <c r="AO21" s="113">
        <v>0</v>
      </c>
      <c r="AP21" s="113">
        <v>0</v>
      </c>
    </row>
    <row r="22" spans="1:42" customFormat="1" x14ac:dyDescent="0.15">
      <c r="A22" s="160" t="s">
        <v>212</v>
      </c>
      <c r="B22" s="113">
        <v>0</v>
      </c>
      <c r="C22" s="113">
        <v>0</v>
      </c>
      <c r="D22" s="113">
        <v>0</v>
      </c>
      <c r="E22" s="113">
        <v>0</v>
      </c>
      <c r="F22" s="113">
        <v>0</v>
      </c>
      <c r="G22" s="113">
        <v>0</v>
      </c>
      <c r="H22" s="113">
        <v>0</v>
      </c>
      <c r="I22" s="113">
        <v>0</v>
      </c>
      <c r="J22" s="113">
        <v>0.8</v>
      </c>
      <c r="K22" s="113">
        <v>0</v>
      </c>
      <c r="L22" s="113">
        <v>0</v>
      </c>
      <c r="M22" s="113">
        <v>0.8</v>
      </c>
      <c r="N22" s="113">
        <v>0</v>
      </c>
      <c r="O22" s="113">
        <v>0</v>
      </c>
      <c r="P22" s="113">
        <v>0.8</v>
      </c>
      <c r="Q22" s="113">
        <v>0.8</v>
      </c>
      <c r="R22" s="113">
        <v>0.8</v>
      </c>
      <c r="S22" s="113">
        <v>0.8</v>
      </c>
      <c r="T22" s="113">
        <v>0.8</v>
      </c>
      <c r="U22" s="113">
        <v>0.8</v>
      </c>
      <c r="V22" s="113">
        <v>0.8</v>
      </c>
      <c r="W22" s="113">
        <v>0</v>
      </c>
      <c r="X22" s="113">
        <v>0</v>
      </c>
      <c r="Y22" s="113">
        <v>0</v>
      </c>
      <c r="Z22" s="113">
        <v>0</v>
      </c>
      <c r="AA22" s="113">
        <v>0.8</v>
      </c>
      <c r="AB22" s="113">
        <v>0</v>
      </c>
      <c r="AC22" s="113">
        <v>0</v>
      </c>
      <c r="AD22" s="113">
        <v>0</v>
      </c>
      <c r="AE22" s="113">
        <v>0</v>
      </c>
      <c r="AF22" s="113">
        <v>0.8</v>
      </c>
      <c r="AG22" s="113">
        <v>0</v>
      </c>
      <c r="AH22" s="113">
        <v>0</v>
      </c>
      <c r="AI22" s="113">
        <v>0</v>
      </c>
      <c r="AJ22" s="113">
        <v>0</v>
      </c>
      <c r="AK22" s="113">
        <v>0</v>
      </c>
      <c r="AL22" s="113">
        <v>0</v>
      </c>
      <c r="AM22" s="113">
        <v>0.8</v>
      </c>
      <c r="AN22" s="113">
        <v>0</v>
      </c>
      <c r="AO22" s="113">
        <v>0</v>
      </c>
      <c r="AP22" s="113">
        <v>0</v>
      </c>
    </row>
    <row r="23" spans="1:42" customFormat="1" x14ac:dyDescent="0.15">
      <c r="A23" s="160" t="s">
        <v>213</v>
      </c>
      <c r="B23" s="113">
        <v>0</v>
      </c>
      <c r="C23" s="113">
        <v>0</v>
      </c>
      <c r="D23" s="113">
        <v>0</v>
      </c>
      <c r="E23" s="113">
        <v>0</v>
      </c>
      <c r="F23" s="113">
        <v>0</v>
      </c>
      <c r="G23" s="113">
        <v>0</v>
      </c>
      <c r="H23" s="113">
        <v>0</v>
      </c>
      <c r="I23" s="113">
        <v>0</v>
      </c>
      <c r="J23" s="113">
        <v>0.8</v>
      </c>
      <c r="K23" s="113">
        <v>0</v>
      </c>
      <c r="L23" s="113">
        <v>0</v>
      </c>
      <c r="M23" s="113">
        <v>0.8</v>
      </c>
      <c r="N23" s="113">
        <v>0</v>
      </c>
      <c r="O23" s="113">
        <v>0</v>
      </c>
      <c r="P23" s="113">
        <v>0.8</v>
      </c>
      <c r="Q23" s="113">
        <v>0.8</v>
      </c>
      <c r="R23" s="113">
        <v>0.8</v>
      </c>
      <c r="S23" s="113">
        <v>0.8</v>
      </c>
      <c r="T23" s="113">
        <v>0.8</v>
      </c>
      <c r="U23" s="113">
        <v>0.8</v>
      </c>
      <c r="V23" s="113">
        <v>0.8</v>
      </c>
      <c r="W23" s="113">
        <v>0</v>
      </c>
      <c r="X23" s="113">
        <v>0</v>
      </c>
      <c r="Y23" s="113">
        <v>0</v>
      </c>
      <c r="Z23" s="113">
        <v>0</v>
      </c>
      <c r="AA23" s="113">
        <v>0.8</v>
      </c>
      <c r="AB23" s="113">
        <v>0</v>
      </c>
      <c r="AC23" s="113">
        <v>0</v>
      </c>
      <c r="AD23" s="113">
        <v>0</v>
      </c>
      <c r="AE23" s="113">
        <v>0</v>
      </c>
      <c r="AF23" s="113">
        <v>0</v>
      </c>
      <c r="AG23" s="113">
        <v>0.8</v>
      </c>
      <c r="AH23" s="113">
        <v>0</v>
      </c>
      <c r="AI23" s="113">
        <v>0</v>
      </c>
      <c r="AJ23" s="113">
        <v>0</v>
      </c>
      <c r="AK23" s="113">
        <v>0</v>
      </c>
      <c r="AL23" s="113">
        <v>0</v>
      </c>
      <c r="AM23" s="113">
        <v>0.8</v>
      </c>
      <c r="AN23" s="113">
        <v>0</v>
      </c>
      <c r="AO23" s="113">
        <v>0</v>
      </c>
      <c r="AP23" s="113">
        <v>0</v>
      </c>
    </row>
    <row r="24" spans="1:42" customFormat="1" x14ac:dyDescent="0.15">
      <c r="A24" s="160" t="s">
        <v>214</v>
      </c>
      <c r="B24" s="113">
        <v>0</v>
      </c>
      <c r="C24" s="113">
        <v>0</v>
      </c>
      <c r="D24" s="113">
        <v>0</v>
      </c>
      <c r="E24" s="113">
        <v>0</v>
      </c>
      <c r="F24" s="113">
        <v>0</v>
      </c>
      <c r="G24" s="113">
        <v>0</v>
      </c>
      <c r="H24" s="113">
        <v>0</v>
      </c>
      <c r="I24" s="113">
        <v>0.8</v>
      </c>
      <c r="J24" s="113">
        <v>0</v>
      </c>
      <c r="K24" s="113">
        <v>0</v>
      </c>
      <c r="L24" s="113">
        <v>0</v>
      </c>
      <c r="M24" s="113">
        <v>0</v>
      </c>
      <c r="N24" s="113">
        <v>0.8</v>
      </c>
      <c r="O24" s="113">
        <v>0</v>
      </c>
      <c r="P24" s="113">
        <v>0.8</v>
      </c>
      <c r="Q24" s="113">
        <v>0</v>
      </c>
      <c r="R24" s="113">
        <v>0.8</v>
      </c>
      <c r="S24" s="113">
        <v>0.8</v>
      </c>
      <c r="T24" s="113">
        <v>0</v>
      </c>
      <c r="U24" s="113">
        <v>0.8</v>
      </c>
      <c r="V24" s="113">
        <v>0.8</v>
      </c>
      <c r="W24" s="113">
        <v>0</v>
      </c>
      <c r="X24" s="113">
        <v>0</v>
      </c>
      <c r="Y24" s="113">
        <v>0</v>
      </c>
      <c r="Z24" s="113">
        <v>0.8</v>
      </c>
      <c r="AA24" s="113">
        <v>0.8</v>
      </c>
      <c r="AB24" s="113">
        <v>0</v>
      </c>
      <c r="AC24" s="113">
        <v>0</v>
      </c>
      <c r="AD24" s="113">
        <v>0</v>
      </c>
      <c r="AE24" s="113">
        <v>0</v>
      </c>
      <c r="AF24" s="113">
        <v>0.8</v>
      </c>
      <c r="AG24" s="113">
        <v>0.8</v>
      </c>
      <c r="AH24" s="113">
        <v>0</v>
      </c>
      <c r="AI24" s="113">
        <v>0</v>
      </c>
      <c r="AJ24" s="113">
        <v>0.8</v>
      </c>
      <c r="AK24" s="113">
        <v>0</v>
      </c>
      <c r="AL24" s="113">
        <v>0</v>
      </c>
      <c r="AM24" s="113">
        <v>0.8</v>
      </c>
      <c r="AN24" s="113">
        <v>0</v>
      </c>
      <c r="AO24" s="113">
        <v>0</v>
      </c>
      <c r="AP24" s="113">
        <v>0</v>
      </c>
    </row>
    <row r="25" spans="1:42" customFormat="1" x14ac:dyDescent="0.15">
      <c r="A25" s="160" t="s">
        <v>215</v>
      </c>
      <c r="B25" s="113">
        <v>0</v>
      </c>
      <c r="C25" s="113">
        <v>0</v>
      </c>
      <c r="D25" s="113">
        <v>0</v>
      </c>
      <c r="E25" s="113">
        <v>0</v>
      </c>
      <c r="F25" s="113">
        <v>0</v>
      </c>
      <c r="G25" s="113">
        <v>0</v>
      </c>
      <c r="H25" s="113">
        <v>0</v>
      </c>
      <c r="I25" s="113">
        <v>0</v>
      </c>
      <c r="J25" s="113">
        <v>0</v>
      </c>
      <c r="K25" s="113">
        <v>0</v>
      </c>
      <c r="L25" s="113">
        <v>0</v>
      </c>
      <c r="M25" s="113">
        <v>0.8</v>
      </c>
      <c r="N25" s="113">
        <v>0.8</v>
      </c>
      <c r="O25" s="113">
        <v>0</v>
      </c>
      <c r="P25" s="113">
        <v>0.8</v>
      </c>
      <c r="Q25" s="113">
        <v>0</v>
      </c>
      <c r="R25" s="113">
        <v>0.8</v>
      </c>
      <c r="S25" s="113">
        <v>0.8</v>
      </c>
      <c r="T25" s="113">
        <v>0</v>
      </c>
      <c r="U25" s="113">
        <v>0.8</v>
      </c>
      <c r="V25" s="113">
        <v>0.8</v>
      </c>
      <c r="W25" s="113">
        <v>0</v>
      </c>
      <c r="X25" s="113">
        <v>0</v>
      </c>
      <c r="Y25" s="113">
        <v>0</v>
      </c>
      <c r="Z25" s="113">
        <v>0</v>
      </c>
      <c r="AA25" s="113">
        <v>0.8</v>
      </c>
      <c r="AB25" s="113">
        <v>0</v>
      </c>
      <c r="AC25" s="113">
        <v>0</v>
      </c>
      <c r="AD25" s="113">
        <v>0</v>
      </c>
      <c r="AE25" s="113">
        <v>0</v>
      </c>
      <c r="AF25" s="113">
        <v>0</v>
      </c>
      <c r="AG25" s="113">
        <v>0</v>
      </c>
      <c r="AH25" s="113">
        <v>0</v>
      </c>
      <c r="AI25" s="113">
        <v>0.8</v>
      </c>
      <c r="AJ25" s="113">
        <v>0</v>
      </c>
      <c r="AK25" s="113">
        <v>0</v>
      </c>
      <c r="AL25" s="113">
        <v>0</v>
      </c>
      <c r="AM25" s="113">
        <v>0.8</v>
      </c>
      <c r="AN25" s="113">
        <v>0</v>
      </c>
      <c r="AO25" s="113">
        <v>0</v>
      </c>
      <c r="AP25" s="113">
        <v>0</v>
      </c>
    </row>
    <row r="26" spans="1:42" customFormat="1" x14ac:dyDescent="0.15">
      <c r="A26" s="160" t="s">
        <v>216</v>
      </c>
      <c r="B26" s="113">
        <v>0</v>
      </c>
      <c r="C26" s="113">
        <v>0</v>
      </c>
      <c r="D26" s="113">
        <v>0</v>
      </c>
      <c r="E26" s="113">
        <v>0</v>
      </c>
      <c r="F26" s="113">
        <v>0</v>
      </c>
      <c r="G26" s="113">
        <v>0</v>
      </c>
      <c r="H26" s="113">
        <v>0</v>
      </c>
      <c r="I26" s="113">
        <v>0</v>
      </c>
      <c r="J26" s="113">
        <v>0</v>
      </c>
      <c r="K26" s="113">
        <v>0</v>
      </c>
      <c r="L26" s="113">
        <v>0</v>
      </c>
      <c r="M26" s="113">
        <v>0</v>
      </c>
      <c r="N26" s="113">
        <v>0.8</v>
      </c>
      <c r="O26" s="113">
        <v>0</v>
      </c>
      <c r="P26" s="113">
        <v>0.8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0.8</v>
      </c>
      <c r="AA26" s="113">
        <v>0</v>
      </c>
      <c r="AB26" s="113">
        <v>0</v>
      </c>
      <c r="AC26" s="113">
        <v>0</v>
      </c>
      <c r="AD26" s="113">
        <v>0</v>
      </c>
      <c r="AE26" s="113">
        <v>0</v>
      </c>
      <c r="AF26" s="113">
        <v>0</v>
      </c>
      <c r="AG26" s="113">
        <v>0</v>
      </c>
      <c r="AH26" s="113">
        <v>0</v>
      </c>
      <c r="AI26" s="113">
        <v>0</v>
      </c>
      <c r="AJ26" s="113">
        <v>0</v>
      </c>
      <c r="AK26" s="113">
        <v>0</v>
      </c>
      <c r="AL26" s="113">
        <v>0</v>
      </c>
      <c r="AM26" s="113">
        <v>0</v>
      </c>
      <c r="AN26" s="113">
        <v>0</v>
      </c>
      <c r="AO26" s="113">
        <v>0</v>
      </c>
      <c r="AP26" s="113">
        <v>0</v>
      </c>
    </row>
    <row r="27" spans="1:42" customFormat="1" x14ac:dyDescent="0.15">
      <c r="A27" s="160" t="s">
        <v>217</v>
      </c>
      <c r="B27" s="113">
        <v>0</v>
      </c>
      <c r="C27" s="113">
        <v>0</v>
      </c>
      <c r="D27" s="113">
        <v>0</v>
      </c>
      <c r="E27" s="113">
        <v>0</v>
      </c>
      <c r="F27" s="113">
        <v>0</v>
      </c>
      <c r="G27" s="113">
        <v>0</v>
      </c>
      <c r="H27" s="113">
        <v>0</v>
      </c>
      <c r="I27" s="113">
        <v>0</v>
      </c>
      <c r="J27" s="113">
        <v>0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0.8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0.8</v>
      </c>
      <c r="AA27" s="113">
        <v>0</v>
      </c>
      <c r="AB27" s="113">
        <v>0</v>
      </c>
      <c r="AC27" s="113">
        <v>0</v>
      </c>
      <c r="AD27" s="113">
        <v>0</v>
      </c>
      <c r="AE27" s="113">
        <v>0</v>
      </c>
      <c r="AF27" s="113">
        <v>0</v>
      </c>
      <c r="AG27" s="113">
        <v>0</v>
      </c>
      <c r="AH27" s="113">
        <v>0</v>
      </c>
      <c r="AI27" s="113">
        <v>0</v>
      </c>
      <c r="AJ27" s="113">
        <v>0</v>
      </c>
      <c r="AK27" s="113">
        <v>0</v>
      </c>
      <c r="AL27" s="113">
        <v>0</v>
      </c>
      <c r="AM27" s="113">
        <v>0</v>
      </c>
      <c r="AN27" s="113">
        <v>0</v>
      </c>
      <c r="AO27" s="113">
        <v>0</v>
      </c>
      <c r="AP27" s="113">
        <v>0</v>
      </c>
    </row>
    <row r="28" spans="1:42" customFormat="1" x14ac:dyDescent="0.15">
      <c r="A28" s="160" t="s">
        <v>218</v>
      </c>
      <c r="B28" s="113">
        <v>0</v>
      </c>
      <c r="C28" s="113">
        <v>0</v>
      </c>
      <c r="D28" s="113">
        <v>0</v>
      </c>
      <c r="E28" s="113">
        <v>0</v>
      </c>
      <c r="F28" s="113">
        <v>0</v>
      </c>
      <c r="G28" s="113">
        <v>0</v>
      </c>
      <c r="H28" s="113">
        <v>0</v>
      </c>
      <c r="I28" s="113">
        <v>0</v>
      </c>
      <c r="J28" s="113">
        <v>0</v>
      </c>
      <c r="K28" s="113">
        <v>0</v>
      </c>
      <c r="L28" s="113">
        <v>0</v>
      </c>
      <c r="M28" s="113">
        <v>0</v>
      </c>
      <c r="N28" s="113">
        <v>0.8</v>
      </c>
      <c r="O28" s="113">
        <v>0</v>
      </c>
      <c r="P28" s="113">
        <v>0.8</v>
      </c>
      <c r="Q28" s="113">
        <v>0.8</v>
      </c>
      <c r="R28" s="113">
        <v>0.8</v>
      </c>
      <c r="S28" s="113">
        <v>0.8</v>
      </c>
      <c r="T28" s="113">
        <v>0</v>
      </c>
      <c r="U28" s="113">
        <v>0.8</v>
      </c>
      <c r="V28" s="113">
        <v>0.8</v>
      </c>
      <c r="W28" s="113">
        <v>0</v>
      </c>
      <c r="X28" s="113">
        <v>0</v>
      </c>
      <c r="Y28" s="113">
        <v>0</v>
      </c>
      <c r="Z28" s="113">
        <v>0.8</v>
      </c>
      <c r="AA28" s="113">
        <v>0.8</v>
      </c>
      <c r="AB28" s="113">
        <v>0</v>
      </c>
      <c r="AC28" s="113">
        <v>0</v>
      </c>
      <c r="AD28" s="113">
        <v>0</v>
      </c>
      <c r="AE28" s="113">
        <v>0</v>
      </c>
      <c r="AF28" s="113">
        <v>0.8</v>
      </c>
      <c r="AG28" s="113">
        <v>0.8</v>
      </c>
      <c r="AH28" s="113">
        <v>0</v>
      </c>
      <c r="AI28" s="113">
        <v>0.8</v>
      </c>
      <c r="AJ28" s="113">
        <v>0.8</v>
      </c>
      <c r="AK28" s="113">
        <v>0</v>
      </c>
      <c r="AL28" s="113">
        <v>0</v>
      </c>
      <c r="AM28" s="113">
        <v>0.8</v>
      </c>
      <c r="AN28" s="113">
        <v>0</v>
      </c>
      <c r="AO28" s="113">
        <v>0</v>
      </c>
      <c r="AP28" s="113">
        <v>0</v>
      </c>
    </row>
    <row r="29" spans="1:42" customFormat="1" x14ac:dyDescent="0.15">
      <c r="A29" s="160" t="s">
        <v>219</v>
      </c>
      <c r="B29" s="113">
        <v>0</v>
      </c>
      <c r="C29" s="113">
        <v>0</v>
      </c>
      <c r="D29" s="113">
        <v>0</v>
      </c>
      <c r="E29" s="113">
        <v>0</v>
      </c>
      <c r="F29" s="113">
        <v>0</v>
      </c>
      <c r="G29" s="113">
        <v>0</v>
      </c>
      <c r="H29" s="113">
        <v>0</v>
      </c>
      <c r="I29" s="113">
        <v>0</v>
      </c>
      <c r="J29" s="113">
        <v>0</v>
      </c>
      <c r="K29" s="113">
        <v>0</v>
      </c>
      <c r="L29" s="113">
        <v>0</v>
      </c>
      <c r="M29" s="113">
        <v>0</v>
      </c>
      <c r="N29" s="113">
        <v>0.8</v>
      </c>
      <c r="O29" s="113">
        <v>0</v>
      </c>
      <c r="P29" s="113">
        <v>0.8</v>
      </c>
      <c r="Q29" s="113">
        <v>0.8</v>
      </c>
      <c r="R29" s="113">
        <v>0.8</v>
      </c>
      <c r="S29" s="113">
        <v>0.8</v>
      </c>
      <c r="T29" s="113">
        <v>0</v>
      </c>
      <c r="U29" s="113">
        <v>0.8</v>
      </c>
      <c r="V29" s="113">
        <v>0</v>
      </c>
      <c r="W29" s="113">
        <v>0</v>
      </c>
      <c r="X29" s="113">
        <v>0</v>
      </c>
      <c r="Y29" s="113">
        <v>0</v>
      </c>
      <c r="Z29" s="113">
        <v>0.8</v>
      </c>
      <c r="AA29" s="113">
        <v>0.8</v>
      </c>
      <c r="AB29" s="113">
        <v>0</v>
      </c>
      <c r="AC29" s="113">
        <v>0</v>
      </c>
      <c r="AD29" s="113">
        <v>0</v>
      </c>
      <c r="AE29" s="113">
        <v>0</v>
      </c>
      <c r="AF29" s="113">
        <v>0</v>
      </c>
      <c r="AG29" s="113">
        <v>0</v>
      </c>
      <c r="AH29" s="113">
        <v>0</v>
      </c>
      <c r="AI29" s="113">
        <v>0.8</v>
      </c>
      <c r="AJ29" s="113">
        <v>0.8</v>
      </c>
      <c r="AK29" s="113">
        <v>0</v>
      </c>
      <c r="AL29" s="113">
        <v>0.8</v>
      </c>
      <c r="AM29" s="113">
        <v>0.8</v>
      </c>
      <c r="AN29" s="113">
        <v>0</v>
      </c>
      <c r="AO29" s="113">
        <v>0</v>
      </c>
      <c r="AP29" s="113">
        <v>0</v>
      </c>
    </row>
    <row r="30" spans="1:42" customFormat="1" x14ac:dyDescent="0.15">
      <c r="A30" s="160" t="s">
        <v>220</v>
      </c>
      <c r="B30" s="113">
        <v>0</v>
      </c>
      <c r="C30" s="113">
        <v>0</v>
      </c>
      <c r="D30" s="113">
        <v>0</v>
      </c>
      <c r="E30" s="113">
        <v>0</v>
      </c>
      <c r="F30" s="113">
        <v>0</v>
      </c>
      <c r="G30" s="113">
        <v>0</v>
      </c>
      <c r="H30" s="113">
        <v>0</v>
      </c>
      <c r="I30" s="113">
        <v>0</v>
      </c>
      <c r="J30" s="113">
        <v>0</v>
      </c>
      <c r="K30" s="113">
        <v>0</v>
      </c>
      <c r="L30" s="113">
        <v>0</v>
      </c>
      <c r="M30" s="113">
        <v>0</v>
      </c>
      <c r="N30" s="113">
        <v>0.8</v>
      </c>
      <c r="O30" s="113">
        <v>0</v>
      </c>
      <c r="P30" s="113">
        <v>0.8</v>
      </c>
      <c r="Q30" s="113">
        <v>0.8</v>
      </c>
      <c r="R30" s="113">
        <v>0.8</v>
      </c>
      <c r="S30" s="113">
        <v>0.8</v>
      </c>
      <c r="T30" s="113">
        <v>0</v>
      </c>
      <c r="U30" s="113">
        <v>0.8</v>
      </c>
      <c r="V30" s="113">
        <v>0.8</v>
      </c>
      <c r="W30" s="113">
        <v>0</v>
      </c>
      <c r="X30" s="113">
        <v>0</v>
      </c>
      <c r="Y30" s="113">
        <v>0</v>
      </c>
      <c r="Z30" s="113">
        <v>0.8</v>
      </c>
      <c r="AA30" s="113">
        <v>0.8</v>
      </c>
      <c r="AB30" s="113">
        <v>0</v>
      </c>
      <c r="AC30" s="113">
        <v>0</v>
      </c>
      <c r="AD30" s="113">
        <v>0</v>
      </c>
      <c r="AE30" s="113">
        <v>0</v>
      </c>
      <c r="AF30" s="113">
        <v>0.8</v>
      </c>
      <c r="AG30" s="113">
        <v>0.8</v>
      </c>
      <c r="AH30" s="113">
        <v>0</v>
      </c>
      <c r="AI30" s="113">
        <v>0.8</v>
      </c>
      <c r="AJ30" s="113">
        <v>0.8</v>
      </c>
      <c r="AK30" s="113">
        <v>0</v>
      </c>
      <c r="AL30" s="113">
        <v>0.8</v>
      </c>
      <c r="AM30" s="113">
        <v>0.8</v>
      </c>
      <c r="AN30" s="113">
        <v>0</v>
      </c>
      <c r="AO30" s="113">
        <v>0</v>
      </c>
      <c r="AP30" s="113">
        <v>0</v>
      </c>
    </row>
    <row r="31" spans="1:42" customFormat="1" x14ac:dyDescent="0.15">
      <c r="A31" s="160" t="s">
        <v>221</v>
      </c>
      <c r="B31" s="113">
        <v>0</v>
      </c>
      <c r="C31" s="113">
        <v>0</v>
      </c>
      <c r="D31" s="113">
        <v>0</v>
      </c>
      <c r="E31" s="113">
        <v>0</v>
      </c>
      <c r="F31" s="113">
        <v>0</v>
      </c>
      <c r="G31" s="113">
        <v>0</v>
      </c>
      <c r="H31" s="113">
        <v>0</v>
      </c>
      <c r="I31" s="113">
        <v>0</v>
      </c>
      <c r="J31" s="113">
        <v>0</v>
      </c>
      <c r="K31" s="113">
        <v>0</v>
      </c>
      <c r="L31" s="113">
        <v>0</v>
      </c>
      <c r="M31" s="113">
        <v>0</v>
      </c>
      <c r="N31" s="113">
        <v>0.8</v>
      </c>
      <c r="O31" s="113">
        <v>0</v>
      </c>
      <c r="P31" s="113">
        <v>0.8</v>
      </c>
      <c r="Q31" s="113">
        <v>0.8</v>
      </c>
      <c r="R31" s="113">
        <v>0.8</v>
      </c>
      <c r="S31" s="113">
        <v>0.8</v>
      </c>
      <c r="T31" s="113">
        <v>0</v>
      </c>
      <c r="U31" s="113">
        <v>0.8</v>
      </c>
      <c r="V31" s="113">
        <v>0</v>
      </c>
      <c r="W31" s="113">
        <v>0</v>
      </c>
      <c r="X31" s="113">
        <v>0</v>
      </c>
      <c r="Y31" s="113">
        <v>0</v>
      </c>
      <c r="Z31" s="113">
        <v>0.8</v>
      </c>
      <c r="AA31" s="113">
        <v>0.8</v>
      </c>
      <c r="AB31" s="113">
        <v>0</v>
      </c>
      <c r="AC31" s="113">
        <v>0</v>
      </c>
      <c r="AD31" s="113">
        <v>0</v>
      </c>
      <c r="AE31" s="113">
        <v>0</v>
      </c>
      <c r="AF31" s="113">
        <v>0</v>
      </c>
      <c r="AG31" s="113">
        <v>0</v>
      </c>
      <c r="AH31" s="113">
        <v>0</v>
      </c>
      <c r="AI31" s="113">
        <v>0.8</v>
      </c>
      <c r="AJ31" s="113">
        <v>0.8</v>
      </c>
      <c r="AK31" s="113">
        <v>0</v>
      </c>
      <c r="AL31" s="113">
        <v>0.8</v>
      </c>
      <c r="AM31" s="113">
        <v>0.8</v>
      </c>
      <c r="AN31" s="113">
        <v>0</v>
      </c>
      <c r="AO31" s="113">
        <v>0</v>
      </c>
      <c r="AP31" s="113">
        <v>0</v>
      </c>
    </row>
    <row r="32" spans="1:42" customFormat="1" x14ac:dyDescent="0.15">
      <c r="A32" s="160" t="s">
        <v>222</v>
      </c>
      <c r="B32" s="113">
        <v>0</v>
      </c>
      <c r="C32" s="113">
        <v>0</v>
      </c>
      <c r="D32" s="113">
        <v>0</v>
      </c>
      <c r="E32" s="113">
        <v>0</v>
      </c>
      <c r="F32" s="113">
        <v>0</v>
      </c>
      <c r="G32" s="113">
        <v>0</v>
      </c>
      <c r="H32" s="113">
        <v>0</v>
      </c>
      <c r="I32" s="113">
        <v>0</v>
      </c>
      <c r="J32" s="113">
        <v>0</v>
      </c>
      <c r="K32" s="113">
        <v>0</v>
      </c>
      <c r="L32" s="113">
        <v>0</v>
      </c>
      <c r="M32" s="113">
        <v>0</v>
      </c>
      <c r="N32" s="113">
        <v>0.8</v>
      </c>
      <c r="O32" s="113">
        <v>0</v>
      </c>
      <c r="P32" s="113">
        <v>0.8</v>
      </c>
      <c r="Q32" s="113">
        <v>0</v>
      </c>
      <c r="R32" s="113">
        <v>0</v>
      </c>
      <c r="S32" s="113">
        <v>0.8</v>
      </c>
      <c r="T32" s="113">
        <v>0</v>
      </c>
      <c r="U32" s="113">
        <v>0.8</v>
      </c>
      <c r="V32" s="113">
        <v>0</v>
      </c>
      <c r="W32" s="113">
        <v>0</v>
      </c>
      <c r="X32" s="113">
        <v>0</v>
      </c>
      <c r="Y32" s="113">
        <v>0</v>
      </c>
      <c r="Z32" s="113">
        <v>0</v>
      </c>
      <c r="AA32" s="113">
        <v>0.8</v>
      </c>
      <c r="AB32" s="113">
        <v>0</v>
      </c>
      <c r="AC32" s="113">
        <v>0</v>
      </c>
      <c r="AD32" s="113">
        <v>0</v>
      </c>
      <c r="AE32" s="113">
        <v>0</v>
      </c>
      <c r="AF32" s="113">
        <v>0</v>
      </c>
      <c r="AG32" s="113">
        <v>0.8</v>
      </c>
      <c r="AH32" s="113">
        <v>0</v>
      </c>
      <c r="AI32" s="113">
        <v>0.8</v>
      </c>
      <c r="AJ32" s="113">
        <v>0.8</v>
      </c>
      <c r="AK32" s="113">
        <v>0</v>
      </c>
      <c r="AL32" s="113">
        <v>0.8</v>
      </c>
      <c r="AM32" s="113">
        <v>0.8</v>
      </c>
      <c r="AN32" s="113">
        <v>0</v>
      </c>
      <c r="AO32" s="113">
        <v>0</v>
      </c>
      <c r="AP32" s="113">
        <v>0</v>
      </c>
    </row>
    <row r="33" spans="1:42" x14ac:dyDescent="0.15">
      <c r="A33" s="160" t="s">
        <v>223</v>
      </c>
      <c r="B33" s="113">
        <v>0</v>
      </c>
      <c r="C33" s="113">
        <v>0</v>
      </c>
      <c r="D33" s="113">
        <v>0</v>
      </c>
      <c r="E33" s="113">
        <v>0</v>
      </c>
      <c r="F33" s="113">
        <v>0</v>
      </c>
      <c r="G33" s="113">
        <v>0</v>
      </c>
      <c r="H33" s="113">
        <v>0</v>
      </c>
      <c r="I33" s="113">
        <v>0</v>
      </c>
      <c r="J33" s="113">
        <v>0</v>
      </c>
      <c r="K33" s="113">
        <v>0</v>
      </c>
      <c r="L33" s="113">
        <v>0</v>
      </c>
      <c r="M33" s="113">
        <v>0</v>
      </c>
      <c r="N33" s="113">
        <v>0.8</v>
      </c>
      <c r="O33" s="113">
        <v>0</v>
      </c>
      <c r="P33" s="113">
        <v>0.8</v>
      </c>
      <c r="Q33" s="113">
        <v>0</v>
      </c>
      <c r="R33" s="113">
        <v>0</v>
      </c>
      <c r="S33" s="113">
        <v>0.8</v>
      </c>
      <c r="T33" s="113">
        <v>0</v>
      </c>
      <c r="U33" s="113">
        <v>0</v>
      </c>
      <c r="V33" s="113">
        <v>0</v>
      </c>
      <c r="W33" s="113">
        <v>0</v>
      </c>
      <c r="X33" s="113">
        <v>0</v>
      </c>
      <c r="Y33" s="113">
        <v>0</v>
      </c>
      <c r="Z33" s="113">
        <v>0</v>
      </c>
      <c r="AA33" s="113">
        <v>0.8</v>
      </c>
      <c r="AB33" s="113">
        <v>0</v>
      </c>
      <c r="AC33" s="113">
        <v>0</v>
      </c>
      <c r="AD33" s="113">
        <v>0</v>
      </c>
      <c r="AE33" s="113">
        <v>0</v>
      </c>
      <c r="AF33" s="113">
        <v>0</v>
      </c>
      <c r="AG33" s="113">
        <v>0</v>
      </c>
      <c r="AH33" s="113">
        <v>0</v>
      </c>
      <c r="AI33" s="113">
        <v>0.8</v>
      </c>
      <c r="AJ33" s="113">
        <v>0.8</v>
      </c>
      <c r="AK33" s="113">
        <v>0</v>
      </c>
      <c r="AL33" s="113">
        <v>0</v>
      </c>
      <c r="AM33" s="113">
        <v>0.8</v>
      </c>
      <c r="AN33" s="113">
        <v>0</v>
      </c>
      <c r="AO33" s="113">
        <v>0</v>
      </c>
      <c r="AP33" s="113">
        <v>0</v>
      </c>
    </row>
    <row r="34" spans="1:42" x14ac:dyDescent="0.15">
      <c r="A34" s="160" t="s">
        <v>224</v>
      </c>
      <c r="B34" s="113">
        <v>0</v>
      </c>
      <c r="C34" s="113">
        <v>0</v>
      </c>
      <c r="D34" s="113">
        <v>0</v>
      </c>
      <c r="E34" s="113">
        <v>0</v>
      </c>
      <c r="F34" s="113">
        <v>0</v>
      </c>
      <c r="G34" s="113">
        <v>0</v>
      </c>
      <c r="H34" s="113">
        <v>0</v>
      </c>
      <c r="I34" s="113">
        <v>0</v>
      </c>
      <c r="J34" s="113">
        <v>0</v>
      </c>
      <c r="K34" s="113">
        <v>0</v>
      </c>
      <c r="L34" s="113">
        <v>0</v>
      </c>
      <c r="M34" s="113">
        <v>0</v>
      </c>
      <c r="N34" s="113">
        <v>0.8</v>
      </c>
      <c r="O34" s="113">
        <v>0</v>
      </c>
      <c r="P34" s="113">
        <v>0</v>
      </c>
      <c r="Q34" s="113">
        <v>0</v>
      </c>
      <c r="R34" s="113">
        <v>0</v>
      </c>
      <c r="S34" s="113">
        <v>0.8</v>
      </c>
      <c r="T34" s="113">
        <v>0</v>
      </c>
      <c r="U34" s="113">
        <v>0</v>
      </c>
      <c r="V34" s="113">
        <v>0</v>
      </c>
      <c r="W34" s="113">
        <v>0</v>
      </c>
      <c r="X34" s="113">
        <v>0</v>
      </c>
      <c r="Y34" s="113">
        <v>0</v>
      </c>
      <c r="Z34" s="113">
        <v>0</v>
      </c>
      <c r="AA34" s="113">
        <v>0.8</v>
      </c>
      <c r="AB34" s="113">
        <v>0</v>
      </c>
      <c r="AC34" s="113">
        <v>0</v>
      </c>
      <c r="AD34" s="113">
        <v>0</v>
      </c>
      <c r="AE34" s="113">
        <v>0</v>
      </c>
      <c r="AF34" s="113">
        <v>0.8</v>
      </c>
      <c r="AG34" s="113">
        <v>0.8</v>
      </c>
      <c r="AH34" s="113">
        <v>0</v>
      </c>
      <c r="AI34" s="113">
        <v>0.8</v>
      </c>
      <c r="AJ34" s="113">
        <v>0.8</v>
      </c>
      <c r="AK34" s="113">
        <v>0</v>
      </c>
      <c r="AL34" s="113">
        <v>0.8</v>
      </c>
      <c r="AM34" s="113">
        <v>0.8</v>
      </c>
      <c r="AN34" s="113">
        <v>0</v>
      </c>
      <c r="AO34" s="113">
        <v>0</v>
      </c>
      <c r="AP34" s="113">
        <v>0</v>
      </c>
    </row>
    <row r="35" spans="1:42" x14ac:dyDescent="0.15">
      <c r="A35" s="160" t="s">
        <v>225</v>
      </c>
      <c r="B35" s="113">
        <v>0</v>
      </c>
      <c r="C35" s="113">
        <v>0</v>
      </c>
      <c r="D35" s="113">
        <v>0</v>
      </c>
      <c r="E35" s="113">
        <v>0</v>
      </c>
      <c r="F35" s="113">
        <v>0</v>
      </c>
      <c r="G35" s="113">
        <v>0</v>
      </c>
      <c r="H35" s="113">
        <v>0</v>
      </c>
      <c r="I35" s="113">
        <v>0</v>
      </c>
      <c r="J35" s="113">
        <v>0</v>
      </c>
      <c r="K35" s="113">
        <v>0</v>
      </c>
      <c r="L35" s="113">
        <v>0</v>
      </c>
      <c r="M35" s="113">
        <v>0</v>
      </c>
      <c r="N35" s="113">
        <v>0</v>
      </c>
      <c r="O35" s="113">
        <v>0</v>
      </c>
      <c r="P35" s="113">
        <v>0</v>
      </c>
      <c r="Q35" s="113">
        <v>0</v>
      </c>
      <c r="R35" s="113">
        <v>0</v>
      </c>
      <c r="S35" s="113">
        <v>0</v>
      </c>
      <c r="T35" s="113">
        <v>0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0</v>
      </c>
      <c r="AD35" s="113">
        <v>0</v>
      </c>
      <c r="AE35" s="113">
        <v>0</v>
      </c>
      <c r="AF35" s="113">
        <v>0</v>
      </c>
      <c r="AG35" s="113">
        <v>0</v>
      </c>
      <c r="AH35" s="113">
        <v>0</v>
      </c>
      <c r="AI35" s="113">
        <v>0</v>
      </c>
      <c r="AJ35" s="113">
        <v>0</v>
      </c>
      <c r="AK35" s="113">
        <v>0</v>
      </c>
      <c r="AL35" s="113">
        <v>0</v>
      </c>
      <c r="AM35" s="113">
        <v>0</v>
      </c>
      <c r="AN35" s="113">
        <v>0</v>
      </c>
      <c r="AO35" s="113">
        <v>0</v>
      </c>
      <c r="AP35" s="113">
        <v>0</v>
      </c>
    </row>
    <row r="36" spans="1:42" x14ac:dyDescent="0.15">
      <c r="A36" s="160" t="s">
        <v>226</v>
      </c>
      <c r="B36" s="113">
        <v>0</v>
      </c>
      <c r="C36" s="113">
        <v>0</v>
      </c>
      <c r="D36" s="113">
        <v>0</v>
      </c>
      <c r="E36" s="113">
        <v>0</v>
      </c>
      <c r="F36" s="113">
        <v>0</v>
      </c>
      <c r="G36" s="113">
        <v>0</v>
      </c>
      <c r="H36" s="113">
        <v>0</v>
      </c>
      <c r="I36" s="113">
        <v>0</v>
      </c>
      <c r="J36" s="113">
        <v>0</v>
      </c>
      <c r="K36" s="113">
        <v>0</v>
      </c>
      <c r="L36" s="113">
        <v>0</v>
      </c>
      <c r="M36" s="113">
        <v>0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113">
        <v>0</v>
      </c>
      <c r="AE36" s="113">
        <v>0</v>
      </c>
      <c r="AF36" s="113">
        <v>0</v>
      </c>
      <c r="AG36" s="113">
        <v>0</v>
      </c>
      <c r="AH36" s="113">
        <v>0</v>
      </c>
      <c r="AI36" s="113">
        <v>0</v>
      </c>
      <c r="AJ36" s="113">
        <v>0</v>
      </c>
      <c r="AK36" s="113">
        <v>0</v>
      </c>
      <c r="AL36" s="113">
        <v>0</v>
      </c>
      <c r="AM36" s="113">
        <v>0</v>
      </c>
      <c r="AN36" s="113">
        <v>0</v>
      </c>
      <c r="AO36" s="113">
        <v>0</v>
      </c>
      <c r="AP36" s="113">
        <v>0</v>
      </c>
    </row>
    <row r="37" spans="1:42" x14ac:dyDescent="0.15">
      <c r="A37" s="160" t="s">
        <v>227</v>
      </c>
      <c r="B37" s="113">
        <v>0</v>
      </c>
      <c r="C37" s="113">
        <v>0</v>
      </c>
      <c r="D37" s="113">
        <v>0</v>
      </c>
      <c r="E37" s="113">
        <v>0</v>
      </c>
      <c r="F37" s="113">
        <v>0</v>
      </c>
      <c r="G37" s="113">
        <v>0</v>
      </c>
      <c r="H37" s="113">
        <v>0</v>
      </c>
      <c r="I37" s="113">
        <v>0</v>
      </c>
      <c r="J37" s="113">
        <v>0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113">
        <v>0</v>
      </c>
      <c r="AE37" s="113">
        <v>0</v>
      </c>
      <c r="AF37" s="113">
        <v>0</v>
      </c>
      <c r="AG37" s="113">
        <v>0</v>
      </c>
      <c r="AH37" s="113">
        <v>0</v>
      </c>
      <c r="AI37" s="113">
        <v>0</v>
      </c>
      <c r="AJ37" s="113">
        <v>0</v>
      </c>
      <c r="AK37" s="113">
        <v>0</v>
      </c>
      <c r="AL37" s="113">
        <v>0</v>
      </c>
      <c r="AM37" s="113">
        <v>0</v>
      </c>
      <c r="AN37" s="113">
        <v>0</v>
      </c>
      <c r="AO37" s="113">
        <v>0</v>
      </c>
      <c r="AP37" s="113">
        <v>0</v>
      </c>
    </row>
    <row r="38" spans="1:42" x14ac:dyDescent="0.15">
      <c r="A38" s="160" t="s">
        <v>228</v>
      </c>
      <c r="B38" s="113">
        <v>0</v>
      </c>
      <c r="C38" s="113">
        <v>0</v>
      </c>
      <c r="D38" s="113">
        <v>0</v>
      </c>
      <c r="E38" s="113">
        <v>0</v>
      </c>
      <c r="F38" s="113">
        <v>0</v>
      </c>
      <c r="G38" s="113">
        <v>0</v>
      </c>
      <c r="H38" s="113">
        <v>0</v>
      </c>
      <c r="I38" s="113">
        <v>0</v>
      </c>
      <c r="J38" s="113">
        <v>0</v>
      </c>
      <c r="K38" s="113">
        <v>0</v>
      </c>
      <c r="L38" s="113">
        <v>0</v>
      </c>
      <c r="M38" s="113">
        <v>0</v>
      </c>
      <c r="N38" s="113">
        <v>0</v>
      </c>
      <c r="O38" s="113">
        <v>0</v>
      </c>
      <c r="P38" s="113">
        <v>0</v>
      </c>
      <c r="Q38" s="113">
        <v>0</v>
      </c>
      <c r="R38" s="113">
        <v>0</v>
      </c>
      <c r="S38" s="113">
        <v>0</v>
      </c>
      <c r="T38" s="113">
        <v>0</v>
      </c>
      <c r="U38" s="113">
        <v>0</v>
      </c>
      <c r="V38" s="113">
        <v>0</v>
      </c>
      <c r="W38" s="113">
        <v>0</v>
      </c>
      <c r="X38" s="113">
        <v>0</v>
      </c>
      <c r="Y38" s="113">
        <v>0</v>
      </c>
      <c r="Z38" s="113">
        <v>0</v>
      </c>
      <c r="AA38" s="113">
        <v>0</v>
      </c>
      <c r="AB38" s="113">
        <v>0</v>
      </c>
      <c r="AC38" s="113">
        <v>0</v>
      </c>
      <c r="AD38" s="113">
        <v>0</v>
      </c>
      <c r="AE38" s="113">
        <v>0</v>
      </c>
      <c r="AF38" s="113">
        <v>0</v>
      </c>
      <c r="AG38" s="113">
        <v>0</v>
      </c>
      <c r="AH38" s="113">
        <v>0</v>
      </c>
      <c r="AI38" s="113">
        <v>0</v>
      </c>
      <c r="AJ38" s="113">
        <v>0</v>
      </c>
      <c r="AK38" s="113">
        <v>0</v>
      </c>
      <c r="AL38" s="113">
        <v>0.8</v>
      </c>
      <c r="AM38" s="113">
        <v>0</v>
      </c>
      <c r="AN38" s="113">
        <v>0</v>
      </c>
      <c r="AO38" s="113">
        <v>0</v>
      </c>
      <c r="AP38" s="113">
        <v>0</v>
      </c>
    </row>
    <row r="39" spans="1:42" x14ac:dyDescent="0.15">
      <c r="A39" s="160" t="s">
        <v>229</v>
      </c>
      <c r="B39" s="113">
        <v>0</v>
      </c>
      <c r="C39" s="113">
        <v>0</v>
      </c>
      <c r="D39" s="113">
        <v>0</v>
      </c>
      <c r="E39" s="113">
        <v>0</v>
      </c>
      <c r="F39" s="113">
        <v>0</v>
      </c>
      <c r="G39" s="113">
        <v>0</v>
      </c>
      <c r="H39" s="113">
        <v>0</v>
      </c>
      <c r="I39" s="113">
        <v>0</v>
      </c>
      <c r="J39" s="113">
        <v>0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0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113">
        <v>0</v>
      </c>
      <c r="AE39" s="113">
        <v>0</v>
      </c>
      <c r="AF39" s="113">
        <v>0</v>
      </c>
      <c r="AG39" s="113">
        <v>0</v>
      </c>
      <c r="AH39" s="113">
        <v>0</v>
      </c>
      <c r="AI39" s="113">
        <v>0</v>
      </c>
      <c r="AJ39" s="113">
        <v>0</v>
      </c>
      <c r="AK39" s="113">
        <v>0</v>
      </c>
      <c r="AL39" s="113">
        <v>0</v>
      </c>
      <c r="AM39" s="113">
        <v>0</v>
      </c>
      <c r="AN39" s="113">
        <v>0</v>
      </c>
      <c r="AO39" s="113">
        <v>0</v>
      </c>
      <c r="AP39" s="113">
        <v>0</v>
      </c>
    </row>
    <row r="40" spans="1:42" x14ac:dyDescent="0.15">
      <c r="A40" s="160" t="s">
        <v>230</v>
      </c>
      <c r="B40" s="113">
        <v>0</v>
      </c>
      <c r="C40" s="113">
        <v>0.8</v>
      </c>
      <c r="D40" s="113">
        <v>0.8</v>
      </c>
      <c r="E40" s="113">
        <v>0.8</v>
      </c>
      <c r="F40" s="113">
        <v>0</v>
      </c>
      <c r="G40" s="113">
        <v>0.8</v>
      </c>
      <c r="H40" s="113">
        <v>0.8</v>
      </c>
      <c r="I40" s="113">
        <v>0.8</v>
      </c>
      <c r="J40" s="113">
        <v>0.8</v>
      </c>
      <c r="K40" s="113">
        <v>0.8</v>
      </c>
      <c r="L40" s="113">
        <v>0.8</v>
      </c>
      <c r="M40" s="113">
        <v>0</v>
      </c>
      <c r="N40" s="113">
        <v>0</v>
      </c>
      <c r="O40" s="113">
        <v>0.8</v>
      </c>
      <c r="P40" s="113">
        <v>0</v>
      </c>
      <c r="Q40" s="113">
        <v>0</v>
      </c>
      <c r="R40" s="113">
        <v>0.8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113">
        <v>0</v>
      </c>
      <c r="AE40" s="113">
        <v>0</v>
      </c>
      <c r="AF40" s="113">
        <v>0</v>
      </c>
      <c r="AG40" s="113">
        <v>0</v>
      </c>
      <c r="AH40" s="113">
        <v>0.8</v>
      </c>
      <c r="AI40" s="113">
        <v>0</v>
      </c>
      <c r="AJ40" s="113">
        <v>0</v>
      </c>
      <c r="AK40" s="113">
        <v>0</v>
      </c>
      <c r="AL40" s="113">
        <v>0</v>
      </c>
      <c r="AM40" s="113">
        <v>0</v>
      </c>
      <c r="AN40" s="113">
        <v>0</v>
      </c>
      <c r="AO40" s="113">
        <v>0</v>
      </c>
      <c r="AP40" s="113">
        <v>0</v>
      </c>
    </row>
    <row r="41" spans="1:42" x14ac:dyDescent="0.15">
      <c r="A41" s="160" t="s">
        <v>231</v>
      </c>
      <c r="B41" s="113">
        <v>0</v>
      </c>
      <c r="C41" s="113">
        <v>0</v>
      </c>
      <c r="D41" s="113">
        <v>0</v>
      </c>
      <c r="E41" s="113">
        <v>0</v>
      </c>
      <c r="F41" s="113">
        <v>0</v>
      </c>
      <c r="G41" s="113">
        <v>0.8</v>
      </c>
      <c r="H41" s="113">
        <v>0</v>
      </c>
      <c r="I41" s="113">
        <v>0.8</v>
      </c>
      <c r="J41" s="113">
        <v>0.8</v>
      </c>
      <c r="K41" s="113">
        <v>0</v>
      </c>
      <c r="L41" s="113">
        <v>0</v>
      </c>
      <c r="M41" s="113">
        <v>0</v>
      </c>
      <c r="N41" s="113">
        <v>0</v>
      </c>
      <c r="O41" s="113">
        <v>0</v>
      </c>
      <c r="P41" s="113">
        <v>0</v>
      </c>
      <c r="Q41" s="113">
        <v>0</v>
      </c>
      <c r="R41" s="113">
        <v>0.8</v>
      </c>
      <c r="S41" s="113">
        <v>0</v>
      </c>
      <c r="T41" s="113">
        <v>0</v>
      </c>
      <c r="U41" s="113">
        <v>0</v>
      </c>
      <c r="V41" s="113">
        <v>0</v>
      </c>
      <c r="W41" s="113">
        <v>0</v>
      </c>
      <c r="X41" s="113">
        <v>0</v>
      </c>
      <c r="Y41" s="113">
        <v>0</v>
      </c>
      <c r="Z41" s="113">
        <v>0.8</v>
      </c>
      <c r="AA41" s="113">
        <v>0.8</v>
      </c>
      <c r="AB41" s="113">
        <v>0</v>
      </c>
      <c r="AC41" s="113">
        <v>0</v>
      </c>
      <c r="AD41" s="113">
        <v>0</v>
      </c>
      <c r="AE41" s="113">
        <v>0</v>
      </c>
      <c r="AF41" s="113">
        <v>0</v>
      </c>
      <c r="AG41" s="113">
        <v>0</v>
      </c>
      <c r="AH41" s="113">
        <v>0</v>
      </c>
      <c r="AI41" s="113">
        <v>0</v>
      </c>
      <c r="AJ41" s="113">
        <v>0</v>
      </c>
      <c r="AK41" s="113">
        <v>0.8</v>
      </c>
      <c r="AL41" s="113">
        <v>0.8</v>
      </c>
      <c r="AM41" s="113">
        <v>0</v>
      </c>
      <c r="AN41" s="113">
        <v>0</v>
      </c>
      <c r="AO41" s="113">
        <v>0</v>
      </c>
      <c r="AP41" s="113">
        <v>0</v>
      </c>
    </row>
    <row r="42" spans="1:42" x14ac:dyDescent="0.15">
      <c r="A42" s="160" t="s">
        <v>232</v>
      </c>
      <c r="B42" s="113">
        <v>0</v>
      </c>
      <c r="C42" s="113">
        <v>0</v>
      </c>
      <c r="D42" s="113">
        <v>0</v>
      </c>
      <c r="E42" s="113">
        <v>0</v>
      </c>
      <c r="F42" s="113">
        <v>0</v>
      </c>
      <c r="G42" s="113">
        <v>0</v>
      </c>
      <c r="H42" s="113">
        <v>0</v>
      </c>
      <c r="I42" s="113">
        <v>0</v>
      </c>
      <c r="J42" s="113">
        <v>0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0</v>
      </c>
      <c r="W42" s="113">
        <v>0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0</v>
      </c>
      <c r="AD42" s="113">
        <v>0</v>
      </c>
      <c r="AE42" s="113">
        <v>0</v>
      </c>
      <c r="AF42" s="113">
        <v>0</v>
      </c>
      <c r="AG42" s="113">
        <v>0</v>
      </c>
      <c r="AH42" s="113">
        <v>0</v>
      </c>
      <c r="AI42" s="113">
        <v>0</v>
      </c>
      <c r="AJ42" s="113">
        <v>0</v>
      </c>
      <c r="AK42" s="113">
        <v>0</v>
      </c>
      <c r="AL42" s="113">
        <v>0</v>
      </c>
      <c r="AM42" s="113">
        <v>0</v>
      </c>
      <c r="AN42" s="113">
        <v>0</v>
      </c>
      <c r="AO42" s="113">
        <v>0</v>
      </c>
      <c r="AP42" s="113">
        <v>0</v>
      </c>
    </row>
    <row r="43" spans="1:42" x14ac:dyDescent="0.15">
      <c r="A43" s="160" t="s">
        <v>238</v>
      </c>
      <c r="B43" s="113">
        <v>0</v>
      </c>
      <c r="C43" s="113">
        <v>0</v>
      </c>
      <c r="D43" s="113">
        <v>0</v>
      </c>
      <c r="E43" s="113">
        <v>0</v>
      </c>
      <c r="F43" s="113">
        <v>0</v>
      </c>
      <c r="G43" s="113">
        <v>0</v>
      </c>
      <c r="H43" s="113">
        <v>0.8</v>
      </c>
      <c r="I43" s="113">
        <v>0.8</v>
      </c>
      <c r="J43" s="113">
        <v>0.8</v>
      </c>
      <c r="K43" s="113">
        <v>0</v>
      </c>
      <c r="L43" s="113">
        <v>0.8</v>
      </c>
      <c r="M43" s="113">
        <v>0</v>
      </c>
      <c r="N43" s="113">
        <v>0</v>
      </c>
      <c r="O43" s="113">
        <v>0</v>
      </c>
      <c r="P43" s="113">
        <v>0</v>
      </c>
      <c r="Q43" s="113">
        <v>0</v>
      </c>
      <c r="R43" s="113">
        <v>0</v>
      </c>
      <c r="S43" s="113">
        <v>0</v>
      </c>
      <c r="T43" s="113">
        <v>0.8</v>
      </c>
      <c r="U43" s="113">
        <v>0</v>
      </c>
      <c r="V43" s="113">
        <v>0</v>
      </c>
      <c r="W43" s="113">
        <v>0.8</v>
      </c>
      <c r="X43" s="113">
        <v>0</v>
      </c>
      <c r="Y43" s="113">
        <v>0</v>
      </c>
      <c r="Z43" s="113">
        <v>0</v>
      </c>
      <c r="AA43" s="113">
        <v>0</v>
      </c>
      <c r="AB43" s="113">
        <v>0</v>
      </c>
      <c r="AC43" s="113">
        <v>0</v>
      </c>
      <c r="AD43" s="113">
        <v>0</v>
      </c>
      <c r="AE43" s="113">
        <v>0</v>
      </c>
      <c r="AF43" s="113">
        <v>0</v>
      </c>
      <c r="AG43" s="113">
        <v>0</v>
      </c>
      <c r="AH43" s="113">
        <v>0.8</v>
      </c>
      <c r="AI43" s="113">
        <v>0</v>
      </c>
      <c r="AJ43" s="113">
        <v>0</v>
      </c>
      <c r="AK43" s="113">
        <v>0</v>
      </c>
      <c r="AL43" s="113">
        <v>0.8</v>
      </c>
      <c r="AM43" s="113">
        <v>0</v>
      </c>
      <c r="AN43" s="113">
        <v>0</v>
      </c>
      <c r="AO43" s="113">
        <v>0</v>
      </c>
      <c r="AP43" s="11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P43"/>
  <sheetViews>
    <sheetView workbookViewId="0">
      <selection activeCell="A3" sqref="A3"/>
    </sheetView>
  </sheetViews>
  <sheetFormatPr baseColWidth="10" defaultRowHeight="13" x14ac:dyDescent="0.15"/>
  <cols>
    <col min="1" max="1" width="25.5" style="113" bestFit="1" customWidth="1"/>
    <col min="2" max="42" width="2.33203125" style="113" customWidth="1"/>
    <col min="43" max="16384" width="10.83203125" style="113"/>
  </cols>
  <sheetData>
    <row r="1" spans="1:42" x14ac:dyDescent="0.15">
      <c r="A1" s="63" t="s">
        <v>139</v>
      </c>
      <c r="B1" s="163" t="s">
        <v>192</v>
      </c>
      <c r="C1" s="163" t="s">
        <v>193</v>
      </c>
      <c r="D1" s="163" t="s">
        <v>194</v>
      </c>
      <c r="E1" s="163" t="s">
        <v>195</v>
      </c>
      <c r="F1" s="163" t="s">
        <v>196</v>
      </c>
      <c r="G1" s="163" t="s">
        <v>197</v>
      </c>
      <c r="H1" s="163" t="s">
        <v>198</v>
      </c>
      <c r="I1" s="163" t="s">
        <v>199</v>
      </c>
      <c r="J1" s="163" t="s">
        <v>200</v>
      </c>
      <c r="K1" s="163" t="s">
        <v>201</v>
      </c>
      <c r="L1" s="163" t="s">
        <v>202</v>
      </c>
      <c r="M1" s="163" t="s">
        <v>203</v>
      </c>
      <c r="N1" s="163" t="s">
        <v>204</v>
      </c>
      <c r="O1" s="163" t="s">
        <v>205</v>
      </c>
      <c r="P1" s="163" t="s">
        <v>206</v>
      </c>
      <c r="Q1" s="163" t="s">
        <v>207</v>
      </c>
      <c r="R1" s="163" t="s">
        <v>208</v>
      </c>
      <c r="S1" s="163" t="s">
        <v>209</v>
      </c>
      <c r="T1" s="163" t="s">
        <v>210</v>
      </c>
      <c r="U1" s="163" t="s">
        <v>211</v>
      </c>
      <c r="V1" s="163" t="s">
        <v>212</v>
      </c>
      <c r="W1" s="163" t="s">
        <v>213</v>
      </c>
      <c r="X1" s="163" t="s">
        <v>214</v>
      </c>
      <c r="Y1" s="163" t="s">
        <v>215</v>
      </c>
      <c r="Z1" s="163" t="s">
        <v>216</v>
      </c>
      <c r="AA1" s="163" t="s">
        <v>217</v>
      </c>
      <c r="AB1" s="163" t="s">
        <v>218</v>
      </c>
      <c r="AC1" s="163" t="s">
        <v>219</v>
      </c>
      <c r="AD1" s="163" t="s">
        <v>220</v>
      </c>
      <c r="AE1" s="163" t="s">
        <v>221</v>
      </c>
      <c r="AF1" s="163" t="s">
        <v>222</v>
      </c>
      <c r="AG1" s="163" t="s">
        <v>223</v>
      </c>
      <c r="AH1" s="163" t="s">
        <v>224</v>
      </c>
      <c r="AI1" s="163" t="s">
        <v>225</v>
      </c>
      <c r="AJ1" s="163" t="s">
        <v>226</v>
      </c>
      <c r="AK1" s="163" t="s">
        <v>227</v>
      </c>
      <c r="AL1" s="163" t="s">
        <v>228</v>
      </c>
      <c r="AM1" s="163" t="s">
        <v>229</v>
      </c>
      <c r="AN1" s="163" t="s">
        <v>230</v>
      </c>
      <c r="AO1" s="163" t="s">
        <v>231</v>
      </c>
      <c r="AP1" s="163" t="s">
        <v>232</v>
      </c>
    </row>
    <row r="2" spans="1:42" customFormat="1" x14ac:dyDescent="0.15">
      <c r="A2" s="162" t="s">
        <v>192</v>
      </c>
      <c r="B2" s="113">
        <v>0</v>
      </c>
      <c r="C2" s="113">
        <v>1</v>
      </c>
      <c r="D2" s="113">
        <v>1</v>
      </c>
      <c r="E2" s="113">
        <v>1</v>
      </c>
      <c r="F2" s="113">
        <v>1</v>
      </c>
      <c r="G2" s="113">
        <v>1</v>
      </c>
      <c r="H2" s="113">
        <v>0</v>
      </c>
      <c r="I2" s="113">
        <v>0</v>
      </c>
      <c r="J2" s="113">
        <v>0</v>
      </c>
      <c r="K2" s="113">
        <v>0</v>
      </c>
      <c r="L2" s="113">
        <v>0</v>
      </c>
      <c r="M2" s="113">
        <v>0</v>
      </c>
      <c r="N2" s="113">
        <v>0</v>
      </c>
      <c r="O2" s="113">
        <v>0</v>
      </c>
      <c r="P2" s="113">
        <v>0</v>
      </c>
      <c r="Q2" s="113">
        <v>0</v>
      </c>
      <c r="R2" s="113">
        <v>0</v>
      </c>
      <c r="S2" s="113">
        <v>0</v>
      </c>
      <c r="T2" s="113">
        <v>0</v>
      </c>
      <c r="U2" s="113">
        <v>0</v>
      </c>
      <c r="V2" s="113">
        <v>0</v>
      </c>
      <c r="W2" s="113">
        <v>0</v>
      </c>
      <c r="X2" s="113">
        <v>0</v>
      </c>
      <c r="Y2" s="113">
        <v>0</v>
      </c>
      <c r="Z2" s="113">
        <v>0</v>
      </c>
      <c r="AA2" s="113">
        <v>0</v>
      </c>
      <c r="AB2" s="113">
        <v>0</v>
      </c>
      <c r="AC2" s="113">
        <v>0</v>
      </c>
      <c r="AD2" s="113">
        <v>0</v>
      </c>
      <c r="AE2" s="113">
        <v>0</v>
      </c>
      <c r="AF2" s="113">
        <v>0</v>
      </c>
      <c r="AG2" s="113">
        <v>0</v>
      </c>
      <c r="AH2" s="113">
        <v>1</v>
      </c>
      <c r="AI2" s="113">
        <v>0</v>
      </c>
      <c r="AJ2" s="113">
        <v>0</v>
      </c>
      <c r="AK2" s="113">
        <v>0</v>
      </c>
      <c r="AL2" s="113">
        <v>0</v>
      </c>
      <c r="AM2" s="113">
        <v>0</v>
      </c>
      <c r="AN2" s="113">
        <v>0</v>
      </c>
      <c r="AO2" s="113">
        <v>0</v>
      </c>
      <c r="AP2" s="113">
        <v>0</v>
      </c>
    </row>
    <row r="3" spans="1:42" customFormat="1" x14ac:dyDescent="0.15">
      <c r="A3" s="162" t="s">
        <v>193</v>
      </c>
      <c r="B3" s="113">
        <v>0</v>
      </c>
      <c r="C3" s="113">
        <v>1</v>
      </c>
      <c r="D3" s="113">
        <v>1</v>
      </c>
      <c r="E3" s="113">
        <v>1</v>
      </c>
      <c r="F3" s="113">
        <v>1</v>
      </c>
      <c r="G3" s="113">
        <v>0</v>
      </c>
      <c r="H3" s="113">
        <v>0</v>
      </c>
      <c r="I3" s="113">
        <v>0</v>
      </c>
      <c r="J3" s="113">
        <v>0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>
        <v>0</v>
      </c>
      <c r="AC3" s="113">
        <v>0</v>
      </c>
      <c r="AD3" s="113">
        <v>0</v>
      </c>
      <c r="AE3" s="113">
        <v>0</v>
      </c>
      <c r="AF3" s="113">
        <v>0</v>
      </c>
      <c r="AG3" s="113">
        <v>0</v>
      </c>
      <c r="AH3" s="113">
        <v>0</v>
      </c>
      <c r="AI3" s="113">
        <v>0</v>
      </c>
      <c r="AJ3" s="113">
        <v>0</v>
      </c>
      <c r="AK3" s="113">
        <v>0</v>
      </c>
      <c r="AL3" s="113">
        <v>0</v>
      </c>
      <c r="AM3" s="113">
        <v>0</v>
      </c>
      <c r="AN3" s="113">
        <v>0</v>
      </c>
      <c r="AO3" s="113">
        <v>0</v>
      </c>
      <c r="AP3" s="113">
        <v>0</v>
      </c>
    </row>
    <row r="4" spans="1:42" customFormat="1" x14ac:dyDescent="0.15">
      <c r="A4" s="162" t="s">
        <v>194</v>
      </c>
      <c r="B4" s="113">
        <v>0</v>
      </c>
      <c r="C4" s="113">
        <v>0</v>
      </c>
      <c r="D4" s="113">
        <v>1</v>
      </c>
      <c r="E4" s="113">
        <v>1</v>
      </c>
      <c r="F4" s="113">
        <v>1</v>
      </c>
      <c r="G4" s="113">
        <v>1</v>
      </c>
      <c r="H4" s="113">
        <v>0</v>
      </c>
      <c r="I4" s="113">
        <v>1</v>
      </c>
      <c r="J4" s="113">
        <v>0</v>
      </c>
      <c r="K4" s="113">
        <v>0</v>
      </c>
      <c r="L4" s="113">
        <v>0</v>
      </c>
      <c r="M4" s="113">
        <v>0</v>
      </c>
      <c r="N4" s="113">
        <v>1</v>
      </c>
      <c r="O4" s="113">
        <v>1</v>
      </c>
      <c r="P4" s="113">
        <v>0</v>
      </c>
      <c r="Q4" s="113">
        <v>1</v>
      </c>
      <c r="R4" s="113">
        <v>1</v>
      </c>
      <c r="S4" s="113">
        <v>0</v>
      </c>
      <c r="T4" s="113">
        <v>1</v>
      </c>
      <c r="U4" s="113">
        <v>1</v>
      </c>
      <c r="V4" s="113">
        <v>0</v>
      </c>
      <c r="W4" s="113">
        <v>1</v>
      </c>
      <c r="X4" s="113">
        <v>1</v>
      </c>
      <c r="Y4" s="113">
        <v>1</v>
      </c>
      <c r="Z4" s="113">
        <v>0</v>
      </c>
      <c r="AA4" s="113">
        <v>0</v>
      </c>
      <c r="AB4" s="113">
        <v>1</v>
      </c>
      <c r="AC4" s="113">
        <v>1</v>
      </c>
      <c r="AD4" s="113">
        <v>1</v>
      </c>
      <c r="AE4" s="113">
        <v>1</v>
      </c>
      <c r="AF4" s="113">
        <v>1</v>
      </c>
      <c r="AG4" s="113">
        <v>1</v>
      </c>
      <c r="AH4" s="113">
        <v>1</v>
      </c>
      <c r="AI4" s="113">
        <v>0</v>
      </c>
      <c r="AJ4" s="113">
        <v>0</v>
      </c>
      <c r="AK4" s="113">
        <v>0</v>
      </c>
      <c r="AL4" s="113">
        <v>0</v>
      </c>
      <c r="AM4" s="113">
        <v>0</v>
      </c>
      <c r="AN4" s="113">
        <v>0</v>
      </c>
      <c r="AO4" s="113">
        <v>0</v>
      </c>
      <c r="AP4" s="113">
        <v>0</v>
      </c>
    </row>
    <row r="5" spans="1:42" customFormat="1" x14ac:dyDescent="0.15">
      <c r="A5" s="162" t="s">
        <v>195</v>
      </c>
      <c r="B5" s="113">
        <v>0</v>
      </c>
      <c r="C5" s="113">
        <v>0</v>
      </c>
      <c r="D5" s="113">
        <v>0</v>
      </c>
      <c r="E5" s="113">
        <v>1</v>
      </c>
      <c r="F5" s="113">
        <v>1</v>
      </c>
      <c r="G5" s="113">
        <v>0</v>
      </c>
      <c r="H5" s="113">
        <v>0</v>
      </c>
      <c r="I5" s="113">
        <v>1</v>
      </c>
      <c r="J5" s="113">
        <v>1</v>
      </c>
      <c r="K5" s="113">
        <v>1</v>
      </c>
      <c r="L5" s="113">
        <v>0</v>
      </c>
      <c r="M5" s="113">
        <v>1</v>
      </c>
      <c r="N5" s="113">
        <v>1</v>
      </c>
      <c r="O5" s="113">
        <v>1</v>
      </c>
      <c r="P5" s="113">
        <v>0</v>
      </c>
      <c r="Q5" s="113">
        <v>1</v>
      </c>
      <c r="R5" s="113">
        <v>1</v>
      </c>
      <c r="S5" s="113">
        <v>1</v>
      </c>
      <c r="T5" s="113">
        <v>1</v>
      </c>
      <c r="U5" s="113">
        <v>1</v>
      </c>
      <c r="V5" s="113">
        <v>1</v>
      </c>
      <c r="W5" s="113">
        <v>1</v>
      </c>
      <c r="X5" s="113">
        <v>1</v>
      </c>
      <c r="Y5" s="113">
        <v>1</v>
      </c>
      <c r="Z5" s="113">
        <v>1</v>
      </c>
      <c r="AA5" s="113">
        <v>1</v>
      </c>
      <c r="AB5" s="113">
        <v>0</v>
      </c>
      <c r="AC5" s="113">
        <v>0</v>
      </c>
      <c r="AD5" s="113">
        <v>0</v>
      </c>
      <c r="AE5" s="113">
        <v>1</v>
      </c>
      <c r="AF5" s="113">
        <v>1</v>
      </c>
      <c r="AG5" s="113">
        <v>1</v>
      </c>
      <c r="AH5" s="113">
        <v>1</v>
      </c>
      <c r="AI5" s="113">
        <v>1</v>
      </c>
      <c r="AJ5" s="113">
        <v>1</v>
      </c>
      <c r="AK5" s="113">
        <v>0</v>
      </c>
      <c r="AL5" s="113">
        <v>0</v>
      </c>
      <c r="AM5" s="113">
        <v>0</v>
      </c>
      <c r="AN5" s="113">
        <v>0</v>
      </c>
      <c r="AO5" s="113">
        <v>0</v>
      </c>
      <c r="AP5" s="113">
        <v>0</v>
      </c>
    </row>
    <row r="6" spans="1:42" customFormat="1" x14ac:dyDescent="0.15">
      <c r="A6" s="162" t="s">
        <v>196</v>
      </c>
      <c r="B6" s="113">
        <v>0</v>
      </c>
      <c r="C6" s="113">
        <v>0</v>
      </c>
      <c r="D6" s="113">
        <v>0</v>
      </c>
      <c r="E6" s="113">
        <v>0</v>
      </c>
      <c r="F6" s="113">
        <v>1</v>
      </c>
      <c r="G6" s="113">
        <v>0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1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1</v>
      </c>
      <c r="AA6" s="113">
        <v>0</v>
      </c>
      <c r="AB6" s="113">
        <v>0</v>
      </c>
      <c r="AC6" s="113">
        <v>0</v>
      </c>
      <c r="AD6" s="113">
        <v>0</v>
      </c>
      <c r="AE6" s="113">
        <v>0</v>
      </c>
      <c r="AF6" s="113">
        <v>1</v>
      </c>
      <c r="AG6" s="113">
        <v>1</v>
      </c>
      <c r="AH6" s="113">
        <v>0</v>
      </c>
      <c r="AI6" s="113">
        <v>1</v>
      </c>
      <c r="AJ6" s="113">
        <v>0</v>
      </c>
      <c r="AK6" s="113">
        <v>1</v>
      </c>
      <c r="AL6" s="113">
        <v>0</v>
      </c>
      <c r="AM6" s="113">
        <v>0</v>
      </c>
      <c r="AN6" s="113">
        <v>0</v>
      </c>
      <c r="AO6" s="113">
        <v>0</v>
      </c>
      <c r="AP6" s="113">
        <v>0</v>
      </c>
    </row>
    <row r="7" spans="1:42" customFormat="1" x14ac:dyDescent="0.15">
      <c r="A7" s="162" t="s">
        <v>197</v>
      </c>
      <c r="B7" s="113">
        <v>0</v>
      </c>
      <c r="C7" s="113">
        <v>0</v>
      </c>
      <c r="D7" s="113">
        <v>0</v>
      </c>
      <c r="E7" s="113">
        <v>0</v>
      </c>
      <c r="F7" s="113">
        <v>0</v>
      </c>
      <c r="G7" s="113">
        <v>1</v>
      </c>
      <c r="H7" s="113">
        <v>0</v>
      </c>
      <c r="I7" s="113">
        <v>1</v>
      </c>
      <c r="J7" s="113">
        <v>1</v>
      </c>
      <c r="K7" s="113">
        <v>1</v>
      </c>
      <c r="L7" s="113">
        <v>0</v>
      </c>
      <c r="M7" s="113">
        <v>1</v>
      </c>
      <c r="N7" s="113">
        <v>1</v>
      </c>
      <c r="O7" s="113">
        <v>1</v>
      </c>
      <c r="P7" s="113">
        <v>1</v>
      </c>
      <c r="Q7" s="113">
        <v>1</v>
      </c>
      <c r="R7" s="113">
        <v>1</v>
      </c>
      <c r="S7" s="113">
        <v>1</v>
      </c>
      <c r="T7" s="113">
        <v>1</v>
      </c>
      <c r="U7" s="113">
        <v>1</v>
      </c>
      <c r="V7" s="113">
        <v>1</v>
      </c>
      <c r="W7" s="113">
        <v>1</v>
      </c>
      <c r="X7" s="113">
        <v>1</v>
      </c>
      <c r="Y7" s="113">
        <v>1</v>
      </c>
      <c r="Z7" s="113">
        <v>0</v>
      </c>
      <c r="AA7" s="113">
        <v>1</v>
      </c>
      <c r="AB7" s="113">
        <v>0</v>
      </c>
      <c r="AC7" s="113">
        <v>0</v>
      </c>
      <c r="AD7" s="113">
        <v>0</v>
      </c>
      <c r="AE7" s="113">
        <v>1</v>
      </c>
      <c r="AF7" s="113">
        <v>1</v>
      </c>
      <c r="AG7" s="113">
        <v>1</v>
      </c>
      <c r="AH7" s="113">
        <v>1</v>
      </c>
      <c r="AI7" s="113">
        <v>1</v>
      </c>
      <c r="AJ7" s="113">
        <v>0</v>
      </c>
      <c r="AK7" s="113">
        <v>0</v>
      </c>
      <c r="AL7" s="113">
        <v>0</v>
      </c>
      <c r="AM7" s="113">
        <v>0</v>
      </c>
      <c r="AN7" s="113">
        <v>0</v>
      </c>
      <c r="AO7" s="113">
        <v>0</v>
      </c>
      <c r="AP7" s="113">
        <v>0</v>
      </c>
    </row>
    <row r="8" spans="1:42" customFormat="1" x14ac:dyDescent="0.15">
      <c r="A8" s="162" t="s">
        <v>198</v>
      </c>
      <c r="B8" s="113">
        <v>0</v>
      </c>
      <c r="C8" s="113">
        <v>0</v>
      </c>
      <c r="D8" s="113">
        <v>0</v>
      </c>
      <c r="E8" s="113">
        <v>0</v>
      </c>
      <c r="F8" s="113">
        <v>0</v>
      </c>
      <c r="G8" s="113">
        <v>1</v>
      </c>
      <c r="H8" s="113">
        <v>1</v>
      </c>
      <c r="I8" s="113">
        <v>1</v>
      </c>
      <c r="J8" s="113">
        <v>1</v>
      </c>
      <c r="K8" s="113">
        <v>1</v>
      </c>
      <c r="L8" s="113">
        <v>1</v>
      </c>
      <c r="M8" s="113">
        <v>1</v>
      </c>
      <c r="N8" s="113">
        <v>1</v>
      </c>
      <c r="O8" s="113">
        <v>1</v>
      </c>
      <c r="P8" s="113">
        <v>1</v>
      </c>
      <c r="Q8" s="113">
        <v>1</v>
      </c>
      <c r="R8" s="113">
        <v>1</v>
      </c>
      <c r="S8" s="113">
        <v>1</v>
      </c>
      <c r="T8" s="113">
        <v>1</v>
      </c>
      <c r="U8" s="113">
        <v>1</v>
      </c>
      <c r="V8" s="113">
        <v>1</v>
      </c>
      <c r="W8" s="113">
        <v>1</v>
      </c>
      <c r="X8" s="113">
        <v>1</v>
      </c>
      <c r="Y8" s="113">
        <v>1</v>
      </c>
      <c r="Z8" s="113">
        <v>1</v>
      </c>
      <c r="AA8" s="113">
        <v>1</v>
      </c>
      <c r="AB8" s="113">
        <v>0</v>
      </c>
      <c r="AC8" s="113">
        <v>0</v>
      </c>
      <c r="AD8" s="113">
        <v>0</v>
      </c>
      <c r="AE8" s="113">
        <v>0</v>
      </c>
      <c r="AF8" s="113">
        <v>0</v>
      </c>
      <c r="AG8" s="113">
        <v>0</v>
      </c>
      <c r="AH8" s="113">
        <v>0</v>
      </c>
      <c r="AI8" s="113">
        <v>0</v>
      </c>
      <c r="AJ8" s="113">
        <v>0</v>
      </c>
      <c r="AK8" s="113">
        <v>0</v>
      </c>
      <c r="AL8" s="113">
        <v>0</v>
      </c>
      <c r="AM8" s="113">
        <v>0</v>
      </c>
      <c r="AN8" s="113">
        <v>0</v>
      </c>
      <c r="AO8" s="113">
        <v>0</v>
      </c>
      <c r="AP8" s="113">
        <v>0</v>
      </c>
    </row>
    <row r="9" spans="1:42" customFormat="1" x14ac:dyDescent="0.15">
      <c r="A9" s="162" t="s">
        <v>199</v>
      </c>
      <c r="B9" s="113">
        <v>0</v>
      </c>
      <c r="C9" s="113">
        <v>0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1</v>
      </c>
      <c r="J9" s="113">
        <v>1</v>
      </c>
      <c r="K9" s="113">
        <v>1</v>
      </c>
      <c r="L9" s="113">
        <v>0</v>
      </c>
      <c r="M9" s="113">
        <v>1</v>
      </c>
      <c r="N9" s="113">
        <v>1</v>
      </c>
      <c r="O9" s="113">
        <v>1</v>
      </c>
      <c r="P9" s="113">
        <v>1</v>
      </c>
      <c r="Q9" s="113">
        <v>1</v>
      </c>
      <c r="R9" s="113">
        <v>1</v>
      </c>
      <c r="S9" s="113">
        <v>1</v>
      </c>
      <c r="T9" s="113">
        <v>1</v>
      </c>
      <c r="U9" s="113">
        <v>1</v>
      </c>
      <c r="V9" s="113">
        <v>1</v>
      </c>
      <c r="W9" s="113">
        <v>1</v>
      </c>
      <c r="X9" s="113">
        <v>1</v>
      </c>
      <c r="Y9" s="113">
        <v>1</v>
      </c>
      <c r="Z9" s="113">
        <v>1</v>
      </c>
      <c r="AA9" s="113">
        <v>1</v>
      </c>
      <c r="AB9" s="113">
        <v>0</v>
      </c>
      <c r="AC9" s="113">
        <v>0</v>
      </c>
      <c r="AD9" s="113">
        <v>0</v>
      </c>
      <c r="AE9" s="113">
        <v>0</v>
      </c>
      <c r="AF9" s="113">
        <v>1</v>
      </c>
      <c r="AG9" s="113">
        <v>1</v>
      </c>
      <c r="AH9" s="113">
        <v>0</v>
      </c>
      <c r="AI9" s="113">
        <v>1</v>
      </c>
      <c r="AJ9" s="113">
        <v>1</v>
      </c>
      <c r="AK9" s="113">
        <v>0</v>
      </c>
      <c r="AL9" s="113">
        <v>0</v>
      </c>
      <c r="AM9" s="113">
        <v>1</v>
      </c>
      <c r="AN9" s="113">
        <v>0</v>
      </c>
      <c r="AO9" s="113">
        <v>0</v>
      </c>
      <c r="AP9" s="113">
        <v>0</v>
      </c>
    </row>
    <row r="10" spans="1:42" customFormat="1" x14ac:dyDescent="0.15">
      <c r="A10" s="162" t="s">
        <v>200</v>
      </c>
      <c r="B10" s="113">
        <v>0</v>
      </c>
      <c r="C10" s="113">
        <v>0</v>
      </c>
      <c r="D10" s="113">
        <v>0</v>
      </c>
      <c r="E10" s="113">
        <v>0</v>
      </c>
      <c r="F10" s="113">
        <v>0</v>
      </c>
      <c r="G10" s="113">
        <v>0</v>
      </c>
      <c r="H10" s="113">
        <v>0</v>
      </c>
      <c r="I10" s="113">
        <v>1</v>
      </c>
      <c r="J10" s="113">
        <v>1</v>
      </c>
      <c r="K10" s="113">
        <v>1</v>
      </c>
      <c r="L10" s="113">
        <v>0</v>
      </c>
      <c r="M10" s="113">
        <v>1</v>
      </c>
      <c r="N10" s="113">
        <v>1</v>
      </c>
      <c r="O10" s="113">
        <v>1</v>
      </c>
      <c r="P10" s="113">
        <v>1</v>
      </c>
      <c r="Q10" s="113">
        <v>1</v>
      </c>
      <c r="R10" s="113">
        <v>1</v>
      </c>
      <c r="S10" s="113">
        <v>0</v>
      </c>
      <c r="T10" s="113">
        <v>1</v>
      </c>
      <c r="U10" s="113">
        <v>1</v>
      </c>
      <c r="V10" s="113">
        <v>1</v>
      </c>
      <c r="W10" s="113">
        <v>1</v>
      </c>
      <c r="X10" s="113">
        <v>1</v>
      </c>
      <c r="Y10" s="113">
        <v>0</v>
      </c>
      <c r="Z10" s="113">
        <v>1</v>
      </c>
      <c r="AA10" s="113">
        <v>1</v>
      </c>
      <c r="AB10" s="113">
        <v>0</v>
      </c>
      <c r="AC10" s="113">
        <v>0</v>
      </c>
      <c r="AD10" s="113">
        <v>0</v>
      </c>
      <c r="AE10" s="113">
        <v>0</v>
      </c>
      <c r="AF10" s="113">
        <v>1</v>
      </c>
      <c r="AG10" s="113">
        <v>0</v>
      </c>
      <c r="AH10" s="113">
        <v>0</v>
      </c>
      <c r="AI10" s="113">
        <v>0</v>
      </c>
      <c r="AJ10" s="113">
        <v>0</v>
      </c>
      <c r="AK10" s="113">
        <v>1</v>
      </c>
      <c r="AL10" s="113">
        <v>0</v>
      </c>
      <c r="AM10" s="113">
        <v>0</v>
      </c>
      <c r="AN10" s="113">
        <v>0</v>
      </c>
      <c r="AO10" s="113">
        <v>0</v>
      </c>
      <c r="AP10" s="113">
        <v>0</v>
      </c>
    </row>
    <row r="11" spans="1:42" customFormat="1" x14ac:dyDescent="0.15">
      <c r="A11" s="162" t="s">
        <v>201</v>
      </c>
      <c r="B11" s="113">
        <v>0</v>
      </c>
      <c r="C11" s="113">
        <v>0</v>
      </c>
      <c r="D11" s="113">
        <v>0</v>
      </c>
      <c r="E11" s="113">
        <v>0</v>
      </c>
      <c r="F11" s="113">
        <v>0</v>
      </c>
      <c r="G11" s="113">
        <v>0</v>
      </c>
      <c r="H11" s="113">
        <v>0</v>
      </c>
      <c r="I11" s="113">
        <v>0</v>
      </c>
      <c r="J11" s="113">
        <v>1</v>
      </c>
      <c r="K11" s="113">
        <v>0</v>
      </c>
      <c r="L11" s="113">
        <v>0</v>
      </c>
      <c r="M11" s="113">
        <v>1</v>
      </c>
      <c r="N11" s="113">
        <v>0</v>
      </c>
      <c r="O11" s="113">
        <v>0</v>
      </c>
      <c r="P11" s="113">
        <v>1</v>
      </c>
      <c r="Q11" s="113">
        <v>0</v>
      </c>
      <c r="R11" s="113">
        <v>0</v>
      </c>
      <c r="S11" s="113">
        <v>1</v>
      </c>
      <c r="T11" s="113">
        <v>0</v>
      </c>
      <c r="U11" s="113">
        <v>0</v>
      </c>
      <c r="V11" s="113">
        <v>0</v>
      </c>
      <c r="W11" s="113">
        <v>0</v>
      </c>
      <c r="X11" s="113">
        <v>0</v>
      </c>
      <c r="Y11" s="113">
        <v>0</v>
      </c>
      <c r="Z11" s="113">
        <v>0</v>
      </c>
      <c r="AA11" s="113">
        <v>0</v>
      </c>
      <c r="AB11" s="113">
        <v>0</v>
      </c>
      <c r="AC11" s="113">
        <v>0</v>
      </c>
      <c r="AD11" s="113">
        <v>0</v>
      </c>
      <c r="AE11" s="113">
        <v>0</v>
      </c>
      <c r="AF11" s="113">
        <v>0</v>
      </c>
      <c r="AG11" s="113">
        <v>0</v>
      </c>
      <c r="AH11" s="113">
        <v>0</v>
      </c>
      <c r="AI11" s="113">
        <v>0</v>
      </c>
      <c r="AJ11" s="113">
        <v>0</v>
      </c>
      <c r="AK11" s="113">
        <v>0</v>
      </c>
      <c r="AL11" s="113">
        <v>0</v>
      </c>
      <c r="AM11" s="113">
        <v>0</v>
      </c>
      <c r="AN11" s="113">
        <v>0</v>
      </c>
      <c r="AO11" s="113">
        <v>0</v>
      </c>
      <c r="AP11" s="113">
        <v>0</v>
      </c>
    </row>
    <row r="12" spans="1:42" customFormat="1" x14ac:dyDescent="0.15">
      <c r="A12" s="162" t="s">
        <v>202</v>
      </c>
      <c r="B12" s="113">
        <v>0</v>
      </c>
      <c r="C12" s="113">
        <v>0</v>
      </c>
      <c r="D12" s="113">
        <v>0</v>
      </c>
      <c r="E12" s="113">
        <v>0</v>
      </c>
      <c r="F12" s="113">
        <v>0</v>
      </c>
      <c r="G12" s="113">
        <v>1</v>
      </c>
      <c r="H12" s="113">
        <v>1</v>
      </c>
      <c r="I12" s="113">
        <v>1</v>
      </c>
      <c r="J12" s="113">
        <v>1</v>
      </c>
      <c r="K12" s="113">
        <v>1</v>
      </c>
      <c r="L12" s="113">
        <v>1</v>
      </c>
      <c r="M12" s="113">
        <v>1</v>
      </c>
      <c r="N12" s="113">
        <v>1</v>
      </c>
      <c r="O12" s="113">
        <v>1</v>
      </c>
      <c r="P12" s="113">
        <v>1</v>
      </c>
      <c r="Q12" s="113">
        <v>1</v>
      </c>
      <c r="R12" s="113">
        <v>1</v>
      </c>
      <c r="S12" s="113">
        <v>1</v>
      </c>
      <c r="T12" s="113">
        <v>1</v>
      </c>
      <c r="U12" s="113">
        <v>1</v>
      </c>
      <c r="V12" s="113">
        <v>1</v>
      </c>
      <c r="W12" s="113">
        <v>1</v>
      </c>
      <c r="X12" s="113">
        <v>1</v>
      </c>
      <c r="Y12" s="113">
        <v>0</v>
      </c>
      <c r="Z12" s="113">
        <v>1</v>
      </c>
      <c r="AA12" s="113">
        <v>1</v>
      </c>
      <c r="AB12" s="113">
        <v>0</v>
      </c>
      <c r="AC12" s="113">
        <v>0</v>
      </c>
      <c r="AD12" s="113">
        <v>0</v>
      </c>
      <c r="AE12" s="113">
        <v>0</v>
      </c>
      <c r="AF12" s="113">
        <v>0</v>
      </c>
      <c r="AG12" s="113">
        <v>1</v>
      </c>
      <c r="AH12" s="113">
        <v>1</v>
      </c>
      <c r="AI12" s="113">
        <v>0</v>
      </c>
      <c r="AJ12" s="113">
        <v>0</v>
      </c>
      <c r="AK12" s="113">
        <v>1</v>
      </c>
      <c r="AL12" s="113">
        <v>0</v>
      </c>
      <c r="AM12" s="113">
        <v>0</v>
      </c>
      <c r="AN12" s="113">
        <v>0</v>
      </c>
      <c r="AO12" s="113">
        <v>0</v>
      </c>
      <c r="AP12" s="113">
        <v>0</v>
      </c>
    </row>
    <row r="13" spans="1:42" customFormat="1" x14ac:dyDescent="0.15">
      <c r="A13" s="162" t="s">
        <v>203</v>
      </c>
      <c r="B13" s="113">
        <v>0</v>
      </c>
      <c r="C13" s="113">
        <v>0</v>
      </c>
      <c r="D13" s="113">
        <v>0</v>
      </c>
      <c r="E13" s="113">
        <v>0</v>
      </c>
      <c r="F13" s="113">
        <v>0</v>
      </c>
      <c r="G13" s="113">
        <v>0</v>
      </c>
      <c r="H13" s="113">
        <v>0</v>
      </c>
      <c r="I13" s="113">
        <v>1</v>
      </c>
      <c r="J13" s="113">
        <v>0</v>
      </c>
      <c r="K13" s="113">
        <v>1</v>
      </c>
      <c r="L13" s="113">
        <v>0</v>
      </c>
      <c r="M13" s="113">
        <v>1</v>
      </c>
      <c r="N13" s="113">
        <v>1</v>
      </c>
      <c r="O13" s="113">
        <v>0</v>
      </c>
      <c r="P13" s="113">
        <v>1</v>
      </c>
      <c r="Q13" s="113">
        <v>1</v>
      </c>
      <c r="R13" s="113">
        <v>1</v>
      </c>
      <c r="S13" s="113">
        <v>1</v>
      </c>
      <c r="T13" s="113">
        <v>1</v>
      </c>
      <c r="U13" s="113">
        <v>1</v>
      </c>
      <c r="V13" s="113">
        <v>1</v>
      </c>
      <c r="W13" s="113">
        <v>0</v>
      </c>
      <c r="X13" s="113">
        <v>1</v>
      </c>
      <c r="Y13" s="113">
        <v>0</v>
      </c>
      <c r="Z13" s="113">
        <v>1</v>
      </c>
      <c r="AA13" s="113">
        <v>1</v>
      </c>
      <c r="AB13" s="113">
        <v>0</v>
      </c>
      <c r="AC13" s="113">
        <v>0</v>
      </c>
      <c r="AD13" s="113">
        <v>0</v>
      </c>
      <c r="AE13" s="113">
        <v>0</v>
      </c>
      <c r="AF13" s="113">
        <v>1</v>
      </c>
      <c r="AG13" s="113">
        <v>0</v>
      </c>
      <c r="AH13" s="113">
        <v>0</v>
      </c>
      <c r="AI13" s="113">
        <v>1</v>
      </c>
      <c r="AJ13" s="113">
        <v>0</v>
      </c>
      <c r="AK13" s="113">
        <v>0</v>
      </c>
      <c r="AL13" s="113">
        <v>0</v>
      </c>
      <c r="AM13" s="113">
        <v>1</v>
      </c>
      <c r="AN13" s="113">
        <v>0</v>
      </c>
      <c r="AO13" s="113">
        <v>0</v>
      </c>
      <c r="AP13" s="113">
        <v>0</v>
      </c>
    </row>
    <row r="14" spans="1:42" customFormat="1" x14ac:dyDescent="0.15">
      <c r="A14" s="162" t="s">
        <v>204</v>
      </c>
      <c r="B14" s="113">
        <v>0</v>
      </c>
      <c r="C14" s="113">
        <v>0</v>
      </c>
      <c r="D14" s="113">
        <v>0</v>
      </c>
      <c r="E14" s="113">
        <v>0</v>
      </c>
      <c r="F14" s="113">
        <v>0</v>
      </c>
      <c r="G14" s="113">
        <v>0</v>
      </c>
      <c r="H14" s="113">
        <v>0</v>
      </c>
      <c r="I14" s="113">
        <v>0</v>
      </c>
      <c r="J14" s="113">
        <v>0</v>
      </c>
      <c r="K14" s="113">
        <v>0</v>
      </c>
      <c r="L14" s="113">
        <v>0</v>
      </c>
      <c r="M14" s="113">
        <v>0</v>
      </c>
      <c r="N14" s="113">
        <v>1</v>
      </c>
      <c r="O14" s="113">
        <v>0</v>
      </c>
      <c r="P14" s="113">
        <v>0</v>
      </c>
      <c r="Q14" s="113">
        <v>0</v>
      </c>
      <c r="R14" s="113">
        <v>0</v>
      </c>
      <c r="S14" s="113">
        <v>1</v>
      </c>
      <c r="T14" s="113">
        <v>0</v>
      </c>
      <c r="U14" s="113">
        <v>1</v>
      </c>
      <c r="V14" s="113">
        <v>0</v>
      </c>
      <c r="W14" s="113">
        <v>0</v>
      </c>
      <c r="X14" s="113">
        <v>0</v>
      </c>
      <c r="Y14" s="113">
        <v>0</v>
      </c>
      <c r="Z14" s="113">
        <v>1</v>
      </c>
      <c r="AA14" s="113">
        <v>1</v>
      </c>
      <c r="AB14" s="113">
        <v>0</v>
      </c>
      <c r="AC14" s="113">
        <v>0</v>
      </c>
      <c r="AD14" s="113">
        <v>0</v>
      </c>
      <c r="AE14" s="113">
        <v>0</v>
      </c>
      <c r="AF14" s="113">
        <v>1</v>
      </c>
      <c r="AG14" s="113">
        <v>1</v>
      </c>
      <c r="AH14" s="113">
        <v>0</v>
      </c>
      <c r="AI14" s="113">
        <v>1</v>
      </c>
      <c r="AJ14" s="113">
        <v>1</v>
      </c>
      <c r="AK14" s="113">
        <v>0</v>
      </c>
      <c r="AL14" s="113">
        <v>1</v>
      </c>
      <c r="AM14" s="113">
        <v>1</v>
      </c>
      <c r="AN14" s="113">
        <v>0</v>
      </c>
      <c r="AO14" s="113">
        <v>0</v>
      </c>
      <c r="AP14" s="113">
        <v>0</v>
      </c>
    </row>
    <row r="15" spans="1:42" customFormat="1" x14ac:dyDescent="0.15">
      <c r="A15" s="162" t="s">
        <v>205</v>
      </c>
      <c r="B15" s="113">
        <v>0</v>
      </c>
      <c r="C15" s="113">
        <v>0</v>
      </c>
      <c r="D15" s="113">
        <v>0</v>
      </c>
      <c r="E15" s="113">
        <v>0</v>
      </c>
      <c r="F15" s="113">
        <v>0</v>
      </c>
      <c r="G15" s="113">
        <v>0</v>
      </c>
      <c r="H15" s="113">
        <v>0</v>
      </c>
      <c r="I15" s="113">
        <v>0</v>
      </c>
      <c r="J15" s="113">
        <v>0</v>
      </c>
      <c r="K15" s="113">
        <v>0</v>
      </c>
      <c r="L15" s="113">
        <v>0</v>
      </c>
      <c r="M15" s="113">
        <v>0</v>
      </c>
      <c r="N15" s="113">
        <v>1</v>
      </c>
      <c r="O15" s="113">
        <v>0</v>
      </c>
      <c r="P15" s="113">
        <v>1</v>
      </c>
      <c r="Q15" s="113">
        <v>0</v>
      </c>
      <c r="R15" s="113">
        <v>1</v>
      </c>
      <c r="S15" s="113">
        <v>1</v>
      </c>
      <c r="T15" s="113">
        <v>0</v>
      </c>
      <c r="U15" s="113">
        <v>1</v>
      </c>
      <c r="V15" s="113">
        <v>0</v>
      </c>
      <c r="W15" s="113">
        <v>0</v>
      </c>
      <c r="X15" s="113">
        <v>0</v>
      </c>
      <c r="Y15" s="113">
        <v>0</v>
      </c>
      <c r="Z15" s="113">
        <v>1</v>
      </c>
      <c r="AA15" s="113">
        <v>1</v>
      </c>
      <c r="AB15" s="113">
        <v>0</v>
      </c>
      <c r="AC15" s="113">
        <v>0</v>
      </c>
      <c r="AD15" s="113">
        <v>0</v>
      </c>
      <c r="AE15" s="113">
        <v>0</v>
      </c>
      <c r="AF15" s="113">
        <v>0</v>
      </c>
      <c r="AG15" s="113">
        <v>0</v>
      </c>
      <c r="AH15" s="113">
        <v>0</v>
      </c>
      <c r="AI15" s="113">
        <v>1</v>
      </c>
      <c r="AJ15" s="113">
        <v>0</v>
      </c>
      <c r="AK15" s="113">
        <v>0</v>
      </c>
      <c r="AL15" s="113">
        <v>0</v>
      </c>
      <c r="AM15" s="113">
        <v>0</v>
      </c>
      <c r="AN15" s="113">
        <v>0</v>
      </c>
      <c r="AO15" s="113">
        <v>0</v>
      </c>
      <c r="AP15" s="113">
        <v>0</v>
      </c>
    </row>
    <row r="16" spans="1:42" customFormat="1" x14ac:dyDescent="0.15">
      <c r="A16" s="162" t="s">
        <v>206</v>
      </c>
      <c r="B16" s="113">
        <v>0</v>
      </c>
      <c r="C16" s="113">
        <v>0</v>
      </c>
      <c r="D16" s="113">
        <v>0</v>
      </c>
      <c r="E16" s="113">
        <v>0</v>
      </c>
      <c r="F16" s="113">
        <v>0</v>
      </c>
      <c r="G16" s="113">
        <v>0</v>
      </c>
      <c r="H16" s="113">
        <v>0</v>
      </c>
      <c r="I16" s="113">
        <v>0</v>
      </c>
      <c r="J16" s="113">
        <v>0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1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1</v>
      </c>
      <c r="AA16" s="113">
        <v>0</v>
      </c>
      <c r="AB16" s="113">
        <v>0</v>
      </c>
      <c r="AC16" s="113">
        <v>0</v>
      </c>
      <c r="AD16" s="113">
        <v>0</v>
      </c>
      <c r="AE16" s="113">
        <v>0</v>
      </c>
      <c r="AF16" s="113">
        <v>0</v>
      </c>
      <c r="AG16" s="113">
        <v>0</v>
      </c>
      <c r="AH16" s="113">
        <v>0</v>
      </c>
      <c r="AI16" s="113">
        <v>0</v>
      </c>
      <c r="AJ16" s="113">
        <v>0</v>
      </c>
      <c r="AK16" s="113">
        <v>0</v>
      </c>
      <c r="AL16" s="113">
        <v>0</v>
      </c>
      <c r="AM16" s="113">
        <v>0</v>
      </c>
      <c r="AN16" s="113">
        <v>0</v>
      </c>
      <c r="AO16" s="113">
        <v>0</v>
      </c>
      <c r="AP16" s="113">
        <v>0</v>
      </c>
    </row>
    <row r="17" spans="1:42" customFormat="1" x14ac:dyDescent="0.15">
      <c r="A17" s="162" t="s">
        <v>207</v>
      </c>
      <c r="B17" s="113">
        <v>0</v>
      </c>
      <c r="C17" s="113">
        <v>0</v>
      </c>
      <c r="D17" s="113">
        <v>0</v>
      </c>
      <c r="E17" s="113">
        <v>0</v>
      </c>
      <c r="F17" s="113">
        <v>0</v>
      </c>
      <c r="G17" s="113">
        <v>0</v>
      </c>
      <c r="H17" s="113">
        <v>0</v>
      </c>
      <c r="I17" s="113">
        <v>1</v>
      </c>
      <c r="J17" s="113">
        <v>0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1</v>
      </c>
      <c r="Q17" s="113">
        <v>1</v>
      </c>
      <c r="R17" s="113">
        <v>0</v>
      </c>
      <c r="S17" s="113">
        <v>1</v>
      </c>
      <c r="T17" s="113">
        <v>1</v>
      </c>
      <c r="U17" s="113">
        <v>1</v>
      </c>
      <c r="V17" s="113">
        <v>1</v>
      </c>
      <c r="W17" s="113">
        <v>0</v>
      </c>
      <c r="X17" s="113">
        <v>0</v>
      </c>
      <c r="Y17" s="113">
        <v>0</v>
      </c>
      <c r="Z17" s="113">
        <v>1</v>
      </c>
      <c r="AA17" s="113">
        <v>1</v>
      </c>
      <c r="AB17" s="113">
        <v>0</v>
      </c>
      <c r="AC17" s="113">
        <v>0</v>
      </c>
      <c r="AD17" s="113">
        <v>0</v>
      </c>
      <c r="AE17" s="113">
        <v>0</v>
      </c>
      <c r="AF17" s="113">
        <v>1</v>
      </c>
      <c r="AG17" s="113">
        <v>0</v>
      </c>
      <c r="AH17" s="113">
        <v>0</v>
      </c>
      <c r="AI17" s="113">
        <v>0</v>
      </c>
      <c r="AJ17" s="113">
        <v>0</v>
      </c>
      <c r="AK17" s="113">
        <v>0</v>
      </c>
      <c r="AL17" s="113">
        <v>0</v>
      </c>
      <c r="AM17" s="113">
        <v>1</v>
      </c>
      <c r="AN17" s="113">
        <v>0</v>
      </c>
      <c r="AO17" s="113">
        <v>0</v>
      </c>
      <c r="AP17" s="113">
        <v>0</v>
      </c>
    </row>
    <row r="18" spans="1:42" customFormat="1" x14ac:dyDescent="0.15">
      <c r="A18" s="162" t="s">
        <v>208</v>
      </c>
      <c r="B18" s="113">
        <v>0</v>
      </c>
      <c r="C18" s="113">
        <v>0</v>
      </c>
      <c r="D18" s="113">
        <v>0</v>
      </c>
      <c r="E18" s="113">
        <v>0</v>
      </c>
      <c r="F18" s="113">
        <v>0</v>
      </c>
      <c r="G18" s="113">
        <v>0</v>
      </c>
      <c r="H18" s="113">
        <v>0</v>
      </c>
      <c r="I18" s="113">
        <v>0</v>
      </c>
      <c r="J18" s="113">
        <v>0</v>
      </c>
      <c r="K18" s="113">
        <v>0</v>
      </c>
      <c r="L18" s="113">
        <v>0</v>
      </c>
      <c r="M18" s="113">
        <v>1</v>
      </c>
      <c r="N18" s="113">
        <v>1</v>
      </c>
      <c r="O18" s="113">
        <v>0</v>
      </c>
      <c r="P18" s="113">
        <v>1</v>
      </c>
      <c r="Q18" s="113">
        <v>1</v>
      </c>
      <c r="R18" s="113">
        <v>1</v>
      </c>
      <c r="S18" s="113">
        <v>1</v>
      </c>
      <c r="T18" s="113">
        <v>0</v>
      </c>
      <c r="U18" s="113">
        <v>1</v>
      </c>
      <c r="V18" s="113">
        <v>0</v>
      </c>
      <c r="W18" s="113">
        <v>0</v>
      </c>
      <c r="X18" s="113">
        <v>0</v>
      </c>
      <c r="Y18" s="113">
        <v>0</v>
      </c>
      <c r="Z18" s="113">
        <v>1</v>
      </c>
      <c r="AA18" s="113">
        <v>1</v>
      </c>
      <c r="AB18" s="113">
        <v>0</v>
      </c>
      <c r="AC18" s="113">
        <v>0</v>
      </c>
      <c r="AD18" s="113">
        <v>0</v>
      </c>
      <c r="AE18" s="113">
        <v>0</v>
      </c>
      <c r="AF18" s="113">
        <v>1</v>
      </c>
      <c r="AG18" s="113">
        <v>1</v>
      </c>
      <c r="AH18" s="113">
        <v>0</v>
      </c>
      <c r="AI18" s="113">
        <v>1</v>
      </c>
      <c r="AJ18" s="113">
        <v>0</v>
      </c>
      <c r="AK18" s="113">
        <v>0</v>
      </c>
      <c r="AL18" s="113">
        <v>0</v>
      </c>
      <c r="AM18" s="113">
        <v>1</v>
      </c>
      <c r="AN18" s="113">
        <v>0</v>
      </c>
      <c r="AO18" s="113">
        <v>0</v>
      </c>
      <c r="AP18" s="113">
        <v>0</v>
      </c>
    </row>
    <row r="19" spans="1:42" customFormat="1" x14ac:dyDescent="0.15">
      <c r="A19" s="162" t="s">
        <v>209</v>
      </c>
      <c r="B19" s="113">
        <v>0</v>
      </c>
      <c r="C19" s="113">
        <v>0</v>
      </c>
      <c r="D19" s="113">
        <v>0</v>
      </c>
      <c r="E19" s="113">
        <v>0</v>
      </c>
      <c r="F19" s="113">
        <v>0</v>
      </c>
      <c r="G19" s="113">
        <v>0</v>
      </c>
      <c r="H19" s="113">
        <v>0</v>
      </c>
      <c r="I19" s="113">
        <v>0</v>
      </c>
      <c r="J19" s="113">
        <v>0</v>
      </c>
      <c r="K19" s="113">
        <v>0</v>
      </c>
      <c r="L19" s="113">
        <v>0</v>
      </c>
      <c r="M19" s="113">
        <v>0</v>
      </c>
      <c r="N19" s="113">
        <v>1</v>
      </c>
      <c r="O19" s="113">
        <v>0</v>
      </c>
      <c r="P19" s="113">
        <v>1</v>
      </c>
      <c r="Q19" s="113">
        <v>0</v>
      </c>
      <c r="R19" s="113">
        <v>0</v>
      </c>
      <c r="S19" s="113">
        <v>1</v>
      </c>
      <c r="T19" s="113">
        <v>0</v>
      </c>
      <c r="U19" s="113">
        <v>1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1</v>
      </c>
      <c r="AB19" s="113">
        <v>0</v>
      </c>
      <c r="AC19" s="113">
        <v>0</v>
      </c>
      <c r="AD19" s="113">
        <v>0</v>
      </c>
      <c r="AE19" s="113">
        <v>0</v>
      </c>
      <c r="AF19" s="113">
        <v>0</v>
      </c>
      <c r="AG19" s="113">
        <v>0</v>
      </c>
      <c r="AH19" s="113">
        <v>0</v>
      </c>
      <c r="AI19" s="113">
        <v>0</v>
      </c>
      <c r="AJ19" s="113">
        <v>1</v>
      </c>
      <c r="AK19" s="113">
        <v>0</v>
      </c>
      <c r="AL19" s="113">
        <v>0</v>
      </c>
      <c r="AM19" s="113">
        <v>1</v>
      </c>
      <c r="AN19" s="113">
        <v>0</v>
      </c>
      <c r="AO19" s="113">
        <v>0</v>
      </c>
      <c r="AP19" s="113">
        <v>0</v>
      </c>
    </row>
    <row r="20" spans="1:42" customFormat="1" x14ac:dyDescent="0.15">
      <c r="A20" s="162" t="s">
        <v>210</v>
      </c>
      <c r="B20" s="113">
        <v>0</v>
      </c>
      <c r="C20" s="113">
        <v>0</v>
      </c>
      <c r="D20" s="113">
        <v>0</v>
      </c>
      <c r="E20" s="113">
        <v>0</v>
      </c>
      <c r="F20" s="113">
        <v>0</v>
      </c>
      <c r="G20" s="113">
        <v>0</v>
      </c>
      <c r="H20" s="113">
        <v>0</v>
      </c>
      <c r="I20" s="113">
        <v>1</v>
      </c>
      <c r="J20" s="113">
        <v>1</v>
      </c>
      <c r="K20" s="113">
        <v>0</v>
      </c>
      <c r="L20" s="113">
        <v>0</v>
      </c>
      <c r="M20" s="113">
        <v>1</v>
      </c>
      <c r="N20" s="113">
        <v>0</v>
      </c>
      <c r="O20" s="113">
        <v>0</v>
      </c>
      <c r="P20" s="113">
        <v>0</v>
      </c>
      <c r="Q20" s="113">
        <v>1</v>
      </c>
      <c r="R20" s="113">
        <v>1</v>
      </c>
      <c r="S20" s="113">
        <v>1</v>
      </c>
      <c r="T20" s="113">
        <v>1</v>
      </c>
      <c r="U20" s="113">
        <v>1</v>
      </c>
      <c r="V20" s="113">
        <v>1</v>
      </c>
      <c r="W20" s="113">
        <v>0</v>
      </c>
      <c r="X20" s="113">
        <v>0</v>
      </c>
      <c r="Y20" s="113">
        <v>0</v>
      </c>
      <c r="Z20" s="113">
        <v>0</v>
      </c>
      <c r="AA20" s="113">
        <v>1</v>
      </c>
      <c r="AB20" s="113">
        <v>0</v>
      </c>
      <c r="AC20" s="113">
        <v>0</v>
      </c>
      <c r="AD20" s="113">
        <v>0</v>
      </c>
      <c r="AE20" s="113">
        <v>0</v>
      </c>
      <c r="AF20" s="113">
        <v>0</v>
      </c>
      <c r="AG20" s="113">
        <v>0</v>
      </c>
      <c r="AH20" s="113">
        <v>0</v>
      </c>
      <c r="AI20" s="113">
        <v>0</v>
      </c>
      <c r="AJ20" s="113">
        <v>0</v>
      </c>
      <c r="AK20" s="113">
        <v>0</v>
      </c>
      <c r="AL20" s="113">
        <v>0</v>
      </c>
      <c r="AM20" s="113">
        <v>0</v>
      </c>
      <c r="AN20" s="113">
        <v>0</v>
      </c>
      <c r="AO20" s="113">
        <v>0</v>
      </c>
      <c r="AP20" s="113">
        <v>0</v>
      </c>
    </row>
    <row r="21" spans="1:42" customFormat="1" x14ac:dyDescent="0.15">
      <c r="A21" s="162" t="s">
        <v>211</v>
      </c>
      <c r="B21" s="113">
        <v>0</v>
      </c>
      <c r="C21" s="113">
        <v>0</v>
      </c>
      <c r="D21" s="113">
        <v>0</v>
      </c>
      <c r="E21" s="113">
        <v>0</v>
      </c>
      <c r="F21" s="113">
        <v>0</v>
      </c>
      <c r="G21" s="113">
        <v>0</v>
      </c>
      <c r="H21" s="113">
        <v>0</v>
      </c>
      <c r="I21" s="113">
        <v>0</v>
      </c>
      <c r="J21" s="113">
        <v>0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1</v>
      </c>
      <c r="Q21" s="113">
        <v>1</v>
      </c>
      <c r="R21" s="113">
        <v>0</v>
      </c>
      <c r="S21" s="113">
        <v>1</v>
      </c>
      <c r="T21" s="113">
        <v>0</v>
      </c>
      <c r="U21" s="113">
        <v>1</v>
      </c>
      <c r="V21" s="113">
        <v>1</v>
      </c>
      <c r="W21" s="113">
        <v>0</v>
      </c>
      <c r="X21" s="113">
        <v>0</v>
      </c>
      <c r="Y21" s="113">
        <v>0</v>
      </c>
      <c r="Z21" s="113">
        <v>0</v>
      </c>
      <c r="AA21" s="113">
        <v>1</v>
      </c>
      <c r="AB21" s="113">
        <v>0</v>
      </c>
      <c r="AC21" s="113">
        <v>0</v>
      </c>
      <c r="AD21" s="113">
        <v>0</v>
      </c>
      <c r="AE21" s="113">
        <v>0</v>
      </c>
      <c r="AF21" s="113">
        <v>0</v>
      </c>
      <c r="AG21" s="113">
        <v>0</v>
      </c>
      <c r="AH21" s="113">
        <v>0</v>
      </c>
      <c r="AI21" s="113">
        <v>0</v>
      </c>
      <c r="AJ21" s="113">
        <v>1</v>
      </c>
      <c r="AK21" s="113">
        <v>0</v>
      </c>
      <c r="AL21" s="113">
        <v>0</v>
      </c>
      <c r="AM21" s="113">
        <v>1</v>
      </c>
      <c r="AN21" s="113">
        <v>0</v>
      </c>
      <c r="AO21" s="113">
        <v>0</v>
      </c>
      <c r="AP21" s="113">
        <v>0</v>
      </c>
    </row>
    <row r="22" spans="1:42" customFormat="1" x14ac:dyDescent="0.15">
      <c r="A22" s="162" t="s">
        <v>212</v>
      </c>
      <c r="B22" s="113">
        <v>0</v>
      </c>
      <c r="C22" s="113">
        <v>0</v>
      </c>
      <c r="D22" s="113">
        <v>0</v>
      </c>
      <c r="E22" s="113">
        <v>0</v>
      </c>
      <c r="F22" s="113">
        <v>0</v>
      </c>
      <c r="G22" s="113">
        <v>0</v>
      </c>
      <c r="H22" s="113">
        <v>0</v>
      </c>
      <c r="I22" s="113">
        <v>0</v>
      </c>
      <c r="J22" s="113">
        <v>1</v>
      </c>
      <c r="K22" s="113">
        <v>0</v>
      </c>
      <c r="L22" s="113">
        <v>0</v>
      </c>
      <c r="M22" s="113">
        <v>1</v>
      </c>
      <c r="N22" s="113">
        <v>0</v>
      </c>
      <c r="O22" s="113">
        <v>0</v>
      </c>
      <c r="P22" s="113">
        <v>1</v>
      </c>
      <c r="Q22" s="113">
        <v>1</v>
      </c>
      <c r="R22" s="113">
        <v>1</v>
      </c>
      <c r="S22" s="113">
        <v>1</v>
      </c>
      <c r="T22" s="113">
        <v>1</v>
      </c>
      <c r="U22" s="113">
        <v>1</v>
      </c>
      <c r="V22" s="113">
        <v>1</v>
      </c>
      <c r="W22" s="113">
        <v>0</v>
      </c>
      <c r="X22" s="113">
        <v>0</v>
      </c>
      <c r="Y22" s="113">
        <v>0</v>
      </c>
      <c r="Z22" s="113">
        <v>0</v>
      </c>
      <c r="AA22" s="113">
        <v>1</v>
      </c>
      <c r="AB22" s="113">
        <v>0</v>
      </c>
      <c r="AC22" s="113">
        <v>0</v>
      </c>
      <c r="AD22" s="113">
        <v>0</v>
      </c>
      <c r="AE22" s="113">
        <v>0</v>
      </c>
      <c r="AF22" s="113">
        <v>1</v>
      </c>
      <c r="AG22" s="113">
        <v>0</v>
      </c>
      <c r="AH22" s="113">
        <v>0</v>
      </c>
      <c r="AI22" s="113">
        <v>0</v>
      </c>
      <c r="AJ22" s="113">
        <v>0</v>
      </c>
      <c r="AK22" s="113">
        <v>0</v>
      </c>
      <c r="AL22" s="113">
        <v>0</v>
      </c>
      <c r="AM22" s="113">
        <v>1</v>
      </c>
      <c r="AN22" s="113">
        <v>0</v>
      </c>
      <c r="AO22" s="113">
        <v>0</v>
      </c>
      <c r="AP22" s="113">
        <v>0</v>
      </c>
    </row>
    <row r="23" spans="1:42" customFormat="1" x14ac:dyDescent="0.15">
      <c r="A23" s="162" t="s">
        <v>213</v>
      </c>
      <c r="B23" s="113">
        <v>0</v>
      </c>
      <c r="C23" s="113">
        <v>0</v>
      </c>
      <c r="D23" s="113">
        <v>0</v>
      </c>
      <c r="E23" s="113">
        <v>0</v>
      </c>
      <c r="F23" s="113">
        <v>0</v>
      </c>
      <c r="G23" s="113">
        <v>0</v>
      </c>
      <c r="H23" s="113">
        <v>0</v>
      </c>
      <c r="I23" s="113">
        <v>0</v>
      </c>
      <c r="J23" s="113">
        <v>1</v>
      </c>
      <c r="K23" s="113">
        <v>0</v>
      </c>
      <c r="L23" s="113">
        <v>0</v>
      </c>
      <c r="M23" s="113">
        <v>1</v>
      </c>
      <c r="N23" s="113">
        <v>0</v>
      </c>
      <c r="O23" s="113">
        <v>0</v>
      </c>
      <c r="P23" s="113">
        <v>1</v>
      </c>
      <c r="Q23" s="113">
        <v>1</v>
      </c>
      <c r="R23" s="113">
        <v>1</v>
      </c>
      <c r="S23" s="113">
        <v>1</v>
      </c>
      <c r="T23" s="113">
        <v>1</v>
      </c>
      <c r="U23" s="113">
        <v>1</v>
      </c>
      <c r="V23" s="113">
        <v>1</v>
      </c>
      <c r="W23" s="113">
        <v>0</v>
      </c>
      <c r="X23" s="113">
        <v>0</v>
      </c>
      <c r="Y23" s="113">
        <v>0</v>
      </c>
      <c r="Z23" s="113">
        <v>0</v>
      </c>
      <c r="AA23" s="113">
        <v>1</v>
      </c>
      <c r="AB23" s="113">
        <v>0</v>
      </c>
      <c r="AC23" s="113">
        <v>0</v>
      </c>
      <c r="AD23" s="113">
        <v>0</v>
      </c>
      <c r="AE23" s="113">
        <v>0</v>
      </c>
      <c r="AF23" s="113">
        <v>0</v>
      </c>
      <c r="AG23" s="113">
        <v>1</v>
      </c>
      <c r="AH23" s="113">
        <v>0</v>
      </c>
      <c r="AI23" s="113">
        <v>0</v>
      </c>
      <c r="AJ23" s="113">
        <v>0</v>
      </c>
      <c r="AK23" s="113">
        <v>0</v>
      </c>
      <c r="AL23" s="113">
        <v>0</v>
      </c>
      <c r="AM23" s="113">
        <v>1</v>
      </c>
      <c r="AN23" s="113">
        <v>0</v>
      </c>
      <c r="AO23" s="113">
        <v>0</v>
      </c>
      <c r="AP23" s="113">
        <v>0</v>
      </c>
    </row>
    <row r="24" spans="1:42" customFormat="1" x14ac:dyDescent="0.15">
      <c r="A24" s="162" t="s">
        <v>214</v>
      </c>
      <c r="B24" s="113">
        <v>0</v>
      </c>
      <c r="C24" s="113">
        <v>0</v>
      </c>
      <c r="D24" s="113">
        <v>0</v>
      </c>
      <c r="E24" s="113">
        <v>0</v>
      </c>
      <c r="F24" s="113">
        <v>0</v>
      </c>
      <c r="G24" s="113">
        <v>0</v>
      </c>
      <c r="H24" s="113">
        <v>0</v>
      </c>
      <c r="I24" s="113">
        <v>1</v>
      </c>
      <c r="J24" s="113">
        <v>0</v>
      </c>
      <c r="K24" s="113">
        <v>0</v>
      </c>
      <c r="L24" s="113">
        <v>0</v>
      </c>
      <c r="M24" s="113">
        <v>0</v>
      </c>
      <c r="N24" s="113">
        <v>1</v>
      </c>
      <c r="O24" s="113">
        <v>0</v>
      </c>
      <c r="P24" s="113">
        <v>1</v>
      </c>
      <c r="Q24" s="113">
        <v>0</v>
      </c>
      <c r="R24" s="113">
        <v>1</v>
      </c>
      <c r="S24" s="113">
        <v>1</v>
      </c>
      <c r="T24" s="113">
        <v>0</v>
      </c>
      <c r="U24" s="113">
        <v>1</v>
      </c>
      <c r="V24" s="113">
        <v>1</v>
      </c>
      <c r="W24" s="113">
        <v>0</v>
      </c>
      <c r="X24" s="113">
        <v>0</v>
      </c>
      <c r="Y24" s="113">
        <v>0</v>
      </c>
      <c r="Z24" s="113">
        <v>1</v>
      </c>
      <c r="AA24" s="113">
        <v>1</v>
      </c>
      <c r="AB24" s="113">
        <v>0</v>
      </c>
      <c r="AC24" s="113">
        <v>0</v>
      </c>
      <c r="AD24" s="113">
        <v>0</v>
      </c>
      <c r="AE24" s="113">
        <v>0</v>
      </c>
      <c r="AF24" s="113">
        <v>1</v>
      </c>
      <c r="AG24" s="113">
        <v>1</v>
      </c>
      <c r="AH24" s="113">
        <v>0</v>
      </c>
      <c r="AI24" s="113">
        <v>0</v>
      </c>
      <c r="AJ24" s="113">
        <v>1</v>
      </c>
      <c r="AK24" s="113">
        <v>0</v>
      </c>
      <c r="AL24" s="113">
        <v>0</v>
      </c>
      <c r="AM24" s="113">
        <v>1</v>
      </c>
      <c r="AN24" s="113">
        <v>0</v>
      </c>
      <c r="AO24" s="113">
        <v>0</v>
      </c>
      <c r="AP24" s="113">
        <v>0</v>
      </c>
    </row>
    <row r="25" spans="1:42" customFormat="1" x14ac:dyDescent="0.15">
      <c r="A25" s="162" t="s">
        <v>215</v>
      </c>
      <c r="B25" s="113">
        <v>0</v>
      </c>
      <c r="C25" s="113">
        <v>0</v>
      </c>
      <c r="D25" s="113">
        <v>0</v>
      </c>
      <c r="E25" s="113">
        <v>0</v>
      </c>
      <c r="F25" s="113">
        <v>0</v>
      </c>
      <c r="G25" s="113">
        <v>0</v>
      </c>
      <c r="H25" s="113">
        <v>0</v>
      </c>
      <c r="I25" s="113">
        <v>0</v>
      </c>
      <c r="J25" s="113">
        <v>0</v>
      </c>
      <c r="K25" s="113">
        <v>0</v>
      </c>
      <c r="L25" s="113">
        <v>0</v>
      </c>
      <c r="M25" s="113">
        <v>1</v>
      </c>
      <c r="N25" s="113">
        <v>1</v>
      </c>
      <c r="O25" s="113">
        <v>0</v>
      </c>
      <c r="P25" s="113">
        <v>1</v>
      </c>
      <c r="Q25" s="113">
        <v>0</v>
      </c>
      <c r="R25" s="113">
        <v>1</v>
      </c>
      <c r="S25" s="113">
        <v>1</v>
      </c>
      <c r="T25" s="113">
        <v>0</v>
      </c>
      <c r="U25" s="113">
        <v>1</v>
      </c>
      <c r="V25" s="113">
        <v>1</v>
      </c>
      <c r="W25" s="113">
        <v>0</v>
      </c>
      <c r="X25" s="113">
        <v>0</v>
      </c>
      <c r="Y25" s="113">
        <v>0</v>
      </c>
      <c r="Z25" s="113">
        <v>0</v>
      </c>
      <c r="AA25" s="113">
        <v>1</v>
      </c>
      <c r="AB25" s="113">
        <v>0</v>
      </c>
      <c r="AC25" s="113">
        <v>0</v>
      </c>
      <c r="AD25" s="113">
        <v>0</v>
      </c>
      <c r="AE25" s="113">
        <v>0</v>
      </c>
      <c r="AF25" s="113">
        <v>0</v>
      </c>
      <c r="AG25" s="113">
        <v>0</v>
      </c>
      <c r="AH25" s="113">
        <v>0</v>
      </c>
      <c r="AI25" s="113">
        <v>1</v>
      </c>
      <c r="AJ25" s="113">
        <v>0</v>
      </c>
      <c r="AK25" s="113">
        <v>0</v>
      </c>
      <c r="AL25" s="113">
        <v>0</v>
      </c>
      <c r="AM25" s="113">
        <v>1</v>
      </c>
      <c r="AN25" s="113">
        <v>0</v>
      </c>
      <c r="AO25" s="113">
        <v>0</v>
      </c>
      <c r="AP25" s="113">
        <v>0</v>
      </c>
    </row>
    <row r="26" spans="1:42" customFormat="1" x14ac:dyDescent="0.15">
      <c r="A26" s="162" t="s">
        <v>216</v>
      </c>
      <c r="B26" s="113">
        <v>0</v>
      </c>
      <c r="C26" s="113">
        <v>0</v>
      </c>
      <c r="D26" s="113">
        <v>0</v>
      </c>
      <c r="E26" s="113">
        <v>0</v>
      </c>
      <c r="F26" s="113">
        <v>0</v>
      </c>
      <c r="G26" s="113">
        <v>0</v>
      </c>
      <c r="H26" s="113">
        <v>0</v>
      </c>
      <c r="I26" s="113">
        <v>0</v>
      </c>
      <c r="J26" s="113">
        <v>0</v>
      </c>
      <c r="K26" s="113">
        <v>0</v>
      </c>
      <c r="L26" s="113">
        <v>0</v>
      </c>
      <c r="M26" s="113">
        <v>0</v>
      </c>
      <c r="N26" s="113">
        <v>1</v>
      </c>
      <c r="O26" s="113">
        <v>0</v>
      </c>
      <c r="P26" s="113">
        <v>1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</v>
      </c>
      <c r="AA26" s="113">
        <v>0</v>
      </c>
      <c r="AB26" s="113">
        <v>0</v>
      </c>
      <c r="AC26" s="113">
        <v>0</v>
      </c>
      <c r="AD26" s="113">
        <v>0</v>
      </c>
      <c r="AE26" s="113">
        <v>0</v>
      </c>
      <c r="AF26" s="113">
        <v>0</v>
      </c>
      <c r="AG26" s="113">
        <v>0</v>
      </c>
      <c r="AH26" s="113">
        <v>0</v>
      </c>
      <c r="AI26" s="113">
        <v>0</v>
      </c>
      <c r="AJ26" s="113">
        <v>0</v>
      </c>
      <c r="AK26" s="113">
        <v>0</v>
      </c>
      <c r="AL26" s="113">
        <v>0</v>
      </c>
      <c r="AM26" s="113">
        <v>0</v>
      </c>
      <c r="AN26" s="113">
        <v>0</v>
      </c>
      <c r="AO26" s="113">
        <v>0</v>
      </c>
      <c r="AP26" s="113">
        <v>0</v>
      </c>
    </row>
    <row r="27" spans="1:42" customFormat="1" x14ac:dyDescent="0.15">
      <c r="A27" s="162" t="s">
        <v>217</v>
      </c>
      <c r="B27" s="113">
        <v>0</v>
      </c>
      <c r="C27" s="113">
        <v>0</v>
      </c>
      <c r="D27" s="113">
        <v>0</v>
      </c>
      <c r="E27" s="113">
        <v>0</v>
      </c>
      <c r="F27" s="113">
        <v>0</v>
      </c>
      <c r="G27" s="113">
        <v>0</v>
      </c>
      <c r="H27" s="113">
        <v>0</v>
      </c>
      <c r="I27" s="113">
        <v>0</v>
      </c>
      <c r="J27" s="113">
        <v>0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1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1</v>
      </c>
      <c r="AA27" s="113">
        <v>0</v>
      </c>
      <c r="AB27" s="113">
        <v>0</v>
      </c>
      <c r="AC27" s="113">
        <v>0</v>
      </c>
      <c r="AD27" s="113">
        <v>0</v>
      </c>
      <c r="AE27" s="113">
        <v>0</v>
      </c>
      <c r="AF27" s="113">
        <v>0</v>
      </c>
      <c r="AG27" s="113">
        <v>0</v>
      </c>
      <c r="AH27" s="113">
        <v>0</v>
      </c>
      <c r="AI27" s="113">
        <v>0</v>
      </c>
      <c r="AJ27" s="113">
        <v>0</v>
      </c>
      <c r="AK27" s="113">
        <v>0</v>
      </c>
      <c r="AL27" s="113">
        <v>0</v>
      </c>
      <c r="AM27" s="113">
        <v>0</v>
      </c>
      <c r="AN27" s="113">
        <v>0</v>
      </c>
      <c r="AO27" s="113">
        <v>0</v>
      </c>
      <c r="AP27" s="113">
        <v>0</v>
      </c>
    </row>
    <row r="28" spans="1:42" customFormat="1" x14ac:dyDescent="0.15">
      <c r="A28" s="162" t="s">
        <v>218</v>
      </c>
      <c r="B28" s="113">
        <v>0</v>
      </c>
      <c r="C28" s="113">
        <v>0</v>
      </c>
      <c r="D28" s="113">
        <v>0</v>
      </c>
      <c r="E28" s="113">
        <v>0</v>
      </c>
      <c r="F28" s="113">
        <v>0</v>
      </c>
      <c r="G28" s="113">
        <v>0</v>
      </c>
      <c r="H28" s="113">
        <v>0</v>
      </c>
      <c r="I28" s="113">
        <v>0</v>
      </c>
      <c r="J28" s="113">
        <v>0</v>
      </c>
      <c r="K28" s="113">
        <v>0</v>
      </c>
      <c r="L28" s="113">
        <v>0</v>
      </c>
      <c r="M28" s="113">
        <v>0</v>
      </c>
      <c r="N28" s="113">
        <v>1</v>
      </c>
      <c r="O28" s="113">
        <v>0</v>
      </c>
      <c r="P28" s="113">
        <v>1</v>
      </c>
      <c r="Q28" s="113">
        <v>1</v>
      </c>
      <c r="R28" s="113">
        <v>1</v>
      </c>
      <c r="S28" s="113">
        <v>1</v>
      </c>
      <c r="T28" s="113">
        <v>0</v>
      </c>
      <c r="U28" s="113">
        <v>1</v>
      </c>
      <c r="V28" s="113">
        <v>1</v>
      </c>
      <c r="W28" s="113">
        <v>0</v>
      </c>
      <c r="X28" s="113">
        <v>0</v>
      </c>
      <c r="Y28" s="113">
        <v>0</v>
      </c>
      <c r="Z28" s="113">
        <v>1</v>
      </c>
      <c r="AA28" s="113">
        <v>1</v>
      </c>
      <c r="AB28" s="113">
        <v>0</v>
      </c>
      <c r="AC28" s="113">
        <v>0</v>
      </c>
      <c r="AD28" s="113">
        <v>0</v>
      </c>
      <c r="AE28" s="113">
        <v>0</v>
      </c>
      <c r="AF28" s="113">
        <v>1</v>
      </c>
      <c r="AG28" s="113">
        <v>1</v>
      </c>
      <c r="AH28" s="113">
        <v>0</v>
      </c>
      <c r="AI28" s="113">
        <v>1</v>
      </c>
      <c r="AJ28" s="113">
        <v>1</v>
      </c>
      <c r="AK28" s="113">
        <v>0</v>
      </c>
      <c r="AL28" s="113">
        <v>0</v>
      </c>
      <c r="AM28" s="113">
        <v>1</v>
      </c>
      <c r="AN28" s="113">
        <v>0</v>
      </c>
      <c r="AO28" s="113">
        <v>0</v>
      </c>
      <c r="AP28" s="113">
        <v>0</v>
      </c>
    </row>
    <row r="29" spans="1:42" customFormat="1" x14ac:dyDescent="0.15">
      <c r="A29" s="162" t="s">
        <v>219</v>
      </c>
      <c r="B29" s="113">
        <v>0</v>
      </c>
      <c r="C29" s="113">
        <v>0</v>
      </c>
      <c r="D29" s="113">
        <v>0</v>
      </c>
      <c r="E29" s="113">
        <v>0</v>
      </c>
      <c r="F29" s="113">
        <v>0</v>
      </c>
      <c r="G29" s="113">
        <v>0</v>
      </c>
      <c r="H29" s="113">
        <v>0</v>
      </c>
      <c r="I29" s="113">
        <v>0</v>
      </c>
      <c r="J29" s="113">
        <v>0</v>
      </c>
      <c r="K29" s="113">
        <v>0</v>
      </c>
      <c r="L29" s="113">
        <v>0</v>
      </c>
      <c r="M29" s="113">
        <v>0</v>
      </c>
      <c r="N29" s="113">
        <v>1</v>
      </c>
      <c r="O29" s="113">
        <v>0</v>
      </c>
      <c r="P29" s="113">
        <v>1</v>
      </c>
      <c r="Q29" s="113">
        <v>1</v>
      </c>
      <c r="R29" s="113">
        <v>1</v>
      </c>
      <c r="S29" s="113">
        <v>1</v>
      </c>
      <c r="T29" s="113">
        <v>0</v>
      </c>
      <c r="U29" s="113">
        <v>1</v>
      </c>
      <c r="V29" s="113">
        <v>0</v>
      </c>
      <c r="W29" s="113">
        <v>0</v>
      </c>
      <c r="X29" s="113">
        <v>0</v>
      </c>
      <c r="Y29" s="113">
        <v>0</v>
      </c>
      <c r="Z29" s="113">
        <v>1</v>
      </c>
      <c r="AA29" s="113">
        <v>1</v>
      </c>
      <c r="AB29" s="113">
        <v>0</v>
      </c>
      <c r="AC29" s="113">
        <v>0</v>
      </c>
      <c r="AD29" s="113">
        <v>0</v>
      </c>
      <c r="AE29" s="113">
        <v>0</v>
      </c>
      <c r="AF29" s="113">
        <v>0</v>
      </c>
      <c r="AG29" s="113">
        <v>0</v>
      </c>
      <c r="AH29" s="113">
        <v>0</v>
      </c>
      <c r="AI29" s="113">
        <v>1</v>
      </c>
      <c r="AJ29" s="113">
        <v>1</v>
      </c>
      <c r="AK29" s="113">
        <v>0</v>
      </c>
      <c r="AL29" s="113">
        <v>1</v>
      </c>
      <c r="AM29" s="113">
        <v>1</v>
      </c>
      <c r="AN29" s="113">
        <v>0</v>
      </c>
      <c r="AO29" s="113">
        <v>0</v>
      </c>
      <c r="AP29" s="113">
        <v>0</v>
      </c>
    </row>
    <row r="30" spans="1:42" customFormat="1" x14ac:dyDescent="0.15">
      <c r="A30" s="162" t="s">
        <v>220</v>
      </c>
      <c r="B30" s="113">
        <v>0</v>
      </c>
      <c r="C30" s="113">
        <v>0</v>
      </c>
      <c r="D30" s="113">
        <v>0</v>
      </c>
      <c r="E30" s="113">
        <v>0</v>
      </c>
      <c r="F30" s="113">
        <v>0</v>
      </c>
      <c r="G30" s="113">
        <v>0</v>
      </c>
      <c r="H30" s="113">
        <v>0</v>
      </c>
      <c r="I30" s="113">
        <v>0</v>
      </c>
      <c r="J30" s="113">
        <v>0</v>
      </c>
      <c r="K30" s="113">
        <v>0</v>
      </c>
      <c r="L30" s="113">
        <v>0</v>
      </c>
      <c r="M30" s="113">
        <v>0</v>
      </c>
      <c r="N30" s="113">
        <v>1</v>
      </c>
      <c r="O30" s="113">
        <v>0</v>
      </c>
      <c r="P30" s="113">
        <v>1</v>
      </c>
      <c r="Q30" s="113">
        <v>1</v>
      </c>
      <c r="R30" s="113">
        <v>1</v>
      </c>
      <c r="S30" s="113">
        <v>1</v>
      </c>
      <c r="T30" s="113">
        <v>0</v>
      </c>
      <c r="U30" s="113">
        <v>1</v>
      </c>
      <c r="V30" s="113">
        <v>1</v>
      </c>
      <c r="W30" s="113">
        <v>0</v>
      </c>
      <c r="X30" s="113">
        <v>0</v>
      </c>
      <c r="Y30" s="113">
        <v>0</v>
      </c>
      <c r="Z30" s="113">
        <v>1</v>
      </c>
      <c r="AA30" s="113">
        <v>1</v>
      </c>
      <c r="AB30" s="113">
        <v>0</v>
      </c>
      <c r="AC30" s="113">
        <v>0</v>
      </c>
      <c r="AD30" s="113">
        <v>0</v>
      </c>
      <c r="AE30" s="113">
        <v>0</v>
      </c>
      <c r="AF30" s="113">
        <v>1</v>
      </c>
      <c r="AG30" s="113">
        <v>1</v>
      </c>
      <c r="AH30" s="113">
        <v>0</v>
      </c>
      <c r="AI30" s="113">
        <v>1</v>
      </c>
      <c r="AJ30" s="113">
        <v>1</v>
      </c>
      <c r="AK30" s="113">
        <v>0</v>
      </c>
      <c r="AL30" s="113">
        <v>1</v>
      </c>
      <c r="AM30" s="113">
        <v>1</v>
      </c>
      <c r="AN30" s="113">
        <v>0</v>
      </c>
      <c r="AO30" s="113">
        <v>0</v>
      </c>
      <c r="AP30" s="113">
        <v>0</v>
      </c>
    </row>
    <row r="31" spans="1:42" customFormat="1" x14ac:dyDescent="0.15">
      <c r="A31" s="162" t="s">
        <v>221</v>
      </c>
      <c r="B31" s="113">
        <v>0</v>
      </c>
      <c r="C31" s="113">
        <v>0</v>
      </c>
      <c r="D31" s="113">
        <v>0</v>
      </c>
      <c r="E31" s="113">
        <v>0</v>
      </c>
      <c r="F31" s="113">
        <v>0</v>
      </c>
      <c r="G31" s="113">
        <v>0</v>
      </c>
      <c r="H31" s="113">
        <v>0</v>
      </c>
      <c r="I31" s="113">
        <v>0</v>
      </c>
      <c r="J31" s="113">
        <v>0</v>
      </c>
      <c r="K31" s="113">
        <v>0</v>
      </c>
      <c r="L31" s="113">
        <v>0</v>
      </c>
      <c r="M31" s="113">
        <v>0</v>
      </c>
      <c r="N31" s="113">
        <v>1</v>
      </c>
      <c r="O31" s="113">
        <v>0</v>
      </c>
      <c r="P31" s="113">
        <v>1</v>
      </c>
      <c r="Q31" s="113">
        <v>1</v>
      </c>
      <c r="R31" s="113">
        <v>1</v>
      </c>
      <c r="S31" s="113">
        <v>1</v>
      </c>
      <c r="T31" s="113">
        <v>0</v>
      </c>
      <c r="U31" s="113">
        <v>1</v>
      </c>
      <c r="V31" s="113">
        <v>0</v>
      </c>
      <c r="W31" s="113">
        <v>0</v>
      </c>
      <c r="X31" s="113">
        <v>0</v>
      </c>
      <c r="Y31" s="113">
        <v>0</v>
      </c>
      <c r="Z31" s="113">
        <v>1</v>
      </c>
      <c r="AA31" s="113">
        <v>1</v>
      </c>
      <c r="AB31" s="113">
        <v>0</v>
      </c>
      <c r="AC31" s="113">
        <v>0</v>
      </c>
      <c r="AD31" s="113">
        <v>0</v>
      </c>
      <c r="AE31" s="113">
        <v>0</v>
      </c>
      <c r="AF31" s="113">
        <v>0</v>
      </c>
      <c r="AG31" s="113">
        <v>0</v>
      </c>
      <c r="AH31" s="113">
        <v>0</v>
      </c>
      <c r="AI31" s="113">
        <v>1</v>
      </c>
      <c r="AJ31" s="113">
        <v>1</v>
      </c>
      <c r="AK31" s="113">
        <v>0</v>
      </c>
      <c r="AL31" s="113">
        <v>1</v>
      </c>
      <c r="AM31" s="113">
        <v>1</v>
      </c>
      <c r="AN31" s="113">
        <v>0</v>
      </c>
      <c r="AO31" s="113">
        <v>0</v>
      </c>
      <c r="AP31" s="113">
        <v>0</v>
      </c>
    </row>
    <row r="32" spans="1:42" x14ac:dyDescent="0.15">
      <c r="A32" s="162" t="s">
        <v>222</v>
      </c>
      <c r="B32" s="113">
        <v>0</v>
      </c>
      <c r="C32" s="113">
        <v>0</v>
      </c>
      <c r="D32" s="113">
        <v>0</v>
      </c>
      <c r="E32" s="113">
        <v>0</v>
      </c>
      <c r="F32" s="113">
        <v>0</v>
      </c>
      <c r="G32" s="113">
        <v>0</v>
      </c>
      <c r="H32" s="113">
        <v>0</v>
      </c>
      <c r="I32" s="113">
        <v>0</v>
      </c>
      <c r="J32" s="113">
        <v>0</v>
      </c>
      <c r="K32" s="113">
        <v>0</v>
      </c>
      <c r="L32" s="113">
        <v>0</v>
      </c>
      <c r="M32" s="113">
        <v>0</v>
      </c>
      <c r="N32" s="113">
        <v>1</v>
      </c>
      <c r="O32" s="113">
        <v>0</v>
      </c>
      <c r="P32" s="113">
        <v>1</v>
      </c>
      <c r="Q32" s="113">
        <v>0</v>
      </c>
      <c r="R32" s="113">
        <v>0</v>
      </c>
      <c r="S32" s="113">
        <v>1</v>
      </c>
      <c r="T32" s="113">
        <v>0</v>
      </c>
      <c r="U32" s="113">
        <v>1</v>
      </c>
      <c r="V32" s="113">
        <v>0</v>
      </c>
      <c r="W32" s="113">
        <v>0</v>
      </c>
      <c r="X32" s="113">
        <v>0</v>
      </c>
      <c r="Y32" s="113">
        <v>0</v>
      </c>
      <c r="Z32" s="113">
        <v>0</v>
      </c>
      <c r="AA32" s="113">
        <v>1</v>
      </c>
      <c r="AB32" s="113">
        <v>0</v>
      </c>
      <c r="AC32" s="113">
        <v>0</v>
      </c>
      <c r="AD32" s="113">
        <v>0</v>
      </c>
      <c r="AE32" s="113">
        <v>0</v>
      </c>
      <c r="AF32" s="113">
        <v>0</v>
      </c>
      <c r="AG32" s="113">
        <v>1</v>
      </c>
      <c r="AH32" s="113">
        <v>0</v>
      </c>
      <c r="AI32" s="113">
        <v>1</v>
      </c>
      <c r="AJ32" s="113">
        <v>1</v>
      </c>
      <c r="AK32" s="113">
        <v>0</v>
      </c>
      <c r="AL32" s="113">
        <v>1</v>
      </c>
      <c r="AM32" s="113">
        <v>1</v>
      </c>
      <c r="AN32" s="113">
        <v>0</v>
      </c>
      <c r="AO32" s="113">
        <v>0</v>
      </c>
      <c r="AP32" s="113">
        <v>0</v>
      </c>
    </row>
    <row r="33" spans="1:42" x14ac:dyDescent="0.15">
      <c r="A33" s="162" t="s">
        <v>223</v>
      </c>
      <c r="B33" s="113">
        <v>0</v>
      </c>
      <c r="C33" s="113">
        <v>0</v>
      </c>
      <c r="D33" s="113">
        <v>0</v>
      </c>
      <c r="E33" s="113">
        <v>0</v>
      </c>
      <c r="F33" s="113">
        <v>0</v>
      </c>
      <c r="G33" s="113">
        <v>0</v>
      </c>
      <c r="H33" s="113">
        <v>0</v>
      </c>
      <c r="I33" s="113">
        <v>0</v>
      </c>
      <c r="J33" s="113">
        <v>0</v>
      </c>
      <c r="K33" s="113">
        <v>0</v>
      </c>
      <c r="L33" s="113">
        <v>0</v>
      </c>
      <c r="M33" s="113">
        <v>0</v>
      </c>
      <c r="N33" s="113">
        <v>1</v>
      </c>
      <c r="O33" s="113">
        <v>0</v>
      </c>
      <c r="P33" s="113">
        <v>1</v>
      </c>
      <c r="Q33" s="113">
        <v>0</v>
      </c>
      <c r="R33" s="113">
        <v>0</v>
      </c>
      <c r="S33" s="113">
        <v>1</v>
      </c>
      <c r="T33" s="113">
        <v>0</v>
      </c>
      <c r="U33" s="113">
        <v>0</v>
      </c>
      <c r="V33" s="113">
        <v>0</v>
      </c>
      <c r="W33" s="113">
        <v>0</v>
      </c>
      <c r="X33" s="113">
        <v>0</v>
      </c>
      <c r="Y33" s="113">
        <v>0</v>
      </c>
      <c r="Z33" s="113">
        <v>0</v>
      </c>
      <c r="AA33" s="113">
        <v>1</v>
      </c>
      <c r="AB33" s="113">
        <v>0</v>
      </c>
      <c r="AC33" s="113">
        <v>0</v>
      </c>
      <c r="AD33" s="113">
        <v>0</v>
      </c>
      <c r="AE33" s="113">
        <v>0</v>
      </c>
      <c r="AF33" s="113">
        <v>0</v>
      </c>
      <c r="AG33" s="113">
        <v>0</v>
      </c>
      <c r="AH33" s="113">
        <v>0</v>
      </c>
      <c r="AI33" s="113">
        <v>1</v>
      </c>
      <c r="AJ33" s="113">
        <v>1</v>
      </c>
      <c r="AK33" s="113">
        <v>0</v>
      </c>
      <c r="AL33" s="113">
        <v>0</v>
      </c>
      <c r="AM33" s="113">
        <v>1</v>
      </c>
      <c r="AN33" s="113">
        <v>0</v>
      </c>
      <c r="AO33" s="113">
        <v>0</v>
      </c>
      <c r="AP33" s="113">
        <v>0</v>
      </c>
    </row>
    <row r="34" spans="1:42" x14ac:dyDescent="0.15">
      <c r="A34" s="162" t="s">
        <v>224</v>
      </c>
      <c r="B34" s="113">
        <v>0</v>
      </c>
      <c r="C34" s="113">
        <v>0</v>
      </c>
      <c r="D34" s="113">
        <v>0</v>
      </c>
      <c r="E34" s="113">
        <v>0</v>
      </c>
      <c r="F34" s="113">
        <v>0</v>
      </c>
      <c r="G34" s="113">
        <v>0</v>
      </c>
      <c r="H34" s="113">
        <v>0</v>
      </c>
      <c r="I34" s="113">
        <v>0</v>
      </c>
      <c r="J34" s="113">
        <v>0</v>
      </c>
      <c r="K34" s="113">
        <v>0</v>
      </c>
      <c r="L34" s="113">
        <v>0</v>
      </c>
      <c r="M34" s="113">
        <v>0</v>
      </c>
      <c r="N34" s="113">
        <v>1</v>
      </c>
      <c r="O34" s="113">
        <v>0</v>
      </c>
      <c r="P34" s="113">
        <v>0</v>
      </c>
      <c r="Q34" s="113">
        <v>0</v>
      </c>
      <c r="R34" s="113">
        <v>0</v>
      </c>
      <c r="S34" s="113">
        <v>1</v>
      </c>
      <c r="T34" s="113">
        <v>0</v>
      </c>
      <c r="U34" s="113">
        <v>0</v>
      </c>
      <c r="V34" s="113">
        <v>0</v>
      </c>
      <c r="W34" s="113">
        <v>0</v>
      </c>
      <c r="X34" s="113">
        <v>0</v>
      </c>
      <c r="Y34" s="113">
        <v>0</v>
      </c>
      <c r="Z34" s="113">
        <v>0</v>
      </c>
      <c r="AA34" s="113">
        <v>1</v>
      </c>
      <c r="AB34" s="113">
        <v>0</v>
      </c>
      <c r="AC34" s="113">
        <v>0</v>
      </c>
      <c r="AD34" s="113">
        <v>0</v>
      </c>
      <c r="AE34" s="113">
        <v>0</v>
      </c>
      <c r="AF34" s="113">
        <v>1</v>
      </c>
      <c r="AG34" s="113">
        <v>1</v>
      </c>
      <c r="AH34" s="113">
        <v>0</v>
      </c>
      <c r="AI34" s="113">
        <v>1</v>
      </c>
      <c r="AJ34" s="113">
        <v>1</v>
      </c>
      <c r="AK34" s="113">
        <v>0</v>
      </c>
      <c r="AL34" s="113">
        <v>1</v>
      </c>
      <c r="AM34" s="113">
        <v>1</v>
      </c>
      <c r="AN34" s="113">
        <v>0</v>
      </c>
      <c r="AO34" s="113">
        <v>0</v>
      </c>
      <c r="AP34" s="113">
        <v>0</v>
      </c>
    </row>
    <row r="35" spans="1:42" x14ac:dyDescent="0.15">
      <c r="A35" s="162" t="s">
        <v>225</v>
      </c>
      <c r="B35" s="113">
        <v>0</v>
      </c>
      <c r="C35" s="113">
        <v>0</v>
      </c>
      <c r="D35" s="113">
        <v>0</v>
      </c>
      <c r="E35" s="113">
        <v>0</v>
      </c>
      <c r="F35" s="113">
        <v>0</v>
      </c>
      <c r="G35" s="113">
        <v>0</v>
      </c>
      <c r="H35" s="113">
        <v>0</v>
      </c>
      <c r="I35" s="113">
        <v>0</v>
      </c>
      <c r="J35" s="113">
        <v>0</v>
      </c>
      <c r="K35" s="113">
        <v>0</v>
      </c>
      <c r="L35" s="113">
        <v>0</v>
      </c>
      <c r="M35" s="113">
        <v>0</v>
      </c>
      <c r="N35" s="113">
        <v>0</v>
      </c>
      <c r="O35" s="113">
        <v>0</v>
      </c>
      <c r="P35" s="113">
        <v>0</v>
      </c>
      <c r="Q35" s="113">
        <v>0</v>
      </c>
      <c r="R35" s="113">
        <v>0</v>
      </c>
      <c r="S35" s="113">
        <v>0</v>
      </c>
      <c r="T35" s="113">
        <v>0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0</v>
      </c>
      <c r="AD35" s="113">
        <v>0</v>
      </c>
      <c r="AE35" s="113">
        <v>0</v>
      </c>
      <c r="AF35" s="113">
        <v>0</v>
      </c>
      <c r="AG35" s="113">
        <v>0</v>
      </c>
      <c r="AH35" s="113">
        <v>0</v>
      </c>
      <c r="AI35" s="113">
        <v>0</v>
      </c>
      <c r="AJ35" s="113">
        <v>0</v>
      </c>
      <c r="AK35" s="113">
        <v>0</v>
      </c>
      <c r="AL35" s="113">
        <v>0</v>
      </c>
      <c r="AM35" s="113">
        <v>0</v>
      </c>
      <c r="AN35" s="113">
        <v>0</v>
      </c>
      <c r="AO35" s="113">
        <v>0</v>
      </c>
      <c r="AP35" s="113">
        <v>0</v>
      </c>
    </row>
    <row r="36" spans="1:42" x14ac:dyDescent="0.15">
      <c r="A36" s="162" t="s">
        <v>226</v>
      </c>
      <c r="B36" s="113">
        <v>0</v>
      </c>
      <c r="C36" s="113">
        <v>0</v>
      </c>
      <c r="D36" s="113">
        <v>0</v>
      </c>
      <c r="E36" s="113">
        <v>0</v>
      </c>
      <c r="F36" s="113">
        <v>0</v>
      </c>
      <c r="G36" s="113">
        <v>0</v>
      </c>
      <c r="H36" s="113">
        <v>0</v>
      </c>
      <c r="I36" s="113">
        <v>0</v>
      </c>
      <c r="J36" s="113">
        <v>0</v>
      </c>
      <c r="K36" s="113">
        <v>0</v>
      </c>
      <c r="L36" s="113">
        <v>0</v>
      </c>
      <c r="M36" s="113">
        <v>0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113">
        <v>0</v>
      </c>
      <c r="AE36" s="113">
        <v>0</v>
      </c>
      <c r="AF36" s="113">
        <v>0</v>
      </c>
      <c r="AG36" s="113">
        <v>0</v>
      </c>
      <c r="AH36" s="113">
        <v>0</v>
      </c>
      <c r="AI36" s="113">
        <v>0</v>
      </c>
      <c r="AJ36" s="113">
        <v>0</v>
      </c>
      <c r="AK36" s="113">
        <v>0</v>
      </c>
      <c r="AL36" s="113">
        <v>0</v>
      </c>
      <c r="AM36" s="113">
        <v>0</v>
      </c>
      <c r="AN36" s="113">
        <v>0</v>
      </c>
      <c r="AO36" s="113">
        <v>0</v>
      </c>
      <c r="AP36" s="113">
        <v>0</v>
      </c>
    </row>
    <row r="37" spans="1:42" x14ac:dyDescent="0.15">
      <c r="A37" s="162" t="s">
        <v>227</v>
      </c>
      <c r="B37" s="113">
        <v>0</v>
      </c>
      <c r="C37" s="113">
        <v>0</v>
      </c>
      <c r="D37" s="113">
        <v>0</v>
      </c>
      <c r="E37" s="113">
        <v>0</v>
      </c>
      <c r="F37" s="113">
        <v>0</v>
      </c>
      <c r="G37" s="113">
        <v>0</v>
      </c>
      <c r="H37" s="113">
        <v>0</v>
      </c>
      <c r="I37" s="113">
        <v>0</v>
      </c>
      <c r="J37" s="113">
        <v>0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113">
        <v>0</v>
      </c>
      <c r="AE37" s="113">
        <v>0</v>
      </c>
      <c r="AF37" s="113">
        <v>0</v>
      </c>
      <c r="AG37" s="113">
        <v>0</v>
      </c>
      <c r="AH37" s="113">
        <v>0</v>
      </c>
      <c r="AI37" s="113">
        <v>0</v>
      </c>
      <c r="AJ37" s="113">
        <v>0</v>
      </c>
      <c r="AK37" s="113">
        <v>0</v>
      </c>
      <c r="AL37" s="113">
        <v>0</v>
      </c>
      <c r="AM37" s="113">
        <v>0</v>
      </c>
      <c r="AN37" s="113">
        <v>0</v>
      </c>
      <c r="AO37" s="113">
        <v>0</v>
      </c>
      <c r="AP37" s="113">
        <v>0</v>
      </c>
    </row>
    <row r="38" spans="1:42" x14ac:dyDescent="0.15">
      <c r="A38" s="162" t="s">
        <v>228</v>
      </c>
      <c r="B38" s="113">
        <v>0</v>
      </c>
      <c r="C38" s="113">
        <v>0</v>
      </c>
      <c r="D38" s="113">
        <v>0</v>
      </c>
      <c r="E38" s="113">
        <v>0</v>
      </c>
      <c r="F38" s="113">
        <v>0</v>
      </c>
      <c r="G38" s="113">
        <v>0</v>
      </c>
      <c r="H38" s="113">
        <v>0</v>
      </c>
      <c r="I38" s="113">
        <v>0</v>
      </c>
      <c r="J38" s="113">
        <v>0</v>
      </c>
      <c r="K38" s="113">
        <v>0</v>
      </c>
      <c r="L38" s="113">
        <v>0</v>
      </c>
      <c r="M38" s="113">
        <v>0</v>
      </c>
      <c r="N38" s="113">
        <v>0</v>
      </c>
      <c r="O38" s="113">
        <v>0</v>
      </c>
      <c r="P38" s="113">
        <v>0</v>
      </c>
      <c r="Q38" s="113">
        <v>0</v>
      </c>
      <c r="R38" s="113">
        <v>0</v>
      </c>
      <c r="S38" s="113">
        <v>0</v>
      </c>
      <c r="T38" s="113">
        <v>0</v>
      </c>
      <c r="U38" s="113">
        <v>0</v>
      </c>
      <c r="V38" s="113">
        <v>0</v>
      </c>
      <c r="W38" s="113">
        <v>0</v>
      </c>
      <c r="X38" s="113">
        <v>0</v>
      </c>
      <c r="Y38" s="113">
        <v>0</v>
      </c>
      <c r="Z38" s="113">
        <v>0</v>
      </c>
      <c r="AA38" s="113">
        <v>0</v>
      </c>
      <c r="AB38" s="113">
        <v>0</v>
      </c>
      <c r="AC38" s="113">
        <v>0</v>
      </c>
      <c r="AD38" s="113">
        <v>0</v>
      </c>
      <c r="AE38" s="113">
        <v>0</v>
      </c>
      <c r="AF38" s="113">
        <v>0</v>
      </c>
      <c r="AG38" s="113">
        <v>0</v>
      </c>
      <c r="AH38" s="113">
        <v>0</v>
      </c>
      <c r="AI38" s="113">
        <v>0</v>
      </c>
      <c r="AJ38" s="113">
        <v>0</v>
      </c>
      <c r="AK38" s="113">
        <v>0</v>
      </c>
      <c r="AL38" s="113">
        <v>1</v>
      </c>
      <c r="AM38" s="113">
        <v>0</v>
      </c>
      <c r="AN38" s="113">
        <v>0</v>
      </c>
      <c r="AO38" s="113">
        <v>0</v>
      </c>
      <c r="AP38" s="113">
        <v>0</v>
      </c>
    </row>
    <row r="39" spans="1:42" x14ac:dyDescent="0.15">
      <c r="A39" s="162" t="s">
        <v>229</v>
      </c>
      <c r="B39" s="113">
        <v>0</v>
      </c>
      <c r="C39" s="113">
        <v>0</v>
      </c>
      <c r="D39" s="113">
        <v>0</v>
      </c>
      <c r="E39" s="113">
        <v>0</v>
      </c>
      <c r="F39" s="113">
        <v>0</v>
      </c>
      <c r="G39" s="113">
        <v>0</v>
      </c>
      <c r="H39" s="113">
        <v>0</v>
      </c>
      <c r="I39" s="113">
        <v>0</v>
      </c>
      <c r="J39" s="113">
        <v>0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0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113">
        <v>0</v>
      </c>
      <c r="AE39" s="113">
        <v>0</v>
      </c>
      <c r="AF39" s="113">
        <v>0</v>
      </c>
      <c r="AG39" s="113">
        <v>0</v>
      </c>
      <c r="AH39" s="113">
        <v>0</v>
      </c>
      <c r="AI39" s="113">
        <v>0</v>
      </c>
      <c r="AJ39" s="113">
        <v>0</v>
      </c>
      <c r="AK39" s="113">
        <v>0</v>
      </c>
      <c r="AL39" s="113">
        <v>0</v>
      </c>
      <c r="AM39" s="113">
        <v>0</v>
      </c>
      <c r="AN39" s="113">
        <v>0</v>
      </c>
      <c r="AO39" s="113">
        <v>0</v>
      </c>
      <c r="AP39" s="113">
        <v>0</v>
      </c>
    </row>
    <row r="40" spans="1:42" x14ac:dyDescent="0.15">
      <c r="A40" s="162" t="s">
        <v>230</v>
      </c>
      <c r="B40" s="113">
        <v>0</v>
      </c>
      <c r="C40" s="113">
        <v>1</v>
      </c>
      <c r="D40" s="113">
        <v>1</v>
      </c>
      <c r="E40" s="113">
        <v>1</v>
      </c>
      <c r="F40" s="113">
        <v>0</v>
      </c>
      <c r="G40" s="113">
        <v>1</v>
      </c>
      <c r="H40" s="113">
        <v>1</v>
      </c>
      <c r="I40" s="113">
        <v>1</v>
      </c>
      <c r="J40" s="113">
        <v>1</v>
      </c>
      <c r="K40" s="113">
        <v>1</v>
      </c>
      <c r="L40" s="113">
        <v>1</v>
      </c>
      <c r="M40" s="113">
        <v>0</v>
      </c>
      <c r="N40" s="113">
        <v>0</v>
      </c>
      <c r="O40" s="113">
        <v>1</v>
      </c>
      <c r="P40" s="113">
        <v>0</v>
      </c>
      <c r="Q40" s="113">
        <v>0</v>
      </c>
      <c r="R40" s="113">
        <v>1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113">
        <v>0</v>
      </c>
      <c r="AE40" s="113">
        <v>0</v>
      </c>
      <c r="AF40" s="113">
        <v>0</v>
      </c>
      <c r="AG40" s="113">
        <v>0</v>
      </c>
      <c r="AH40" s="113">
        <v>1</v>
      </c>
      <c r="AI40" s="113">
        <v>0</v>
      </c>
      <c r="AJ40" s="113">
        <v>0</v>
      </c>
      <c r="AK40" s="113">
        <v>0</v>
      </c>
      <c r="AL40" s="113">
        <v>0</v>
      </c>
      <c r="AM40" s="113">
        <v>0</v>
      </c>
      <c r="AN40" s="113">
        <v>0</v>
      </c>
      <c r="AO40" s="113">
        <v>0</v>
      </c>
      <c r="AP40" s="113">
        <v>0</v>
      </c>
    </row>
    <row r="41" spans="1:42" x14ac:dyDescent="0.15">
      <c r="A41" s="162" t="s">
        <v>231</v>
      </c>
      <c r="B41" s="113">
        <v>0</v>
      </c>
      <c r="C41" s="113">
        <v>0</v>
      </c>
      <c r="D41" s="113">
        <v>0</v>
      </c>
      <c r="E41" s="113">
        <v>0</v>
      </c>
      <c r="F41" s="113">
        <v>0</v>
      </c>
      <c r="G41" s="113">
        <v>1</v>
      </c>
      <c r="H41" s="113">
        <v>0</v>
      </c>
      <c r="I41" s="113">
        <v>1</v>
      </c>
      <c r="J41" s="113">
        <v>1</v>
      </c>
      <c r="K41" s="113">
        <v>0</v>
      </c>
      <c r="L41" s="113">
        <v>0</v>
      </c>
      <c r="M41" s="113">
        <v>0</v>
      </c>
      <c r="N41" s="113">
        <v>0</v>
      </c>
      <c r="O41" s="113">
        <v>0</v>
      </c>
      <c r="P41" s="113">
        <v>0</v>
      </c>
      <c r="Q41" s="113">
        <v>0</v>
      </c>
      <c r="R41" s="113">
        <v>1</v>
      </c>
      <c r="S41" s="113">
        <v>0</v>
      </c>
      <c r="T41" s="113">
        <v>0</v>
      </c>
      <c r="U41" s="113">
        <v>0</v>
      </c>
      <c r="V41" s="113">
        <v>0</v>
      </c>
      <c r="W41" s="113">
        <v>0</v>
      </c>
      <c r="X41" s="113">
        <v>0</v>
      </c>
      <c r="Y41" s="113">
        <v>0</v>
      </c>
      <c r="Z41" s="113">
        <v>1</v>
      </c>
      <c r="AA41" s="113">
        <v>1</v>
      </c>
      <c r="AB41" s="113">
        <v>0</v>
      </c>
      <c r="AC41" s="113">
        <v>0</v>
      </c>
      <c r="AD41" s="113">
        <v>0</v>
      </c>
      <c r="AE41" s="113">
        <v>0</v>
      </c>
      <c r="AF41" s="113">
        <v>0</v>
      </c>
      <c r="AG41" s="113">
        <v>0</v>
      </c>
      <c r="AH41" s="113">
        <v>0</v>
      </c>
      <c r="AI41" s="113">
        <v>0</v>
      </c>
      <c r="AJ41" s="113">
        <v>0</v>
      </c>
      <c r="AK41" s="113">
        <v>1</v>
      </c>
      <c r="AL41" s="113">
        <v>1</v>
      </c>
      <c r="AM41" s="113">
        <v>0</v>
      </c>
      <c r="AN41" s="113">
        <v>0</v>
      </c>
      <c r="AO41" s="113">
        <v>0</v>
      </c>
      <c r="AP41" s="113">
        <v>0</v>
      </c>
    </row>
    <row r="42" spans="1:42" x14ac:dyDescent="0.15">
      <c r="A42" s="162" t="s">
        <v>232</v>
      </c>
      <c r="B42" s="113">
        <v>0</v>
      </c>
      <c r="C42" s="113">
        <v>0</v>
      </c>
      <c r="D42" s="113">
        <v>0</v>
      </c>
      <c r="E42" s="113">
        <v>0</v>
      </c>
      <c r="F42" s="113">
        <v>0</v>
      </c>
      <c r="G42" s="113">
        <v>0</v>
      </c>
      <c r="H42" s="113">
        <v>0</v>
      </c>
      <c r="I42" s="113">
        <v>0</v>
      </c>
      <c r="J42" s="113">
        <v>0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0</v>
      </c>
      <c r="W42" s="113">
        <v>0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0</v>
      </c>
      <c r="AD42" s="113">
        <v>0</v>
      </c>
      <c r="AE42" s="113">
        <v>0</v>
      </c>
      <c r="AF42" s="113">
        <v>0</v>
      </c>
      <c r="AG42" s="113">
        <v>0</v>
      </c>
      <c r="AH42" s="113">
        <v>0</v>
      </c>
      <c r="AI42" s="113">
        <v>0</v>
      </c>
      <c r="AJ42" s="113">
        <v>0</v>
      </c>
      <c r="AK42" s="113">
        <v>0</v>
      </c>
      <c r="AL42" s="113">
        <v>0</v>
      </c>
      <c r="AM42" s="113">
        <v>0</v>
      </c>
      <c r="AN42" s="113">
        <v>0</v>
      </c>
      <c r="AO42" s="113">
        <v>0</v>
      </c>
      <c r="AP42" s="113">
        <v>0</v>
      </c>
    </row>
    <row r="43" spans="1:42" x14ac:dyDescent="0.15">
      <c r="A43" s="162" t="s">
        <v>238</v>
      </c>
      <c r="B43" s="113">
        <v>0</v>
      </c>
      <c r="C43" s="113">
        <v>0</v>
      </c>
      <c r="D43" s="113">
        <v>0</v>
      </c>
      <c r="E43" s="113">
        <v>0</v>
      </c>
      <c r="F43" s="113">
        <v>0</v>
      </c>
      <c r="G43" s="113">
        <v>0</v>
      </c>
      <c r="H43" s="113">
        <v>1</v>
      </c>
      <c r="I43" s="113">
        <v>1</v>
      </c>
      <c r="J43" s="113">
        <v>1</v>
      </c>
      <c r="K43" s="113">
        <v>0</v>
      </c>
      <c r="L43" s="113">
        <v>1</v>
      </c>
      <c r="M43" s="113">
        <v>0</v>
      </c>
      <c r="N43" s="113">
        <v>0</v>
      </c>
      <c r="O43" s="113">
        <v>0</v>
      </c>
      <c r="P43" s="113">
        <v>0</v>
      </c>
      <c r="Q43" s="113">
        <v>0</v>
      </c>
      <c r="R43" s="113">
        <v>0</v>
      </c>
      <c r="S43" s="113">
        <v>0</v>
      </c>
      <c r="T43" s="113">
        <v>1</v>
      </c>
      <c r="U43" s="113">
        <v>0</v>
      </c>
      <c r="V43" s="113">
        <v>0</v>
      </c>
      <c r="W43" s="113">
        <v>1</v>
      </c>
      <c r="X43" s="113">
        <v>0</v>
      </c>
      <c r="Y43" s="113">
        <v>0</v>
      </c>
      <c r="Z43" s="113">
        <v>0</v>
      </c>
      <c r="AA43" s="113">
        <v>0</v>
      </c>
      <c r="AB43" s="113">
        <v>0</v>
      </c>
      <c r="AC43" s="113">
        <v>0</v>
      </c>
      <c r="AD43" s="113">
        <v>0</v>
      </c>
      <c r="AE43" s="113">
        <v>0</v>
      </c>
      <c r="AF43" s="113">
        <v>0</v>
      </c>
      <c r="AG43" s="113">
        <v>0</v>
      </c>
      <c r="AH43" s="113">
        <v>1</v>
      </c>
      <c r="AI43" s="113">
        <v>0</v>
      </c>
      <c r="AJ43" s="113">
        <v>0</v>
      </c>
      <c r="AK43" s="113">
        <v>0</v>
      </c>
      <c r="AL43" s="113">
        <v>1</v>
      </c>
      <c r="AM43" s="113">
        <v>0</v>
      </c>
      <c r="AN43" s="113">
        <v>0</v>
      </c>
      <c r="AO43" s="113">
        <v>0</v>
      </c>
      <c r="AP43" s="11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G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5.5" bestFit="1" customWidth="1"/>
    <col min="3" max="4" width="3.83203125" bestFit="1" customWidth="1"/>
    <col min="5" max="7" width="3.83203125" customWidth="1"/>
  </cols>
  <sheetData>
    <row r="1" spans="1:7" ht="112" x14ac:dyDescent="0.15">
      <c r="A1" s="5" t="s">
        <v>83</v>
      </c>
      <c r="B1" s="3" t="s">
        <v>0</v>
      </c>
      <c r="C1" s="165" t="s">
        <v>233</v>
      </c>
      <c r="D1" s="165" t="s">
        <v>234</v>
      </c>
      <c r="E1" s="165" t="s">
        <v>235</v>
      </c>
      <c r="F1" s="165" t="s">
        <v>236</v>
      </c>
      <c r="G1" s="165" t="s">
        <v>237</v>
      </c>
    </row>
    <row r="2" spans="1:7" x14ac:dyDescent="0.15">
      <c r="A2">
        <v>1</v>
      </c>
      <c r="B2" s="164" t="s">
        <v>192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15">
      <c r="A3">
        <v>2</v>
      </c>
      <c r="B3" s="164" t="s">
        <v>193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15">
      <c r="A4">
        <v>3</v>
      </c>
      <c r="B4" s="164" t="s">
        <v>194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15">
      <c r="A5">
        <v>4</v>
      </c>
      <c r="B5" s="164" t="s">
        <v>195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15">
      <c r="A6">
        <v>5</v>
      </c>
      <c r="B6" s="164" t="s">
        <v>196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15">
      <c r="A7">
        <v>6</v>
      </c>
      <c r="B7" s="164" t="s">
        <v>197</v>
      </c>
      <c r="C7">
        <v>0</v>
      </c>
      <c r="D7">
        <v>0</v>
      </c>
      <c r="E7">
        <v>0</v>
      </c>
      <c r="F7">
        <v>0</v>
      </c>
      <c r="G7">
        <v>0</v>
      </c>
    </row>
    <row r="8" spans="1:7" x14ac:dyDescent="0.15">
      <c r="A8">
        <v>7</v>
      </c>
      <c r="B8" s="164" t="s">
        <v>198</v>
      </c>
      <c r="C8">
        <v>0</v>
      </c>
      <c r="D8">
        <v>0</v>
      </c>
      <c r="E8">
        <v>0</v>
      </c>
      <c r="F8">
        <v>0</v>
      </c>
      <c r="G8">
        <v>0</v>
      </c>
    </row>
    <row r="9" spans="1:7" x14ac:dyDescent="0.15">
      <c r="A9">
        <v>8</v>
      </c>
      <c r="B9" s="164" t="s">
        <v>199</v>
      </c>
      <c r="C9">
        <v>0.8</v>
      </c>
      <c r="D9">
        <v>0.8</v>
      </c>
      <c r="E9">
        <v>0</v>
      </c>
      <c r="F9">
        <v>0.8</v>
      </c>
      <c r="G9">
        <v>0.8</v>
      </c>
    </row>
    <row r="10" spans="1:7" x14ac:dyDescent="0.15">
      <c r="A10">
        <v>9</v>
      </c>
      <c r="B10" s="164" t="s">
        <v>200</v>
      </c>
      <c r="C10">
        <v>0.8</v>
      </c>
      <c r="D10">
        <v>0.8</v>
      </c>
      <c r="E10">
        <v>0.8</v>
      </c>
      <c r="F10">
        <v>0.8</v>
      </c>
      <c r="G10">
        <v>0.8</v>
      </c>
    </row>
    <row r="11" spans="1:7" x14ac:dyDescent="0.15">
      <c r="A11">
        <v>10</v>
      </c>
      <c r="B11" s="164" t="s">
        <v>201</v>
      </c>
      <c r="C11">
        <v>0.8</v>
      </c>
      <c r="D11">
        <v>0.8</v>
      </c>
      <c r="E11">
        <v>0</v>
      </c>
      <c r="F11">
        <v>0.8</v>
      </c>
      <c r="G11">
        <v>0</v>
      </c>
    </row>
    <row r="12" spans="1:7" x14ac:dyDescent="0.15">
      <c r="A12">
        <v>11</v>
      </c>
      <c r="B12" s="164" t="s">
        <v>202</v>
      </c>
      <c r="C12">
        <v>0.8</v>
      </c>
      <c r="D12">
        <v>0.8</v>
      </c>
      <c r="E12">
        <v>0</v>
      </c>
      <c r="F12">
        <v>0.8</v>
      </c>
      <c r="G12">
        <v>0</v>
      </c>
    </row>
    <row r="13" spans="1:7" x14ac:dyDescent="0.15">
      <c r="A13">
        <v>12</v>
      </c>
      <c r="B13" s="164" t="s">
        <v>203</v>
      </c>
      <c r="C13">
        <v>0.8</v>
      </c>
      <c r="D13">
        <v>0.8</v>
      </c>
      <c r="E13">
        <v>0.8</v>
      </c>
      <c r="F13">
        <v>0.8</v>
      </c>
      <c r="G13">
        <v>0.8</v>
      </c>
    </row>
    <row r="14" spans="1:7" x14ac:dyDescent="0.15">
      <c r="A14">
        <v>13</v>
      </c>
      <c r="B14" s="164" t="s">
        <v>204</v>
      </c>
      <c r="C14">
        <v>0.8</v>
      </c>
      <c r="D14">
        <v>0.8</v>
      </c>
      <c r="E14">
        <v>0.8</v>
      </c>
      <c r="F14">
        <v>0.8</v>
      </c>
      <c r="G14">
        <v>0</v>
      </c>
    </row>
    <row r="15" spans="1:7" x14ac:dyDescent="0.15">
      <c r="A15">
        <v>14</v>
      </c>
      <c r="B15" s="164" t="s">
        <v>205</v>
      </c>
      <c r="C15">
        <v>0.8</v>
      </c>
      <c r="D15">
        <v>0.8</v>
      </c>
      <c r="E15">
        <v>0.8</v>
      </c>
      <c r="F15">
        <v>0.8</v>
      </c>
      <c r="G15">
        <v>0</v>
      </c>
    </row>
    <row r="16" spans="1:7" x14ac:dyDescent="0.15">
      <c r="A16">
        <v>15</v>
      </c>
      <c r="B16" s="164" t="s">
        <v>206</v>
      </c>
      <c r="C16">
        <v>0.8</v>
      </c>
      <c r="D16">
        <v>0.8</v>
      </c>
      <c r="E16">
        <v>0.8</v>
      </c>
      <c r="F16">
        <v>0.8</v>
      </c>
      <c r="G16">
        <v>0</v>
      </c>
    </row>
    <row r="17" spans="1:7" x14ac:dyDescent="0.15">
      <c r="A17">
        <v>16</v>
      </c>
      <c r="B17" s="164" t="s">
        <v>207</v>
      </c>
      <c r="C17">
        <v>0.8</v>
      </c>
      <c r="D17">
        <v>0.8</v>
      </c>
      <c r="E17">
        <v>0.8</v>
      </c>
      <c r="F17">
        <v>0.8</v>
      </c>
      <c r="G17">
        <v>0</v>
      </c>
    </row>
    <row r="18" spans="1:7" x14ac:dyDescent="0.15">
      <c r="A18">
        <v>17</v>
      </c>
      <c r="B18" s="164" t="s">
        <v>208</v>
      </c>
      <c r="C18">
        <v>0.8</v>
      </c>
      <c r="D18">
        <v>0.8</v>
      </c>
      <c r="E18">
        <v>0.8</v>
      </c>
      <c r="F18">
        <v>0.8</v>
      </c>
      <c r="G18">
        <v>0</v>
      </c>
    </row>
    <row r="19" spans="1:7" x14ac:dyDescent="0.15">
      <c r="A19">
        <v>18</v>
      </c>
      <c r="B19" s="164" t="s">
        <v>209</v>
      </c>
      <c r="C19">
        <v>0.8</v>
      </c>
      <c r="D19">
        <v>0.8</v>
      </c>
      <c r="E19">
        <v>0.8</v>
      </c>
      <c r="F19">
        <v>0.8</v>
      </c>
      <c r="G19">
        <v>0</v>
      </c>
    </row>
    <row r="20" spans="1:7" x14ac:dyDescent="0.15">
      <c r="A20">
        <v>19</v>
      </c>
      <c r="B20" s="164" t="s">
        <v>210</v>
      </c>
      <c r="C20">
        <v>0.8</v>
      </c>
      <c r="D20">
        <v>0.8</v>
      </c>
      <c r="E20">
        <v>0.8</v>
      </c>
      <c r="F20">
        <v>0.8</v>
      </c>
      <c r="G20">
        <v>0</v>
      </c>
    </row>
    <row r="21" spans="1:7" x14ac:dyDescent="0.15">
      <c r="A21">
        <v>20</v>
      </c>
      <c r="B21" s="164" t="s">
        <v>211</v>
      </c>
      <c r="C21">
        <v>0.8</v>
      </c>
      <c r="D21">
        <v>0.8</v>
      </c>
      <c r="E21">
        <v>0.8</v>
      </c>
      <c r="F21">
        <v>0.8</v>
      </c>
      <c r="G21">
        <v>0</v>
      </c>
    </row>
    <row r="22" spans="1:7" x14ac:dyDescent="0.15">
      <c r="A22">
        <v>21</v>
      </c>
      <c r="B22" s="164" t="s">
        <v>212</v>
      </c>
      <c r="C22">
        <v>0.8</v>
      </c>
      <c r="D22">
        <v>0.8</v>
      </c>
      <c r="E22">
        <v>0.8</v>
      </c>
      <c r="F22">
        <v>0.8</v>
      </c>
      <c r="G22">
        <v>0</v>
      </c>
    </row>
    <row r="23" spans="1:7" x14ac:dyDescent="0.15">
      <c r="A23">
        <v>22</v>
      </c>
      <c r="B23" s="164" t="s">
        <v>213</v>
      </c>
      <c r="C23">
        <v>0.8</v>
      </c>
      <c r="D23">
        <v>0.8</v>
      </c>
      <c r="E23">
        <v>0.8</v>
      </c>
      <c r="F23">
        <v>0.8</v>
      </c>
      <c r="G23">
        <v>0</v>
      </c>
    </row>
    <row r="24" spans="1:7" x14ac:dyDescent="0.15">
      <c r="A24">
        <v>23</v>
      </c>
      <c r="B24" s="164" t="s">
        <v>214</v>
      </c>
      <c r="C24">
        <v>0.8</v>
      </c>
      <c r="D24">
        <v>0.8</v>
      </c>
      <c r="E24">
        <v>0.8</v>
      </c>
      <c r="F24">
        <v>0.8</v>
      </c>
      <c r="G24">
        <v>0</v>
      </c>
    </row>
    <row r="25" spans="1:7" x14ac:dyDescent="0.15">
      <c r="A25">
        <v>24</v>
      </c>
      <c r="B25" s="164" t="s">
        <v>215</v>
      </c>
      <c r="C25">
        <v>0.8</v>
      </c>
      <c r="D25">
        <v>0.8</v>
      </c>
      <c r="E25">
        <v>0.8</v>
      </c>
      <c r="F25">
        <v>0.8</v>
      </c>
      <c r="G25">
        <v>0</v>
      </c>
    </row>
    <row r="26" spans="1:7" x14ac:dyDescent="0.15">
      <c r="A26">
        <v>25</v>
      </c>
      <c r="B26" s="164" t="s">
        <v>216</v>
      </c>
      <c r="C26">
        <v>0.8</v>
      </c>
      <c r="D26">
        <v>0.8</v>
      </c>
      <c r="E26">
        <v>0.8</v>
      </c>
      <c r="F26">
        <v>0.8</v>
      </c>
      <c r="G26">
        <v>0</v>
      </c>
    </row>
    <row r="27" spans="1:7" x14ac:dyDescent="0.15">
      <c r="A27">
        <v>26</v>
      </c>
      <c r="B27" s="164" t="s">
        <v>217</v>
      </c>
      <c r="C27">
        <v>0.8</v>
      </c>
      <c r="D27">
        <v>0.8</v>
      </c>
      <c r="E27">
        <v>0.8</v>
      </c>
      <c r="F27">
        <v>0.8</v>
      </c>
      <c r="G27">
        <v>0</v>
      </c>
    </row>
    <row r="28" spans="1:7" x14ac:dyDescent="0.15">
      <c r="A28">
        <v>27</v>
      </c>
      <c r="B28" s="164" t="s">
        <v>218</v>
      </c>
      <c r="C28">
        <v>0.8</v>
      </c>
      <c r="D28">
        <v>0.8</v>
      </c>
      <c r="E28">
        <v>0</v>
      </c>
      <c r="F28">
        <v>0.8</v>
      </c>
      <c r="G28">
        <v>0</v>
      </c>
    </row>
    <row r="29" spans="1:7" x14ac:dyDescent="0.15">
      <c r="A29">
        <v>28</v>
      </c>
      <c r="B29" s="164" t="s">
        <v>219</v>
      </c>
      <c r="C29">
        <v>0.8</v>
      </c>
      <c r="D29">
        <v>0.8</v>
      </c>
      <c r="E29">
        <v>0</v>
      </c>
      <c r="F29">
        <v>0.8</v>
      </c>
      <c r="G29">
        <v>0</v>
      </c>
    </row>
    <row r="30" spans="1:7" x14ac:dyDescent="0.15">
      <c r="A30">
        <v>29</v>
      </c>
      <c r="B30" s="164" t="s">
        <v>220</v>
      </c>
      <c r="C30">
        <v>0.8</v>
      </c>
      <c r="D30">
        <v>0.8</v>
      </c>
      <c r="E30">
        <v>0</v>
      </c>
      <c r="F30">
        <v>0.8</v>
      </c>
      <c r="G30">
        <v>0</v>
      </c>
    </row>
    <row r="31" spans="1:7" x14ac:dyDescent="0.15">
      <c r="A31">
        <v>30</v>
      </c>
      <c r="B31" s="164" t="s">
        <v>221</v>
      </c>
      <c r="C31">
        <v>0.8</v>
      </c>
      <c r="D31">
        <v>0.8</v>
      </c>
      <c r="E31">
        <v>0</v>
      </c>
      <c r="F31">
        <v>0.8</v>
      </c>
      <c r="G31">
        <v>0</v>
      </c>
    </row>
    <row r="32" spans="1:7" x14ac:dyDescent="0.15">
      <c r="A32">
        <v>31</v>
      </c>
      <c r="B32" s="164" t="s">
        <v>222</v>
      </c>
      <c r="C32">
        <v>0.8</v>
      </c>
      <c r="D32">
        <v>0.8</v>
      </c>
      <c r="E32">
        <v>0.8</v>
      </c>
      <c r="F32">
        <v>0.8</v>
      </c>
      <c r="G32">
        <v>0</v>
      </c>
    </row>
    <row r="33" spans="1:7" x14ac:dyDescent="0.15">
      <c r="A33">
        <v>32</v>
      </c>
      <c r="B33" s="164" t="s">
        <v>223</v>
      </c>
      <c r="C33">
        <v>0.8</v>
      </c>
      <c r="D33">
        <v>0.8</v>
      </c>
      <c r="E33">
        <v>0.8</v>
      </c>
      <c r="F33">
        <v>0.8</v>
      </c>
      <c r="G33">
        <v>0</v>
      </c>
    </row>
    <row r="34" spans="1:7" x14ac:dyDescent="0.15">
      <c r="A34">
        <v>33</v>
      </c>
      <c r="B34" s="164" t="s">
        <v>224</v>
      </c>
      <c r="C34">
        <v>0.8</v>
      </c>
      <c r="D34">
        <v>0.8</v>
      </c>
      <c r="E34">
        <v>0.8</v>
      </c>
      <c r="F34">
        <v>0.8</v>
      </c>
      <c r="G34">
        <v>0</v>
      </c>
    </row>
    <row r="35" spans="1:7" x14ac:dyDescent="0.15">
      <c r="A35">
        <v>34</v>
      </c>
      <c r="B35" s="164" t="s">
        <v>225</v>
      </c>
      <c r="C35">
        <v>0.8</v>
      </c>
      <c r="D35">
        <v>0.8</v>
      </c>
      <c r="E35">
        <v>0.8</v>
      </c>
      <c r="F35">
        <v>0.8</v>
      </c>
      <c r="G35">
        <v>0</v>
      </c>
    </row>
    <row r="36" spans="1:7" x14ac:dyDescent="0.15">
      <c r="A36">
        <v>35</v>
      </c>
      <c r="B36" s="164" t="s">
        <v>226</v>
      </c>
      <c r="C36">
        <v>0.8</v>
      </c>
      <c r="D36">
        <v>0</v>
      </c>
      <c r="E36">
        <v>0.8</v>
      </c>
      <c r="F36">
        <v>0.8</v>
      </c>
      <c r="G36">
        <v>0</v>
      </c>
    </row>
    <row r="37" spans="1:7" x14ac:dyDescent="0.15">
      <c r="A37">
        <v>36</v>
      </c>
      <c r="B37" s="164" t="s">
        <v>227</v>
      </c>
      <c r="C37">
        <v>0.8</v>
      </c>
      <c r="D37">
        <v>0</v>
      </c>
      <c r="E37">
        <v>0.8</v>
      </c>
      <c r="F37">
        <v>0</v>
      </c>
      <c r="G37">
        <v>0</v>
      </c>
    </row>
    <row r="38" spans="1:7" x14ac:dyDescent="0.15">
      <c r="A38">
        <v>37</v>
      </c>
      <c r="B38" s="164" t="s">
        <v>228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15">
      <c r="A39">
        <v>38</v>
      </c>
      <c r="B39" s="164" t="s">
        <v>229</v>
      </c>
      <c r="C39">
        <v>0</v>
      </c>
      <c r="D39">
        <v>0</v>
      </c>
      <c r="E39">
        <v>0</v>
      </c>
      <c r="F39">
        <v>0.8</v>
      </c>
      <c r="G39">
        <v>0</v>
      </c>
    </row>
    <row r="40" spans="1:7" x14ac:dyDescent="0.15">
      <c r="A40">
        <v>39</v>
      </c>
      <c r="B40" s="164" t="s">
        <v>230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15">
      <c r="A41">
        <v>40</v>
      </c>
      <c r="B41" s="164" t="s">
        <v>231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15">
      <c r="A42">
        <v>41</v>
      </c>
      <c r="B42" s="164" t="s">
        <v>232</v>
      </c>
      <c r="C42">
        <v>0</v>
      </c>
      <c r="D42">
        <v>0</v>
      </c>
      <c r="E42">
        <v>0</v>
      </c>
      <c r="F42">
        <v>0</v>
      </c>
      <c r="G42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G42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5.5" bestFit="1" customWidth="1"/>
    <col min="3" max="4" width="3.83203125" bestFit="1" customWidth="1"/>
    <col min="5" max="7" width="3.83203125" customWidth="1"/>
  </cols>
  <sheetData>
    <row r="1" spans="1:7" ht="112" x14ac:dyDescent="0.15">
      <c r="A1" s="5" t="s">
        <v>82</v>
      </c>
      <c r="B1" s="3" t="s">
        <v>0</v>
      </c>
      <c r="C1" s="167" t="s">
        <v>233</v>
      </c>
      <c r="D1" s="167" t="s">
        <v>234</v>
      </c>
      <c r="E1" s="167" t="s">
        <v>235</v>
      </c>
      <c r="F1" s="167" t="s">
        <v>236</v>
      </c>
      <c r="G1" s="167" t="s">
        <v>237</v>
      </c>
    </row>
    <row r="2" spans="1:7" x14ac:dyDescent="0.15">
      <c r="A2">
        <v>1</v>
      </c>
      <c r="B2" s="166" t="s">
        <v>192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15">
      <c r="A3">
        <v>2</v>
      </c>
      <c r="B3" s="166" t="s">
        <v>193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15">
      <c r="A4">
        <v>3</v>
      </c>
      <c r="B4" s="166" t="s">
        <v>194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15">
      <c r="A5">
        <v>4</v>
      </c>
      <c r="B5" s="166" t="s">
        <v>195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15">
      <c r="A6">
        <v>5</v>
      </c>
      <c r="B6" s="166" t="s">
        <v>196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15">
      <c r="A7">
        <v>6</v>
      </c>
      <c r="B7" s="166" t="s">
        <v>197</v>
      </c>
      <c r="C7">
        <v>0</v>
      </c>
      <c r="D7">
        <v>0</v>
      </c>
      <c r="E7">
        <v>0</v>
      </c>
      <c r="F7">
        <v>0</v>
      </c>
      <c r="G7">
        <v>0</v>
      </c>
    </row>
    <row r="8" spans="1:7" x14ac:dyDescent="0.15">
      <c r="A8">
        <v>7</v>
      </c>
      <c r="B8" s="166" t="s">
        <v>198</v>
      </c>
      <c r="C8">
        <v>0</v>
      </c>
      <c r="D8">
        <v>0</v>
      </c>
      <c r="E8">
        <v>0</v>
      </c>
      <c r="F8">
        <v>0</v>
      </c>
      <c r="G8">
        <v>0</v>
      </c>
    </row>
    <row r="9" spans="1:7" x14ac:dyDescent="0.15">
      <c r="A9">
        <v>8</v>
      </c>
      <c r="B9" s="166" t="s">
        <v>199</v>
      </c>
      <c r="C9">
        <v>0.8</v>
      </c>
      <c r="D9">
        <v>0.8</v>
      </c>
      <c r="E9">
        <v>0</v>
      </c>
      <c r="F9">
        <v>0.8</v>
      </c>
      <c r="G9">
        <v>0.8</v>
      </c>
    </row>
    <row r="10" spans="1:7" x14ac:dyDescent="0.15">
      <c r="A10">
        <v>9</v>
      </c>
      <c r="B10" s="166" t="s">
        <v>200</v>
      </c>
      <c r="C10">
        <v>0.8</v>
      </c>
      <c r="D10">
        <v>0.8</v>
      </c>
      <c r="E10">
        <v>0.8</v>
      </c>
      <c r="F10">
        <v>0.8</v>
      </c>
      <c r="G10">
        <v>0.8</v>
      </c>
    </row>
    <row r="11" spans="1:7" x14ac:dyDescent="0.15">
      <c r="A11">
        <v>10</v>
      </c>
      <c r="B11" s="166" t="s">
        <v>201</v>
      </c>
      <c r="C11">
        <v>0.8</v>
      </c>
      <c r="D11">
        <v>0.8</v>
      </c>
      <c r="E11">
        <v>0</v>
      </c>
      <c r="F11">
        <v>0.8</v>
      </c>
      <c r="G11">
        <v>0</v>
      </c>
    </row>
    <row r="12" spans="1:7" x14ac:dyDescent="0.15">
      <c r="A12">
        <v>11</v>
      </c>
      <c r="B12" s="166" t="s">
        <v>202</v>
      </c>
      <c r="C12">
        <v>0.8</v>
      </c>
      <c r="D12">
        <v>0.8</v>
      </c>
      <c r="E12">
        <v>0</v>
      </c>
      <c r="F12">
        <v>0.8</v>
      </c>
      <c r="G12">
        <v>0</v>
      </c>
    </row>
    <row r="13" spans="1:7" x14ac:dyDescent="0.15">
      <c r="A13">
        <v>12</v>
      </c>
      <c r="B13" s="166" t="s">
        <v>203</v>
      </c>
      <c r="C13">
        <v>0.8</v>
      </c>
      <c r="D13">
        <v>0.8</v>
      </c>
      <c r="E13">
        <v>0.8</v>
      </c>
      <c r="F13">
        <v>0.8</v>
      </c>
      <c r="G13">
        <v>0.8</v>
      </c>
    </row>
    <row r="14" spans="1:7" x14ac:dyDescent="0.15">
      <c r="A14">
        <v>13</v>
      </c>
      <c r="B14" s="166" t="s">
        <v>204</v>
      </c>
      <c r="C14">
        <v>0.8</v>
      </c>
      <c r="D14">
        <v>0.8</v>
      </c>
      <c r="E14">
        <v>0.8</v>
      </c>
      <c r="F14">
        <v>0.8</v>
      </c>
      <c r="G14">
        <v>0</v>
      </c>
    </row>
    <row r="15" spans="1:7" x14ac:dyDescent="0.15">
      <c r="A15">
        <v>14</v>
      </c>
      <c r="B15" s="166" t="s">
        <v>205</v>
      </c>
      <c r="C15">
        <v>0.8</v>
      </c>
      <c r="D15">
        <v>0.8</v>
      </c>
      <c r="E15">
        <v>0.8</v>
      </c>
      <c r="F15">
        <v>0.8</v>
      </c>
      <c r="G15">
        <v>0</v>
      </c>
    </row>
    <row r="16" spans="1:7" x14ac:dyDescent="0.15">
      <c r="A16">
        <v>15</v>
      </c>
      <c r="B16" s="166" t="s">
        <v>206</v>
      </c>
      <c r="C16">
        <v>0.8</v>
      </c>
      <c r="D16">
        <v>0.8</v>
      </c>
      <c r="E16">
        <v>0.8</v>
      </c>
      <c r="F16">
        <v>0.8</v>
      </c>
      <c r="G16">
        <v>0</v>
      </c>
    </row>
    <row r="17" spans="1:7" x14ac:dyDescent="0.15">
      <c r="A17">
        <v>16</v>
      </c>
      <c r="B17" s="166" t="s">
        <v>207</v>
      </c>
      <c r="C17">
        <v>0.8</v>
      </c>
      <c r="D17">
        <v>0.8</v>
      </c>
      <c r="E17">
        <v>0.8</v>
      </c>
      <c r="F17">
        <v>0.8</v>
      </c>
      <c r="G17">
        <v>0</v>
      </c>
    </row>
    <row r="18" spans="1:7" x14ac:dyDescent="0.15">
      <c r="A18">
        <v>17</v>
      </c>
      <c r="B18" s="166" t="s">
        <v>208</v>
      </c>
      <c r="C18">
        <v>0.8</v>
      </c>
      <c r="D18">
        <v>0.8</v>
      </c>
      <c r="E18">
        <v>0.8</v>
      </c>
      <c r="F18">
        <v>0.8</v>
      </c>
      <c r="G18">
        <v>0</v>
      </c>
    </row>
    <row r="19" spans="1:7" x14ac:dyDescent="0.15">
      <c r="A19">
        <v>18</v>
      </c>
      <c r="B19" s="166" t="s">
        <v>209</v>
      </c>
      <c r="C19">
        <v>0.8</v>
      </c>
      <c r="D19">
        <v>0.8</v>
      </c>
      <c r="E19">
        <v>0.8</v>
      </c>
      <c r="F19">
        <v>0.8</v>
      </c>
      <c r="G19">
        <v>0</v>
      </c>
    </row>
    <row r="20" spans="1:7" x14ac:dyDescent="0.15">
      <c r="A20">
        <v>19</v>
      </c>
      <c r="B20" s="166" t="s">
        <v>210</v>
      </c>
      <c r="C20">
        <v>0.8</v>
      </c>
      <c r="D20">
        <v>0.8</v>
      </c>
      <c r="E20">
        <v>0.8</v>
      </c>
      <c r="F20">
        <v>0.8</v>
      </c>
      <c r="G20">
        <v>0</v>
      </c>
    </row>
    <row r="21" spans="1:7" x14ac:dyDescent="0.15">
      <c r="A21">
        <v>20</v>
      </c>
      <c r="B21" s="166" t="s">
        <v>211</v>
      </c>
      <c r="C21">
        <v>0.8</v>
      </c>
      <c r="D21">
        <v>0.8</v>
      </c>
      <c r="E21">
        <v>0.8</v>
      </c>
      <c r="F21">
        <v>0.8</v>
      </c>
      <c r="G21">
        <v>0</v>
      </c>
    </row>
    <row r="22" spans="1:7" x14ac:dyDescent="0.15">
      <c r="A22">
        <v>21</v>
      </c>
      <c r="B22" s="166" t="s">
        <v>212</v>
      </c>
      <c r="C22">
        <v>0.8</v>
      </c>
      <c r="D22">
        <v>0.8</v>
      </c>
      <c r="E22">
        <v>0.8</v>
      </c>
      <c r="F22">
        <v>0.8</v>
      </c>
      <c r="G22">
        <v>0</v>
      </c>
    </row>
    <row r="23" spans="1:7" x14ac:dyDescent="0.15">
      <c r="A23">
        <v>22</v>
      </c>
      <c r="B23" s="166" t="s">
        <v>213</v>
      </c>
      <c r="C23">
        <v>0.8</v>
      </c>
      <c r="D23">
        <v>0.8</v>
      </c>
      <c r="E23">
        <v>0.8</v>
      </c>
      <c r="F23">
        <v>0.8</v>
      </c>
      <c r="G23">
        <v>0</v>
      </c>
    </row>
    <row r="24" spans="1:7" x14ac:dyDescent="0.15">
      <c r="A24">
        <v>23</v>
      </c>
      <c r="B24" s="166" t="s">
        <v>214</v>
      </c>
      <c r="C24">
        <v>0.8</v>
      </c>
      <c r="D24">
        <v>0.8</v>
      </c>
      <c r="E24">
        <v>0.8</v>
      </c>
      <c r="F24">
        <v>0.8</v>
      </c>
      <c r="G24">
        <v>0</v>
      </c>
    </row>
    <row r="25" spans="1:7" x14ac:dyDescent="0.15">
      <c r="A25">
        <v>24</v>
      </c>
      <c r="B25" s="166" t="s">
        <v>215</v>
      </c>
      <c r="C25">
        <v>0.8</v>
      </c>
      <c r="D25">
        <v>0.8</v>
      </c>
      <c r="E25">
        <v>0.8</v>
      </c>
      <c r="F25">
        <v>0.8</v>
      </c>
      <c r="G25">
        <v>0</v>
      </c>
    </row>
    <row r="26" spans="1:7" x14ac:dyDescent="0.15">
      <c r="A26">
        <v>25</v>
      </c>
      <c r="B26" s="166" t="s">
        <v>216</v>
      </c>
      <c r="C26">
        <v>0.8</v>
      </c>
      <c r="D26">
        <v>0.8</v>
      </c>
      <c r="E26">
        <v>0.8</v>
      </c>
      <c r="F26">
        <v>0.8</v>
      </c>
      <c r="G26">
        <v>0</v>
      </c>
    </row>
    <row r="27" spans="1:7" x14ac:dyDescent="0.15">
      <c r="A27">
        <v>26</v>
      </c>
      <c r="B27" s="166" t="s">
        <v>217</v>
      </c>
      <c r="C27">
        <v>0.8</v>
      </c>
      <c r="D27">
        <v>0.8</v>
      </c>
      <c r="E27">
        <v>0.8</v>
      </c>
      <c r="F27">
        <v>0.8</v>
      </c>
      <c r="G27">
        <v>0</v>
      </c>
    </row>
    <row r="28" spans="1:7" x14ac:dyDescent="0.15">
      <c r="A28">
        <v>27</v>
      </c>
      <c r="B28" s="166" t="s">
        <v>218</v>
      </c>
      <c r="C28">
        <v>0.8</v>
      </c>
      <c r="D28">
        <v>0.8</v>
      </c>
      <c r="E28">
        <v>0</v>
      </c>
      <c r="F28">
        <v>0.8</v>
      </c>
      <c r="G28">
        <v>0</v>
      </c>
    </row>
    <row r="29" spans="1:7" x14ac:dyDescent="0.15">
      <c r="A29">
        <v>28</v>
      </c>
      <c r="B29" s="166" t="s">
        <v>219</v>
      </c>
      <c r="C29">
        <v>0.8</v>
      </c>
      <c r="D29">
        <v>0.8</v>
      </c>
      <c r="E29">
        <v>0</v>
      </c>
      <c r="F29">
        <v>0.8</v>
      </c>
      <c r="G29">
        <v>0</v>
      </c>
    </row>
    <row r="30" spans="1:7" x14ac:dyDescent="0.15">
      <c r="A30">
        <v>29</v>
      </c>
      <c r="B30" s="166" t="s">
        <v>220</v>
      </c>
      <c r="C30">
        <v>0.8</v>
      </c>
      <c r="D30">
        <v>0.8</v>
      </c>
      <c r="E30">
        <v>0</v>
      </c>
      <c r="F30">
        <v>0.8</v>
      </c>
      <c r="G30">
        <v>0</v>
      </c>
    </row>
    <row r="31" spans="1:7" x14ac:dyDescent="0.15">
      <c r="A31">
        <v>30</v>
      </c>
      <c r="B31" s="166" t="s">
        <v>221</v>
      </c>
      <c r="C31">
        <v>0.8</v>
      </c>
      <c r="D31">
        <v>0.8</v>
      </c>
      <c r="E31">
        <v>0</v>
      </c>
      <c r="F31">
        <v>0.8</v>
      </c>
      <c r="G31">
        <v>0</v>
      </c>
    </row>
    <row r="32" spans="1:7" x14ac:dyDescent="0.15">
      <c r="A32">
        <v>31</v>
      </c>
      <c r="B32" s="166" t="s">
        <v>222</v>
      </c>
      <c r="C32">
        <v>0.8</v>
      </c>
      <c r="D32">
        <v>0.8</v>
      </c>
      <c r="E32">
        <v>0.8</v>
      </c>
      <c r="F32">
        <v>0.8</v>
      </c>
      <c r="G32">
        <v>0</v>
      </c>
    </row>
    <row r="33" spans="1:7" x14ac:dyDescent="0.15">
      <c r="A33">
        <v>32</v>
      </c>
      <c r="B33" s="166" t="s">
        <v>223</v>
      </c>
      <c r="C33">
        <v>0.8</v>
      </c>
      <c r="D33">
        <v>0.8</v>
      </c>
      <c r="E33">
        <v>0.8</v>
      </c>
      <c r="F33">
        <v>0.8</v>
      </c>
      <c r="G33">
        <v>0</v>
      </c>
    </row>
    <row r="34" spans="1:7" x14ac:dyDescent="0.15">
      <c r="A34">
        <v>33</v>
      </c>
      <c r="B34" s="166" t="s">
        <v>224</v>
      </c>
      <c r="C34">
        <v>0.8</v>
      </c>
      <c r="D34">
        <v>0.8</v>
      </c>
      <c r="E34">
        <v>0.8</v>
      </c>
      <c r="F34">
        <v>0.8</v>
      </c>
      <c r="G34">
        <v>0</v>
      </c>
    </row>
    <row r="35" spans="1:7" x14ac:dyDescent="0.15">
      <c r="A35">
        <v>34</v>
      </c>
      <c r="B35" s="166" t="s">
        <v>225</v>
      </c>
      <c r="C35">
        <v>0.8</v>
      </c>
      <c r="D35">
        <v>0.8</v>
      </c>
      <c r="E35">
        <v>0.8</v>
      </c>
      <c r="F35">
        <v>0.8</v>
      </c>
      <c r="G35">
        <v>0</v>
      </c>
    </row>
    <row r="36" spans="1:7" x14ac:dyDescent="0.15">
      <c r="A36">
        <v>35</v>
      </c>
      <c r="B36" s="166" t="s">
        <v>226</v>
      </c>
      <c r="C36">
        <v>0.8</v>
      </c>
      <c r="D36">
        <v>0</v>
      </c>
      <c r="E36">
        <v>0.8</v>
      </c>
      <c r="F36">
        <v>0.8</v>
      </c>
      <c r="G36">
        <v>0</v>
      </c>
    </row>
    <row r="37" spans="1:7" x14ac:dyDescent="0.15">
      <c r="A37">
        <v>36</v>
      </c>
      <c r="B37" s="166" t="s">
        <v>227</v>
      </c>
      <c r="C37">
        <v>0.8</v>
      </c>
      <c r="D37">
        <v>0</v>
      </c>
      <c r="E37">
        <v>0.8</v>
      </c>
      <c r="F37">
        <v>0</v>
      </c>
      <c r="G37">
        <v>0</v>
      </c>
    </row>
    <row r="38" spans="1:7" x14ac:dyDescent="0.15">
      <c r="A38">
        <v>37</v>
      </c>
      <c r="B38" s="166" t="s">
        <v>228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15">
      <c r="A39">
        <v>38</v>
      </c>
      <c r="B39" s="166" t="s">
        <v>229</v>
      </c>
      <c r="C39">
        <v>0</v>
      </c>
      <c r="D39">
        <v>0</v>
      </c>
      <c r="E39">
        <v>0</v>
      </c>
      <c r="F39">
        <v>0.8</v>
      </c>
      <c r="G39">
        <v>0</v>
      </c>
    </row>
    <row r="40" spans="1:7" x14ac:dyDescent="0.15">
      <c r="A40">
        <v>39</v>
      </c>
      <c r="B40" s="166" t="s">
        <v>230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15">
      <c r="A41">
        <v>40</v>
      </c>
      <c r="B41" s="166" t="s">
        <v>231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15">
      <c r="A42">
        <v>41</v>
      </c>
      <c r="B42" s="166" t="s">
        <v>232</v>
      </c>
      <c r="C42">
        <v>0</v>
      </c>
      <c r="D42">
        <v>0</v>
      </c>
      <c r="E42">
        <v>0</v>
      </c>
      <c r="F42">
        <v>0</v>
      </c>
      <c r="G4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M9" sqref="M9"/>
    </sheetView>
  </sheetViews>
  <sheetFormatPr baseColWidth="10" defaultColWidth="8.83203125" defaultRowHeight="15" customHeight="1" x14ac:dyDescent="0.15"/>
  <cols>
    <col min="1" max="1" width="8.83203125" style="85"/>
    <col min="2" max="2" width="41.83203125" style="85" bestFit="1" customWidth="1"/>
    <col min="3" max="3" width="9.33203125" style="85" bestFit="1" customWidth="1"/>
    <col min="4" max="4" width="13" style="85" bestFit="1" customWidth="1"/>
    <col min="5" max="6" width="9.33203125" style="85" bestFit="1" customWidth="1"/>
    <col min="7" max="7" width="9.33203125" style="101" bestFit="1" customWidth="1"/>
    <col min="8" max="8" width="9.33203125" style="85" bestFit="1" customWidth="1"/>
    <col min="9" max="9" width="11" style="85" customWidth="1"/>
    <col min="10" max="10" width="8.83203125" style="85"/>
    <col min="15" max="16384" width="8.83203125" style="85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258">
        <v>1</v>
      </c>
      <c r="B2" s="258" t="s">
        <v>192</v>
      </c>
      <c r="C2" s="8">
        <v>1</v>
      </c>
      <c r="D2" s="9">
        <v>4.565000057220459</v>
      </c>
      <c r="E2" s="9">
        <v>117.30000305175781</v>
      </c>
      <c r="F2" s="10"/>
      <c r="G2" s="9">
        <v>0.68697178363800049</v>
      </c>
      <c r="H2" s="10"/>
      <c r="I2">
        <v>0</v>
      </c>
      <c r="J2"/>
    </row>
    <row r="3" spans="1:10" ht="15" customHeight="1" x14ac:dyDescent="0.15">
      <c r="A3" s="259">
        <v>2</v>
      </c>
      <c r="B3" s="259" t="s">
        <v>193</v>
      </c>
      <c r="C3" s="8">
        <v>2.0526316165924072</v>
      </c>
      <c r="D3" s="9">
        <v>0.47499999403953552</v>
      </c>
      <c r="E3" s="9">
        <v>258.84698486328125</v>
      </c>
      <c r="F3" s="9">
        <v>776.540771484375</v>
      </c>
      <c r="G3" s="9">
        <v>0.68968343734741211</v>
      </c>
      <c r="H3" s="9">
        <v>0.33333340287208557</v>
      </c>
      <c r="I3">
        <v>0</v>
      </c>
      <c r="J3"/>
    </row>
    <row r="4" spans="1:10" ht="15" customHeight="1" x14ac:dyDescent="0.15">
      <c r="A4" s="260">
        <v>3</v>
      </c>
      <c r="B4" s="260" t="s">
        <v>194</v>
      </c>
      <c r="C4" s="8">
        <v>2.3296399116516113</v>
      </c>
      <c r="D4" s="9">
        <v>2.7899999618530273</v>
      </c>
      <c r="E4" s="9">
        <v>29.184999465942383</v>
      </c>
      <c r="F4" s="9">
        <v>87.554710388183594</v>
      </c>
      <c r="G4" s="9">
        <v>0.9902421236038208</v>
      </c>
      <c r="H4" s="9">
        <v>0.33333441615104675</v>
      </c>
      <c r="I4">
        <v>0</v>
      </c>
      <c r="J4"/>
    </row>
    <row r="5" spans="1:10" ht="15" customHeight="1" x14ac:dyDescent="0.15">
      <c r="A5" s="261">
        <v>4</v>
      </c>
      <c r="B5" s="261" t="s">
        <v>195</v>
      </c>
      <c r="C5" s="8">
        <v>2.9186470508575439</v>
      </c>
      <c r="D5" s="9">
        <v>0.28742840886116028</v>
      </c>
      <c r="E5" s="9">
        <v>21.072999954223633</v>
      </c>
      <c r="F5" s="9">
        <v>53.169933319091797</v>
      </c>
      <c r="G5" s="9">
        <v>0.94999992847442627</v>
      </c>
      <c r="H5" s="9">
        <v>0.3963330090045929</v>
      </c>
      <c r="I5">
        <v>0</v>
      </c>
      <c r="J5"/>
    </row>
    <row r="6" spans="1:10" ht="15" customHeight="1" x14ac:dyDescent="0.15">
      <c r="A6" s="262">
        <v>5</v>
      </c>
      <c r="B6" s="262" t="s">
        <v>196</v>
      </c>
      <c r="C6" s="8">
        <v>3.2466380596160889</v>
      </c>
      <c r="D6" s="9">
        <v>2.4760000705718994</v>
      </c>
      <c r="E6" s="9">
        <v>4.8359999656677246</v>
      </c>
      <c r="F6" s="9">
        <v>12.090259552001953</v>
      </c>
      <c r="G6" s="9">
        <v>9.2438355088233948E-2</v>
      </c>
      <c r="H6" s="9">
        <v>0.39999142289161682</v>
      </c>
      <c r="I6">
        <v>0</v>
      </c>
      <c r="J6"/>
    </row>
    <row r="7" spans="1:10" ht="15" customHeight="1" x14ac:dyDescent="0.15">
      <c r="A7" s="263">
        <v>6</v>
      </c>
      <c r="B7" s="263" t="s">
        <v>197</v>
      </c>
      <c r="C7" s="8">
        <v>2.2171611785888672</v>
      </c>
      <c r="D7" s="9">
        <v>1.1089999675750732</v>
      </c>
      <c r="E7" s="9">
        <v>7.315000057220459</v>
      </c>
      <c r="F7" s="9">
        <v>54.401588439941406</v>
      </c>
      <c r="G7" s="9">
        <v>0.60917997360229492</v>
      </c>
      <c r="H7" s="9">
        <v>0.13446298241615295</v>
      </c>
      <c r="I7">
        <v>0</v>
      </c>
      <c r="J7"/>
    </row>
    <row r="8" spans="1:10" ht="15" customHeight="1" x14ac:dyDescent="0.15">
      <c r="A8" s="264">
        <v>7</v>
      </c>
      <c r="B8" s="264" t="s">
        <v>198</v>
      </c>
      <c r="C8" s="8">
        <v>2.1083834171295166</v>
      </c>
      <c r="D8" s="9">
        <v>5.3330001831054688</v>
      </c>
      <c r="E8" s="9">
        <v>1.6330000162124634</v>
      </c>
      <c r="F8" s="9">
        <v>12.462135314941406</v>
      </c>
      <c r="G8" s="9">
        <v>0.91832876205444336</v>
      </c>
      <c r="H8" s="9">
        <v>0.13103693723678589</v>
      </c>
      <c r="I8">
        <v>0</v>
      </c>
      <c r="J8"/>
    </row>
    <row r="9" spans="1:10" ht="15" customHeight="1" x14ac:dyDescent="0.15">
      <c r="A9" s="265">
        <v>8</v>
      </c>
      <c r="B9" s="265" t="s">
        <v>199</v>
      </c>
      <c r="C9" s="8">
        <v>3.1409883499145508</v>
      </c>
      <c r="D9" s="9">
        <v>0.39899998903274536</v>
      </c>
      <c r="E9" s="9">
        <v>3.1800000667572021</v>
      </c>
      <c r="F9" s="9">
        <v>7.5151848793029785</v>
      </c>
      <c r="G9" s="9">
        <v>0.97931647300720215</v>
      </c>
      <c r="H9" s="9">
        <v>0.42314329743385315</v>
      </c>
      <c r="I9">
        <v>0.10921795666217804</v>
      </c>
      <c r="J9"/>
    </row>
    <row r="10" spans="1:10" ht="15" customHeight="1" x14ac:dyDescent="0.15">
      <c r="A10" s="266">
        <v>9</v>
      </c>
      <c r="B10" s="266" t="s">
        <v>200</v>
      </c>
      <c r="C10" s="8">
        <v>2.9774456024169922</v>
      </c>
      <c r="D10" s="9">
        <v>0.27000001072883606</v>
      </c>
      <c r="E10" s="9">
        <v>2.4230000972747803</v>
      </c>
      <c r="F10" s="9">
        <v>4.9370589256286621</v>
      </c>
      <c r="G10" s="9">
        <v>0.95878994464874268</v>
      </c>
      <c r="H10" s="9">
        <v>0.49077802896499634</v>
      </c>
      <c r="I10">
        <v>3.3509954810142517E-2</v>
      </c>
      <c r="J10"/>
    </row>
    <row r="11" spans="1:10" ht="15" customHeight="1" x14ac:dyDescent="0.15">
      <c r="A11" s="267">
        <v>10</v>
      </c>
      <c r="B11" s="267" t="s">
        <v>201</v>
      </c>
      <c r="C11" s="8">
        <v>3.0599641799926758</v>
      </c>
      <c r="D11" s="9">
        <v>2.4000000208616257E-2</v>
      </c>
      <c r="E11" s="9">
        <v>1.3179999589920044</v>
      </c>
      <c r="F11" s="9">
        <v>4.7596168518066406</v>
      </c>
      <c r="G11" s="9">
        <v>0.97911947965621948</v>
      </c>
      <c r="H11" s="9">
        <v>0.27691304683685303</v>
      </c>
      <c r="I11">
        <v>1.1776870116591454E-2</v>
      </c>
      <c r="J11"/>
    </row>
    <row r="12" spans="1:10" ht="15" customHeight="1" x14ac:dyDescent="0.15">
      <c r="A12" s="268">
        <v>11</v>
      </c>
      <c r="B12" s="268" t="s">
        <v>202</v>
      </c>
      <c r="C12" s="8">
        <v>2.0533559322357178</v>
      </c>
      <c r="D12" s="9">
        <v>8.7119998931884766</v>
      </c>
      <c r="E12" s="9">
        <v>1.1480000019073486</v>
      </c>
      <c r="F12" s="9">
        <v>3.2670178413391113</v>
      </c>
      <c r="G12" s="9">
        <v>0.94494748115539551</v>
      </c>
      <c r="H12" s="9">
        <v>0.35139080882072449</v>
      </c>
      <c r="I12">
        <v>6.7502565681934357E-2</v>
      </c>
      <c r="J12"/>
    </row>
    <row r="13" spans="1:10" ht="15" customHeight="1" x14ac:dyDescent="0.15">
      <c r="A13" s="269">
        <v>12</v>
      </c>
      <c r="B13" s="269" t="s">
        <v>203</v>
      </c>
      <c r="C13" s="8">
        <v>3.4831361770629883</v>
      </c>
      <c r="D13" s="9">
        <v>0.29199999570846558</v>
      </c>
      <c r="E13" s="9">
        <v>2.6830000877380371</v>
      </c>
      <c r="F13" s="9">
        <v>5.5</v>
      </c>
      <c r="G13" s="9">
        <v>0.97401648759841919</v>
      </c>
      <c r="H13" s="9">
        <v>0.48781821131706238</v>
      </c>
      <c r="I13">
        <v>0.17975470423698425</v>
      </c>
      <c r="J13"/>
    </row>
    <row r="14" spans="1:10" ht="15" customHeight="1" x14ac:dyDescent="0.15">
      <c r="A14" s="270">
        <v>13</v>
      </c>
      <c r="B14" s="270" t="s">
        <v>204</v>
      </c>
      <c r="C14" s="8">
        <v>4.177304744720459</v>
      </c>
      <c r="D14" s="9">
        <v>0.11400000005960464</v>
      </c>
      <c r="E14" s="9">
        <v>2.5959999561309814</v>
      </c>
      <c r="F14" s="9">
        <v>26.469999313354492</v>
      </c>
      <c r="G14" s="9">
        <v>0.97236472368240356</v>
      </c>
      <c r="H14" s="9">
        <v>9.8073288798332214E-2</v>
      </c>
      <c r="I14">
        <v>3.2974384725093842E-2</v>
      </c>
      <c r="J14"/>
    </row>
    <row r="15" spans="1:10" ht="15" customHeight="1" x14ac:dyDescent="0.15">
      <c r="A15" s="271">
        <v>14</v>
      </c>
      <c r="B15" s="271" t="s">
        <v>205</v>
      </c>
      <c r="C15" s="8">
        <v>2.8695056438446045</v>
      </c>
      <c r="D15" s="9">
        <v>7.1999996900558472E-2</v>
      </c>
      <c r="E15" s="9">
        <v>1.7990000247955322</v>
      </c>
      <c r="F15" s="9">
        <v>7.6713995933532715</v>
      </c>
      <c r="G15" s="9">
        <v>0.98341184854507446</v>
      </c>
      <c r="H15" s="9">
        <v>0.23450741171836853</v>
      </c>
      <c r="I15">
        <v>7.994050532579422E-2</v>
      </c>
      <c r="J15"/>
    </row>
    <row r="16" spans="1:10" ht="15" customHeight="1" x14ac:dyDescent="0.15">
      <c r="A16" s="272">
        <v>15</v>
      </c>
      <c r="B16" s="272" t="s">
        <v>206</v>
      </c>
      <c r="C16" s="8">
        <v>4.3788328170776367</v>
      </c>
      <c r="D16" s="9">
        <v>8.1000000238418579E-2</v>
      </c>
      <c r="E16" s="9">
        <v>0.90399998426437378</v>
      </c>
      <c r="F16" s="9">
        <v>4.3450174331665039</v>
      </c>
      <c r="G16" s="9">
        <v>0.72300302982330322</v>
      </c>
      <c r="H16" s="9">
        <v>0.20805439352989197</v>
      </c>
      <c r="I16">
        <v>4.794161394238472E-2</v>
      </c>
      <c r="J16"/>
    </row>
    <row r="17" spans="1:10" ht="15" customHeight="1" x14ac:dyDescent="0.15">
      <c r="A17" s="273">
        <v>16</v>
      </c>
      <c r="B17" s="273" t="s">
        <v>207</v>
      </c>
      <c r="C17" s="8">
        <v>3.6372599601745605</v>
      </c>
      <c r="D17" s="9">
        <v>6.1000000685453415E-2</v>
      </c>
      <c r="E17" s="9">
        <v>1.5980000495910645</v>
      </c>
      <c r="F17" s="9">
        <v>9.0917282104492188</v>
      </c>
      <c r="G17" s="9">
        <v>0.99569839239120483</v>
      </c>
      <c r="H17" s="9">
        <v>0.17576417326927185</v>
      </c>
      <c r="I17">
        <v>3.5138711333274841E-2</v>
      </c>
      <c r="J17"/>
    </row>
    <row r="18" spans="1:10" ht="15" customHeight="1" x14ac:dyDescent="0.15">
      <c r="A18" s="274">
        <v>17</v>
      </c>
      <c r="B18" s="274" t="s">
        <v>208</v>
      </c>
      <c r="C18" s="8">
        <v>3.8569035530090332</v>
      </c>
      <c r="D18" s="9">
        <v>0.18199999630451202</v>
      </c>
      <c r="E18" s="9">
        <v>1.1000000238418579</v>
      </c>
      <c r="F18" s="9">
        <v>7.6366291046142578</v>
      </c>
      <c r="G18" s="9">
        <v>0.97292739152908325</v>
      </c>
      <c r="H18" s="9">
        <v>0.14404261112213135</v>
      </c>
      <c r="I18">
        <v>2.2979961708188057E-2</v>
      </c>
      <c r="J18"/>
    </row>
    <row r="19" spans="1:10" ht="15" customHeight="1" x14ac:dyDescent="0.15">
      <c r="A19" s="275">
        <v>18</v>
      </c>
      <c r="B19" s="275" t="s">
        <v>209</v>
      </c>
      <c r="C19" s="8">
        <v>4.2798490524291992</v>
      </c>
      <c r="D19" s="9">
        <v>0.3059999942779541</v>
      </c>
      <c r="E19" s="9">
        <v>0.74500000476837158</v>
      </c>
      <c r="F19" s="9">
        <v>5.2611041069030762</v>
      </c>
      <c r="G19" s="9">
        <v>0.96334916353225708</v>
      </c>
      <c r="H19" s="9">
        <v>0.14160525798797607</v>
      </c>
      <c r="I19">
        <v>0.10714957118034363</v>
      </c>
      <c r="J19"/>
    </row>
    <row r="20" spans="1:10" ht="15" customHeight="1" x14ac:dyDescent="0.15">
      <c r="A20" s="276">
        <v>19</v>
      </c>
      <c r="B20" s="276" t="s">
        <v>210</v>
      </c>
      <c r="C20" s="8">
        <v>3.445408821105957</v>
      </c>
      <c r="D20" s="9">
        <v>6.8000003695487976E-2</v>
      </c>
      <c r="E20" s="9">
        <v>1.5509999990463257</v>
      </c>
      <c r="F20" s="9">
        <v>7.4794073104858398</v>
      </c>
      <c r="G20" s="9">
        <v>0.98531067371368408</v>
      </c>
      <c r="H20" s="9">
        <v>0.2073693722486496</v>
      </c>
      <c r="I20">
        <v>2.3261763155460358E-2</v>
      </c>
      <c r="J20"/>
    </row>
    <row r="21" spans="1:10" ht="15" customHeight="1" x14ac:dyDescent="0.15">
      <c r="A21" s="277">
        <v>20</v>
      </c>
      <c r="B21" s="277" t="s">
        <v>211</v>
      </c>
      <c r="C21" s="8">
        <v>4.3558378219604492</v>
      </c>
      <c r="D21" s="9">
        <v>7.5999997556209564E-2</v>
      </c>
      <c r="E21" s="9">
        <v>1.4939999580383301</v>
      </c>
      <c r="F21" s="9">
        <v>5.1513500213623047</v>
      </c>
      <c r="G21" s="9">
        <v>0.97851091623306274</v>
      </c>
      <c r="H21" s="9">
        <v>0.29002106189727783</v>
      </c>
      <c r="I21">
        <v>5.1266197115182877E-2</v>
      </c>
      <c r="J21"/>
    </row>
    <row r="22" spans="1:10" ht="15" customHeight="1" x14ac:dyDescent="0.15">
      <c r="A22" s="278">
        <v>21</v>
      </c>
      <c r="B22" s="278" t="s">
        <v>212</v>
      </c>
      <c r="C22" s="8">
        <v>3.3564801216125488</v>
      </c>
      <c r="D22" s="9">
        <v>0.20100000500679016</v>
      </c>
      <c r="E22" s="9">
        <v>1.7130000591278076</v>
      </c>
      <c r="F22" s="9">
        <v>8.4480905532836914</v>
      </c>
      <c r="G22" s="9">
        <v>0.97829282283782959</v>
      </c>
      <c r="H22" s="9">
        <v>0.20276771485805511</v>
      </c>
      <c r="I22">
        <v>9.7795441746711731E-2</v>
      </c>
      <c r="J22"/>
    </row>
    <row r="23" spans="1:10" ht="15" customHeight="1" x14ac:dyDescent="0.15">
      <c r="A23" s="279">
        <v>22</v>
      </c>
      <c r="B23" s="279" t="s">
        <v>213</v>
      </c>
      <c r="C23" s="8">
        <v>3.1480469703674316</v>
      </c>
      <c r="D23" s="9">
        <v>9.8999999463558197E-2</v>
      </c>
      <c r="E23" s="9">
        <v>2.2230000495910645</v>
      </c>
      <c r="F23" s="9">
        <v>9.0029354095458984</v>
      </c>
      <c r="G23" s="9">
        <v>0.97424924373626709</v>
      </c>
      <c r="H23" s="9">
        <v>0.24691946804523468</v>
      </c>
      <c r="I23">
        <v>7.8142449259757996E-2</v>
      </c>
      <c r="J23"/>
    </row>
    <row r="24" spans="1:10" ht="15" customHeight="1" x14ac:dyDescent="0.15">
      <c r="A24" s="280">
        <v>23</v>
      </c>
      <c r="B24" s="280" t="s">
        <v>214</v>
      </c>
      <c r="C24" s="8">
        <v>3.6167640686035156</v>
      </c>
      <c r="D24" s="9">
        <v>0.26800000667572021</v>
      </c>
      <c r="E24" s="9">
        <v>1.25</v>
      </c>
      <c r="F24" s="9">
        <v>9.2748479843139648</v>
      </c>
      <c r="G24" s="9">
        <v>0.96803218126296997</v>
      </c>
      <c r="H24" s="9">
        <v>0.13477310538291931</v>
      </c>
      <c r="I24">
        <v>5.0847679376602173E-3</v>
      </c>
      <c r="J24"/>
    </row>
    <row r="25" spans="1:10" ht="15" customHeight="1" x14ac:dyDescent="0.15">
      <c r="A25" s="281">
        <v>24</v>
      </c>
      <c r="B25" s="281" t="s">
        <v>215</v>
      </c>
      <c r="C25" s="8">
        <v>3.388397216796875</v>
      </c>
      <c r="D25" s="9">
        <v>0.18700000643730164</v>
      </c>
      <c r="E25" s="9">
        <v>1.690000057220459</v>
      </c>
      <c r="F25" s="9">
        <v>7.6823482513427734</v>
      </c>
      <c r="G25" s="9">
        <v>0.97175371646881104</v>
      </c>
      <c r="H25" s="9">
        <v>0.21998482942581177</v>
      </c>
      <c r="I25">
        <v>0.17324720323085785</v>
      </c>
      <c r="J25"/>
    </row>
    <row r="26" spans="1:10" ht="15" customHeight="1" x14ac:dyDescent="0.15">
      <c r="A26" s="282">
        <v>25</v>
      </c>
      <c r="B26" s="282" t="s">
        <v>216</v>
      </c>
      <c r="C26" s="8">
        <v>3.6851828098297119</v>
      </c>
      <c r="D26" s="9">
        <v>8.2000002264976501E-2</v>
      </c>
      <c r="E26" s="9">
        <v>0.57800000905990601</v>
      </c>
      <c r="F26" s="9">
        <v>5.1583423614501953</v>
      </c>
      <c r="G26" s="9">
        <v>0.59190589189529419</v>
      </c>
      <c r="H26" s="9">
        <v>0.11205150187015533</v>
      </c>
      <c r="I26">
        <v>1.9338255748152733E-2</v>
      </c>
      <c r="J26"/>
    </row>
    <row r="27" spans="1:10" ht="15" customHeight="1" x14ac:dyDescent="0.15">
      <c r="A27" s="283">
        <v>26</v>
      </c>
      <c r="B27" s="283" t="s">
        <v>217</v>
      </c>
      <c r="C27" s="8">
        <v>4.1316189765930176</v>
      </c>
      <c r="D27" s="9">
        <v>8.2000002264976501E-2</v>
      </c>
      <c r="E27" s="9">
        <v>0.875</v>
      </c>
      <c r="F27" s="9">
        <v>4.0720939636230469</v>
      </c>
      <c r="G27" s="9">
        <v>0.74099999666213989</v>
      </c>
      <c r="H27" s="9">
        <v>0.21487715840339661</v>
      </c>
      <c r="I27">
        <v>5.0486195832490921E-2</v>
      </c>
      <c r="J27"/>
    </row>
    <row r="28" spans="1:10" ht="15" customHeight="1" x14ac:dyDescent="0.15">
      <c r="A28" s="284">
        <v>27</v>
      </c>
      <c r="B28" s="284" t="s">
        <v>218</v>
      </c>
      <c r="C28" s="8">
        <v>3.3296399116516113</v>
      </c>
      <c r="D28" s="9">
        <v>0.35834112763404846</v>
      </c>
      <c r="E28" s="9">
        <v>2.2454636096954346</v>
      </c>
      <c r="F28" s="9">
        <v>12.208993911743164</v>
      </c>
      <c r="G28" s="9">
        <v>0.95108342170715332</v>
      </c>
      <c r="H28" s="9">
        <v>0.18391880393028259</v>
      </c>
      <c r="I28">
        <v>1.2717873323708773E-3</v>
      </c>
      <c r="J28"/>
    </row>
    <row r="29" spans="1:10" ht="15" customHeight="1" x14ac:dyDescent="0.15">
      <c r="A29" s="285">
        <v>28</v>
      </c>
      <c r="B29" s="285" t="s">
        <v>219</v>
      </c>
      <c r="C29" s="8">
        <v>3.3296399116516113</v>
      </c>
      <c r="D29" s="9">
        <v>1.7899996042251587</v>
      </c>
      <c r="E29" s="9">
        <v>1.3733642101287842</v>
      </c>
      <c r="F29" s="9">
        <v>5.2012500762939453</v>
      </c>
      <c r="G29" s="9">
        <v>0.91052705049514771</v>
      </c>
      <c r="H29" s="9">
        <v>0.26404502987861633</v>
      </c>
      <c r="I29">
        <v>0.44383940100669861</v>
      </c>
      <c r="J29"/>
    </row>
    <row r="30" spans="1:10" ht="15" customHeight="1" x14ac:dyDescent="0.15">
      <c r="A30" s="286">
        <v>29</v>
      </c>
      <c r="B30" s="286" t="s">
        <v>220</v>
      </c>
      <c r="C30" s="8">
        <v>3.3296399116516113</v>
      </c>
      <c r="D30" s="9">
        <v>0.17938946187496185</v>
      </c>
      <c r="E30" s="9">
        <v>1.6160365343093872</v>
      </c>
      <c r="F30" s="9">
        <v>18.41142463684082</v>
      </c>
      <c r="G30" s="9">
        <v>0.95855933427810669</v>
      </c>
      <c r="H30" s="9">
        <v>8.7773576378822327E-2</v>
      </c>
      <c r="I30">
        <v>1.5986399375833571E-4</v>
      </c>
      <c r="J30"/>
    </row>
    <row r="31" spans="1:10" ht="15" customHeight="1" x14ac:dyDescent="0.15">
      <c r="A31" s="287">
        <v>30</v>
      </c>
      <c r="B31" s="287" t="s">
        <v>221</v>
      </c>
      <c r="C31" s="8">
        <v>3.3301103115081787</v>
      </c>
      <c r="D31" s="9">
        <v>0.81000012159347534</v>
      </c>
      <c r="E31" s="9">
        <v>1.2023296356201172</v>
      </c>
      <c r="F31" s="9">
        <v>9.49176025390625</v>
      </c>
      <c r="G31" s="9">
        <v>0.97794842720031738</v>
      </c>
      <c r="H31" s="9">
        <v>0.12667088210582733</v>
      </c>
      <c r="I31">
        <v>0.34246695041656494</v>
      </c>
      <c r="J31"/>
    </row>
    <row r="32" spans="1:10" ht="15" customHeight="1" x14ac:dyDescent="0.15">
      <c r="A32" s="288">
        <v>31</v>
      </c>
      <c r="B32" s="288" t="s">
        <v>222</v>
      </c>
      <c r="C32" s="8">
        <v>3.5042650699615479</v>
      </c>
      <c r="D32" s="9">
        <v>0.18199999630451202</v>
      </c>
      <c r="E32" s="9">
        <v>1.0779999494552612</v>
      </c>
      <c r="F32" s="9">
        <v>7.7889418601989746</v>
      </c>
      <c r="G32" s="9">
        <v>0.98239535093307495</v>
      </c>
      <c r="H32" s="9">
        <v>0.1384013295173645</v>
      </c>
      <c r="I32">
        <v>6.2171157449483871E-2</v>
      </c>
      <c r="J32"/>
    </row>
    <row r="33" spans="1:10" ht="15" customHeight="1" x14ac:dyDescent="0.15">
      <c r="A33" s="289">
        <v>32</v>
      </c>
      <c r="B33" s="289" t="s">
        <v>223</v>
      </c>
      <c r="C33" s="8">
        <v>3.7025249004364014</v>
      </c>
      <c r="D33" s="9">
        <v>0.28400000929832458</v>
      </c>
      <c r="E33" s="9">
        <v>0.97100001573562622</v>
      </c>
      <c r="F33" s="9">
        <v>5.8789715766906738</v>
      </c>
      <c r="G33" s="9">
        <v>0.97574317455291748</v>
      </c>
      <c r="H33" s="9">
        <v>0.16516494750976562</v>
      </c>
      <c r="I33">
        <v>8.8635943830013275E-2</v>
      </c>
      <c r="J33"/>
    </row>
    <row r="34" spans="1:10" ht="15" customHeight="1" x14ac:dyDescent="0.15">
      <c r="A34" s="290">
        <v>33</v>
      </c>
      <c r="B34" s="290" t="s">
        <v>224</v>
      </c>
      <c r="C34" s="8">
        <v>3.3332068920135498</v>
      </c>
      <c r="D34" s="9">
        <v>0.56300002336502075</v>
      </c>
      <c r="E34" s="9">
        <v>0.75300002098083496</v>
      </c>
      <c r="F34" s="9">
        <v>8.405186653137207</v>
      </c>
      <c r="G34" s="9">
        <v>0.981067955493927</v>
      </c>
      <c r="H34" s="9">
        <v>8.9587539434432983E-2</v>
      </c>
      <c r="I34">
        <v>6.4421825110912323E-2</v>
      </c>
      <c r="J34"/>
    </row>
    <row r="35" spans="1:10" ht="15" customHeight="1" x14ac:dyDescent="0.15">
      <c r="A35" s="291">
        <v>34</v>
      </c>
      <c r="B35" s="291" t="s">
        <v>225</v>
      </c>
      <c r="C35" s="8">
        <v>4.3575515747070312</v>
      </c>
      <c r="D35" s="9">
        <v>0.20000000298023224</v>
      </c>
      <c r="E35" s="9">
        <v>0.61000001430511475</v>
      </c>
      <c r="F35" s="9">
        <v>3.2392542362213135</v>
      </c>
      <c r="G35" s="9">
        <v>0.88255155086517334</v>
      </c>
      <c r="H35" s="9">
        <v>0.18831495940685272</v>
      </c>
      <c r="I35">
        <v>0.10767129063606262</v>
      </c>
      <c r="J35"/>
    </row>
    <row r="36" spans="1:10" ht="15" customHeight="1" x14ac:dyDescent="0.15">
      <c r="A36" s="292">
        <v>35</v>
      </c>
      <c r="B36" s="292" t="s">
        <v>226</v>
      </c>
      <c r="C36" s="8">
        <v>4.5285987854003906</v>
      </c>
      <c r="D36" s="9">
        <v>3.5000000149011612E-2</v>
      </c>
      <c r="E36" s="9">
        <v>0.33500000834465027</v>
      </c>
      <c r="F36" s="9">
        <v>2.3890318870544434</v>
      </c>
      <c r="G36" s="9">
        <v>0.65781998634338379</v>
      </c>
      <c r="H36" s="9">
        <v>0.14022417366504669</v>
      </c>
      <c r="I36">
        <v>7.7129392884671688E-3</v>
      </c>
      <c r="J36"/>
    </row>
    <row r="37" spans="1:10" ht="15" customHeight="1" x14ac:dyDescent="0.15">
      <c r="A37" s="293">
        <v>36</v>
      </c>
      <c r="B37" s="293" t="s">
        <v>227</v>
      </c>
      <c r="C37" s="8">
        <v>2.9652543067932129</v>
      </c>
      <c r="D37" s="9">
        <v>1.9999999552965164E-2</v>
      </c>
      <c r="E37" s="9">
        <v>0.164000004529953</v>
      </c>
      <c r="F37" s="9">
        <v>2.6840322017669678</v>
      </c>
      <c r="G37" s="9">
        <v>6.4969517290592194E-2</v>
      </c>
      <c r="H37" s="9">
        <v>6.1102099716663361E-2</v>
      </c>
      <c r="I37">
        <v>2.1310000738594681E-4</v>
      </c>
      <c r="J37"/>
    </row>
    <row r="38" spans="1:10" ht="15" customHeight="1" x14ac:dyDescent="0.15">
      <c r="A38" s="294">
        <v>37</v>
      </c>
      <c r="B38" s="294" t="s">
        <v>228</v>
      </c>
      <c r="C38" s="8">
        <v>3.0958030223846436</v>
      </c>
      <c r="D38" s="9">
        <v>1.0000000474974513E-3</v>
      </c>
      <c r="E38" s="9">
        <v>4.7820000648498535</v>
      </c>
      <c r="F38" s="9">
        <v>111.61359405517578</v>
      </c>
      <c r="G38" s="9">
        <v>7.9409629106521606E-3</v>
      </c>
      <c r="H38" s="9">
        <v>4.2844243347644806E-2</v>
      </c>
      <c r="I38">
        <v>0</v>
      </c>
      <c r="J38"/>
    </row>
    <row r="39" spans="1:10" ht="15" customHeight="1" x14ac:dyDescent="0.15">
      <c r="A39" s="295">
        <v>38</v>
      </c>
      <c r="B39" s="295" t="s">
        <v>229</v>
      </c>
      <c r="C39" s="8">
        <v>4.5790152549743652</v>
      </c>
      <c r="D39" s="9">
        <v>9.9999997764825821E-3</v>
      </c>
      <c r="E39" s="9">
        <v>8.2999996840953827E-2</v>
      </c>
      <c r="F39" s="9">
        <v>13.80788516998291</v>
      </c>
      <c r="G39" s="9">
        <v>0.25669398903846741</v>
      </c>
      <c r="H39" s="9">
        <v>6.0110576450824738E-3</v>
      </c>
      <c r="I39">
        <v>2.1305600239429623E-4</v>
      </c>
      <c r="J39"/>
    </row>
    <row r="40" spans="1:10" ht="15" customHeight="1" x14ac:dyDescent="0.15">
      <c r="A40" s="296">
        <v>39</v>
      </c>
      <c r="B40" s="296" t="s">
        <v>230</v>
      </c>
      <c r="C40" s="8">
        <v>1</v>
      </c>
      <c r="D40" s="9">
        <v>31.440000534057617</v>
      </c>
      <c r="E40" s="10"/>
      <c r="F40" s="10"/>
      <c r="G40" s="9">
        <v>0.51522326469421387</v>
      </c>
      <c r="H40" s="10"/>
      <c r="I40">
        <v>0</v>
      </c>
      <c r="J40"/>
    </row>
    <row r="41" spans="1:10" ht="15" customHeight="1" x14ac:dyDescent="0.15">
      <c r="A41" s="297">
        <v>40</v>
      </c>
      <c r="B41" s="297" t="s">
        <v>231</v>
      </c>
      <c r="C41" s="8">
        <v>1</v>
      </c>
      <c r="D41" s="9">
        <v>0.58399999141693115</v>
      </c>
      <c r="E41" s="10"/>
      <c r="F41" s="10"/>
      <c r="G41" s="9">
        <v>0.79742717742919922</v>
      </c>
      <c r="H41" s="10"/>
      <c r="I41">
        <v>0</v>
      </c>
      <c r="J41"/>
    </row>
    <row r="42" spans="1:10" ht="15" customHeight="1" x14ac:dyDescent="0.15">
      <c r="A42" s="298">
        <v>41</v>
      </c>
      <c r="B42" s="298" t="s">
        <v>232</v>
      </c>
      <c r="C42" s="8">
        <v>1</v>
      </c>
      <c r="D42" s="9">
        <v>5</v>
      </c>
      <c r="E42" s="10"/>
      <c r="F42" s="10"/>
      <c r="G42" s="7">
        <v>0</v>
      </c>
      <c r="H42" s="10"/>
      <c r="I42">
        <v>0</v>
      </c>
      <c r="J42"/>
    </row>
    <row r="43" spans="1:10" ht="15" customHeight="1" x14ac:dyDescent="0.15">
      <c r="A43" s="299">
        <v>42</v>
      </c>
      <c r="B43" s="299" t="s">
        <v>233</v>
      </c>
      <c r="C43" s="8">
        <v>4.4509720802307129</v>
      </c>
      <c r="D43" s="10"/>
      <c r="E43" s="10"/>
      <c r="F43" s="10"/>
      <c r="G43" s="10"/>
      <c r="H43" s="10"/>
      <c r="I43">
        <v>0.55744373798370361</v>
      </c>
      <c r="J43"/>
    </row>
    <row r="44" spans="1:10" ht="15" customHeight="1" x14ac:dyDescent="0.15">
      <c r="A44" s="300">
        <v>43</v>
      </c>
      <c r="B44" s="300" t="s">
        <v>234</v>
      </c>
      <c r="C44" s="8">
        <v>4.3926386833190918</v>
      </c>
      <c r="D44" s="10"/>
      <c r="E44" s="10"/>
      <c r="F44" s="10"/>
      <c r="G44" s="10"/>
      <c r="H44" s="10"/>
      <c r="I44">
        <v>0.84888005256652832</v>
      </c>
      <c r="J44"/>
    </row>
    <row r="45" spans="1:10" ht="15" customHeight="1" x14ac:dyDescent="0.15">
      <c r="A45" s="301">
        <v>44</v>
      </c>
      <c r="B45" s="301" t="s">
        <v>235</v>
      </c>
      <c r="C45" s="8">
        <v>5.1965746879577637</v>
      </c>
      <c r="D45" s="10"/>
      <c r="E45" s="10"/>
      <c r="F45" s="10"/>
      <c r="G45" s="10"/>
      <c r="H45" s="10"/>
      <c r="I45">
        <v>6.9382213056087494E-2</v>
      </c>
      <c r="J45"/>
    </row>
    <row r="46" spans="1:10" ht="15" customHeight="1" x14ac:dyDescent="0.15">
      <c r="A46" s="302">
        <v>45</v>
      </c>
      <c r="B46" s="302" t="s">
        <v>236</v>
      </c>
      <c r="C46" s="8">
        <v>4.512822151184082</v>
      </c>
      <c r="D46" s="10"/>
      <c r="E46" s="10"/>
      <c r="F46" s="10"/>
      <c r="G46" s="10"/>
      <c r="H46" s="10"/>
      <c r="I46">
        <v>0.83739662170410156</v>
      </c>
      <c r="J46"/>
    </row>
    <row r="47" spans="1:10" ht="15" customHeight="1" x14ac:dyDescent="0.15">
      <c r="A47" s="303">
        <v>46</v>
      </c>
      <c r="B47" s="303" t="s">
        <v>237</v>
      </c>
      <c r="C47" s="8">
        <v>4.471229076385498</v>
      </c>
      <c r="D47" s="10"/>
      <c r="E47" s="10"/>
      <c r="F47" s="10"/>
      <c r="G47" s="10"/>
      <c r="H47" s="10"/>
      <c r="I47">
        <v>3.2183792442083359E-2</v>
      </c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5" bestFit="1" customWidth="1"/>
    <col min="2" max="4" width="9.5" style="85" bestFit="1" customWidth="1"/>
    <col min="5" max="7" width="9" style="85" bestFit="1" customWidth="1"/>
    <col min="8" max="16" width="12.6640625" style="85" bestFit="1" customWidth="1"/>
    <col min="17" max="17" width="12.33203125" style="85" bestFit="1" customWidth="1"/>
    <col min="18" max="18" width="8.83203125" style="85"/>
    <col min="19" max="21" width="9.33203125" style="85" bestFit="1" customWidth="1"/>
    <col min="22" max="23" width="8.83203125" style="85"/>
    <col min="24" max="24" width="9.33203125" style="85" bestFit="1" customWidth="1"/>
    <col min="25" max="27" width="8.83203125" style="85"/>
    <col min="28" max="58" width="9" style="85" bestFit="1" customWidth="1"/>
    <col min="59" max="59" width="12.33203125" style="85" bestFit="1" customWidth="1"/>
    <col min="60" max="60" width="9" style="85" bestFit="1" customWidth="1"/>
    <col min="61" max="61" width="11.33203125" style="85" bestFit="1" customWidth="1"/>
    <col min="62" max="77" width="9" style="85" bestFit="1" customWidth="1"/>
    <col min="78" max="78" width="12.33203125" style="85" bestFit="1" customWidth="1"/>
    <col min="79" max="79" width="9" style="85" bestFit="1" customWidth="1"/>
    <col min="80" max="80" width="12.33203125" style="85" bestFit="1" customWidth="1"/>
    <col min="81" max="107" width="9" style="85" bestFit="1" customWidth="1"/>
    <col min="108" max="108" width="11.33203125" style="85" bestFit="1" customWidth="1"/>
    <col min="109" max="124" width="9" style="85" bestFit="1" customWidth="1"/>
    <col min="125" max="125" width="10.33203125" style="85" bestFit="1" customWidth="1"/>
    <col min="126" max="129" width="9.33203125" style="85" bestFit="1" customWidth="1"/>
    <col min="130" max="130" width="9" style="85" bestFit="1" customWidth="1"/>
    <col min="131" max="134" width="9.33203125" style="85" bestFit="1" customWidth="1"/>
    <col min="135" max="165" width="9" style="85" bestFit="1" customWidth="1"/>
    <col min="166" max="166" width="12.33203125" style="85" bestFit="1" customWidth="1"/>
    <col min="167" max="170" width="9" style="85" bestFit="1" customWidth="1"/>
    <col min="171" max="176" width="8.83203125" style="85"/>
    <col min="177" max="177" width="13.83203125" style="85" bestFit="1" customWidth="1"/>
    <col min="178" max="16384" width="8.83203125" style="85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192</v>
      </c>
      <c r="J1" t="s">
        <v>193</v>
      </c>
      <c r="K1" t="s">
        <v>194</v>
      </c>
      <c r="L1" t="s">
        <v>195</v>
      </c>
      <c r="M1" t="s">
        <v>196</v>
      </c>
      <c r="N1" t="s">
        <v>197</v>
      </c>
      <c r="O1" t="s">
        <v>198</v>
      </c>
      <c r="P1" t="s">
        <v>199</v>
      </c>
      <c r="Q1" t="s">
        <v>200</v>
      </c>
      <c r="R1" t="s">
        <v>201</v>
      </c>
      <c r="S1" t="s">
        <v>202</v>
      </c>
      <c r="T1" t="s">
        <v>203</v>
      </c>
      <c r="U1" t="s">
        <v>204</v>
      </c>
      <c r="V1" t="s">
        <v>205</v>
      </c>
      <c r="W1" t="s">
        <v>206</v>
      </c>
      <c r="X1" t="s">
        <v>207</v>
      </c>
      <c r="Y1" t="s">
        <v>208</v>
      </c>
      <c r="Z1" t="s">
        <v>209</v>
      </c>
      <c r="AA1" t="s">
        <v>210</v>
      </c>
      <c r="AB1" t="s">
        <v>211</v>
      </c>
      <c r="AC1" t="s">
        <v>212</v>
      </c>
      <c r="AD1" t="s">
        <v>213</v>
      </c>
      <c r="AE1" t="s">
        <v>214</v>
      </c>
      <c r="AF1" t="s">
        <v>215</v>
      </c>
      <c r="AG1" t="s">
        <v>216</v>
      </c>
      <c r="AH1" t="s">
        <v>217</v>
      </c>
      <c r="AI1" t="s">
        <v>218</v>
      </c>
      <c r="AJ1" t="s">
        <v>219</v>
      </c>
      <c r="AK1" t="s">
        <v>220</v>
      </c>
      <c r="AL1" t="s">
        <v>221</v>
      </c>
      <c r="AM1" t="s">
        <v>222</v>
      </c>
      <c r="AN1" t="s">
        <v>223</v>
      </c>
      <c r="AO1" t="s">
        <v>224</v>
      </c>
      <c r="AP1" t="s">
        <v>225</v>
      </c>
      <c r="AQ1" t="s">
        <v>226</v>
      </c>
      <c r="AR1" t="s">
        <v>227</v>
      </c>
      <c r="AS1" t="s">
        <v>228</v>
      </c>
      <c r="AT1" t="s">
        <v>229</v>
      </c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117.30000305175781</v>
      </c>
      <c r="C2">
        <v>36.718212127685547</v>
      </c>
      <c r="D2"/>
      <c r="E2"/>
      <c r="F2"/>
      <c r="G2"/>
      <c r="H2"/>
      <c r="I2"/>
      <c r="J2" s="257">
        <v>52.52069091796875</v>
      </c>
      <c r="K2" s="256">
        <v>26.755491256713867</v>
      </c>
      <c r="L2" s="12">
        <v>0.50216484069824219</v>
      </c>
      <c r="M2" s="12">
        <v>0.52460867166519165</v>
      </c>
      <c r="N2" s="14">
        <v>0.26432138681411743</v>
      </c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 s="11">
        <v>1.4512525871396065E-2</v>
      </c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258.84698486328125</v>
      </c>
      <c r="C3">
        <v>80.324508666992188</v>
      </c>
      <c r="D3"/>
      <c r="E3"/>
      <c r="F3"/>
      <c r="G3"/>
      <c r="H3"/>
      <c r="I3"/>
      <c r="J3" s="231">
        <v>38.827037811279297</v>
      </c>
      <c r="K3" s="255">
        <v>128.56718444824219</v>
      </c>
      <c r="L3" s="21">
        <v>4.8260684013366699</v>
      </c>
      <c r="M3" s="192">
        <v>6.3022069931030273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29.184999465942383</v>
      </c>
      <c r="C4">
        <v>0.28478363156318665</v>
      </c>
      <c r="D4"/>
      <c r="E4"/>
      <c r="F4"/>
      <c r="G4"/>
      <c r="H4"/>
      <c r="I4"/>
      <c r="J4"/>
      <c r="K4" s="231">
        <v>4.3777356147766113</v>
      </c>
      <c r="L4" s="75">
        <v>2.7388081550598145</v>
      </c>
      <c r="M4" s="254">
        <v>8.0471735000610352</v>
      </c>
      <c r="N4" s="185">
        <v>2.1624143123626709</v>
      </c>
      <c r="O4"/>
      <c r="P4" s="14">
        <v>4.4020820409059525E-2</v>
      </c>
      <c r="Q4"/>
      <c r="R4"/>
      <c r="S4"/>
      <c r="T4"/>
      <c r="U4" s="14">
        <v>5.948634073138237E-2</v>
      </c>
      <c r="V4" s="11">
        <v>2.9666072223335505E-3</v>
      </c>
      <c r="W4"/>
      <c r="X4" s="11">
        <v>2.3805955424904823E-3</v>
      </c>
      <c r="Y4" s="14">
        <v>3.835831955075264E-2</v>
      </c>
      <c r="Z4"/>
      <c r="AA4" s="11">
        <v>1.7317911610007286E-2</v>
      </c>
      <c r="AB4" s="11">
        <v>8.4278377471491694E-4</v>
      </c>
      <c r="AC4"/>
      <c r="AD4" s="11">
        <v>4.7918851487338543E-3</v>
      </c>
      <c r="AE4" s="17">
        <v>0.40804016590118408</v>
      </c>
      <c r="AF4" s="16">
        <v>0.44539722800254822</v>
      </c>
      <c r="AG4"/>
      <c r="AH4"/>
      <c r="AI4" s="195">
        <v>1.5680949687957764</v>
      </c>
      <c r="AJ4" s="253">
        <v>3.3370022773742676</v>
      </c>
      <c r="AK4" s="66">
        <v>1.1838048696517944</v>
      </c>
      <c r="AL4" s="69">
        <v>2.681269645690918</v>
      </c>
      <c r="AM4" s="18">
        <v>0.33703866600990295</v>
      </c>
      <c r="AN4" s="15">
        <v>0.27974796295166016</v>
      </c>
      <c r="AO4" s="209">
        <v>1.163524866104126</v>
      </c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21.072999954223633</v>
      </c>
      <c r="C5">
        <v>1.0536514520645142</v>
      </c>
      <c r="D5"/>
      <c r="E5"/>
      <c r="F5"/>
      <c r="G5"/>
      <c r="H5"/>
      <c r="I5"/>
      <c r="J5"/>
      <c r="K5"/>
      <c r="L5" s="230">
        <v>2.6584968566894531</v>
      </c>
      <c r="M5" s="221">
        <v>4.1659741401672363</v>
      </c>
      <c r="N5"/>
      <c r="O5"/>
      <c r="P5" s="25">
        <v>0.64616060256958008</v>
      </c>
      <c r="Q5" s="14">
        <v>2.3188484832644463E-2</v>
      </c>
      <c r="R5" s="12">
        <v>9.5779061317443848E-2</v>
      </c>
      <c r="S5"/>
      <c r="T5" s="15">
        <v>0.20114919543266296</v>
      </c>
      <c r="U5" s="20">
        <v>0.90287488698959351</v>
      </c>
      <c r="V5" s="15">
        <v>0.21309159696102142</v>
      </c>
      <c r="W5"/>
      <c r="X5" s="15">
        <v>0.2021939605474472</v>
      </c>
      <c r="Y5" s="214">
        <v>1.4458211660385132</v>
      </c>
      <c r="Z5" s="26">
        <v>0.52492290735244751</v>
      </c>
      <c r="AA5" s="12">
        <v>9.90910604596138E-2</v>
      </c>
      <c r="AB5" s="14">
        <v>3.2722815871238708E-2</v>
      </c>
      <c r="AC5" s="14">
        <v>5.3223319351673126E-2</v>
      </c>
      <c r="AD5" s="11">
        <v>1.5504566952586174E-2</v>
      </c>
      <c r="AE5" s="250">
        <v>3.9607498645782471</v>
      </c>
      <c r="AF5" s="192">
        <v>0.50980734825134277</v>
      </c>
      <c r="AG5" s="22">
        <v>0.16974502801895142</v>
      </c>
      <c r="AH5" s="14">
        <v>5.5818449705839157E-2</v>
      </c>
      <c r="AI5"/>
      <c r="AJ5"/>
      <c r="AK5"/>
      <c r="AL5" s="23">
        <v>0.13374334573745728</v>
      </c>
      <c r="AM5" s="211">
        <v>1.0149704217910767</v>
      </c>
      <c r="AN5" s="72">
        <v>1.4711097478866577</v>
      </c>
      <c r="AO5" s="110">
        <v>1.4158738851547241</v>
      </c>
      <c r="AP5" s="11">
        <v>6.7551108077168465E-3</v>
      </c>
      <c r="AQ5" s="11">
        <v>5.8182224165648222E-4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4.8359999656677246</v>
      </c>
      <c r="C6">
        <v>4.3889679908752441</v>
      </c>
      <c r="D6"/>
      <c r="E6"/>
      <c r="F6"/>
      <c r="G6"/>
      <c r="H6"/>
      <c r="I6"/>
      <c r="J6"/>
      <c r="K6"/>
      <c r="L6"/>
      <c r="M6" s="185">
        <v>0.36270779371261597</v>
      </c>
      <c r="N6"/>
      <c r="O6"/>
      <c r="P6"/>
      <c r="Q6"/>
      <c r="R6"/>
      <c r="S6"/>
      <c r="T6"/>
      <c r="U6"/>
      <c r="V6"/>
      <c r="W6"/>
      <c r="X6"/>
      <c r="Y6" s="11">
        <v>3.3680126070976257E-3</v>
      </c>
      <c r="Z6"/>
      <c r="AA6"/>
      <c r="AB6"/>
      <c r="AC6"/>
      <c r="AD6"/>
      <c r="AE6"/>
      <c r="AF6"/>
      <c r="AG6" s="11">
        <v>2.0561721175909042E-3</v>
      </c>
      <c r="AH6"/>
      <c r="AI6"/>
      <c r="AJ6"/>
      <c r="AK6"/>
      <c r="AL6"/>
      <c r="AM6" s="12">
        <v>1.429898664355278E-2</v>
      </c>
      <c r="AN6" s="18">
        <v>6.0749966651201248E-2</v>
      </c>
      <c r="AO6"/>
      <c r="AP6" s="11">
        <v>2.8752987273037434E-3</v>
      </c>
      <c r="AQ6"/>
      <c r="AR6" s="11">
        <v>9.7561755683273077E-4</v>
      </c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7.315000057220459</v>
      </c>
      <c r="C7">
        <v>2.8588485717773438</v>
      </c>
      <c r="D7"/>
      <c r="E7"/>
      <c r="F7"/>
      <c r="G7"/>
      <c r="H7"/>
      <c r="I7"/>
      <c r="J7"/>
      <c r="K7"/>
      <c r="L7"/>
      <c r="M7"/>
      <c r="N7" s="202">
        <v>1.3600397109985352</v>
      </c>
      <c r="O7"/>
      <c r="P7" s="248">
        <v>0.6239631175994873</v>
      </c>
      <c r="Q7" s="15">
        <v>6.8513385951519012E-2</v>
      </c>
      <c r="R7" s="11">
        <v>2.8840962331742048E-3</v>
      </c>
      <c r="S7"/>
      <c r="T7" s="23">
        <v>3.7651941180229187E-2</v>
      </c>
      <c r="U7" s="23">
        <v>4.3535873293876648E-2</v>
      </c>
      <c r="V7" s="15">
        <v>6.4682208001613617E-2</v>
      </c>
      <c r="W7" s="14">
        <v>1.3328898698091507E-2</v>
      </c>
      <c r="X7" s="16">
        <v>0.11079751700162888</v>
      </c>
      <c r="Y7" s="26">
        <v>0.19049566984176636</v>
      </c>
      <c r="Z7" s="18">
        <v>8.539213240146637E-2</v>
      </c>
      <c r="AA7" s="213">
        <v>0.24627417325973511</v>
      </c>
      <c r="AB7" s="11">
        <v>3.5337649751454592E-3</v>
      </c>
      <c r="AC7" s="13">
        <v>0.27128824591636658</v>
      </c>
      <c r="AD7" s="23">
        <v>3.9380740374326706E-2</v>
      </c>
      <c r="AE7" s="18">
        <v>8.5171371698379517E-2</v>
      </c>
      <c r="AF7" s="12">
        <v>2.2021811455488205E-2</v>
      </c>
      <c r="AG7"/>
      <c r="AH7" s="11">
        <v>1.8083641771227121E-3</v>
      </c>
      <c r="AI7"/>
      <c r="AJ7"/>
      <c r="AK7"/>
      <c r="AL7" s="65">
        <v>0.15251865983009338</v>
      </c>
      <c r="AM7" s="18">
        <v>9.1942623257637024E-2</v>
      </c>
      <c r="AN7" s="15">
        <v>6.4802408218383789E-2</v>
      </c>
      <c r="AO7" s="249">
        <v>0.86620420217514038</v>
      </c>
      <c r="AP7" s="14">
        <v>9.9210664629936218E-3</v>
      </c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1.6330000162124634</v>
      </c>
      <c r="C8">
        <v>0.13336913287639618</v>
      </c>
      <c r="D8"/>
      <c r="E8"/>
      <c r="F8"/>
      <c r="G8"/>
      <c r="H8"/>
      <c r="I8"/>
      <c r="J8"/>
      <c r="K8"/>
      <c r="L8"/>
      <c r="M8"/>
      <c r="N8" s="224">
        <v>0.22625671327114105</v>
      </c>
      <c r="O8" s="245">
        <v>0.62310677766799927</v>
      </c>
      <c r="P8" s="110">
        <v>0.10953211784362793</v>
      </c>
      <c r="Q8" s="68">
        <v>0.10348104685544968</v>
      </c>
      <c r="R8" s="11">
        <v>4.7123152762651443E-4</v>
      </c>
      <c r="S8" s="78">
        <v>0.10674013197422028</v>
      </c>
      <c r="T8" s="18">
        <v>1.7767483368515968E-2</v>
      </c>
      <c r="U8" s="65">
        <v>3.3949892967939377E-2</v>
      </c>
      <c r="V8" s="18">
        <v>1.9658708944916725E-2</v>
      </c>
      <c r="W8" s="14">
        <v>2.5737688411027193E-3</v>
      </c>
      <c r="X8" s="15">
        <v>1.5775406733155251E-2</v>
      </c>
      <c r="Y8" s="23">
        <v>9.1215679422020912E-3</v>
      </c>
      <c r="Z8" s="12">
        <v>7.2233220562338829E-3</v>
      </c>
      <c r="AA8" s="12">
        <v>7.4387360364198685E-3</v>
      </c>
      <c r="AB8" s="11">
        <v>9.5530250109732151E-4</v>
      </c>
      <c r="AC8" s="76">
        <v>0.12717169523239136</v>
      </c>
      <c r="AD8" s="66">
        <v>6.6182464361190796E-2</v>
      </c>
      <c r="AE8" s="11">
        <v>4.6609024866484106E-4</v>
      </c>
      <c r="AF8" s="14">
        <v>3.2325501088052988E-3</v>
      </c>
      <c r="AG8" s="22">
        <v>1.3762691989541054E-2</v>
      </c>
      <c r="AH8" s="14">
        <v>4.763302393257618E-3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3.1800000667572021</v>
      </c>
      <c r="C9">
        <v>6.5773613750934601E-2</v>
      </c>
      <c r="D9" s="76">
        <v>0.24843107163906097</v>
      </c>
      <c r="E9" s="11">
        <v>1.3308270929712762E-8</v>
      </c>
      <c r="F9"/>
      <c r="G9" s="22">
        <v>2.4857403710484505E-2</v>
      </c>
      <c r="H9" s="11">
        <v>4.4073685421608388E-4</v>
      </c>
      <c r="I9"/>
      <c r="J9"/>
      <c r="K9"/>
      <c r="L9"/>
      <c r="M9"/>
      <c r="N9"/>
      <c r="O9"/>
      <c r="P9" s="78">
        <v>0.20270730555057526</v>
      </c>
      <c r="Q9" s="19">
        <v>5.3453877568244934E-2</v>
      </c>
      <c r="R9" s="15">
        <v>3.1778495758771896E-2</v>
      </c>
      <c r="S9"/>
      <c r="T9" s="205">
        <v>0.22942857444286346</v>
      </c>
      <c r="U9" s="66">
        <v>0.12856857478618622</v>
      </c>
      <c r="V9" s="25">
        <v>9.9570952355861664E-2</v>
      </c>
      <c r="W9" s="23">
        <v>1.6759350895881653E-2</v>
      </c>
      <c r="X9" s="20">
        <v>0.13594453036785126</v>
      </c>
      <c r="Y9" s="244">
        <v>0.60610717535018921</v>
      </c>
      <c r="Z9" s="215">
        <v>0.26147961616516113</v>
      </c>
      <c r="AA9" s="28">
        <v>0.11344706267118454</v>
      </c>
      <c r="AB9" s="17">
        <v>4.5180827379226685E-2</v>
      </c>
      <c r="AC9" s="79">
        <v>0.45156693458557129</v>
      </c>
      <c r="AD9" s="18">
        <v>3.5740979015827179E-2</v>
      </c>
      <c r="AE9" s="213">
        <v>0.10590529441833496</v>
      </c>
      <c r="AF9" s="12">
        <v>1.4401998370885849E-2</v>
      </c>
      <c r="AG9" s="195">
        <v>0.17012806236743927</v>
      </c>
      <c r="AH9" s="21">
        <v>6.4503610134124756E-2</v>
      </c>
      <c r="AI9"/>
      <c r="AJ9"/>
      <c r="AK9"/>
      <c r="AL9"/>
      <c r="AM9" s="12">
        <v>1.0647906921803951E-2</v>
      </c>
      <c r="AN9" s="16">
        <v>5.0264637917280197E-2</v>
      </c>
      <c r="AO9"/>
      <c r="AP9" s="14">
        <v>6.4882580190896988E-3</v>
      </c>
      <c r="AQ9" s="14">
        <v>6.0773617587983608E-3</v>
      </c>
      <c r="AR9"/>
      <c r="AS9"/>
      <c r="AT9" s="11">
        <v>3.460623265709728E-4</v>
      </c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2.4230000972747803</v>
      </c>
      <c r="C10">
        <v>9.985196590423584E-2</v>
      </c>
      <c r="D10" s="28">
        <v>8.578847348690033E-2</v>
      </c>
      <c r="E10" s="11">
        <v>2.5444443963351659E-5</v>
      </c>
      <c r="F10" s="11">
        <v>1.3654333088197745E-5</v>
      </c>
      <c r="G10" s="16">
        <v>3.5917412489652634E-2</v>
      </c>
      <c r="H10" s="11">
        <v>2.3659628350287676E-3</v>
      </c>
      <c r="I10"/>
      <c r="J10"/>
      <c r="K10"/>
      <c r="L10"/>
      <c r="M10"/>
      <c r="N10"/>
      <c r="O10"/>
      <c r="P10" s="17">
        <v>3.3284030854701996E-2</v>
      </c>
      <c r="Q10" s="66">
        <v>9.874117374420166E-2</v>
      </c>
      <c r="R10" s="17">
        <v>3.0884625390172005E-2</v>
      </c>
      <c r="S10"/>
      <c r="T10" s="245">
        <v>0.92791104316711426</v>
      </c>
      <c r="U10" s="17">
        <v>3.3528663218021393E-2</v>
      </c>
      <c r="V10" s="192">
        <v>5.5178895592689514E-2</v>
      </c>
      <c r="W10" s="12">
        <v>1.1731545440852642E-2</v>
      </c>
      <c r="X10" s="195">
        <v>0.12709733843803406</v>
      </c>
      <c r="Y10" s="67">
        <v>0.14413429796695709</v>
      </c>
      <c r="Z10"/>
      <c r="AA10" s="13">
        <v>8.8534019887447357E-2</v>
      </c>
      <c r="AB10" s="28">
        <v>8.4184743463993073E-2</v>
      </c>
      <c r="AC10" s="68">
        <v>0.15109032392501831</v>
      </c>
      <c r="AD10" s="191">
        <v>0.13864520192146301</v>
      </c>
      <c r="AE10" s="195">
        <v>0.12888604402542114</v>
      </c>
      <c r="AF10"/>
      <c r="AG10" s="14">
        <v>6.2852869741618633E-3</v>
      </c>
      <c r="AH10" s="66">
        <v>0.10027378797531128</v>
      </c>
      <c r="AI10"/>
      <c r="AJ10"/>
      <c r="AK10"/>
      <c r="AL10"/>
      <c r="AM10" s="14">
        <v>5.2450806833803654E-3</v>
      </c>
      <c r="AN10"/>
      <c r="AO10"/>
      <c r="AP10"/>
      <c r="AQ10"/>
      <c r="AR10" s="17">
        <v>3.3401284366846085E-2</v>
      </c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1.3179999589920044</v>
      </c>
      <c r="C11">
        <v>2.7520524337887764E-2</v>
      </c>
      <c r="D11" s="178">
        <v>0.42112499475479126</v>
      </c>
      <c r="E11" s="11">
        <v>7.0221669739112258E-4</v>
      </c>
      <c r="F11"/>
      <c r="G11" s="195">
        <v>6.8875707685947418E-2</v>
      </c>
      <c r="H11"/>
      <c r="I11"/>
      <c r="J11"/>
      <c r="K11"/>
      <c r="L11"/>
      <c r="M11"/>
      <c r="N11"/>
      <c r="O11"/>
      <c r="P11"/>
      <c r="Q11" s="148">
        <v>0.3332514762878418</v>
      </c>
      <c r="R11"/>
      <c r="S11"/>
      <c r="T11" s="212">
        <v>0.26766666769981384</v>
      </c>
      <c r="U11"/>
      <c r="V11"/>
      <c r="W11" s="143">
        <v>0.13197989761829376</v>
      </c>
      <c r="X11"/>
      <c r="Y11"/>
      <c r="Z11" s="70">
        <v>6.6878445446491241E-2</v>
      </c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1.1480000019073486</v>
      </c>
      <c r="C12">
        <v>6.3200294971466064E-2</v>
      </c>
      <c r="D12" s="12">
        <v>4.7840909101068974E-3</v>
      </c>
      <c r="E12" s="11">
        <v>7.3516530392225832E-6</v>
      </c>
      <c r="F12"/>
      <c r="G12" s="14">
        <v>2.9567861929535866E-3</v>
      </c>
      <c r="H12"/>
      <c r="I12"/>
      <c r="J12"/>
      <c r="K12"/>
      <c r="L12"/>
      <c r="M12"/>
      <c r="N12" s="251">
        <v>0.20775260031223297</v>
      </c>
      <c r="O12" s="252">
        <v>0.38143119215965271</v>
      </c>
      <c r="P12" s="215">
        <v>9.5244593918323517E-2</v>
      </c>
      <c r="Q12" s="66">
        <v>4.8044521361589432E-2</v>
      </c>
      <c r="R12" s="14">
        <v>1.7701055621728301E-3</v>
      </c>
      <c r="S12" s="248">
        <v>9.8010532557964325E-2</v>
      </c>
      <c r="T12" s="200">
        <v>9.7333334386348724E-2</v>
      </c>
      <c r="U12" s="23">
        <v>7.6201516203582287E-3</v>
      </c>
      <c r="V12" s="12">
        <v>3.6735262256115675E-3</v>
      </c>
      <c r="W12" s="12">
        <v>4.2013800702989101E-3</v>
      </c>
      <c r="X12" s="22">
        <v>9.0215066447854042E-3</v>
      </c>
      <c r="Y12" s="11">
        <v>1.1167430784553289E-3</v>
      </c>
      <c r="Z12" s="12">
        <v>4.4217146933078766E-3</v>
      </c>
      <c r="AA12" s="11">
        <v>1.0508258128538728E-3</v>
      </c>
      <c r="AB12" s="11">
        <v>4.4983302359469235E-4</v>
      </c>
      <c r="AC12" s="28">
        <v>3.9996795356273651E-2</v>
      </c>
      <c r="AD12" s="20">
        <v>4.859539121389389E-2</v>
      </c>
      <c r="AE12" s="12">
        <v>3.423773217946291E-3</v>
      </c>
      <c r="AF12"/>
      <c r="AG12" s="18">
        <v>1.441460382193327E-2</v>
      </c>
      <c r="AH12" s="14">
        <v>1.9566740375012159E-3</v>
      </c>
      <c r="AI12"/>
      <c r="AJ12"/>
      <c r="AK12"/>
      <c r="AL12"/>
      <c r="AM12"/>
      <c r="AN12" s="14">
        <v>1.1510325130075216E-3</v>
      </c>
      <c r="AO12" s="14">
        <v>3.2590362243354321E-3</v>
      </c>
      <c r="AP12"/>
      <c r="AQ12"/>
      <c r="AR12" s="14">
        <v>3.111653495579958E-3</v>
      </c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2.6830000877380371</v>
      </c>
      <c r="C13">
        <v>6.9713763892650604E-2</v>
      </c>
      <c r="D13" s="64">
        <v>0.14844377338886261</v>
      </c>
      <c r="E13" s="11">
        <v>1.48610002361238E-3</v>
      </c>
      <c r="F13" s="11">
        <v>1.1869211448356509E-3</v>
      </c>
      <c r="G13" s="184">
        <v>0.3570530116558075</v>
      </c>
      <c r="H13" s="209">
        <v>0.10742852091789246</v>
      </c>
      <c r="I13"/>
      <c r="J13"/>
      <c r="K13"/>
      <c r="L13"/>
      <c r="M13"/>
      <c r="N13"/>
      <c r="O13"/>
      <c r="P13" s="147">
        <v>0.16414043307304382</v>
      </c>
      <c r="Q13"/>
      <c r="R13" s="11">
        <v>2.3472083266824484E-3</v>
      </c>
      <c r="S13"/>
      <c r="T13" s="227">
        <v>0.26399999856948853</v>
      </c>
      <c r="U13" s="228">
        <v>0.53737723827362061</v>
      </c>
      <c r="V13"/>
      <c r="W13" s="211">
        <v>0.13017195463180542</v>
      </c>
      <c r="X13" s="12">
        <v>9.4775417819619179E-3</v>
      </c>
      <c r="Y13" s="146">
        <v>8.0916889011859894E-2</v>
      </c>
      <c r="Z13" s="241">
        <v>0.41226434707641602</v>
      </c>
      <c r="AA13" s="14">
        <v>5.2253399044275284E-3</v>
      </c>
      <c r="AB13" s="147">
        <v>0.16373676061630249</v>
      </c>
      <c r="AC13" s="26">
        <v>6.9853402674198151E-2</v>
      </c>
      <c r="AD13"/>
      <c r="AE13" s="23">
        <v>1.7025064677000046E-2</v>
      </c>
      <c r="AF13"/>
      <c r="AG13" s="146">
        <v>7.845846563577652E-2</v>
      </c>
      <c r="AH13" s="14">
        <v>3.434034064412117E-3</v>
      </c>
      <c r="AI13"/>
      <c r="AJ13"/>
      <c r="AK13"/>
      <c r="AL13"/>
      <c r="AM13" s="14">
        <v>4.8499032855033875E-3</v>
      </c>
      <c r="AN13"/>
      <c r="AO13"/>
      <c r="AP13" s="14">
        <v>6.649351678788662E-3</v>
      </c>
      <c r="AQ13"/>
      <c r="AR13"/>
      <c r="AS13"/>
      <c r="AT13" s="19">
        <v>4.7760151326656342E-2</v>
      </c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2.5959999561309814</v>
      </c>
      <c r="C14">
        <v>7.1741178631782532E-2</v>
      </c>
      <c r="D14" s="179">
        <v>0.23210880160331726</v>
      </c>
      <c r="E14" s="12">
        <v>9.6268337219953537E-3</v>
      </c>
      <c r="F14" s="11">
        <v>1.5962017932906747E-3</v>
      </c>
      <c r="G14" s="19">
        <v>4.5917149633169174E-2</v>
      </c>
      <c r="H14"/>
      <c r="I14"/>
      <c r="J14"/>
      <c r="K14"/>
      <c r="L14"/>
      <c r="M14"/>
      <c r="N14"/>
      <c r="O14"/>
      <c r="P14"/>
      <c r="Q14"/>
      <c r="R14"/>
      <c r="S14"/>
      <c r="T14"/>
      <c r="U14" s="238">
        <v>0.79409992694854736</v>
      </c>
      <c r="V14"/>
      <c r="W14"/>
      <c r="X14"/>
      <c r="Y14"/>
      <c r="Z14" s="237">
        <v>0.64766490459442139</v>
      </c>
      <c r="AA14"/>
      <c r="AB14" s="19">
        <v>4.8127397894859314E-2</v>
      </c>
      <c r="AC14"/>
      <c r="AD14"/>
      <c r="AE14"/>
      <c r="AF14"/>
      <c r="AG14" s="26">
        <v>6.698792427778244E-2</v>
      </c>
      <c r="AH14" s="12">
        <v>8.7959468364715576E-3</v>
      </c>
      <c r="AI14"/>
      <c r="AJ14"/>
      <c r="AK14"/>
      <c r="AL14"/>
      <c r="AM14" s="12">
        <v>1.2422559782862663E-2</v>
      </c>
      <c r="AN14" s="208">
        <v>0.11728415638208389</v>
      </c>
      <c r="AO14"/>
      <c r="AP14" s="223">
        <v>0.27818399667739868</v>
      </c>
      <c r="AQ14" s="195">
        <v>0.13495934009552002</v>
      </c>
      <c r="AR14"/>
      <c r="AS14" s="14">
        <v>2.9391397256404161E-3</v>
      </c>
      <c r="AT14" s="29">
        <v>0.12354423105716705</v>
      </c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1.7990000247955322</v>
      </c>
      <c r="C15">
        <v>2.9842084273695946E-2</v>
      </c>
      <c r="D15" s="180">
        <v>0.46597400307655334</v>
      </c>
      <c r="E15" s="11">
        <v>3.4293418866582215E-4</v>
      </c>
      <c r="F15" s="11">
        <v>1.3291000504978001E-4</v>
      </c>
      <c r="G15" s="196">
        <v>0.64383494853973389</v>
      </c>
      <c r="H15"/>
      <c r="I15"/>
      <c r="J15"/>
      <c r="K15"/>
      <c r="L15"/>
      <c r="M15"/>
      <c r="N15"/>
      <c r="O15"/>
      <c r="P15"/>
      <c r="Q15"/>
      <c r="R15"/>
      <c r="S15"/>
      <c r="T15"/>
      <c r="U15" s="219">
        <v>0.20955416560173035</v>
      </c>
      <c r="V15"/>
      <c r="W15" s="211">
        <v>8.7986595928668976E-2</v>
      </c>
      <c r="X15"/>
      <c r="Y15" s="15">
        <v>1.9303703680634499E-2</v>
      </c>
      <c r="Z15" s="13">
        <v>6.6878437995910645E-2</v>
      </c>
      <c r="AA15"/>
      <c r="AB15" s="209">
        <v>7.0758730173110962E-2</v>
      </c>
      <c r="AC15"/>
      <c r="AD15"/>
      <c r="AE15"/>
      <c r="AF15"/>
      <c r="AG15" s="16">
        <v>2.9462281614542007E-2</v>
      </c>
      <c r="AH15" s="205">
        <v>0.12998455762863159</v>
      </c>
      <c r="AI15"/>
      <c r="AJ15"/>
      <c r="AK15"/>
      <c r="AL15"/>
      <c r="AM15"/>
      <c r="AN15"/>
      <c r="AO15"/>
      <c r="AP15" s="26">
        <v>4.4944699853658676E-2</v>
      </c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0.90399998426437378</v>
      </c>
      <c r="C16">
        <v>0.25040525197982788</v>
      </c>
      <c r="D16" s="181">
        <v>0.31770250201225281</v>
      </c>
      <c r="E16" s="11">
        <v>3.419470158405602E-4</v>
      </c>
      <c r="F16" s="11">
        <v>3.5383578506298363E-4</v>
      </c>
      <c r="G16" s="197">
        <v>0.27347347140312195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 s="68">
        <v>5.6485220789909363E-2</v>
      </c>
      <c r="X16"/>
      <c r="Y16"/>
      <c r="Z16"/>
      <c r="AA16"/>
      <c r="AB16"/>
      <c r="AC16"/>
      <c r="AD16"/>
      <c r="AE16"/>
      <c r="AF16"/>
      <c r="AG16" s="23">
        <v>5.2377395331859589E-3</v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1.5980000495910645</v>
      </c>
      <c r="C17">
        <v>6.8739689886569977E-3</v>
      </c>
      <c r="D17" s="182">
        <v>0.21625727415084839</v>
      </c>
      <c r="E17" s="11">
        <v>8.8724587112665176E-4</v>
      </c>
      <c r="F17" s="14">
        <v>2.1010655909776688E-3</v>
      </c>
      <c r="G17" s="198">
        <v>0.35679882764816284</v>
      </c>
      <c r="H17"/>
      <c r="I17"/>
      <c r="J17"/>
      <c r="K17"/>
      <c r="L17"/>
      <c r="M17"/>
      <c r="N17"/>
      <c r="O17"/>
      <c r="P17" s="147">
        <v>9.8215177655220032E-2</v>
      </c>
      <c r="Q17"/>
      <c r="R17"/>
      <c r="S17"/>
      <c r="T17"/>
      <c r="U17"/>
      <c r="V17"/>
      <c r="W17" s="216">
        <v>0.1615491509437561</v>
      </c>
      <c r="X17" s="214">
        <v>0.10888297110795975</v>
      </c>
      <c r="Y17"/>
      <c r="Z17" s="221">
        <v>0.31575393676757812</v>
      </c>
      <c r="AA17" s="13">
        <v>5.8363903313875198E-2</v>
      </c>
      <c r="AB17" s="147">
        <v>9.6367493271827698E-2</v>
      </c>
      <c r="AC17" s="19">
        <v>2.7865022420883179E-2</v>
      </c>
      <c r="AD17"/>
      <c r="AE17"/>
      <c r="AF17"/>
      <c r="AG17" s="29">
        <v>7.6505333185195923E-2</v>
      </c>
      <c r="AH17" s="24">
        <v>4.3835543096065521E-2</v>
      </c>
      <c r="AI17"/>
      <c r="AJ17"/>
      <c r="AK17"/>
      <c r="AL17"/>
      <c r="AM17" s="17">
        <v>2.3215930908918381E-2</v>
      </c>
      <c r="AN17"/>
      <c r="AO17"/>
      <c r="AP17"/>
      <c r="AQ17"/>
      <c r="AR17"/>
      <c r="AS17"/>
      <c r="AT17" s="14">
        <v>4.5271757990121841E-3</v>
      </c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1.1000000238418579</v>
      </c>
      <c r="C18">
        <v>2.9779870063066483E-2</v>
      </c>
      <c r="D18" s="183">
        <v>8.7771326303482056E-2</v>
      </c>
      <c r="E18" s="12">
        <v>3.7132692523300648E-3</v>
      </c>
      <c r="F18" s="14">
        <v>2.5612472090870142E-3</v>
      </c>
      <c r="G18" s="146">
        <v>3.2217692583799362E-2</v>
      </c>
      <c r="H18"/>
      <c r="I18"/>
      <c r="J18"/>
      <c r="K18"/>
      <c r="L18"/>
      <c r="M18"/>
      <c r="N18"/>
      <c r="O18"/>
      <c r="P18"/>
      <c r="Q18"/>
      <c r="R18"/>
      <c r="S18"/>
      <c r="T18" s="78">
        <v>7.0593409240245819E-2</v>
      </c>
      <c r="U18" s="226">
        <v>0.18238121271133423</v>
      </c>
      <c r="V18"/>
      <c r="W18" s="228">
        <v>0.22044993937015533</v>
      </c>
      <c r="X18" s="209">
        <v>4.257604107260704E-2</v>
      </c>
      <c r="Y18" s="17">
        <v>1.5273259021341801E-2</v>
      </c>
      <c r="Z18" s="78">
        <v>7.0553086698055267E-2</v>
      </c>
      <c r="AA18"/>
      <c r="AB18" s="215">
        <v>9.043719619512558E-2</v>
      </c>
      <c r="AC18"/>
      <c r="AD18"/>
      <c r="AE18"/>
      <c r="AF18"/>
      <c r="AG18" s="147">
        <v>6.7601367831230164E-2</v>
      </c>
      <c r="AH18" s="223">
        <v>0.11937355250120163</v>
      </c>
      <c r="AI18"/>
      <c r="AJ18"/>
      <c r="AK18"/>
      <c r="AL18"/>
      <c r="AM18" s="17">
        <v>1.5562327578663826E-2</v>
      </c>
      <c r="AN18" s="22">
        <v>9.1829625889658928E-3</v>
      </c>
      <c r="AO18"/>
      <c r="AP18" s="12">
        <v>3.5560643300414085E-3</v>
      </c>
      <c r="AQ18"/>
      <c r="AR18"/>
      <c r="AS18"/>
      <c r="AT18" s="213">
        <v>3.6416400223970413E-2</v>
      </c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0.74500000476837158</v>
      </c>
      <c r="C19">
        <v>2.7304872870445251E-2</v>
      </c>
      <c r="D19" s="149">
        <v>0.18992680311203003</v>
      </c>
      <c r="E19" s="11">
        <v>1.5465947217307985E-4</v>
      </c>
      <c r="F19" s="191">
        <v>4.1776362806558609E-2</v>
      </c>
      <c r="G19" s="199">
        <v>0.11830419301986694</v>
      </c>
      <c r="H19"/>
      <c r="I19"/>
      <c r="J19"/>
      <c r="K19"/>
      <c r="L19"/>
      <c r="M19"/>
      <c r="N19"/>
      <c r="O19"/>
      <c r="P19"/>
      <c r="Q19"/>
      <c r="R19"/>
      <c r="S19"/>
      <c r="T19"/>
      <c r="U19" s="209">
        <v>2.9584117233753204E-2</v>
      </c>
      <c r="V19"/>
      <c r="W19" s="184">
        <v>0.10006318986415863</v>
      </c>
      <c r="X19"/>
      <c r="Y19"/>
      <c r="Z19" s="236">
        <v>0.19932396709918976</v>
      </c>
      <c r="AA19"/>
      <c r="AB19" s="22">
        <v>5.1228050142526627E-3</v>
      </c>
      <c r="AC19"/>
      <c r="AD19"/>
      <c r="AE19"/>
      <c r="AF19"/>
      <c r="AG19"/>
      <c r="AH19" s="23">
        <v>4.3692290782928467E-3</v>
      </c>
      <c r="AI19"/>
      <c r="AJ19"/>
      <c r="AK19"/>
      <c r="AL19"/>
      <c r="AM19"/>
      <c r="AN19"/>
      <c r="AO19"/>
      <c r="AP19"/>
      <c r="AQ19" s="14">
        <v>1.0930212447419763E-3</v>
      </c>
      <c r="AR19"/>
      <c r="AS19"/>
      <c r="AT19" s="13">
        <v>2.7976760640740395E-2</v>
      </c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1.5509999990463257</v>
      </c>
      <c r="C20">
        <v>2.2783145308494568E-2</v>
      </c>
      <c r="D20" s="182">
        <v>0.20988845825195312</v>
      </c>
      <c r="E20" s="11">
        <v>1.1562851723283529E-3</v>
      </c>
      <c r="F20" s="11">
        <v>1.3915749732404947E-3</v>
      </c>
      <c r="G20" s="200">
        <v>0.12964841723442078</v>
      </c>
      <c r="H20"/>
      <c r="I20"/>
      <c r="J20"/>
      <c r="K20"/>
      <c r="L20"/>
      <c r="M20"/>
      <c r="N20"/>
      <c r="O20"/>
      <c r="P20" s="191">
        <v>8.8104791939258575E-2</v>
      </c>
      <c r="Q20" s="13">
        <v>5.8809079229831696E-2</v>
      </c>
      <c r="R20"/>
      <c r="S20"/>
      <c r="T20" s="206">
        <v>0.16532352566719055</v>
      </c>
      <c r="U20"/>
      <c r="V20"/>
      <c r="W20"/>
      <c r="X20" s="218">
        <v>0.18720933794975281</v>
      </c>
      <c r="Y20" s="69">
        <v>0.14307449758052826</v>
      </c>
      <c r="Z20" s="206">
        <v>0.16522908210754395</v>
      </c>
      <c r="AA20" s="67">
        <v>8.9752890169620514E-2</v>
      </c>
      <c r="AB20" s="26">
        <v>4.0342081338167191E-2</v>
      </c>
      <c r="AC20" s="217">
        <v>0.14997933804988861</v>
      </c>
      <c r="AD20"/>
      <c r="AE20"/>
      <c r="AF20"/>
      <c r="AG20"/>
      <c r="AH20" s="68">
        <v>9.830763190984726E-2</v>
      </c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1.4939999580383301</v>
      </c>
      <c r="C21">
        <v>3.2104689627885818E-2</v>
      </c>
      <c r="D21" s="184">
        <v>0.20020189881324768</v>
      </c>
      <c r="E21" s="22">
        <v>1.0886592790484428E-2</v>
      </c>
      <c r="F21" s="25">
        <v>4.7916516661643982E-2</v>
      </c>
      <c r="G21" s="201">
        <v>0.41555020213127136</v>
      </c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 s="222">
        <v>0.25932890176773071</v>
      </c>
      <c r="X21" s="21">
        <v>2.9130974784493446E-2</v>
      </c>
      <c r="Y21"/>
      <c r="Z21" s="220">
        <v>0.23231460154056549</v>
      </c>
      <c r="AA21"/>
      <c r="AB21" s="215">
        <v>0.12375614792108536</v>
      </c>
      <c r="AC21" s="16">
        <v>2.2365348413586617E-2</v>
      </c>
      <c r="AD21"/>
      <c r="AE21"/>
      <c r="AF21"/>
      <c r="AG21"/>
      <c r="AH21" s="192">
        <v>3.5183794796466827E-2</v>
      </c>
      <c r="AI21"/>
      <c r="AJ21"/>
      <c r="AK21"/>
      <c r="AL21"/>
      <c r="AM21"/>
      <c r="AN21"/>
      <c r="AO21"/>
      <c r="AP21"/>
      <c r="AQ21" s="19">
        <v>2.5304878130555153E-2</v>
      </c>
      <c r="AR21"/>
      <c r="AS21"/>
      <c r="AT21" s="209">
        <v>5.9955291450023651E-2</v>
      </c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1.7130000591278076</v>
      </c>
      <c r="C22">
        <v>3.7184394896030426E-2</v>
      </c>
      <c r="D22" s="185">
        <v>0.12807634472846985</v>
      </c>
      <c r="E22" s="23">
        <v>1.0824362747371197E-2</v>
      </c>
      <c r="F22" s="19">
        <v>2.9650373384356499E-2</v>
      </c>
      <c r="G22" s="202">
        <v>0.31799337267875671</v>
      </c>
      <c r="H22"/>
      <c r="I22"/>
      <c r="J22"/>
      <c r="K22"/>
      <c r="L22"/>
      <c r="M22"/>
      <c r="N22"/>
      <c r="O22"/>
      <c r="P22"/>
      <c r="Q22" s="18">
        <v>1.9895609468221664E-2</v>
      </c>
      <c r="R22"/>
      <c r="S22"/>
      <c r="T22" s="234">
        <v>0.27965173125267029</v>
      </c>
      <c r="U22"/>
      <c r="V22"/>
      <c r="W22" s="227">
        <v>0.16809378564357758</v>
      </c>
      <c r="X22" s="110">
        <v>0.11290063709020615</v>
      </c>
      <c r="Y22" s="24">
        <v>4.8403311520814896E-2</v>
      </c>
      <c r="Z22" s="216">
        <v>0.17568068206310272</v>
      </c>
      <c r="AA22" s="146">
        <v>5.060693621635437E-2</v>
      </c>
      <c r="AB22" s="27">
        <v>0.13258121907711029</v>
      </c>
      <c r="AC22" s="76">
        <v>0.1353047788143158</v>
      </c>
      <c r="AD22"/>
      <c r="AE22"/>
      <c r="AF22"/>
      <c r="AG22"/>
      <c r="AH22" s="146">
        <v>5.1550369709730148E-2</v>
      </c>
      <c r="AI22"/>
      <c r="AJ22"/>
      <c r="AK22"/>
      <c r="AL22"/>
      <c r="AM22" s="12">
        <v>7.0456303656101227E-3</v>
      </c>
      <c r="AN22"/>
      <c r="AO22"/>
      <c r="AP22"/>
      <c r="AQ22"/>
      <c r="AR22"/>
      <c r="AS22"/>
      <c r="AT22" s="12">
        <v>7.5565534643828869E-3</v>
      </c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2.2230000495910645</v>
      </c>
      <c r="C23">
        <v>5.7243932038545609E-2</v>
      </c>
      <c r="D23" s="78">
        <v>0.14479558169841766</v>
      </c>
      <c r="E23" s="65">
        <v>5.0027593970298767E-2</v>
      </c>
      <c r="F23" s="15">
        <v>2.0298182964324951E-2</v>
      </c>
      <c r="G23" s="180">
        <v>0.57419627904891968</v>
      </c>
      <c r="H23"/>
      <c r="I23"/>
      <c r="J23"/>
      <c r="K23"/>
      <c r="L23"/>
      <c r="M23"/>
      <c r="N23"/>
      <c r="O23"/>
      <c r="P23"/>
      <c r="Q23" s="19">
        <v>4.0394116193056107E-2</v>
      </c>
      <c r="R23"/>
      <c r="S23"/>
      <c r="T23" s="80">
        <v>0.37311112880706787</v>
      </c>
      <c r="U23"/>
      <c r="V23"/>
      <c r="W23" s="15">
        <v>2.1330080926418304E-2</v>
      </c>
      <c r="X23" s="67">
        <v>0.1285882294178009</v>
      </c>
      <c r="Y23" s="68">
        <v>0.140390545129776</v>
      </c>
      <c r="Z23" s="78">
        <v>0.14591661095619202</v>
      </c>
      <c r="AA23" s="66">
        <v>9.2472672462463379E-2</v>
      </c>
      <c r="AB23" s="200">
        <v>0.18605093657970428</v>
      </c>
      <c r="AC23" s="68">
        <v>0.13735486567020416</v>
      </c>
      <c r="AD23"/>
      <c r="AE23"/>
      <c r="AF23"/>
      <c r="AG23"/>
      <c r="AH23" s="66">
        <v>9.1157995164394379E-2</v>
      </c>
      <c r="AI23"/>
      <c r="AJ23"/>
      <c r="AK23"/>
      <c r="AL23"/>
      <c r="AM23"/>
      <c r="AN23" s="22">
        <v>1.6881810501217842E-2</v>
      </c>
      <c r="AO23"/>
      <c r="AP23"/>
      <c r="AQ23"/>
      <c r="AR23"/>
      <c r="AS23"/>
      <c r="AT23" s="14">
        <v>2.789471996948123E-3</v>
      </c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1.25</v>
      </c>
      <c r="C24">
        <v>3.9959773421287537E-2</v>
      </c>
      <c r="D24" s="17">
        <v>1.6392700374126434E-2</v>
      </c>
      <c r="E24" s="11">
        <v>2.1305970221874304E-5</v>
      </c>
      <c r="F24" s="11">
        <v>2.9109065508237109E-5</v>
      </c>
      <c r="G24" s="14">
        <v>2.5298972614109516E-3</v>
      </c>
      <c r="H24"/>
      <c r="I24"/>
      <c r="J24"/>
      <c r="K24"/>
      <c r="L24"/>
      <c r="M24"/>
      <c r="N24"/>
      <c r="O24"/>
      <c r="P24" s="24">
        <v>3.3532422035932541E-2</v>
      </c>
      <c r="Q24"/>
      <c r="R24"/>
      <c r="S24"/>
      <c r="T24"/>
      <c r="U24" s="182">
        <v>0.16889438033103943</v>
      </c>
      <c r="V24"/>
      <c r="W24" s="223">
        <v>0.13394972681999207</v>
      </c>
      <c r="X24"/>
      <c r="Y24" s="239">
        <v>0.34228053689002991</v>
      </c>
      <c r="Z24" s="184">
        <v>0.16769519448280334</v>
      </c>
      <c r="AA24"/>
      <c r="AB24" s="230">
        <v>0.15792763233184814</v>
      </c>
      <c r="AC24" s="66">
        <v>5.0739292055368423E-2</v>
      </c>
      <c r="AD24"/>
      <c r="AE24"/>
      <c r="AF24"/>
      <c r="AG24" s="14">
        <v>3.1660962849855423E-3</v>
      </c>
      <c r="AH24" s="22">
        <v>8.7303053587675095E-3</v>
      </c>
      <c r="AI24"/>
      <c r="AJ24"/>
      <c r="AK24"/>
      <c r="AL24"/>
      <c r="AM24" s="29">
        <v>5.8126438409090042E-2</v>
      </c>
      <c r="AN24" s="28">
        <v>4.3653335422277451E-2</v>
      </c>
      <c r="AO24"/>
      <c r="AP24"/>
      <c r="AQ24" s="14">
        <v>1.2480017030611634E-3</v>
      </c>
      <c r="AR24"/>
      <c r="AS24"/>
      <c r="AT24" s="19">
        <v>2.1124003455042839E-2</v>
      </c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1.690000057220459</v>
      </c>
      <c r="C25">
        <v>4.7736220061779022E-2</v>
      </c>
      <c r="D25" s="70">
        <v>8.4662921726703644E-2</v>
      </c>
      <c r="E25" s="75">
        <v>0.16025696694850922</v>
      </c>
      <c r="F25" s="11">
        <v>3.9044278673827648E-4</v>
      </c>
      <c r="G25" s="203">
        <v>0.6811453104019165</v>
      </c>
      <c r="H25"/>
      <c r="I25"/>
      <c r="J25"/>
      <c r="K25"/>
      <c r="L25"/>
      <c r="M25"/>
      <c r="N25"/>
      <c r="O25"/>
      <c r="P25"/>
      <c r="Q25"/>
      <c r="R25"/>
      <c r="S25"/>
      <c r="T25" s="110">
        <v>0.11164705455303192</v>
      </c>
      <c r="U25" s="13">
        <v>6.4547166228294373E-2</v>
      </c>
      <c r="V25"/>
      <c r="W25" s="21">
        <v>3.3877190202474594E-2</v>
      </c>
      <c r="X25"/>
      <c r="Y25" s="12">
        <v>7.4324412271380424E-3</v>
      </c>
      <c r="Z25" s="232">
        <v>0.24891652166843414</v>
      </c>
      <c r="AA25"/>
      <c r="AB25" s="211">
        <v>8.1732012331485748E-2</v>
      </c>
      <c r="AC25" s="67">
        <v>9.9986247718334198E-2</v>
      </c>
      <c r="AD25"/>
      <c r="AE25"/>
      <c r="AF25"/>
      <c r="AG25"/>
      <c r="AH25" s="65">
        <v>3.7535641342401505E-2</v>
      </c>
      <c r="AI25"/>
      <c r="AJ25"/>
      <c r="AK25"/>
      <c r="AL25"/>
      <c r="AM25"/>
      <c r="AN25"/>
      <c r="AO25"/>
      <c r="AP25" s="17">
        <v>2.4226874113082886E-2</v>
      </c>
      <c r="AQ25"/>
      <c r="AR25"/>
      <c r="AS25"/>
      <c r="AT25" s="12">
        <v>5.907116923481226E-3</v>
      </c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0.57800000905990601</v>
      </c>
      <c r="C26">
        <v>0.23587839305400848</v>
      </c>
      <c r="D26" s="186">
        <v>0.18679234385490417</v>
      </c>
      <c r="E26" s="11">
        <v>7.1752801886759698E-5</v>
      </c>
      <c r="F26" s="192">
        <v>1.3578486628830433E-2</v>
      </c>
      <c r="G26" s="147">
        <v>3.5389803349971771E-2</v>
      </c>
      <c r="H26"/>
      <c r="I26"/>
      <c r="J26"/>
      <c r="K26"/>
      <c r="L26"/>
      <c r="M26"/>
      <c r="N26"/>
      <c r="O26"/>
      <c r="P26"/>
      <c r="Q26"/>
      <c r="R26"/>
      <c r="S26"/>
      <c r="T26"/>
      <c r="U26" s="210">
        <v>7.359950989484787E-2</v>
      </c>
      <c r="V26"/>
      <c r="W26" s="146">
        <v>1.7168115824460983E-2</v>
      </c>
      <c r="X26"/>
      <c r="Y26"/>
      <c r="Z26"/>
      <c r="AA26"/>
      <c r="AB26"/>
      <c r="AC26"/>
      <c r="AD26"/>
      <c r="AE26"/>
      <c r="AF26"/>
      <c r="AG26" s="24">
        <v>1.552159059792757E-2</v>
      </c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0.875</v>
      </c>
      <c r="C27">
        <v>0.226624995470047</v>
      </c>
      <c r="D27" s="187">
        <v>0.15675340592861176</v>
      </c>
      <c r="E27" s="11">
        <v>4.6549327089451253E-4</v>
      </c>
      <c r="F27" s="20">
        <v>3.6924581974744797E-2</v>
      </c>
      <c r="G27" s="204">
        <v>0.42154181003570557</v>
      </c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 s="21">
        <v>1.7168115824460983E-2</v>
      </c>
      <c r="X27"/>
      <c r="Y27"/>
      <c r="Z27"/>
      <c r="AA27"/>
      <c r="AB27"/>
      <c r="AC27"/>
      <c r="AD27"/>
      <c r="AE27"/>
      <c r="AF27"/>
      <c r="AG27" s="19">
        <v>1.552159059792757E-2</v>
      </c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2.2454636096954346</v>
      </c>
      <c r="C28">
        <v>0.10984039306640625</v>
      </c>
      <c r="D28" s="11">
        <v>9.5044488261919469E-6</v>
      </c>
      <c r="E28" s="14">
        <v>3.3971029333770275E-3</v>
      </c>
      <c r="F28"/>
      <c r="G28" s="11">
        <v>1.4248964725993574E-4</v>
      </c>
      <c r="H28"/>
      <c r="I28"/>
      <c r="J28"/>
      <c r="K28"/>
      <c r="L28"/>
      <c r="M28"/>
      <c r="N28"/>
      <c r="O28"/>
      <c r="P28"/>
      <c r="Q28"/>
      <c r="R28"/>
      <c r="S28"/>
      <c r="T28"/>
      <c r="U28" s="246">
        <v>0.82525503635406494</v>
      </c>
      <c r="V28"/>
      <c r="W28" s="12">
        <v>9.8215462639927864E-3</v>
      </c>
      <c r="X28" s="22">
        <v>1.544585358351469E-2</v>
      </c>
      <c r="Y28" s="205">
        <v>0.16290172934532166</v>
      </c>
      <c r="Z28" s="231">
        <v>0.33594021201133728</v>
      </c>
      <c r="AA28"/>
      <c r="AB28" s="19">
        <v>3.8277238607406616E-2</v>
      </c>
      <c r="AC28" s="16">
        <v>3.3204011619091034E-2</v>
      </c>
      <c r="AD28"/>
      <c r="AE28"/>
      <c r="AF28"/>
      <c r="AG28" s="25">
        <v>6.9852866232395172E-2</v>
      </c>
      <c r="AH28" s="28">
        <v>7.8351773321628571E-2</v>
      </c>
      <c r="AI28"/>
      <c r="AJ28"/>
      <c r="AK28"/>
      <c r="AL28"/>
      <c r="AM28" s="18">
        <v>2.7664147317409515E-2</v>
      </c>
      <c r="AN28" s="182">
        <v>0.30315932631492615</v>
      </c>
      <c r="AO28"/>
      <c r="AP28" s="27">
        <v>0.1697743833065033</v>
      </c>
      <c r="AQ28" s="18">
        <v>2.5434302166104317E-2</v>
      </c>
      <c r="AR28"/>
      <c r="AS28"/>
      <c r="AT28" s="16">
        <v>3.6991480737924576E-2</v>
      </c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1.3733642101287842</v>
      </c>
      <c r="C29">
        <v>0.12287894636392593</v>
      </c>
      <c r="D29" s="11">
        <v>6.6429848084226251E-4</v>
      </c>
      <c r="E29" s="111">
        <v>0.23731207847595215</v>
      </c>
      <c r="F29"/>
      <c r="G29" s="22">
        <v>9.9786454811692238E-3</v>
      </c>
      <c r="H29"/>
      <c r="I29"/>
      <c r="J29"/>
      <c r="K29"/>
      <c r="L29"/>
      <c r="M29"/>
      <c r="N29"/>
      <c r="O29"/>
      <c r="P29"/>
      <c r="Q29"/>
      <c r="R29"/>
      <c r="S29"/>
      <c r="T29"/>
      <c r="U29" s="186">
        <v>0.44505098462104797</v>
      </c>
      <c r="V29"/>
      <c r="W29" s="12">
        <v>5.1120715215802193E-3</v>
      </c>
      <c r="X29" s="22">
        <v>1.0822402313351631E-2</v>
      </c>
      <c r="Y29" s="24">
        <v>3.6493711173534393E-2</v>
      </c>
      <c r="Z29" s="109">
        <v>0.16947522759437561</v>
      </c>
      <c r="AA29"/>
      <c r="AB29" s="24">
        <v>3.7000104784965515E-2</v>
      </c>
      <c r="AC29"/>
      <c r="AD29"/>
      <c r="AE29"/>
      <c r="AF29"/>
      <c r="AG29" s="12">
        <v>5.4513462819159031E-3</v>
      </c>
      <c r="AH29" s="13">
        <v>5.0230275839567184E-2</v>
      </c>
      <c r="AI29"/>
      <c r="AJ29"/>
      <c r="AK29"/>
      <c r="AL29"/>
      <c r="AM29"/>
      <c r="AN29"/>
      <c r="AO29"/>
      <c r="AP29" s="232">
        <v>0.20103089511394501</v>
      </c>
      <c r="AQ29" s="17">
        <v>1.915229856967926E-2</v>
      </c>
      <c r="AR29"/>
      <c r="AS29" s="12">
        <v>5.7403543032705784E-3</v>
      </c>
      <c r="AT29" s="18">
        <v>1.6970587894320488E-2</v>
      </c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1.6160365343093872</v>
      </c>
      <c r="C30">
        <v>6.6969633102416992E-2</v>
      </c>
      <c r="D30" s="11">
        <v>2.0245281120878644E-5</v>
      </c>
      <c r="E30" s="11">
        <v>6.7074730759486556E-4</v>
      </c>
      <c r="F30"/>
      <c r="G30" s="11">
        <v>2.0016336929984391E-4</v>
      </c>
      <c r="H30"/>
      <c r="I30"/>
      <c r="J30"/>
      <c r="K30"/>
      <c r="L30"/>
      <c r="M30"/>
      <c r="N30"/>
      <c r="O30"/>
      <c r="P30"/>
      <c r="Q30"/>
      <c r="R30"/>
      <c r="S30"/>
      <c r="T30"/>
      <c r="U30" s="242">
        <v>0.74014115333557129</v>
      </c>
      <c r="V30"/>
      <c r="W30" s="12">
        <v>5.8857365511357784E-3</v>
      </c>
      <c r="X30" s="21">
        <v>3.0854010954499245E-2</v>
      </c>
      <c r="Y30" s="209">
        <v>6.1982084065675735E-2</v>
      </c>
      <c r="Z30" s="225">
        <v>0.17894947528839111</v>
      </c>
      <c r="AA30"/>
      <c r="AB30" s="66">
        <v>6.5538041293621063E-2</v>
      </c>
      <c r="AC30" s="195">
        <v>8.5277549922466278E-2</v>
      </c>
      <c r="AD30"/>
      <c r="AE30"/>
      <c r="AF30"/>
      <c r="AG30" s="22">
        <v>1.1825021356344223E-2</v>
      </c>
      <c r="AH30" s="22">
        <v>1.3042693957686424E-2</v>
      </c>
      <c r="AI30"/>
      <c r="AJ30"/>
      <c r="AK30"/>
      <c r="AL30"/>
      <c r="AM30" s="21">
        <v>3.1577587127685547E-2</v>
      </c>
      <c r="AN30" s="231">
        <v>0.24223150312900543</v>
      </c>
      <c r="AO30"/>
      <c r="AP30" s="146">
        <v>4.690156877040863E-2</v>
      </c>
      <c r="AQ30" s="12">
        <v>5.1272646524012089E-3</v>
      </c>
      <c r="AR30"/>
      <c r="AS30" s="12">
        <v>4.9807755276560783E-3</v>
      </c>
      <c r="AT30" s="16">
        <v>2.3861179128289223E-2</v>
      </c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1.2023296356201172</v>
      </c>
      <c r="C31">
        <v>2.651325985789299E-2</v>
      </c>
      <c r="D31" s="22">
        <v>9.6058482304215431E-3</v>
      </c>
      <c r="E31" s="188">
        <v>0.31818398833274841</v>
      </c>
      <c r="F31"/>
      <c r="G31" s="76">
        <v>9.5008805394172668E-2</v>
      </c>
      <c r="H31"/>
      <c r="I31"/>
      <c r="J31"/>
      <c r="K31"/>
      <c r="L31"/>
      <c r="M31"/>
      <c r="N31"/>
      <c r="O31"/>
      <c r="P31"/>
      <c r="Q31"/>
      <c r="R31"/>
      <c r="S31"/>
      <c r="T31"/>
      <c r="U31" s="247">
        <v>0.39116767048835754</v>
      </c>
      <c r="V31"/>
      <c r="W31" s="14">
        <v>3.476013196632266E-3</v>
      </c>
      <c r="X31" s="19">
        <v>2.1866206079721451E-2</v>
      </c>
      <c r="Y31" s="14">
        <v>1.7158844275400043E-3</v>
      </c>
      <c r="Z31" s="109">
        <v>0.14861872792243958</v>
      </c>
      <c r="AA31"/>
      <c r="AB31" s="146">
        <v>3.5802703350782394E-2</v>
      </c>
      <c r="AC31"/>
      <c r="AD31"/>
      <c r="AE31"/>
      <c r="AF31"/>
      <c r="AG31" s="22">
        <v>8.3803823217749596E-3</v>
      </c>
      <c r="AH31" s="12">
        <v>4.5391423627734184E-3</v>
      </c>
      <c r="AI31"/>
      <c r="AJ31"/>
      <c r="AK31"/>
      <c r="AL31"/>
      <c r="AM31"/>
      <c r="AN31"/>
      <c r="AO31"/>
      <c r="AP31" s="200">
        <v>0.10227414220571518</v>
      </c>
      <c r="AQ31" s="23">
        <v>6.9163939915597439E-3</v>
      </c>
      <c r="AR31"/>
      <c r="AS31" s="23">
        <v>5.9290793724358082E-3</v>
      </c>
      <c r="AT31" s="19">
        <v>2.2331267595291138E-2</v>
      </c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1.0779999494552612</v>
      </c>
      <c r="C32">
        <v>1.8977811560034752E-2</v>
      </c>
      <c r="D32" s="184">
        <v>0.14316311478614807</v>
      </c>
      <c r="E32" s="189">
        <v>0.11996468901634216</v>
      </c>
      <c r="F32" s="11">
        <v>6.1465933686122298E-4</v>
      </c>
      <c r="G32" s="205">
        <v>7.7857315540313721E-2</v>
      </c>
      <c r="H32"/>
      <c r="I32"/>
      <c r="J32"/>
      <c r="K32"/>
      <c r="L32"/>
      <c r="M32"/>
      <c r="N32"/>
      <c r="O32"/>
      <c r="P32"/>
      <c r="Q32"/>
      <c r="R32"/>
      <c r="S32"/>
      <c r="T32"/>
      <c r="U32" s="235">
        <v>0.33160218596458435</v>
      </c>
      <c r="V32"/>
      <c r="W32" s="75">
        <v>0.10248987376689911</v>
      </c>
      <c r="X32"/>
      <c r="Y32"/>
      <c r="Z32" s="224">
        <v>0.14992530643939972</v>
      </c>
      <c r="AA32"/>
      <c r="AB32" s="66">
        <v>4.521859809756279E-2</v>
      </c>
      <c r="AC32"/>
      <c r="AD32"/>
      <c r="AE32"/>
      <c r="AF32"/>
      <c r="AG32"/>
      <c r="AH32" s="19">
        <v>1.836516335606575E-2</v>
      </c>
      <c r="AI32"/>
      <c r="AJ32"/>
      <c r="AK32"/>
      <c r="AL32"/>
      <c r="AM32"/>
      <c r="AN32" s="26">
        <v>2.7548888698220253E-2</v>
      </c>
      <c r="AO32"/>
      <c r="AP32" s="12">
        <v>3.5560643300414085E-3</v>
      </c>
      <c r="AQ32" s="19">
        <v>1.8377168104052544E-2</v>
      </c>
      <c r="AR32"/>
      <c r="AS32" s="11">
        <v>6.136666052043438E-4</v>
      </c>
      <c r="AT32" s="19">
        <v>1.9725549966096878E-2</v>
      </c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0.97100001573562622</v>
      </c>
      <c r="C33">
        <v>2.3553377017378807E-2</v>
      </c>
      <c r="D33" s="146">
        <v>2.9123270884156227E-2</v>
      </c>
      <c r="E33" s="112">
        <v>0.1775340735912323</v>
      </c>
      <c r="F33" s="14">
        <v>2.3214789107441902E-3</v>
      </c>
      <c r="G33" s="206">
        <v>0.10311956703662872</v>
      </c>
      <c r="H33"/>
      <c r="I33"/>
      <c r="J33"/>
      <c r="K33"/>
      <c r="L33"/>
      <c r="M33"/>
      <c r="N33"/>
      <c r="O33"/>
      <c r="P33"/>
      <c r="Q33"/>
      <c r="R33"/>
      <c r="S33"/>
      <c r="T33"/>
      <c r="U33" s="240">
        <v>0.3612595796585083</v>
      </c>
      <c r="V33"/>
      <c r="W33" s="25">
        <v>2.974194660782814E-2</v>
      </c>
      <c r="X33"/>
      <c r="Y33"/>
      <c r="Z33" s="229">
        <v>0.14694418013095856</v>
      </c>
      <c r="AA33"/>
      <c r="AB33"/>
      <c r="AC33"/>
      <c r="AD33"/>
      <c r="AE33"/>
      <c r="AF33"/>
      <c r="AG33"/>
      <c r="AH33" s="21">
        <v>1.8830761313438416E-2</v>
      </c>
      <c r="AI33"/>
      <c r="AJ33"/>
      <c r="AK33"/>
      <c r="AL33"/>
      <c r="AM33"/>
      <c r="AN33"/>
      <c r="AO33"/>
      <c r="AP33" s="64">
        <v>5.241437628865242E-2</v>
      </c>
      <c r="AQ33" s="18">
        <v>1.0599224828183651E-2</v>
      </c>
      <c r="AR33"/>
      <c r="AS33"/>
      <c r="AT33" s="16">
        <v>1.5558181330561638E-2</v>
      </c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0.75300002098083496</v>
      </c>
      <c r="C34">
        <v>1.4255830086767673E-2</v>
      </c>
      <c r="D34" s="15">
        <v>7.9224333167076111E-3</v>
      </c>
      <c r="E34" s="147">
        <v>4.5329898595809937E-2</v>
      </c>
      <c r="F34" s="11">
        <v>1.6826926730573177E-4</v>
      </c>
      <c r="G34" s="183">
        <v>6.1005376279354095E-2</v>
      </c>
      <c r="H34"/>
      <c r="I34"/>
      <c r="J34"/>
      <c r="K34"/>
      <c r="L34"/>
      <c r="M34"/>
      <c r="N34"/>
      <c r="O34"/>
      <c r="P34"/>
      <c r="Q34"/>
      <c r="R34"/>
      <c r="S34"/>
      <c r="T34"/>
      <c r="U34" s="243">
        <v>0.28943037986755371</v>
      </c>
      <c r="V34"/>
      <c r="W34"/>
      <c r="X34"/>
      <c r="Y34"/>
      <c r="Z34" s="222">
        <v>0.13114351034164429</v>
      </c>
      <c r="AA34"/>
      <c r="AB34"/>
      <c r="AC34"/>
      <c r="AD34"/>
      <c r="AE34"/>
      <c r="AF34"/>
      <c r="AG34"/>
      <c r="AH34" s="192">
        <v>1.7810618504881859E-2</v>
      </c>
      <c r="AI34"/>
      <c r="AJ34"/>
      <c r="AK34"/>
      <c r="AL34"/>
      <c r="AM34" s="23">
        <v>5.0308052450418472E-3</v>
      </c>
      <c r="AN34" s="110">
        <v>5.0465520471334457E-2</v>
      </c>
      <c r="AO34"/>
      <c r="AP34" s="233">
        <v>9.8862364888191223E-2</v>
      </c>
      <c r="AQ34" s="16">
        <v>1.2030026875436306E-2</v>
      </c>
      <c r="AR34"/>
      <c r="AS34" s="22">
        <v>6.5465024672448635E-3</v>
      </c>
      <c r="AT34" s="19">
        <v>1.2998540885746479E-2</v>
      </c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0.61000001430511475</v>
      </c>
      <c r="C35">
        <v>7.1643553674221039E-2</v>
      </c>
      <c r="D35" s="15">
        <v>5.6273448280990124E-3</v>
      </c>
      <c r="E35" s="190">
        <v>0.13374873995780945</v>
      </c>
      <c r="F35" s="193">
        <v>0.156996950507164</v>
      </c>
      <c r="G35" s="207">
        <v>0.24198338389396667</v>
      </c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0.33500000834465027</v>
      </c>
      <c r="C36">
        <v>0.11463030427694321</v>
      </c>
      <c r="D36" s="11">
        <v>1.140577151090838E-4</v>
      </c>
      <c r="E36"/>
      <c r="F36" s="194">
        <v>0.20485371351242065</v>
      </c>
      <c r="G36" s="208">
        <v>1.5401914715766907E-2</v>
      </c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0.164000004529953</v>
      </c>
      <c r="C37">
        <v>0.15334500372409821</v>
      </c>
      <c r="D37" s="20">
        <v>7.100000511854887E-3</v>
      </c>
      <c r="E37"/>
      <c r="F37" s="65">
        <v>3.5550002939999104E-3</v>
      </c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4.7820000648498535</v>
      </c>
      <c r="C38">
        <v>4.7440261840820312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 s="22">
        <v>3.7973683327436447E-2</v>
      </c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8.2999996840953827E-2</v>
      </c>
      <c r="C39">
        <v>6.1694394797086716E-2</v>
      </c>
      <c r="D39"/>
      <c r="E39"/>
      <c r="F39"/>
      <c r="G39" s="193">
        <v>2.1305600181221962E-2</v>
      </c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/>
      <c r="C40">
        <v>0.51522326469421387</v>
      </c>
      <c r="D40"/>
      <c r="E40"/>
      <c r="F40"/>
      <c r="G40"/>
      <c r="H40"/>
      <c r="I40"/>
      <c r="J40" s="9">
        <v>110.65706634521484</v>
      </c>
      <c r="K40" s="9">
        <v>48.85552978515625</v>
      </c>
      <c r="L40" s="9">
        <v>2.2923824787139893</v>
      </c>
      <c r="M40"/>
      <c r="N40" s="9">
        <v>48.265087127685547</v>
      </c>
      <c r="O40" s="9">
        <v>53.16845703125</v>
      </c>
      <c r="P40" s="9">
        <v>0.24563618004322052</v>
      </c>
      <c r="Q40" s="9">
        <v>0.19595187902450562</v>
      </c>
      <c r="R40" s="9">
        <v>4.3864630162715912E-2</v>
      </c>
      <c r="S40" s="9">
        <v>25.616031646728516</v>
      </c>
      <c r="T40"/>
      <c r="U40"/>
      <c r="V40" s="9">
        <v>0.21961201727390289</v>
      </c>
      <c r="W40"/>
      <c r="X40"/>
      <c r="Y40" s="9">
        <v>1.3898665783926845E-3</v>
      </c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 s="9">
        <v>1.4196361415088177E-2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/>
      <c r="C41">
        <v>0.79742717742919922</v>
      </c>
      <c r="D41"/>
      <c r="E41"/>
      <c r="F41"/>
      <c r="G41"/>
      <c r="H41"/>
      <c r="I41"/>
      <c r="J41"/>
      <c r="K41"/>
      <c r="L41"/>
      <c r="M41"/>
      <c r="N41" s="9">
        <v>0.30165678262710571</v>
      </c>
      <c r="O41"/>
      <c r="P41" s="9">
        <v>1.4977814629673958E-2</v>
      </c>
      <c r="Q41" s="9">
        <v>1.3330059126019478E-2</v>
      </c>
      <c r="R41"/>
      <c r="S41"/>
      <c r="T41"/>
      <c r="U41"/>
      <c r="V41"/>
      <c r="W41"/>
      <c r="X41"/>
      <c r="Y41" s="9">
        <v>1.6678398475050926E-2</v>
      </c>
      <c r="Z41"/>
      <c r="AA41"/>
      <c r="AB41"/>
      <c r="AC41"/>
      <c r="AD41"/>
      <c r="AE41"/>
      <c r="AF41"/>
      <c r="AG41" s="9">
        <v>3.3940551802515984E-3</v>
      </c>
      <c r="AH41" s="9">
        <v>2.6739682070910931E-3</v>
      </c>
      <c r="AI41"/>
      <c r="AJ41"/>
      <c r="AK41"/>
      <c r="AL41"/>
      <c r="AM41"/>
      <c r="AN41"/>
      <c r="AO41"/>
      <c r="AP41"/>
      <c r="AQ41"/>
      <c r="AR41" s="9">
        <v>1.513794157654047E-2</v>
      </c>
      <c r="AS41" s="9">
        <v>2.2895896807312965E-2</v>
      </c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/>
      <c r="C42">
        <v>0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5.5" bestFit="1" customWidth="1"/>
    <col min="5" max="5" width="3.33203125" bestFit="1" customWidth="1"/>
    <col min="6" max="6" width="5.83203125" bestFit="1" customWidth="1"/>
    <col min="7" max="7" width="3.33203125" bestFit="1" customWidth="1"/>
    <col min="8" max="8" width="25.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68" t="s">
        <v>192</v>
      </c>
      <c r="E5">
        <v>4</v>
      </c>
      <c r="F5">
        <v>2.1</v>
      </c>
      <c r="G5">
        <v>4</v>
      </c>
      <c r="H5" s="169" t="s">
        <v>192</v>
      </c>
      <c r="J5" s="57"/>
      <c r="K5" s="58"/>
    </row>
    <row r="6" spans="1:12" ht="14" thickBot="1" x14ac:dyDescent="0.2">
      <c r="A6" s="41" t="s">
        <v>121</v>
      </c>
      <c r="D6" s="168" t="s">
        <v>193</v>
      </c>
      <c r="E6">
        <v>5</v>
      </c>
      <c r="F6">
        <v>3.1110000000000002</v>
      </c>
      <c r="G6">
        <v>5</v>
      </c>
      <c r="H6" s="169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68" t="s">
        <v>194</v>
      </c>
      <c r="E7">
        <v>6</v>
      </c>
      <c r="F7">
        <v>3.11</v>
      </c>
      <c r="G7">
        <v>6</v>
      </c>
      <c r="H7" s="169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68" t="s">
        <v>195</v>
      </c>
      <c r="E8">
        <v>7</v>
      </c>
      <c r="F8">
        <v>3.11</v>
      </c>
      <c r="G8">
        <v>7</v>
      </c>
      <c r="H8" s="169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68" t="s">
        <v>196</v>
      </c>
      <c r="E9">
        <v>8</v>
      </c>
      <c r="F9">
        <v>3.11</v>
      </c>
      <c r="G9">
        <v>8</v>
      </c>
      <c r="H9" s="169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68" t="s">
        <v>197</v>
      </c>
      <c r="E10">
        <v>9</v>
      </c>
      <c r="F10">
        <v>3.21</v>
      </c>
      <c r="G10">
        <v>9</v>
      </c>
      <c r="H10" s="169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68" t="s">
        <v>198</v>
      </c>
      <c r="E11">
        <v>10</v>
      </c>
      <c r="F11">
        <v>3.21</v>
      </c>
      <c r="G11">
        <v>10</v>
      </c>
      <c r="H11" s="169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68" t="s">
        <v>199</v>
      </c>
      <c r="E12">
        <v>11</v>
      </c>
      <c r="F12">
        <v>3.02</v>
      </c>
      <c r="G12">
        <v>11</v>
      </c>
      <c r="H12" s="169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68" t="s">
        <v>200</v>
      </c>
      <c r="E13">
        <v>12</v>
      </c>
      <c r="F13">
        <v>3.21</v>
      </c>
      <c r="G13">
        <v>12</v>
      </c>
      <c r="H13" s="169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68" t="s">
        <v>201</v>
      </c>
      <c r="E14">
        <v>13</v>
      </c>
      <c r="F14">
        <v>3.21</v>
      </c>
      <c r="G14">
        <v>13</v>
      </c>
      <c r="H14" s="169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68" t="s">
        <v>202</v>
      </c>
      <c r="E15">
        <v>14</v>
      </c>
      <c r="F15">
        <v>3.21</v>
      </c>
      <c r="G15">
        <v>14</v>
      </c>
      <c r="H15" s="169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68" t="s">
        <v>203</v>
      </c>
      <c r="E16">
        <v>15</v>
      </c>
      <c r="F16">
        <v>3.23</v>
      </c>
      <c r="G16">
        <v>15</v>
      </c>
      <c r="H16" s="169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68" t="s">
        <v>204</v>
      </c>
      <c r="E17">
        <v>16</v>
      </c>
      <c r="F17">
        <v>3.21</v>
      </c>
      <c r="G17">
        <v>16</v>
      </c>
      <c r="H17" s="169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68" t="s">
        <v>205</v>
      </c>
      <c r="E18">
        <v>17</v>
      </c>
      <c r="F18">
        <v>3.14</v>
      </c>
      <c r="G18">
        <v>17</v>
      </c>
      <c r="H18" s="169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68" t="s">
        <v>206</v>
      </c>
      <c r="E19">
        <v>18</v>
      </c>
      <c r="F19">
        <v>3.14</v>
      </c>
      <c r="G19">
        <v>18</v>
      </c>
      <c r="H19" s="169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68" t="s">
        <v>207</v>
      </c>
      <c r="E20">
        <v>19</v>
      </c>
      <c r="F20">
        <v>3.24</v>
      </c>
      <c r="G20">
        <v>19</v>
      </c>
      <c r="H20" s="169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68" t="s">
        <v>208</v>
      </c>
      <c r="E21">
        <v>20</v>
      </c>
      <c r="F21">
        <v>3.24</v>
      </c>
      <c r="G21">
        <v>20</v>
      </c>
      <c r="H21" s="169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68" t="s">
        <v>209</v>
      </c>
      <c r="E22">
        <v>21</v>
      </c>
      <c r="F22">
        <v>3.14</v>
      </c>
      <c r="G22">
        <v>21</v>
      </c>
      <c r="H22" s="169" t="s">
        <v>209</v>
      </c>
    </row>
    <row r="23" spans="1:12" x14ac:dyDescent="0.15">
      <c r="A23" s="36" t="s">
        <v>129</v>
      </c>
      <c r="B23" s="44">
        <v>4</v>
      </c>
      <c r="C23" s="38"/>
      <c r="D23" s="168" t="s">
        <v>210</v>
      </c>
      <c r="E23">
        <v>22</v>
      </c>
      <c r="F23">
        <v>3.24</v>
      </c>
      <c r="G23">
        <v>22</v>
      </c>
      <c r="H23" s="169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68" t="s">
        <v>211</v>
      </c>
      <c r="E24">
        <v>23</v>
      </c>
      <c r="F24">
        <v>3.24</v>
      </c>
      <c r="G24">
        <v>23</v>
      </c>
      <c r="H24" s="169" t="s">
        <v>211</v>
      </c>
    </row>
    <row r="25" spans="1:12" x14ac:dyDescent="0.15">
      <c r="A25" s="36" t="s">
        <v>70</v>
      </c>
      <c r="B25" s="44">
        <v>4.2</v>
      </c>
      <c r="C25" s="38"/>
      <c r="D25" s="168" t="s">
        <v>212</v>
      </c>
      <c r="E25">
        <v>24</v>
      </c>
      <c r="F25">
        <v>3.24</v>
      </c>
      <c r="G25">
        <v>24</v>
      </c>
      <c r="H25" s="169" t="s">
        <v>212</v>
      </c>
    </row>
    <row r="26" spans="1:12" x14ac:dyDescent="0.15">
      <c r="A26" s="36" t="s">
        <v>123</v>
      </c>
      <c r="B26" s="44">
        <v>4.3</v>
      </c>
      <c r="C26" s="38"/>
      <c r="D26" s="168" t="s">
        <v>213</v>
      </c>
      <c r="E26">
        <v>25</v>
      </c>
      <c r="F26">
        <v>3.24</v>
      </c>
      <c r="G26">
        <v>25</v>
      </c>
      <c r="H26" s="169" t="s">
        <v>213</v>
      </c>
    </row>
    <row r="27" spans="1:12" x14ac:dyDescent="0.15">
      <c r="A27" s="36" t="s">
        <v>125</v>
      </c>
      <c r="B27" s="44">
        <v>6.1</v>
      </c>
      <c r="D27" s="168" t="s">
        <v>214</v>
      </c>
      <c r="E27">
        <v>26</v>
      </c>
      <c r="F27">
        <v>3.04</v>
      </c>
      <c r="G27">
        <v>26</v>
      </c>
      <c r="H27" s="169" t="s">
        <v>214</v>
      </c>
    </row>
    <row r="28" spans="1:12" x14ac:dyDescent="0.15">
      <c r="A28" s="36" t="s">
        <v>124</v>
      </c>
      <c r="B28" s="44">
        <v>6.2</v>
      </c>
      <c r="D28" s="168" t="s">
        <v>215</v>
      </c>
      <c r="E28">
        <v>27</v>
      </c>
      <c r="F28">
        <v>3.24</v>
      </c>
      <c r="G28">
        <v>27</v>
      </c>
      <c r="H28" s="169" t="s">
        <v>215</v>
      </c>
    </row>
    <row r="29" spans="1:12" x14ac:dyDescent="0.15">
      <c r="A29" s="36" t="s">
        <v>44</v>
      </c>
      <c r="B29" s="44">
        <v>5</v>
      </c>
      <c r="D29" s="168" t="s">
        <v>216</v>
      </c>
      <c r="E29">
        <v>28</v>
      </c>
      <c r="F29">
        <v>3.14</v>
      </c>
      <c r="G29">
        <v>28</v>
      </c>
      <c r="H29" s="169" t="s">
        <v>216</v>
      </c>
    </row>
    <row r="30" spans="1:12" x14ac:dyDescent="0.15">
      <c r="A30" s="36" t="s">
        <v>73</v>
      </c>
      <c r="B30" s="44">
        <v>7</v>
      </c>
      <c r="D30" s="168" t="s">
        <v>217</v>
      </c>
      <c r="E30">
        <v>29</v>
      </c>
      <c r="F30">
        <v>3.24</v>
      </c>
      <c r="G30">
        <v>29</v>
      </c>
      <c r="H30" s="169" t="s">
        <v>217</v>
      </c>
    </row>
    <row r="31" spans="1:12" x14ac:dyDescent="0.15">
      <c r="A31" s="36" t="s">
        <v>169</v>
      </c>
      <c r="B31" s="44">
        <v>3.14</v>
      </c>
      <c r="D31" s="168" t="s">
        <v>218</v>
      </c>
      <c r="E31">
        <v>30</v>
      </c>
      <c r="F31">
        <v>3.14</v>
      </c>
      <c r="G31">
        <v>30</v>
      </c>
      <c r="H31" s="169" t="s">
        <v>218</v>
      </c>
    </row>
    <row r="32" spans="1:12" ht="12" customHeight="1" thickBot="1" x14ac:dyDescent="0.2">
      <c r="A32" s="42" t="s">
        <v>170</v>
      </c>
      <c r="B32" s="45">
        <v>9</v>
      </c>
      <c r="D32" s="168" t="s">
        <v>219</v>
      </c>
      <c r="E32">
        <v>31</v>
      </c>
      <c r="F32">
        <v>3.14</v>
      </c>
      <c r="G32">
        <v>31</v>
      </c>
      <c r="H32" s="169" t="s">
        <v>219</v>
      </c>
    </row>
    <row r="33" spans="4:8" customFormat="1" ht="12" customHeight="1" x14ac:dyDescent="0.15">
      <c r="D33" s="168" t="s">
        <v>220</v>
      </c>
      <c r="E33">
        <v>32</v>
      </c>
      <c r="F33">
        <v>3.14</v>
      </c>
      <c r="G33">
        <v>32</v>
      </c>
      <c r="H33" s="169" t="s">
        <v>220</v>
      </c>
    </row>
    <row r="34" spans="4:8" customFormat="1" ht="12" customHeight="1" x14ac:dyDescent="0.15">
      <c r="D34" s="168" t="s">
        <v>221</v>
      </c>
      <c r="E34">
        <v>33</v>
      </c>
      <c r="F34">
        <v>3.14</v>
      </c>
      <c r="G34">
        <v>33</v>
      </c>
      <c r="H34" s="169" t="s">
        <v>221</v>
      </c>
    </row>
    <row r="35" spans="4:8" customFormat="1" x14ac:dyDescent="0.15">
      <c r="D35" s="168" t="s">
        <v>222</v>
      </c>
      <c r="E35">
        <v>34</v>
      </c>
      <c r="F35">
        <v>3.14</v>
      </c>
      <c r="G35">
        <v>34</v>
      </c>
      <c r="H35" s="169" t="s">
        <v>222</v>
      </c>
    </row>
    <row r="36" spans="4:8" customFormat="1" x14ac:dyDescent="0.15">
      <c r="D36" s="168" t="s">
        <v>223</v>
      </c>
      <c r="E36">
        <v>35</v>
      </c>
      <c r="F36">
        <v>3.14</v>
      </c>
      <c r="G36">
        <v>35</v>
      </c>
      <c r="H36" s="169" t="s">
        <v>223</v>
      </c>
    </row>
    <row r="37" spans="4:8" customFormat="1" ht="12" customHeight="1" x14ac:dyDescent="0.15">
      <c r="D37" s="168" t="s">
        <v>224</v>
      </c>
      <c r="E37">
        <v>36</v>
      </c>
      <c r="F37">
        <v>3.14</v>
      </c>
      <c r="G37">
        <v>36</v>
      </c>
      <c r="H37" s="169" t="s">
        <v>224</v>
      </c>
    </row>
    <row r="38" spans="4:8" customFormat="1" x14ac:dyDescent="0.15">
      <c r="D38" s="168" t="s">
        <v>225</v>
      </c>
      <c r="E38">
        <v>37</v>
      </c>
      <c r="F38">
        <v>3.14</v>
      </c>
      <c r="G38">
        <v>37</v>
      </c>
      <c r="H38" s="169" t="s">
        <v>225</v>
      </c>
    </row>
    <row r="39" spans="4:8" customFormat="1" x14ac:dyDescent="0.15">
      <c r="D39" s="168" t="s">
        <v>226</v>
      </c>
      <c r="E39">
        <v>38</v>
      </c>
      <c r="F39">
        <v>3.14</v>
      </c>
      <c r="G39">
        <v>38</v>
      </c>
      <c r="H39" s="169" t="s">
        <v>226</v>
      </c>
    </row>
    <row r="40" spans="4:8" customFormat="1" x14ac:dyDescent="0.15">
      <c r="D40" s="168" t="s">
        <v>227</v>
      </c>
      <c r="E40">
        <v>39</v>
      </c>
      <c r="F40">
        <v>3.15</v>
      </c>
      <c r="G40">
        <v>39</v>
      </c>
      <c r="H40" s="169" t="s">
        <v>227</v>
      </c>
    </row>
    <row r="41" spans="4:8" customFormat="1" x14ac:dyDescent="0.15">
      <c r="D41" s="168" t="s">
        <v>228</v>
      </c>
      <c r="E41">
        <v>40</v>
      </c>
      <c r="F41">
        <v>3.16</v>
      </c>
      <c r="G41">
        <v>40</v>
      </c>
      <c r="H41" s="169" t="s">
        <v>228</v>
      </c>
    </row>
    <row r="42" spans="4:8" customFormat="1" x14ac:dyDescent="0.15">
      <c r="D42" s="168" t="s">
        <v>229</v>
      </c>
      <c r="E42">
        <v>41</v>
      </c>
      <c r="F42">
        <v>3.16</v>
      </c>
      <c r="G42">
        <v>41</v>
      </c>
      <c r="H42" s="169" t="s">
        <v>229</v>
      </c>
    </row>
    <row r="43" spans="4:8" customFormat="1" x14ac:dyDescent="0.15">
      <c r="D43" s="168" t="s">
        <v>230</v>
      </c>
      <c r="E43">
        <v>42</v>
      </c>
      <c r="F43">
        <v>4.0999999999999996</v>
      </c>
      <c r="G43">
        <v>42</v>
      </c>
      <c r="H43" s="169" t="s">
        <v>230</v>
      </c>
    </row>
    <row r="44" spans="4:8" customFormat="1" x14ac:dyDescent="0.15">
      <c r="D44" s="168" t="s">
        <v>231</v>
      </c>
      <c r="E44">
        <v>43</v>
      </c>
      <c r="F44">
        <v>4.22</v>
      </c>
      <c r="G44">
        <v>43</v>
      </c>
      <c r="H44" s="169" t="s">
        <v>231</v>
      </c>
    </row>
    <row r="45" spans="4:8" customFormat="1" x14ac:dyDescent="0.15">
      <c r="D45" s="168" t="s">
        <v>232</v>
      </c>
      <c r="E45">
        <v>44</v>
      </c>
      <c r="F45">
        <v>4.3</v>
      </c>
      <c r="G45">
        <v>44</v>
      </c>
      <c r="H45" s="169" t="s">
        <v>232</v>
      </c>
    </row>
    <row r="46" spans="4:8" customFormat="1" x14ac:dyDescent="0.15">
      <c r="D46" s="168" t="s">
        <v>233</v>
      </c>
      <c r="E46">
        <v>45</v>
      </c>
      <c r="F46">
        <v>5</v>
      </c>
      <c r="G46">
        <v>45</v>
      </c>
      <c r="H46" s="169" t="s">
        <v>233</v>
      </c>
    </row>
    <row r="47" spans="4:8" customFormat="1" x14ac:dyDescent="0.15">
      <c r="D47" s="168" t="s">
        <v>234</v>
      </c>
      <c r="E47">
        <v>46</v>
      </c>
      <c r="F47">
        <v>5</v>
      </c>
      <c r="G47">
        <v>46</v>
      </c>
      <c r="H47" s="169" t="s">
        <v>234</v>
      </c>
    </row>
    <row r="48" spans="4:8" customFormat="1" x14ac:dyDescent="0.15">
      <c r="D48" s="168" t="s">
        <v>235</v>
      </c>
      <c r="E48">
        <v>47</v>
      </c>
      <c r="F48">
        <v>5</v>
      </c>
      <c r="G48">
        <v>47</v>
      </c>
      <c r="H48" s="169" t="s">
        <v>235</v>
      </c>
    </row>
    <row r="49" spans="4:8" customFormat="1" x14ac:dyDescent="0.15">
      <c r="D49" s="168" t="s">
        <v>236</v>
      </c>
      <c r="E49">
        <v>48</v>
      </c>
      <c r="F49">
        <v>5</v>
      </c>
      <c r="G49">
        <v>48</v>
      </c>
      <c r="H49" s="169" t="s">
        <v>236</v>
      </c>
    </row>
    <row r="50" spans="4:8" customFormat="1" ht="12" customHeight="1" x14ac:dyDescent="0.15">
      <c r="D50" s="168" t="s">
        <v>237</v>
      </c>
      <c r="E50">
        <v>49</v>
      </c>
      <c r="F50">
        <v>5</v>
      </c>
      <c r="G50">
        <v>49</v>
      </c>
      <c r="H50" s="169" t="s">
        <v>237</v>
      </c>
    </row>
    <row r="51" spans="4:8" customFormat="1" x14ac:dyDescent="0.15">
      <c r="D51" s="168" t="s">
        <v>138</v>
      </c>
      <c r="E51">
        <v>50</v>
      </c>
      <c r="F51">
        <v>6.1</v>
      </c>
      <c r="G51">
        <v>50</v>
      </c>
      <c r="H51" s="169" t="s">
        <v>138</v>
      </c>
    </row>
    <row r="52" spans="4:8" customFormat="1" ht="12" customHeight="1" x14ac:dyDescent="0.15">
      <c r="D52" s="168" t="s">
        <v>45</v>
      </c>
      <c r="E52">
        <v>51</v>
      </c>
      <c r="F52">
        <v>6.2</v>
      </c>
      <c r="G52">
        <v>51</v>
      </c>
      <c r="H52" s="169" t="s">
        <v>45</v>
      </c>
    </row>
    <row r="53" spans="4:8" customFormat="1" x14ac:dyDescent="0.15"/>
    <row r="54" spans="4:8" customFormat="1" ht="12" customHeight="1" x14ac:dyDescent="0.15"/>
    <row r="55" spans="4:8" customFormat="1" ht="12" customHeight="1" x14ac:dyDescent="0.15"/>
    <row r="56" spans="4:8" customFormat="1" x14ac:dyDescent="0.15"/>
    <row r="57" spans="4:8" customFormat="1" x14ac:dyDescent="0.15"/>
    <row r="58" spans="4:8" customFormat="1" x14ac:dyDescent="0.15"/>
    <row r="59" spans="4:8" customFormat="1" x14ac:dyDescent="0.15"/>
    <row r="60" spans="4:8" customFormat="1" x14ac:dyDescent="0.15"/>
    <row r="61" spans="4:8" customFormat="1" x14ac:dyDescent="0.15"/>
    <row r="62" spans="4:8" customFormat="1" x14ac:dyDescent="0.15"/>
    <row r="63" spans="4:8" customFormat="1" x14ac:dyDescent="0.15"/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6" bestFit="1" customWidth="1"/>
    <col min="2" max="2" width="5.83203125" style="85" customWidth="1"/>
    <col min="3" max="3" width="10.83203125" style="85" customWidth="1"/>
    <col min="4" max="4" width="39.6640625" style="85" customWidth="1"/>
    <col min="5" max="5" width="8.1640625" style="85" customWidth="1"/>
    <col min="6" max="6" width="25.5" style="85" bestFit="1" customWidth="1"/>
    <col min="7" max="9" width="2.33203125" style="85" customWidth="1"/>
    <col min="10" max="10" width="2.33203125" style="85" bestFit="1" customWidth="1"/>
    <col min="11" max="15" width="2.33203125" style="85" customWidth="1"/>
    <col min="16" max="16" width="2.33203125" style="73" customWidth="1"/>
    <col min="17" max="17" width="2.33203125" style="85" customWidth="1"/>
    <col min="18" max="18" width="2.33203125" style="74" customWidth="1"/>
    <col min="19" max="16384" width="11.5" style="85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7" t="s">
        <v>48</v>
      </c>
      <c r="L1" s="74"/>
      <c r="M1" s="87" t="s">
        <v>119</v>
      </c>
      <c r="N1" s="74"/>
      <c r="O1" s="87" t="s">
        <v>49</v>
      </c>
      <c r="P1" s="77"/>
      <c r="Q1" s="87" t="s">
        <v>50</v>
      </c>
      <c r="R1" s="71" t="s">
        <v>154</v>
      </c>
    </row>
    <row r="2" spans="1:23" ht="15" customHeight="1" x14ac:dyDescent="0.15">
      <c r="A2" s="87" t="s">
        <v>51</v>
      </c>
      <c r="B2" s="88">
        <v>0.5</v>
      </c>
      <c r="C2" s="86" t="s">
        <v>52</v>
      </c>
      <c r="D2" s="89"/>
      <c r="F2" s="1"/>
      <c r="G2" s="90"/>
      <c r="H2" s="90"/>
      <c r="I2" s="90" t="s">
        <v>133</v>
      </c>
      <c r="J2" s="90" t="s">
        <v>133</v>
      </c>
      <c r="K2" s="90" t="s">
        <v>52</v>
      </c>
      <c r="L2" s="90" t="s">
        <v>53</v>
      </c>
      <c r="M2" s="90" t="s">
        <v>52</v>
      </c>
      <c r="N2" s="90" t="s">
        <v>53</v>
      </c>
      <c r="O2" s="90" t="s">
        <v>52</v>
      </c>
      <c r="P2" s="91" t="s">
        <v>53</v>
      </c>
      <c r="Q2" s="90"/>
      <c r="R2" s="92" t="s">
        <v>155</v>
      </c>
    </row>
    <row r="3" spans="1:23" ht="15" customHeight="1" thickBot="1" x14ac:dyDescent="0.2">
      <c r="A3" s="87" t="s">
        <v>54</v>
      </c>
      <c r="B3" s="93">
        <v>0.5</v>
      </c>
      <c r="C3" s="86" t="s">
        <v>53</v>
      </c>
      <c r="D3" s="89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2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2">
        <v>0</v>
      </c>
      <c r="R4" s="114">
        <v>0</v>
      </c>
    </row>
    <row r="5" spans="1:23" ht="15" customHeight="1" x14ac:dyDescent="0.15">
      <c r="A5" s="87" t="s">
        <v>55</v>
      </c>
      <c r="B5" s="94">
        <v>0.5</v>
      </c>
      <c r="C5" s="86" t="s">
        <v>52</v>
      </c>
      <c r="D5" s="89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2">
        <v>0</v>
      </c>
      <c r="R5" s="114">
        <v>0</v>
      </c>
    </row>
    <row r="6" spans="1:23" ht="15" customHeight="1" thickBot="1" x14ac:dyDescent="0.2">
      <c r="A6" s="87"/>
      <c r="B6" s="95">
        <v>0.5</v>
      </c>
      <c r="C6" s="86" t="s">
        <v>53</v>
      </c>
      <c r="D6" s="89"/>
      <c r="F6" s="170" t="s">
        <v>192</v>
      </c>
      <c r="G6" s="85">
        <v>0</v>
      </c>
      <c r="H6" s="85">
        <v>0</v>
      </c>
      <c r="I6" s="85">
        <v>0</v>
      </c>
      <c r="J6" s="85">
        <v>0</v>
      </c>
      <c r="K6" s="85">
        <v>0</v>
      </c>
      <c r="L6" s="85">
        <v>0</v>
      </c>
      <c r="M6" s="85">
        <v>1</v>
      </c>
      <c r="N6" s="85">
        <v>0</v>
      </c>
      <c r="O6" s="85">
        <v>0</v>
      </c>
      <c r="P6" s="73">
        <v>0</v>
      </c>
      <c r="Q6" s="85">
        <v>0</v>
      </c>
      <c r="R6" s="74">
        <v>1</v>
      </c>
      <c r="S6"/>
      <c r="T6"/>
    </row>
    <row r="7" spans="1:23" ht="15" customHeight="1" thickBot="1" x14ac:dyDescent="0.2">
      <c r="F7" s="170" t="s">
        <v>193</v>
      </c>
      <c r="G7" s="85">
        <v>0</v>
      </c>
      <c r="H7" s="85">
        <v>0</v>
      </c>
      <c r="I7" s="85">
        <v>0</v>
      </c>
      <c r="J7" s="85">
        <v>0</v>
      </c>
      <c r="K7" s="85">
        <v>1</v>
      </c>
      <c r="L7" s="85">
        <v>0</v>
      </c>
      <c r="M7" s="85">
        <v>1</v>
      </c>
      <c r="N7" s="85">
        <v>0</v>
      </c>
      <c r="O7" s="85">
        <v>1</v>
      </c>
      <c r="P7" s="73">
        <v>0</v>
      </c>
      <c r="Q7" s="85">
        <v>0</v>
      </c>
      <c r="R7" s="74">
        <v>1</v>
      </c>
      <c r="S7"/>
      <c r="T7"/>
    </row>
    <row r="8" spans="1:23" ht="15" customHeight="1" x14ac:dyDescent="0.15">
      <c r="A8" s="87" t="s">
        <v>56</v>
      </c>
      <c r="B8" s="94">
        <v>1</v>
      </c>
      <c r="C8" s="171" t="s">
        <v>192</v>
      </c>
      <c r="D8" s="89" t="s">
        <v>160</v>
      </c>
      <c r="F8" s="170" t="s">
        <v>194</v>
      </c>
      <c r="G8" s="85">
        <v>0</v>
      </c>
      <c r="H8" s="85">
        <v>0</v>
      </c>
      <c r="I8" s="85">
        <v>0</v>
      </c>
      <c r="J8" s="85">
        <v>0</v>
      </c>
      <c r="K8" s="85">
        <v>1</v>
      </c>
      <c r="L8" s="85">
        <v>0</v>
      </c>
      <c r="M8" s="85">
        <v>1</v>
      </c>
      <c r="N8" s="85">
        <v>0</v>
      </c>
      <c r="O8" s="85">
        <v>1</v>
      </c>
      <c r="P8" s="73">
        <v>0</v>
      </c>
      <c r="Q8" s="85">
        <v>0</v>
      </c>
      <c r="R8" s="74">
        <v>1</v>
      </c>
      <c r="S8"/>
      <c r="T8"/>
      <c r="W8"/>
    </row>
    <row r="9" spans="1:23" ht="15" customHeight="1" x14ac:dyDescent="0.15">
      <c r="A9" s="128" t="s">
        <v>168</v>
      </c>
      <c r="B9" s="96"/>
      <c r="C9" s="84"/>
      <c r="D9" s="89" t="s">
        <v>160</v>
      </c>
      <c r="F9" s="170" t="s">
        <v>195</v>
      </c>
      <c r="G9" s="85">
        <v>0</v>
      </c>
      <c r="H9" s="85">
        <v>0</v>
      </c>
      <c r="I9" s="85">
        <v>0</v>
      </c>
      <c r="J9" s="85">
        <v>0</v>
      </c>
      <c r="K9" s="85">
        <v>1</v>
      </c>
      <c r="L9" s="85">
        <v>0</v>
      </c>
      <c r="M9" s="85">
        <v>1</v>
      </c>
      <c r="N9" s="85">
        <v>0</v>
      </c>
      <c r="O9" s="85">
        <v>1</v>
      </c>
      <c r="P9" s="73">
        <v>0</v>
      </c>
      <c r="Q9" s="85">
        <v>0</v>
      </c>
      <c r="R9" s="74">
        <v>1</v>
      </c>
      <c r="S9"/>
      <c r="T9"/>
      <c r="W9"/>
    </row>
    <row r="10" spans="1:23" ht="15" customHeight="1" x14ac:dyDescent="0.15">
      <c r="B10" s="96"/>
      <c r="C10" s="84"/>
      <c r="D10" s="89" t="s">
        <v>160</v>
      </c>
      <c r="F10" s="170" t="s">
        <v>196</v>
      </c>
      <c r="G10" s="85">
        <v>0</v>
      </c>
      <c r="H10" s="85">
        <v>0</v>
      </c>
      <c r="I10" s="85">
        <v>0</v>
      </c>
      <c r="J10" s="85">
        <v>0</v>
      </c>
      <c r="K10" s="85">
        <v>1</v>
      </c>
      <c r="L10" s="85">
        <v>0</v>
      </c>
      <c r="M10" s="85">
        <v>1</v>
      </c>
      <c r="N10" s="85">
        <v>0</v>
      </c>
      <c r="O10" s="85">
        <v>1</v>
      </c>
      <c r="P10" s="73">
        <v>0</v>
      </c>
      <c r="Q10" s="85">
        <v>0</v>
      </c>
      <c r="R10" s="74">
        <v>1</v>
      </c>
      <c r="S10"/>
      <c r="T10"/>
      <c r="W10"/>
    </row>
    <row r="11" spans="1:23" ht="15" customHeight="1" x14ac:dyDescent="0.15">
      <c r="A11" s="87"/>
      <c r="B11" s="96"/>
      <c r="C11" s="99"/>
      <c r="D11" s="89" t="s">
        <v>160</v>
      </c>
      <c r="F11" s="170" t="s">
        <v>197</v>
      </c>
      <c r="G11" s="85">
        <v>0</v>
      </c>
      <c r="H11" s="85">
        <v>0</v>
      </c>
      <c r="I11" s="85">
        <v>0</v>
      </c>
      <c r="J11" s="85">
        <v>0</v>
      </c>
      <c r="K11" s="85">
        <v>1</v>
      </c>
      <c r="L11" s="85">
        <v>0</v>
      </c>
      <c r="M11" s="85">
        <v>1</v>
      </c>
      <c r="N11" s="85">
        <v>0</v>
      </c>
      <c r="O11" s="85">
        <v>1</v>
      </c>
      <c r="P11" s="73">
        <v>0</v>
      </c>
      <c r="Q11" s="85">
        <v>0</v>
      </c>
      <c r="R11" s="74">
        <v>1</v>
      </c>
      <c r="S11"/>
      <c r="T11"/>
      <c r="W11"/>
    </row>
    <row r="12" spans="1:23" ht="15" customHeight="1" x14ac:dyDescent="0.15">
      <c r="B12" s="96"/>
      <c r="C12" s="100"/>
      <c r="D12" s="89" t="s">
        <v>160</v>
      </c>
      <c r="F12" s="170" t="s">
        <v>198</v>
      </c>
      <c r="G12" s="85">
        <v>0</v>
      </c>
      <c r="H12" s="85">
        <v>0</v>
      </c>
      <c r="I12" s="85">
        <v>0</v>
      </c>
      <c r="J12" s="85">
        <v>0</v>
      </c>
      <c r="K12" s="85">
        <v>1</v>
      </c>
      <c r="L12" s="85">
        <v>0</v>
      </c>
      <c r="M12" s="85">
        <v>1</v>
      </c>
      <c r="N12" s="85">
        <v>0</v>
      </c>
      <c r="O12" s="85">
        <v>1</v>
      </c>
      <c r="P12" s="73">
        <v>0</v>
      </c>
      <c r="Q12" s="85">
        <v>0</v>
      </c>
      <c r="R12" s="74">
        <v>1</v>
      </c>
      <c r="S12"/>
      <c r="T12"/>
      <c r="W12"/>
    </row>
    <row r="13" spans="1:23" ht="15" customHeight="1" x14ac:dyDescent="0.15">
      <c r="B13" s="96"/>
      <c r="C13" s="100"/>
      <c r="D13" s="89" t="s">
        <v>160</v>
      </c>
      <c r="F13" s="170" t="s">
        <v>199</v>
      </c>
      <c r="G13" s="85">
        <v>0</v>
      </c>
      <c r="H13" s="85">
        <v>0</v>
      </c>
      <c r="I13" s="85">
        <v>0</v>
      </c>
      <c r="J13" s="85">
        <v>0</v>
      </c>
      <c r="K13" s="85">
        <v>1</v>
      </c>
      <c r="L13" s="85">
        <v>0</v>
      </c>
      <c r="M13" s="85">
        <v>1</v>
      </c>
      <c r="N13" s="85">
        <v>0</v>
      </c>
      <c r="O13" s="85">
        <v>1</v>
      </c>
      <c r="P13" s="73">
        <v>0</v>
      </c>
      <c r="Q13" s="85">
        <v>0</v>
      </c>
      <c r="R13" s="74">
        <v>1</v>
      </c>
      <c r="S13"/>
      <c r="T13"/>
      <c r="W13"/>
    </row>
    <row r="14" spans="1:23" ht="15" customHeight="1" x14ac:dyDescent="0.15">
      <c r="B14" s="96"/>
      <c r="C14" s="84"/>
      <c r="D14" s="89" t="s">
        <v>160</v>
      </c>
      <c r="F14" s="170" t="s">
        <v>200</v>
      </c>
      <c r="G14" s="85">
        <v>0</v>
      </c>
      <c r="H14" s="85">
        <v>0</v>
      </c>
      <c r="I14" s="85">
        <v>0</v>
      </c>
      <c r="J14" s="85">
        <v>0</v>
      </c>
      <c r="K14" s="85">
        <v>1</v>
      </c>
      <c r="L14" s="85">
        <v>0</v>
      </c>
      <c r="M14" s="85">
        <v>1</v>
      </c>
      <c r="N14" s="85">
        <v>0</v>
      </c>
      <c r="O14" s="85">
        <v>1</v>
      </c>
      <c r="P14" s="73">
        <v>0</v>
      </c>
      <c r="Q14" s="85">
        <v>0</v>
      </c>
      <c r="R14" s="74">
        <v>1</v>
      </c>
      <c r="S14"/>
      <c r="T14"/>
      <c r="W14"/>
    </row>
    <row r="15" spans="1:23" ht="15" customHeight="1" x14ac:dyDescent="0.15">
      <c r="B15" s="96"/>
      <c r="C15" s="84"/>
      <c r="D15" s="89" t="s">
        <v>160</v>
      </c>
      <c r="F15" s="170" t="s">
        <v>201</v>
      </c>
      <c r="G15" s="85">
        <v>0</v>
      </c>
      <c r="H15" s="85">
        <v>0</v>
      </c>
      <c r="I15" s="85">
        <v>0</v>
      </c>
      <c r="J15" s="85">
        <v>0</v>
      </c>
      <c r="K15" s="85">
        <v>1</v>
      </c>
      <c r="L15" s="85">
        <v>0</v>
      </c>
      <c r="M15" s="85">
        <v>1</v>
      </c>
      <c r="N15" s="85">
        <v>0</v>
      </c>
      <c r="O15" s="85">
        <v>1</v>
      </c>
      <c r="P15" s="73">
        <v>0</v>
      </c>
      <c r="Q15" s="85">
        <v>0</v>
      </c>
      <c r="R15" s="74">
        <v>1</v>
      </c>
      <c r="S15"/>
      <c r="T15"/>
      <c r="W15"/>
    </row>
    <row r="16" spans="1:23" ht="15" customHeight="1" x14ac:dyDescent="0.15">
      <c r="B16" s="96"/>
      <c r="C16" s="84"/>
      <c r="D16" s="89" t="s">
        <v>160</v>
      </c>
      <c r="F16" s="170" t="s">
        <v>202</v>
      </c>
      <c r="G16" s="85">
        <v>0</v>
      </c>
      <c r="H16" s="85">
        <v>0</v>
      </c>
      <c r="I16" s="85">
        <v>0</v>
      </c>
      <c r="J16" s="85">
        <v>0</v>
      </c>
      <c r="K16" s="85">
        <v>1</v>
      </c>
      <c r="L16" s="85">
        <v>0</v>
      </c>
      <c r="M16" s="85">
        <v>1</v>
      </c>
      <c r="N16" s="85">
        <v>0</v>
      </c>
      <c r="O16" s="85">
        <v>1</v>
      </c>
      <c r="P16" s="73">
        <v>0</v>
      </c>
      <c r="Q16" s="85">
        <v>0</v>
      </c>
      <c r="R16" s="74">
        <v>1</v>
      </c>
      <c r="S16"/>
      <c r="T16"/>
    </row>
    <row r="17" spans="1:20" ht="15" customHeight="1" thickBot="1" x14ac:dyDescent="0.2">
      <c r="B17" s="95"/>
      <c r="C17" s="84"/>
      <c r="D17" s="89" t="s">
        <v>160</v>
      </c>
      <c r="F17" s="170" t="s">
        <v>203</v>
      </c>
      <c r="G17" s="85">
        <v>0</v>
      </c>
      <c r="H17" s="85">
        <v>0</v>
      </c>
      <c r="I17" s="85">
        <v>0</v>
      </c>
      <c r="J17" s="85">
        <v>0</v>
      </c>
      <c r="K17" s="85">
        <v>1</v>
      </c>
      <c r="L17" s="85">
        <v>0</v>
      </c>
      <c r="M17" s="85">
        <v>1</v>
      </c>
      <c r="N17" s="85">
        <v>0</v>
      </c>
      <c r="O17" s="85">
        <v>1</v>
      </c>
      <c r="P17" s="73">
        <v>0</v>
      </c>
      <c r="Q17" s="85">
        <v>0</v>
      </c>
      <c r="R17" s="74">
        <v>1</v>
      </c>
      <c r="S17"/>
      <c r="T17"/>
    </row>
    <row r="18" spans="1:20" ht="15" customHeight="1" thickBot="1" x14ac:dyDescent="0.2">
      <c r="B18" s="97"/>
      <c r="F18" s="170" t="s">
        <v>204</v>
      </c>
      <c r="G18" s="85">
        <v>0</v>
      </c>
      <c r="H18" s="85">
        <v>0</v>
      </c>
      <c r="I18" s="85">
        <v>0</v>
      </c>
      <c r="J18" s="85">
        <v>0</v>
      </c>
      <c r="K18" s="85">
        <v>1</v>
      </c>
      <c r="L18" s="85">
        <v>0</v>
      </c>
      <c r="M18" s="85">
        <v>1</v>
      </c>
      <c r="N18" s="85">
        <v>0</v>
      </c>
      <c r="O18" s="85">
        <v>1</v>
      </c>
      <c r="P18" s="73">
        <v>0</v>
      </c>
      <c r="Q18" s="85">
        <v>0</v>
      </c>
      <c r="R18" s="74">
        <v>1</v>
      </c>
      <c r="S18"/>
      <c r="T18"/>
    </row>
    <row r="19" spans="1:20" ht="15" customHeight="1" x14ac:dyDescent="0.15">
      <c r="A19" s="87" t="s">
        <v>57</v>
      </c>
      <c r="B19" s="94">
        <v>1</v>
      </c>
      <c r="C19" s="172" t="s">
        <v>192</v>
      </c>
      <c r="D19" s="89" t="s">
        <v>160</v>
      </c>
      <c r="F19" s="170" t="s">
        <v>205</v>
      </c>
      <c r="G19" s="85">
        <v>0</v>
      </c>
      <c r="H19" s="85">
        <v>0</v>
      </c>
      <c r="I19" s="85">
        <v>0</v>
      </c>
      <c r="J19" s="85">
        <v>0</v>
      </c>
      <c r="K19" s="85">
        <v>1</v>
      </c>
      <c r="L19" s="85">
        <v>0</v>
      </c>
      <c r="M19" s="85">
        <v>1</v>
      </c>
      <c r="N19" s="85">
        <v>0</v>
      </c>
      <c r="O19" s="85">
        <v>1</v>
      </c>
      <c r="P19" s="73">
        <v>0</v>
      </c>
      <c r="Q19" s="85">
        <v>0</v>
      </c>
      <c r="R19" s="74">
        <v>1</v>
      </c>
      <c r="S19"/>
      <c r="T19"/>
    </row>
    <row r="20" spans="1:20" ht="15" customHeight="1" x14ac:dyDescent="0.15">
      <c r="A20" s="128" t="s">
        <v>168</v>
      </c>
      <c r="B20" s="96"/>
      <c r="C20" s="84"/>
      <c r="D20" s="89" t="s">
        <v>160</v>
      </c>
      <c r="F20" s="170" t="s">
        <v>206</v>
      </c>
      <c r="G20" s="85">
        <v>0</v>
      </c>
      <c r="H20" s="85">
        <v>0</v>
      </c>
      <c r="I20" s="85">
        <v>0</v>
      </c>
      <c r="J20" s="85">
        <v>0</v>
      </c>
      <c r="K20" s="85">
        <v>1</v>
      </c>
      <c r="L20" s="85">
        <v>0</v>
      </c>
      <c r="M20" s="85">
        <v>1</v>
      </c>
      <c r="N20" s="85">
        <v>0</v>
      </c>
      <c r="O20" s="85">
        <v>1</v>
      </c>
      <c r="P20" s="73">
        <v>0</v>
      </c>
      <c r="Q20" s="85">
        <v>0</v>
      </c>
      <c r="R20" s="74">
        <v>1</v>
      </c>
      <c r="S20"/>
      <c r="T20"/>
    </row>
    <row r="21" spans="1:20" ht="15" customHeight="1" x14ac:dyDescent="0.15">
      <c r="B21" s="96"/>
      <c r="C21" s="84"/>
      <c r="D21" s="89" t="s">
        <v>160</v>
      </c>
      <c r="F21" s="170" t="s">
        <v>207</v>
      </c>
      <c r="G21" s="85">
        <v>0</v>
      </c>
      <c r="H21" s="85">
        <v>0</v>
      </c>
      <c r="I21" s="85">
        <v>0</v>
      </c>
      <c r="J21" s="85">
        <v>0</v>
      </c>
      <c r="K21" s="85">
        <v>1</v>
      </c>
      <c r="L21" s="85">
        <v>0</v>
      </c>
      <c r="M21" s="85">
        <v>1</v>
      </c>
      <c r="N21" s="85">
        <v>0</v>
      </c>
      <c r="O21" s="85">
        <v>1</v>
      </c>
      <c r="P21" s="73">
        <v>0</v>
      </c>
      <c r="Q21" s="85">
        <v>0</v>
      </c>
      <c r="R21" s="74">
        <v>1</v>
      </c>
      <c r="S21"/>
      <c r="T21"/>
    </row>
    <row r="22" spans="1:20" ht="15" customHeight="1" x14ac:dyDescent="0.15">
      <c r="A22" s="85"/>
      <c r="B22" s="96"/>
      <c r="C22" s="99"/>
      <c r="D22" s="89" t="s">
        <v>160</v>
      </c>
      <c r="F22" s="170" t="s">
        <v>208</v>
      </c>
      <c r="G22" s="85">
        <v>0</v>
      </c>
      <c r="H22" s="85">
        <v>0</v>
      </c>
      <c r="I22" s="85">
        <v>0</v>
      </c>
      <c r="J22" s="85">
        <v>0</v>
      </c>
      <c r="K22" s="85">
        <v>1</v>
      </c>
      <c r="L22" s="85">
        <v>0</v>
      </c>
      <c r="M22" s="85">
        <v>1</v>
      </c>
      <c r="N22" s="85">
        <v>0</v>
      </c>
      <c r="O22" s="85">
        <v>1</v>
      </c>
      <c r="P22" s="73">
        <v>0</v>
      </c>
      <c r="Q22" s="85">
        <v>0</v>
      </c>
      <c r="R22" s="74">
        <v>1</v>
      </c>
      <c r="S22"/>
      <c r="T22"/>
    </row>
    <row r="23" spans="1:20" ht="15" customHeight="1" x14ac:dyDescent="0.15">
      <c r="A23" s="85"/>
      <c r="B23" s="96"/>
      <c r="C23" s="100"/>
      <c r="D23" s="89" t="s">
        <v>160</v>
      </c>
      <c r="F23" s="170" t="s">
        <v>209</v>
      </c>
      <c r="G23" s="85">
        <v>0</v>
      </c>
      <c r="H23" s="85">
        <v>0</v>
      </c>
      <c r="I23" s="85">
        <v>0</v>
      </c>
      <c r="J23" s="85">
        <v>0</v>
      </c>
      <c r="K23" s="85">
        <v>1</v>
      </c>
      <c r="L23" s="85">
        <v>0</v>
      </c>
      <c r="M23" s="85">
        <v>1</v>
      </c>
      <c r="N23" s="85">
        <v>0</v>
      </c>
      <c r="O23" s="85">
        <v>1</v>
      </c>
      <c r="P23" s="73">
        <v>0</v>
      </c>
      <c r="Q23" s="85">
        <v>0</v>
      </c>
      <c r="R23" s="74">
        <v>1</v>
      </c>
      <c r="S23"/>
      <c r="T23"/>
    </row>
    <row r="24" spans="1:20" ht="15" customHeight="1" x14ac:dyDescent="0.15">
      <c r="A24" s="85"/>
      <c r="B24" s="96"/>
      <c r="C24" s="100"/>
      <c r="D24" s="89" t="s">
        <v>160</v>
      </c>
      <c r="F24" s="170" t="s">
        <v>210</v>
      </c>
      <c r="G24" s="85">
        <v>0</v>
      </c>
      <c r="H24" s="85">
        <v>0</v>
      </c>
      <c r="I24" s="85">
        <v>0</v>
      </c>
      <c r="J24" s="85">
        <v>0</v>
      </c>
      <c r="K24" s="85">
        <v>1</v>
      </c>
      <c r="L24" s="85">
        <v>0</v>
      </c>
      <c r="M24" s="85">
        <v>1</v>
      </c>
      <c r="N24" s="85">
        <v>0</v>
      </c>
      <c r="O24" s="85">
        <v>1</v>
      </c>
      <c r="P24" s="73">
        <v>0</v>
      </c>
      <c r="Q24" s="85">
        <v>0</v>
      </c>
      <c r="R24" s="74">
        <v>1</v>
      </c>
      <c r="S24"/>
      <c r="T24"/>
    </row>
    <row r="25" spans="1:20" ht="15" customHeight="1" x14ac:dyDescent="0.15">
      <c r="A25" s="85"/>
      <c r="B25" s="96"/>
      <c r="C25" s="84"/>
      <c r="D25" s="89" t="s">
        <v>160</v>
      </c>
      <c r="F25" s="170" t="s">
        <v>211</v>
      </c>
      <c r="G25" s="85">
        <v>0</v>
      </c>
      <c r="H25" s="85">
        <v>0</v>
      </c>
      <c r="I25" s="85">
        <v>0</v>
      </c>
      <c r="J25" s="85">
        <v>0</v>
      </c>
      <c r="K25" s="85">
        <v>1</v>
      </c>
      <c r="L25" s="85">
        <v>0</v>
      </c>
      <c r="M25" s="85">
        <v>1</v>
      </c>
      <c r="N25" s="85">
        <v>0</v>
      </c>
      <c r="O25" s="85">
        <v>1</v>
      </c>
      <c r="P25" s="73">
        <v>0</v>
      </c>
      <c r="Q25" s="85">
        <v>0</v>
      </c>
      <c r="R25" s="74">
        <v>1</v>
      </c>
      <c r="S25"/>
      <c r="T25"/>
    </row>
    <row r="26" spans="1:20" ht="15" customHeight="1" x14ac:dyDescent="0.15">
      <c r="B26" s="96"/>
      <c r="C26" s="84"/>
      <c r="D26" s="89" t="s">
        <v>160</v>
      </c>
      <c r="F26" s="170" t="s">
        <v>212</v>
      </c>
      <c r="G26" s="85">
        <v>0</v>
      </c>
      <c r="H26" s="85">
        <v>0</v>
      </c>
      <c r="I26" s="85">
        <v>0</v>
      </c>
      <c r="J26" s="85">
        <v>0</v>
      </c>
      <c r="K26" s="85">
        <v>1</v>
      </c>
      <c r="L26" s="85">
        <v>0</v>
      </c>
      <c r="M26" s="85">
        <v>1</v>
      </c>
      <c r="N26" s="85">
        <v>0</v>
      </c>
      <c r="O26" s="85">
        <v>1</v>
      </c>
      <c r="P26" s="73">
        <v>0</v>
      </c>
      <c r="Q26" s="85">
        <v>0</v>
      </c>
      <c r="R26" s="74">
        <v>1</v>
      </c>
      <c r="S26"/>
      <c r="T26"/>
    </row>
    <row r="27" spans="1:20" ht="15" customHeight="1" x14ac:dyDescent="0.15">
      <c r="B27" s="96"/>
      <c r="C27" s="84"/>
      <c r="D27" s="89" t="s">
        <v>160</v>
      </c>
      <c r="F27" s="170" t="s">
        <v>213</v>
      </c>
      <c r="G27" s="85">
        <v>0</v>
      </c>
      <c r="H27" s="85">
        <v>0</v>
      </c>
      <c r="I27" s="85">
        <v>0</v>
      </c>
      <c r="J27" s="85">
        <v>0</v>
      </c>
      <c r="K27" s="85">
        <v>1</v>
      </c>
      <c r="L27" s="85">
        <v>0</v>
      </c>
      <c r="M27" s="85">
        <v>1</v>
      </c>
      <c r="N27" s="85">
        <v>0</v>
      </c>
      <c r="O27" s="85">
        <v>1</v>
      </c>
      <c r="P27" s="73">
        <v>0</v>
      </c>
      <c r="Q27" s="85">
        <v>0</v>
      </c>
      <c r="R27" s="74">
        <v>1</v>
      </c>
      <c r="S27"/>
      <c r="T27"/>
    </row>
    <row r="28" spans="1:20" ht="15" customHeight="1" thickBot="1" x14ac:dyDescent="0.2">
      <c r="B28" s="95"/>
      <c r="C28" s="84"/>
      <c r="D28" s="89" t="s">
        <v>160</v>
      </c>
      <c r="F28" s="170" t="s">
        <v>214</v>
      </c>
      <c r="G28" s="85">
        <v>0</v>
      </c>
      <c r="H28" s="85">
        <v>0</v>
      </c>
      <c r="I28" s="85">
        <v>0</v>
      </c>
      <c r="J28" s="85">
        <v>0</v>
      </c>
      <c r="K28" s="85">
        <v>1</v>
      </c>
      <c r="L28" s="85">
        <v>0</v>
      </c>
      <c r="M28" s="85">
        <v>1</v>
      </c>
      <c r="N28" s="85">
        <v>0</v>
      </c>
      <c r="O28" s="85">
        <v>1</v>
      </c>
      <c r="P28" s="73">
        <v>0</v>
      </c>
      <c r="Q28" s="85">
        <v>0</v>
      </c>
      <c r="R28" s="74">
        <v>1</v>
      </c>
      <c r="S28"/>
      <c r="T28"/>
    </row>
    <row r="29" spans="1:20" ht="15" customHeight="1" x14ac:dyDescent="0.15">
      <c r="F29" s="170" t="s">
        <v>215</v>
      </c>
      <c r="G29" s="85">
        <v>0</v>
      </c>
      <c r="H29" s="85">
        <v>0</v>
      </c>
      <c r="I29" s="85">
        <v>0</v>
      </c>
      <c r="J29" s="85">
        <v>0</v>
      </c>
      <c r="K29" s="85">
        <v>1</v>
      </c>
      <c r="L29" s="85">
        <v>0</v>
      </c>
      <c r="M29" s="85">
        <v>1</v>
      </c>
      <c r="N29" s="85">
        <v>0</v>
      </c>
      <c r="O29" s="85">
        <v>1</v>
      </c>
      <c r="P29" s="73">
        <v>0</v>
      </c>
      <c r="Q29" s="85">
        <v>0</v>
      </c>
      <c r="R29" s="74">
        <v>1</v>
      </c>
      <c r="S29"/>
      <c r="T29"/>
    </row>
    <row r="30" spans="1:20" ht="15" customHeight="1" x14ac:dyDescent="0.15">
      <c r="F30" s="170" t="s">
        <v>216</v>
      </c>
      <c r="G30" s="85">
        <v>0</v>
      </c>
      <c r="H30" s="85">
        <v>0</v>
      </c>
      <c r="I30" s="85">
        <v>0</v>
      </c>
      <c r="J30" s="85">
        <v>0</v>
      </c>
      <c r="K30" s="85">
        <v>1</v>
      </c>
      <c r="L30" s="85">
        <v>0</v>
      </c>
      <c r="M30" s="85">
        <v>1</v>
      </c>
      <c r="N30" s="85">
        <v>0</v>
      </c>
      <c r="O30" s="85">
        <v>1</v>
      </c>
      <c r="P30" s="73">
        <v>0</v>
      </c>
      <c r="Q30" s="85">
        <v>0</v>
      </c>
      <c r="R30" s="74">
        <v>1</v>
      </c>
      <c r="S30"/>
      <c r="T30"/>
    </row>
    <row r="31" spans="1:20" ht="15" customHeight="1" x14ac:dyDescent="0.15">
      <c r="A31" s="129"/>
      <c r="B31" s="140" t="s">
        <v>17</v>
      </c>
      <c r="C31" s="140" t="s">
        <v>1</v>
      </c>
      <c r="D31" s="140" t="s">
        <v>161</v>
      </c>
      <c r="E31" s="141" t="s">
        <v>163</v>
      </c>
      <c r="F31" s="170" t="s">
        <v>217</v>
      </c>
      <c r="G31" s="85">
        <v>0</v>
      </c>
      <c r="H31" s="85">
        <v>0</v>
      </c>
      <c r="I31" s="85">
        <v>0</v>
      </c>
      <c r="J31" s="85">
        <v>0</v>
      </c>
      <c r="K31" s="85">
        <v>1</v>
      </c>
      <c r="L31" s="85">
        <v>0</v>
      </c>
      <c r="M31" s="85">
        <v>1</v>
      </c>
      <c r="N31" s="85">
        <v>0</v>
      </c>
      <c r="O31" s="85">
        <v>1</v>
      </c>
      <c r="P31" s="73">
        <v>0</v>
      </c>
      <c r="Q31" s="85">
        <v>0</v>
      </c>
      <c r="R31" s="74">
        <v>1</v>
      </c>
      <c r="S31"/>
      <c r="T31"/>
    </row>
    <row r="32" spans="1:20" ht="15" customHeight="1" x14ac:dyDescent="0.15">
      <c r="A32" s="173" t="s">
        <v>192</v>
      </c>
      <c r="B32" s="97">
        <v>4.5650000000000004</v>
      </c>
      <c r="C32" s="97">
        <v>117.3</v>
      </c>
      <c r="D32" s="97">
        <v>535.47450000000003</v>
      </c>
      <c r="E32" s="131">
        <v>1</v>
      </c>
      <c r="F32" s="170" t="s">
        <v>218</v>
      </c>
      <c r="G32" s="85">
        <v>0</v>
      </c>
      <c r="H32" s="85">
        <v>0</v>
      </c>
      <c r="I32" s="85">
        <v>0</v>
      </c>
      <c r="J32" s="85">
        <v>0</v>
      </c>
      <c r="K32" s="85">
        <v>1</v>
      </c>
      <c r="L32" s="85">
        <v>0</v>
      </c>
      <c r="M32" s="85">
        <v>1</v>
      </c>
      <c r="N32" s="85">
        <v>0</v>
      </c>
      <c r="O32" s="85">
        <v>1</v>
      </c>
      <c r="P32" s="73">
        <v>0</v>
      </c>
      <c r="Q32" s="85">
        <v>0</v>
      </c>
      <c r="R32" s="74">
        <v>1</v>
      </c>
      <c r="S32"/>
      <c r="T32"/>
    </row>
    <row r="33" spans="1:20" ht="15" customHeight="1" x14ac:dyDescent="0.15">
      <c r="A33" s="130"/>
      <c r="B33" s="97"/>
      <c r="C33" s="97"/>
      <c r="D33" s="97"/>
      <c r="E33" s="131"/>
      <c r="F33" s="170" t="s">
        <v>219</v>
      </c>
      <c r="G33" s="85">
        <v>0</v>
      </c>
      <c r="H33" s="85">
        <v>0</v>
      </c>
      <c r="I33" s="85">
        <v>0</v>
      </c>
      <c r="J33" s="85">
        <v>0</v>
      </c>
      <c r="K33" s="85">
        <v>1</v>
      </c>
      <c r="L33" s="85">
        <v>0</v>
      </c>
      <c r="M33" s="85">
        <v>1</v>
      </c>
      <c r="N33" s="85">
        <v>0</v>
      </c>
      <c r="O33" s="85">
        <v>1</v>
      </c>
      <c r="P33" s="73">
        <v>0</v>
      </c>
      <c r="Q33" s="85">
        <v>0</v>
      </c>
      <c r="R33" s="74">
        <v>1</v>
      </c>
      <c r="S33"/>
      <c r="T33"/>
    </row>
    <row r="34" spans="1:20" ht="15" customHeight="1" x14ac:dyDescent="0.15">
      <c r="A34" s="132"/>
      <c r="B34" s="97"/>
      <c r="C34" s="97"/>
      <c r="D34" s="97"/>
      <c r="E34" s="131"/>
      <c r="F34" s="170" t="s">
        <v>220</v>
      </c>
      <c r="G34" s="85">
        <v>0</v>
      </c>
      <c r="H34" s="85">
        <v>0</v>
      </c>
      <c r="I34" s="85">
        <v>0</v>
      </c>
      <c r="J34" s="85">
        <v>0</v>
      </c>
      <c r="K34" s="85">
        <v>1</v>
      </c>
      <c r="L34" s="85">
        <v>0</v>
      </c>
      <c r="M34" s="85">
        <v>1</v>
      </c>
      <c r="N34" s="85">
        <v>0</v>
      </c>
      <c r="O34" s="85">
        <v>1</v>
      </c>
      <c r="P34" s="73">
        <v>0</v>
      </c>
      <c r="Q34" s="85">
        <v>0</v>
      </c>
      <c r="R34" s="74">
        <v>1</v>
      </c>
      <c r="S34"/>
      <c r="T34"/>
    </row>
    <row r="35" spans="1:20" ht="15" customHeight="1" x14ac:dyDescent="0.15">
      <c r="A35" s="133"/>
      <c r="B35" s="97"/>
      <c r="C35" s="97"/>
      <c r="D35" s="97"/>
      <c r="E35" s="131"/>
      <c r="F35" s="170" t="s">
        <v>221</v>
      </c>
      <c r="G35" s="85">
        <v>0</v>
      </c>
      <c r="H35" s="85">
        <v>0</v>
      </c>
      <c r="I35" s="85">
        <v>0</v>
      </c>
      <c r="J35" s="85">
        <v>0</v>
      </c>
      <c r="K35" s="85">
        <v>1</v>
      </c>
      <c r="L35" s="85">
        <v>0</v>
      </c>
      <c r="M35" s="85">
        <v>1</v>
      </c>
      <c r="N35" s="85">
        <v>0</v>
      </c>
      <c r="O35" s="85">
        <v>1</v>
      </c>
      <c r="P35" s="73">
        <v>0</v>
      </c>
      <c r="Q35" s="85">
        <v>0</v>
      </c>
      <c r="R35" s="74">
        <v>1</v>
      </c>
      <c r="S35"/>
      <c r="T35"/>
    </row>
    <row r="36" spans="1:20" ht="15" customHeight="1" x14ac:dyDescent="0.15">
      <c r="A36" s="134"/>
      <c r="B36" s="97"/>
      <c r="C36" s="97"/>
      <c r="D36" s="97"/>
      <c r="E36" s="131"/>
      <c r="F36" s="170" t="s">
        <v>222</v>
      </c>
      <c r="G36" s="85">
        <v>0</v>
      </c>
      <c r="H36" s="85">
        <v>0</v>
      </c>
      <c r="I36" s="85">
        <v>0</v>
      </c>
      <c r="J36" s="85">
        <v>0</v>
      </c>
      <c r="K36" s="85">
        <v>1</v>
      </c>
      <c r="L36" s="85">
        <v>0</v>
      </c>
      <c r="M36" s="85">
        <v>1</v>
      </c>
      <c r="N36" s="85">
        <v>0</v>
      </c>
      <c r="O36" s="85">
        <v>1</v>
      </c>
      <c r="P36" s="73">
        <v>0</v>
      </c>
      <c r="Q36" s="85">
        <v>0</v>
      </c>
      <c r="R36" s="74">
        <v>1</v>
      </c>
      <c r="S36"/>
      <c r="T36"/>
    </row>
    <row r="37" spans="1:20" ht="15" customHeight="1" x14ac:dyDescent="0.15">
      <c r="A37" s="134"/>
      <c r="B37" s="97"/>
      <c r="C37" s="97"/>
      <c r="D37" s="97"/>
      <c r="E37" s="131"/>
      <c r="F37" s="170" t="s">
        <v>223</v>
      </c>
      <c r="G37" s="85">
        <v>0</v>
      </c>
      <c r="H37" s="85">
        <v>0</v>
      </c>
      <c r="I37" s="85">
        <v>0</v>
      </c>
      <c r="J37" s="85">
        <v>0</v>
      </c>
      <c r="K37" s="85">
        <v>1</v>
      </c>
      <c r="L37" s="85">
        <v>0</v>
      </c>
      <c r="M37" s="85">
        <v>1</v>
      </c>
      <c r="N37" s="85">
        <v>0</v>
      </c>
      <c r="O37" s="85">
        <v>1</v>
      </c>
      <c r="P37" s="73">
        <v>0</v>
      </c>
      <c r="Q37" s="85">
        <v>0</v>
      </c>
      <c r="R37" s="74">
        <v>1</v>
      </c>
      <c r="S37"/>
      <c r="T37"/>
    </row>
    <row r="38" spans="1:20" ht="15" customHeight="1" x14ac:dyDescent="0.15">
      <c r="A38" s="135"/>
      <c r="B38" s="97"/>
      <c r="C38" s="97"/>
      <c r="D38" s="97"/>
      <c r="E38" s="131"/>
      <c r="F38" s="170" t="s">
        <v>224</v>
      </c>
      <c r="G38" s="85">
        <v>0</v>
      </c>
      <c r="H38" s="85">
        <v>0</v>
      </c>
      <c r="I38" s="85">
        <v>0</v>
      </c>
      <c r="J38" s="85">
        <v>0</v>
      </c>
      <c r="K38" s="85">
        <v>1</v>
      </c>
      <c r="L38" s="85">
        <v>0</v>
      </c>
      <c r="M38" s="85">
        <v>1</v>
      </c>
      <c r="N38" s="85">
        <v>0</v>
      </c>
      <c r="O38" s="85">
        <v>1</v>
      </c>
      <c r="P38" s="73">
        <v>0</v>
      </c>
      <c r="Q38" s="85">
        <v>0</v>
      </c>
      <c r="R38" s="74">
        <v>1</v>
      </c>
      <c r="S38"/>
      <c r="T38"/>
    </row>
    <row r="39" spans="1:20" ht="15" customHeight="1" x14ac:dyDescent="0.15">
      <c r="A39" s="135"/>
      <c r="B39" s="97"/>
      <c r="C39" s="97"/>
      <c r="D39" s="97"/>
      <c r="E39" s="131"/>
      <c r="F39" s="170" t="s">
        <v>225</v>
      </c>
      <c r="G39" s="85">
        <v>0</v>
      </c>
      <c r="H39" s="85">
        <v>0</v>
      </c>
      <c r="I39" s="85">
        <v>0</v>
      </c>
      <c r="J39" s="85">
        <v>0</v>
      </c>
      <c r="K39" s="85">
        <v>1</v>
      </c>
      <c r="L39" s="85">
        <v>0</v>
      </c>
      <c r="M39" s="85">
        <v>1</v>
      </c>
      <c r="N39" s="85">
        <v>0</v>
      </c>
      <c r="O39" s="85">
        <v>1</v>
      </c>
      <c r="P39" s="73">
        <v>0</v>
      </c>
      <c r="Q39" s="85">
        <v>0</v>
      </c>
      <c r="R39" s="74">
        <v>1</v>
      </c>
      <c r="S39"/>
      <c r="T39"/>
    </row>
    <row r="40" spans="1:20" ht="15" customHeight="1" x14ac:dyDescent="0.15">
      <c r="A40" s="135"/>
      <c r="B40" s="97"/>
      <c r="C40" s="97"/>
      <c r="D40" s="97"/>
      <c r="E40" s="131"/>
      <c r="F40" s="170" t="s">
        <v>226</v>
      </c>
      <c r="G40" s="85">
        <v>0</v>
      </c>
      <c r="H40" s="85">
        <v>0</v>
      </c>
      <c r="I40" s="85">
        <v>0</v>
      </c>
      <c r="J40" s="85">
        <v>0</v>
      </c>
      <c r="K40" s="85">
        <v>1</v>
      </c>
      <c r="L40" s="85">
        <v>0</v>
      </c>
      <c r="M40" s="85">
        <v>1</v>
      </c>
      <c r="N40" s="85">
        <v>0</v>
      </c>
      <c r="O40" s="85">
        <v>1</v>
      </c>
      <c r="P40" s="73">
        <v>0</v>
      </c>
      <c r="Q40" s="85">
        <v>0</v>
      </c>
      <c r="R40" s="74">
        <v>1</v>
      </c>
      <c r="S40"/>
      <c r="T40"/>
    </row>
    <row r="41" spans="1:20" ht="15" customHeight="1" thickBot="1" x14ac:dyDescent="0.2">
      <c r="A41" s="135"/>
      <c r="B41" s="97"/>
      <c r="C41" s="97"/>
      <c r="D41" s="98"/>
      <c r="E41" s="136"/>
      <c r="F41" s="170" t="s">
        <v>227</v>
      </c>
      <c r="G41" s="85">
        <v>0</v>
      </c>
      <c r="H41" s="85">
        <v>0</v>
      </c>
      <c r="I41" s="85">
        <v>0</v>
      </c>
      <c r="J41" s="85">
        <v>0</v>
      </c>
      <c r="K41" s="85">
        <v>1</v>
      </c>
      <c r="L41" s="85">
        <v>0</v>
      </c>
      <c r="M41" s="85">
        <v>1</v>
      </c>
      <c r="N41" s="85">
        <v>0</v>
      </c>
      <c r="O41" s="85">
        <v>1</v>
      </c>
      <c r="P41" s="73">
        <v>0</v>
      </c>
      <c r="Q41" s="85">
        <v>0</v>
      </c>
      <c r="R41" s="74">
        <v>1</v>
      </c>
      <c r="S41"/>
      <c r="T41"/>
    </row>
    <row r="42" spans="1:20" ht="15" customHeight="1" x14ac:dyDescent="0.15">
      <c r="A42" s="137"/>
      <c r="B42" s="138"/>
      <c r="C42" s="138" t="s">
        <v>162</v>
      </c>
      <c r="D42" s="138">
        <f>SUM(D32:D41)</f>
        <v>535.47450000000003</v>
      </c>
      <c r="E42" s="139">
        <f>SUM(E32:E41)</f>
        <v>1</v>
      </c>
      <c r="F42" s="170" t="s">
        <v>228</v>
      </c>
      <c r="G42" s="85">
        <v>0</v>
      </c>
      <c r="H42" s="85">
        <v>0</v>
      </c>
      <c r="I42" s="85">
        <v>0</v>
      </c>
      <c r="J42" s="85">
        <v>0</v>
      </c>
      <c r="K42" s="85">
        <v>1</v>
      </c>
      <c r="L42" s="85">
        <v>0</v>
      </c>
      <c r="M42" s="85">
        <v>1</v>
      </c>
      <c r="N42" s="85">
        <v>0</v>
      </c>
      <c r="O42" s="85">
        <v>1</v>
      </c>
      <c r="P42" s="73">
        <v>0</v>
      </c>
      <c r="Q42" s="85">
        <v>0</v>
      </c>
      <c r="R42" s="74">
        <v>1</v>
      </c>
      <c r="S42"/>
      <c r="T42"/>
    </row>
    <row r="43" spans="1:20" ht="15" customHeight="1" x14ac:dyDescent="0.15">
      <c r="A43" s="85"/>
      <c r="F43" s="170" t="s">
        <v>229</v>
      </c>
      <c r="G43" s="85">
        <v>0</v>
      </c>
      <c r="H43" s="85">
        <v>0</v>
      </c>
      <c r="I43" s="85">
        <v>0</v>
      </c>
      <c r="J43" s="85">
        <v>0</v>
      </c>
      <c r="K43" s="85">
        <v>1</v>
      </c>
      <c r="L43" s="85">
        <v>0</v>
      </c>
      <c r="M43" s="85">
        <v>1</v>
      </c>
      <c r="N43" s="85">
        <v>0</v>
      </c>
      <c r="O43" s="85">
        <v>1</v>
      </c>
      <c r="P43" s="73">
        <v>0</v>
      </c>
      <c r="Q43" s="85">
        <v>0</v>
      </c>
      <c r="R43" s="74">
        <v>1</v>
      </c>
      <c r="S43"/>
      <c r="T43"/>
    </row>
    <row r="44" spans="1:20" ht="15" customHeight="1" x14ac:dyDescent="0.15">
      <c r="A44" s="85"/>
      <c r="F44" s="170" t="s">
        <v>230</v>
      </c>
      <c r="G44" s="85">
        <v>0</v>
      </c>
      <c r="H44" s="85">
        <v>0</v>
      </c>
      <c r="I44" s="85">
        <v>0</v>
      </c>
      <c r="J44" s="85">
        <v>0</v>
      </c>
      <c r="K44" s="85">
        <v>0</v>
      </c>
      <c r="L44" s="85">
        <v>1</v>
      </c>
      <c r="M44" s="85">
        <v>0</v>
      </c>
      <c r="N44" s="85">
        <v>1</v>
      </c>
      <c r="O44" s="85">
        <v>0</v>
      </c>
      <c r="P44" s="73">
        <v>1</v>
      </c>
      <c r="Q44" s="85">
        <v>0</v>
      </c>
      <c r="R44" s="74">
        <v>1</v>
      </c>
    </row>
    <row r="45" spans="1:20" ht="15" customHeight="1" x14ac:dyDescent="0.15">
      <c r="A45" s="85"/>
      <c r="F45" s="170" t="s">
        <v>231</v>
      </c>
      <c r="G45" s="85">
        <v>0</v>
      </c>
      <c r="H45" s="85">
        <v>0</v>
      </c>
      <c r="I45" s="85">
        <v>0</v>
      </c>
      <c r="J45" s="85">
        <v>0</v>
      </c>
      <c r="K45" s="85">
        <v>1</v>
      </c>
      <c r="L45" s="85">
        <v>0</v>
      </c>
      <c r="M45" s="85">
        <v>1</v>
      </c>
      <c r="N45" s="85">
        <v>0</v>
      </c>
      <c r="O45" s="85">
        <v>1</v>
      </c>
      <c r="P45" s="73">
        <v>0</v>
      </c>
      <c r="Q45" s="85">
        <v>0</v>
      </c>
      <c r="R45" s="74">
        <v>1</v>
      </c>
    </row>
    <row r="46" spans="1:20" ht="15" customHeight="1" x14ac:dyDescent="0.15">
      <c r="A46" s="85"/>
      <c r="F46" s="170" t="s">
        <v>232</v>
      </c>
      <c r="G46" s="85">
        <v>0</v>
      </c>
      <c r="H46" s="85">
        <v>0</v>
      </c>
      <c r="I46" s="85">
        <v>0</v>
      </c>
      <c r="J46" s="85">
        <v>0</v>
      </c>
      <c r="K46" s="85">
        <v>0</v>
      </c>
      <c r="L46" s="85">
        <v>1</v>
      </c>
      <c r="M46" s="85">
        <v>0</v>
      </c>
      <c r="N46" s="85">
        <v>1</v>
      </c>
      <c r="O46" s="85">
        <v>0</v>
      </c>
      <c r="P46" s="73">
        <v>1</v>
      </c>
      <c r="Q46" s="85">
        <v>0</v>
      </c>
      <c r="R46" s="74">
        <v>1</v>
      </c>
    </row>
    <row r="47" spans="1:20" ht="15" customHeight="1" x14ac:dyDescent="0.15">
      <c r="A47" s="85"/>
      <c r="F47" s="170" t="s">
        <v>233</v>
      </c>
      <c r="G47" s="85">
        <v>0</v>
      </c>
      <c r="H47" s="85">
        <v>0</v>
      </c>
      <c r="I47" s="85">
        <v>0</v>
      </c>
      <c r="J47" s="85">
        <v>0</v>
      </c>
      <c r="K47" s="85">
        <v>0</v>
      </c>
      <c r="L47" s="85">
        <v>1</v>
      </c>
      <c r="M47" s="85">
        <v>0</v>
      </c>
      <c r="N47" s="85">
        <v>0</v>
      </c>
      <c r="O47" s="85">
        <v>0</v>
      </c>
      <c r="P47" s="73">
        <v>0</v>
      </c>
      <c r="Q47" s="85">
        <v>0</v>
      </c>
      <c r="R47" s="74">
        <v>1</v>
      </c>
    </row>
    <row r="48" spans="1:20" ht="15" customHeight="1" x14ac:dyDescent="0.15">
      <c r="A48" s="85"/>
      <c r="F48" s="170" t="s">
        <v>234</v>
      </c>
      <c r="G48" s="85">
        <v>0</v>
      </c>
      <c r="H48" s="85">
        <v>0</v>
      </c>
      <c r="I48" s="85">
        <v>0</v>
      </c>
      <c r="J48" s="85">
        <v>0</v>
      </c>
      <c r="K48" s="85">
        <v>0</v>
      </c>
      <c r="L48" s="85">
        <v>1</v>
      </c>
      <c r="M48" s="85">
        <v>0</v>
      </c>
      <c r="N48" s="85">
        <v>0</v>
      </c>
      <c r="O48" s="85">
        <v>0</v>
      </c>
      <c r="P48" s="73">
        <v>0</v>
      </c>
      <c r="Q48" s="85">
        <v>0</v>
      </c>
      <c r="R48" s="74">
        <v>1</v>
      </c>
    </row>
    <row r="49" spans="6:18" s="85" customFormat="1" ht="15" customHeight="1" x14ac:dyDescent="0.15">
      <c r="F49" s="170" t="s">
        <v>235</v>
      </c>
      <c r="G49" s="85">
        <v>0</v>
      </c>
      <c r="H49" s="85">
        <v>0</v>
      </c>
      <c r="I49" s="85">
        <v>0</v>
      </c>
      <c r="J49" s="85">
        <v>0</v>
      </c>
      <c r="K49" s="85">
        <v>0</v>
      </c>
      <c r="L49" s="85">
        <v>1</v>
      </c>
      <c r="M49" s="85">
        <v>0</v>
      </c>
      <c r="N49" s="85">
        <v>0</v>
      </c>
      <c r="O49" s="85">
        <v>0</v>
      </c>
      <c r="P49" s="73">
        <v>0</v>
      </c>
      <c r="Q49" s="85">
        <v>0</v>
      </c>
      <c r="R49" s="74">
        <v>1</v>
      </c>
    </row>
    <row r="50" spans="6:18" s="85" customFormat="1" ht="15" customHeight="1" x14ac:dyDescent="0.15">
      <c r="F50" s="170" t="s">
        <v>236</v>
      </c>
      <c r="G50" s="85">
        <v>0</v>
      </c>
      <c r="H50" s="85">
        <v>0</v>
      </c>
      <c r="I50" s="85">
        <v>0</v>
      </c>
      <c r="J50" s="85">
        <v>0</v>
      </c>
      <c r="K50" s="85">
        <v>0</v>
      </c>
      <c r="L50" s="85">
        <v>1</v>
      </c>
      <c r="M50" s="85">
        <v>0</v>
      </c>
      <c r="N50" s="85">
        <v>0</v>
      </c>
      <c r="O50" s="85">
        <v>0</v>
      </c>
      <c r="P50" s="73">
        <v>0</v>
      </c>
      <c r="Q50" s="85">
        <v>0</v>
      </c>
      <c r="R50" s="74">
        <v>1</v>
      </c>
    </row>
    <row r="51" spans="6:18" s="85" customFormat="1" ht="15" customHeight="1" x14ac:dyDescent="0.15">
      <c r="F51" s="170" t="s">
        <v>237</v>
      </c>
      <c r="G51" s="85">
        <v>0</v>
      </c>
      <c r="H51" s="85">
        <v>0</v>
      </c>
      <c r="I51" s="85">
        <v>0</v>
      </c>
      <c r="J51" s="85">
        <v>0</v>
      </c>
      <c r="K51" s="85">
        <v>0</v>
      </c>
      <c r="L51" s="85">
        <v>1</v>
      </c>
      <c r="M51" s="85">
        <v>0</v>
      </c>
      <c r="N51" s="85">
        <v>0</v>
      </c>
      <c r="O51" s="85">
        <v>0</v>
      </c>
      <c r="P51" s="73">
        <v>0</v>
      </c>
      <c r="Q51" s="85">
        <v>0</v>
      </c>
      <c r="R51" s="74">
        <v>1</v>
      </c>
    </row>
    <row r="52" spans="6:18" s="85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5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5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5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5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5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5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5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5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5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5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5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5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5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5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5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5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5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5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5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5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5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5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5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5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5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5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5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5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5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5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5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5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5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5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5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5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5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5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5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5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5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5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5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5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5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5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5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5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5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5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5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5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5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5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5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5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5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5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5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5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5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5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5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5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5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5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5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5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5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5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5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5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5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5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5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5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5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5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5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5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5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5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5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5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5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5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5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5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5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5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5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5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5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5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5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5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5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5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5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5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5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5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5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5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5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5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5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5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5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5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5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5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5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5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5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B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5.5" bestFit="1" customWidth="1"/>
    <col min="2" max="2" width="2.33203125" style="114" customWidth="1"/>
    <col min="3" max="5" width="7.83203125" style="114" customWidth="1"/>
    <col min="6" max="8" width="8.83203125" style="6"/>
    <col min="9" max="9" width="5.83203125" style="6" customWidth="1"/>
    <col min="10" max="10" width="6.5" style="6" customWidth="1"/>
    <col min="11" max="11" width="15.83203125" style="6" customWidth="1"/>
    <col min="12" max="12" width="16.5" style="6" customWidth="1"/>
    <col min="13" max="13" width="19.5" style="6" customWidth="1"/>
    <col min="14" max="14" width="12.6640625" style="6" customWidth="1"/>
    <col min="15" max="15" width="11.5" style="6" customWidth="1"/>
    <col min="16" max="16" width="8.1640625" style="6" customWidth="1"/>
    <col min="17" max="17" width="6.1640625" style="6" customWidth="1"/>
    <col min="18" max="18" width="13.5" style="6" customWidth="1"/>
    <col min="19" max="19" width="25.5" style="6" customWidth="1"/>
    <col min="20" max="20" width="18.5" style="6" customWidth="1"/>
    <col min="21" max="21" width="24" style="6" customWidth="1"/>
    <col min="22" max="22" width="7.33203125" style="6" customWidth="1"/>
    <col min="23" max="23" width="9.5" style="6" customWidth="1"/>
    <col min="24" max="24" width="9.33203125" style="6" customWidth="1"/>
    <col min="25" max="25" width="14.5" style="6" customWidth="1"/>
    <col min="26" max="26" width="5.5" style="6" customWidth="1"/>
    <col min="27" max="30" width="10.6640625" style="6" customWidth="1"/>
    <col min="31" max="31" width="9.1640625" style="6" customWidth="1"/>
    <col min="32" max="32" width="16.83203125" style="6" customWidth="1"/>
    <col min="33" max="33" width="6.83203125" style="6" customWidth="1"/>
    <col min="34" max="34" width="17" style="6" customWidth="1"/>
    <col min="35" max="35" width="11.1640625" style="6" customWidth="1"/>
    <col min="36" max="36" width="12.83203125" style="6" customWidth="1"/>
    <col min="37" max="37" width="10.5" style="6" customWidth="1"/>
    <col min="38" max="38" width="12.1640625" style="6" customWidth="1"/>
    <col min="39" max="39" width="14.33203125" customWidth="1"/>
    <col min="40" max="40" width="8.83203125" customWidth="1"/>
    <col min="41" max="41" width="23" customWidth="1"/>
    <col min="42" max="43" width="17.6640625" customWidth="1"/>
    <col min="44" max="44" width="15.5" customWidth="1"/>
    <col min="45" max="45" width="9.1640625" customWidth="1"/>
    <col min="46" max="46" width="8.1640625" customWidth="1"/>
    <col min="47" max="47" width="7.6640625" customWidth="1"/>
    <col min="48" max="48" width="8.5" customWidth="1"/>
    <col min="49" max="49" width="21.6640625" customWidth="1"/>
    <col min="50" max="50" width="6.5" customWidth="1"/>
    <col min="51" max="51" width="12.1640625" customWidth="1"/>
    <col min="52" max="52" width="19.5" customWidth="1"/>
    <col min="53" max="53" width="5.1640625" customWidth="1"/>
    <col min="54" max="54" width="5.83203125" customWidth="1"/>
    <col min="81" max="81" width="22.1640625" bestFit="1" customWidth="1"/>
  </cols>
  <sheetData>
    <row r="1" spans="1:54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175" t="s">
        <v>192</v>
      </c>
      <c r="J1" s="175" t="s">
        <v>193</v>
      </c>
      <c r="K1" s="175" t="s">
        <v>194</v>
      </c>
      <c r="L1" s="175" t="s">
        <v>195</v>
      </c>
      <c r="M1" s="175" t="s">
        <v>196</v>
      </c>
      <c r="N1" s="175" t="s">
        <v>197</v>
      </c>
      <c r="O1" s="175" t="s">
        <v>198</v>
      </c>
      <c r="P1" s="175" t="s">
        <v>199</v>
      </c>
      <c r="Q1" s="175" t="s">
        <v>200</v>
      </c>
      <c r="R1" s="175" t="s">
        <v>201</v>
      </c>
      <c r="S1" s="175" t="s">
        <v>202</v>
      </c>
      <c r="T1" s="175" t="s">
        <v>203</v>
      </c>
      <c r="U1" s="175" t="s">
        <v>204</v>
      </c>
      <c r="V1" s="175" t="s">
        <v>205</v>
      </c>
      <c r="W1" s="175" t="s">
        <v>206</v>
      </c>
      <c r="X1" s="175" t="s">
        <v>207</v>
      </c>
      <c r="Y1" s="175" t="s">
        <v>208</v>
      </c>
      <c r="Z1" s="175" t="s">
        <v>209</v>
      </c>
      <c r="AA1" s="175" t="s">
        <v>210</v>
      </c>
      <c r="AB1" s="175" t="s">
        <v>211</v>
      </c>
      <c r="AC1" s="175" t="s">
        <v>212</v>
      </c>
      <c r="AD1" s="175" t="s">
        <v>213</v>
      </c>
      <c r="AE1" s="175" t="s">
        <v>214</v>
      </c>
      <c r="AF1" s="175" t="s">
        <v>215</v>
      </c>
      <c r="AG1" s="175" t="s">
        <v>216</v>
      </c>
      <c r="AH1" s="175" t="s">
        <v>217</v>
      </c>
      <c r="AI1" s="175" t="s">
        <v>218</v>
      </c>
      <c r="AJ1" s="175" t="s">
        <v>219</v>
      </c>
      <c r="AK1" s="175" t="s">
        <v>220</v>
      </c>
      <c r="AL1" s="175" t="s">
        <v>221</v>
      </c>
      <c r="AM1" s="175" t="s">
        <v>222</v>
      </c>
      <c r="AN1" s="175" t="s">
        <v>223</v>
      </c>
      <c r="AO1" s="175" t="s">
        <v>224</v>
      </c>
      <c r="AP1" s="175" t="s">
        <v>225</v>
      </c>
      <c r="AQ1" s="175" t="s">
        <v>226</v>
      </c>
      <c r="AR1" s="175" t="s">
        <v>227</v>
      </c>
      <c r="AS1" s="175" t="s">
        <v>228</v>
      </c>
      <c r="AT1" s="175" t="s">
        <v>229</v>
      </c>
      <c r="AU1" s="175" t="s">
        <v>230</v>
      </c>
      <c r="AV1" s="175" t="s">
        <v>231</v>
      </c>
      <c r="AW1" s="175" t="s">
        <v>232</v>
      </c>
      <c r="AX1" s="175" t="s">
        <v>233</v>
      </c>
      <c r="AY1" s="175" t="s">
        <v>234</v>
      </c>
      <c r="AZ1" s="175" t="s">
        <v>235</v>
      </c>
      <c r="BA1" s="175" t="s">
        <v>236</v>
      </c>
      <c r="BB1" s="175" t="s">
        <v>237</v>
      </c>
    </row>
    <row r="2" spans="1:54" x14ac:dyDescent="0.15">
      <c r="A2" t="s">
        <v>38</v>
      </c>
      <c r="B2" s="114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54" x14ac:dyDescent="0.15">
      <c r="A3" t="s">
        <v>40</v>
      </c>
      <c r="B3" s="114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54" x14ac:dyDescent="0.15">
      <c r="A4" t="s">
        <v>41</v>
      </c>
      <c r="B4" s="114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54" x14ac:dyDescent="0.15">
      <c r="A5" s="174" t="s">
        <v>192</v>
      </c>
      <c r="B5" s="114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54" x14ac:dyDescent="0.15">
      <c r="A6" s="174" t="s">
        <v>193</v>
      </c>
      <c r="B6" s="114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54" x14ac:dyDescent="0.15">
      <c r="A7" s="174" t="s">
        <v>194</v>
      </c>
      <c r="B7" s="114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54" x14ac:dyDescent="0.15">
      <c r="A8" s="174" t="s">
        <v>195</v>
      </c>
      <c r="B8" s="114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54" x14ac:dyDescent="0.15">
      <c r="A9" s="174" t="s">
        <v>196</v>
      </c>
      <c r="B9" s="114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54" x14ac:dyDescent="0.15">
      <c r="A10" s="174" t="s">
        <v>197</v>
      </c>
      <c r="B10" s="114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54" x14ac:dyDescent="0.15">
      <c r="A11" s="174" t="s">
        <v>198</v>
      </c>
      <c r="B11" s="114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54" x14ac:dyDescent="0.15">
      <c r="A12" s="174" t="s">
        <v>199</v>
      </c>
      <c r="B12" s="114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54" x14ac:dyDescent="0.15">
      <c r="A13" s="174" t="s">
        <v>200</v>
      </c>
      <c r="B13" s="114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54" x14ac:dyDescent="0.15">
      <c r="A14" s="174" t="s">
        <v>201</v>
      </c>
      <c r="B14" s="114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54" x14ac:dyDescent="0.15">
      <c r="A15" s="174" t="s">
        <v>202</v>
      </c>
      <c r="B15" s="114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54" x14ac:dyDescent="0.15">
      <c r="A16" s="174" t="s">
        <v>203</v>
      </c>
      <c r="B16" s="114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74" t="s">
        <v>204</v>
      </c>
      <c r="B17" s="114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74" t="s">
        <v>205</v>
      </c>
      <c r="B18" s="114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74" t="s">
        <v>206</v>
      </c>
      <c r="B19" s="114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74" t="s">
        <v>207</v>
      </c>
      <c r="B20" s="114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74" t="s">
        <v>208</v>
      </c>
      <c r="B21" s="114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74" t="s">
        <v>209</v>
      </c>
      <c r="B22" s="114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74" t="s">
        <v>210</v>
      </c>
      <c r="B23" s="114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74" t="s">
        <v>211</v>
      </c>
      <c r="B24" s="114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74" t="s">
        <v>212</v>
      </c>
      <c r="B25" s="114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74" t="s">
        <v>213</v>
      </c>
      <c r="B26" s="114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74" t="s">
        <v>214</v>
      </c>
      <c r="B27" s="114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74" t="s">
        <v>215</v>
      </c>
      <c r="B28" s="114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74" t="s">
        <v>216</v>
      </c>
      <c r="B29" s="114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74" t="s">
        <v>217</v>
      </c>
      <c r="B30" s="114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74" t="s">
        <v>218</v>
      </c>
      <c r="B31" s="114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74" t="s">
        <v>219</v>
      </c>
      <c r="B32" s="114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74" t="s">
        <v>220</v>
      </c>
      <c r="B33" s="114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74" t="s">
        <v>221</v>
      </c>
      <c r="B34" s="114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74" t="s">
        <v>222</v>
      </c>
      <c r="B35" s="114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74" t="s">
        <v>223</v>
      </c>
      <c r="B36" s="114">
        <v>0</v>
      </c>
      <c r="C36"/>
      <c r="D36"/>
    </row>
    <row r="37" spans="1:38" ht="15" customHeight="1" x14ac:dyDescent="0.15">
      <c r="A37" s="174" t="s">
        <v>224</v>
      </c>
      <c r="B37" s="114">
        <v>0</v>
      </c>
      <c r="C37"/>
      <c r="D37"/>
    </row>
    <row r="38" spans="1:38" ht="15" customHeight="1" x14ac:dyDescent="0.15">
      <c r="A38" s="174" t="s">
        <v>225</v>
      </c>
      <c r="B38" s="114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74" t="s">
        <v>226</v>
      </c>
      <c r="B39" s="114">
        <v>0</v>
      </c>
      <c r="C39"/>
      <c r="D39"/>
    </row>
    <row r="40" spans="1:38" ht="15" customHeight="1" x14ac:dyDescent="0.15">
      <c r="A40" s="174" t="s">
        <v>227</v>
      </c>
      <c r="B40" s="114">
        <v>0</v>
      </c>
      <c r="C40"/>
      <c r="D40"/>
    </row>
    <row r="41" spans="1:38" ht="15" customHeight="1" x14ac:dyDescent="0.15">
      <c r="A41" s="174" t="s">
        <v>228</v>
      </c>
      <c r="B41" s="114">
        <v>0</v>
      </c>
      <c r="C41"/>
      <c r="D41"/>
    </row>
    <row r="42" spans="1:38" ht="15" customHeight="1" x14ac:dyDescent="0.15">
      <c r="A42" s="174" t="s">
        <v>229</v>
      </c>
      <c r="B42" s="114">
        <v>0</v>
      </c>
    </row>
    <row r="43" spans="1:38" ht="15" customHeight="1" x14ac:dyDescent="0.15">
      <c r="A43" s="174" t="s">
        <v>230</v>
      </c>
      <c r="B43" s="114">
        <v>0</v>
      </c>
    </row>
    <row r="44" spans="1:38" ht="15" customHeight="1" x14ac:dyDescent="0.15">
      <c r="A44" s="174" t="s">
        <v>231</v>
      </c>
      <c r="B44" s="114">
        <v>0</v>
      </c>
    </row>
    <row r="45" spans="1:38" ht="15" customHeight="1" x14ac:dyDescent="0.15">
      <c r="A45" s="174" t="s">
        <v>232</v>
      </c>
      <c r="B45" s="114">
        <v>0</v>
      </c>
    </row>
    <row r="46" spans="1:38" ht="15" customHeight="1" x14ac:dyDescent="0.15">
      <c r="A46" s="174" t="s">
        <v>233</v>
      </c>
      <c r="B46" s="114">
        <v>0</v>
      </c>
    </row>
    <row r="47" spans="1:38" ht="15" customHeight="1" x14ac:dyDescent="0.15">
      <c r="A47" s="174" t="s">
        <v>234</v>
      </c>
      <c r="B47" s="114">
        <v>0</v>
      </c>
    </row>
    <row r="48" spans="1:38" ht="15" customHeight="1" x14ac:dyDescent="0.15">
      <c r="A48" s="174" t="s">
        <v>235</v>
      </c>
      <c r="B48" s="114">
        <v>0</v>
      </c>
    </row>
    <row r="49" spans="1:38" ht="15" customHeight="1" x14ac:dyDescent="0.15">
      <c r="A49" s="174" t="s">
        <v>236</v>
      </c>
      <c r="B49" s="114">
        <v>0</v>
      </c>
    </row>
    <row r="50" spans="1:38" ht="15" customHeight="1" x14ac:dyDescent="0.15">
      <c r="A50" s="174" t="s">
        <v>237</v>
      </c>
      <c r="B50" s="114">
        <v>0</v>
      </c>
    </row>
    <row r="51" spans="1:38" ht="15" customHeight="1" x14ac:dyDescent="0.15"/>
    <row r="52" spans="1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2023-08-14T23:34:46Z</dcterms:modified>
</cp:coreProperties>
</file>