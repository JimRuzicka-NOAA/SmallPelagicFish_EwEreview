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EB511216-1E93-2741-B057-1AAEEA05D9D2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Diets!$B$2:$R$21</definedName>
    <definedName name="matDiscards">Discards!$C$2:$D$20</definedName>
    <definedName name="matFishery">Fishing!$C$2:$D$20</definedName>
    <definedName name="matFishing">Fishing!#REF!</definedName>
    <definedName name="matMort">Mortalities!$A$1:$X$20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<sst xmlns="http://schemas.openxmlformats.org/spreadsheetml/2006/main" count="714" uniqueCount="219">
  <si>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</si>
  <si>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</si>
  <si>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</si>
  <si>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</si>
  <si>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</si>
  <si>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</si>
  <si>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</si>
  <si>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</si>
  <si>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</si>
  <si>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</si>
  <si>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</si>
  <si>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</si>
  <si>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</si>
  <si>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</si>
  <si>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</si>
  <si>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</si>
  <si>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</si>
  <si>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</si>
  <si>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</si>
  <si>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</si>
  <si>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</si>
  <si>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</si>
  <si>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</si>
  <si>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</si>
  <si>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</si>
  <si>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</si>
  <si>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</si>
  <si>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</si>
  <si>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</si>
  <si>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</si>
  <si>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</si>
  <si>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</si>
  <si>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</si>
  <si>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</si>
  <si>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</si>
  <si>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</si>
  <si>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</si>
  <si>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</si>
  <si>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</si>
  <si>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</si>
  <si>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</si>
  <si>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</si>
  <si>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</si>
  <si>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</si>
  <si>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</si>
  <si>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</si>
  <si>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</si>
  <si>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</si>
  <si>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</si>
  <si>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</si>
  <si>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</si>
  <si>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</si>
  <si>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</si>
  <si>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</si>
  <si>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</si>
  <si>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</si>
  <si>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</si>
  <si>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</si>
  <si>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</si>
  <si>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</si>
  <si>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</si>
  <si>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</si>
  <si>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</si>
  <si>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</si>
  <si>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</si>
  <si>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</si>
  <si>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</si>
  <si>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</si>
  <si>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</si>
  <si>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</si>
  <si>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</si>
  <si>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</si>
  <si>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</si>
  <si>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</si>
  <si>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</si>
  <si>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</si>
  <si>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</si>
  <si>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</si>
  <si>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</si>
  <si>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</si>
  <si>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</si>
  <si>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</si>
  <si>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</si>
  <si>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</si>
  <si>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</si>
  <si>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</si>
  <si>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</si>
  <si>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</si>
  <si>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</si>
  <si>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</si>
  <si>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</si>
  <si>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</si>
  <si>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</si>
  <si>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</si>
  <si>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</si>
  <si>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</si>
  <si>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</si>
  <si>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</si>
  <si>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</si>
  <si>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</si>
  <si>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</si>
  <si>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</si>
  <si>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</si>
  <si>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</si>
  <si>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</si>
  <si>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</si>
  <si>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</si>
  <si>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</si>
  <si>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</si>
  <si>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</si>
  <si>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</si>
  <si>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</si>
  <si>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</si>
  <si>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</si>
  <si>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</si>
  <si>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</si>
  <si>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</si>
  <si>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</si>
  <si>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</si>
  <si>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</si>
  <si>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</si>
  <si>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</si>
  <si>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</si>
  <si>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</si>
  <si>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</si>
  <si>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</si>
  <si>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</si>
  <si>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</si>
  <si>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</si>
  <si>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</si>
  <si>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</si>
  <si>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</si>
  <si>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</si>
  <si>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</si>
  <si>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</si>
  <si>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</si>
  <si>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</si>
  <si>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</si>
  <si>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</si>
  <si>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</si>
  <si>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</si>
  <si>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</si>
  <si>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</si>
  <si>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</si>
  <si>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</si>
  <si>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</si>
  <si>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</si>
  <si>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</si>
  <si>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</si>
  <si>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</si>
  <si>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</si>
  <si>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</si>
  <si>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</si>
  <si>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</si>
  <si>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</si>
  <si>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</si>
  <si>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</si>
  <si>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</si>
  <si>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</si>
  <si>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</si>
  <si>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</si>
  <si>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</si>
  <si>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</si>
  <si>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</si>
  <si>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</si>
  <si>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</si>
  <si>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</si>
  <si>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</si>
  <si>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</si>
  <si>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</si>
  <si>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</si>
  <si>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</si>
  <si>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</si>
  <si>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</si>
  <si>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</si>
  <si>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</si>
  <si>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</si>
  <si>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</si>
  <si>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</si>
  <si>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</si>
  <si>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</si>
  <si>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</si>
  <si>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</si>
  <si>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</si>
  <si>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</si>
  <si>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Gironde estuary</t>
  </si>
  <si>
    <t>France</t>
  </si>
  <si>
    <t>BOX(-1.38384753261931 44.8391963095046,-0.341500213097609 45.7235373371546)</t>
  </si>
  <si>
    <t>estuary</t>
  </si>
  <si>
    <t>kgC/km²</t>
  </si>
  <si>
    <t>No description</t>
  </si>
  <si>
    <t xml:space="preserve">Lobry J.(2004). Which reference pattern of functioning for estuarine ecosystems? The case of fish successions in the Gironde estuary </t>
  </si>
  <si>
    <t>Primary Producers</t>
  </si>
  <si>
    <t>Copepods</t>
  </si>
  <si>
    <t>Suprabenthos</t>
  </si>
  <si>
    <t>Mysids</t>
  </si>
  <si>
    <t>Meiobenthos</t>
  </si>
  <si>
    <t>Macrobenthos</t>
  </si>
  <si>
    <t>Shrimps</t>
  </si>
  <si>
    <t>Sturgeon</t>
  </si>
  <si>
    <t>Eel</t>
  </si>
  <si>
    <t>Small pelagics</t>
  </si>
  <si>
    <t>Mullets</t>
  </si>
  <si>
    <t>Large marine fish</t>
  </si>
  <si>
    <t>Large pelagics</t>
  </si>
  <si>
    <t>Pipefish</t>
  </si>
  <si>
    <t>Flatfish</t>
  </si>
  <si>
    <t>Gobies</t>
  </si>
  <si>
    <t>Freshwater fish</t>
  </si>
  <si>
    <t>Detritus/Discards</t>
  </si>
  <si>
    <t>detritus_TerminalBenthic</t>
  </si>
  <si>
    <t>Peche</t>
  </si>
  <si>
    <t>Centrale</t>
  </si>
  <si>
    <t>Import</t>
  </si>
  <si>
    <t>export</t>
  </si>
  <si>
    <t>sum</t>
  </si>
  <si>
    <t>TOTAL</t>
  </si>
  <si>
    <t>F Peche</t>
  </si>
  <si>
    <t>F Centrale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</si>
</sst>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7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BD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9" borderId="2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2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27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6" borderId="3" xfId="0" applyNumberFormat="1" applyFont="1" applyFill="1" applyBorder="1"/>
    <xf numFmtId="0" fontId="0" fillId="26" borderId="2" xfId="0" applyFont="1" applyFill="1" applyBorder="1"/>
    <xf numFmtId="0" fontId="0" fillId="26" borderId="3" xfId="0" applyFont="1" applyFill="1" applyBorder="1"/>
    <xf numFmtId="0" fontId="0" fillId="2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8" borderId="0" xfId="0" applyFill="1"/>
    <xf numFmtId="0" fontId="0" fillId="2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9" borderId="2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11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6" t="s">
        <v>164</v>
      </c>
    </row>
    <row r="6" spans="2:4" ht="14" thickBot="1" x14ac:dyDescent="0.2">
      <c r="B6" s="40" t="s">
        <v>141</v>
      </c>
    </row>
    <row r="7" spans="2:4" x14ac:dyDescent="0.15">
      <c r="B7" s="56" t="s">
        <v>143</v>
      </c>
    </row>
    <row r="8" spans="2:4" x14ac:dyDescent="0.15">
      <c r="B8" s="56" t="s">
        <v>142</v>
      </c>
    </row>
    <row r="9" spans="2:4" x14ac:dyDescent="0.15">
      <c r="B9" s="56" t="s">
        <v>144</v>
      </c>
    </row>
    <row r="10" spans="2:4" x14ac:dyDescent="0.15">
      <c r="B10" s="56" t="s">
        <v>147</v>
      </c>
    </row>
    <row r="11" spans="2:4" x14ac:dyDescent="0.15">
      <c r="B11" s="56" t="s">
        <v>151</v>
      </c>
    </row>
    <row r="12" spans="2:4" x14ac:dyDescent="0.15">
      <c r="B12" s="56" t="s">
        <v>153</v>
      </c>
    </row>
    <row r="13" spans="2:4" x14ac:dyDescent="0.15">
      <c r="B13" s="56" t="s">
        <v>165</v>
      </c>
    </row>
    <row r="15" spans="2:4" ht="14" thickBot="1" x14ac:dyDescent="0.2"/>
    <row r="16" spans="2:4" ht="14" thickBot="1" x14ac:dyDescent="0.2">
      <c r="B16" s="41" t="s">
        <v>137</v>
      </c>
      <c r="C16" s="42"/>
      <c r="D16" s="24">
        <v>41373</v>
      </c>
    </row>
    <row r="17" spans="2:4" x14ac:dyDescent="0.15">
      <c r="B17" s="43" t="s">
        <v>58</v>
      </c>
      <c r="C17" s="27">
        <v>0</v>
      </c>
    </row>
    <row r="18" spans="2:4" x14ac:dyDescent="0.15">
      <c r="B18" s="43" t="s">
        <v>59</v>
      </c>
      <c r="C18" s="27">
        <v>1</v>
      </c>
    </row>
    <row r="19" spans="2:4" x14ac:dyDescent="0.15">
      <c r="B19" s="43" t="s">
        <v>60</v>
      </c>
      <c r="C19" s="27">
        <v>2</v>
      </c>
    </row>
    <row r="20" spans="2:4" ht="14" thickBot="1" x14ac:dyDescent="0.2">
      <c r="B20" s="44" t="s">
        <v>44</v>
      </c>
      <c r="C20" s="28">
        <v>3</v>
      </c>
    </row>
    <row r="21" spans="2:4" x14ac:dyDescent="0.15">
      <c r="B21" s="45" t="s">
        <v>140</v>
      </c>
    </row>
    <row r="22" spans="2:4" ht="14" thickBot="1" x14ac:dyDescent="0.2"/>
    <row r="23" spans="2:4" ht="14" thickBot="1" x14ac:dyDescent="0.2">
      <c r="B23" s="41" t="s">
        <v>65</v>
      </c>
      <c r="C23" s="42"/>
      <c r="D23" s="24" t="s">
        <v>148</v>
      </c>
    </row>
    <row r="24" spans="2:4" x14ac:dyDescent="0.15">
      <c r="B24" s="47" t="s">
        <v>38</v>
      </c>
      <c r="C24" s="25">
        <v>1</v>
      </c>
    </row>
    <row r="25" spans="2:4" x14ac:dyDescent="0.15">
      <c r="B25" s="43" t="s">
        <v>40</v>
      </c>
      <c r="C25" s="27">
        <v>1.1000000000000001</v>
      </c>
    </row>
    <row r="26" spans="2:4" x14ac:dyDescent="0.15">
      <c r="B26" s="43" t="s">
        <v>41</v>
      </c>
      <c r="C26" s="27">
        <v>1.2</v>
      </c>
    </row>
    <row r="27" spans="2:4" x14ac:dyDescent="0.15">
      <c r="B27" s="43"/>
      <c r="C27" s="27"/>
    </row>
    <row r="28" spans="2:4" x14ac:dyDescent="0.15">
      <c r="B28" s="43" t="s">
        <v>42</v>
      </c>
      <c r="C28" s="27">
        <v>2.1</v>
      </c>
    </row>
    <row r="29" spans="2:4" x14ac:dyDescent="0.15">
      <c r="B29" s="43" t="s">
        <v>43</v>
      </c>
      <c r="C29" s="27">
        <v>2.2000000000000002</v>
      </c>
    </row>
    <row r="30" spans="2:4" x14ac:dyDescent="0.15">
      <c r="B30" s="43" t="s">
        <v>67</v>
      </c>
      <c r="C30" s="27">
        <v>2.2999999999999998</v>
      </c>
    </row>
    <row r="31" spans="2:4" x14ac:dyDescent="0.15">
      <c r="B31" s="43"/>
      <c r="C31" s="27"/>
    </row>
    <row r="32" spans="2:4" x14ac:dyDescent="0.15">
      <c r="B32" s="43" t="s">
        <v>62</v>
      </c>
      <c r="C32" s="27">
        <v>3.11</v>
      </c>
    </row>
    <row r="33" spans="2:3" x14ac:dyDescent="0.15">
      <c r="B33" s="43" t="s">
        <v>61</v>
      </c>
      <c r="C33" s="27">
        <v>3.12</v>
      </c>
    </row>
    <row r="34" spans="2:3" x14ac:dyDescent="0.15">
      <c r="B34" s="43" t="s">
        <v>68</v>
      </c>
      <c r="C34" s="27">
        <v>3.13</v>
      </c>
    </row>
    <row r="35" spans="2:3" x14ac:dyDescent="0.15">
      <c r="B35" s="43"/>
      <c r="C35" s="27"/>
    </row>
    <row r="36" spans="2:3" x14ac:dyDescent="0.15">
      <c r="B36" s="43" t="s">
        <v>66</v>
      </c>
      <c r="C36" s="27">
        <v>3.21</v>
      </c>
    </row>
    <row r="37" spans="2:3" x14ac:dyDescent="0.15">
      <c r="B37" s="43" t="s">
        <v>63</v>
      </c>
      <c r="C37" s="27">
        <v>3.22</v>
      </c>
    </row>
    <row r="38" spans="2:3" x14ac:dyDescent="0.15">
      <c r="B38" s="43" t="s">
        <v>69</v>
      </c>
      <c r="C38" s="27">
        <v>3.23</v>
      </c>
    </row>
    <row r="39" spans="2:3" x14ac:dyDescent="0.15">
      <c r="B39" s="43"/>
      <c r="C39" s="27"/>
    </row>
    <row r="40" spans="2:3" x14ac:dyDescent="0.15">
      <c r="B40" s="43" t="s">
        <v>64</v>
      </c>
      <c r="C40" s="27">
        <v>8</v>
      </c>
    </row>
    <row r="41" spans="2:3" x14ac:dyDescent="0.15">
      <c r="B41" s="43"/>
      <c r="C41" s="27"/>
    </row>
    <row r="42" spans="2:3" x14ac:dyDescent="0.15">
      <c r="B42" s="43" t="s">
        <v>71</v>
      </c>
      <c r="C42" s="27">
        <v>4.0999999999999996</v>
      </c>
    </row>
    <row r="43" spans="2:3" x14ac:dyDescent="0.15">
      <c r="B43" s="43" t="s">
        <v>70</v>
      </c>
      <c r="C43" s="27">
        <v>4.2</v>
      </c>
    </row>
    <row r="44" spans="2:3" x14ac:dyDescent="0.15">
      <c r="B44" s="43" t="s">
        <v>72</v>
      </c>
      <c r="C44" s="27">
        <v>4.3</v>
      </c>
    </row>
    <row r="45" spans="2:3" x14ac:dyDescent="0.15">
      <c r="B45" s="26"/>
      <c r="C45" s="27"/>
    </row>
    <row r="46" spans="2:3" x14ac:dyDescent="0.15">
      <c r="B46" s="43" t="s">
        <v>138</v>
      </c>
      <c r="C46" s="27">
        <v>6.1</v>
      </c>
    </row>
    <row r="47" spans="2:3" x14ac:dyDescent="0.15">
      <c r="B47" s="43" t="s">
        <v>45</v>
      </c>
      <c r="C47" s="27">
        <v>6.2</v>
      </c>
    </row>
    <row r="48" spans="2:3" x14ac:dyDescent="0.15">
      <c r="B48" s="43"/>
      <c r="C48" s="27"/>
    </row>
    <row r="49" spans="2:4" x14ac:dyDescent="0.15">
      <c r="B49" s="43" t="s">
        <v>44</v>
      </c>
      <c r="C49" s="27">
        <v>5</v>
      </c>
    </row>
    <row r="50" spans="2:4" x14ac:dyDescent="0.15">
      <c r="B50" s="43"/>
      <c r="C50" s="27"/>
    </row>
    <row r="51" spans="2:4" ht="14" thickBot="1" x14ac:dyDescent="0.2">
      <c r="B51" s="44" t="s">
        <v>73</v>
      </c>
      <c r="C51" s="28">
        <v>7</v>
      </c>
    </row>
    <row r="53" spans="2:4" x14ac:dyDescent="0.15">
      <c r="B53" s="150" t="s">
        <v>171</v>
      </c>
      <c r="C53" s="94">
        <v>218</v>
      </c>
      <c r="D53" s="94"/>
    </row>
    <row r="54" spans="2:4" x14ac:dyDescent="0.15">
      <c r="B54" s="150" t="s">
        <v>172</v>
      </c>
      <c r="C54" s="150" t="s">
        <v>185</v>
      </c>
      <c r="D54" s="94"/>
    </row>
    <row r="55" spans="2:4" x14ac:dyDescent="0.15">
      <c r="B55" s="150" t="s">
        <v>173</v>
      </c>
      <c r="C55" s="150" t="s">
        <v>186</v>
      </c>
      <c r="D55" s="94"/>
    </row>
    <row r="56" spans="2:4" x14ac:dyDescent="0.15">
      <c r="B56" s="150" t="s">
        <v>174</v>
      </c>
      <c r="C56" s="94">
        <v>635</v>
      </c>
      <c r="D56" s="94"/>
    </row>
    <row r="57" spans="2:4" x14ac:dyDescent="0.15">
      <c r="B57" s="150" t="s">
        <v>175</v>
      </c>
      <c r="C57" s="150" t="s">
        <v>187</v>
      </c>
      <c r="D57" s="94"/>
    </row>
    <row r="58" spans="2:4" x14ac:dyDescent="0.15">
      <c r="B58" s="150" t="s">
        <v>176</v>
      </c>
      <c r="C58" s="150" t="s">
        <v>188</v>
      </c>
      <c r="D58" s="94"/>
    </row>
    <row r="59" spans="2:4" x14ac:dyDescent="0.15">
      <c r="B59" s="150" t="s">
        <v>177</v>
      </c>
      <c r="C59" s="150" t="s">
        <v>189</v>
      </c>
      <c r="D59" s="94"/>
    </row>
    <row r="60" spans="2:4" x14ac:dyDescent="0.15">
      <c r="B60" s="150" t="s">
        <v>178</v>
      </c>
      <c r="C60" s="150" t="s">
        <v>190</v>
      </c>
      <c r="D60" s="94"/>
    </row>
    <row r="61" spans="2:4" x14ac:dyDescent="0.15">
      <c r="B61" s="150" t="s">
        <v>179</v>
      </c>
      <c r="C61" s="94">
        <v>18</v>
      </c>
      <c r="D61" s="94"/>
    </row>
    <row r="62" spans="2:4" x14ac:dyDescent="0.15">
      <c r="B62" s="150" t="s">
        <v>180</v>
      </c>
      <c r="C62" s="94">
        <v>2</v>
      </c>
      <c r="D62" s="94"/>
    </row>
    <row r="63" spans="2:4" x14ac:dyDescent="0.15">
      <c r="B63" s="150" t="s">
        <v>181</v>
      </c>
      <c r="C63" s="94">
        <v>1991</v>
      </c>
      <c r="D63" s="94"/>
    </row>
    <row r="64" spans="2:4" x14ac:dyDescent="0.15">
      <c r="B64" s="150" t="s">
        <v>182</v>
      </c>
      <c r="C64" s="94">
        <v>7</v>
      </c>
      <c r="D64" s="94"/>
    </row>
    <row r="65" spans="2:4" x14ac:dyDescent="0.15">
      <c r="B65" s="150" t="s">
        <v>183</v>
      </c>
      <c r="C65" s="150" t="s">
        <v>191</v>
      </c>
      <c r="D65" s="94"/>
    </row>
    <row r="66" spans="2:4" x14ac:dyDescent="0.15">
      <c r="B66" s="150" t="s">
        <v>184</v>
      </c>
      <c r="D66" s="94"/>
    </row>
    <row r="67" spans="2:4" x14ac:dyDescent="0.15">
      <c r="B67" s="94"/>
      <c r="C67" s="94"/>
      <c r="D67" s="94"/>
    </row>
    <row r="68" spans="2:4" x14ac:dyDescent="0.15">
      <c r="B68" s="94"/>
      <c r="C68" s="94"/>
      <c r="D68" s="9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8" sqref="Q8"/>
    </sheetView>
  </sheetViews>
  <sheetFormatPr baseColWidth="10" defaultColWidth="8.83203125" defaultRowHeight="15" customHeight="1" x14ac:dyDescent="0.15"/>
  <cols>
    <col min="1" max="1" width="22.5" style="68" customWidth="1"/>
    <col min="2" max="3" width="3.33203125" style="68" customWidth="1"/>
    <col min="4" max="4" width="14.33203125" style="68" customWidth="1"/>
    <col min="5" max="5" width="21.6640625" style="68" bestFit="1" customWidth="1"/>
    <col min="6" max="6" width="2.33203125" style="68" bestFit="1" customWidth="1"/>
    <col min="7" max="7" width="10.83203125" style="68" bestFit="1" customWidth="1"/>
    <col min="8" max="9" width="5.83203125" style="68" customWidth="1"/>
    <col min="10" max="10" width="11.83203125" style="68" customWidth="1"/>
    <col min="11" max="11" width="12.83203125" style="68" customWidth="1"/>
    <col min="12" max="12" width="2.33203125" style="68" customWidth="1"/>
    <col min="13" max="13" width="3.83203125" style="68" customWidth="1"/>
    <col min="14" max="14" width="7.33203125" style="68" customWidth="1"/>
    <col min="16" max="25" width="8.83203125" style="6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8"/>
  </cols>
  <sheetData>
    <row r="1" spans="1:46" s="85" customFormat="1" ht="15" customHeight="1" x14ac:dyDescent="0.15">
      <c r="A1" s="64" t="s">
        <v>18</v>
      </c>
      <c r="C1" s="65" t="s">
        <v>8</v>
      </c>
      <c r="D1" s="64" t="s">
        <v>23</v>
      </c>
      <c r="E1" s="64" t="s">
        <v>0</v>
      </c>
      <c r="F1" s="64" t="s">
        <v>7</v>
      </c>
      <c r="G1" s="66" t="s">
        <v>13</v>
      </c>
      <c r="H1" s="64" t="s">
        <v>1</v>
      </c>
      <c r="I1" s="64" t="s">
        <v>2</v>
      </c>
      <c r="J1" s="64" t="s">
        <v>14</v>
      </c>
      <c r="K1" s="64" t="s">
        <v>3</v>
      </c>
      <c r="L1" s="64" t="s">
        <v>4</v>
      </c>
      <c r="M1" s="64" t="s">
        <v>5</v>
      </c>
      <c r="N1" s="6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5">
        <v>1</v>
      </c>
      <c r="D2"/>
      <c r="E2" s="151" t="s">
        <v>192</v>
      </c>
      <c r="F2" s="68">
        <v>1</v>
      </c>
      <c r="G2" s="68">
        <v>226.64099999999999</v>
      </c>
      <c r="H2" s="68">
        <v>200.9</v>
      </c>
      <c r="I2" s="6">
        <v>0</v>
      </c>
      <c r="J2" s="6">
        <v>0.82996904900000001</v>
      </c>
      <c r="K2" s="6">
        <v>0</v>
      </c>
      <c r="L2" s="6">
        <v>0</v>
      </c>
      <c r="M2" s="68">
        <v>0</v>
      </c>
      <c r="N2" s="68">
        <v>0</v>
      </c>
    </row>
    <row r="3" spans="1:46" ht="15" customHeight="1" x14ac:dyDescent="0.15">
      <c r="A3" s="1" t="s">
        <v>9</v>
      </c>
      <c r="B3" s="4">
        <v>17</v>
      </c>
      <c r="C3" s="68">
        <v>2</v>
      </c>
      <c r="D3"/>
      <c r="E3" s="151" t="s">
        <v>193</v>
      </c>
      <c r="F3" s="68">
        <v>0</v>
      </c>
      <c r="G3" s="68">
        <v>460.92399999999998</v>
      </c>
      <c r="H3" s="68">
        <v>35.9</v>
      </c>
      <c r="I3" s="68">
        <v>101.8</v>
      </c>
      <c r="J3" s="68">
        <v>0.9315599</v>
      </c>
      <c r="K3" s="68">
        <v>0.352652252</v>
      </c>
      <c r="L3" s="68">
        <v>0</v>
      </c>
      <c r="M3" s="68">
        <v>0.4</v>
      </c>
      <c r="N3" s="68">
        <v>0</v>
      </c>
    </row>
    <row r="4" spans="1:46" ht="15" customHeight="1" x14ac:dyDescent="0.15">
      <c r="A4" s="1" t="s">
        <v>10</v>
      </c>
      <c r="B4" s="4">
        <v>2</v>
      </c>
      <c r="C4" s="68">
        <v>3</v>
      </c>
      <c r="D4"/>
      <c r="E4" s="151" t="s">
        <v>194</v>
      </c>
      <c r="F4" s="68">
        <v>0</v>
      </c>
      <c r="G4" s="68">
        <v>94.936449999999994</v>
      </c>
      <c r="H4" s="68">
        <v>2.5</v>
      </c>
      <c r="I4" s="68">
        <v>20</v>
      </c>
      <c r="J4" s="68">
        <v>0.8</v>
      </c>
      <c r="K4" s="68">
        <v>0.125</v>
      </c>
      <c r="L4" s="68">
        <v>0</v>
      </c>
      <c r="M4" s="68">
        <v>0.4</v>
      </c>
      <c r="N4" s="6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68">
        <v>4</v>
      </c>
      <c r="D5"/>
      <c r="E5" s="151" t="s">
        <v>195</v>
      </c>
      <c r="F5" s="68">
        <v>0</v>
      </c>
      <c r="G5" s="68">
        <v>289.29899999999998</v>
      </c>
      <c r="H5" s="68">
        <v>9.9</v>
      </c>
      <c r="I5" s="68">
        <v>92.8</v>
      </c>
      <c r="J5" s="68">
        <v>6.4275949999999998E-2</v>
      </c>
      <c r="K5" s="68">
        <v>0.106681027</v>
      </c>
      <c r="L5" s="68">
        <v>0</v>
      </c>
      <c r="M5" s="68">
        <v>0.2</v>
      </c>
      <c r="N5" s="68">
        <v>0</v>
      </c>
      <c r="P5" s="60"/>
      <c r="Q5" s="60"/>
      <c r="R5" s="60"/>
    </row>
    <row r="6" spans="1:46" ht="15" customHeight="1" thickBot="1" x14ac:dyDescent="0.2">
      <c r="B6" s="1"/>
      <c r="C6" s="68">
        <v>5</v>
      </c>
      <c r="D6"/>
      <c r="E6" s="151" t="s">
        <v>196</v>
      </c>
      <c r="F6" s="68">
        <v>0</v>
      </c>
      <c r="G6" s="68">
        <v>176.65947</v>
      </c>
      <c r="H6" s="68">
        <v>10</v>
      </c>
      <c r="I6" s="68">
        <v>21.8</v>
      </c>
      <c r="J6" s="68">
        <v>0.51557654100000005</v>
      </c>
      <c r="K6" s="68">
        <v>0.45871561799999999</v>
      </c>
      <c r="L6" s="68">
        <v>0</v>
      </c>
      <c r="M6" s="68">
        <v>0.4</v>
      </c>
      <c r="N6" s="68">
        <v>0</v>
      </c>
      <c r="P6" s="60"/>
      <c r="Q6" s="60"/>
      <c r="R6" s="60"/>
      <c r="W6" s="30" t="s">
        <v>31</v>
      </c>
      <c r="X6" s="46">
        <f>MAX(MainOutputs!G:G)</f>
        <v>0.97414004802703857</v>
      </c>
    </row>
    <row r="7" spans="1:46" ht="15" customHeight="1" x14ac:dyDescent="0.15">
      <c r="A7" s="2" t="s">
        <v>27</v>
      </c>
      <c r="B7" s="68">
        <f ca="1">COUNTIF(OFFSET(cornerDiets,1,1,NumLiving+NumDead+1,NumLiving+NumDead),"&gt;0")+NumLiving+NumDead+1</f>
        <v>92</v>
      </c>
      <c r="C7" s="68">
        <v>6</v>
      </c>
      <c r="D7"/>
      <c r="E7" s="151" t="s">
        <v>197</v>
      </c>
      <c r="F7" s="68">
        <v>0</v>
      </c>
      <c r="G7" s="68">
        <v>730.48803699999996</v>
      </c>
      <c r="H7" s="68">
        <v>4.3</v>
      </c>
      <c r="I7" s="68">
        <v>32.6</v>
      </c>
      <c r="J7" s="68">
        <v>0.19876878000000001</v>
      </c>
      <c r="K7" s="68">
        <v>0.13190184499999999</v>
      </c>
      <c r="L7" s="68">
        <v>0</v>
      </c>
      <c r="M7" s="68">
        <v>0.4</v>
      </c>
      <c r="N7" s="68">
        <v>0</v>
      </c>
      <c r="P7" s="60"/>
      <c r="Q7" s="60"/>
      <c r="R7" s="60"/>
    </row>
    <row r="8" spans="1:46" ht="15" customHeight="1" x14ac:dyDescent="0.15">
      <c r="A8" s="2" t="s">
        <v>28</v>
      </c>
      <c r="B8" s="68">
        <f ca="1">COUNTIF(OFFSET(cornerFishing,1,2,NumLiving+NumDead,NumGears),"&gt;0")+NumDead*COUNTIF(OFFSET(cornerDiscards,1,2,NumLiving+NumDead,NumGears),"&gt;0")+NumLiving+NumDead+1</f>
        <v>37</v>
      </c>
      <c r="C8" s="68">
        <v>7</v>
      </c>
      <c r="D8"/>
      <c r="E8" s="151" t="s">
        <v>198</v>
      </c>
      <c r="F8" s="68">
        <v>0</v>
      </c>
      <c r="G8" s="68">
        <v>41.466000000000001</v>
      </c>
      <c r="H8" s="68">
        <v>6.5</v>
      </c>
      <c r="I8" s="68">
        <v>15.7</v>
      </c>
      <c r="J8" s="68">
        <v>0.79801420000000001</v>
      </c>
      <c r="K8" s="68">
        <v>0.41401273</v>
      </c>
      <c r="L8" s="68">
        <v>0</v>
      </c>
      <c r="M8" s="68">
        <v>0.2</v>
      </c>
      <c r="N8" s="68">
        <v>0</v>
      </c>
      <c r="P8" s="60"/>
      <c r="Q8" s="60"/>
      <c r="R8" s="60"/>
    </row>
    <row r="9" spans="1:46" ht="15" customHeight="1" x14ac:dyDescent="0.15">
      <c r="B9" s="1"/>
      <c r="C9" s="68">
        <v>8</v>
      </c>
      <c r="D9"/>
      <c r="E9" s="151" t="s">
        <v>199</v>
      </c>
      <c r="F9" s="68">
        <v>0</v>
      </c>
      <c r="G9" s="68">
        <v>1.04</v>
      </c>
      <c r="H9" s="68">
        <v>0.1</v>
      </c>
      <c r="I9" s="68">
        <v>3.3</v>
      </c>
      <c r="J9" s="68">
        <v>0</v>
      </c>
      <c r="K9" s="68">
        <v>3.03030312E-2</v>
      </c>
      <c r="L9" s="68">
        <v>0</v>
      </c>
      <c r="M9" s="68">
        <v>0.2</v>
      </c>
      <c r="N9" s="68">
        <v>0</v>
      </c>
      <c r="P9" s="60"/>
      <c r="Q9" s="60"/>
      <c r="R9" s="60"/>
    </row>
    <row r="10" spans="1:46" ht="15" customHeight="1" x14ac:dyDescent="0.15">
      <c r="B10" s="1"/>
      <c r="C10" s="68">
        <v>9</v>
      </c>
      <c r="D10"/>
      <c r="E10" s="151" t="s">
        <v>200</v>
      </c>
      <c r="F10" s="68">
        <v>0</v>
      </c>
      <c r="G10" s="68">
        <v>2.1669999999999998</v>
      </c>
      <c r="H10" s="68">
        <v>1</v>
      </c>
      <c r="I10" s="68">
        <v>6.3</v>
      </c>
      <c r="J10" s="68">
        <v>0.80961924799999996</v>
      </c>
      <c r="K10" s="68">
        <v>0.15873014899999999</v>
      </c>
      <c r="L10" s="68">
        <v>0</v>
      </c>
      <c r="M10" s="68">
        <v>0.2</v>
      </c>
      <c r="N10" s="68">
        <v>0</v>
      </c>
    </row>
    <row r="11" spans="1:46" ht="15" customHeight="1" x14ac:dyDescent="0.15">
      <c r="C11" s="68">
        <v>10</v>
      </c>
      <c r="D11"/>
      <c r="E11" s="151" t="s">
        <v>201</v>
      </c>
      <c r="F11" s="68">
        <v>0</v>
      </c>
      <c r="G11" s="68">
        <v>6.8440000000000003</v>
      </c>
      <c r="H11" s="68">
        <v>3.8</v>
      </c>
      <c r="I11" s="68">
        <v>17.7</v>
      </c>
      <c r="J11" s="68">
        <v>0.59462300000000001</v>
      </c>
      <c r="K11" s="68">
        <v>0.214689255</v>
      </c>
      <c r="L11" s="68">
        <v>0</v>
      </c>
      <c r="M11" s="68">
        <v>0.2</v>
      </c>
      <c r="N11" s="68">
        <v>0</v>
      </c>
    </row>
    <row r="12" spans="1:46" ht="15" customHeight="1" x14ac:dyDescent="0.15">
      <c r="C12" s="68">
        <v>11</v>
      </c>
      <c r="D12"/>
      <c r="E12" s="151" t="s">
        <v>202</v>
      </c>
      <c r="F12" s="68">
        <v>0</v>
      </c>
      <c r="G12" s="68">
        <v>23.809000000000001</v>
      </c>
      <c r="H12" s="68">
        <v>3.5</v>
      </c>
      <c r="I12" s="68">
        <v>7.5</v>
      </c>
      <c r="J12" s="68">
        <v>0.129432768</v>
      </c>
      <c r="K12" s="68">
        <v>0.46666666899999998</v>
      </c>
      <c r="L12" s="68">
        <v>0</v>
      </c>
      <c r="M12" s="68">
        <v>0.2</v>
      </c>
      <c r="N12" s="68">
        <v>0</v>
      </c>
    </row>
    <row r="13" spans="1:46" ht="15" customHeight="1" x14ac:dyDescent="0.15">
      <c r="C13" s="68">
        <v>12</v>
      </c>
      <c r="D13"/>
      <c r="E13" s="151" t="s">
        <v>203</v>
      </c>
      <c r="F13" s="68">
        <v>0</v>
      </c>
      <c r="G13" s="68">
        <v>20.934999999999999</v>
      </c>
      <c r="H13" s="68">
        <v>2</v>
      </c>
      <c r="I13" s="68">
        <v>4.0999999999999996</v>
      </c>
      <c r="J13" s="68">
        <v>0.212323874</v>
      </c>
      <c r="K13" s="68">
        <v>0.48780489999999999</v>
      </c>
      <c r="L13" s="68">
        <v>0</v>
      </c>
      <c r="M13" s="68">
        <v>0.2</v>
      </c>
      <c r="N13" s="68">
        <v>0</v>
      </c>
    </row>
    <row r="14" spans="1:46" ht="15" customHeight="1" x14ac:dyDescent="0.15">
      <c r="C14" s="68">
        <v>13</v>
      </c>
      <c r="D14"/>
      <c r="E14" s="151" t="s">
        <v>204</v>
      </c>
      <c r="F14" s="68">
        <v>0</v>
      </c>
      <c r="G14" s="68">
        <v>2E-3</v>
      </c>
      <c r="H14" s="68">
        <v>0.9</v>
      </c>
      <c r="I14" s="68">
        <v>7.3</v>
      </c>
      <c r="J14" s="68">
        <v>0</v>
      </c>
      <c r="K14" s="68">
        <v>0.12328766300000001</v>
      </c>
      <c r="L14" s="68">
        <v>0</v>
      </c>
      <c r="M14" s="68">
        <v>0.2</v>
      </c>
      <c r="N14" s="68">
        <v>0</v>
      </c>
    </row>
    <row r="15" spans="1:46" ht="15" customHeight="1" x14ac:dyDescent="0.15">
      <c r="C15" s="68">
        <v>14</v>
      </c>
      <c r="D15"/>
      <c r="E15" s="151" t="s">
        <v>205</v>
      </c>
      <c r="F15" s="68">
        <v>0</v>
      </c>
      <c r="G15" s="68">
        <v>1.867</v>
      </c>
      <c r="H15" s="68">
        <v>1.3</v>
      </c>
      <c r="I15" s="68">
        <v>8.3000000000000007</v>
      </c>
      <c r="J15" s="68">
        <v>0.74986609999999998</v>
      </c>
      <c r="K15" s="68">
        <v>0.1566265</v>
      </c>
      <c r="L15" s="68">
        <v>0</v>
      </c>
      <c r="M15" s="68">
        <v>0.2</v>
      </c>
      <c r="N15" s="68">
        <v>0</v>
      </c>
    </row>
    <row r="16" spans="1:46" ht="15" customHeight="1" x14ac:dyDescent="0.15">
      <c r="C16" s="68">
        <v>15</v>
      </c>
      <c r="D16"/>
      <c r="E16" s="151" t="s">
        <v>206</v>
      </c>
      <c r="F16" s="68">
        <v>0</v>
      </c>
      <c r="G16" s="68">
        <v>5.6589999999999998</v>
      </c>
      <c r="H16" s="68">
        <v>1.7</v>
      </c>
      <c r="I16" s="68">
        <v>5.3</v>
      </c>
      <c r="J16" s="68">
        <v>0.75712970000000002</v>
      </c>
      <c r="K16" s="68">
        <v>0.3207547</v>
      </c>
      <c r="L16" s="68">
        <v>0</v>
      </c>
      <c r="M16" s="68">
        <v>0.2</v>
      </c>
      <c r="N16" s="68">
        <v>0</v>
      </c>
    </row>
    <row r="17" spans="1:22" ht="15" customHeight="1" x14ac:dyDescent="0.15">
      <c r="C17" s="68">
        <v>16</v>
      </c>
      <c r="D17"/>
      <c r="E17" s="151" t="s">
        <v>207</v>
      </c>
      <c r="F17" s="68">
        <v>0</v>
      </c>
      <c r="G17" s="68">
        <v>33.072000000000003</v>
      </c>
      <c r="H17" s="68">
        <v>1.6</v>
      </c>
      <c r="I17" s="68">
        <v>12.8</v>
      </c>
      <c r="J17" s="68">
        <v>0.319959253</v>
      </c>
      <c r="K17" s="68">
        <v>0.125</v>
      </c>
      <c r="L17" s="68">
        <v>0</v>
      </c>
      <c r="M17" s="68">
        <v>0.2</v>
      </c>
      <c r="N17" s="68">
        <v>0</v>
      </c>
      <c r="V17" s="1" t="s">
        <v>30</v>
      </c>
    </row>
    <row r="18" spans="1:22" ht="15" customHeight="1" x14ac:dyDescent="0.15">
      <c r="C18" s="68">
        <v>17</v>
      </c>
      <c r="D18"/>
      <c r="E18" s="151" t="s">
        <v>208</v>
      </c>
      <c r="F18" s="68">
        <v>0</v>
      </c>
      <c r="G18" s="68">
        <v>0.2</v>
      </c>
      <c r="H18" s="68">
        <v>0.75</v>
      </c>
      <c r="I18" s="68">
        <v>4.8</v>
      </c>
      <c r="J18" s="68">
        <v>0.97414004799999998</v>
      </c>
      <c r="K18" s="68">
        <v>0.15625</v>
      </c>
      <c r="L18" s="68">
        <v>0</v>
      </c>
      <c r="M18" s="68">
        <v>0.2</v>
      </c>
      <c r="N18" s="68">
        <v>0</v>
      </c>
      <c r="V18" s="1"/>
    </row>
    <row r="19" spans="1:22" ht="15" customHeight="1" x14ac:dyDescent="0.15">
      <c r="C19" s="68">
        <v>18</v>
      </c>
      <c r="D19"/>
      <c r="E19" s="151" t="s">
        <v>209</v>
      </c>
      <c r="F19" s="68">
        <v>2</v>
      </c>
      <c r="G19" s="68">
        <v>188667</v>
      </c>
      <c r="H19" s="68">
        <v>0</v>
      </c>
      <c r="I19" s="68">
        <v>0</v>
      </c>
      <c r="J19" s="68">
        <v>0.15294469999999999</v>
      </c>
      <c r="K19" s="68">
        <v>0</v>
      </c>
      <c r="L19" s="68">
        <v>0</v>
      </c>
      <c r="M19" s="68">
        <v>0</v>
      </c>
      <c r="N19" s="68">
        <v>272222</v>
      </c>
    </row>
    <row r="20" spans="1:22" ht="15" customHeight="1" thickBot="1" x14ac:dyDescent="0.2">
      <c r="C20" s="68">
        <v>19</v>
      </c>
      <c r="D20"/>
      <c r="E20" s="151" t="s">
        <v>210</v>
      </c>
      <c r="F20" s="68">
        <v>2</v>
      </c>
      <c r="G20" s="68">
        <v>5</v>
      </c>
      <c r="H20" s="68">
        <v>0</v>
      </c>
      <c r="I20" s="68">
        <v>0</v>
      </c>
      <c r="J20" s="68">
        <v>0</v>
      </c>
      <c r="K20" s="68">
        <v>0</v>
      </c>
      <c r="L20" s="68">
        <v>0</v>
      </c>
      <c r="M20" s="68">
        <v>0</v>
      </c>
      <c r="N20" s="68">
        <v>0</v>
      </c>
    </row>
    <row r="21" spans="1:22" ht="15" customHeight="1" thickBot="1" x14ac:dyDescent="0.2">
      <c r="A21" s="41" t="s">
        <v>137</v>
      </c>
      <c r="B21" s="86"/>
      <c r="C21" s="68">
        <v>20</v>
      </c>
      <c r="D21"/>
      <c r="E21" s="151" t="s">
        <v>211</v>
      </c>
      <c r="F21" s="68">
        <v>3</v>
      </c>
      <c r="G21" s="68">
        <v>0</v>
      </c>
      <c r="H21" s="68">
        <v>0</v>
      </c>
      <c r="I21" s="68">
        <v>0</v>
      </c>
      <c r="J21" s="68">
        <v>0</v>
      </c>
      <c r="K21" s="68">
        <v>0</v>
      </c>
      <c r="L21" s="68">
        <v>0</v>
      </c>
      <c r="M21" s="68">
        <v>0</v>
      </c>
      <c r="N21" s="68">
        <v>0</v>
      </c>
    </row>
    <row r="22" spans="1:22" ht="15" customHeight="1" x14ac:dyDescent="0.15">
      <c r="A22" s="87" t="s">
        <v>58</v>
      </c>
      <c r="B22" s="88">
        <v>0</v>
      </c>
      <c r="C22" s="68">
        <v>21</v>
      </c>
      <c r="D22"/>
      <c r="E22" s="151" t="s">
        <v>212</v>
      </c>
      <c r="F22" s="68">
        <v>3</v>
      </c>
      <c r="G22" s="68">
        <v>0</v>
      </c>
      <c r="H22" s="68">
        <v>0</v>
      </c>
      <c r="I22" s="68">
        <v>0</v>
      </c>
      <c r="J22" s="68">
        <v>0</v>
      </c>
      <c r="K22" s="68">
        <v>0</v>
      </c>
      <c r="L22" s="68">
        <v>0</v>
      </c>
      <c r="M22" s="68">
        <v>0</v>
      </c>
      <c r="N22" s="68">
        <v>0</v>
      </c>
    </row>
    <row r="23" spans="1:22" ht="15" customHeight="1" x14ac:dyDescent="0.15">
      <c r="A23" s="87" t="s">
        <v>59</v>
      </c>
      <c r="B23" s="88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7" t="s">
        <v>60</v>
      </c>
      <c r="B24" s="88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9" t="s">
        <v>44</v>
      </c>
      <c r="B25" s="90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1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6" bestFit="1" customWidth="1"/>
    <col min="2" max="2" width="2.33203125" style="126" bestFit="1" customWidth="1"/>
    <col min="3" max="6" width="4.83203125" style="126" bestFit="1" customWidth="1"/>
    <col min="7" max="7" width="5.83203125" style="126" bestFit="1" customWidth="1"/>
    <col min="8" max="8" width="13.83203125" style="126" bestFit="1" customWidth="1"/>
    <col min="9" max="9" width="5.83203125" style="126" bestFit="1" customWidth="1"/>
    <col min="10" max="18" width="4.83203125" style="126" bestFit="1" customWidth="1"/>
    <col min="19" max="20" width="2.33203125" style="126" bestFit="1" customWidth="1"/>
    <col min="21" max="29" width="9" style="126" bestFit="1" customWidth="1"/>
    <col min="30" max="16384" width="8.83203125" style="126"/>
  </cols>
  <sheetData>
    <row r="1" spans="1:34" x14ac:dyDescent="0.15">
      <c r="A1" s="125" t="s">
        <v>19</v>
      </c>
      <c r="B1" s="153" t="s">
        <v>192</v>
      </c>
      <c r="C1" s="153" t="s">
        <v>193</v>
      </c>
      <c r="D1" s="153" t="s">
        <v>194</v>
      </c>
      <c r="E1" s="153" t="s">
        <v>195</v>
      </c>
      <c r="F1" s="153" t="s">
        <v>196</v>
      </c>
      <c r="G1" s="153" t="s">
        <v>197</v>
      </c>
      <c r="H1" s="153" t="s">
        <v>198</v>
      </c>
      <c r="I1" s="153" t="s">
        <v>199</v>
      </c>
      <c r="J1" s="153" t="s">
        <v>200</v>
      </c>
      <c r="K1" s="153" t="s">
        <v>201</v>
      </c>
      <c r="L1" s="153" t="s">
        <v>202</v>
      </c>
      <c r="M1" s="153" t="s">
        <v>203</v>
      </c>
      <c r="N1" s="153" t="s">
        <v>204</v>
      </c>
      <c r="O1" s="153" t="s">
        <v>205</v>
      </c>
      <c r="P1" s="153" t="s">
        <v>206</v>
      </c>
      <c r="Q1" s="153" t="s">
        <v>207</v>
      </c>
      <c r="R1" s="153" t="s">
        <v>208</v>
      </c>
      <c r="S1" s="153" t="s">
        <v>209</v>
      </c>
      <c r="T1" s="153" t="s">
        <v>210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2" t="s">
        <v>192</v>
      </c>
      <c r="B2" s="126">
        <v>0</v>
      </c>
      <c r="C2" s="126">
        <v>0.36</v>
      </c>
      <c r="D2" s="126">
        <v>0.4</v>
      </c>
      <c r="E2" s="126">
        <v>0.31</v>
      </c>
      <c r="F2" s="126">
        <v>0.22</v>
      </c>
      <c r="G2" s="126">
        <v>0.45500000000000002</v>
      </c>
      <c r="H2" s="126">
        <v>0.16683316683316682</v>
      </c>
      <c r="I2" s="126">
        <v>0</v>
      </c>
      <c r="J2" s="126">
        <v>0</v>
      </c>
      <c r="K2" s="126">
        <v>0</v>
      </c>
      <c r="L2" s="126">
        <v>0.14000000000000001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  <c r="S2" s="126">
        <v>0</v>
      </c>
      <c r="T2" s="126">
        <v>0</v>
      </c>
    </row>
    <row r="3" spans="1:34" customFormat="1" x14ac:dyDescent="0.15">
      <c r="A3" s="152" t="s">
        <v>193</v>
      </c>
      <c r="B3" s="126">
        <v>0</v>
      </c>
      <c r="C3" s="126">
        <v>0</v>
      </c>
      <c r="D3" s="126">
        <v>0</v>
      </c>
      <c r="E3" s="126">
        <v>0.56000000000000005</v>
      </c>
      <c r="F3" s="126">
        <v>0</v>
      </c>
      <c r="G3" s="126">
        <v>0</v>
      </c>
      <c r="H3" s="126">
        <v>0.22477522477522477</v>
      </c>
      <c r="I3" s="126">
        <v>0</v>
      </c>
      <c r="J3" s="126">
        <v>0</v>
      </c>
      <c r="K3" s="126">
        <v>0.47</v>
      </c>
      <c r="L3" s="126">
        <v>0.17</v>
      </c>
      <c r="M3" s="126">
        <v>0</v>
      </c>
      <c r="N3" s="126">
        <v>0</v>
      </c>
      <c r="O3" s="126">
        <v>0.72</v>
      </c>
      <c r="P3" s="126">
        <v>0</v>
      </c>
      <c r="Q3" s="126">
        <v>0.32</v>
      </c>
      <c r="R3" s="126">
        <v>0</v>
      </c>
      <c r="S3" s="126">
        <v>0</v>
      </c>
      <c r="T3" s="126">
        <v>0</v>
      </c>
    </row>
    <row r="4" spans="1:34" customFormat="1" x14ac:dyDescent="0.15">
      <c r="A4" s="152" t="s">
        <v>194</v>
      </c>
      <c r="B4" s="126">
        <v>0</v>
      </c>
      <c r="C4" s="126">
        <v>0</v>
      </c>
      <c r="D4" s="126">
        <v>0</v>
      </c>
      <c r="E4" s="126">
        <v>0</v>
      </c>
      <c r="F4" s="126">
        <v>0</v>
      </c>
      <c r="G4" s="126">
        <v>0</v>
      </c>
      <c r="H4" s="126">
        <v>0</v>
      </c>
      <c r="I4" s="126">
        <v>0</v>
      </c>
      <c r="J4" s="126">
        <v>0</v>
      </c>
      <c r="K4" s="126">
        <v>0.31</v>
      </c>
      <c r="L4" s="126">
        <v>0</v>
      </c>
      <c r="M4" s="126">
        <v>0.12999999999999998</v>
      </c>
      <c r="N4" s="126">
        <v>0</v>
      </c>
      <c r="O4" s="126">
        <v>0</v>
      </c>
      <c r="P4" s="126">
        <v>0.19</v>
      </c>
      <c r="Q4" s="126">
        <v>0.32</v>
      </c>
      <c r="R4" s="126">
        <v>0</v>
      </c>
      <c r="S4" s="126">
        <v>0</v>
      </c>
      <c r="T4" s="126">
        <v>0</v>
      </c>
    </row>
    <row r="5" spans="1:34" customFormat="1" x14ac:dyDescent="0.15">
      <c r="A5" s="152" t="s">
        <v>195</v>
      </c>
      <c r="B5" s="126">
        <v>0</v>
      </c>
      <c r="C5" s="126">
        <v>0</v>
      </c>
      <c r="D5" s="126">
        <v>0.02</v>
      </c>
      <c r="E5" s="126">
        <v>0</v>
      </c>
      <c r="F5" s="126">
        <v>0</v>
      </c>
      <c r="G5" s="126">
        <v>0</v>
      </c>
      <c r="H5" s="126">
        <v>0.16683316683316682</v>
      </c>
      <c r="I5" s="126">
        <v>0.129</v>
      </c>
      <c r="J5" s="126">
        <v>0.01</v>
      </c>
      <c r="K5" s="126">
        <v>0.08</v>
      </c>
      <c r="L5" s="126">
        <v>0</v>
      </c>
      <c r="M5" s="126">
        <v>1.9999999999999997E-2</v>
      </c>
      <c r="N5" s="126">
        <v>0</v>
      </c>
      <c r="O5" s="126">
        <v>0</v>
      </c>
      <c r="P5" s="126">
        <v>0</v>
      </c>
      <c r="Q5" s="126">
        <v>0.06</v>
      </c>
      <c r="R5" s="126">
        <v>0.01</v>
      </c>
      <c r="S5" s="126">
        <v>0</v>
      </c>
      <c r="T5" s="126">
        <v>0</v>
      </c>
    </row>
    <row r="6" spans="1:34" customFormat="1" x14ac:dyDescent="0.15">
      <c r="A6" s="152" t="s">
        <v>196</v>
      </c>
      <c r="B6" s="126">
        <v>0</v>
      </c>
      <c r="C6" s="126">
        <v>0</v>
      </c>
      <c r="D6" s="126">
        <v>0</v>
      </c>
      <c r="E6" s="126">
        <v>0</v>
      </c>
      <c r="F6" s="126">
        <v>0.11</v>
      </c>
      <c r="G6" s="126">
        <v>0.02</v>
      </c>
      <c r="H6" s="126">
        <v>0</v>
      </c>
      <c r="I6" s="126">
        <v>0</v>
      </c>
      <c r="J6" s="126">
        <v>0</v>
      </c>
      <c r="K6" s="126">
        <v>0.01</v>
      </c>
      <c r="L6" s="126">
        <v>0.03</v>
      </c>
      <c r="M6" s="126">
        <v>0</v>
      </c>
      <c r="N6" s="126">
        <v>0</v>
      </c>
      <c r="O6" s="126">
        <v>0.28000000000000003</v>
      </c>
      <c r="P6" s="126">
        <v>0</v>
      </c>
      <c r="Q6" s="126">
        <v>0</v>
      </c>
      <c r="R6" s="126">
        <v>0</v>
      </c>
      <c r="S6" s="126">
        <v>0</v>
      </c>
      <c r="T6" s="126">
        <v>0</v>
      </c>
    </row>
    <row r="7" spans="1:34" customFormat="1" x14ac:dyDescent="0.15">
      <c r="A7" s="152" t="s">
        <v>197</v>
      </c>
      <c r="B7" s="126">
        <v>0</v>
      </c>
      <c r="C7" s="126">
        <v>0</v>
      </c>
      <c r="D7" s="126">
        <v>0</v>
      </c>
      <c r="E7" s="126">
        <v>0</v>
      </c>
      <c r="F7" s="126">
        <v>0</v>
      </c>
      <c r="G7" s="126">
        <v>0.02</v>
      </c>
      <c r="H7" s="126">
        <v>0.16683316683316682</v>
      </c>
      <c r="I7" s="126">
        <v>0.76200000000000001</v>
      </c>
      <c r="J7" s="126">
        <v>0.27</v>
      </c>
      <c r="K7" s="126">
        <v>0.03</v>
      </c>
      <c r="L7" s="126">
        <v>0.09</v>
      </c>
      <c r="M7" s="126">
        <v>0</v>
      </c>
      <c r="N7" s="126">
        <v>0.81</v>
      </c>
      <c r="O7" s="126">
        <v>0</v>
      </c>
      <c r="P7" s="126">
        <v>0.42</v>
      </c>
      <c r="Q7" s="126">
        <v>0</v>
      </c>
      <c r="R7" s="126">
        <v>0.77</v>
      </c>
      <c r="S7" s="126">
        <v>0</v>
      </c>
      <c r="T7" s="126">
        <v>0</v>
      </c>
    </row>
    <row r="8" spans="1:34" customFormat="1" x14ac:dyDescent="0.15">
      <c r="A8" s="152" t="s">
        <v>198</v>
      </c>
      <c r="B8" s="126">
        <v>0</v>
      </c>
      <c r="C8" s="126">
        <v>0</v>
      </c>
      <c r="D8" s="126">
        <v>0</v>
      </c>
      <c r="E8" s="126">
        <v>0</v>
      </c>
      <c r="F8" s="126">
        <v>0</v>
      </c>
      <c r="G8" s="126">
        <v>0</v>
      </c>
      <c r="H8" s="126">
        <v>9.9900099900099883E-3</v>
      </c>
      <c r="I8" s="126">
        <v>5.8999999999999997E-2</v>
      </c>
      <c r="J8" s="126">
        <v>0.59</v>
      </c>
      <c r="K8" s="126">
        <v>0.06</v>
      </c>
      <c r="L8" s="126">
        <v>0</v>
      </c>
      <c r="M8" s="126">
        <v>0.54999999999999993</v>
      </c>
      <c r="N8" s="126">
        <v>0.1</v>
      </c>
      <c r="O8" s="126">
        <v>0</v>
      </c>
      <c r="P8" s="126">
        <v>0.39</v>
      </c>
      <c r="Q8" s="126">
        <v>0.3</v>
      </c>
      <c r="R8" s="126">
        <v>0.17</v>
      </c>
      <c r="S8" s="126">
        <v>0</v>
      </c>
      <c r="T8" s="126">
        <v>0</v>
      </c>
    </row>
    <row r="9" spans="1:34" customFormat="1" x14ac:dyDescent="0.15">
      <c r="A9" s="152" t="s">
        <v>199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1:34" customFormat="1" x14ac:dyDescent="0.15">
      <c r="A10" s="152" t="s">
        <v>200</v>
      </c>
      <c r="B10" s="126">
        <v>0</v>
      </c>
      <c r="C10" s="126">
        <v>0</v>
      </c>
      <c r="D10" s="126">
        <v>0</v>
      </c>
      <c r="E10" s="126">
        <v>0</v>
      </c>
      <c r="F10" s="126">
        <v>0</v>
      </c>
      <c r="G10" s="126">
        <v>0</v>
      </c>
      <c r="H10" s="126">
        <v>0</v>
      </c>
      <c r="I10" s="126">
        <v>0</v>
      </c>
      <c r="J10" s="126">
        <v>0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1:34" customFormat="1" x14ac:dyDescent="0.15">
      <c r="A11" s="152" t="s">
        <v>201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6">
        <v>0</v>
      </c>
      <c r="H11" s="126">
        <v>0</v>
      </c>
      <c r="I11" s="126">
        <v>0</v>
      </c>
      <c r="J11" s="126">
        <v>0.01</v>
      </c>
      <c r="K11" s="126">
        <v>0.01</v>
      </c>
      <c r="L11" s="126">
        <v>0</v>
      </c>
      <c r="M11" s="126">
        <v>7.9999999999999988E-2</v>
      </c>
      <c r="N11" s="126">
        <v>0.02</v>
      </c>
      <c r="O11" s="126">
        <v>0</v>
      </c>
      <c r="P11" s="126">
        <v>0</v>
      </c>
      <c r="Q11" s="126">
        <v>0</v>
      </c>
      <c r="R11" s="126">
        <v>0.01</v>
      </c>
      <c r="S11" s="126">
        <v>0</v>
      </c>
      <c r="T11" s="126">
        <v>0</v>
      </c>
    </row>
    <row r="12" spans="1:34" customFormat="1" x14ac:dyDescent="0.15">
      <c r="A12" s="152" t="s">
        <v>202</v>
      </c>
      <c r="B12" s="126">
        <v>0</v>
      </c>
      <c r="C12" s="126">
        <v>0</v>
      </c>
      <c r="D12" s="126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26">
        <v>0</v>
      </c>
      <c r="M12" s="126">
        <v>6.9999999999999993E-2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1:34" customFormat="1" x14ac:dyDescent="0.15">
      <c r="A13" s="152" t="s">
        <v>203</v>
      </c>
      <c r="B13" s="126">
        <v>0</v>
      </c>
      <c r="C13" s="126">
        <v>0</v>
      </c>
      <c r="D13" s="126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1:34" customFormat="1" x14ac:dyDescent="0.15">
      <c r="A14" s="152" t="s">
        <v>204</v>
      </c>
      <c r="B14" s="126">
        <v>0</v>
      </c>
      <c r="C14" s="126">
        <v>0</v>
      </c>
      <c r="D14" s="126">
        <v>0</v>
      </c>
      <c r="E14" s="126">
        <v>0</v>
      </c>
      <c r="F14" s="126">
        <v>0</v>
      </c>
      <c r="G14" s="126">
        <v>0</v>
      </c>
      <c r="H14" s="126">
        <v>0</v>
      </c>
      <c r="I14" s="126">
        <v>0</v>
      </c>
      <c r="J14" s="126">
        <v>0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1:34" customFormat="1" x14ac:dyDescent="0.15">
      <c r="A15" s="152" t="s">
        <v>205</v>
      </c>
      <c r="B15" s="126">
        <v>0</v>
      </c>
      <c r="C15" s="126">
        <v>0</v>
      </c>
      <c r="D15" s="126">
        <v>0</v>
      </c>
      <c r="E15" s="126">
        <v>0</v>
      </c>
      <c r="F15" s="126">
        <v>0</v>
      </c>
      <c r="G15" s="126">
        <v>0</v>
      </c>
      <c r="H15" s="126">
        <v>0</v>
      </c>
      <c r="I15" s="126">
        <v>0</v>
      </c>
      <c r="J15" s="126">
        <v>0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1:34" customFormat="1" x14ac:dyDescent="0.15">
      <c r="A16" s="152" t="s">
        <v>206</v>
      </c>
      <c r="B16" s="126">
        <v>0</v>
      </c>
      <c r="C16" s="126">
        <v>0</v>
      </c>
      <c r="D16" s="126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0.05</v>
      </c>
      <c r="K16" s="126">
        <v>0</v>
      </c>
      <c r="L16" s="126">
        <v>0</v>
      </c>
      <c r="M16" s="126">
        <v>6.9999999999999993E-2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1:20" customFormat="1" x14ac:dyDescent="0.15">
      <c r="A17" s="152" t="s">
        <v>207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6">
        <v>0</v>
      </c>
      <c r="H17" s="126">
        <v>0</v>
      </c>
      <c r="I17" s="126">
        <v>0.05</v>
      </c>
      <c r="J17" s="126">
        <v>0.05</v>
      </c>
      <c r="K17" s="126">
        <v>0</v>
      </c>
      <c r="L17" s="126">
        <v>0</v>
      </c>
      <c r="M17" s="126">
        <v>7.9999999999999988E-2</v>
      </c>
      <c r="N17" s="126">
        <v>7.0000000000000007E-2</v>
      </c>
      <c r="O17" s="126">
        <v>0</v>
      </c>
      <c r="P17" s="126">
        <v>0</v>
      </c>
      <c r="Q17" s="126">
        <v>0</v>
      </c>
      <c r="R17" s="126">
        <v>0.03</v>
      </c>
      <c r="S17" s="126">
        <v>0</v>
      </c>
      <c r="T17" s="126">
        <v>0</v>
      </c>
    </row>
    <row r="18" spans="1:20" customFormat="1" x14ac:dyDescent="0.15">
      <c r="A18" s="152" t="s">
        <v>208</v>
      </c>
      <c r="B18" s="126">
        <v>0</v>
      </c>
      <c r="C18" s="126">
        <v>0</v>
      </c>
      <c r="D18" s="126">
        <v>0</v>
      </c>
      <c r="E18" s="126">
        <v>0</v>
      </c>
      <c r="F18" s="126">
        <v>0</v>
      </c>
      <c r="G18" s="126">
        <v>0</v>
      </c>
      <c r="H18" s="126">
        <v>0</v>
      </c>
      <c r="I18" s="126">
        <v>0</v>
      </c>
      <c r="J18" s="126">
        <v>0.01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0.01</v>
      </c>
      <c r="S18" s="126">
        <v>0</v>
      </c>
      <c r="T18" s="126">
        <v>0</v>
      </c>
    </row>
    <row r="19" spans="1:20" customFormat="1" x14ac:dyDescent="0.15">
      <c r="A19" s="152" t="s">
        <v>209</v>
      </c>
      <c r="B19" s="126">
        <v>0</v>
      </c>
      <c r="C19" s="126">
        <v>0.64</v>
      </c>
      <c r="D19" s="126">
        <v>0.57999999999999996</v>
      </c>
      <c r="E19" s="126">
        <v>0.13</v>
      </c>
      <c r="F19" s="126">
        <v>0.67</v>
      </c>
      <c r="G19" s="126">
        <v>0.505</v>
      </c>
      <c r="H19" s="126">
        <v>0.26473526473526471</v>
      </c>
      <c r="I19" s="126">
        <v>0</v>
      </c>
      <c r="J19" s="126">
        <v>0.01</v>
      </c>
      <c r="K19" s="126">
        <v>0.03</v>
      </c>
      <c r="L19" s="126">
        <v>0.56999999999999995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1:20" customFormat="1" x14ac:dyDescent="0.15">
      <c r="A20" s="152" t="s">
        <v>210</v>
      </c>
      <c r="B20" s="126">
        <v>0</v>
      </c>
      <c r="C20" s="126">
        <v>0</v>
      </c>
      <c r="D20" s="126">
        <v>0</v>
      </c>
      <c r="E20" s="126">
        <v>0</v>
      </c>
      <c r="F20" s="126">
        <v>0</v>
      </c>
      <c r="G20" s="126">
        <v>0</v>
      </c>
      <c r="H20" s="126">
        <v>0</v>
      </c>
      <c r="I20" s="126">
        <v>0</v>
      </c>
      <c r="J20" s="126">
        <v>0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1:20" customFormat="1" x14ac:dyDescent="0.15">
      <c r="A21" s="152" t="s">
        <v>213</v>
      </c>
      <c r="B21" s="126">
        <v>0</v>
      </c>
      <c r="C21" s="126">
        <v>0</v>
      </c>
      <c r="D21" s="126">
        <v>0</v>
      </c>
      <c r="E21" s="126">
        <v>0</v>
      </c>
      <c r="F21" s="126">
        <v>0</v>
      </c>
      <c r="G21" s="126">
        <v>0</v>
      </c>
      <c r="H21" s="126">
        <v>0</v>
      </c>
      <c r="I21" s="126">
        <v>0</v>
      </c>
      <c r="J21" s="126">
        <v>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5" sqref="G2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8.6640625" style="96" customWidth="1"/>
    <col min="5" max="6" width="8.6640625" style="95" customWidth="1"/>
    <col min="7" max="8" width="8.83203125" style="96"/>
  </cols>
  <sheetData>
    <row r="1" spans="1:8" ht="70" x14ac:dyDescent="0.15">
      <c r="A1" s="5" t="s">
        <v>20</v>
      </c>
      <c r="B1" s="1" t="s">
        <v>0</v>
      </c>
      <c r="C1" s="155" t="s">
        <v>209</v>
      </c>
      <c r="D1" s="155" t="s">
        <v>210</v>
      </c>
      <c r="E1" s="155" t="s">
        <v>214</v>
      </c>
      <c r="F1" s="155" t="s">
        <v>215</v>
      </c>
      <c r="G1"/>
      <c r="H1"/>
    </row>
    <row r="2" spans="1:8" x14ac:dyDescent="0.15">
      <c r="A2">
        <v>1</v>
      </c>
      <c r="B2" s="154" t="s">
        <v>192</v>
      </c>
      <c r="C2" s="96">
        <v>1</v>
      </c>
      <c r="D2" s="96">
        <v>0</v>
      </c>
      <c r="E2" s="95">
        <v>0</v>
      </c>
      <c r="F2" s="95">
        <v>1</v>
      </c>
      <c r="G2"/>
      <c r="H2"/>
    </row>
    <row r="3" spans="1:8" x14ac:dyDescent="0.15">
      <c r="A3">
        <v>2</v>
      </c>
      <c r="B3" s="154" t="s">
        <v>193</v>
      </c>
      <c r="C3" s="96">
        <v>1</v>
      </c>
      <c r="D3" s="96">
        <v>0</v>
      </c>
      <c r="E3" s="95">
        <v>0</v>
      </c>
      <c r="F3" s="95">
        <v>1</v>
      </c>
      <c r="G3"/>
      <c r="H3"/>
    </row>
    <row r="4" spans="1:8" x14ac:dyDescent="0.15">
      <c r="A4">
        <v>3</v>
      </c>
      <c r="B4" s="154" t="s">
        <v>194</v>
      </c>
      <c r="C4" s="96">
        <v>1</v>
      </c>
      <c r="D4" s="96">
        <v>0</v>
      </c>
      <c r="E4" s="95">
        <v>0</v>
      </c>
      <c r="F4" s="95">
        <v>1</v>
      </c>
      <c r="G4"/>
      <c r="H4"/>
    </row>
    <row r="5" spans="1:8" x14ac:dyDescent="0.15">
      <c r="A5">
        <v>4</v>
      </c>
      <c r="B5" s="154" t="s">
        <v>195</v>
      </c>
      <c r="C5" s="96">
        <v>1</v>
      </c>
      <c r="D5" s="96">
        <v>0</v>
      </c>
      <c r="E5" s="95">
        <v>0</v>
      </c>
      <c r="F5" s="95">
        <v>1</v>
      </c>
      <c r="G5"/>
      <c r="H5"/>
    </row>
    <row r="6" spans="1:8" x14ac:dyDescent="0.15">
      <c r="A6">
        <v>5</v>
      </c>
      <c r="B6" s="154" t="s">
        <v>196</v>
      </c>
      <c r="C6" s="96">
        <v>1</v>
      </c>
      <c r="D6" s="96">
        <v>0</v>
      </c>
      <c r="E6" s="95">
        <v>0</v>
      </c>
      <c r="F6" s="95">
        <v>1</v>
      </c>
      <c r="G6"/>
      <c r="H6"/>
    </row>
    <row r="7" spans="1:8" x14ac:dyDescent="0.15">
      <c r="A7">
        <v>6</v>
      </c>
      <c r="B7" s="154" t="s">
        <v>197</v>
      </c>
      <c r="C7" s="96">
        <v>1</v>
      </c>
      <c r="D7" s="96">
        <v>0</v>
      </c>
      <c r="E7" s="95">
        <v>0</v>
      </c>
      <c r="F7" s="95">
        <v>1</v>
      </c>
      <c r="G7"/>
      <c r="H7"/>
    </row>
    <row r="8" spans="1:8" x14ac:dyDescent="0.15">
      <c r="A8">
        <v>7</v>
      </c>
      <c r="B8" s="154" t="s">
        <v>198</v>
      </c>
      <c r="C8" s="96">
        <v>1</v>
      </c>
      <c r="D8" s="96">
        <v>0</v>
      </c>
      <c r="E8" s="95">
        <v>0</v>
      </c>
      <c r="F8" s="95">
        <v>1</v>
      </c>
      <c r="G8"/>
      <c r="H8"/>
    </row>
    <row r="9" spans="1:8" x14ac:dyDescent="0.15">
      <c r="A9">
        <v>8</v>
      </c>
      <c r="B9" s="154" t="s">
        <v>199</v>
      </c>
      <c r="C9" s="96">
        <v>1</v>
      </c>
      <c r="D9" s="96">
        <v>0</v>
      </c>
      <c r="E9" s="95">
        <v>0</v>
      </c>
      <c r="F9" s="95">
        <v>1</v>
      </c>
      <c r="G9"/>
      <c r="H9"/>
    </row>
    <row r="10" spans="1:8" x14ac:dyDescent="0.15">
      <c r="A10">
        <v>9</v>
      </c>
      <c r="B10" s="154" t="s">
        <v>200</v>
      </c>
      <c r="C10" s="96">
        <v>1</v>
      </c>
      <c r="D10" s="96">
        <v>0</v>
      </c>
      <c r="E10" s="95">
        <v>0</v>
      </c>
      <c r="F10" s="95">
        <v>1</v>
      </c>
      <c r="G10"/>
      <c r="H10"/>
    </row>
    <row r="11" spans="1:8" x14ac:dyDescent="0.15">
      <c r="A11">
        <v>10</v>
      </c>
      <c r="B11" s="154" t="s">
        <v>201</v>
      </c>
      <c r="C11" s="96">
        <v>1</v>
      </c>
      <c r="D11" s="96">
        <v>0</v>
      </c>
      <c r="E11" s="95">
        <v>0</v>
      </c>
      <c r="F11" s="95">
        <v>1</v>
      </c>
      <c r="G11"/>
      <c r="H11"/>
    </row>
    <row r="12" spans="1:8" x14ac:dyDescent="0.15">
      <c r="A12">
        <v>11</v>
      </c>
      <c r="B12" s="154" t="s">
        <v>202</v>
      </c>
      <c r="C12" s="96">
        <v>1</v>
      </c>
      <c r="D12" s="96">
        <v>0</v>
      </c>
      <c r="E12" s="95">
        <v>0</v>
      </c>
      <c r="F12" s="95">
        <v>1</v>
      </c>
      <c r="G12"/>
      <c r="H12"/>
    </row>
    <row r="13" spans="1:8" x14ac:dyDescent="0.15">
      <c r="A13">
        <v>12</v>
      </c>
      <c r="B13" s="154" t="s">
        <v>203</v>
      </c>
      <c r="C13" s="96">
        <v>1</v>
      </c>
      <c r="D13" s="96">
        <v>0</v>
      </c>
      <c r="E13" s="95">
        <v>0</v>
      </c>
      <c r="F13" s="95">
        <v>1</v>
      </c>
      <c r="G13"/>
      <c r="H13"/>
    </row>
    <row r="14" spans="1:8" x14ac:dyDescent="0.15">
      <c r="A14">
        <v>13</v>
      </c>
      <c r="B14" s="154" t="s">
        <v>204</v>
      </c>
      <c r="C14" s="96">
        <v>1</v>
      </c>
      <c r="D14" s="96">
        <v>0</v>
      </c>
      <c r="E14" s="95">
        <v>0</v>
      </c>
      <c r="F14" s="95">
        <v>1</v>
      </c>
      <c r="G14"/>
      <c r="H14"/>
    </row>
    <row r="15" spans="1:8" x14ac:dyDescent="0.15">
      <c r="A15">
        <v>14</v>
      </c>
      <c r="B15" s="154" t="s">
        <v>205</v>
      </c>
      <c r="C15" s="96">
        <v>1</v>
      </c>
      <c r="D15" s="96">
        <v>0</v>
      </c>
      <c r="E15" s="95">
        <v>0</v>
      </c>
      <c r="F15" s="95">
        <v>1</v>
      </c>
      <c r="G15"/>
      <c r="H15"/>
    </row>
    <row r="16" spans="1:8" x14ac:dyDescent="0.15">
      <c r="A16">
        <v>15</v>
      </c>
      <c r="B16" s="154" t="s">
        <v>206</v>
      </c>
      <c r="C16" s="96">
        <v>1</v>
      </c>
      <c r="D16" s="96">
        <v>0</v>
      </c>
      <c r="E16" s="95">
        <v>0</v>
      </c>
      <c r="F16" s="95">
        <v>1</v>
      </c>
      <c r="G16"/>
      <c r="H16"/>
    </row>
    <row r="17" spans="1:8" ht="15" customHeight="1" x14ac:dyDescent="0.15">
      <c r="A17">
        <v>16</v>
      </c>
      <c r="B17" s="154" t="s">
        <v>207</v>
      </c>
      <c r="C17" s="96">
        <v>1</v>
      </c>
      <c r="D17" s="96">
        <v>0</v>
      </c>
      <c r="E17" s="95">
        <v>0</v>
      </c>
      <c r="F17" s="95">
        <v>1</v>
      </c>
      <c r="G17"/>
      <c r="H17"/>
    </row>
    <row r="18" spans="1:8" ht="15" customHeight="1" x14ac:dyDescent="0.15">
      <c r="A18">
        <v>17</v>
      </c>
      <c r="B18" s="154" t="s">
        <v>208</v>
      </c>
      <c r="C18" s="96">
        <v>1</v>
      </c>
      <c r="D18" s="96">
        <v>0</v>
      </c>
      <c r="E18" s="95">
        <v>0</v>
      </c>
      <c r="F18" s="95">
        <v>1</v>
      </c>
      <c r="G18"/>
      <c r="H18"/>
    </row>
    <row r="19" spans="1:8" ht="15" customHeight="1" x14ac:dyDescent="0.15">
      <c r="A19">
        <v>18</v>
      </c>
      <c r="B19" s="154" t="s">
        <v>209</v>
      </c>
      <c r="C19" s="96">
        <v>0</v>
      </c>
      <c r="D19" s="96">
        <v>1</v>
      </c>
      <c r="E19" s="95">
        <v>0</v>
      </c>
      <c r="F19" s="95">
        <v>1</v>
      </c>
      <c r="G19"/>
      <c r="H19"/>
    </row>
    <row r="20" spans="1:8" ht="15" customHeight="1" x14ac:dyDescent="0.15">
      <c r="A20">
        <v>19</v>
      </c>
      <c r="B20" s="154" t="s">
        <v>210</v>
      </c>
      <c r="C20" s="96">
        <v>0</v>
      </c>
      <c r="D20" s="96">
        <v>0</v>
      </c>
      <c r="E20" s="95">
        <v>1</v>
      </c>
      <c r="F20" s="95">
        <v>1</v>
      </c>
      <c r="G20"/>
      <c r="H20"/>
    </row>
    <row r="21" spans="1:8" ht="15" customHeight="1" x14ac:dyDescent="0.15">
      <c r="A21">
        <v>20</v>
      </c>
      <c r="B21" s="154" t="s">
        <v>211</v>
      </c>
      <c r="C21" s="96">
        <v>0</v>
      </c>
      <c r="D21" s="96">
        <v>1</v>
      </c>
      <c r="E21" s="95">
        <v>0</v>
      </c>
      <c r="F21" s="95">
        <v>1</v>
      </c>
      <c r="G21"/>
      <c r="H21"/>
    </row>
    <row r="22" spans="1:8" ht="15" customHeight="1" x14ac:dyDescent="0.15">
      <c r="A22">
        <v>21</v>
      </c>
      <c r="B22" s="154" t="s">
        <v>212</v>
      </c>
      <c r="C22" s="96">
        <v>0</v>
      </c>
      <c r="D22" s="96">
        <v>1</v>
      </c>
      <c r="E22" s="95">
        <v>0</v>
      </c>
      <c r="F22" s="95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6"/>
      <c r="F36" s="96"/>
      <c r="G36"/>
      <c r="H36"/>
    </row>
    <row r="37" spans="3:8" ht="15" customHeight="1" x14ac:dyDescent="0.15">
      <c r="C37"/>
      <c r="D37"/>
      <c r="E37" s="96"/>
      <c r="F37" s="96"/>
      <c r="G37"/>
      <c r="H37"/>
    </row>
    <row r="38" spans="3:8" ht="15" customHeight="1" x14ac:dyDescent="0.15">
      <c r="C38"/>
      <c r="D38"/>
      <c r="E38" s="96"/>
      <c r="F38" s="96"/>
      <c r="G38"/>
      <c r="H38"/>
    </row>
    <row r="39" spans="3:8" ht="15" customHeight="1" x14ac:dyDescent="0.15">
      <c r="C39"/>
      <c r="D39"/>
      <c r="E39" s="96"/>
      <c r="F39" s="96"/>
      <c r="G39"/>
      <c r="H39"/>
    </row>
    <row r="40" spans="3:8" ht="15" customHeight="1" x14ac:dyDescent="0.15">
      <c r="C40"/>
      <c r="D40"/>
      <c r="E40" s="96"/>
      <c r="F40" s="96"/>
      <c r="G40"/>
      <c r="H40"/>
    </row>
    <row r="41" spans="3:8" ht="15" customHeight="1" x14ac:dyDescent="0.15">
      <c r="C41"/>
      <c r="D41"/>
      <c r="E41" s="96"/>
      <c r="F41" s="96"/>
      <c r="G41"/>
      <c r="H41"/>
    </row>
    <row r="42" spans="3:8" ht="15" customHeight="1" x14ac:dyDescent="0.15">
      <c r="C42"/>
      <c r="D42"/>
      <c r="E42" s="96"/>
      <c r="F42" s="96"/>
      <c r="G42"/>
      <c r="H42"/>
    </row>
    <row r="43" spans="3:8" ht="15" customHeight="1" x14ac:dyDescent="0.15">
      <c r="C43"/>
      <c r="D43"/>
      <c r="E43" s="96"/>
      <c r="F43" s="96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6"/>
      <c r="F46" s="96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3" width="10.83203125" bestFit="1" customWidth="1"/>
    <col min="4" max="4" width="4.83203125" bestFit="1" customWidth="1"/>
    <col min="5" max="5" width="10.83203125" bestFit="1" customWidth="1"/>
  </cols>
  <sheetData>
    <row r="1" spans="1:5" s="97" customFormat="1" ht="112" x14ac:dyDescent="0.15">
      <c r="A1" s="5" t="s">
        <v>21</v>
      </c>
      <c r="B1" s="3" t="s">
        <v>0</v>
      </c>
      <c r="C1" s="157" t="s">
        <v>211</v>
      </c>
      <c r="D1" s="157" t="s">
        <v>212</v>
      </c>
      <c r="E1" s="157" t="s">
        <v>216</v>
      </c>
    </row>
    <row r="2" spans="1:5" ht="15" customHeight="1" x14ac:dyDescent="0.15">
      <c r="A2">
        <v>1</v>
      </c>
      <c r="B2" s="156" t="s">
        <v>192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56" t="s">
        <v>193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56" t="s">
        <v>194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56" t="s">
        <v>195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56" t="s">
        <v>196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56" t="s">
        <v>197</v>
      </c>
      <c r="C7">
        <v>0</v>
      </c>
      <c r="D7">
        <v>0</v>
      </c>
      <c r="E7">
        <v>0</v>
      </c>
    </row>
    <row r="8" spans="1:5" ht="15" customHeight="1" x14ac:dyDescent="0.15">
      <c r="A8">
        <v>7</v>
      </c>
      <c r="B8" s="156" t="s">
        <v>198</v>
      </c>
      <c r="C8">
        <v>5.00556</v>
      </c>
      <c r="D8">
        <v>0.99</v>
      </c>
      <c r="E8">
        <v>5.9955600000000002</v>
      </c>
    </row>
    <row r="9" spans="1:5" ht="15" customHeight="1" x14ac:dyDescent="0.15">
      <c r="A9">
        <v>8</v>
      </c>
      <c r="B9" s="156" t="s">
        <v>199</v>
      </c>
      <c r="C9">
        <v>0</v>
      </c>
      <c r="D9">
        <v>0</v>
      </c>
      <c r="E9">
        <v>0</v>
      </c>
    </row>
    <row r="10" spans="1:5" ht="15" customHeight="1" x14ac:dyDescent="0.15">
      <c r="A10">
        <v>9</v>
      </c>
      <c r="B10" s="156" t="s">
        <v>200</v>
      </c>
      <c r="C10">
        <v>1.754445</v>
      </c>
      <c r="D10">
        <v>0</v>
      </c>
      <c r="E10">
        <v>1.754445</v>
      </c>
    </row>
    <row r="11" spans="1:5" ht="15" customHeight="1" x14ac:dyDescent="0.15">
      <c r="A11">
        <v>10</v>
      </c>
      <c r="B11" s="156" t="s">
        <v>201</v>
      </c>
      <c r="C11">
        <v>0</v>
      </c>
      <c r="D11">
        <v>3.62</v>
      </c>
      <c r="E11">
        <v>3.62</v>
      </c>
    </row>
    <row r="12" spans="1:5" ht="15" customHeight="1" x14ac:dyDescent="0.15">
      <c r="A12">
        <v>11</v>
      </c>
      <c r="B12" s="156" t="s">
        <v>202</v>
      </c>
      <c r="C12">
        <v>4.7774825099999996</v>
      </c>
      <c r="D12">
        <v>0</v>
      </c>
      <c r="E12">
        <v>4.7774825099999996</v>
      </c>
    </row>
    <row r="13" spans="1:5" ht="15" customHeight="1" x14ac:dyDescent="0.15">
      <c r="A13">
        <v>12</v>
      </c>
      <c r="B13" s="156" t="s">
        <v>203</v>
      </c>
      <c r="C13">
        <v>8.89</v>
      </c>
      <c r="D13">
        <v>0</v>
      </c>
      <c r="E13">
        <v>8.89</v>
      </c>
    </row>
    <row r="14" spans="1:5" ht="15" customHeight="1" x14ac:dyDescent="0.15">
      <c r="A14">
        <v>13</v>
      </c>
      <c r="B14" s="156" t="s">
        <v>204</v>
      </c>
      <c r="C14">
        <v>0</v>
      </c>
      <c r="D14">
        <v>0</v>
      </c>
      <c r="E14">
        <v>0</v>
      </c>
    </row>
    <row r="15" spans="1:5" ht="15" customHeight="1" x14ac:dyDescent="0.15">
      <c r="A15">
        <v>14</v>
      </c>
      <c r="B15" s="156" t="s">
        <v>205</v>
      </c>
      <c r="C15">
        <v>0</v>
      </c>
      <c r="D15">
        <v>0.91</v>
      </c>
      <c r="E15">
        <v>0.91</v>
      </c>
    </row>
    <row r="16" spans="1:5" ht="15" customHeight="1" x14ac:dyDescent="0.15">
      <c r="A16">
        <v>15</v>
      </c>
      <c r="B16" s="156" t="s">
        <v>206</v>
      </c>
      <c r="C16">
        <v>0.59286550000000005</v>
      </c>
      <c r="D16">
        <v>0</v>
      </c>
      <c r="E16">
        <v>0.59286550000000005</v>
      </c>
    </row>
    <row r="17" spans="1:5" ht="15" customHeight="1" x14ac:dyDescent="0.15">
      <c r="A17">
        <v>16</v>
      </c>
      <c r="B17" s="156" t="s">
        <v>207</v>
      </c>
      <c r="C17">
        <v>0</v>
      </c>
      <c r="D17">
        <v>4.59</v>
      </c>
      <c r="E17">
        <v>4.59</v>
      </c>
    </row>
    <row r="18" spans="1:5" ht="15" customHeight="1" x14ac:dyDescent="0.15">
      <c r="A18">
        <v>17</v>
      </c>
      <c r="B18" s="156" t="s">
        <v>208</v>
      </c>
      <c r="C18">
        <v>0</v>
      </c>
      <c r="D18">
        <v>0</v>
      </c>
      <c r="E18">
        <v>0</v>
      </c>
    </row>
    <row r="19" spans="1:5" ht="15" customHeight="1" x14ac:dyDescent="0.15">
      <c r="A19">
        <v>18</v>
      </c>
      <c r="B19" s="156" t="s">
        <v>209</v>
      </c>
      <c r="C19">
        <v>0</v>
      </c>
      <c r="D19">
        <v>0</v>
      </c>
      <c r="E19">
        <v>0</v>
      </c>
    </row>
    <row r="20" spans="1:5" ht="15" customHeight="1" x14ac:dyDescent="0.15">
      <c r="A20">
        <v>19</v>
      </c>
      <c r="B20" s="156" t="s">
        <v>210</v>
      </c>
      <c r="C20">
        <v>0</v>
      </c>
      <c r="D20">
        <v>0</v>
      </c>
      <c r="E20">
        <v>0</v>
      </c>
    </row>
    <row r="21" spans="1:5" ht="15" customHeight="1" x14ac:dyDescent="0.15"/>
    <row r="22" spans="1:5" ht="15" customHeight="1" x14ac:dyDescent="0.15"/>
    <row r="23" spans="1:5" ht="15" customHeight="1" x14ac:dyDescent="0.15"/>
    <row r="24" spans="1:5" ht="15" customHeight="1" x14ac:dyDescent="0.15"/>
    <row r="25" spans="1:5" ht="15" customHeight="1" x14ac:dyDescent="0.15"/>
    <row r="26" spans="1:5" ht="15" customHeight="1" x14ac:dyDescent="0.15"/>
    <row r="27" spans="1:5" ht="15" customHeight="1" x14ac:dyDescent="0.15"/>
    <row r="28" spans="1:5" ht="15" customHeight="1" x14ac:dyDescent="0.15"/>
    <row r="29" spans="1:5" ht="15" customHeight="1" x14ac:dyDescent="0.15"/>
    <row r="30" spans="1:5" ht="15" customHeight="1" x14ac:dyDescent="0.15"/>
    <row r="31" spans="1:5" ht="15" customHeight="1" x14ac:dyDescent="0.15"/>
    <row r="32" spans="1:5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2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3" width="2.33203125" bestFit="1" customWidth="1"/>
    <col min="4" max="5" width="4.83203125" bestFit="1" customWidth="1"/>
  </cols>
  <sheetData>
    <row r="1" spans="1:5" s="97" customFormat="1" ht="112" x14ac:dyDescent="0.15">
      <c r="A1" s="5" t="s">
        <v>22</v>
      </c>
      <c r="B1" s="3" t="s">
        <v>0</v>
      </c>
      <c r="C1" s="159" t="s">
        <v>211</v>
      </c>
      <c r="D1" s="159" t="s">
        <v>212</v>
      </c>
      <c r="E1" s="159" t="s">
        <v>216</v>
      </c>
    </row>
    <row r="2" spans="1:5" x14ac:dyDescent="0.15">
      <c r="A2">
        <v>1</v>
      </c>
      <c r="B2" s="158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58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58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58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58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58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58" t="s">
        <v>198</v>
      </c>
      <c r="C8">
        <v>0</v>
      </c>
      <c r="D8">
        <v>0.99</v>
      </c>
      <c r="E8">
        <v>0.99</v>
      </c>
    </row>
    <row r="9" spans="1:5" x14ac:dyDescent="0.15">
      <c r="A9">
        <v>8</v>
      </c>
      <c r="B9" s="158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58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58" t="s">
        <v>201</v>
      </c>
      <c r="C11">
        <v>0</v>
      </c>
      <c r="D11">
        <v>3.62</v>
      </c>
      <c r="E11">
        <v>3.62</v>
      </c>
    </row>
    <row r="12" spans="1:5" x14ac:dyDescent="0.15">
      <c r="A12">
        <v>11</v>
      </c>
      <c r="B12" s="158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58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58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58" t="s">
        <v>205</v>
      </c>
      <c r="C15">
        <v>0</v>
      </c>
      <c r="D15">
        <v>0.91</v>
      </c>
      <c r="E15">
        <v>0.91</v>
      </c>
    </row>
    <row r="16" spans="1:5" x14ac:dyDescent="0.15">
      <c r="A16">
        <v>15</v>
      </c>
      <c r="B16" s="158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58" t="s">
        <v>207</v>
      </c>
      <c r="C17">
        <v>0</v>
      </c>
      <c r="D17">
        <v>4.59</v>
      </c>
      <c r="E17">
        <v>4.59</v>
      </c>
    </row>
    <row r="18" spans="1:5" x14ac:dyDescent="0.15">
      <c r="A18">
        <v>17</v>
      </c>
      <c r="B18" s="158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58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58" t="s">
        <v>210</v>
      </c>
      <c r="C20">
        <v>0</v>
      </c>
      <c r="D20">
        <v>0</v>
      </c>
      <c r="E2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6640625" bestFit="1" customWidth="1"/>
    <col min="6" max="6" width="4.83203125" bestFit="1" customWidth="1"/>
    <col min="7" max="9" width="3.83203125" bestFit="1" customWidth="1"/>
    <col min="10" max="11" width="4.83203125" style="9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8" customFormat="1" ht="14" thickBot="1" x14ac:dyDescent="0.2">
      <c r="D1" s="99" t="s">
        <v>8</v>
      </c>
      <c r="E1" s="99" t="s">
        <v>0</v>
      </c>
      <c r="F1" s="100" t="s">
        <v>99</v>
      </c>
      <c r="G1" s="101" t="s">
        <v>84</v>
      </c>
      <c r="H1" s="101" t="s">
        <v>85</v>
      </c>
      <c r="I1" s="101" t="s">
        <v>86</v>
      </c>
      <c r="J1" s="101" t="s">
        <v>87</v>
      </c>
      <c r="K1" s="101" t="s">
        <v>88</v>
      </c>
      <c r="L1" s="102" t="s">
        <v>89</v>
      </c>
      <c r="M1" s="102" t="s">
        <v>93</v>
      </c>
      <c r="N1" s="102" t="s">
        <v>92</v>
      </c>
      <c r="O1" s="102" t="s">
        <v>90</v>
      </c>
      <c r="P1" s="102" t="s">
        <v>91</v>
      </c>
      <c r="Q1" s="103" t="s">
        <v>94</v>
      </c>
      <c r="R1" s="103" t="s">
        <v>95</v>
      </c>
      <c r="S1" s="103" t="s">
        <v>96</v>
      </c>
      <c r="T1" s="103" t="s">
        <v>97</v>
      </c>
      <c r="U1" s="103" t="s">
        <v>98</v>
      </c>
      <c r="V1" s="101" t="s">
        <v>100</v>
      </c>
      <c r="W1" s="101" t="s">
        <v>101</v>
      </c>
      <c r="X1" s="101" t="s">
        <v>102</v>
      </c>
      <c r="Y1" s="101" t="s">
        <v>134</v>
      </c>
      <c r="Z1" s="102" t="s">
        <v>103</v>
      </c>
      <c r="AA1" s="102" t="s">
        <v>104</v>
      </c>
      <c r="AB1" s="102" t="s">
        <v>105</v>
      </c>
      <c r="AC1" s="104" t="s">
        <v>135</v>
      </c>
      <c r="AD1" s="103" t="s">
        <v>106</v>
      </c>
      <c r="AE1" s="103" t="s">
        <v>107</v>
      </c>
      <c r="AF1" s="103" t="s">
        <v>108</v>
      </c>
      <c r="AG1" s="103" t="s">
        <v>136</v>
      </c>
      <c r="AH1" s="101" t="s">
        <v>109</v>
      </c>
      <c r="AI1" s="101" t="s">
        <v>111</v>
      </c>
      <c r="AJ1" s="101" t="s">
        <v>110</v>
      </c>
      <c r="AK1" s="102" t="s">
        <v>115</v>
      </c>
      <c r="AL1" s="102" t="s">
        <v>116</v>
      </c>
      <c r="AM1" s="102" t="s">
        <v>117</v>
      </c>
      <c r="AN1" s="103" t="s">
        <v>112</v>
      </c>
      <c r="AO1" s="103" t="s">
        <v>113</v>
      </c>
      <c r="AP1" s="103" t="s">
        <v>114</v>
      </c>
    </row>
    <row r="2" spans="1:42" x14ac:dyDescent="0.15">
      <c r="A2" s="105" t="s">
        <v>74</v>
      </c>
      <c r="B2" s="106">
        <v>1</v>
      </c>
      <c r="D2">
        <v>1</v>
      </c>
      <c r="E2" s="160" t="s">
        <v>192</v>
      </c>
      <c r="F2">
        <v>0.98</v>
      </c>
      <c r="G2">
        <v>0.8</v>
      </c>
      <c r="H2">
        <v>0.8</v>
      </c>
      <c r="I2">
        <v>0</v>
      </c>
      <c r="J2" s="96">
        <v>0</v>
      </c>
      <c r="K2" s="96">
        <v>0</v>
      </c>
    </row>
    <row r="3" spans="1:42" x14ac:dyDescent="0.15">
      <c r="A3" s="105" t="s">
        <v>75</v>
      </c>
      <c r="B3" s="107">
        <v>1</v>
      </c>
      <c r="D3">
        <v>2</v>
      </c>
      <c r="E3" s="160" t="s">
        <v>193</v>
      </c>
      <c r="F3">
        <v>0.98</v>
      </c>
      <c r="G3">
        <v>0.8</v>
      </c>
      <c r="H3">
        <v>0.8</v>
      </c>
      <c r="I3">
        <v>0.8</v>
      </c>
      <c r="J3" s="96">
        <v>0.25</v>
      </c>
      <c r="K3" s="96">
        <v>0.05</v>
      </c>
    </row>
    <row r="4" spans="1:42" x14ac:dyDescent="0.15">
      <c r="A4" s="105" t="s">
        <v>76</v>
      </c>
      <c r="B4" s="107">
        <v>1</v>
      </c>
      <c r="D4">
        <v>3</v>
      </c>
      <c r="E4" s="160" t="s">
        <v>194</v>
      </c>
      <c r="F4">
        <v>0.98</v>
      </c>
      <c r="G4">
        <v>0.8</v>
      </c>
      <c r="H4">
        <v>0.8</v>
      </c>
      <c r="I4">
        <v>0.8</v>
      </c>
      <c r="J4" s="96">
        <v>0.25</v>
      </c>
      <c r="K4" s="96">
        <v>0.05</v>
      </c>
    </row>
    <row r="5" spans="1:42" x14ac:dyDescent="0.15">
      <c r="A5" s="105" t="s">
        <v>77</v>
      </c>
      <c r="B5" s="107">
        <v>1</v>
      </c>
      <c r="D5">
        <v>4</v>
      </c>
      <c r="E5" s="160" t="s">
        <v>195</v>
      </c>
      <c r="F5">
        <v>0.98</v>
      </c>
      <c r="G5">
        <v>0.8</v>
      </c>
      <c r="H5">
        <v>0.8</v>
      </c>
      <c r="I5">
        <v>0.8</v>
      </c>
      <c r="J5" s="96">
        <v>0.25</v>
      </c>
      <c r="K5" s="96">
        <v>0.05</v>
      </c>
    </row>
    <row r="6" spans="1:42" x14ac:dyDescent="0.15">
      <c r="A6" s="105" t="s">
        <v>78</v>
      </c>
      <c r="B6" s="107">
        <v>1</v>
      </c>
      <c r="D6">
        <v>5</v>
      </c>
      <c r="E6" s="160" t="s">
        <v>196</v>
      </c>
      <c r="F6">
        <v>0.98</v>
      </c>
      <c r="G6">
        <v>0.8</v>
      </c>
      <c r="H6">
        <v>0.8</v>
      </c>
      <c r="I6">
        <v>0.8</v>
      </c>
      <c r="J6" s="96">
        <v>0.25</v>
      </c>
      <c r="K6" s="96">
        <v>0.05</v>
      </c>
    </row>
    <row r="7" spans="1:42" x14ac:dyDescent="0.15">
      <c r="A7" s="105" t="s">
        <v>79</v>
      </c>
      <c r="B7" s="107">
        <v>1</v>
      </c>
      <c r="D7">
        <v>6</v>
      </c>
      <c r="E7" s="160" t="s">
        <v>197</v>
      </c>
      <c r="F7">
        <v>0.98</v>
      </c>
      <c r="G7">
        <v>0.8</v>
      </c>
      <c r="H7">
        <v>0.8</v>
      </c>
      <c r="I7">
        <v>0.8</v>
      </c>
      <c r="J7" s="96">
        <v>0.25</v>
      </c>
      <c r="K7" s="96">
        <v>0.05</v>
      </c>
    </row>
    <row r="8" spans="1:42" x14ac:dyDescent="0.15">
      <c r="A8" s="105" t="s">
        <v>80</v>
      </c>
      <c r="B8" s="107">
        <v>1</v>
      </c>
      <c r="D8">
        <v>7</v>
      </c>
      <c r="E8" s="160" t="s">
        <v>198</v>
      </c>
      <c r="F8">
        <v>0.98</v>
      </c>
      <c r="G8">
        <v>0.8</v>
      </c>
      <c r="H8">
        <v>0.8</v>
      </c>
      <c r="I8">
        <v>0.8</v>
      </c>
      <c r="J8" s="96">
        <v>0.25</v>
      </c>
      <c r="K8" s="96">
        <v>0.05</v>
      </c>
    </row>
    <row r="9" spans="1:42" x14ac:dyDescent="0.15">
      <c r="A9" s="105" t="s">
        <v>81</v>
      </c>
      <c r="B9" s="107">
        <v>0.1</v>
      </c>
      <c r="C9" s="55" t="s">
        <v>150</v>
      </c>
      <c r="D9">
        <v>8</v>
      </c>
      <c r="E9" s="160" t="s">
        <v>199</v>
      </c>
      <c r="F9">
        <v>0.98</v>
      </c>
      <c r="G9">
        <v>0.8</v>
      </c>
      <c r="H9">
        <v>0.8</v>
      </c>
      <c r="I9">
        <v>0.8</v>
      </c>
      <c r="J9" s="96">
        <v>0.25</v>
      </c>
      <c r="K9" s="96">
        <v>0.05</v>
      </c>
    </row>
    <row r="10" spans="1:42" ht="14" thickBot="1" x14ac:dyDescent="0.2">
      <c r="A10" s="105" t="s">
        <v>149</v>
      </c>
      <c r="B10" s="108">
        <f>1/3</f>
        <v>0.33333333333333331</v>
      </c>
      <c r="C10" s="55" t="s">
        <v>150</v>
      </c>
      <c r="D10">
        <v>9</v>
      </c>
      <c r="E10" s="160" t="s">
        <v>200</v>
      </c>
      <c r="F10">
        <v>0.98</v>
      </c>
      <c r="G10">
        <v>0.8</v>
      </c>
      <c r="H10">
        <v>0.8</v>
      </c>
      <c r="I10">
        <v>0.8</v>
      </c>
      <c r="J10" s="96">
        <v>0.25</v>
      </c>
      <c r="K10" s="96">
        <v>0.05</v>
      </c>
    </row>
    <row r="11" spans="1:42" x14ac:dyDescent="0.15">
      <c r="D11">
        <v>10</v>
      </c>
      <c r="E11" s="160" t="s">
        <v>201</v>
      </c>
      <c r="F11">
        <v>0.98</v>
      </c>
      <c r="G11">
        <v>0.8</v>
      </c>
      <c r="H11">
        <v>0.8</v>
      </c>
      <c r="I11">
        <v>0.8</v>
      </c>
      <c r="J11" s="96">
        <v>0.25</v>
      </c>
      <c r="K11" s="96">
        <v>0.05</v>
      </c>
    </row>
    <row r="12" spans="1:42" x14ac:dyDescent="0.15">
      <c r="D12">
        <v>11</v>
      </c>
      <c r="E12" s="160" t="s">
        <v>202</v>
      </c>
      <c r="F12">
        <v>0.98</v>
      </c>
      <c r="G12">
        <v>0.8</v>
      </c>
      <c r="H12">
        <v>0.8</v>
      </c>
      <c r="I12">
        <v>0.8</v>
      </c>
      <c r="J12" s="96">
        <v>0.25</v>
      </c>
      <c r="K12" s="96">
        <v>0.05</v>
      </c>
    </row>
    <row r="13" spans="1:42" x14ac:dyDescent="0.15">
      <c r="D13">
        <v>12</v>
      </c>
      <c r="E13" s="160" t="s">
        <v>203</v>
      </c>
      <c r="F13">
        <v>0.98</v>
      </c>
      <c r="G13">
        <v>0.8</v>
      </c>
      <c r="H13">
        <v>0.8</v>
      </c>
      <c r="I13">
        <v>0.8</v>
      </c>
      <c r="J13" s="96">
        <v>0.25</v>
      </c>
      <c r="K13" s="96">
        <v>0.05</v>
      </c>
    </row>
    <row r="14" spans="1:42" x14ac:dyDescent="0.15">
      <c r="D14">
        <v>13</v>
      </c>
      <c r="E14" s="160" t="s">
        <v>204</v>
      </c>
      <c r="F14">
        <v>0.98</v>
      </c>
      <c r="G14">
        <v>0.8</v>
      </c>
      <c r="H14">
        <v>0.8</v>
      </c>
      <c r="I14">
        <v>0.8</v>
      </c>
      <c r="J14" s="96">
        <v>0.25</v>
      </c>
      <c r="K14" s="96">
        <v>0.05</v>
      </c>
    </row>
    <row r="15" spans="1:42" x14ac:dyDescent="0.15">
      <c r="D15">
        <v>14</v>
      </c>
      <c r="E15" s="160" t="s">
        <v>205</v>
      </c>
      <c r="F15">
        <v>0.98</v>
      </c>
      <c r="G15">
        <v>0.8</v>
      </c>
      <c r="H15">
        <v>0.8</v>
      </c>
      <c r="I15">
        <v>0.8</v>
      </c>
      <c r="J15" s="96">
        <v>0.25</v>
      </c>
      <c r="K15" s="96">
        <v>0.05</v>
      </c>
    </row>
    <row r="16" spans="1:42" x14ac:dyDescent="0.15">
      <c r="D16">
        <v>15</v>
      </c>
      <c r="E16" s="160" t="s">
        <v>206</v>
      </c>
      <c r="F16">
        <v>0.98</v>
      </c>
      <c r="G16">
        <v>0.8</v>
      </c>
      <c r="H16">
        <v>0.8</v>
      </c>
      <c r="I16">
        <v>0.8</v>
      </c>
      <c r="J16" s="96">
        <v>0.25</v>
      </c>
      <c r="K16" s="96">
        <v>0.05</v>
      </c>
    </row>
    <row r="17" spans="4:33" ht="15" customHeight="1" x14ac:dyDescent="0.15">
      <c r="D17">
        <v>16</v>
      </c>
      <c r="E17" s="160" t="s">
        <v>207</v>
      </c>
      <c r="F17">
        <v>0.98</v>
      </c>
      <c r="G17">
        <v>0.8</v>
      </c>
      <c r="H17">
        <v>0.8</v>
      </c>
      <c r="I17">
        <v>0.8</v>
      </c>
      <c r="J17" s="96">
        <v>0.25</v>
      </c>
      <c r="K17" s="96">
        <v>0.05</v>
      </c>
    </row>
    <row r="18" spans="4:33" ht="15" customHeight="1" x14ac:dyDescent="0.15">
      <c r="D18">
        <v>17</v>
      </c>
      <c r="E18" s="160" t="s">
        <v>208</v>
      </c>
      <c r="F18">
        <v>0.98</v>
      </c>
      <c r="G18">
        <v>0.8</v>
      </c>
      <c r="H18">
        <v>0.8</v>
      </c>
      <c r="I18">
        <v>0.8</v>
      </c>
      <c r="J18" s="96">
        <v>0.25</v>
      </c>
      <c r="K18" s="96">
        <v>0.05</v>
      </c>
    </row>
    <row r="19" spans="4:33" ht="15" customHeight="1" x14ac:dyDescent="0.15">
      <c r="D19">
        <v>18</v>
      </c>
      <c r="E19" s="160" t="s">
        <v>209</v>
      </c>
      <c r="F19">
        <v>0.98</v>
      </c>
      <c r="G19">
        <v>0.8</v>
      </c>
      <c r="H19">
        <v>0</v>
      </c>
      <c r="I19">
        <v>0</v>
      </c>
      <c r="J19" s="96">
        <v>0</v>
      </c>
      <c r="K19" s="96">
        <v>0</v>
      </c>
    </row>
    <row r="20" spans="4:33" ht="15" customHeight="1" x14ac:dyDescent="0.15">
      <c r="D20">
        <v>19</v>
      </c>
      <c r="E20" s="160" t="s">
        <v>210</v>
      </c>
      <c r="F20">
        <v>0.98</v>
      </c>
      <c r="G20">
        <v>0.8</v>
      </c>
      <c r="H20">
        <v>0</v>
      </c>
      <c r="I20">
        <v>0</v>
      </c>
      <c r="J20" s="96">
        <v>0</v>
      </c>
      <c r="K20" s="96">
        <v>0</v>
      </c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4" bestFit="1" customWidth="1"/>
    <col min="2" max="2" width="2.33203125" style="94" customWidth="1"/>
    <col min="3" max="18" width="3.83203125" style="94" customWidth="1"/>
    <col min="19" max="20" width="2.33203125" style="94" customWidth="1"/>
    <col min="21" max="16384" width="10.83203125" style="94"/>
  </cols>
  <sheetData>
    <row r="1" spans="1:30" x14ac:dyDescent="0.15">
      <c r="A1" s="57" t="s">
        <v>118</v>
      </c>
      <c r="B1" s="162" t="s">
        <v>192</v>
      </c>
      <c r="C1" s="162" t="s">
        <v>193</v>
      </c>
      <c r="D1" s="162" t="s">
        <v>194</v>
      </c>
      <c r="E1" s="162" t="s">
        <v>195</v>
      </c>
      <c r="F1" s="162" t="s">
        <v>196</v>
      </c>
      <c r="G1" s="162" t="s">
        <v>197</v>
      </c>
      <c r="H1" s="162" t="s">
        <v>198</v>
      </c>
      <c r="I1" s="162" t="s">
        <v>199</v>
      </c>
      <c r="J1" s="162" t="s">
        <v>200</v>
      </c>
      <c r="K1" s="162" t="s">
        <v>201</v>
      </c>
      <c r="L1" s="162" t="s">
        <v>202</v>
      </c>
      <c r="M1" s="162" t="s">
        <v>203</v>
      </c>
      <c r="N1" s="162" t="s">
        <v>204</v>
      </c>
      <c r="O1" s="162" t="s">
        <v>205</v>
      </c>
      <c r="P1" s="162" t="s">
        <v>206</v>
      </c>
      <c r="Q1" s="162" t="s">
        <v>207</v>
      </c>
      <c r="R1" s="162" t="s">
        <v>208</v>
      </c>
      <c r="S1" s="162" t="s">
        <v>209</v>
      </c>
      <c r="T1" s="162" t="s">
        <v>210</v>
      </c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61" t="s">
        <v>192</v>
      </c>
      <c r="B2" s="94">
        <v>0</v>
      </c>
      <c r="C2" s="94">
        <v>0.8</v>
      </c>
      <c r="D2" s="94">
        <v>0.8</v>
      </c>
      <c r="E2" s="94">
        <v>0.8</v>
      </c>
      <c r="F2" s="94">
        <v>0.8</v>
      </c>
      <c r="G2" s="94">
        <v>0.8</v>
      </c>
      <c r="H2" s="94">
        <v>0.8</v>
      </c>
      <c r="I2" s="94">
        <v>0</v>
      </c>
      <c r="J2" s="94">
        <v>0</v>
      </c>
      <c r="K2" s="94">
        <v>0</v>
      </c>
      <c r="L2" s="94">
        <v>0.8</v>
      </c>
      <c r="M2" s="94">
        <v>0</v>
      </c>
      <c r="N2" s="94">
        <v>0</v>
      </c>
      <c r="O2" s="94">
        <v>0</v>
      </c>
      <c r="P2" s="94">
        <v>0</v>
      </c>
      <c r="Q2" s="94">
        <v>0</v>
      </c>
      <c r="R2" s="94">
        <v>0</v>
      </c>
      <c r="S2" s="94">
        <v>0</v>
      </c>
      <c r="T2" s="94">
        <v>0</v>
      </c>
    </row>
    <row r="3" spans="1:30" customFormat="1" x14ac:dyDescent="0.15">
      <c r="A3" s="161" t="s">
        <v>193</v>
      </c>
      <c r="B3" s="94">
        <v>0</v>
      </c>
      <c r="C3" s="94">
        <v>0</v>
      </c>
      <c r="D3" s="94">
        <v>0</v>
      </c>
      <c r="E3" s="94">
        <v>0.8</v>
      </c>
      <c r="F3" s="94">
        <v>0</v>
      </c>
      <c r="G3" s="94">
        <v>0</v>
      </c>
      <c r="H3" s="94">
        <v>0.8</v>
      </c>
      <c r="I3" s="94">
        <v>0</v>
      </c>
      <c r="J3" s="94">
        <v>0</v>
      </c>
      <c r="K3" s="94">
        <v>0.8</v>
      </c>
      <c r="L3" s="94">
        <v>0.8</v>
      </c>
      <c r="M3" s="94">
        <v>0</v>
      </c>
      <c r="N3" s="94">
        <v>0</v>
      </c>
      <c r="O3" s="94">
        <v>0.8</v>
      </c>
      <c r="P3" s="94">
        <v>0</v>
      </c>
      <c r="Q3" s="94">
        <v>0.8</v>
      </c>
      <c r="R3" s="94">
        <v>0</v>
      </c>
      <c r="S3" s="94">
        <v>0</v>
      </c>
      <c r="T3" s="94">
        <v>0</v>
      </c>
    </row>
    <row r="4" spans="1:30" customFormat="1" x14ac:dyDescent="0.15">
      <c r="A4" s="161" t="s">
        <v>194</v>
      </c>
      <c r="B4" s="94">
        <v>0</v>
      </c>
      <c r="C4" s="94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4">
        <v>0.8</v>
      </c>
      <c r="L4" s="94">
        <v>0</v>
      </c>
      <c r="M4" s="94">
        <v>0.8</v>
      </c>
      <c r="N4" s="94">
        <v>0</v>
      </c>
      <c r="O4" s="94">
        <v>0</v>
      </c>
      <c r="P4" s="94">
        <v>0.8</v>
      </c>
      <c r="Q4" s="94">
        <v>0.8</v>
      </c>
      <c r="R4" s="94">
        <v>0</v>
      </c>
      <c r="S4" s="94">
        <v>0</v>
      </c>
      <c r="T4" s="94">
        <v>0</v>
      </c>
    </row>
    <row r="5" spans="1:30" customFormat="1" x14ac:dyDescent="0.15">
      <c r="A5" s="161" t="s">
        <v>195</v>
      </c>
      <c r="B5" s="94">
        <v>0</v>
      </c>
      <c r="C5" s="94">
        <v>0</v>
      </c>
      <c r="D5" s="94">
        <v>0.8</v>
      </c>
      <c r="E5" s="94">
        <v>0</v>
      </c>
      <c r="F5" s="94">
        <v>0</v>
      </c>
      <c r="G5" s="94">
        <v>0</v>
      </c>
      <c r="H5" s="94">
        <v>0.8</v>
      </c>
      <c r="I5" s="94">
        <v>0.8</v>
      </c>
      <c r="J5" s="94">
        <v>0.8</v>
      </c>
      <c r="K5" s="94">
        <v>0.8</v>
      </c>
      <c r="L5" s="94">
        <v>0</v>
      </c>
      <c r="M5" s="94">
        <v>0.8</v>
      </c>
      <c r="N5" s="94">
        <v>0</v>
      </c>
      <c r="O5" s="94">
        <v>0</v>
      </c>
      <c r="P5" s="94">
        <v>0</v>
      </c>
      <c r="Q5" s="94">
        <v>0.8</v>
      </c>
      <c r="R5" s="94">
        <v>0.8</v>
      </c>
      <c r="S5" s="94">
        <v>0</v>
      </c>
      <c r="T5" s="94">
        <v>0</v>
      </c>
    </row>
    <row r="6" spans="1:30" customFormat="1" x14ac:dyDescent="0.15">
      <c r="A6" s="161" t="s">
        <v>196</v>
      </c>
      <c r="B6" s="94">
        <v>0</v>
      </c>
      <c r="C6" s="94">
        <v>0</v>
      </c>
      <c r="D6" s="94">
        <v>0</v>
      </c>
      <c r="E6" s="94">
        <v>0</v>
      </c>
      <c r="F6" s="94">
        <v>0.8</v>
      </c>
      <c r="G6" s="94">
        <v>0.8</v>
      </c>
      <c r="H6" s="94">
        <v>0</v>
      </c>
      <c r="I6" s="94">
        <v>0</v>
      </c>
      <c r="J6" s="94">
        <v>0</v>
      </c>
      <c r="K6" s="94">
        <v>0.8</v>
      </c>
      <c r="L6" s="94">
        <v>0.8</v>
      </c>
      <c r="M6" s="94">
        <v>0</v>
      </c>
      <c r="N6" s="94">
        <v>0</v>
      </c>
      <c r="O6" s="94">
        <v>0.8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</row>
    <row r="7" spans="1:30" customFormat="1" x14ac:dyDescent="0.15">
      <c r="A7" s="161" t="s">
        <v>197</v>
      </c>
      <c r="B7" s="94">
        <v>0</v>
      </c>
      <c r="C7" s="94">
        <v>0</v>
      </c>
      <c r="D7" s="94">
        <v>0</v>
      </c>
      <c r="E7" s="94">
        <v>0</v>
      </c>
      <c r="F7" s="94">
        <v>0</v>
      </c>
      <c r="G7" s="94">
        <v>0.8</v>
      </c>
      <c r="H7" s="94">
        <v>0.8</v>
      </c>
      <c r="I7" s="94">
        <v>0.8</v>
      </c>
      <c r="J7" s="94">
        <v>0.8</v>
      </c>
      <c r="K7" s="94">
        <v>0.8</v>
      </c>
      <c r="L7" s="94">
        <v>0.8</v>
      </c>
      <c r="M7" s="94">
        <v>0</v>
      </c>
      <c r="N7" s="94">
        <v>0.8</v>
      </c>
      <c r="O7" s="94">
        <v>0</v>
      </c>
      <c r="P7" s="94">
        <v>0.8</v>
      </c>
      <c r="Q7" s="94">
        <v>0</v>
      </c>
      <c r="R7" s="94">
        <v>0.8</v>
      </c>
      <c r="S7" s="94">
        <v>0</v>
      </c>
      <c r="T7" s="94">
        <v>0</v>
      </c>
    </row>
    <row r="8" spans="1:30" customFormat="1" x14ac:dyDescent="0.15">
      <c r="A8" s="161" t="s">
        <v>198</v>
      </c>
      <c r="B8" s="94">
        <v>0</v>
      </c>
      <c r="C8" s="94">
        <v>0</v>
      </c>
      <c r="D8" s="94">
        <v>0</v>
      </c>
      <c r="E8" s="94">
        <v>0</v>
      </c>
      <c r="F8" s="94">
        <v>0</v>
      </c>
      <c r="G8" s="94">
        <v>0</v>
      </c>
      <c r="H8" s="94">
        <v>0.8</v>
      </c>
      <c r="I8" s="94">
        <v>0.8</v>
      </c>
      <c r="J8" s="94">
        <v>0.8</v>
      </c>
      <c r="K8" s="94">
        <v>0.8</v>
      </c>
      <c r="L8" s="94">
        <v>0</v>
      </c>
      <c r="M8" s="94">
        <v>0.8</v>
      </c>
      <c r="N8" s="94">
        <v>0.8</v>
      </c>
      <c r="O8" s="94">
        <v>0</v>
      </c>
      <c r="P8" s="94">
        <v>0.8</v>
      </c>
      <c r="Q8" s="94">
        <v>0.8</v>
      </c>
      <c r="R8" s="94">
        <v>0.8</v>
      </c>
      <c r="S8" s="94">
        <v>0</v>
      </c>
      <c r="T8" s="94">
        <v>0</v>
      </c>
    </row>
    <row r="9" spans="1:30" customFormat="1" x14ac:dyDescent="0.15">
      <c r="A9" s="161" t="s">
        <v>199</v>
      </c>
      <c r="B9" s="94">
        <v>0</v>
      </c>
      <c r="C9" s="94">
        <v>0</v>
      </c>
      <c r="D9" s="94">
        <v>0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</row>
    <row r="10" spans="1:30" customFormat="1" x14ac:dyDescent="0.15">
      <c r="A10" s="161" t="s">
        <v>200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</row>
    <row r="11" spans="1:30" customFormat="1" x14ac:dyDescent="0.15">
      <c r="A11" s="161" t="s">
        <v>201</v>
      </c>
      <c r="B11" s="94">
        <v>0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4">
        <v>0</v>
      </c>
      <c r="J11" s="94">
        <v>0.8</v>
      </c>
      <c r="K11" s="94">
        <v>0.8</v>
      </c>
      <c r="L11" s="94">
        <v>0</v>
      </c>
      <c r="M11" s="94">
        <v>0.8</v>
      </c>
      <c r="N11" s="94">
        <v>0.8</v>
      </c>
      <c r="O11" s="94">
        <v>0</v>
      </c>
      <c r="P11" s="94">
        <v>0</v>
      </c>
      <c r="Q11" s="94">
        <v>0</v>
      </c>
      <c r="R11" s="94">
        <v>0.8</v>
      </c>
      <c r="S11" s="94">
        <v>0</v>
      </c>
      <c r="T11" s="94">
        <v>0</v>
      </c>
    </row>
    <row r="12" spans="1:30" customFormat="1" x14ac:dyDescent="0.15">
      <c r="A12" s="161" t="s">
        <v>202</v>
      </c>
      <c r="B12" s="94">
        <v>0</v>
      </c>
      <c r="C12" s="94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4">
        <v>0</v>
      </c>
      <c r="L12" s="94">
        <v>0</v>
      </c>
      <c r="M12" s="94">
        <v>0.8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</row>
    <row r="13" spans="1:30" customFormat="1" x14ac:dyDescent="0.15">
      <c r="A13" s="161" t="s">
        <v>203</v>
      </c>
      <c r="B13" s="94">
        <v>0</v>
      </c>
      <c r="C13" s="94">
        <v>0</v>
      </c>
      <c r="D13" s="94">
        <v>0</v>
      </c>
      <c r="E13" s="94">
        <v>0</v>
      </c>
      <c r="F13" s="94">
        <v>0</v>
      </c>
      <c r="G13" s="94">
        <v>0</v>
      </c>
      <c r="H13" s="94">
        <v>0</v>
      </c>
      <c r="I13" s="94">
        <v>0</v>
      </c>
      <c r="J13" s="94">
        <v>0</v>
      </c>
      <c r="K13" s="94">
        <v>0</v>
      </c>
      <c r="L13" s="94">
        <v>0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</row>
    <row r="14" spans="1:30" customFormat="1" x14ac:dyDescent="0.15">
      <c r="A14" s="161" t="s">
        <v>204</v>
      </c>
      <c r="B14" s="94">
        <v>0</v>
      </c>
      <c r="C14" s="94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4">
        <v>0</v>
      </c>
      <c r="L14" s="94">
        <v>0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</row>
    <row r="15" spans="1:30" customFormat="1" x14ac:dyDescent="0.15">
      <c r="A15" s="161" t="s">
        <v>205</v>
      </c>
      <c r="B15" s="94">
        <v>0</v>
      </c>
      <c r="C15" s="94">
        <v>0</v>
      </c>
      <c r="D15" s="94">
        <v>0</v>
      </c>
      <c r="E15" s="94">
        <v>0</v>
      </c>
      <c r="F15" s="94">
        <v>0</v>
      </c>
      <c r="G15" s="94">
        <v>0</v>
      </c>
      <c r="H15" s="94">
        <v>0</v>
      </c>
      <c r="I15" s="94">
        <v>0</v>
      </c>
      <c r="J15" s="94">
        <v>0</v>
      </c>
      <c r="K15" s="94">
        <v>0</v>
      </c>
      <c r="L15" s="94">
        <v>0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</row>
    <row r="16" spans="1:30" customFormat="1" x14ac:dyDescent="0.15">
      <c r="A16" s="161" t="s">
        <v>206</v>
      </c>
      <c r="B16" s="94">
        <v>0</v>
      </c>
      <c r="C16" s="94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0.8</v>
      </c>
      <c r="K16" s="94">
        <v>0</v>
      </c>
      <c r="L16" s="94">
        <v>0</v>
      </c>
      <c r="M16" s="94">
        <v>0.8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</row>
    <row r="17" spans="1:20" customFormat="1" x14ac:dyDescent="0.15">
      <c r="A17" s="161" t="s">
        <v>207</v>
      </c>
      <c r="B17" s="94">
        <v>0</v>
      </c>
      <c r="C17" s="94">
        <v>0</v>
      </c>
      <c r="D17" s="94">
        <v>0</v>
      </c>
      <c r="E17" s="94">
        <v>0</v>
      </c>
      <c r="F17" s="94">
        <v>0</v>
      </c>
      <c r="G17" s="94">
        <v>0</v>
      </c>
      <c r="H17" s="94">
        <v>0</v>
      </c>
      <c r="I17" s="94">
        <v>0.8</v>
      </c>
      <c r="J17" s="94">
        <v>0.8</v>
      </c>
      <c r="K17" s="94">
        <v>0</v>
      </c>
      <c r="L17" s="94">
        <v>0</v>
      </c>
      <c r="M17" s="94">
        <v>0.8</v>
      </c>
      <c r="N17" s="94">
        <v>0.8</v>
      </c>
      <c r="O17" s="94">
        <v>0</v>
      </c>
      <c r="P17" s="94">
        <v>0</v>
      </c>
      <c r="Q17" s="94">
        <v>0</v>
      </c>
      <c r="R17" s="94">
        <v>0.8</v>
      </c>
      <c r="S17" s="94">
        <v>0</v>
      </c>
      <c r="T17" s="94">
        <v>0</v>
      </c>
    </row>
    <row r="18" spans="1:20" customFormat="1" x14ac:dyDescent="0.15">
      <c r="A18" s="161" t="s">
        <v>208</v>
      </c>
      <c r="B18" s="94">
        <v>0</v>
      </c>
      <c r="C18" s="94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0.8</v>
      </c>
      <c r="K18" s="94">
        <v>0</v>
      </c>
      <c r="L18" s="94">
        <v>0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0.8</v>
      </c>
      <c r="S18" s="94">
        <v>0</v>
      </c>
      <c r="T18" s="94">
        <v>0</v>
      </c>
    </row>
    <row r="19" spans="1:20" customFormat="1" x14ac:dyDescent="0.15">
      <c r="A19" s="161" t="s">
        <v>209</v>
      </c>
      <c r="B19" s="94">
        <v>0</v>
      </c>
      <c r="C19" s="94">
        <v>0.8</v>
      </c>
      <c r="D19" s="94">
        <v>0.8</v>
      </c>
      <c r="E19" s="94">
        <v>0.8</v>
      </c>
      <c r="F19" s="94">
        <v>0.8</v>
      </c>
      <c r="G19" s="94">
        <v>0.8</v>
      </c>
      <c r="H19" s="94">
        <v>0.8</v>
      </c>
      <c r="I19" s="94">
        <v>0</v>
      </c>
      <c r="J19" s="94">
        <v>0.8</v>
      </c>
      <c r="K19" s="94">
        <v>0.8</v>
      </c>
      <c r="L19" s="94">
        <v>0.8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</row>
    <row r="20" spans="1:20" customFormat="1" x14ac:dyDescent="0.15">
      <c r="A20" s="161" t="s">
        <v>210</v>
      </c>
      <c r="B20" s="94">
        <v>0</v>
      </c>
      <c r="C20" s="94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4">
        <v>0</v>
      </c>
      <c r="L20" s="94">
        <v>0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</row>
    <row r="21" spans="1:20" customFormat="1" x14ac:dyDescent="0.15">
      <c r="A21" s="161" t="s">
        <v>213</v>
      </c>
      <c r="B21" s="94">
        <v>0</v>
      </c>
      <c r="C21" s="94">
        <v>0</v>
      </c>
      <c r="D21" s="94">
        <v>0</v>
      </c>
      <c r="E21" s="94">
        <v>0</v>
      </c>
      <c r="F21" s="94">
        <v>0</v>
      </c>
      <c r="G21" s="94">
        <v>0</v>
      </c>
      <c r="H21" s="94">
        <v>0</v>
      </c>
      <c r="I21" s="94">
        <v>0</v>
      </c>
      <c r="J21" s="94">
        <v>0</v>
      </c>
      <c r="K21" s="94">
        <v>0</v>
      </c>
      <c r="L21" s="94">
        <v>0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4" bestFit="1" customWidth="1"/>
    <col min="2" max="20" width="2.33203125" style="94" customWidth="1"/>
    <col min="21" max="16384" width="10.83203125" style="94"/>
  </cols>
  <sheetData>
    <row r="1" spans="1:31" x14ac:dyDescent="0.15">
      <c r="A1" s="57" t="s">
        <v>139</v>
      </c>
      <c r="B1" s="164" t="s">
        <v>192</v>
      </c>
      <c r="C1" s="164" t="s">
        <v>193</v>
      </c>
      <c r="D1" s="164" t="s">
        <v>194</v>
      </c>
      <c r="E1" s="164" t="s">
        <v>195</v>
      </c>
      <c r="F1" s="164" t="s">
        <v>196</v>
      </c>
      <c r="G1" s="164" t="s">
        <v>197</v>
      </c>
      <c r="H1" s="164" t="s">
        <v>198</v>
      </c>
      <c r="I1" s="164" t="s">
        <v>199</v>
      </c>
      <c r="J1" s="164" t="s">
        <v>200</v>
      </c>
      <c r="K1" s="164" t="s">
        <v>201</v>
      </c>
      <c r="L1" s="164" t="s">
        <v>202</v>
      </c>
      <c r="M1" s="164" t="s">
        <v>203</v>
      </c>
      <c r="N1" s="164" t="s">
        <v>204</v>
      </c>
      <c r="O1" s="164" t="s">
        <v>205</v>
      </c>
      <c r="P1" s="164" t="s">
        <v>206</v>
      </c>
      <c r="Q1" s="164" t="s">
        <v>207</v>
      </c>
      <c r="R1" s="164" t="s">
        <v>208</v>
      </c>
      <c r="S1" s="164" t="s">
        <v>209</v>
      </c>
      <c r="T1" s="164" t="s">
        <v>210</v>
      </c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63" t="s">
        <v>192</v>
      </c>
      <c r="B2" s="94">
        <v>0</v>
      </c>
      <c r="C2" s="94">
        <v>1</v>
      </c>
      <c r="D2" s="94">
        <v>1</v>
      </c>
      <c r="E2" s="94">
        <v>1</v>
      </c>
      <c r="F2" s="94">
        <v>1</v>
      </c>
      <c r="G2" s="94">
        <v>1</v>
      </c>
      <c r="H2" s="94">
        <v>1</v>
      </c>
      <c r="I2" s="94">
        <v>0</v>
      </c>
      <c r="J2" s="94">
        <v>0</v>
      </c>
      <c r="K2" s="94">
        <v>0</v>
      </c>
      <c r="L2" s="94">
        <v>1</v>
      </c>
      <c r="M2" s="94">
        <v>0</v>
      </c>
      <c r="N2" s="94">
        <v>0</v>
      </c>
      <c r="O2" s="94">
        <v>0</v>
      </c>
      <c r="P2" s="94">
        <v>0</v>
      </c>
      <c r="Q2" s="94">
        <v>0</v>
      </c>
      <c r="R2" s="94">
        <v>0</v>
      </c>
      <c r="S2" s="94">
        <v>0</v>
      </c>
      <c r="T2" s="94">
        <v>0</v>
      </c>
    </row>
    <row r="3" spans="1:31" customFormat="1" x14ac:dyDescent="0.15">
      <c r="A3" s="163" t="s">
        <v>193</v>
      </c>
      <c r="B3" s="94">
        <v>0</v>
      </c>
      <c r="C3" s="94">
        <v>0</v>
      </c>
      <c r="D3" s="94">
        <v>0</v>
      </c>
      <c r="E3" s="94">
        <v>1</v>
      </c>
      <c r="F3" s="94">
        <v>0</v>
      </c>
      <c r="G3" s="94">
        <v>0</v>
      </c>
      <c r="H3" s="94">
        <v>1</v>
      </c>
      <c r="I3" s="94">
        <v>0</v>
      </c>
      <c r="J3" s="94">
        <v>0</v>
      </c>
      <c r="K3" s="94">
        <v>1</v>
      </c>
      <c r="L3" s="94">
        <v>1</v>
      </c>
      <c r="M3" s="94">
        <v>0</v>
      </c>
      <c r="N3" s="94">
        <v>0</v>
      </c>
      <c r="O3" s="94">
        <v>1</v>
      </c>
      <c r="P3" s="94">
        <v>0</v>
      </c>
      <c r="Q3" s="94">
        <v>1</v>
      </c>
      <c r="R3" s="94">
        <v>0</v>
      </c>
      <c r="S3" s="94">
        <v>0</v>
      </c>
      <c r="T3" s="94">
        <v>0</v>
      </c>
    </row>
    <row r="4" spans="1:31" customFormat="1" x14ac:dyDescent="0.15">
      <c r="A4" s="163" t="s">
        <v>194</v>
      </c>
      <c r="B4" s="94">
        <v>0</v>
      </c>
      <c r="C4" s="94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4">
        <v>1</v>
      </c>
      <c r="L4" s="94">
        <v>0</v>
      </c>
      <c r="M4" s="94">
        <v>1</v>
      </c>
      <c r="N4" s="94">
        <v>0</v>
      </c>
      <c r="O4" s="94">
        <v>0</v>
      </c>
      <c r="P4" s="94">
        <v>1</v>
      </c>
      <c r="Q4" s="94">
        <v>1</v>
      </c>
      <c r="R4" s="94">
        <v>0</v>
      </c>
      <c r="S4" s="94">
        <v>0</v>
      </c>
      <c r="T4" s="94">
        <v>0</v>
      </c>
    </row>
    <row r="5" spans="1:31" customFormat="1" x14ac:dyDescent="0.15">
      <c r="A5" s="163" t="s">
        <v>195</v>
      </c>
      <c r="B5" s="94">
        <v>0</v>
      </c>
      <c r="C5" s="94">
        <v>0</v>
      </c>
      <c r="D5" s="94">
        <v>1</v>
      </c>
      <c r="E5" s="94">
        <v>0</v>
      </c>
      <c r="F5" s="94">
        <v>0</v>
      </c>
      <c r="G5" s="94">
        <v>0</v>
      </c>
      <c r="H5" s="94">
        <v>1</v>
      </c>
      <c r="I5" s="94">
        <v>1</v>
      </c>
      <c r="J5" s="94">
        <v>1</v>
      </c>
      <c r="K5" s="94">
        <v>1</v>
      </c>
      <c r="L5" s="94">
        <v>0</v>
      </c>
      <c r="M5" s="94">
        <v>1</v>
      </c>
      <c r="N5" s="94">
        <v>0</v>
      </c>
      <c r="O5" s="94">
        <v>0</v>
      </c>
      <c r="P5" s="94">
        <v>0</v>
      </c>
      <c r="Q5" s="94">
        <v>1</v>
      </c>
      <c r="R5" s="94">
        <v>1</v>
      </c>
      <c r="S5" s="94">
        <v>0</v>
      </c>
      <c r="T5" s="94">
        <v>0</v>
      </c>
    </row>
    <row r="6" spans="1:31" customFormat="1" x14ac:dyDescent="0.15">
      <c r="A6" s="163" t="s">
        <v>196</v>
      </c>
      <c r="B6" s="94">
        <v>0</v>
      </c>
      <c r="C6" s="94">
        <v>0</v>
      </c>
      <c r="D6" s="94">
        <v>0</v>
      </c>
      <c r="E6" s="94">
        <v>0</v>
      </c>
      <c r="F6" s="94">
        <v>1</v>
      </c>
      <c r="G6" s="94">
        <v>1</v>
      </c>
      <c r="H6" s="94">
        <v>0</v>
      </c>
      <c r="I6" s="94">
        <v>0</v>
      </c>
      <c r="J6" s="94">
        <v>0</v>
      </c>
      <c r="K6" s="94">
        <v>1</v>
      </c>
      <c r="L6" s="94">
        <v>1</v>
      </c>
      <c r="M6" s="94">
        <v>0</v>
      </c>
      <c r="N6" s="94">
        <v>0</v>
      </c>
      <c r="O6" s="94">
        <v>1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</row>
    <row r="7" spans="1:31" customFormat="1" x14ac:dyDescent="0.15">
      <c r="A7" s="163" t="s">
        <v>197</v>
      </c>
      <c r="B7" s="94">
        <v>0</v>
      </c>
      <c r="C7" s="94">
        <v>0</v>
      </c>
      <c r="D7" s="94">
        <v>0</v>
      </c>
      <c r="E7" s="94">
        <v>0</v>
      </c>
      <c r="F7" s="94">
        <v>0</v>
      </c>
      <c r="G7" s="94">
        <v>1</v>
      </c>
      <c r="H7" s="94">
        <v>1</v>
      </c>
      <c r="I7" s="94">
        <v>1</v>
      </c>
      <c r="J7" s="94">
        <v>1</v>
      </c>
      <c r="K7" s="94">
        <v>1</v>
      </c>
      <c r="L7" s="94">
        <v>1</v>
      </c>
      <c r="M7" s="94">
        <v>0</v>
      </c>
      <c r="N7" s="94">
        <v>1</v>
      </c>
      <c r="O7" s="94">
        <v>0</v>
      </c>
      <c r="P7" s="94">
        <v>1</v>
      </c>
      <c r="Q7" s="94">
        <v>0</v>
      </c>
      <c r="R7" s="94">
        <v>1</v>
      </c>
      <c r="S7" s="94">
        <v>0</v>
      </c>
      <c r="T7" s="94">
        <v>0</v>
      </c>
    </row>
    <row r="8" spans="1:31" customFormat="1" x14ac:dyDescent="0.15">
      <c r="A8" s="163" t="s">
        <v>198</v>
      </c>
      <c r="B8" s="94">
        <v>0</v>
      </c>
      <c r="C8" s="94">
        <v>0</v>
      </c>
      <c r="D8" s="94">
        <v>0</v>
      </c>
      <c r="E8" s="94">
        <v>0</v>
      </c>
      <c r="F8" s="94">
        <v>0</v>
      </c>
      <c r="G8" s="94">
        <v>0</v>
      </c>
      <c r="H8" s="94">
        <v>1</v>
      </c>
      <c r="I8" s="94">
        <v>1</v>
      </c>
      <c r="J8" s="94">
        <v>1</v>
      </c>
      <c r="K8" s="94">
        <v>1</v>
      </c>
      <c r="L8" s="94">
        <v>0</v>
      </c>
      <c r="M8" s="94">
        <v>1</v>
      </c>
      <c r="N8" s="94">
        <v>1</v>
      </c>
      <c r="O8" s="94">
        <v>0</v>
      </c>
      <c r="P8" s="94">
        <v>1</v>
      </c>
      <c r="Q8" s="94">
        <v>1</v>
      </c>
      <c r="R8" s="94">
        <v>1</v>
      </c>
      <c r="S8" s="94">
        <v>0</v>
      </c>
      <c r="T8" s="94">
        <v>0</v>
      </c>
    </row>
    <row r="9" spans="1:31" customFormat="1" x14ac:dyDescent="0.15">
      <c r="A9" s="163" t="s">
        <v>199</v>
      </c>
      <c r="B9" s="94">
        <v>0</v>
      </c>
      <c r="C9" s="94">
        <v>0</v>
      </c>
      <c r="D9" s="94">
        <v>0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</row>
    <row r="10" spans="1:31" customFormat="1" x14ac:dyDescent="0.15">
      <c r="A10" s="163" t="s">
        <v>200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</row>
    <row r="11" spans="1:31" customFormat="1" x14ac:dyDescent="0.15">
      <c r="A11" s="163" t="s">
        <v>201</v>
      </c>
      <c r="B11" s="94">
        <v>0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4">
        <v>0</v>
      </c>
      <c r="J11" s="94">
        <v>1</v>
      </c>
      <c r="K11" s="94">
        <v>1</v>
      </c>
      <c r="L11" s="94">
        <v>0</v>
      </c>
      <c r="M11" s="94">
        <v>1</v>
      </c>
      <c r="N11" s="94">
        <v>1</v>
      </c>
      <c r="O11" s="94">
        <v>0</v>
      </c>
      <c r="P11" s="94">
        <v>0</v>
      </c>
      <c r="Q11" s="94">
        <v>0</v>
      </c>
      <c r="R11" s="94">
        <v>1</v>
      </c>
      <c r="S11" s="94">
        <v>0</v>
      </c>
      <c r="T11" s="94">
        <v>0</v>
      </c>
    </row>
    <row r="12" spans="1:31" customFormat="1" x14ac:dyDescent="0.15">
      <c r="A12" s="163" t="s">
        <v>202</v>
      </c>
      <c r="B12" s="94">
        <v>0</v>
      </c>
      <c r="C12" s="94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4">
        <v>0</v>
      </c>
      <c r="L12" s="94">
        <v>0</v>
      </c>
      <c r="M12" s="94">
        <v>1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</row>
    <row r="13" spans="1:31" customFormat="1" x14ac:dyDescent="0.15">
      <c r="A13" s="163" t="s">
        <v>203</v>
      </c>
      <c r="B13" s="94">
        <v>0</v>
      </c>
      <c r="C13" s="94">
        <v>0</v>
      </c>
      <c r="D13" s="94">
        <v>0</v>
      </c>
      <c r="E13" s="94">
        <v>0</v>
      </c>
      <c r="F13" s="94">
        <v>0</v>
      </c>
      <c r="G13" s="94">
        <v>0</v>
      </c>
      <c r="H13" s="94">
        <v>0</v>
      </c>
      <c r="I13" s="94">
        <v>0</v>
      </c>
      <c r="J13" s="94">
        <v>0</v>
      </c>
      <c r="K13" s="94">
        <v>0</v>
      </c>
      <c r="L13" s="94">
        <v>0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</row>
    <row r="14" spans="1:31" customFormat="1" x14ac:dyDescent="0.15">
      <c r="A14" s="163" t="s">
        <v>204</v>
      </c>
      <c r="B14" s="94">
        <v>0</v>
      </c>
      <c r="C14" s="94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4">
        <v>0</v>
      </c>
      <c r="L14" s="94">
        <v>0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</row>
    <row r="15" spans="1:31" customFormat="1" x14ac:dyDescent="0.15">
      <c r="A15" s="163" t="s">
        <v>205</v>
      </c>
      <c r="B15" s="94">
        <v>0</v>
      </c>
      <c r="C15" s="94">
        <v>0</v>
      </c>
      <c r="D15" s="94">
        <v>0</v>
      </c>
      <c r="E15" s="94">
        <v>0</v>
      </c>
      <c r="F15" s="94">
        <v>0</v>
      </c>
      <c r="G15" s="94">
        <v>0</v>
      </c>
      <c r="H15" s="94">
        <v>0</v>
      </c>
      <c r="I15" s="94">
        <v>0</v>
      </c>
      <c r="J15" s="94">
        <v>0</v>
      </c>
      <c r="K15" s="94">
        <v>0</v>
      </c>
      <c r="L15" s="94">
        <v>0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</row>
    <row r="16" spans="1:31" customFormat="1" x14ac:dyDescent="0.15">
      <c r="A16" s="163" t="s">
        <v>206</v>
      </c>
      <c r="B16" s="94">
        <v>0</v>
      </c>
      <c r="C16" s="94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1</v>
      </c>
      <c r="K16" s="94">
        <v>0</v>
      </c>
      <c r="L16" s="94">
        <v>0</v>
      </c>
      <c r="M16" s="94">
        <v>1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</row>
    <row r="17" spans="1:20" customFormat="1" x14ac:dyDescent="0.15">
      <c r="A17" s="163" t="s">
        <v>207</v>
      </c>
      <c r="B17" s="94">
        <v>0</v>
      </c>
      <c r="C17" s="94">
        <v>0</v>
      </c>
      <c r="D17" s="94">
        <v>0</v>
      </c>
      <c r="E17" s="94">
        <v>0</v>
      </c>
      <c r="F17" s="94">
        <v>0</v>
      </c>
      <c r="G17" s="94">
        <v>0</v>
      </c>
      <c r="H17" s="94">
        <v>0</v>
      </c>
      <c r="I17" s="94">
        <v>1</v>
      </c>
      <c r="J17" s="94">
        <v>1</v>
      </c>
      <c r="K17" s="94">
        <v>0</v>
      </c>
      <c r="L17" s="94">
        <v>0</v>
      </c>
      <c r="M17" s="94">
        <v>1</v>
      </c>
      <c r="N17" s="94">
        <v>1</v>
      </c>
      <c r="O17" s="94">
        <v>0</v>
      </c>
      <c r="P17" s="94">
        <v>0</v>
      </c>
      <c r="Q17" s="94">
        <v>0</v>
      </c>
      <c r="R17" s="94">
        <v>1</v>
      </c>
      <c r="S17" s="94">
        <v>0</v>
      </c>
      <c r="T17" s="94">
        <v>0</v>
      </c>
    </row>
    <row r="18" spans="1:20" customFormat="1" x14ac:dyDescent="0.15">
      <c r="A18" s="163" t="s">
        <v>208</v>
      </c>
      <c r="B18" s="94">
        <v>0</v>
      </c>
      <c r="C18" s="94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1</v>
      </c>
      <c r="K18" s="94">
        <v>0</v>
      </c>
      <c r="L18" s="94">
        <v>0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1</v>
      </c>
      <c r="S18" s="94">
        <v>0</v>
      </c>
      <c r="T18" s="94">
        <v>0</v>
      </c>
    </row>
    <row r="19" spans="1:20" customFormat="1" x14ac:dyDescent="0.15">
      <c r="A19" s="163" t="s">
        <v>209</v>
      </c>
      <c r="B19" s="94">
        <v>0</v>
      </c>
      <c r="C19" s="94">
        <v>1</v>
      </c>
      <c r="D19" s="94">
        <v>1</v>
      </c>
      <c r="E19" s="94">
        <v>1</v>
      </c>
      <c r="F19" s="94">
        <v>1</v>
      </c>
      <c r="G19" s="94">
        <v>1</v>
      </c>
      <c r="H19" s="94">
        <v>1</v>
      </c>
      <c r="I19" s="94">
        <v>0</v>
      </c>
      <c r="J19" s="94">
        <v>1</v>
      </c>
      <c r="K19" s="94">
        <v>1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</row>
    <row r="20" spans="1:20" customFormat="1" x14ac:dyDescent="0.15">
      <c r="A20" s="163" t="s">
        <v>210</v>
      </c>
      <c r="B20" s="94">
        <v>0</v>
      </c>
      <c r="C20" s="94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4">
        <v>0</v>
      </c>
      <c r="L20" s="94">
        <v>0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</row>
    <row r="21" spans="1:20" customFormat="1" x14ac:dyDescent="0.15">
      <c r="A21" s="163" t="s">
        <v>213</v>
      </c>
      <c r="B21" s="94">
        <v>0</v>
      </c>
      <c r="C21" s="94">
        <v>0</v>
      </c>
      <c r="D21" s="94">
        <v>0</v>
      </c>
      <c r="E21" s="94">
        <v>0</v>
      </c>
      <c r="F21" s="94">
        <v>0</v>
      </c>
      <c r="G21" s="94">
        <v>0</v>
      </c>
      <c r="H21" s="94">
        <v>0</v>
      </c>
      <c r="I21" s="94">
        <v>0</v>
      </c>
      <c r="J21" s="94">
        <v>0</v>
      </c>
      <c r="K21" s="94">
        <v>0</v>
      </c>
      <c r="L21" s="94">
        <v>0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66" t="s">
        <v>211</v>
      </c>
      <c r="D1" s="166" t="s">
        <v>212</v>
      </c>
    </row>
    <row r="2" spans="1:4" x14ac:dyDescent="0.15">
      <c r="A2">
        <v>1</v>
      </c>
      <c r="B2" s="165" t="s">
        <v>192</v>
      </c>
      <c r="C2">
        <v>0</v>
      </c>
      <c r="D2">
        <v>0</v>
      </c>
    </row>
    <row r="3" spans="1:4" x14ac:dyDescent="0.15">
      <c r="A3">
        <v>2</v>
      </c>
      <c r="B3" s="165" t="s">
        <v>193</v>
      </c>
      <c r="C3">
        <v>0</v>
      </c>
      <c r="D3">
        <v>0</v>
      </c>
    </row>
    <row r="4" spans="1:4" x14ac:dyDescent="0.15">
      <c r="A4">
        <v>3</v>
      </c>
      <c r="B4" s="165" t="s">
        <v>194</v>
      </c>
      <c r="C4">
        <v>0</v>
      </c>
      <c r="D4">
        <v>0</v>
      </c>
    </row>
    <row r="5" spans="1:4" x14ac:dyDescent="0.15">
      <c r="A5">
        <v>4</v>
      </c>
      <c r="B5" s="165" t="s">
        <v>195</v>
      </c>
      <c r="C5">
        <v>0</v>
      </c>
      <c r="D5">
        <v>0</v>
      </c>
    </row>
    <row r="6" spans="1:4" x14ac:dyDescent="0.15">
      <c r="A6">
        <v>5</v>
      </c>
      <c r="B6" s="165" t="s">
        <v>196</v>
      </c>
      <c r="C6">
        <v>0</v>
      </c>
      <c r="D6">
        <v>0</v>
      </c>
    </row>
    <row r="7" spans="1:4" x14ac:dyDescent="0.15">
      <c r="A7">
        <v>6</v>
      </c>
      <c r="B7" s="165" t="s">
        <v>197</v>
      </c>
      <c r="C7">
        <v>0</v>
      </c>
      <c r="D7">
        <v>0</v>
      </c>
    </row>
    <row r="8" spans="1:4" x14ac:dyDescent="0.15">
      <c r="A8">
        <v>7</v>
      </c>
      <c r="B8" s="165" t="s">
        <v>198</v>
      </c>
      <c r="C8">
        <v>0.8</v>
      </c>
      <c r="D8">
        <v>0.8</v>
      </c>
    </row>
    <row r="9" spans="1:4" x14ac:dyDescent="0.15">
      <c r="A9">
        <v>8</v>
      </c>
      <c r="B9" s="165" t="s">
        <v>199</v>
      </c>
      <c r="C9">
        <v>0</v>
      </c>
      <c r="D9">
        <v>0</v>
      </c>
    </row>
    <row r="10" spans="1:4" x14ac:dyDescent="0.15">
      <c r="A10">
        <v>9</v>
      </c>
      <c r="B10" s="165" t="s">
        <v>200</v>
      </c>
      <c r="C10">
        <v>0.8</v>
      </c>
      <c r="D10">
        <v>0</v>
      </c>
    </row>
    <row r="11" spans="1:4" x14ac:dyDescent="0.15">
      <c r="A11">
        <v>10</v>
      </c>
      <c r="B11" s="165" t="s">
        <v>201</v>
      </c>
      <c r="C11">
        <v>0</v>
      </c>
      <c r="D11">
        <v>0.8</v>
      </c>
    </row>
    <row r="12" spans="1:4" x14ac:dyDescent="0.15">
      <c r="A12">
        <v>11</v>
      </c>
      <c r="B12" s="165" t="s">
        <v>202</v>
      </c>
      <c r="C12">
        <v>0.8</v>
      </c>
      <c r="D12">
        <v>0</v>
      </c>
    </row>
    <row r="13" spans="1:4" x14ac:dyDescent="0.15">
      <c r="A13">
        <v>12</v>
      </c>
      <c r="B13" s="165" t="s">
        <v>203</v>
      </c>
      <c r="C13">
        <v>0.8</v>
      </c>
      <c r="D13">
        <v>0</v>
      </c>
    </row>
    <row r="14" spans="1:4" x14ac:dyDescent="0.15">
      <c r="A14">
        <v>13</v>
      </c>
      <c r="B14" s="165" t="s">
        <v>204</v>
      </c>
      <c r="C14">
        <v>0</v>
      </c>
      <c r="D14">
        <v>0</v>
      </c>
    </row>
    <row r="15" spans="1:4" x14ac:dyDescent="0.15">
      <c r="A15">
        <v>14</v>
      </c>
      <c r="B15" s="165" t="s">
        <v>205</v>
      </c>
      <c r="C15">
        <v>0</v>
      </c>
      <c r="D15">
        <v>0.8</v>
      </c>
    </row>
    <row r="16" spans="1:4" x14ac:dyDescent="0.15">
      <c r="A16">
        <v>15</v>
      </c>
      <c r="B16" s="165" t="s">
        <v>206</v>
      </c>
      <c r="C16">
        <v>0.8</v>
      </c>
      <c r="D16">
        <v>0</v>
      </c>
    </row>
    <row r="17" spans="1:4" x14ac:dyDescent="0.15">
      <c r="A17">
        <v>16</v>
      </c>
      <c r="B17" s="165" t="s">
        <v>207</v>
      </c>
      <c r="C17">
        <v>0</v>
      </c>
      <c r="D17">
        <v>0.8</v>
      </c>
    </row>
    <row r="18" spans="1:4" x14ac:dyDescent="0.15">
      <c r="A18">
        <v>17</v>
      </c>
      <c r="B18" s="165" t="s">
        <v>208</v>
      </c>
      <c r="C18">
        <v>0</v>
      </c>
      <c r="D18">
        <v>0</v>
      </c>
    </row>
    <row r="19" spans="1:4" x14ac:dyDescent="0.15">
      <c r="A19">
        <v>18</v>
      </c>
      <c r="B19" s="165" t="s">
        <v>209</v>
      </c>
      <c r="C19">
        <v>0</v>
      </c>
      <c r="D19">
        <v>0</v>
      </c>
    </row>
    <row r="20" spans="1:4" x14ac:dyDescent="0.15">
      <c r="A20">
        <v>19</v>
      </c>
      <c r="B20" s="165" t="s">
        <v>210</v>
      </c>
      <c r="C20">
        <v>0</v>
      </c>
      <c r="D2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2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68" t="s">
        <v>211</v>
      </c>
      <c r="D1" s="168" t="s">
        <v>212</v>
      </c>
    </row>
    <row r="2" spans="1:4" x14ac:dyDescent="0.15">
      <c r="A2">
        <v>1</v>
      </c>
      <c r="B2" s="167" t="s">
        <v>192</v>
      </c>
      <c r="C2">
        <v>0</v>
      </c>
      <c r="D2">
        <v>0</v>
      </c>
    </row>
    <row r="3" spans="1:4" x14ac:dyDescent="0.15">
      <c r="A3">
        <v>2</v>
      </c>
      <c r="B3" s="167" t="s">
        <v>193</v>
      </c>
      <c r="C3">
        <v>0</v>
      </c>
      <c r="D3">
        <v>0</v>
      </c>
    </row>
    <row r="4" spans="1:4" x14ac:dyDescent="0.15">
      <c r="A4">
        <v>3</v>
      </c>
      <c r="B4" s="167" t="s">
        <v>194</v>
      </c>
      <c r="C4">
        <v>0</v>
      </c>
      <c r="D4">
        <v>0</v>
      </c>
    </row>
    <row r="5" spans="1:4" x14ac:dyDescent="0.15">
      <c r="A5">
        <v>4</v>
      </c>
      <c r="B5" s="167" t="s">
        <v>195</v>
      </c>
      <c r="C5">
        <v>0</v>
      </c>
      <c r="D5">
        <v>0</v>
      </c>
    </row>
    <row r="6" spans="1:4" x14ac:dyDescent="0.15">
      <c r="A6">
        <v>5</v>
      </c>
      <c r="B6" s="167" t="s">
        <v>196</v>
      </c>
      <c r="C6">
        <v>0</v>
      </c>
      <c r="D6">
        <v>0</v>
      </c>
    </row>
    <row r="7" spans="1:4" x14ac:dyDescent="0.15">
      <c r="A7">
        <v>6</v>
      </c>
      <c r="B7" s="167" t="s">
        <v>197</v>
      </c>
      <c r="C7">
        <v>0</v>
      </c>
      <c r="D7">
        <v>0</v>
      </c>
    </row>
    <row r="8" spans="1:4" x14ac:dyDescent="0.15">
      <c r="A8">
        <v>7</v>
      </c>
      <c r="B8" s="167" t="s">
        <v>198</v>
      </c>
      <c r="C8">
        <v>0.8</v>
      </c>
      <c r="D8">
        <v>0.8</v>
      </c>
    </row>
    <row r="9" spans="1:4" x14ac:dyDescent="0.15">
      <c r="A9">
        <v>8</v>
      </c>
      <c r="B9" s="167" t="s">
        <v>199</v>
      </c>
      <c r="C9">
        <v>0</v>
      </c>
      <c r="D9">
        <v>0</v>
      </c>
    </row>
    <row r="10" spans="1:4" x14ac:dyDescent="0.15">
      <c r="A10">
        <v>9</v>
      </c>
      <c r="B10" s="167" t="s">
        <v>200</v>
      </c>
      <c r="C10">
        <v>0.8</v>
      </c>
      <c r="D10">
        <v>0</v>
      </c>
    </row>
    <row r="11" spans="1:4" x14ac:dyDescent="0.15">
      <c r="A11">
        <v>10</v>
      </c>
      <c r="B11" s="167" t="s">
        <v>201</v>
      </c>
      <c r="C11">
        <v>0</v>
      </c>
      <c r="D11">
        <v>0.8</v>
      </c>
    </row>
    <row r="12" spans="1:4" x14ac:dyDescent="0.15">
      <c r="A12">
        <v>11</v>
      </c>
      <c r="B12" s="167" t="s">
        <v>202</v>
      </c>
      <c r="C12">
        <v>0.8</v>
      </c>
      <c r="D12">
        <v>0</v>
      </c>
    </row>
    <row r="13" spans="1:4" x14ac:dyDescent="0.15">
      <c r="A13">
        <v>12</v>
      </c>
      <c r="B13" s="167" t="s">
        <v>203</v>
      </c>
      <c r="C13">
        <v>0.8</v>
      </c>
      <c r="D13">
        <v>0</v>
      </c>
    </row>
    <row r="14" spans="1:4" x14ac:dyDescent="0.15">
      <c r="A14">
        <v>13</v>
      </c>
      <c r="B14" s="167" t="s">
        <v>204</v>
      </c>
      <c r="C14">
        <v>0</v>
      </c>
      <c r="D14">
        <v>0</v>
      </c>
    </row>
    <row r="15" spans="1:4" x14ac:dyDescent="0.15">
      <c r="A15">
        <v>14</v>
      </c>
      <c r="B15" s="167" t="s">
        <v>205</v>
      </c>
      <c r="C15">
        <v>0</v>
      </c>
      <c r="D15">
        <v>0.8</v>
      </c>
    </row>
    <row r="16" spans="1:4" x14ac:dyDescent="0.15">
      <c r="A16">
        <v>15</v>
      </c>
      <c r="B16" s="167" t="s">
        <v>206</v>
      </c>
      <c r="C16">
        <v>0.8</v>
      </c>
      <c r="D16">
        <v>0</v>
      </c>
    </row>
    <row r="17" spans="1:4" x14ac:dyDescent="0.15">
      <c r="A17">
        <v>16</v>
      </c>
      <c r="B17" s="167" t="s">
        <v>207</v>
      </c>
      <c r="C17">
        <v>0</v>
      </c>
      <c r="D17">
        <v>0.8</v>
      </c>
    </row>
    <row r="18" spans="1:4" x14ac:dyDescent="0.15">
      <c r="A18">
        <v>17</v>
      </c>
      <c r="B18" s="167" t="s">
        <v>208</v>
      </c>
      <c r="C18">
        <v>0</v>
      </c>
      <c r="D18">
        <v>0</v>
      </c>
    </row>
    <row r="19" spans="1:4" x14ac:dyDescent="0.15">
      <c r="A19">
        <v>18</v>
      </c>
      <c r="B19" s="167" t="s">
        <v>209</v>
      </c>
      <c r="C19">
        <v>0</v>
      </c>
      <c r="D19">
        <v>0</v>
      </c>
    </row>
    <row r="20" spans="1:4" x14ac:dyDescent="0.15">
      <c r="A20">
        <v>19</v>
      </c>
      <c r="B20" s="167" t="s">
        <v>210</v>
      </c>
      <c r="C20">
        <v>0</v>
      </c>
      <c r="D2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68"/>
    <col min="2" max="2" width="41.83203125" style="68" bestFit="1" customWidth="1"/>
    <col min="3" max="3" width="9.33203125" style="68" bestFit="1" customWidth="1"/>
    <col min="4" max="4" width="13" style="68" bestFit="1" customWidth="1"/>
    <col min="5" max="6" width="9.33203125" style="68" bestFit="1" customWidth="1"/>
    <col min="7" max="7" width="9.33203125" style="84" bestFit="1" customWidth="1"/>
    <col min="8" max="8" width="9.33203125" style="68" bestFit="1" customWidth="1"/>
    <col min="9" max="9" width="11" style="68" customWidth="1"/>
    <col min="10" max="10" width="8.83203125" style="68"/>
    <col min="15" max="16384" width="8.83203125" style="6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9" t="s">
        <v>14</v>
      </c>
      <c r="H1" s="1" t="s">
        <v>26</v>
      </c>
      <c r="I1" s="1" t="s">
        <v>24</v>
      </c>
    </row>
    <row r="2" spans="1:10" ht="15" customHeight="1" x14ac:dyDescent="0.15">
      <c r="A2" s="129">
        <v>1</v>
      </c>
      <c r="B2" s="129" t="s">
        <v>192</v>
      </c>
      <c r="C2" s="8">
        <v>1</v>
      </c>
      <c r="D2" s="9">
        <v>226.64100646972656</v>
      </c>
      <c r="E2" s="9">
        <v>200.89999389648438</v>
      </c>
      <c r="F2" s="10"/>
      <c r="G2" s="9">
        <v>0.82996660470962524</v>
      </c>
      <c r="H2" s="10"/>
      <c r="I2">
        <v>0</v>
      </c>
      <c r="J2"/>
    </row>
    <row r="3" spans="1:10" ht="15" customHeight="1" x14ac:dyDescent="0.15">
      <c r="A3" s="130">
        <v>2</v>
      </c>
      <c r="B3" s="130" t="s">
        <v>193</v>
      </c>
      <c r="C3" s="8">
        <v>2</v>
      </c>
      <c r="D3" s="9">
        <v>460.92401123046875</v>
      </c>
      <c r="E3" s="9">
        <v>35.900001525878906</v>
      </c>
      <c r="F3" s="9">
        <v>101.80000305175781</v>
      </c>
      <c r="G3" s="9">
        <v>0.93155103921890259</v>
      </c>
      <c r="H3" s="9">
        <v>0.35265225172042847</v>
      </c>
      <c r="I3">
        <v>0</v>
      </c>
      <c r="J3"/>
    </row>
    <row r="4" spans="1:10" ht="15" customHeight="1" x14ac:dyDescent="0.15">
      <c r="A4" s="131">
        <v>3</v>
      </c>
      <c r="B4" s="131" t="s">
        <v>194</v>
      </c>
      <c r="C4" s="8">
        <v>2.0311999320983887</v>
      </c>
      <c r="D4" s="9">
        <v>94.936447143554688</v>
      </c>
      <c r="E4" s="9">
        <v>2.5</v>
      </c>
      <c r="F4" s="9">
        <v>20</v>
      </c>
      <c r="G4" s="9">
        <v>0.80000001192092896</v>
      </c>
      <c r="H4" s="9">
        <v>0.125</v>
      </c>
      <c r="I4">
        <v>0</v>
      </c>
      <c r="J4"/>
    </row>
    <row r="5" spans="1:10" ht="15" customHeight="1" x14ac:dyDescent="0.15">
      <c r="A5" s="132">
        <v>4</v>
      </c>
      <c r="B5" s="132" t="s">
        <v>195</v>
      </c>
      <c r="C5" s="8">
        <v>2.559999942779541</v>
      </c>
      <c r="D5" s="9">
        <v>289.29901123046875</v>
      </c>
      <c r="E5" s="9">
        <v>9.8999996185302734</v>
      </c>
      <c r="F5" s="9">
        <v>92.800003051757812</v>
      </c>
      <c r="G5" s="9">
        <v>6.4238034188747406E-2</v>
      </c>
      <c r="H5" s="9">
        <v>0.10668102651834488</v>
      </c>
      <c r="I5">
        <v>0</v>
      </c>
      <c r="J5"/>
    </row>
    <row r="6" spans="1:10" ht="15" customHeight="1" x14ac:dyDescent="0.15">
      <c r="A6" s="133">
        <v>5</v>
      </c>
      <c r="B6" s="133" t="s">
        <v>196</v>
      </c>
      <c r="C6" s="8">
        <v>2.1235957145690918</v>
      </c>
      <c r="D6" s="9">
        <v>176.65946960449219</v>
      </c>
      <c r="E6" s="9">
        <v>10</v>
      </c>
      <c r="F6" s="9">
        <v>21.799999237060547</v>
      </c>
      <c r="G6" s="9">
        <v>0.51557654142379761</v>
      </c>
      <c r="H6" s="9">
        <v>0.45871561765670776</v>
      </c>
      <c r="I6">
        <v>0</v>
      </c>
      <c r="J6"/>
    </row>
    <row r="7" spans="1:10" ht="15" customHeight="1" x14ac:dyDescent="0.15">
      <c r="A7" s="134">
        <v>6</v>
      </c>
      <c r="B7" s="134" t="s">
        <v>197</v>
      </c>
      <c r="C7" s="8">
        <v>2.0433387756347656</v>
      </c>
      <c r="D7" s="9">
        <v>730.488037109375</v>
      </c>
      <c r="E7" s="9">
        <v>4.3000001907348633</v>
      </c>
      <c r="F7" s="9">
        <v>32.599998474121094</v>
      </c>
      <c r="G7" s="9">
        <v>0.19873420894145966</v>
      </c>
      <c r="H7" s="9">
        <v>0.13190184533596039</v>
      </c>
      <c r="I7">
        <v>0</v>
      </c>
      <c r="J7"/>
    </row>
    <row r="8" spans="1:10" ht="15" customHeight="1" x14ac:dyDescent="0.15">
      <c r="A8" s="135">
        <v>7</v>
      </c>
      <c r="B8" s="135" t="s">
        <v>198</v>
      </c>
      <c r="C8" s="8">
        <v>2.6758401393890381</v>
      </c>
      <c r="D8" s="9">
        <v>41.465999603271484</v>
      </c>
      <c r="E8" s="9">
        <v>6.5</v>
      </c>
      <c r="F8" s="9">
        <v>15.699999809265137</v>
      </c>
      <c r="G8" s="9">
        <v>0.79799014329910278</v>
      </c>
      <c r="H8" s="9">
        <v>0.41401273012161255</v>
      </c>
      <c r="I8">
        <v>6.9855599403381348</v>
      </c>
      <c r="J8"/>
    </row>
    <row r="9" spans="1:10" ht="15" customHeight="1" x14ac:dyDescent="0.15">
      <c r="A9" s="136">
        <v>8</v>
      </c>
      <c r="B9" s="136" t="s">
        <v>199</v>
      </c>
      <c r="C9" s="8">
        <v>3.2074553966522217</v>
      </c>
      <c r="D9" s="9">
        <v>1.0399999618530273</v>
      </c>
      <c r="E9" s="9">
        <v>0.10000000149011612</v>
      </c>
      <c r="F9" s="9">
        <v>3.2999999523162842</v>
      </c>
      <c r="G9" s="7">
        <v>0</v>
      </c>
      <c r="H9" s="9">
        <v>3.0303031206130981E-2</v>
      </c>
      <c r="I9">
        <v>0</v>
      </c>
      <c r="J9"/>
    </row>
    <row r="10" spans="1:10" ht="15" customHeight="1" x14ac:dyDescent="0.15">
      <c r="A10" s="137">
        <v>9</v>
      </c>
      <c r="B10" s="137" t="s">
        <v>200</v>
      </c>
      <c r="C10" s="8">
        <v>3.5556743144989014</v>
      </c>
      <c r="D10" s="9">
        <v>2.1670000553131104</v>
      </c>
      <c r="E10" s="9">
        <v>1</v>
      </c>
      <c r="F10" s="9">
        <v>6.3000001907348633</v>
      </c>
      <c r="G10" s="9">
        <v>0.8096192479133606</v>
      </c>
      <c r="H10" s="9">
        <v>0.158730149269104</v>
      </c>
      <c r="I10">
        <v>1.75444495677948</v>
      </c>
      <c r="J10"/>
    </row>
    <row r="11" spans="1:10" ht="15" customHeight="1" x14ac:dyDescent="0.15">
      <c r="A11" s="138">
        <v>10</v>
      </c>
      <c r="B11" s="138" t="s">
        <v>201</v>
      </c>
      <c r="C11" s="8">
        <v>3.0783421993255615</v>
      </c>
      <c r="D11" s="9">
        <v>6.8439998626708984</v>
      </c>
      <c r="E11" s="9">
        <v>3.7999999523162842</v>
      </c>
      <c r="F11" s="9">
        <v>17.700000762939453</v>
      </c>
      <c r="G11" s="9">
        <v>0.59462308883666992</v>
      </c>
      <c r="H11" s="9">
        <v>0.21468925476074219</v>
      </c>
      <c r="I11">
        <v>7.2399997711181641</v>
      </c>
      <c r="J11"/>
    </row>
    <row r="12" spans="1:10" ht="15" customHeight="1" x14ac:dyDescent="0.15">
      <c r="A12" s="139">
        <v>11</v>
      </c>
      <c r="B12" s="139" t="s">
        <v>202</v>
      </c>
      <c r="C12" s="8">
        <v>2.2976083755493164</v>
      </c>
      <c r="D12" s="9">
        <v>23.809000015258789</v>
      </c>
      <c r="E12" s="9">
        <v>3.5</v>
      </c>
      <c r="F12" s="9">
        <v>7.5</v>
      </c>
      <c r="G12" s="9">
        <v>0.12943278253078461</v>
      </c>
      <c r="H12" s="9">
        <v>0.46666666865348816</v>
      </c>
      <c r="I12">
        <v>4.7774825096130371</v>
      </c>
      <c r="J12"/>
    </row>
    <row r="13" spans="1:10" ht="15" customHeight="1" x14ac:dyDescent="0.15">
      <c r="A13" s="140">
        <v>12</v>
      </c>
      <c r="B13" s="140" t="s">
        <v>203</v>
      </c>
      <c r="C13" s="8">
        <v>3.6839148998260498</v>
      </c>
      <c r="D13" s="9">
        <v>20.934999465942383</v>
      </c>
      <c r="E13" s="9">
        <v>2</v>
      </c>
      <c r="F13" s="9">
        <v>4.0999999046325684</v>
      </c>
      <c r="G13" s="9">
        <v>0.2123238742351532</v>
      </c>
      <c r="H13" s="9">
        <v>0.48780488967895508</v>
      </c>
      <c r="I13">
        <v>8.8900003433227539</v>
      </c>
      <c r="J13"/>
    </row>
    <row r="14" spans="1:10" ht="15" customHeight="1" x14ac:dyDescent="0.15">
      <c r="A14" s="141">
        <v>13</v>
      </c>
      <c r="B14" s="141" t="s">
        <v>204</v>
      </c>
      <c r="C14" s="8">
        <v>3.211498498916626</v>
      </c>
      <c r="D14" s="9">
        <v>2.0000000949949026E-3</v>
      </c>
      <c r="E14" s="9">
        <v>0.89999997615814209</v>
      </c>
      <c r="F14" s="9">
        <v>7.3000001907348633</v>
      </c>
      <c r="G14" s="7">
        <v>0</v>
      </c>
      <c r="H14" s="9">
        <v>0.12328766286373138</v>
      </c>
      <c r="I14">
        <v>0</v>
      </c>
      <c r="J14"/>
    </row>
    <row r="15" spans="1:10" ht="15" customHeight="1" x14ac:dyDescent="0.15">
      <c r="A15" s="142">
        <v>14</v>
      </c>
      <c r="B15" s="142" t="s">
        <v>205</v>
      </c>
      <c r="C15" s="8">
        <v>3.03460693359375</v>
      </c>
      <c r="D15" s="9">
        <v>1.8669999837875366</v>
      </c>
      <c r="E15" s="9">
        <v>1.2999999523162842</v>
      </c>
      <c r="F15" s="9">
        <v>8.3000001907348633</v>
      </c>
      <c r="G15" s="9">
        <v>0.74986612796783447</v>
      </c>
      <c r="H15" s="9">
        <v>0.15662649273872375</v>
      </c>
      <c r="I15">
        <v>1.8200000524520874</v>
      </c>
      <c r="J15"/>
    </row>
    <row r="16" spans="1:10" ht="15" customHeight="1" x14ac:dyDescent="0.15">
      <c r="A16" s="143">
        <v>15</v>
      </c>
      <c r="B16" s="143" t="s">
        <v>206</v>
      </c>
      <c r="C16" s="8">
        <v>3.2877075672149658</v>
      </c>
      <c r="D16" s="9">
        <v>5.6589999198913574</v>
      </c>
      <c r="E16" s="9">
        <v>1.7000000476837158</v>
      </c>
      <c r="F16" s="9">
        <v>5.3000001907348633</v>
      </c>
      <c r="G16" s="9">
        <v>0.75712978839874268</v>
      </c>
      <c r="H16" s="9">
        <v>0.32075470685958862</v>
      </c>
      <c r="I16">
        <v>0.59286552667617798</v>
      </c>
      <c r="J16"/>
    </row>
    <row r="17" spans="1:10" ht="15" customHeight="1" x14ac:dyDescent="0.15">
      <c r="A17" s="144">
        <v>16</v>
      </c>
      <c r="B17" s="144" t="s">
        <v>207</v>
      </c>
      <c r="C17" s="8">
        <v>3.2463359832763672</v>
      </c>
      <c r="D17" s="9">
        <v>33.071998596191406</v>
      </c>
      <c r="E17" s="9">
        <v>1.6000000238418579</v>
      </c>
      <c r="F17" s="9">
        <v>12.800000190734863</v>
      </c>
      <c r="G17" s="9">
        <v>0.31995925307273865</v>
      </c>
      <c r="H17" s="9">
        <v>0.125</v>
      </c>
      <c r="I17">
        <v>9.1800003051757812</v>
      </c>
      <c r="J17"/>
    </row>
    <row r="18" spans="1:10" ht="15" customHeight="1" x14ac:dyDescent="0.15">
      <c r="A18" s="145">
        <v>17</v>
      </c>
      <c r="B18" s="145" t="s">
        <v>208</v>
      </c>
      <c r="C18" s="8">
        <v>3.2141790390014648</v>
      </c>
      <c r="D18" s="9">
        <v>0.20000000298023224</v>
      </c>
      <c r="E18" s="9">
        <v>0.75</v>
      </c>
      <c r="F18" s="9">
        <v>4.8000001907348633</v>
      </c>
      <c r="G18" s="9">
        <v>0.97414004802703857</v>
      </c>
      <c r="H18" s="9">
        <v>0.15625</v>
      </c>
      <c r="I18">
        <v>0</v>
      </c>
      <c r="J18"/>
    </row>
    <row r="19" spans="1:10" ht="15" customHeight="1" x14ac:dyDescent="0.15">
      <c r="A19" s="146">
        <v>18</v>
      </c>
      <c r="B19" s="146" t="s">
        <v>209</v>
      </c>
      <c r="C19" s="8">
        <v>1</v>
      </c>
      <c r="D19" s="9">
        <v>188667</v>
      </c>
      <c r="E19" s="10"/>
      <c r="F19" s="10"/>
      <c r="G19" s="9">
        <v>0.15294870734214783</v>
      </c>
      <c r="H19" s="10"/>
      <c r="I19">
        <v>0</v>
      </c>
      <c r="J19"/>
    </row>
    <row r="20" spans="1:10" ht="15" customHeight="1" x14ac:dyDescent="0.15">
      <c r="A20" s="147">
        <v>19</v>
      </c>
      <c r="B20" s="147" t="s">
        <v>210</v>
      </c>
      <c r="C20" s="8">
        <v>1</v>
      </c>
      <c r="D20" s="9">
        <v>5</v>
      </c>
      <c r="E20" s="10"/>
      <c r="F20" s="10"/>
      <c r="G20" s="7">
        <v>0</v>
      </c>
      <c r="H20" s="10"/>
      <c r="I20">
        <v>0</v>
      </c>
      <c r="J20"/>
    </row>
    <row r="21" spans="1:10" ht="15" customHeight="1" x14ac:dyDescent="0.15">
      <c r="A21" s="148">
        <v>20</v>
      </c>
      <c r="B21" s="148" t="s">
        <v>211</v>
      </c>
      <c r="C21" s="8">
        <v>4.1069064140319824</v>
      </c>
      <c r="D21" s="10"/>
      <c r="E21" s="10"/>
      <c r="F21" s="10"/>
      <c r="G21" s="10"/>
      <c r="H21" s="10"/>
      <c r="I21">
        <v>21.020351409912109</v>
      </c>
      <c r="J21"/>
    </row>
    <row r="22" spans="1:10" ht="15" customHeight="1" x14ac:dyDescent="0.15">
      <c r="A22" s="149">
        <v>21</v>
      </c>
      <c r="B22" s="149" t="s">
        <v>212</v>
      </c>
      <c r="C22" s="8">
        <v>4.1112618446350098</v>
      </c>
      <c r="D22" s="10"/>
      <c r="E22" s="10"/>
      <c r="F22" s="10"/>
      <c r="G22" s="10"/>
      <c r="H22" s="10"/>
      <c r="I22">
        <v>20.219999313354492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8" bestFit="1" customWidth="1"/>
    <col min="2" max="4" width="9.5" style="68" bestFit="1" customWidth="1"/>
    <col min="5" max="7" width="9" style="68" bestFit="1" customWidth="1"/>
    <col min="8" max="16" width="12.6640625" style="68" bestFit="1" customWidth="1"/>
    <col min="17" max="17" width="12.33203125" style="68" bestFit="1" customWidth="1"/>
    <col min="18" max="18" width="8.83203125" style="68"/>
    <col min="19" max="21" width="9.33203125" style="68" bestFit="1" customWidth="1"/>
    <col min="22" max="23" width="8.83203125" style="68"/>
    <col min="24" max="24" width="9.33203125" style="68" bestFit="1" customWidth="1"/>
    <col min="25" max="27" width="8.83203125" style="68"/>
    <col min="28" max="58" width="9" style="68" bestFit="1" customWidth="1"/>
    <col min="59" max="59" width="12.33203125" style="68" bestFit="1" customWidth="1"/>
    <col min="60" max="60" width="9" style="68" bestFit="1" customWidth="1"/>
    <col min="61" max="61" width="11.33203125" style="68" bestFit="1" customWidth="1"/>
    <col min="62" max="77" width="9" style="68" bestFit="1" customWidth="1"/>
    <col min="78" max="78" width="12.33203125" style="68" bestFit="1" customWidth="1"/>
    <col min="79" max="79" width="9" style="68" bestFit="1" customWidth="1"/>
    <col min="80" max="80" width="12.33203125" style="68" bestFit="1" customWidth="1"/>
    <col min="81" max="107" width="9" style="68" bestFit="1" customWidth="1"/>
    <col min="108" max="108" width="11.33203125" style="68" bestFit="1" customWidth="1"/>
    <col min="109" max="124" width="9" style="68" bestFit="1" customWidth="1"/>
    <col min="125" max="125" width="10.33203125" style="68" bestFit="1" customWidth="1"/>
    <col min="126" max="129" width="9.33203125" style="68" bestFit="1" customWidth="1"/>
    <col min="130" max="130" width="9" style="68" bestFit="1" customWidth="1"/>
    <col min="131" max="134" width="9.33203125" style="68" bestFit="1" customWidth="1"/>
    <col min="135" max="165" width="9" style="68" bestFit="1" customWidth="1"/>
    <col min="166" max="166" width="12.33203125" style="68" bestFit="1" customWidth="1"/>
    <col min="167" max="170" width="9" style="68" bestFit="1" customWidth="1"/>
    <col min="171" max="176" width="8.83203125" style="68"/>
    <col min="177" max="177" width="13.83203125" style="68" bestFit="1" customWidth="1"/>
    <col min="178" max="16384" width="8.83203125" style="6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218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200.89999389648438</v>
      </c>
      <c r="C2">
        <v>34.159709930419922</v>
      </c>
      <c r="D2"/>
      <c r="E2"/>
      <c r="F2"/>
      <c r="G2" s="196">
        <v>74.531723022460938</v>
      </c>
      <c r="H2" s="17">
        <v>3.3510775566101074</v>
      </c>
      <c r="I2" s="93">
        <v>36.721309661865234</v>
      </c>
      <c r="J2" s="17">
        <v>3.7383296489715576</v>
      </c>
      <c r="K2" s="194">
        <v>47.808334350585938</v>
      </c>
      <c r="L2" s="14">
        <v>0.47922083735466003</v>
      </c>
      <c r="M2"/>
      <c r="N2"/>
      <c r="O2"/>
      <c r="P2" s="11">
        <v>0.11030418425798416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35.900001525878906</v>
      </c>
      <c r="C3">
        <v>2.4573178291320801</v>
      </c>
      <c r="D3"/>
      <c r="E3"/>
      <c r="F3"/>
      <c r="G3"/>
      <c r="H3"/>
      <c r="I3" s="195">
        <v>32.617725372314453</v>
      </c>
      <c r="J3"/>
      <c r="K3"/>
      <c r="L3" s="15">
        <v>0.31747597455978394</v>
      </c>
      <c r="M3"/>
      <c r="N3"/>
      <c r="O3" s="12">
        <v>0.12352412939071655</v>
      </c>
      <c r="P3" s="14">
        <v>6.5860047936439514E-2</v>
      </c>
      <c r="Q3"/>
      <c r="R3"/>
      <c r="S3" s="11">
        <v>2.4206142872571945E-2</v>
      </c>
      <c r="T3"/>
      <c r="U3" s="19">
        <v>0.29389423131942749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2.5</v>
      </c>
      <c r="C4">
        <v>0.49999997019767761</v>
      </c>
      <c r="D4"/>
      <c r="E4"/>
      <c r="F4"/>
      <c r="G4"/>
      <c r="H4"/>
      <c r="I4"/>
      <c r="J4"/>
      <c r="K4"/>
      <c r="L4"/>
      <c r="M4"/>
      <c r="N4"/>
      <c r="O4" s="187">
        <v>0.3955596387386322</v>
      </c>
      <c r="P4"/>
      <c r="Q4" s="23">
        <v>0.11753500252962112</v>
      </c>
      <c r="R4"/>
      <c r="S4"/>
      <c r="T4" s="183">
        <v>6.002555787563324E-2</v>
      </c>
      <c r="U4" s="190">
        <v>1.4268798828125</v>
      </c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9.8999996185302734</v>
      </c>
      <c r="C5">
        <v>9.264042854309082</v>
      </c>
      <c r="D5"/>
      <c r="E5"/>
      <c r="F5"/>
      <c r="G5"/>
      <c r="H5" s="16">
        <v>0.13126412034034729</v>
      </c>
      <c r="I5"/>
      <c r="J5"/>
      <c r="K5"/>
      <c r="L5" s="13">
        <v>0.37542849779129028</v>
      </c>
      <c r="M5" s="11">
        <v>1.5303472755476832E-3</v>
      </c>
      <c r="N5" s="11">
        <v>4.71902807475999E-4</v>
      </c>
      <c r="O5" s="12">
        <v>3.3498574048280716E-2</v>
      </c>
      <c r="P5"/>
      <c r="Q5" s="11">
        <v>5.9338952414691448E-3</v>
      </c>
      <c r="R5"/>
      <c r="S5"/>
      <c r="T5"/>
      <c r="U5" s="15">
        <v>8.779599517583847E-2</v>
      </c>
      <c r="V5" s="11">
        <v>3.3183663617819548E-5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10</v>
      </c>
      <c r="C6">
        <v>4.8442344665527344</v>
      </c>
      <c r="D6"/>
      <c r="E6"/>
      <c r="F6"/>
      <c r="G6"/>
      <c r="H6"/>
      <c r="I6"/>
      <c r="J6" s="191">
        <v>2.3980000019073486</v>
      </c>
      <c r="K6" s="192">
        <v>2.6960239410400391</v>
      </c>
      <c r="L6"/>
      <c r="M6"/>
      <c r="N6"/>
      <c r="O6" s="11">
        <v>6.8571926094591618E-3</v>
      </c>
      <c r="P6" s="12">
        <v>3.0324015766382217E-2</v>
      </c>
      <c r="Q6"/>
      <c r="R6"/>
      <c r="S6" s="14">
        <v>2.4560857564210892E-2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4.3000001907348633</v>
      </c>
      <c r="C7">
        <v>3.4454431533813477</v>
      </c>
      <c r="D7"/>
      <c r="E7"/>
      <c r="F7"/>
      <c r="G7"/>
      <c r="H7"/>
      <c r="I7"/>
      <c r="J7"/>
      <c r="K7" s="193">
        <v>0.65199995040893555</v>
      </c>
      <c r="L7" s="22">
        <v>0.14868292212486267</v>
      </c>
      <c r="M7" s="11">
        <v>3.5800505429506302E-3</v>
      </c>
      <c r="N7" s="14">
        <v>5.0460337661206722E-3</v>
      </c>
      <c r="O7" s="14">
        <v>4.9749808385968208E-3</v>
      </c>
      <c r="P7" s="20">
        <v>2.2000463679432869E-2</v>
      </c>
      <c r="Q7"/>
      <c r="R7" s="11">
        <v>1.6189178495551459E-5</v>
      </c>
      <c r="S7"/>
      <c r="T7" s="12">
        <v>1.7244545742869377E-2</v>
      </c>
      <c r="U7"/>
      <c r="V7" s="11">
        <v>1.0119263315573335E-3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6.5</v>
      </c>
      <c r="C8">
        <v>1.3130640983581543</v>
      </c>
      <c r="D8" s="17">
        <v>0.12071479856967926</v>
      </c>
      <c r="E8" s="19">
        <v>4.7749966382980347E-2</v>
      </c>
      <c r="F8"/>
      <c r="G8"/>
      <c r="H8"/>
      <c r="I8"/>
      <c r="J8"/>
      <c r="K8"/>
      <c r="L8" s="183">
        <v>0.1568431556224823</v>
      </c>
      <c r="M8" s="11">
        <v>4.8832292668521404E-3</v>
      </c>
      <c r="N8" s="127">
        <v>0.19424924254417419</v>
      </c>
      <c r="O8" s="21">
        <v>0.17528404295444489</v>
      </c>
      <c r="P8"/>
      <c r="Q8" s="188">
        <v>1.1384851932525635</v>
      </c>
      <c r="R8" s="11">
        <v>3.5209573979955167E-5</v>
      </c>
      <c r="S8"/>
      <c r="T8" s="18">
        <v>0.28209021687507629</v>
      </c>
      <c r="U8" s="189">
        <v>3.0626654624938965</v>
      </c>
      <c r="V8" s="11">
        <v>3.935755230486393E-3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0.10000000149011612</v>
      </c>
      <c r="C9">
        <v>0.10000000149011612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</v>
      </c>
      <c r="C10">
        <v>0.1903807520866394</v>
      </c>
      <c r="D10" s="177">
        <v>0.8096192479133606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3.7999999523162842</v>
      </c>
      <c r="C11">
        <v>1.5404322147369385</v>
      </c>
      <c r="D11"/>
      <c r="E11" s="180">
        <v>1.0578608512878418</v>
      </c>
      <c r="F11"/>
      <c r="G11"/>
      <c r="H11"/>
      <c r="I11"/>
      <c r="J11"/>
      <c r="K11"/>
      <c r="L11"/>
      <c r="M11"/>
      <c r="N11" s="20">
        <v>1.994754746556282E-2</v>
      </c>
      <c r="O11" s="23">
        <v>0.17700000107288361</v>
      </c>
      <c r="P11"/>
      <c r="Q11" s="186">
        <v>1.0033138990402222</v>
      </c>
      <c r="R11" s="11">
        <v>4.2665109504014254E-5</v>
      </c>
      <c r="S11"/>
      <c r="T11"/>
      <c r="U11"/>
      <c r="V11" s="11">
        <v>1.4026886783540249E-3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3.5</v>
      </c>
      <c r="C12">
        <v>3.0469851493835449</v>
      </c>
      <c r="D12" s="178">
        <v>0.20065867900848389</v>
      </c>
      <c r="E12"/>
      <c r="F12"/>
      <c r="G12"/>
      <c r="H12"/>
      <c r="I12"/>
      <c r="J12"/>
      <c r="K12"/>
      <c r="L12"/>
      <c r="M12"/>
      <c r="N12"/>
      <c r="O12"/>
      <c r="P12"/>
      <c r="Q12" s="184">
        <v>0.25235605239868164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</v>
      </c>
      <c r="C13">
        <v>1.5753521919250488</v>
      </c>
      <c r="D13" s="179">
        <v>0.4246477484703064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0.89999997615814209</v>
      </c>
      <c r="C14">
        <v>0.89999997615814209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1.2999999523162842</v>
      </c>
      <c r="C15">
        <v>0.32517403364181519</v>
      </c>
      <c r="D15"/>
      <c r="E15" s="181">
        <v>0.97482597827911377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1.7000000476837158</v>
      </c>
      <c r="C16">
        <v>0.41287937760353088</v>
      </c>
      <c r="D16" s="128">
        <v>0.10476507246494293</v>
      </c>
      <c r="E16"/>
      <c r="F16"/>
      <c r="G16"/>
      <c r="H16"/>
      <c r="I16"/>
      <c r="J16"/>
      <c r="K16"/>
      <c r="L16"/>
      <c r="M16"/>
      <c r="N16" s="59">
        <v>0.1206229105591774</v>
      </c>
      <c r="O16"/>
      <c r="P16"/>
      <c r="Q16" s="185">
        <v>1.0617327690124512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1.6000000238418579</v>
      </c>
      <c r="C17">
        <v>1.0880652666091919</v>
      </c>
      <c r="D17"/>
      <c r="E17" s="92">
        <v>0.27757620811462402</v>
      </c>
      <c r="F17"/>
      <c r="G17"/>
      <c r="H17"/>
      <c r="I17"/>
      <c r="J17"/>
      <c r="K17"/>
      <c r="L17"/>
      <c r="M17" s="12">
        <v>5.1886793226003647E-3</v>
      </c>
      <c r="N17" s="16">
        <v>2.0639969035983086E-2</v>
      </c>
      <c r="O17"/>
      <c r="P17"/>
      <c r="Q17" s="124">
        <v>0.20762822031974792</v>
      </c>
      <c r="R17" s="11">
        <v>3.090227983193472E-5</v>
      </c>
      <c r="S17"/>
      <c r="T17"/>
      <c r="U17"/>
      <c r="V17" s="11">
        <v>8.7082741083577275E-4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0.75</v>
      </c>
      <c r="C18">
        <v>1.9394963979721069E-2</v>
      </c>
      <c r="D18"/>
      <c r="E18"/>
      <c r="F18"/>
      <c r="G18"/>
      <c r="H18"/>
      <c r="I18"/>
      <c r="J18"/>
      <c r="K18"/>
      <c r="L18"/>
      <c r="M18"/>
      <c r="N18" s="182">
        <v>0.68260502815246582</v>
      </c>
      <c r="O18"/>
      <c r="P18"/>
      <c r="Q18"/>
      <c r="R18"/>
      <c r="S18"/>
      <c r="T18"/>
      <c r="U18"/>
      <c r="V18" s="63">
        <v>4.800000786781311E-2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/>
      <c r="C19">
        <v>0.15294870734214783</v>
      </c>
      <c r="D19"/>
      <c r="E19"/>
      <c r="F19"/>
      <c r="G19" s="9">
        <v>30030.12109375</v>
      </c>
      <c r="H19" s="9">
        <v>1101.2626953125</v>
      </c>
      <c r="I19" s="9">
        <v>3490.103271484375</v>
      </c>
      <c r="J19" s="9">
        <v>2580.2880859375</v>
      </c>
      <c r="K19" s="9">
        <v>12026.0234375</v>
      </c>
      <c r="L19" s="9">
        <v>172.34693908691406</v>
      </c>
      <c r="M19"/>
      <c r="N19" s="9">
        <v>0.13652101159095764</v>
      </c>
      <c r="O19" s="9">
        <v>3.6341640949249268</v>
      </c>
      <c r="P19" s="9">
        <v>101.78347015380859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8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6" t="s">
        <v>166</v>
      </c>
    </row>
    <row r="2" spans="1:12" x14ac:dyDescent="0.15">
      <c r="A2" s="1" t="s">
        <v>37</v>
      </c>
      <c r="B2" s="33">
        <v>3</v>
      </c>
      <c r="C2" s="31"/>
      <c r="D2" t="s">
        <v>38</v>
      </c>
      <c r="E2">
        <v>1</v>
      </c>
      <c r="F2">
        <v>1</v>
      </c>
      <c r="G2">
        <v>1</v>
      </c>
      <c r="H2" t="s">
        <v>38</v>
      </c>
      <c r="J2" s="49"/>
      <c r="K2" s="50"/>
      <c r="L2" s="56" t="s">
        <v>167</v>
      </c>
    </row>
    <row r="3" spans="1:12" ht="14" thickBot="1" x14ac:dyDescent="0.2">
      <c r="A3" s="1" t="s">
        <v>39</v>
      </c>
      <c r="B3" s="34">
        <v>0</v>
      </c>
      <c r="C3" s="31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1"/>
      <c r="K3" s="52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1"/>
      <c r="K4" s="52"/>
    </row>
    <row r="5" spans="1:12" x14ac:dyDescent="0.15">
      <c r="D5" s="169" t="s">
        <v>192</v>
      </c>
      <c r="E5">
        <v>4</v>
      </c>
      <c r="F5">
        <v>2</v>
      </c>
      <c r="G5">
        <v>4</v>
      </c>
      <c r="H5" s="170" t="s">
        <v>192</v>
      </c>
      <c r="J5" s="51"/>
      <c r="K5" s="52"/>
    </row>
    <row r="6" spans="1:12" ht="14" thickBot="1" x14ac:dyDescent="0.2">
      <c r="A6" s="35" t="s">
        <v>121</v>
      </c>
      <c r="D6" s="169" t="s">
        <v>193</v>
      </c>
      <c r="E6">
        <v>5</v>
      </c>
      <c r="F6">
        <v>3.11</v>
      </c>
      <c r="G6">
        <v>5</v>
      </c>
      <c r="H6" s="170" t="s">
        <v>193</v>
      </c>
      <c r="J6" s="51"/>
      <c r="K6" s="52"/>
    </row>
    <row r="7" spans="1:12" x14ac:dyDescent="0.15">
      <c r="A7" s="30" t="s">
        <v>126</v>
      </c>
      <c r="B7" s="37">
        <v>1</v>
      </c>
      <c r="C7" s="32"/>
      <c r="D7" s="169" t="s">
        <v>194</v>
      </c>
      <c r="E7">
        <v>6</v>
      </c>
      <c r="F7">
        <v>3.21</v>
      </c>
      <c r="G7">
        <v>6</v>
      </c>
      <c r="H7" s="170" t="s">
        <v>194</v>
      </c>
      <c r="J7" s="51"/>
      <c r="K7" s="52"/>
    </row>
    <row r="8" spans="1:12" x14ac:dyDescent="0.15">
      <c r="A8" s="30" t="s">
        <v>38</v>
      </c>
      <c r="B8" s="38">
        <v>1</v>
      </c>
      <c r="C8" s="32"/>
      <c r="D8" s="169" t="s">
        <v>195</v>
      </c>
      <c r="E8">
        <v>7</v>
      </c>
      <c r="F8">
        <v>3.21</v>
      </c>
      <c r="G8">
        <v>7</v>
      </c>
      <c r="H8" s="170" t="s">
        <v>195</v>
      </c>
      <c r="J8" s="51"/>
      <c r="K8" s="52"/>
    </row>
    <row r="9" spans="1:12" x14ac:dyDescent="0.15">
      <c r="A9" s="30" t="s">
        <v>40</v>
      </c>
      <c r="B9" s="38">
        <v>1.1000000000000001</v>
      </c>
      <c r="C9" s="32"/>
      <c r="D9" s="169" t="s">
        <v>196</v>
      </c>
      <c r="E9">
        <v>8</v>
      </c>
      <c r="F9">
        <v>3.21</v>
      </c>
      <c r="G9">
        <v>8</v>
      </c>
      <c r="H9" s="170" t="s">
        <v>196</v>
      </c>
      <c r="J9" s="51"/>
      <c r="K9" s="52"/>
    </row>
    <row r="10" spans="1:12" x14ac:dyDescent="0.15">
      <c r="A10" s="30" t="s">
        <v>41</v>
      </c>
      <c r="B10" s="38">
        <v>1.2</v>
      </c>
      <c r="C10" s="32"/>
      <c r="D10" s="169" t="s">
        <v>197</v>
      </c>
      <c r="E10">
        <v>9</v>
      </c>
      <c r="F10">
        <v>3.21</v>
      </c>
      <c r="G10">
        <v>9</v>
      </c>
      <c r="H10" s="170" t="s">
        <v>197</v>
      </c>
      <c r="J10" s="51"/>
      <c r="K10" s="52"/>
    </row>
    <row r="11" spans="1:12" ht="12" customHeight="1" x14ac:dyDescent="0.15">
      <c r="A11" s="36" t="s">
        <v>127</v>
      </c>
      <c r="B11" s="38">
        <v>2</v>
      </c>
      <c r="C11" s="32"/>
      <c r="D11" s="169" t="s">
        <v>198</v>
      </c>
      <c r="E11">
        <v>10</v>
      </c>
      <c r="F11">
        <v>3.02</v>
      </c>
      <c r="G11">
        <v>10</v>
      </c>
      <c r="H11" s="170" t="s">
        <v>198</v>
      </c>
      <c r="J11" s="51"/>
      <c r="K11" s="52"/>
    </row>
    <row r="12" spans="1:12" x14ac:dyDescent="0.15">
      <c r="A12" s="30" t="s">
        <v>42</v>
      </c>
      <c r="B12" s="38">
        <v>2.1</v>
      </c>
      <c r="C12" s="32"/>
      <c r="D12" s="169" t="s">
        <v>199</v>
      </c>
      <c r="E12">
        <v>11</v>
      </c>
      <c r="F12">
        <v>3.24</v>
      </c>
      <c r="G12">
        <v>11</v>
      </c>
      <c r="H12" s="170" t="s">
        <v>199</v>
      </c>
      <c r="J12" s="51"/>
      <c r="K12" s="52"/>
    </row>
    <row r="13" spans="1:12" x14ac:dyDescent="0.15">
      <c r="A13" s="30" t="s">
        <v>43</v>
      </c>
      <c r="B13" s="38">
        <v>2.2000000000000002</v>
      </c>
      <c r="C13" s="32"/>
      <c r="D13" s="169" t="s">
        <v>200</v>
      </c>
      <c r="E13">
        <v>12</v>
      </c>
      <c r="F13">
        <v>3.24</v>
      </c>
      <c r="G13">
        <v>12</v>
      </c>
      <c r="H13" s="170" t="s">
        <v>200</v>
      </c>
      <c r="J13" s="51"/>
      <c r="K13" s="52"/>
    </row>
    <row r="14" spans="1:12" x14ac:dyDescent="0.15">
      <c r="A14" s="30" t="s">
        <v>67</v>
      </c>
      <c r="B14" s="38">
        <v>2.2999999999999998</v>
      </c>
      <c r="C14" s="32"/>
      <c r="D14" s="169" t="s">
        <v>201</v>
      </c>
      <c r="E14">
        <v>13</v>
      </c>
      <c r="F14">
        <v>3.14</v>
      </c>
      <c r="G14">
        <v>13</v>
      </c>
      <c r="H14" s="170" t="s">
        <v>201</v>
      </c>
      <c r="J14" s="51"/>
      <c r="K14" s="52"/>
    </row>
    <row r="15" spans="1:12" x14ac:dyDescent="0.15">
      <c r="A15" s="36" t="s">
        <v>128</v>
      </c>
      <c r="B15" s="38">
        <v>3</v>
      </c>
      <c r="C15" s="32"/>
      <c r="D15" s="169" t="s">
        <v>202</v>
      </c>
      <c r="E15">
        <v>14</v>
      </c>
      <c r="F15">
        <v>3.14</v>
      </c>
      <c r="G15">
        <v>14</v>
      </c>
      <c r="H15" s="170" t="s">
        <v>202</v>
      </c>
      <c r="J15" s="51"/>
      <c r="K15" s="52"/>
    </row>
    <row r="16" spans="1:12" x14ac:dyDescent="0.15">
      <c r="A16" s="30" t="s">
        <v>62</v>
      </c>
      <c r="B16" s="38">
        <v>3.11</v>
      </c>
      <c r="C16" s="32"/>
      <c r="D16" s="169" t="s">
        <v>203</v>
      </c>
      <c r="E16">
        <v>15</v>
      </c>
      <c r="F16">
        <v>3.04</v>
      </c>
      <c r="G16">
        <v>15</v>
      </c>
      <c r="H16" s="170" t="s">
        <v>203</v>
      </c>
      <c r="J16" s="51"/>
      <c r="K16" s="52"/>
    </row>
    <row r="17" spans="1:12" x14ac:dyDescent="0.15">
      <c r="A17" s="30" t="s">
        <v>61</v>
      </c>
      <c r="B17" s="38">
        <v>3.12</v>
      </c>
      <c r="C17" s="32"/>
      <c r="D17" s="169" t="s">
        <v>204</v>
      </c>
      <c r="E17">
        <v>16</v>
      </c>
      <c r="F17">
        <v>3.1</v>
      </c>
      <c r="G17">
        <v>16</v>
      </c>
      <c r="H17" s="170" t="s">
        <v>204</v>
      </c>
      <c r="J17" s="51"/>
      <c r="K17" s="52"/>
    </row>
    <row r="18" spans="1:12" x14ac:dyDescent="0.15">
      <c r="A18" s="30" t="s">
        <v>68</v>
      </c>
      <c r="B18" s="38">
        <v>3.13</v>
      </c>
      <c r="C18" s="32"/>
      <c r="D18" s="169" t="s">
        <v>205</v>
      </c>
      <c r="E18">
        <v>17</v>
      </c>
      <c r="F18">
        <v>3.04</v>
      </c>
      <c r="G18">
        <v>17</v>
      </c>
      <c r="H18" s="170" t="s">
        <v>205</v>
      </c>
      <c r="J18" s="51"/>
      <c r="K18" s="52"/>
    </row>
    <row r="19" spans="1:12" x14ac:dyDescent="0.15">
      <c r="A19" s="30" t="s">
        <v>66</v>
      </c>
      <c r="B19" s="38">
        <v>3.21</v>
      </c>
      <c r="C19" s="32"/>
      <c r="D19" s="169" t="s">
        <v>206</v>
      </c>
      <c r="E19">
        <v>18</v>
      </c>
      <c r="F19">
        <v>3.24</v>
      </c>
      <c r="G19">
        <v>18</v>
      </c>
      <c r="H19" s="170" t="s">
        <v>206</v>
      </c>
      <c r="J19" s="51"/>
      <c r="K19" s="52"/>
    </row>
    <row r="20" spans="1:12" x14ac:dyDescent="0.15">
      <c r="A20" s="30" t="s">
        <v>63</v>
      </c>
      <c r="B20" s="38">
        <v>3.22</v>
      </c>
      <c r="C20" s="32"/>
      <c r="D20" s="169" t="s">
        <v>207</v>
      </c>
      <c r="E20">
        <v>19</v>
      </c>
      <c r="F20">
        <v>3.24</v>
      </c>
      <c r="G20">
        <v>19</v>
      </c>
      <c r="H20" s="170" t="s">
        <v>207</v>
      </c>
      <c r="J20" s="51"/>
      <c r="K20" s="52"/>
    </row>
    <row r="21" spans="1:12" ht="14" thickBot="1" x14ac:dyDescent="0.2">
      <c r="A21" s="30" t="s">
        <v>69</v>
      </c>
      <c r="B21" s="38">
        <v>3.23</v>
      </c>
      <c r="C21" s="32"/>
      <c r="D21" s="169" t="s">
        <v>208</v>
      </c>
      <c r="E21">
        <v>20</v>
      </c>
      <c r="F21">
        <v>3.04</v>
      </c>
      <c r="G21">
        <v>20</v>
      </c>
      <c r="H21" s="170" t="s">
        <v>208</v>
      </c>
      <c r="J21" s="53"/>
      <c r="K21" s="54"/>
      <c r="L21" s="56" t="s">
        <v>152</v>
      </c>
    </row>
    <row r="22" spans="1:12" x14ac:dyDescent="0.15">
      <c r="A22" s="30" t="s">
        <v>64</v>
      </c>
      <c r="B22" s="38">
        <v>8</v>
      </c>
      <c r="C22" s="32"/>
      <c r="D22" s="169" t="s">
        <v>209</v>
      </c>
      <c r="E22">
        <v>21</v>
      </c>
      <c r="F22">
        <v>4.0999999999999996</v>
      </c>
      <c r="G22">
        <v>21</v>
      </c>
      <c r="H22" s="170" t="s">
        <v>209</v>
      </c>
    </row>
    <row r="23" spans="1:12" x14ac:dyDescent="0.15">
      <c r="A23" s="30" t="s">
        <v>129</v>
      </c>
      <c r="B23" s="38">
        <v>4</v>
      </c>
      <c r="C23" s="32"/>
      <c r="D23" s="169" t="s">
        <v>210</v>
      </c>
      <c r="E23">
        <v>22</v>
      </c>
      <c r="F23">
        <v>4.3</v>
      </c>
      <c r="G23">
        <v>22</v>
      </c>
      <c r="H23" s="170" t="s">
        <v>210</v>
      </c>
    </row>
    <row r="24" spans="1:12" x14ac:dyDescent="0.15">
      <c r="A24" s="30" t="s">
        <v>122</v>
      </c>
      <c r="B24" s="38">
        <v>4.0999999999999996</v>
      </c>
      <c r="C24" s="32"/>
      <c r="D24" s="169" t="s">
        <v>211</v>
      </c>
      <c r="E24">
        <v>23</v>
      </c>
      <c r="F24">
        <v>5</v>
      </c>
      <c r="G24">
        <v>23</v>
      </c>
      <c r="H24" s="170" t="s">
        <v>211</v>
      </c>
    </row>
    <row r="25" spans="1:12" x14ac:dyDescent="0.15">
      <c r="A25" s="30" t="s">
        <v>70</v>
      </c>
      <c r="B25" s="38">
        <v>4.2</v>
      </c>
      <c r="C25" s="32"/>
      <c r="D25" s="169" t="s">
        <v>212</v>
      </c>
      <c r="E25">
        <v>24</v>
      </c>
      <c r="F25">
        <v>5</v>
      </c>
      <c r="G25">
        <v>24</v>
      </c>
      <c r="H25" s="170" t="s">
        <v>212</v>
      </c>
    </row>
    <row r="26" spans="1:12" x14ac:dyDescent="0.15">
      <c r="A26" s="30" t="s">
        <v>123</v>
      </c>
      <c r="B26" s="38">
        <v>4.3</v>
      </c>
      <c r="C26" s="32"/>
      <c r="D26" s="169" t="s">
        <v>138</v>
      </c>
      <c r="E26">
        <v>25</v>
      </c>
      <c r="F26">
        <v>6.1</v>
      </c>
      <c r="G26">
        <v>25</v>
      </c>
      <c r="H26" s="170" t="s">
        <v>138</v>
      </c>
    </row>
    <row r="27" spans="1:12" x14ac:dyDescent="0.15">
      <c r="A27" s="30" t="s">
        <v>125</v>
      </c>
      <c r="B27" s="38">
        <v>6.1</v>
      </c>
      <c r="D27" s="169" t="s">
        <v>45</v>
      </c>
      <c r="E27">
        <v>26</v>
      </c>
      <c r="F27">
        <v>6.2</v>
      </c>
      <c r="G27">
        <v>26</v>
      </c>
      <c r="H27" s="170" t="s">
        <v>45</v>
      </c>
    </row>
    <row r="28" spans="1:12" x14ac:dyDescent="0.15">
      <c r="A28" s="30" t="s">
        <v>124</v>
      </c>
      <c r="B28" s="38">
        <v>6.2</v>
      </c>
    </row>
    <row r="29" spans="1:12" x14ac:dyDescent="0.15">
      <c r="A29" s="30" t="s">
        <v>44</v>
      </c>
      <c r="B29" s="38">
        <v>5</v>
      </c>
    </row>
    <row r="30" spans="1:12" x14ac:dyDescent="0.15">
      <c r="A30" s="30" t="s">
        <v>73</v>
      </c>
      <c r="B30" s="38">
        <v>7</v>
      </c>
    </row>
    <row r="31" spans="1:12" x14ac:dyDescent="0.15">
      <c r="A31" s="30" t="s">
        <v>169</v>
      </c>
      <c r="B31" s="38">
        <v>3.14</v>
      </c>
    </row>
    <row r="32" spans="1:12" ht="12" customHeight="1" thickBot="1" x14ac:dyDescent="0.2">
      <c r="A32" s="36" t="s">
        <v>170</v>
      </c>
      <c r="B32" s="39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69" bestFit="1" customWidth="1"/>
    <col min="2" max="2" width="7.83203125" style="68" customWidth="1"/>
    <col min="3" max="3" width="16.6640625" style="68" customWidth="1"/>
    <col min="4" max="4" width="39.6640625" style="68" customWidth="1"/>
    <col min="5" max="5" width="8.1640625" style="68" customWidth="1"/>
    <col min="6" max="6" width="21.6640625" style="68" bestFit="1" customWidth="1"/>
    <col min="7" max="9" width="2.33203125" style="68" customWidth="1"/>
    <col min="10" max="10" width="2.33203125" style="68" bestFit="1" customWidth="1"/>
    <col min="11" max="15" width="2.33203125" style="68" customWidth="1"/>
    <col min="16" max="16" width="2.33203125" style="60" customWidth="1"/>
    <col min="17" max="17" width="2.33203125" style="68" customWidth="1"/>
    <col min="18" max="18" width="2.33203125" style="61" customWidth="1"/>
    <col min="19" max="16384" width="11.5" style="68"/>
  </cols>
  <sheetData>
    <row r="1" spans="1:23" ht="15" customHeight="1" thickBot="1" x14ac:dyDescent="0.2">
      <c r="F1" s="1"/>
      <c r="G1" s="58" t="s">
        <v>46</v>
      </c>
      <c r="H1" s="58" t="s">
        <v>47</v>
      </c>
      <c r="I1" s="58" t="s">
        <v>120</v>
      </c>
      <c r="J1" s="58" t="s">
        <v>132</v>
      </c>
      <c r="K1" s="70" t="s">
        <v>48</v>
      </c>
      <c r="L1" s="61"/>
      <c r="M1" s="70" t="s">
        <v>119</v>
      </c>
      <c r="N1" s="61"/>
      <c r="O1" s="70" t="s">
        <v>49</v>
      </c>
      <c r="P1" s="62"/>
      <c r="Q1" s="70" t="s">
        <v>50</v>
      </c>
      <c r="R1" s="58" t="s">
        <v>154</v>
      </c>
    </row>
    <row r="2" spans="1:23" ht="15" customHeight="1" x14ac:dyDescent="0.15">
      <c r="A2" s="70" t="s">
        <v>51</v>
      </c>
      <c r="B2" s="71">
        <v>0.5</v>
      </c>
      <c r="C2" s="69" t="s">
        <v>52</v>
      </c>
      <c r="D2" s="72"/>
      <c r="F2" s="1"/>
      <c r="G2" s="73"/>
      <c r="H2" s="73"/>
      <c r="I2" s="73" t="s">
        <v>133</v>
      </c>
      <c r="J2" s="73" t="s">
        <v>133</v>
      </c>
      <c r="K2" s="73" t="s">
        <v>52</v>
      </c>
      <c r="L2" s="73" t="s">
        <v>53</v>
      </c>
      <c r="M2" s="73" t="s">
        <v>52</v>
      </c>
      <c r="N2" s="73" t="s">
        <v>53</v>
      </c>
      <c r="O2" s="73" t="s">
        <v>52</v>
      </c>
      <c r="P2" s="74" t="s">
        <v>53</v>
      </c>
      <c r="Q2" s="73"/>
      <c r="R2" s="75" t="s">
        <v>155</v>
      </c>
    </row>
    <row r="3" spans="1:23" ht="15" customHeight="1" thickBot="1" x14ac:dyDescent="0.2">
      <c r="A3" s="70" t="s">
        <v>54</v>
      </c>
      <c r="B3" s="76">
        <v>0.5</v>
      </c>
      <c r="C3" s="69" t="s">
        <v>53</v>
      </c>
      <c r="D3" s="7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3">
        <v>0</v>
      </c>
      <c r="R3" s="32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3">
        <v>0</v>
      </c>
      <c r="R4" s="95">
        <v>0</v>
      </c>
    </row>
    <row r="5" spans="1:23" ht="15" customHeight="1" x14ac:dyDescent="0.15">
      <c r="A5" s="70" t="s">
        <v>55</v>
      </c>
      <c r="B5" s="77">
        <v>0.5</v>
      </c>
      <c r="C5" s="69" t="s">
        <v>52</v>
      </c>
      <c r="D5" s="7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3">
        <v>0</v>
      </c>
      <c r="R5" s="95">
        <v>0</v>
      </c>
    </row>
    <row r="6" spans="1:23" ht="15" customHeight="1" thickBot="1" x14ac:dyDescent="0.2">
      <c r="A6" s="70"/>
      <c r="B6" s="78">
        <v>0.5</v>
      </c>
      <c r="C6" s="69" t="s">
        <v>53</v>
      </c>
      <c r="D6" s="72"/>
      <c r="F6" s="171" t="s">
        <v>192</v>
      </c>
      <c r="G6" s="68">
        <v>0</v>
      </c>
      <c r="H6" s="68">
        <v>0</v>
      </c>
      <c r="I6" s="68">
        <v>0</v>
      </c>
      <c r="J6" s="68">
        <v>0</v>
      </c>
      <c r="K6" s="68">
        <v>0</v>
      </c>
      <c r="L6" s="68">
        <v>0</v>
      </c>
      <c r="M6" s="68">
        <v>1</v>
      </c>
      <c r="N6" s="68">
        <v>0</v>
      </c>
      <c r="O6" s="68">
        <v>0</v>
      </c>
      <c r="P6" s="60">
        <v>0</v>
      </c>
      <c r="Q6" s="68">
        <v>0</v>
      </c>
      <c r="R6" s="61">
        <v>1</v>
      </c>
      <c r="S6"/>
      <c r="T6"/>
    </row>
    <row r="7" spans="1:23" ht="15" customHeight="1" thickBot="1" x14ac:dyDescent="0.2">
      <c r="F7" s="171" t="s">
        <v>193</v>
      </c>
      <c r="G7" s="68">
        <v>0</v>
      </c>
      <c r="H7" s="68">
        <v>0</v>
      </c>
      <c r="I7" s="68">
        <v>0</v>
      </c>
      <c r="J7" s="68">
        <v>0</v>
      </c>
      <c r="K7" s="68">
        <v>1</v>
      </c>
      <c r="L7" s="68">
        <v>0</v>
      </c>
      <c r="M7" s="68">
        <v>1</v>
      </c>
      <c r="N7" s="68">
        <v>0</v>
      </c>
      <c r="O7" s="68">
        <v>1</v>
      </c>
      <c r="P7" s="60">
        <v>0</v>
      </c>
      <c r="Q7" s="68">
        <v>0</v>
      </c>
      <c r="R7" s="61">
        <v>1</v>
      </c>
      <c r="S7"/>
      <c r="T7"/>
    </row>
    <row r="8" spans="1:23" ht="15" customHeight="1" x14ac:dyDescent="0.15">
      <c r="A8" s="70" t="s">
        <v>56</v>
      </c>
      <c r="B8" s="77">
        <v>1</v>
      </c>
      <c r="C8" s="172" t="s">
        <v>192</v>
      </c>
      <c r="D8" s="72" t="s">
        <v>160</v>
      </c>
      <c r="F8" s="171" t="s">
        <v>194</v>
      </c>
      <c r="G8" s="68">
        <v>0</v>
      </c>
      <c r="H8" s="68">
        <v>0</v>
      </c>
      <c r="I8" s="68">
        <v>0</v>
      </c>
      <c r="J8" s="68">
        <v>0</v>
      </c>
      <c r="K8" s="68">
        <v>1</v>
      </c>
      <c r="L8" s="68">
        <v>0</v>
      </c>
      <c r="M8" s="68">
        <v>1</v>
      </c>
      <c r="N8" s="68">
        <v>0</v>
      </c>
      <c r="O8" s="68">
        <v>1</v>
      </c>
      <c r="P8" s="60">
        <v>0</v>
      </c>
      <c r="Q8" s="68">
        <v>0</v>
      </c>
      <c r="R8" s="61">
        <v>1</v>
      </c>
      <c r="S8"/>
      <c r="T8"/>
      <c r="W8"/>
    </row>
    <row r="9" spans="1:23" ht="15" customHeight="1" x14ac:dyDescent="0.15">
      <c r="A9" s="109" t="s">
        <v>168</v>
      </c>
      <c r="B9" s="79"/>
      <c r="C9" s="67"/>
      <c r="D9" s="72" t="s">
        <v>160</v>
      </c>
      <c r="F9" s="171" t="s">
        <v>195</v>
      </c>
      <c r="G9" s="68">
        <v>0</v>
      </c>
      <c r="H9" s="68">
        <v>0</v>
      </c>
      <c r="I9" s="68">
        <v>0</v>
      </c>
      <c r="J9" s="68">
        <v>0</v>
      </c>
      <c r="K9" s="68">
        <v>1</v>
      </c>
      <c r="L9" s="68">
        <v>0</v>
      </c>
      <c r="M9" s="68">
        <v>1</v>
      </c>
      <c r="N9" s="68">
        <v>0</v>
      </c>
      <c r="O9" s="68">
        <v>1</v>
      </c>
      <c r="P9" s="60">
        <v>0</v>
      </c>
      <c r="Q9" s="68">
        <v>0</v>
      </c>
      <c r="R9" s="61">
        <v>1</v>
      </c>
      <c r="S9"/>
      <c r="T9"/>
      <c r="W9"/>
    </row>
    <row r="10" spans="1:23" ht="15" customHeight="1" x14ac:dyDescent="0.15">
      <c r="B10" s="79"/>
      <c r="C10" s="67"/>
      <c r="D10" s="72" t="s">
        <v>160</v>
      </c>
      <c r="F10" s="171" t="s">
        <v>196</v>
      </c>
      <c r="G10" s="68">
        <v>0</v>
      </c>
      <c r="H10" s="68">
        <v>0</v>
      </c>
      <c r="I10" s="68">
        <v>0</v>
      </c>
      <c r="J10" s="68">
        <v>0</v>
      </c>
      <c r="K10" s="68">
        <v>1</v>
      </c>
      <c r="L10" s="68">
        <v>0</v>
      </c>
      <c r="M10" s="68">
        <v>1</v>
      </c>
      <c r="N10" s="68">
        <v>0</v>
      </c>
      <c r="O10" s="68">
        <v>1</v>
      </c>
      <c r="P10" s="60">
        <v>0</v>
      </c>
      <c r="Q10" s="68">
        <v>0</v>
      </c>
      <c r="R10" s="61">
        <v>1</v>
      </c>
      <c r="S10"/>
      <c r="T10"/>
      <c r="W10"/>
    </row>
    <row r="11" spans="1:23" ht="15" customHeight="1" x14ac:dyDescent="0.15">
      <c r="A11" s="70"/>
      <c r="B11" s="79"/>
      <c r="C11" s="82"/>
      <c r="D11" s="72" t="s">
        <v>160</v>
      </c>
      <c r="F11" s="171" t="s">
        <v>197</v>
      </c>
      <c r="G11" s="68">
        <v>0</v>
      </c>
      <c r="H11" s="68">
        <v>0</v>
      </c>
      <c r="I11" s="68">
        <v>0</v>
      </c>
      <c r="J11" s="68">
        <v>0</v>
      </c>
      <c r="K11" s="68">
        <v>1</v>
      </c>
      <c r="L11" s="68">
        <v>0</v>
      </c>
      <c r="M11" s="68">
        <v>1</v>
      </c>
      <c r="N11" s="68">
        <v>0</v>
      </c>
      <c r="O11" s="68">
        <v>1</v>
      </c>
      <c r="P11" s="60">
        <v>0</v>
      </c>
      <c r="Q11" s="68">
        <v>0</v>
      </c>
      <c r="R11" s="61">
        <v>1</v>
      </c>
      <c r="S11"/>
      <c r="T11"/>
      <c r="W11"/>
    </row>
    <row r="12" spans="1:23" ht="15" customHeight="1" x14ac:dyDescent="0.15">
      <c r="B12" s="79"/>
      <c r="C12" s="83"/>
      <c r="D12" s="72" t="s">
        <v>160</v>
      </c>
      <c r="F12" s="171" t="s">
        <v>198</v>
      </c>
      <c r="G12" s="68">
        <v>0</v>
      </c>
      <c r="H12" s="68">
        <v>0</v>
      </c>
      <c r="I12" s="68">
        <v>0</v>
      </c>
      <c r="J12" s="68">
        <v>0</v>
      </c>
      <c r="K12" s="68">
        <v>1</v>
      </c>
      <c r="L12" s="68">
        <v>0</v>
      </c>
      <c r="M12" s="68">
        <v>1</v>
      </c>
      <c r="N12" s="68">
        <v>0</v>
      </c>
      <c r="O12" s="68">
        <v>1</v>
      </c>
      <c r="P12" s="60">
        <v>0</v>
      </c>
      <c r="Q12" s="68">
        <v>0</v>
      </c>
      <c r="R12" s="61">
        <v>1</v>
      </c>
      <c r="S12"/>
      <c r="T12"/>
      <c r="W12"/>
    </row>
    <row r="13" spans="1:23" ht="15" customHeight="1" x14ac:dyDescent="0.15">
      <c r="B13" s="79"/>
      <c r="C13" s="83"/>
      <c r="D13" s="72" t="s">
        <v>160</v>
      </c>
      <c r="F13" s="171" t="s">
        <v>199</v>
      </c>
      <c r="G13" s="68">
        <v>0</v>
      </c>
      <c r="H13" s="68">
        <v>0</v>
      </c>
      <c r="I13" s="68">
        <v>0</v>
      </c>
      <c r="J13" s="68">
        <v>0</v>
      </c>
      <c r="K13" s="68">
        <v>1</v>
      </c>
      <c r="L13" s="68">
        <v>0</v>
      </c>
      <c r="M13" s="68">
        <v>1</v>
      </c>
      <c r="N13" s="68">
        <v>0</v>
      </c>
      <c r="O13" s="68">
        <v>1</v>
      </c>
      <c r="P13" s="60">
        <v>0</v>
      </c>
      <c r="Q13" s="68">
        <v>0</v>
      </c>
      <c r="R13" s="61">
        <v>1</v>
      </c>
      <c r="S13"/>
      <c r="T13"/>
      <c r="W13"/>
    </row>
    <row r="14" spans="1:23" ht="15" customHeight="1" x14ac:dyDescent="0.15">
      <c r="B14" s="79"/>
      <c r="C14" s="67"/>
      <c r="D14" s="72" t="s">
        <v>160</v>
      </c>
      <c r="F14" s="171" t="s">
        <v>200</v>
      </c>
      <c r="G14" s="68">
        <v>0</v>
      </c>
      <c r="H14" s="68">
        <v>0</v>
      </c>
      <c r="I14" s="68">
        <v>0</v>
      </c>
      <c r="J14" s="68">
        <v>0</v>
      </c>
      <c r="K14" s="68">
        <v>1</v>
      </c>
      <c r="L14" s="68">
        <v>0</v>
      </c>
      <c r="M14" s="68">
        <v>1</v>
      </c>
      <c r="N14" s="68">
        <v>0</v>
      </c>
      <c r="O14" s="68">
        <v>1</v>
      </c>
      <c r="P14" s="60">
        <v>0</v>
      </c>
      <c r="Q14" s="68">
        <v>0</v>
      </c>
      <c r="R14" s="61">
        <v>1</v>
      </c>
      <c r="S14"/>
      <c r="T14"/>
      <c r="W14"/>
    </row>
    <row r="15" spans="1:23" ht="15" customHeight="1" x14ac:dyDescent="0.15">
      <c r="B15" s="79"/>
      <c r="C15" s="67"/>
      <c r="D15" s="72" t="s">
        <v>160</v>
      </c>
      <c r="F15" s="171" t="s">
        <v>201</v>
      </c>
      <c r="G15" s="68">
        <v>0</v>
      </c>
      <c r="H15" s="68">
        <v>0</v>
      </c>
      <c r="I15" s="68">
        <v>0</v>
      </c>
      <c r="J15" s="68">
        <v>0</v>
      </c>
      <c r="K15" s="68">
        <v>1</v>
      </c>
      <c r="L15" s="68">
        <v>0</v>
      </c>
      <c r="M15" s="68">
        <v>1</v>
      </c>
      <c r="N15" s="68">
        <v>0</v>
      </c>
      <c r="O15" s="68">
        <v>1</v>
      </c>
      <c r="P15" s="60">
        <v>0</v>
      </c>
      <c r="Q15" s="68">
        <v>0</v>
      </c>
      <c r="R15" s="61">
        <v>1</v>
      </c>
      <c r="S15"/>
      <c r="T15"/>
      <c r="W15"/>
    </row>
    <row r="16" spans="1:23" ht="15" customHeight="1" x14ac:dyDescent="0.15">
      <c r="B16" s="79"/>
      <c r="C16" s="67"/>
      <c r="D16" s="72" t="s">
        <v>160</v>
      </c>
      <c r="F16" s="171" t="s">
        <v>202</v>
      </c>
      <c r="G16" s="68">
        <v>0</v>
      </c>
      <c r="H16" s="68">
        <v>0</v>
      </c>
      <c r="I16" s="68">
        <v>0</v>
      </c>
      <c r="J16" s="68">
        <v>0</v>
      </c>
      <c r="K16" s="68">
        <v>1</v>
      </c>
      <c r="L16" s="68">
        <v>0</v>
      </c>
      <c r="M16" s="68">
        <v>1</v>
      </c>
      <c r="N16" s="68">
        <v>0</v>
      </c>
      <c r="O16" s="68">
        <v>1</v>
      </c>
      <c r="P16" s="60">
        <v>0</v>
      </c>
      <c r="Q16" s="68">
        <v>0</v>
      </c>
      <c r="R16" s="61">
        <v>1</v>
      </c>
      <c r="S16"/>
      <c r="T16"/>
    </row>
    <row r="17" spans="1:20" ht="15" customHeight="1" thickBot="1" x14ac:dyDescent="0.2">
      <c r="B17" s="78"/>
      <c r="C17" s="67"/>
      <c r="D17" s="72" t="s">
        <v>160</v>
      </c>
      <c r="F17" s="171" t="s">
        <v>203</v>
      </c>
      <c r="G17" s="68">
        <v>0</v>
      </c>
      <c r="H17" s="68">
        <v>0</v>
      </c>
      <c r="I17" s="68">
        <v>0</v>
      </c>
      <c r="J17" s="68">
        <v>0</v>
      </c>
      <c r="K17" s="68">
        <v>1</v>
      </c>
      <c r="L17" s="68">
        <v>0</v>
      </c>
      <c r="M17" s="68">
        <v>1</v>
      </c>
      <c r="N17" s="68">
        <v>0</v>
      </c>
      <c r="O17" s="68">
        <v>1</v>
      </c>
      <c r="P17" s="60">
        <v>0</v>
      </c>
      <c r="Q17" s="68">
        <v>0</v>
      </c>
      <c r="R17" s="61">
        <v>1</v>
      </c>
      <c r="S17"/>
      <c r="T17"/>
    </row>
    <row r="18" spans="1:20" ht="15" customHeight="1" thickBot="1" x14ac:dyDescent="0.2">
      <c r="B18" s="80"/>
      <c r="F18" s="171" t="s">
        <v>204</v>
      </c>
      <c r="G18" s="68">
        <v>0</v>
      </c>
      <c r="H18" s="68">
        <v>0</v>
      </c>
      <c r="I18" s="68">
        <v>0</v>
      </c>
      <c r="J18" s="68">
        <v>0</v>
      </c>
      <c r="K18" s="68">
        <v>1</v>
      </c>
      <c r="L18" s="68">
        <v>0</v>
      </c>
      <c r="M18" s="68">
        <v>1</v>
      </c>
      <c r="N18" s="68">
        <v>0</v>
      </c>
      <c r="O18" s="68">
        <v>1</v>
      </c>
      <c r="P18" s="60">
        <v>0</v>
      </c>
      <c r="Q18" s="68">
        <v>0</v>
      </c>
      <c r="R18" s="61">
        <v>1</v>
      </c>
      <c r="S18"/>
      <c r="T18"/>
    </row>
    <row r="19" spans="1:20" ht="15" customHeight="1" x14ac:dyDescent="0.15">
      <c r="A19" s="70" t="s">
        <v>57</v>
      </c>
      <c r="B19" s="77">
        <v>1</v>
      </c>
      <c r="C19" s="173" t="s">
        <v>192</v>
      </c>
      <c r="D19" s="72" t="s">
        <v>160</v>
      </c>
      <c r="F19" s="171" t="s">
        <v>205</v>
      </c>
      <c r="G19" s="68">
        <v>0</v>
      </c>
      <c r="H19" s="68">
        <v>0</v>
      </c>
      <c r="I19" s="68">
        <v>0</v>
      </c>
      <c r="J19" s="68">
        <v>0</v>
      </c>
      <c r="K19" s="68">
        <v>1</v>
      </c>
      <c r="L19" s="68">
        <v>0</v>
      </c>
      <c r="M19" s="68">
        <v>1</v>
      </c>
      <c r="N19" s="68">
        <v>0</v>
      </c>
      <c r="O19" s="68">
        <v>1</v>
      </c>
      <c r="P19" s="60">
        <v>0</v>
      </c>
      <c r="Q19" s="68">
        <v>0</v>
      </c>
      <c r="R19" s="61">
        <v>1</v>
      </c>
      <c r="S19"/>
      <c r="T19"/>
    </row>
    <row r="20" spans="1:20" ht="15" customHeight="1" x14ac:dyDescent="0.15">
      <c r="A20" s="109" t="s">
        <v>168</v>
      </c>
      <c r="B20" s="79"/>
      <c r="C20" s="67"/>
      <c r="D20" s="72" t="s">
        <v>160</v>
      </c>
      <c r="F20" s="171" t="s">
        <v>206</v>
      </c>
      <c r="G20" s="68">
        <v>0</v>
      </c>
      <c r="H20" s="68">
        <v>0</v>
      </c>
      <c r="I20" s="68">
        <v>0</v>
      </c>
      <c r="J20" s="68">
        <v>0</v>
      </c>
      <c r="K20" s="68">
        <v>1</v>
      </c>
      <c r="L20" s="68">
        <v>0</v>
      </c>
      <c r="M20" s="68">
        <v>1</v>
      </c>
      <c r="N20" s="68">
        <v>0</v>
      </c>
      <c r="O20" s="68">
        <v>1</v>
      </c>
      <c r="P20" s="60">
        <v>0</v>
      </c>
      <c r="Q20" s="68">
        <v>0</v>
      </c>
      <c r="R20" s="61">
        <v>1</v>
      </c>
      <c r="S20"/>
      <c r="T20"/>
    </row>
    <row r="21" spans="1:20" ht="15" customHeight="1" x14ac:dyDescent="0.15">
      <c r="B21" s="79"/>
      <c r="C21" s="67"/>
      <c r="D21" s="72" t="s">
        <v>160</v>
      </c>
      <c r="F21" s="171" t="s">
        <v>207</v>
      </c>
      <c r="G21" s="68">
        <v>0</v>
      </c>
      <c r="H21" s="68">
        <v>0</v>
      </c>
      <c r="I21" s="68">
        <v>0</v>
      </c>
      <c r="J21" s="68">
        <v>0</v>
      </c>
      <c r="K21" s="68">
        <v>1</v>
      </c>
      <c r="L21" s="68">
        <v>0</v>
      </c>
      <c r="M21" s="68">
        <v>1</v>
      </c>
      <c r="N21" s="68">
        <v>0</v>
      </c>
      <c r="O21" s="68">
        <v>1</v>
      </c>
      <c r="P21" s="60">
        <v>0</v>
      </c>
      <c r="Q21" s="68">
        <v>0</v>
      </c>
      <c r="R21" s="61">
        <v>1</v>
      </c>
      <c r="S21"/>
      <c r="T21"/>
    </row>
    <row r="22" spans="1:20" ht="15" customHeight="1" x14ac:dyDescent="0.15">
      <c r="A22" s="68"/>
      <c r="B22" s="79"/>
      <c r="C22" s="82"/>
      <c r="D22" s="72" t="s">
        <v>160</v>
      </c>
      <c r="F22" s="171" t="s">
        <v>208</v>
      </c>
      <c r="G22" s="68">
        <v>0</v>
      </c>
      <c r="H22" s="68">
        <v>0</v>
      </c>
      <c r="I22" s="68">
        <v>0</v>
      </c>
      <c r="J22" s="68">
        <v>0</v>
      </c>
      <c r="K22" s="68">
        <v>1</v>
      </c>
      <c r="L22" s="68">
        <v>0</v>
      </c>
      <c r="M22" s="68">
        <v>1</v>
      </c>
      <c r="N22" s="68">
        <v>0</v>
      </c>
      <c r="O22" s="68">
        <v>1</v>
      </c>
      <c r="P22" s="60">
        <v>0</v>
      </c>
      <c r="Q22" s="68">
        <v>0</v>
      </c>
      <c r="R22" s="61">
        <v>1</v>
      </c>
      <c r="S22"/>
      <c r="T22"/>
    </row>
    <row r="23" spans="1:20" ht="15" customHeight="1" x14ac:dyDescent="0.15">
      <c r="A23" s="68"/>
      <c r="B23" s="79"/>
      <c r="C23" s="83"/>
      <c r="D23" s="72" t="s">
        <v>160</v>
      </c>
      <c r="F23" s="171" t="s">
        <v>209</v>
      </c>
      <c r="G23" s="68">
        <v>0</v>
      </c>
      <c r="H23" s="68">
        <v>0</v>
      </c>
      <c r="I23" s="68">
        <v>0</v>
      </c>
      <c r="J23" s="68">
        <v>0</v>
      </c>
      <c r="K23" s="68">
        <v>0</v>
      </c>
      <c r="L23" s="68">
        <v>1</v>
      </c>
      <c r="M23" s="68">
        <v>0</v>
      </c>
      <c r="N23" s="68">
        <v>1</v>
      </c>
      <c r="O23" s="68">
        <v>0</v>
      </c>
      <c r="P23" s="60">
        <v>1</v>
      </c>
      <c r="Q23" s="68">
        <v>0</v>
      </c>
      <c r="R23" s="61">
        <v>1</v>
      </c>
      <c r="S23"/>
      <c r="T23"/>
    </row>
    <row r="24" spans="1:20" ht="15" customHeight="1" x14ac:dyDescent="0.15">
      <c r="A24" s="68"/>
      <c r="B24" s="79"/>
      <c r="C24" s="83"/>
      <c r="D24" s="72" t="s">
        <v>160</v>
      </c>
      <c r="F24" s="171" t="s">
        <v>210</v>
      </c>
      <c r="G24" s="68">
        <v>0</v>
      </c>
      <c r="H24" s="68">
        <v>0</v>
      </c>
      <c r="I24" s="68">
        <v>0</v>
      </c>
      <c r="J24" s="68">
        <v>0</v>
      </c>
      <c r="K24" s="68">
        <v>0</v>
      </c>
      <c r="L24" s="68">
        <v>1</v>
      </c>
      <c r="M24" s="68">
        <v>0</v>
      </c>
      <c r="N24" s="68">
        <v>1</v>
      </c>
      <c r="O24" s="68">
        <v>0</v>
      </c>
      <c r="P24" s="60">
        <v>1</v>
      </c>
      <c r="Q24" s="68">
        <v>0</v>
      </c>
      <c r="R24" s="61">
        <v>1</v>
      </c>
      <c r="S24"/>
      <c r="T24"/>
    </row>
    <row r="25" spans="1:20" ht="15" customHeight="1" x14ac:dyDescent="0.15">
      <c r="A25" s="68"/>
      <c r="B25" s="79"/>
      <c r="C25" s="67"/>
      <c r="D25" s="72" t="s">
        <v>160</v>
      </c>
      <c r="F25" s="171" t="s">
        <v>211</v>
      </c>
      <c r="G25" s="68">
        <v>0</v>
      </c>
      <c r="H25" s="68">
        <v>0</v>
      </c>
      <c r="I25" s="68">
        <v>0</v>
      </c>
      <c r="J25" s="68">
        <v>0</v>
      </c>
      <c r="K25" s="68">
        <v>0</v>
      </c>
      <c r="L25" s="68">
        <v>1</v>
      </c>
      <c r="M25" s="68">
        <v>0</v>
      </c>
      <c r="N25" s="68">
        <v>0</v>
      </c>
      <c r="O25" s="68">
        <v>0</v>
      </c>
      <c r="P25" s="60">
        <v>0</v>
      </c>
      <c r="Q25" s="68">
        <v>0</v>
      </c>
      <c r="R25" s="61">
        <v>1</v>
      </c>
      <c r="S25"/>
      <c r="T25"/>
    </row>
    <row r="26" spans="1:20" ht="15" customHeight="1" x14ac:dyDescent="0.15">
      <c r="B26" s="79"/>
      <c r="C26" s="67"/>
      <c r="D26" s="72" t="s">
        <v>160</v>
      </c>
      <c r="F26" s="171" t="s">
        <v>212</v>
      </c>
      <c r="G26" s="68">
        <v>0</v>
      </c>
      <c r="H26" s="68">
        <v>0</v>
      </c>
      <c r="I26" s="68">
        <v>0</v>
      </c>
      <c r="J26" s="68">
        <v>0</v>
      </c>
      <c r="K26" s="68">
        <v>0</v>
      </c>
      <c r="L26" s="68">
        <v>1</v>
      </c>
      <c r="M26" s="68">
        <v>0</v>
      </c>
      <c r="N26" s="68">
        <v>0</v>
      </c>
      <c r="O26" s="68">
        <v>0</v>
      </c>
      <c r="P26" s="60">
        <v>0</v>
      </c>
      <c r="Q26" s="68">
        <v>0</v>
      </c>
      <c r="R26" s="61">
        <v>1</v>
      </c>
      <c r="S26"/>
      <c r="T26"/>
    </row>
    <row r="27" spans="1:20" ht="15" customHeight="1" x14ac:dyDescent="0.15">
      <c r="B27" s="79"/>
      <c r="C27" s="67"/>
      <c r="D27" s="72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8"/>
      <c r="C28" s="67"/>
      <c r="D28" s="72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0"/>
      <c r="B31" s="121" t="s">
        <v>17</v>
      </c>
      <c r="C31" s="121" t="s">
        <v>1</v>
      </c>
      <c r="D31" s="121" t="s">
        <v>161</v>
      </c>
      <c r="E31" s="122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4" t="s">
        <v>192</v>
      </c>
      <c r="B32" s="80">
        <v>226.64099999999999</v>
      </c>
      <c r="C32" s="80">
        <v>200.9</v>
      </c>
      <c r="D32" s="80">
        <v>45532.176899999999</v>
      </c>
      <c r="E32" s="112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1"/>
      <c r="B33" s="80"/>
      <c r="C33" s="80"/>
      <c r="D33" s="80"/>
      <c r="E33" s="112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3"/>
      <c r="B34" s="80"/>
      <c r="C34" s="80"/>
      <c r="D34" s="80"/>
      <c r="E34" s="112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4"/>
      <c r="B35" s="80"/>
      <c r="C35" s="80"/>
      <c r="D35" s="80"/>
      <c r="E35" s="112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5"/>
      <c r="B36" s="80"/>
      <c r="C36" s="80"/>
      <c r="D36" s="80"/>
      <c r="E36" s="112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5"/>
      <c r="B37" s="80"/>
      <c r="C37" s="80"/>
      <c r="D37" s="80"/>
      <c r="E37" s="112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6"/>
      <c r="B38" s="80"/>
      <c r="C38" s="80"/>
      <c r="D38" s="80"/>
      <c r="E38" s="112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6"/>
      <c r="B39" s="80"/>
      <c r="C39" s="80"/>
      <c r="D39" s="80"/>
      <c r="E39" s="11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6"/>
      <c r="B40" s="80"/>
      <c r="C40" s="80"/>
      <c r="D40" s="80"/>
      <c r="E40" s="11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6"/>
      <c r="B41" s="80"/>
      <c r="C41" s="80"/>
      <c r="D41" s="81"/>
      <c r="E41" s="11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8"/>
      <c r="B42" s="119"/>
      <c r="C42" s="119" t="s">
        <v>162</v>
      </c>
      <c r="D42" s="119">
        <f>SUM(D32:D41)</f>
        <v>45532.176899999999</v>
      </c>
      <c r="E42" s="120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5" customWidth="1"/>
    <col min="3" max="5" width="7.83203125" style="95" customWidth="1"/>
    <col min="6" max="8" width="8.83203125" style="6"/>
    <col min="9" max="9" width="16.6640625" style="6" customWidth="1"/>
    <col min="10" max="10" width="9.5" style="6" customWidth="1"/>
    <col min="11" max="11" width="12.6640625" style="6" customWidth="1"/>
    <col min="12" max="12" width="7.33203125" style="6" customWidth="1"/>
    <col min="13" max="13" width="11.83203125" style="6" customWidth="1"/>
    <col min="14" max="14" width="13" style="6" customWidth="1"/>
    <col min="15" max="15" width="8.1640625" style="6" customWidth="1"/>
    <col min="16" max="16" width="8.6640625" style="6" customWidth="1"/>
    <col min="17" max="17" width="4" style="6" customWidth="1"/>
    <col min="18" max="18" width="13.5" style="6" customWidth="1"/>
    <col min="19" max="19" width="7.33203125" style="6" customWidth="1"/>
    <col min="20" max="20" width="15.5" style="6" customWidth="1"/>
    <col min="21" max="21" width="13.33203125" style="6" customWidth="1"/>
    <col min="22" max="22" width="7.83203125" style="6" customWidth="1"/>
    <col min="23" max="23" width="7.33203125" style="6" customWidth="1"/>
    <col min="24" max="24" width="7.1640625" style="6" customWidth="1"/>
    <col min="25" max="25" width="13.83203125" style="6" customWidth="1"/>
    <col min="26" max="26" width="15.5" style="6" customWidth="1"/>
    <col min="27" max="27" width="21.6640625" style="6" customWidth="1"/>
    <col min="28" max="28" width="6.5" style="6" customWidth="1"/>
    <col min="29" max="29" width="8.164062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1" t="s">
        <v>157</v>
      </c>
      <c r="C1" s="31" t="s">
        <v>17</v>
      </c>
      <c r="D1" s="31" t="s">
        <v>158</v>
      </c>
      <c r="E1" s="31" t="s">
        <v>159</v>
      </c>
      <c r="F1" t="s">
        <v>38</v>
      </c>
      <c r="G1" t="s">
        <v>40</v>
      </c>
      <c r="H1" t="s">
        <v>41</v>
      </c>
      <c r="I1" s="176" t="s">
        <v>192</v>
      </c>
      <c r="J1" s="176" t="s">
        <v>193</v>
      </c>
      <c r="K1" s="176" t="s">
        <v>194</v>
      </c>
      <c r="L1" s="176" t="s">
        <v>195</v>
      </c>
      <c r="M1" s="176" t="s">
        <v>196</v>
      </c>
      <c r="N1" s="176" t="s">
        <v>197</v>
      </c>
      <c r="O1" s="176" t="s">
        <v>198</v>
      </c>
      <c r="P1" s="176" t="s">
        <v>199</v>
      </c>
      <c r="Q1" s="176" t="s">
        <v>200</v>
      </c>
      <c r="R1" s="176" t="s">
        <v>201</v>
      </c>
      <c r="S1" s="176" t="s">
        <v>202</v>
      </c>
      <c r="T1" s="176" t="s">
        <v>203</v>
      </c>
      <c r="U1" s="176" t="s">
        <v>204</v>
      </c>
      <c r="V1" s="176" t="s">
        <v>205</v>
      </c>
      <c r="W1" s="176" t="s">
        <v>206</v>
      </c>
      <c r="X1" s="176" t="s">
        <v>207</v>
      </c>
      <c r="Y1" s="176" t="s">
        <v>208</v>
      </c>
      <c r="Z1" s="176" t="s">
        <v>209</v>
      </c>
      <c r="AA1" s="176" t="s">
        <v>210</v>
      </c>
      <c r="AB1" s="176" t="s">
        <v>211</v>
      </c>
      <c r="AC1" s="176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5" t="s">
        <v>192</v>
      </c>
      <c r="B5" s="9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5" t="s">
        <v>193</v>
      </c>
      <c r="B6" s="9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5" t="s">
        <v>194</v>
      </c>
      <c r="B7" s="9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5" t="s">
        <v>195</v>
      </c>
      <c r="B8" s="9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5" t="s">
        <v>196</v>
      </c>
      <c r="B9" s="9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5" t="s">
        <v>197</v>
      </c>
      <c r="B10" s="9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5" t="s">
        <v>198</v>
      </c>
      <c r="B11" s="9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5" t="s">
        <v>199</v>
      </c>
      <c r="B12" s="9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5" t="s">
        <v>200</v>
      </c>
      <c r="B13" s="9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5" t="s">
        <v>201</v>
      </c>
      <c r="B14" s="9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5" t="s">
        <v>202</v>
      </c>
      <c r="B15" s="9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5" t="s">
        <v>203</v>
      </c>
      <c r="B16" s="9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5" t="s">
        <v>204</v>
      </c>
      <c r="B17" s="9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5" t="s">
        <v>205</v>
      </c>
      <c r="B18" s="9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5" t="s">
        <v>206</v>
      </c>
      <c r="B19" s="9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5" t="s">
        <v>207</v>
      </c>
      <c r="B20" s="9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5" t="s">
        <v>208</v>
      </c>
      <c r="B21" s="9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5" t="s">
        <v>209</v>
      </c>
      <c r="B22" s="9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5" t="s">
        <v>210</v>
      </c>
      <c r="B23" s="9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5" t="s">
        <v>211</v>
      </c>
      <c r="B24" s="9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5" t="s">
        <v>212</v>
      </c>
      <c r="B25" s="9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2022-10-24T07:40:24Z</dcterms:modified>
</cp:coreProperties>
</file>