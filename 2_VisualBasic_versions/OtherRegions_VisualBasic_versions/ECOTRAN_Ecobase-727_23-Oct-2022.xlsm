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OtherRegions_ECOTRAN_K-path_versions/"/>
    </mc:Choice>
  </mc:AlternateContent>
  <xr:revisionPtr revIDLastSave="0" documentId="13_ncr:1_{01EB847D-165F-A34C-84C6-E951606FB992}" xr6:coauthVersionLast="45" xr6:coauthVersionMax="45" xr10:uidLastSave="{00000000-0000-0000-0000-000000000000}"/>
  <bookViews>
    <workbookView xWindow="0" yWindow="460" windowWidth="25600" windowHeight="14240" tabRatio="728" activeTab="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Main!$C$2:$N$86</definedName>
    <definedName name="matDetritus">Detritus!$C$2:$G$86</definedName>
    <definedName name="matDiet">Diets!$B$2:$BP$73</definedName>
    <definedName name="matDiscards">Discards!$C$2:$P$72</definedName>
    <definedName name="matFishery">Fishing!$C$2:$P$72</definedName>
    <definedName name="matFishing">Fishing!#REF!</definedName>
    <definedName name="matMort">Mortalities!$A$1:$CJ$72</definedName>
    <definedName name="matOut">MainOutputs!$A$2:$I$86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2" i="1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<sst xmlns="http://schemas.openxmlformats.org/spreadsheetml/2006/main" count="1952" uniqueCount="295">
  <si>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</si>
  <si>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</si>
  <si>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</si>
  <si>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</si>
  <si>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</si>
  <si>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</si>
  <si>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</si>
  <si>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</si>
  <si>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</si>
  <si>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</si>
  <si>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</si>
  <si>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</si>
  <si>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</si>
  <si>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</si>
  <si>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</si>
  <si>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</si>
  <si>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</si>
  <si>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</si>
  <si>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</si>
  <si>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</si>
  <si>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</si>
  <si>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</si>
  <si>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</si>
  <si>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</si>
  <si>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</si>
  <si>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</si>
  <si>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</si>
  <si>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</si>
  <si>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</si>
  <si>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</si>
  <si>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</si>
  <si>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</si>
  <si>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</si>
  <si>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</si>
  <si>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</si>
  <si>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</si>
  <si>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</si>
  <si>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</si>
  <si>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</si>
  <si>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</si>
  <si>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</si>
  <si>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</si>
  <si>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</si>
  <si>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</si>
  <si>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</si>
  <si>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</si>
  <si>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</si>
  <si>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</si>
  <si>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</si>
  <si>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</si>
  <si>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</si>
  <si>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</si>
  <si>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</si>
  <si>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</si>
  <si>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</si>
  <si>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</si>
  <si>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</si>
  <si>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</si>
  <si>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</si>
  <si>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</si>
  <si>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</si>
  <si>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</si>
  <si>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</si>
  <si>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</si>
  <si>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</si>
  <si>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</si>
  <si>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</si>
  <si>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</si>
  <si>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</si>
  <si>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</si>
  <si>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</si>
  <si>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</si>
  <si>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</si>
  <si>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</si>
  <si>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</si>
  <si>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</si>
  <si>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</si>
  <si>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</si>
  <si>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</si>
  <si>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</si>
  <si>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</si>
  <si>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</si>
  <si>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</si>
  <si>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</si>
  <si>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</si>
  <si>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</si>
  <si>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</si>
  <si>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</si>
  <si>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</si>
  <si>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</si>
  <si>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</si>
  <si>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</si>
  <si>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</si>
  <si>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</si>
  <si>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</si>
  <si>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</si>
  <si>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</si>
  <si>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</si>
  <si>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</si>
  <si>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</si>
  <si>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</si>
  <si>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</si>
  <si>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</si>
  <si>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</si>
  <si>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</si>
  <si>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</si>
  <si>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</si>
  <si>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</si>
  <si>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</si>
  <si>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</si>
  <si>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</si>
  <si>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</si>
  <si>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</si>
  <si>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</si>
  <si>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</si>
  <si>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</si>
  <si>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</si>
  <si>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</si>
  <si>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</si>
  <si>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</si>
  <si>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</si>
  <si>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</si>
  <si>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</si>
  <si>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</si>
  <si>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</si>
  <si>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</si>
  <si>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</si>
  <si>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</si>
  <si>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</si>
  <si>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</si>
  <si>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</si>
  <si>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</si>
  <si>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</si>
  <si>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</si>
  <si>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</si>
  <si>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</si>
  <si>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</si>
  <si>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</si>
  <si>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</si>
  <si>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</si>
  <si>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</si>
  <si>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</si>
  <si>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</si>
  <si>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</si>
  <si>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</si>
  <si>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</si>
  <si>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</si>
  <si>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</si>
  <si>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</si>
  <si>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</si>
  <si>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</si>
  <si>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</si>
  <si>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</si>
  <si>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</si>
  <si>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</si>
  <si>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</si>
  <si>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</si>
  <si>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</si>
  <si>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</si>
  <si>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</si>
  <si>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</si>
  <si>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</si>
  <si>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</si>
  <si>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</si>
  <si>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</si>
  <si>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</si>
  <si>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</si>
  <si>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</si>
  <si>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</si>
  <si>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</si>
  <si>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</si>
  <si>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</si>
  <si>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</si>
  <si>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</si>
  <si>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</si>
  <si>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</si>
  <si>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</si>
  <si>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</si>
  <si>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</si>
  <si>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</si>
  <si>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</si>
  <si>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</si>
  <si>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</si>
  <si>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</si>
  <si>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</si>
  <si>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 Florida Shelf Historic Model</t>
  </si>
  <si>
    <t>United States</t>
  </si>
  <si>
    <t>BOX(-87.5 25,-81 30.5)</t>
  </si>
  <si>
    <t>Continental shelf</t>
  </si>
  <si>
    <t>WetWeight</t>
  </si>
  <si>
    <t>West Florida Shelf model calibrated to time series from 1950 to 2009</t>
  </si>
  <si>
    <t>Chagaris, D., B. Mahmoudi, C. Walters, and M. Allen. 2015. Simulating the trophic impacts of fishery</t>
  </si>
  <si>
    <t>http://dx.doi.org/10.1080/19425120.2014.966216</t>
  </si>
  <si>
    <t>Dolphins</t>
  </si>
  <si>
    <t>Seabirds</t>
  </si>
  <si>
    <t>Large coastal sharks</t>
  </si>
  <si>
    <t>Small coastal sharks</t>
  </si>
  <si>
    <t>Rays skates</t>
  </si>
  <si>
    <t>Billfish Tuna</t>
  </si>
  <si>
    <t>oceanic small pelagics</t>
  </si>
  <si>
    <t>Cobia</t>
  </si>
  <si>
    <t>king Mackerel juv</t>
  </si>
  <si>
    <t>king mackerel adult</t>
  </si>
  <si>
    <t>Spanish mackerel juv</t>
  </si>
  <si>
    <t>Spanish mackerel adult</t>
  </si>
  <si>
    <t>jacks wahoo dolphinfish tunnies</t>
  </si>
  <si>
    <t>Red snapper juv</t>
  </si>
  <si>
    <t>red snapper adult</t>
  </si>
  <si>
    <t>Vermilion snapper</t>
  </si>
  <si>
    <t>other snapper</t>
  </si>
  <si>
    <t>tilefish</t>
  </si>
  <si>
    <t>yellowedge grouper 0</t>
  </si>
  <si>
    <t>Yellowedge grouper 1</t>
  </si>
  <si>
    <t>yellowedge grouper 3</t>
  </si>
  <si>
    <t>other deep water grouper</t>
  </si>
  <si>
    <t>gag 0</t>
  </si>
  <si>
    <t>gag 1</t>
  </si>
  <si>
    <t>gag 3</t>
  </si>
  <si>
    <t>red grouper 0</t>
  </si>
  <si>
    <t>red grouper 1</t>
  </si>
  <si>
    <t>red grouper 3</t>
  </si>
  <si>
    <t>black grouper 0</t>
  </si>
  <si>
    <t>black grouper 1</t>
  </si>
  <si>
    <t>black grouper 3</t>
  </si>
  <si>
    <t>other shallow water grouper</t>
  </si>
  <si>
    <t>goliath grouper</t>
  </si>
  <si>
    <t>triggerfish</t>
  </si>
  <si>
    <t>amberjacks/rudderfish</t>
  </si>
  <si>
    <t>Black sea bass</t>
  </si>
  <si>
    <t>reef carnivores</t>
  </si>
  <si>
    <t>reef omnivores</t>
  </si>
  <si>
    <t>coastal piscivores</t>
  </si>
  <si>
    <t>large coastal carnivores</t>
  </si>
  <si>
    <t>small coastal carnivores</t>
  </si>
  <si>
    <t>coastal omnivores</t>
  </si>
  <si>
    <t>Sardine Herring Scad complex</t>
  </si>
  <si>
    <t>Anchovies and silversides</t>
  </si>
  <si>
    <t>Mullets</t>
  </si>
  <si>
    <t>Squid</t>
  </si>
  <si>
    <t>Adult Shrimps</t>
  </si>
  <si>
    <t>Lobsters</t>
  </si>
  <si>
    <t>Large Crabs</t>
  </si>
  <si>
    <t>Octopods</t>
  </si>
  <si>
    <t>Stomatopods</t>
  </si>
  <si>
    <t>Echinoderms Large gastropods</t>
  </si>
  <si>
    <t>Bivalves</t>
  </si>
  <si>
    <t>Sessile epibenthos</t>
  </si>
  <si>
    <t>Small infauna</t>
  </si>
  <si>
    <t>Small mobile epifauna</t>
  </si>
  <si>
    <t>Meiofauna</t>
  </si>
  <si>
    <t>Small Copepods</t>
  </si>
  <si>
    <t>Other Mesozooplankton</t>
  </si>
  <si>
    <t>CarnivZooplank</t>
  </si>
  <si>
    <t>Ichthyoplankton</t>
  </si>
  <si>
    <t>CarnivJellyfish</t>
  </si>
  <si>
    <t>Microbial Heterotrophs</t>
  </si>
  <si>
    <t>Macroalgae</t>
  </si>
  <si>
    <t>Microphytobenthos</t>
  </si>
  <si>
    <t>Phytoplankton</t>
  </si>
  <si>
    <t>Sea grasses</t>
  </si>
  <si>
    <t>water column detritus</t>
  </si>
  <si>
    <t>sediment detritus</t>
  </si>
  <si>
    <t>dead discards</t>
  </si>
  <si>
    <t>Rec-shore</t>
  </si>
  <si>
    <t>Rec-private boat</t>
  </si>
  <si>
    <t>Rec-charter boat</t>
  </si>
  <si>
    <t>Rec-headboat</t>
  </si>
  <si>
    <t>Com-cast nets</t>
  </si>
  <si>
    <t>Com-offshore gill/trammel</t>
  </si>
  <si>
    <t>Com-trawl</t>
  </si>
  <si>
    <t>Com-purse/haul seines</t>
  </si>
  <si>
    <t>Com-vertical lines</t>
  </si>
  <si>
    <t>Com-long line</t>
  </si>
  <si>
    <t>Com-fish traps</t>
  </si>
  <si>
    <t>Com-crab traps</t>
  </si>
  <si>
    <t>Com-troll</t>
  </si>
  <si>
    <t>Com-pelagic long line</t>
  </si>
  <si>
    <t>Import</t>
  </si>
  <si>
    <t>export</t>
  </si>
  <si>
    <t>sum</t>
  </si>
  <si>
    <t>TOTAL</t>
  </si>
  <si>
    <t>F Rec-private boat</t>
  </si>
  <si>
    <t>F Rec-charter boat</t>
  </si>
  <si>
    <t>F Rec-headboat</t>
  </si>
  <si>
    <t>F Com-cast nets</t>
  </si>
  <si>
    <t>F Com-offshore gill/trammel</t>
  </si>
  <si>
    <t>F Com-trawl</t>
  </si>
  <si>
    <t>F Com-purse/haul seines</t>
  </si>
  <si>
    <t>F Com-vertical lines</t>
  </si>
  <si>
    <t>F Com-long line</t>
  </si>
  <si>
    <t>F Com-fish traps</t>
  </si>
  <si>
    <t>F Com-crab traps</t>
  </si>
  <si>
    <t>F Com-troll</t>
  </si>
  <si>
    <t>F Com-pelagic long line</t>
  </si>
  <si>
    <t xml:space="preserve">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</si>
</sst>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21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3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13" fillId="208" borderId="0" xfId="0" applyFont="1" applyFill="1"/>
    <xf numFmtId="49" fontId="13" fillId="208" borderId="29" xfId="0" applyNumberFormat="1" applyFont="1" applyFill="1" applyBorder="1"/>
    <xf numFmtId="0" fontId="13" fillId="208" borderId="0" xfId="0" applyFont="1" applyFill="1" applyAlignment="1">
      <alignment horizontal="center"/>
    </xf>
    <xf numFmtId="0" fontId="0" fillId="209" borderId="0" xfId="0" applyFill="1" applyAlignment="1">
      <alignment horizontal="center"/>
    </xf>
    <xf numFmtId="49" fontId="0" fillId="0" borderId="30" xfId="0" applyNumberFormat="1" applyBorder="1" applyAlignment="1">
      <alignment horizontal="center"/>
    </xf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84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9" t="s">
        <v>171</v>
      </c>
      <c r="C53" s="112">
        <v>727</v>
      </c>
      <c r="D53" s="112"/>
    </row>
    <row r="54" spans="2:4" x14ac:dyDescent="0.15">
      <c r="B54" s="179" t="s">
        <v>172</v>
      </c>
      <c r="C54" s="179" t="s">
        <v>185</v>
      </c>
      <c r="D54" s="112"/>
    </row>
    <row r="55" spans="2:4" x14ac:dyDescent="0.15">
      <c r="B55" s="179" t="s">
        <v>173</v>
      </c>
      <c r="C55" s="179" t="s">
        <v>186</v>
      </c>
      <c r="D55" s="112"/>
    </row>
    <row r="56" spans="2:4" x14ac:dyDescent="0.15">
      <c r="B56" s="179" t="s">
        <v>174</v>
      </c>
      <c r="C56" s="112">
        <v>170000</v>
      </c>
      <c r="D56" s="112"/>
    </row>
    <row r="57" spans="2:4" x14ac:dyDescent="0.15">
      <c r="B57" s="179" t="s">
        <v>175</v>
      </c>
      <c r="C57" s="179" t="s">
        <v>187</v>
      </c>
      <c r="D57" s="112"/>
    </row>
    <row r="58" spans="2:4" x14ac:dyDescent="0.15">
      <c r="B58" s="179" t="s">
        <v>176</v>
      </c>
      <c r="C58" s="179" t="s">
        <v>188</v>
      </c>
      <c r="D58" s="112"/>
    </row>
    <row r="59" spans="2:4" x14ac:dyDescent="0.15">
      <c r="B59" s="179" t="s">
        <v>177</v>
      </c>
      <c r="C59" s="179" t="s">
        <v>189</v>
      </c>
      <c r="D59" s="112"/>
    </row>
    <row r="60" spans="2:4" x14ac:dyDescent="0.15">
      <c r="B60" s="179" t="s">
        <v>178</v>
      </c>
      <c r="C60" s="179" t="s">
        <v>190</v>
      </c>
      <c r="D60" s="112"/>
    </row>
    <row r="61" spans="2:4" x14ac:dyDescent="0.15">
      <c r="B61" s="179" t="s">
        <v>179</v>
      </c>
      <c r="C61" s="112">
        <v>70</v>
      </c>
      <c r="D61" s="112"/>
    </row>
    <row r="62" spans="2:4" x14ac:dyDescent="0.15">
      <c r="B62" s="179" t="s">
        <v>180</v>
      </c>
      <c r="C62" s="112">
        <v>14</v>
      </c>
      <c r="D62" s="112"/>
    </row>
    <row r="63" spans="2:4" x14ac:dyDescent="0.15">
      <c r="B63" s="179" t="s">
        <v>181</v>
      </c>
      <c r="C63" s="112">
        <v>1950</v>
      </c>
      <c r="D63" s="112"/>
    </row>
    <row r="64" spans="2:4" x14ac:dyDescent="0.15">
      <c r="B64" s="179" t="s">
        <v>182</v>
      </c>
      <c r="C64" s="112">
        <v>60</v>
      </c>
      <c r="D64" s="112"/>
    </row>
    <row r="65" spans="2:4" x14ac:dyDescent="0.15">
      <c r="B65" s="179" t="s">
        <v>183</v>
      </c>
      <c r="C65" s="179" t="s">
        <v>191</v>
      </c>
      <c r="D65" s="112"/>
    </row>
    <row r="66" spans="2:4" x14ac:dyDescent="0.15">
      <c r="B66" s="179" t="s">
        <v>184</v>
      </c>
      <c r="C66" s="179" t="s">
        <v>192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abSelected="1" workbookViewId="0">
      <pane ySplit="1" topLeftCell="A62" activePane="bottomLeft" state="frozenSplit"/>
      <selection activeCell="E1" sqref="E1"/>
      <selection pane="bottomLeft" activeCell="B81" sqref="B81"/>
    </sheetView>
  </sheetViews>
  <sheetFormatPr baseColWidth="10" defaultColWidth="8.83203125" defaultRowHeight="15" customHeight="1" x14ac:dyDescent="0.15"/>
  <cols>
    <col min="1" max="1" width="22.5" style="85" customWidth="1"/>
    <col min="2" max="3" width="10.5" style="85" customWidth="1"/>
    <col min="4" max="4" width="14.33203125" style="85" customWidth="1"/>
    <col min="5" max="5" width="27.5" style="85" bestFit="1" customWidth="1"/>
    <col min="6" max="6" width="2.33203125" style="85" bestFit="1" customWidth="1"/>
    <col min="7" max="7" width="14.83203125" style="85" bestFit="1" customWidth="1"/>
    <col min="8" max="8" width="6.83203125" style="85" customWidth="1"/>
    <col min="9" max="9" width="10.83203125" style="85" customWidth="1"/>
    <col min="10" max="11" width="12.83203125" style="85" customWidth="1"/>
    <col min="12" max="12" width="9.83203125" style="85" customWidth="1"/>
    <col min="13" max="13" width="5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1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0" t="s">
        <v>193</v>
      </c>
      <c r="F2" s="85">
        <v>0</v>
      </c>
      <c r="G2" s="85">
        <v>1.7000000000000001E-2</v>
      </c>
      <c r="H2" s="85">
        <v>0.08</v>
      </c>
      <c r="I2" s="6">
        <v>14.5976</v>
      </c>
      <c r="J2" s="6">
        <v>0.60034793600000003</v>
      </c>
      <c r="K2" s="6">
        <v>5.4803530000000003E-3</v>
      </c>
      <c r="L2" s="6">
        <v>0</v>
      </c>
      <c r="M2" s="85">
        <v>0.35</v>
      </c>
      <c r="N2" s="85">
        <v>0</v>
      </c>
    </row>
    <row r="3" spans="1:46" ht="15" customHeight="1" x14ac:dyDescent="0.15">
      <c r="A3" s="1" t="s">
        <v>9</v>
      </c>
      <c r="B3" s="4">
        <v>67</v>
      </c>
      <c r="C3" s="85">
        <v>2</v>
      </c>
      <c r="D3"/>
      <c r="E3" s="180" t="s">
        <v>194</v>
      </c>
      <c r="F3" s="85">
        <v>0</v>
      </c>
      <c r="G3" s="85">
        <v>4.9940000000000002E-3</v>
      </c>
      <c r="H3" s="85">
        <v>0.3</v>
      </c>
      <c r="I3" s="85">
        <v>31</v>
      </c>
      <c r="J3" s="85">
        <v>0</v>
      </c>
      <c r="K3" s="85">
        <v>9.6774189999999996E-3</v>
      </c>
      <c r="L3" s="85">
        <v>0</v>
      </c>
      <c r="M3" s="85">
        <v>0.25</v>
      </c>
      <c r="N3" s="85">
        <v>0</v>
      </c>
    </row>
    <row r="4" spans="1:46" ht="15" customHeight="1" x14ac:dyDescent="0.15">
      <c r="A4" s="1" t="s">
        <v>10</v>
      </c>
      <c r="B4" s="4">
        <v>3</v>
      </c>
      <c r="C4" s="85">
        <v>3</v>
      </c>
      <c r="D4"/>
      <c r="E4" s="180" t="s">
        <v>195</v>
      </c>
      <c r="F4" s="85">
        <v>0</v>
      </c>
      <c r="G4" s="85">
        <v>0.09</v>
      </c>
      <c r="H4" s="85">
        <v>0.15</v>
      </c>
      <c r="I4" s="85">
        <v>3</v>
      </c>
      <c r="J4" s="85">
        <v>0.40001335700000001</v>
      </c>
      <c r="K4" s="85">
        <v>0.05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14</v>
      </c>
      <c r="C5" s="85">
        <v>4</v>
      </c>
      <c r="D5"/>
      <c r="E5" s="180" t="s">
        <v>196</v>
      </c>
      <c r="F5" s="85">
        <v>0</v>
      </c>
      <c r="G5" s="85">
        <v>0.1078706</v>
      </c>
      <c r="H5" s="85">
        <v>0.3</v>
      </c>
      <c r="I5" s="85">
        <v>4.6516999999999999</v>
      </c>
      <c r="J5" s="85">
        <v>8.9116420000000002E-2</v>
      </c>
      <c r="K5" s="85">
        <v>6.4492549999999996E-2</v>
      </c>
      <c r="L5" s="85">
        <v>0</v>
      </c>
      <c r="M5" s="85">
        <v>0.2</v>
      </c>
      <c r="N5" s="85">
        <v>0</v>
      </c>
      <c r="P5" s="72"/>
      <c r="Q5" s="72"/>
      <c r="R5" s="72"/>
    </row>
    <row r="6" spans="1:46" ht="15" customHeight="1" thickBot="1" x14ac:dyDescent="0.2">
      <c r="B6" s="1"/>
      <c r="C6" s="85">
        <v>5</v>
      </c>
      <c r="D6"/>
      <c r="E6" s="180" t="s">
        <v>197</v>
      </c>
      <c r="F6" s="85">
        <v>0</v>
      </c>
      <c r="G6" s="85">
        <v>0.23899999999999999</v>
      </c>
      <c r="H6" s="85">
        <v>0.5</v>
      </c>
      <c r="I6" s="85">
        <v>6.2142999999999997</v>
      </c>
      <c r="J6" s="85">
        <v>0.76656259999999998</v>
      </c>
      <c r="K6" s="85">
        <v>8.0459580000000003E-2</v>
      </c>
      <c r="L6" s="85">
        <v>0</v>
      </c>
      <c r="M6" s="85">
        <v>0.2</v>
      </c>
      <c r="N6" s="85">
        <v>0</v>
      </c>
      <c r="P6" s="72"/>
      <c r="Q6" s="72"/>
      <c r="R6" s="72"/>
      <c r="W6" s="36" t="s">
        <v>31</v>
      </c>
      <c r="X6" s="52">
        <f>MAX(MainOutputs!G:G)</f>
        <v>0.99569737911224365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1104</v>
      </c>
      <c r="C7" s="85">
        <v>6</v>
      </c>
      <c r="D7"/>
      <c r="E7" s="180" t="s">
        <v>198</v>
      </c>
      <c r="F7" s="85">
        <v>0</v>
      </c>
      <c r="G7" s="85">
        <v>4.6460363999999997E-2</v>
      </c>
      <c r="H7" s="85">
        <v>0.34</v>
      </c>
      <c r="I7" s="85">
        <v>6.1527000000000003</v>
      </c>
      <c r="J7" s="85">
        <v>0.61755910000000003</v>
      </c>
      <c r="K7" s="85">
        <v>5.5260293199999998E-2</v>
      </c>
      <c r="L7" s="85">
        <v>0</v>
      </c>
      <c r="M7" s="85">
        <v>0.2</v>
      </c>
      <c r="N7" s="85">
        <v>0</v>
      </c>
      <c r="P7" s="72"/>
      <c r="Q7" s="72"/>
      <c r="R7" s="72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1072</v>
      </c>
      <c r="C8" s="85">
        <v>7</v>
      </c>
      <c r="D8"/>
      <c r="E8" s="180" t="s">
        <v>199</v>
      </c>
      <c r="F8" s="85">
        <v>0</v>
      </c>
      <c r="G8" s="85">
        <v>0.4</v>
      </c>
      <c r="H8" s="85">
        <v>1.736</v>
      </c>
      <c r="I8" s="85">
        <v>8.7085000000000008</v>
      </c>
      <c r="J8" s="85">
        <v>0.69532939999999999</v>
      </c>
      <c r="K8" s="85">
        <v>0.199345469</v>
      </c>
      <c r="L8" s="85">
        <v>0</v>
      </c>
      <c r="M8" s="85">
        <v>0.3</v>
      </c>
      <c r="N8" s="85">
        <v>0</v>
      </c>
      <c r="P8" s="72"/>
      <c r="Q8" s="72"/>
      <c r="R8" s="72"/>
    </row>
    <row r="9" spans="1:46" ht="15" customHeight="1" x14ac:dyDescent="0.15">
      <c r="B9" s="1"/>
      <c r="C9" s="85">
        <v>8</v>
      </c>
      <c r="D9"/>
      <c r="E9" s="180" t="s">
        <v>200</v>
      </c>
      <c r="F9" s="85">
        <v>0</v>
      </c>
      <c r="G9" s="85">
        <v>3.6429999999999997E-2</v>
      </c>
      <c r="H9" s="85">
        <v>0.5</v>
      </c>
      <c r="I9" s="85">
        <v>4.0519999999999996</v>
      </c>
      <c r="J9" s="85">
        <v>2.6827663200000001E-2</v>
      </c>
      <c r="K9" s="85">
        <v>0.123395853</v>
      </c>
      <c r="L9" s="85">
        <v>0</v>
      </c>
      <c r="M9" s="85">
        <v>0.2</v>
      </c>
      <c r="N9" s="85">
        <v>0</v>
      </c>
      <c r="P9" s="72"/>
      <c r="Q9" s="72"/>
      <c r="R9" s="72"/>
    </row>
    <row r="10" spans="1:46" ht="15" customHeight="1" x14ac:dyDescent="0.15">
      <c r="B10" s="1"/>
      <c r="C10" s="85">
        <v>9</v>
      </c>
      <c r="D10"/>
      <c r="E10" s="180" t="s">
        <v>201</v>
      </c>
      <c r="F10" s="85">
        <v>0</v>
      </c>
      <c r="G10" s="85">
        <v>4.6159020000000002E-4</v>
      </c>
      <c r="H10" s="85">
        <v>2</v>
      </c>
      <c r="I10" s="85">
        <v>31.68329</v>
      </c>
      <c r="J10" s="85">
        <v>0.18435943099999999</v>
      </c>
      <c r="K10" s="85">
        <v>6.3124749999999993E-2</v>
      </c>
      <c r="L10" s="85">
        <v>0</v>
      </c>
      <c r="M10" s="85">
        <v>0.22500000000000001</v>
      </c>
      <c r="N10" s="85">
        <v>0</v>
      </c>
    </row>
    <row r="11" spans="1:46" ht="15" customHeight="1" x14ac:dyDescent="0.15">
      <c r="C11" s="85">
        <v>10</v>
      </c>
      <c r="D11"/>
      <c r="E11" s="180" t="s">
        <v>202</v>
      </c>
      <c r="F11" s="85">
        <v>0</v>
      </c>
      <c r="G11" s="85">
        <v>7.9714999999999994E-2</v>
      </c>
      <c r="H11" s="85">
        <v>0.4</v>
      </c>
      <c r="I11" s="85">
        <v>5.9442000000000004</v>
      </c>
      <c r="J11" s="85">
        <v>0.50372493299999999</v>
      </c>
      <c r="K11" s="85">
        <v>6.7292489999999996E-2</v>
      </c>
      <c r="L11" s="85">
        <v>0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80" t="s">
        <v>203</v>
      </c>
      <c r="F12" s="85">
        <v>0</v>
      </c>
      <c r="G12" s="85">
        <v>2.0707803800000001E-3</v>
      </c>
      <c r="H12" s="85">
        <v>2</v>
      </c>
      <c r="I12" s="85">
        <v>27.883085300000001</v>
      </c>
      <c r="J12" s="85">
        <v>0.75343479999999996</v>
      </c>
      <c r="K12" s="85">
        <v>7.1728070000000005E-2</v>
      </c>
      <c r="L12" s="85">
        <v>0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80" t="s">
        <v>204</v>
      </c>
      <c r="F13" s="85">
        <v>0</v>
      </c>
      <c r="G13" s="85">
        <v>0.17302600000000001</v>
      </c>
      <c r="H13" s="85">
        <v>0.4</v>
      </c>
      <c r="I13" s="85">
        <v>6.9984000000000002</v>
      </c>
      <c r="J13" s="85">
        <v>0.51582276800000004</v>
      </c>
      <c r="K13" s="85">
        <v>5.7155922099999999E-2</v>
      </c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80" t="s">
        <v>205</v>
      </c>
      <c r="F14" s="85">
        <v>0</v>
      </c>
      <c r="G14" s="85">
        <v>0.18095700000000001</v>
      </c>
      <c r="H14" s="85">
        <v>0.5</v>
      </c>
      <c r="I14" s="85">
        <v>5.2367999999999997</v>
      </c>
      <c r="J14" s="85">
        <v>0.99569739999999995</v>
      </c>
      <c r="K14" s="85">
        <v>9.5478154699999998E-2</v>
      </c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80" t="s">
        <v>206</v>
      </c>
      <c r="F15" s="85">
        <v>0</v>
      </c>
      <c r="G15" s="85">
        <v>2.25870375E-4</v>
      </c>
      <c r="H15" s="85">
        <v>2</v>
      </c>
      <c r="I15" s="85">
        <v>32.627299999999998</v>
      </c>
      <c r="J15" s="85">
        <v>0.76825969999999999</v>
      </c>
      <c r="K15" s="85">
        <v>6.1298360000000003E-2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80" t="s">
        <v>207</v>
      </c>
      <c r="F16" s="85">
        <v>0</v>
      </c>
      <c r="G16" s="85">
        <v>0.10340000000000001</v>
      </c>
      <c r="H16" s="85">
        <v>0.25</v>
      </c>
      <c r="I16" s="85">
        <v>5.26</v>
      </c>
      <c r="J16" s="85">
        <v>0.50195264799999995</v>
      </c>
      <c r="K16" s="85">
        <v>4.75285165E-2</v>
      </c>
      <c r="L16" s="85">
        <v>0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80" t="s">
        <v>208</v>
      </c>
      <c r="F17" s="85">
        <v>0</v>
      </c>
      <c r="G17" s="85">
        <v>1.6674000000000001E-2</v>
      </c>
      <c r="H17" s="85">
        <v>0.4</v>
      </c>
      <c r="I17" s="85">
        <v>6.2882999999999996</v>
      </c>
      <c r="J17" s="85">
        <v>0.97497385700000005</v>
      </c>
      <c r="K17" s="85">
        <v>6.3610196100000002E-2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80" t="s">
        <v>209</v>
      </c>
      <c r="F18" s="85">
        <v>0</v>
      </c>
      <c r="G18" s="85">
        <v>0.24160000000000001</v>
      </c>
      <c r="H18" s="85">
        <v>0.6</v>
      </c>
      <c r="I18" s="85">
        <v>5.774</v>
      </c>
      <c r="J18" s="85">
        <v>0.14698134400000001</v>
      </c>
      <c r="K18" s="85">
        <v>0.1039141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80" t="s">
        <v>210</v>
      </c>
      <c r="F19" s="85">
        <v>0</v>
      </c>
      <c r="G19" s="85">
        <v>1.04E-2</v>
      </c>
      <c r="H19" s="85">
        <v>0.3</v>
      </c>
      <c r="I19" s="85">
        <v>3.1396999999999999</v>
      </c>
      <c r="J19" s="85">
        <v>6.3712455299999998E-2</v>
      </c>
      <c r="K19" s="85">
        <v>9.5550540000000003E-2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80" t="s">
        <v>211</v>
      </c>
      <c r="F20" s="85">
        <v>0</v>
      </c>
      <c r="G20" s="85">
        <v>3.9790826100000001E-5</v>
      </c>
      <c r="H20" s="85">
        <v>6</v>
      </c>
      <c r="I20" s="85">
        <v>84.463830000000002</v>
      </c>
      <c r="J20" s="85">
        <v>0.44635477699999998</v>
      </c>
      <c r="K20" s="85">
        <v>7.1036323900000004E-2</v>
      </c>
      <c r="L20" s="85">
        <v>0</v>
      </c>
      <c r="M20" s="85">
        <v>0.3</v>
      </c>
      <c r="N20" s="85">
        <v>0</v>
      </c>
    </row>
    <row r="21" spans="1:22" ht="15" customHeight="1" thickBot="1" x14ac:dyDescent="0.2">
      <c r="A21" s="47" t="s">
        <v>137</v>
      </c>
      <c r="B21" s="102"/>
      <c r="C21" s="85">
        <v>20</v>
      </c>
      <c r="D21"/>
      <c r="E21" s="180" t="s">
        <v>212</v>
      </c>
      <c r="F21" s="85">
        <v>0</v>
      </c>
      <c r="G21" s="85">
        <v>1.502734E-4</v>
      </c>
      <c r="H21" s="85">
        <v>0.8</v>
      </c>
      <c r="I21" s="85">
        <v>19.3816223</v>
      </c>
      <c r="J21" s="85">
        <v>0.35360259999999999</v>
      </c>
      <c r="K21" s="85">
        <v>4.1276216499999997E-2</v>
      </c>
      <c r="L21" s="85">
        <v>0</v>
      </c>
      <c r="M21" s="85">
        <v>0.22500000000000001</v>
      </c>
      <c r="N21" s="85">
        <v>0</v>
      </c>
    </row>
    <row r="22" spans="1:22" ht="15" customHeight="1" x14ac:dyDescent="0.15">
      <c r="A22" s="103" t="s">
        <v>58</v>
      </c>
      <c r="B22" s="104">
        <v>0</v>
      </c>
      <c r="C22" s="85">
        <v>21</v>
      </c>
      <c r="D22"/>
      <c r="E22" s="180" t="s">
        <v>213</v>
      </c>
      <c r="F22" s="85">
        <v>0</v>
      </c>
      <c r="G22" s="85">
        <v>7.1814000000000003E-2</v>
      </c>
      <c r="H22" s="85">
        <v>0.08</v>
      </c>
      <c r="I22" s="85">
        <v>3.1202999999999999</v>
      </c>
      <c r="J22" s="85">
        <v>0.120370716</v>
      </c>
      <c r="K22" s="85">
        <v>2.5638560000000001E-2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3" t="s">
        <v>59</v>
      </c>
      <c r="B23" s="104">
        <v>1</v>
      </c>
      <c r="C23" s="85">
        <v>22</v>
      </c>
      <c r="D23"/>
      <c r="E23" s="180" t="s">
        <v>214</v>
      </c>
      <c r="F23" s="85">
        <v>0</v>
      </c>
      <c r="G23" s="85">
        <v>3.1573999999999998E-2</v>
      </c>
      <c r="H23" s="85">
        <v>0.2</v>
      </c>
      <c r="I23" s="85">
        <v>4.32</v>
      </c>
      <c r="J23" s="85">
        <v>0.14275585099999999</v>
      </c>
      <c r="K23" s="85">
        <v>4.6296294799999999E-2</v>
      </c>
      <c r="L23" s="85">
        <v>0</v>
      </c>
      <c r="M23" s="85">
        <v>0.2</v>
      </c>
      <c r="N23" s="85">
        <v>0</v>
      </c>
    </row>
    <row r="24" spans="1:22" ht="15" customHeight="1" x14ac:dyDescent="0.15">
      <c r="A24" s="103" t="s">
        <v>60</v>
      </c>
      <c r="B24" s="104">
        <v>2</v>
      </c>
      <c r="C24" s="85">
        <v>23</v>
      </c>
      <c r="D24"/>
      <c r="E24" s="180" t="s">
        <v>215</v>
      </c>
      <c r="F24" s="85">
        <v>0</v>
      </c>
      <c r="G24" s="85">
        <v>3.9364415000000001E-4</v>
      </c>
      <c r="H24" s="85">
        <v>3</v>
      </c>
      <c r="I24" s="85">
        <v>29.475807199999998</v>
      </c>
      <c r="J24" s="85">
        <v>0.52447779999999999</v>
      </c>
      <c r="K24" s="85">
        <v>0.101778381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5" t="s">
        <v>44</v>
      </c>
      <c r="B25" s="106">
        <v>3</v>
      </c>
      <c r="C25" s="85">
        <v>24</v>
      </c>
      <c r="D25"/>
      <c r="E25" s="180" t="s">
        <v>216</v>
      </c>
      <c r="F25" s="85">
        <v>0</v>
      </c>
      <c r="G25" s="85">
        <v>3.61945038E-3</v>
      </c>
      <c r="H25" s="85">
        <v>0.9</v>
      </c>
      <c r="I25" s="85">
        <v>9.6531369999999992</v>
      </c>
      <c r="J25" s="85">
        <v>0.1425652</v>
      </c>
      <c r="K25" s="85">
        <v>9.3233935500000004E-2</v>
      </c>
      <c r="L25" s="85">
        <v>0</v>
      </c>
      <c r="M25" s="85">
        <v>0.2</v>
      </c>
      <c r="N25" s="85">
        <v>0</v>
      </c>
    </row>
    <row r="26" spans="1:22" ht="15" customHeight="1" x14ac:dyDescent="0.15">
      <c r="A26" s="107" t="s">
        <v>140</v>
      </c>
      <c r="C26" s="85">
        <v>25</v>
      </c>
      <c r="D26"/>
      <c r="E26" s="180" t="s">
        <v>217</v>
      </c>
      <c r="F26" s="85">
        <v>0</v>
      </c>
      <c r="G26" s="85">
        <v>0.1346</v>
      </c>
      <c r="H26" s="85">
        <v>0.15</v>
      </c>
      <c r="I26" s="85">
        <v>3.036</v>
      </c>
      <c r="J26" s="85">
        <v>0.175108612</v>
      </c>
      <c r="K26" s="85">
        <v>4.9407117100000002E-2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80" t="s">
        <v>218</v>
      </c>
      <c r="F27" s="85">
        <v>0</v>
      </c>
      <c r="G27" s="85">
        <v>1.70086266E-3</v>
      </c>
      <c r="H27" s="85">
        <v>2</v>
      </c>
      <c r="I27" s="85">
        <v>22.462598799999999</v>
      </c>
      <c r="J27" s="85">
        <v>0.1814617</v>
      </c>
      <c r="K27" s="85">
        <v>8.9036889999999994E-2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80" t="s">
        <v>219</v>
      </c>
      <c r="F28" s="85">
        <v>0</v>
      </c>
      <c r="G28" s="85">
        <v>2.3069024099999998E-2</v>
      </c>
      <c r="H28" s="85">
        <v>0.8</v>
      </c>
      <c r="I28" s="85">
        <v>7.9319252999999996</v>
      </c>
      <c r="J28" s="85">
        <v>4.6443900000000003E-2</v>
      </c>
      <c r="K28" s="85">
        <v>0.100858241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80" t="s">
        <v>220</v>
      </c>
      <c r="F29" s="85">
        <v>0</v>
      </c>
      <c r="G29" s="85">
        <v>0.32550000000000001</v>
      </c>
      <c r="H29" s="85">
        <v>0.25</v>
      </c>
      <c r="I29" s="85">
        <v>3.0564</v>
      </c>
      <c r="J29" s="85">
        <v>0.40469607699999999</v>
      </c>
      <c r="K29" s="85">
        <v>8.1795569999999998E-2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80" t="s">
        <v>221</v>
      </c>
      <c r="F30" s="85">
        <v>0</v>
      </c>
      <c r="G30" s="85">
        <v>3.2674544499999999E-4</v>
      </c>
      <c r="H30" s="85">
        <v>2</v>
      </c>
      <c r="I30" s="85">
        <v>19.255731600000001</v>
      </c>
      <c r="J30" s="85">
        <v>0.324514478</v>
      </c>
      <c r="K30" s="85">
        <v>0.103865176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80" t="s">
        <v>222</v>
      </c>
      <c r="F31" s="85">
        <v>0</v>
      </c>
      <c r="G31" s="85">
        <v>4.6579935600000004E-3</v>
      </c>
      <c r="H31" s="85">
        <v>0.8</v>
      </c>
      <c r="I31" s="85">
        <v>6.6785454800000004</v>
      </c>
      <c r="J31" s="85">
        <v>0.1582383</v>
      </c>
      <c r="K31" s="85">
        <v>0.119786561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80" t="s">
        <v>223</v>
      </c>
      <c r="F32" s="85">
        <v>0</v>
      </c>
      <c r="G32" s="85">
        <v>5.7068000000000001E-2</v>
      </c>
      <c r="H32" s="85">
        <v>0.3</v>
      </c>
      <c r="I32" s="85">
        <v>2.5175999999999998</v>
      </c>
      <c r="J32" s="85">
        <v>8.1061800000000003E-2</v>
      </c>
      <c r="K32" s="85">
        <v>0.119161107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80" t="s">
        <v>224</v>
      </c>
      <c r="F33" s="85">
        <v>0</v>
      </c>
      <c r="G33" s="85">
        <v>5.2200000000000003E-2</v>
      </c>
      <c r="H33" s="85">
        <v>0.25</v>
      </c>
      <c r="I33" s="85">
        <v>2.9672999999999998</v>
      </c>
      <c r="J33" s="85">
        <v>0.121279977</v>
      </c>
      <c r="K33" s="85">
        <v>8.4251679999999995E-2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80" t="s">
        <v>225</v>
      </c>
      <c r="F34" s="85">
        <v>0</v>
      </c>
      <c r="G34" s="85">
        <v>5.2500000000000003E-3</v>
      </c>
      <c r="H34" s="85">
        <v>0.125</v>
      </c>
      <c r="I34" s="85">
        <v>2.52</v>
      </c>
      <c r="J34" s="85">
        <v>0.30969828399999999</v>
      </c>
      <c r="K34" s="85">
        <v>4.9603175399999998E-2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80" t="s">
        <v>226</v>
      </c>
      <c r="F35" s="85">
        <v>0</v>
      </c>
      <c r="G35" s="85">
        <v>1.7829999999999999E-2</v>
      </c>
      <c r="H35" s="85">
        <v>0.5</v>
      </c>
      <c r="I35" s="85">
        <v>5.4954000000000001</v>
      </c>
      <c r="J35" s="85">
        <v>0.28050340000000001</v>
      </c>
      <c r="K35" s="85">
        <v>9.0985189999999994E-2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80" t="s">
        <v>227</v>
      </c>
      <c r="F36" s="85">
        <v>0</v>
      </c>
      <c r="G36" s="85">
        <v>2.5224E-2</v>
      </c>
      <c r="H36" s="85">
        <v>0.25</v>
      </c>
      <c r="I36" s="85">
        <v>5.81</v>
      </c>
      <c r="J36" s="85">
        <v>0.14690978800000001</v>
      </c>
      <c r="K36" s="85">
        <v>4.302926E-2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80" t="s">
        <v>228</v>
      </c>
      <c r="F37" s="85">
        <v>0</v>
      </c>
      <c r="G37" s="85">
        <v>0.02</v>
      </c>
      <c r="H37" s="85">
        <v>1</v>
      </c>
      <c r="I37" s="85">
        <v>4.7470999999999997</v>
      </c>
      <c r="J37" s="85">
        <v>0.73653304600000002</v>
      </c>
      <c r="K37" s="85">
        <v>0.21065492899999999</v>
      </c>
      <c r="L37" s="85">
        <v>0</v>
      </c>
      <c r="M37" s="85">
        <v>0.2</v>
      </c>
      <c r="N37" s="85">
        <v>0</v>
      </c>
    </row>
    <row r="38" spans="3:14" customFormat="1" ht="15" customHeight="1" x14ac:dyDescent="0.15">
      <c r="C38" s="85">
        <v>37</v>
      </c>
      <c r="E38" s="180" t="s">
        <v>229</v>
      </c>
      <c r="F38" s="85">
        <v>0</v>
      </c>
      <c r="G38" s="85">
        <v>1.35</v>
      </c>
      <c r="H38" s="85">
        <v>1.32</v>
      </c>
      <c r="I38" s="85">
        <v>4.8914</v>
      </c>
      <c r="J38" s="85">
        <v>0.67982290000000001</v>
      </c>
      <c r="K38" s="85">
        <v>0.26986139999999997</v>
      </c>
      <c r="L38" s="85">
        <v>0</v>
      </c>
      <c r="M38" s="85">
        <v>0.2</v>
      </c>
      <c r="N38" s="85">
        <v>0</v>
      </c>
    </row>
    <row r="39" spans="3:14" customFormat="1" ht="15" customHeight="1" x14ac:dyDescent="0.15">
      <c r="C39" s="85">
        <v>38</v>
      </c>
      <c r="E39" s="180" t="s">
        <v>230</v>
      </c>
      <c r="F39" s="85">
        <v>0</v>
      </c>
      <c r="G39" s="85">
        <v>0.59399999999999997</v>
      </c>
      <c r="H39" s="85">
        <v>1.98</v>
      </c>
      <c r="I39" s="85">
        <v>8.2600999999999996</v>
      </c>
      <c r="J39" s="85">
        <v>0.76027920000000004</v>
      </c>
      <c r="K39" s="85">
        <v>0.239706531</v>
      </c>
      <c r="L39" s="85">
        <v>0</v>
      </c>
      <c r="M39" s="85">
        <v>0.2</v>
      </c>
      <c r="N39" s="85">
        <v>0</v>
      </c>
    </row>
    <row r="40" spans="3:14" customFormat="1" ht="15" customHeight="1" x14ac:dyDescent="0.15">
      <c r="C40" s="85">
        <v>39</v>
      </c>
      <c r="E40" s="180" t="s">
        <v>231</v>
      </c>
      <c r="F40" s="85">
        <v>0</v>
      </c>
      <c r="G40" s="85">
        <v>0.20799999999999999</v>
      </c>
      <c r="H40" s="85">
        <v>0.71</v>
      </c>
      <c r="I40" s="85">
        <v>4.4005000000000001</v>
      </c>
      <c r="J40" s="85">
        <v>0.69115439999999995</v>
      </c>
      <c r="K40" s="85">
        <v>0.1613453</v>
      </c>
      <c r="L40" s="85">
        <v>0</v>
      </c>
      <c r="M40" s="85">
        <v>0.2</v>
      </c>
      <c r="N40" s="85">
        <v>0</v>
      </c>
    </row>
    <row r="41" spans="3:14" customFormat="1" ht="15" customHeight="1" x14ac:dyDescent="0.15">
      <c r="C41" s="85">
        <v>40</v>
      </c>
      <c r="E41" s="180" t="s">
        <v>232</v>
      </c>
      <c r="F41" s="85">
        <v>0</v>
      </c>
      <c r="G41" s="85">
        <v>0.76680000000000004</v>
      </c>
      <c r="H41" s="85">
        <v>0.92</v>
      </c>
      <c r="I41" s="85">
        <v>5.6631</v>
      </c>
      <c r="J41" s="85">
        <v>0.73838519999999996</v>
      </c>
      <c r="K41" s="85">
        <v>0.16245519999999999</v>
      </c>
      <c r="L41" s="85">
        <v>0</v>
      </c>
      <c r="M41" s="85">
        <v>0.2</v>
      </c>
      <c r="N41" s="85">
        <v>0</v>
      </c>
    </row>
    <row r="42" spans="3:14" customFormat="1" ht="15" customHeight="1" x14ac:dyDescent="0.15">
      <c r="C42" s="85">
        <v>41</v>
      </c>
      <c r="E42" s="180" t="s">
        <v>233</v>
      </c>
      <c r="F42" s="85">
        <v>0</v>
      </c>
      <c r="G42" s="85">
        <v>0.76800000000000002</v>
      </c>
      <c r="H42" s="85">
        <v>1.76</v>
      </c>
      <c r="I42" s="85">
        <v>7.6077000000000004</v>
      </c>
      <c r="J42" s="85">
        <v>0.92815113100000002</v>
      </c>
      <c r="K42" s="85">
        <v>0.231344566</v>
      </c>
      <c r="L42" s="85">
        <v>0</v>
      </c>
      <c r="M42" s="85">
        <v>0.2</v>
      </c>
      <c r="N42" s="85">
        <v>0</v>
      </c>
    </row>
    <row r="43" spans="3:14" customFormat="1" ht="15" customHeight="1" x14ac:dyDescent="0.15">
      <c r="C43" s="85">
        <v>42</v>
      </c>
      <c r="E43" s="180" t="s">
        <v>234</v>
      </c>
      <c r="F43" s="85">
        <v>0</v>
      </c>
      <c r="G43" s="85">
        <v>0.93333333699999999</v>
      </c>
      <c r="H43" s="85">
        <v>1.98</v>
      </c>
      <c r="I43" s="85">
        <v>10.3916</v>
      </c>
      <c r="J43" s="85">
        <v>0.98272000000000004</v>
      </c>
      <c r="K43" s="85">
        <v>0.19053852600000001</v>
      </c>
      <c r="L43" s="85">
        <v>0</v>
      </c>
      <c r="M43" s="85">
        <v>0.2</v>
      </c>
      <c r="N43" s="85">
        <v>0</v>
      </c>
    </row>
    <row r="44" spans="3:14" customFormat="1" ht="15" customHeight="1" x14ac:dyDescent="0.15">
      <c r="C44" s="85">
        <v>43</v>
      </c>
      <c r="E44" s="180" t="s">
        <v>235</v>
      </c>
      <c r="F44" s="85">
        <v>0</v>
      </c>
      <c r="G44" s="85">
        <v>1.7</v>
      </c>
      <c r="H44" s="85">
        <v>2.31</v>
      </c>
      <c r="I44" s="85">
        <v>10.620699999999999</v>
      </c>
      <c r="J44" s="85">
        <v>0.75177280000000002</v>
      </c>
      <c r="K44" s="85">
        <v>0.21749979999999999</v>
      </c>
      <c r="L44" s="85">
        <v>0</v>
      </c>
      <c r="M44" s="85">
        <v>0.25</v>
      </c>
      <c r="N44" s="85">
        <v>0</v>
      </c>
    </row>
    <row r="45" spans="3:14" customFormat="1" ht="15" customHeight="1" x14ac:dyDescent="0.15">
      <c r="C45" s="85">
        <v>44</v>
      </c>
      <c r="E45" s="180" t="s">
        <v>236</v>
      </c>
      <c r="F45" s="85">
        <v>0</v>
      </c>
      <c r="G45" s="85">
        <v>0.77765700000000004</v>
      </c>
      <c r="H45" s="85">
        <v>2.67</v>
      </c>
      <c r="I45" s="85">
        <v>13.8116</v>
      </c>
      <c r="J45" s="85">
        <v>0.95</v>
      </c>
      <c r="K45" s="85">
        <v>0.193315774</v>
      </c>
      <c r="L45" s="85">
        <v>0</v>
      </c>
      <c r="M45" s="85">
        <v>0.3</v>
      </c>
      <c r="N45" s="85">
        <v>0</v>
      </c>
    </row>
    <row r="46" spans="3:14" customFormat="1" ht="15" customHeight="1" x14ac:dyDescent="0.15">
      <c r="C46" s="85">
        <v>45</v>
      </c>
      <c r="E46" s="180" t="s">
        <v>237</v>
      </c>
      <c r="F46" s="85">
        <v>0</v>
      </c>
      <c r="G46" s="85">
        <v>0.1867</v>
      </c>
      <c r="H46" s="85">
        <v>1.2</v>
      </c>
      <c r="I46" s="85">
        <v>11.03</v>
      </c>
      <c r="J46" s="85">
        <v>0.72139126099999995</v>
      </c>
      <c r="K46" s="85">
        <v>0.108794205</v>
      </c>
      <c r="L46" s="85">
        <v>0</v>
      </c>
      <c r="M46" s="85">
        <v>0.2</v>
      </c>
      <c r="N46" s="85">
        <v>0</v>
      </c>
    </row>
    <row r="47" spans="3:14" customFormat="1" ht="15" customHeight="1" x14ac:dyDescent="0.15">
      <c r="C47" s="85">
        <v>46</v>
      </c>
      <c r="E47" s="180" t="s">
        <v>238</v>
      </c>
      <c r="F47" s="85">
        <v>0</v>
      </c>
      <c r="G47" s="85">
        <v>0.32040000000000002</v>
      </c>
      <c r="H47" s="85">
        <v>2.673</v>
      </c>
      <c r="I47" s="85">
        <v>16.643999999999998</v>
      </c>
      <c r="J47" s="85">
        <v>0.9335386</v>
      </c>
      <c r="K47" s="85">
        <v>0.16059842699999999</v>
      </c>
      <c r="L47" s="85">
        <v>0</v>
      </c>
      <c r="M47" s="85">
        <v>0.25</v>
      </c>
      <c r="N47" s="85">
        <v>0</v>
      </c>
    </row>
    <row r="48" spans="3:14" customFormat="1" ht="15" customHeight="1" x14ac:dyDescent="0.15">
      <c r="C48" s="85">
        <v>47</v>
      </c>
      <c r="E48" s="180" t="s">
        <v>239</v>
      </c>
      <c r="F48" s="85">
        <v>0</v>
      </c>
      <c r="G48" s="85">
        <v>0.68300000000000005</v>
      </c>
      <c r="H48" s="85">
        <v>3.66</v>
      </c>
      <c r="I48" s="85">
        <v>19.2</v>
      </c>
      <c r="J48" s="85">
        <v>0.58975330000000004</v>
      </c>
      <c r="K48" s="85">
        <v>0.19062499999999999</v>
      </c>
      <c r="L48" s="85">
        <v>0</v>
      </c>
      <c r="M48" s="85">
        <v>0.3</v>
      </c>
      <c r="N48" s="85">
        <v>0</v>
      </c>
    </row>
    <row r="49" spans="3:14" customFormat="1" ht="15" customHeight="1" x14ac:dyDescent="0.15">
      <c r="C49" s="85">
        <v>48</v>
      </c>
      <c r="E49" s="180" t="s">
        <v>240</v>
      </c>
      <c r="F49" s="85">
        <v>0</v>
      </c>
      <c r="G49" s="85">
        <v>7.0000000000000007E-2</v>
      </c>
      <c r="H49" s="85">
        <v>0.9</v>
      </c>
      <c r="I49" s="85">
        <v>8.1999999999999993</v>
      </c>
      <c r="J49" s="85">
        <v>0.32646540000000002</v>
      </c>
      <c r="K49" s="85">
        <v>0.1097561</v>
      </c>
      <c r="L49" s="85">
        <v>0</v>
      </c>
      <c r="M49" s="85">
        <v>0.3</v>
      </c>
      <c r="N49" s="85">
        <v>0</v>
      </c>
    </row>
    <row r="50" spans="3:14" customFormat="1" ht="15" customHeight="1" x14ac:dyDescent="0.15">
      <c r="C50" s="85">
        <v>49</v>
      </c>
      <c r="E50" s="180" t="s">
        <v>241</v>
      </c>
      <c r="F50" s="85">
        <v>0</v>
      </c>
      <c r="G50" s="85">
        <v>0.89</v>
      </c>
      <c r="H50" s="85">
        <v>1.69</v>
      </c>
      <c r="I50" s="85">
        <v>9.35</v>
      </c>
      <c r="J50" s="85">
        <v>0.84171499999999999</v>
      </c>
      <c r="K50" s="85">
        <v>0.18074865600000001</v>
      </c>
      <c r="L50" s="85">
        <v>0</v>
      </c>
      <c r="M50" s="85">
        <v>0.3</v>
      </c>
      <c r="N50" s="85">
        <v>0</v>
      </c>
    </row>
    <row r="51" spans="3:14" customFormat="1" ht="15" customHeight="1" x14ac:dyDescent="0.15">
      <c r="C51" s="85">
        <v>50</v>
      </c>
      <c r="E51" s="180" t="s">
        <v>242</v>
      </c>
      <c r="F51" s="85">
        <v>0</v>
      </c>
      <c r="G51" s="85">
        <v>0.12753072400000001</v>
      </c>
      <c r="H51" s="85">
        <v>3.1</v>
      </c>
      <c r="I51" s="85">
        <v>11.972</v>
      </c>
      <c r="J51" s="85">
        <v>0.9</v>
      </c>
      <c r="K51" s="85">
        <v>0.25893749999999999</v>
      </c>
      <c r="L51" s="85">
        <v>0</v>
      </c>
      <c r="M51" s="85">
        <v>0.13</v>
      </c>
      <c r="N51" s="85">
        <v>0</v>
      </c>
    </row>
    <row r="52" spans="3:14" customFormat="1" ht="15" customHeight="1" x14ac:dyDescent="0.15">
      <c r="C52" s="85">
        <v>51</v>
      </c>
      <c r="E52" s="180" t="s">
        <v>243</v>
      </c>
      <c r="F52" s="85">
        <v>0</v>
      </c>
      <c r="G52" s="85">
        <v>0.99399999999999999</v>
      </c>
      <c r="H52" s="85">
        <v>1.5</v>
      </c>
      <c r="I52" s="85">
        <v>11.148</v>
      </c>
      <c r="J52" s="85">
        <v>0.76001286499999998</v>
      </c>
      <c r="K52" s="85">
        <v>0.134553283</v>
      </c>
      <c r="L52" s="85">
        <v>0</v>
      </c>
      <c r="M52" s="85">
        <v>0.25</v>
      </c>
      <c r="N52" s="85">
        <v>0</v>
      </c>
    </row>
    <row r="53" spans="3:14" customFormat="1" ht="15" customHeight="1" x14ac:dyDescent="0.15">
      <c r="C53" s="85">
        <v>52</v>
      </c>
      <c r="E53" s="180" t="s">
        <v>244</v>
      </c>
      <c r="F53" s="85">
        <v>0</v>
      </c>
      <c r="G53" s="85">
        <v>19.245999999999999</v>
      </c>
      <c r="H53" s="85">
        <v>2.5968</v>
      </c>
      <c r="I53" s="85">
        <v>9.8859999999999992</v>
      </c>
      <c r="J53" s="85">
        <v>0.19710417099999999</v>
      </c>
      <c r="K53" s="85">
        <v>0.26267449999999998</v>
      </c>
      <c r="L53" s="85">
        <v>0</v>
      </c>
      <c r="M53" s="85">
        <v>0.56000000000000005</v>
      </c>
      <c r="N53" s="85">
        <v>0</v>
      </c>
    </row>
    <row r="54" spans="3:14" customFormat="1" ht="15" customHeight="1" x14ac:dyDescent="0.15">
      <c r="C54" s="85">
        <v>53</v>
      </c>
      <c r="E54" s="180" t="s">
        <v>245</v>
      </c>
      <c r="F54" s="85">
        <v>0</v>
      </c>
      <c r="G54" s="85">
        <v>48.597999999999999</v>
      </c>
      <c r="H54" s="85">
        <v>5.3498000000000001</v>
      </c>
      <c r="I54" s="85">
        <v>16.899999999999999</v>
      </c>
      <c r="J54" s="85">
        <v>0.12896433500000001</v>
      </c>
      <c r="K54" s="85">
        <v>0.31655621499999997</v>
      </c>
      <c r="L54" s="85">
        <v>0</v>
      </c>
      <c r="M54" s="85">
        <v>0.5</v>
      </c>
      <c r="N54" s="85">
        <v>0</v>
      </c>
    </row>
    <row r="55" spans="3:14" customFormat="1" ht="15" customHeight="1" x14ac:dyDescent="0.15">
      <c r="C55" s="85">
        <v>54</v>
      </c>
      <c r="E55" s="180" t="s">
        <v>246</v>
      </c>
      <c r="F55" s="85">
        <v>0</v>
      </c>
      <c r="G55" s="85">
        <v>21.9</v>
      </c>
      <c r="H55" s="85">
        <v>1.6207</v>
      </c>
      <c r="I55" s="85">
        <v>9</v>
      </c>
      <c r="J55" s="85">
        <v>0.78552776599999996</v>
      </c>
      <c r="K55" s="85">
        <v>0.18007777599999999</v>
      </c>
      <c r="L55" s="85">
        <v>0</v>
      </c>
      <c r="M55" s="85">
        <v>0.6</v>
      </c>
      <c r="N55" s="85">
        <v>0</v>
      </c>
    </row>
    <row r="56" spans="3:14" customFormat="1" ht="15" customHeight="1" x14ac:dyDescent="0.15">
      <c r="C56" s="85">
        <v>55</v>
      </c>
      <c r="E56" s="180" t="s">
        <v>247</v>
      </c>
      <c r="F56" s="85">
        <v>0</v>
      </c>
      <c r="G56" s="85">
        <v>19.032</v>
      </c>
      <c r="H56" s="85">
        <v>4.0235000000000003</v>
      </c>
      <c r="I56" s="85">
        <v>24.2</v>
      </c>
      <c r="J56" s="85">
        <v>0.49751007600000002</v>
      </c>
      <c r="K56" s="85">
        <v>0.16626031699999999</v>
      </c>
      <c r="L56" s="85">
        <v>0</v>
      </c>
      <c r="M56" s="85">
        <v>0.2</v>
      </c>
      <c r="N56" s="85">
        <v>0</v>
      </c>
    </row>
    <row r="57" spans="3:14" customFormat="1" ht="15" customHeight="1" x14ac:dyDescent="0.15">
      <c r="C57" s="85">
        <v>56</v>
      </c>
      <c r="E57" s="180" t="s">
        <v>248</v>
      </c>
      <c r="F57" s="85">
        <v>0</v>
      </c>
      <c r="G57" s="85">
        <v>12.407</v>
      </c>
      <c r="H57" s="85">
        <v>4.7626999999999997</v>
      </c>
      <c r="I57" s="85">
        <v>27.14</v>
      </c>
      <c r="J57" s="85">
        <v>0.56350639999999996</v>
      </c>
      <c r="K57" s="85">
        <v>0.175486371</v>
      </c>
      <c r="L57" s="85">
        <v>0</v>
      </c>
      <c r="M57" s="85">
        <v>0.35</v>
      </c>
      <c r="N57" s="85">
        <v>0</v>
      </c>
    </row>
    <row r="58" spans="3:14" customFormat="1" ht="15" customHeight="1" x14ac:dyDescent="0.15">
      <c r="C58" s="85">
        <v>57</v>
      </c>
      <c r="E58" s="180" t="s">
        <v>249</v>
      </c>
      <c r="F58" s="85">
        <v>0</v>
      </c>
      <c r="G58" s="85">
        <v>13</v>
      </c>
      <c r="H58" s="85">
        <v>6.2030000000000003</v>
      </c>
      <c r="I58" s="85">
        <v>25</v>
      </c>
      <c r="J58" s="85">
        <v>0.96223252999999997</v>
      </c>
      <c r="K58" s="85">
        <v>0.24812001</v>
      </c>
      <c r="L58" s="85">
        <v>0</v>
      </c>
      <c r="M58" s="85">
        <v>0.35</v>
      </c>
      <c r="N58" s="85">
        <v>0</v>
      </c>
    </row>
    <row r="59" spans="3:14" customFormat="1" ht="15" customHeight="1" x14ac:dyDescent="0.15">
      <c r="C59" s="85">
        <v>58</v>
      </c>
      <c r="E59" s="180" t="s">
        <v>250</v>
      </c>
      <c r="F59" s="85">
        <v>0</v>
      </c>
      <c r="G59" s="85">
        <v>8.3000000000000007</v>
      </c>
      <c r="H59" s="85">
        <v>10.6</v>
      </c>
      <c r="I59" s="85">
        <v>57.67</v>
      </c>
      <c r="J59" s="85">
        <v>0.89390796400000005</v>
      </c>
      <c r="K59" s="85">
        <v>0.18380442299999999</v>
      </c>
      <c r="L59" s="85">
        <v>0</v>
      </c>
      <c r="M59" s="85">
        <v>0.27400000000000002</v>
      </c>
      <c r="N59" s="85">
        <v>0</v>
      </c>
    </row>
    <row r="60" spans="3:14" customFormat="1" ht="15" customHeight="1" x14ac:dyDescent="0.15">
      <c r="C60" s="85">
        <v>59</v>
      </c>
      <c r="E60" s="180" t="s">
        <v>251</v>
      </c>
      <c r="F60" s="85">
        <v>0</v>
      </c>
      <c r="G60" s="85">
        <v>6.7</v>
      </c>
      <c r="H60" s="85">
        <v>10.6</v>
      </c>
      <c r="I60" s="85">
        <v>57.67</v>
      </c>
      <c r="J60" s="85">
        <v>0.96552479999999996</v>
      </c>
      <c r="K60" s="85">
        <v>0.18380442299999999</v>
      </c>
      <c r="L60" s="85">
        <v>0</v>
      </c>
      <c r="M60" s="85">
        <v>0.25</v>
      </c>
      <c r="N60" s="85">
        <v>0</v>
      </c>
    </row>
    <row r="61" spans="3:14" customFormat="1" ht="15" customHeight="1" x14ac:dyDescent="0.15">
      <c r="C61" s="85">
        <v>60</v>
      </c>
      <c r="E61" s="180" t="s">
        <v>252</v>
      </c>
      <c r="F61" s="85">
        <v>0</v>
      </c>
      <c r="G61" s="85">
        <v>10.8</v>
      </c>
      <c r="H61" s="85">
        <v>8.6999999999999993</v>
      </c>
      <c r="I61" s="85">
        <v>34.799999999999997</v>
      </c>
      <c r="J61" s="85">
        <v>0.70122850000000003</v>
      </c>
      <c r="K61" s="85">
        <v>0.25</v>
      </c>
      <c r="L61" s="85">
        <v>0</v>
      </c>
      <c r="M61" s="85">
        <v>0.22500000000000001</v>
      </c>
      <c r="N61" s="85">
        <v>0</v>
      </c>
    </row>
    <row r="62" spans="3:14" customFormat="1" ht="15" customHeight="1" x14ac:dyDescent="0.15">
      <c r="C62" s="85">
        <v>61</v>
      </c>
      <c r="E62" s="180" t="s">
        <v>253</v>
      </c>
      <c r="F62" s="85">
        <v>0</v>
      </c>
      <c r="G62" s="85">
        <v>0.19</v>
      </c>
      <c r="H62" s="85">
        <v>50.45</v>
      </c>
      <c r="I62" s="85">
        <v>132.13</v>
      </c>
      <c r="J62" s="85">
        <v>0.95410096600000005</v>
      </c>
      <c r="K62" s="85">
        <v>0.38182091699999998</v>
      </c>
      <c r="L62" s="85">
        <v>0</v>
      </c>
      <c r="M62" s="85">
        <v>0.35</v>
      </c>
      <c r="N62" s="85">
        <v>0</v>
      </c>
    </row>
    <row r="63" spans="3:14" customFormat="1" ht="15" customHeight="1" x14ac:dyDescent="0.15">
      <c r="C63" s="85">
        <v>62</v>
      </c>
      <c r="E63" s="180" t="s">
        <v>254</v>
      </c>
      <c r="F63" s="85">
        <v>0</v>
      </c>
      <c r="G63" s="85">
        <v>0.221</v>
      </c>
      <c r="H63" s="85">
        <v>20.074999999999999</v>
      </c>
      <c r="I63" s="85">
        <v>80</v>
      </c>
      <c r="J63" s="85">
        <v>5.2872710000000003E-2</v>
      </c>
      <c r="K63" s="85">
        <v>0.250937521</v>
      </c>
      <c r="L63" s="85">
        <v>0</v>
      </c>
      <c r="M63" s="85">
        <v>0.4</v>
      </c>
      <c r="N63" s="85">
        <v>0</v>
      </c>
    </row>
    <row r="64" spans="3:14" customFormat="1" ht="15" customHeight="1" x14ac:dyDescent="0.15">
      <c r="C64" s="85">
        <v>63</v>
      </c>
      <c r="E64" s="180" t="s">
        <v>255</v>
      </c>
      <c r="F64" s="85">
        <v>0</v>
      </c>
      <c r="G64" s="85">
        <v>60</v>
      </c>
      <c r="H64" s="85">
        <v>100</v>
      </c>
      <c r="I64" s="85">
        <v>200</v>
      </c>
      <c r="J64" s="85">
        <v>0.10775394000000001</v>
      </c>
      <c r="K64" s="85">
        <v>0.5</v>
      </c>
      <c r="L64" s="85">
        <v>0</v>
      </c>
      <c r="M64" s="85">
        <v>0.25</v>
      </c>
      <c r="N64" s="85">
        <v>0</v>
      </c>
    </row>
    <row r="65" spans="3:14" customFormat="1" ht="15" customHeight="1" x14ac:dyDescent="0.15">
      <c r="C65" s="85">
        <v>64</v>
      </c>
      <c r="E65" s="180" t="s">
        <v>256</v>
      </c>
      <c r="F65" s="85">
        <v>1</v>
      </c>
      <c r="G65" s="85">
        <v>36.049999999999997</v>
      </c>
      <c r="H65" s="85">
        <v>4</v>
      </c>
      <c r="I65" s="85">
        <v>0</v>
      </c>
      <c r="J65" s="85">
        <v>0.64744409999999997</v>
      </c>
      <c r="K65" s="85">
        <v>0</v>
      </c>
      <c r="L65" s="85">
        <v>0</v>
      </c>
      <c r="M65" s="85">
        <v>0</v>
      </c>
      <c r="N65" s="85">
        <v>0</v>
      </c>
    </row>
    <row r="66" spans="3:14" customFormat="1" ht="15" customHeight="1" x14ac:dyDescent="0.15">
      <c r="C66" s="85">
        <v>65</v>
      </c>
      <c r="E66" s="180" t="s">
        <v>257</v>
      </c>
      <c r="F66" s="85">
        <v>1</v>
      </c>
      <c r="G66" s="85">
        <v>29.78</v>
      </c>
      <c r="H66" s="85">
        <v>23.73</v>
      </c>
      <c r="I66" s="85">
        <v>0</v>
      </c>
      <c r="J66" s="85">
        <v>0.71534830000000005</v>
      </c>
      <c r="K66" s="85">
        <v>0</v>
      </c>
      <c r="L66" s="85">
        <v>0</v>
      </c>
      <c r="M66" s="85">
        <v>0</v>
      </c>
      <c r="N66" s="85">
        <v>0</v>
      </c>
    </row>
    <row r="67" spans="3:14" customFormat="1" ht="15" customHeight="1" x14ac:dyDescent="0.15">
      <c r="C67" s="85">
        <v>66</v>
      </c>
      <c r="E67" s="180" t="s">
        <v>258</v>
      </c>
      <c r="F67" s="85">
        <v>1</v>
      </c>
      <c r="G67" s="85">
        <v>13.13</v>
      </c>
      <c r="H67" s="85">
        <v>182.13</v>
      </c>
      <c r="I67" s="85">
        <v>0</v>
      </c>
      <c r="J67" s="85">
        <v>0.40890389999999999</v>
      </c>
      <c r="K67" s="85">
        <v>0</v>
      </c>
      <c r="L67" s="85">
        <v>0</v>
      </c>
      <c r="M67" s="85">
        <v>0</v>
      </c>
      <c r="N67" s="85">
        <v>0</v>
      </c>
    </row>
    <row r="68" spans="3:14" customFormat="1" ht="15" customHeight="1" x14ac:dyDescent="0.15">
      <c r="C68" s="85">
        <v>67</v>
      </c>
      <c r="E68" s="180" t="s">
        <v>259</v>
      </c>
      <c r="F68" s="85">
        <v>1</v>
      </c>
      <c r="G68" s="85">
        <v>175.62</v>
      </c>
      <c r="H68" s="85">
        <v>9</v>
      </c>
      <c r="I68" s="85">
        <v>0</v>
      </c>
      <c r="J68" s="85">
        <v>1.6676288099999999E-2</v>
      </c>
      <c r="K68" s="85">
        <v>0</v>
      </c>
      <c r="L68" s="85">
        <v>0</v>
      </c>
      <c r="M68" s="85">
        <v>0</v>
      </c>
      <c r="N68" s="85">
        <v>0</v>
      </c>
    </row>
    <row r="69" spans="3:14" customFormat="1" ht="15" customHeight="1" x14ac:dyDescent="0.15">
      <c r="C69" s="85">
        <v>68</v>
      </c>
      <c r="E69" s="180" t="s">
        <v>260</v>
      </c>
      <c r="F69" s="85">
        <v>2</v>
      </c>
      <c r="G69" s="85">
        <v>125</v>
      </c>
      <c r="H69" s="85">
        <v>0</v>
      </c>
      <c r="I69" s="85">
        <v>0</v>
      </c>
      <c r="J69" s="85">
        <v>0.93174874799999996</v>
      </c>
      <c r="K69" s="85">
        <v>0</v>
      </c>
      <c r="L69" s="85">
        <v>0</v>
      </c>
      <c r="M69" s="85">
        <v>0.2</v>
      </c>
      <c r="N69" s="85">
        <v>0</v>
      </c>
    </row>
    <row r="70" spans="3:14" customFormat="1" ht="15" customHeight="1" x14ac:dyDescent="0.15">
      <c r="C70" s="85">
        <v>69</v>
      </c>
      <c r="E70" s="180" t="s">
        <v>261</v>
      </c>
      <c r="F70" s="85">
        <v>2</v>
      </c>
      <c r="G70" s="85">
        <v>350</v>
      </c>
      <c r="H70" s="85">
        <v>0</v>
      </c>
      <c r="I70" s="85">
        <v>0</v>
      </c>
      <c r="J70" s="85">
        <v>0.96103316500000002</v>
      </c>
      <c r="K70" s="85">
        <v>0</v>
      </c>
      <c r="L70" s="85">
        <v>0.73232560000000002</v>
      </c>
      <c r="M70" s="85">
        <v>0.2</v>
      </c>
      <c r="N70" s="85">
        <v>0</v>
      </c>
    </row>
    <row r="71" spans="3:14" customFormat="1" ht="15" customHeight="1" x14ac:dyDescent="0.15">
      <c r="C71" s="85">
        <v>70</v>
      </c>
      <c r="E71" s="180" t="s">
        <v>262</v>
      </c>
      <c r="F71" s="85">
        <v>2</v>
      </c>
      <c r="G71" s="85">
        <v>1E-3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</row>
    <row r="72" spans="3:14" customFormat="1" ht="15" customHeight="1" x14ac:dyDescent="0.15">
      <c r="C72" s="85">
        <v>71</v>
      </c>
      <c r="E72" s="180" t="s">
        <v>263</v>
      </c>
      <c r="F72" s="85">
        <v>3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</row>
    <row r="73" spans="3:14" customFormat="1" ht="15" customHeight="1" x14ac:dyDescent="0.15">
      <c r="C73" s="85">
        <v>72</v>
      </c>
      <c r="E73" s="180" t="s">
        <v>264</v>
      </c>
      <c r="F73" s="85">
        <v>3</v>
      </c>
      <c r="G73" s="85">
        <v>0</v>
      </c>
      <c r="H73" s="85">
        <v>0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</row>
    <row r="74" spans="3:14" customFormat="1" ht="15" customHeight="1" x14ac:dyDescent="0.15">
      <c r="C74" s="85">
        <v>73</v>
      </c>
      <c r="E74" s="180" t="s">
        <v>265</v>
      </c>
      <c r="F74" s="85">
        <v>3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</row>
    <row r="75" spans="3:14" customFormat="1" ht="15" customHeight="1" x14ac:dyDescent="0.15">
      <c r="C75" s="85">
        <v>74</v>
      </c>
      <c r="E75" s="180" t="s">
        <v>266</v>
      </c>
      <c r="F75" s="85">
        <v>3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</row>
    <row r="76" spans="3:14" customFormat="1" ht="15" customHeight="1" x14ac:dyDescent="0.15">
      <c r="C76" s="85">
        <v>75</v>
      </c>
      <c r="E76" s="180" t="s">
        <v>267</v>
      </c>
      <c r="F76" s="85">
        <v>3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</row>
    <row r="77" spans="3:14" customFormat="1" ht="15" customHeight="1" x14ac:dyDescent="0.15">
      <c r="C77" s="85">
        <v>76</v>
      </c>
      <c r="E77" s="180" t="s">
        <v>268</v>
      </c>
      <c r="F77" s="85">
        <v>3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</row>
    <row r="78" spans="3:14" customFormat="1" ht="15" customHeight="1" x14ac:dyDescent="0.15">
      <c r="C78" s="85">
        <v>77</v>
      </c>
      <c r="E78" s="180" t="s">
        <v>269</v>
      </c>
      <c r="F78" s="85">
        <v>3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</row>
    <row r="79" spans="3:14" customFormat="1" ht="15" customHeight="1" x14ac:dyDescent="0.15">
      <c r="C79" s="85">
        <v>78</v>
      </c>
      <c r="E79" s="180" t="s">
        <v>270</v>
      </c>
      <c r="F79" s="85">
        <v>3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</row>
    <row r="80" spans="3:14" customFormat="1" ht="15" customHeight="1" x14ac:dyDescent="0.15">
      <c r="C80" s="85">
        <v>79</v>
      </c>
      <c r="E80" s="180" t="s">
        <v>271</v>
      </c>
      <c r="F80" s="85">
        <v>3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0</v>
      </c>
      <c r="N80" s="85">
        <v>0</v>
      </c>
    </row>
    <row r="81" spans="3:14" customFormat="1" ht="15" customHeight="1" x14ac:dyDescent="0.15">
      <c r="C81" s="85">
        <v>80</v>
      </c>
      <c r="E81" s="180" t="s">
        <v>272</v>
      </c>
      <c r="F81" s="85">
        <v>3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</row>
    <row r="82" spans="3:14" customFormat="1" ht="15" customHeight="1" x14ac:dyDescent="0.15">
      <c r="C82" s="85">
        <v>81</v>
      </c>
      <c r="E82" s="180" t="s">
        <v>273</v>
      </c>
      <c r="F82" s="85">
        <v>3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0</v>
      </c>
      <c r="M82" s="85">
        <v>0</v>
      </c>
      <c r="N82" s="85">
        <v>0</v>
      </c>
    </row>
    <row r="83" spans="3:14" customFormat="1" ht="15" customHeight="1" x14ac:dyDescent="0.15">
      <c r="C83" s="85">
        <v>82</v>
      </c>
      <c r="E83" s="180" t="s">
        <v>274</v>
      </c>
      <c r="F83" s="85">
        <v>3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0</v>
      </c>
      <c r="N83" s="85">
        <v>0</v>
      </c>
    </row>
    <row r="84" spans="3:14" customFormat="1" ht="15" customHeight="1" x14ac:dyDescent="0.15">
      <c r="C84" s="85">
        <v>83</v>
      </c>
      <c r="E84" s="180" t="s">
        <v>275</v>
      </c>
      <c r="F84" s="85">
        <v>3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0</v>
      </c>
      <c r="N84" s="85">
        <v>0</v>
      </c>
    </row>
    <row r="85" spans="3:14" customFormat="1" ht="15" customHeight="1" x14ac:dyDescent="0.15">
      <c r="C85" s="85">
        <v>84</v>
      </c>
      <c r="E85" s="180" t="s">
        <v>276</v>
      </c>
      <c r="F85" s="85">
        <v>3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</row>
    <row r="86" spans="3:14" customFormat="1" ht="15" customHeight="1" x14ac:dyDescent="0.15">
      <c r="C86" s="85"/>
    </row>
    <row r="87" spans="3:14" customFormat="1" ht="15" customHeight="1" x14ac:dyDescent="0.15"/>
    <row r="88" spans="3:14" customFormat="1" ht="15" customHeight="1" x14ac:dyDescent="0.15"/>
    <row r="89" spans="3:14" customFormat="1" ht="15" customHeight="1" x14ac:dyDescent="0.15"/>
    <row r="90" spans="3:14" customFormat="1" ht="15" customHeight="1" x14ac:dyDescent="0.15"/>
    <row r="91" spans="3:14" customFormat="1" ht="15" customHeight="1" x14ac:dyDescent="0.15"/>
    <row r="92" spans="3:14" customFormat="1" ht="15" customHeight="1" x14ac:dyDescent="0.15"/>
    <row r="93" spans="3:14" customFormat="1" ht="15" customHeight="1" x14ac:dyDescent="0.15"/>
    <row r="94" spans="3:14" customFormat="1" ht="15" customHeight="1" x14ac:dyDescent="0.15"/>
    <row r="95" spans="3:14" customFormat="1" ht="15" customHeight="1" x14ac:dyDescent="0.15"/>
    <row r="96" spans="3:14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spans="5:16" customFormat="1" ht="15" customHeight="1" x14ac:dyDescent="0.15"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P193" s="85"/>
    </row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S372"/>
  <sheetViews>
    <sheetView workbookViewId="0">
      <pane xSplit="1" ySplit="1" topLeftCell="BG48" activePane="bottomRight" state="frozen"/>
      <selection pane="topRight" activeCell="B1" sqref="B1"/>
      <selection pane="bottomLeft" activeCell="A2" sqref="A2"/>
      <selection pane="bottomRight" activeCell="BU51" sqref="BU51"/>
    </sheetView>
  </sheetViews>
  <sheetFormatPr baseColWidth="10" defaultColWidth="8.83203125" defaultRowHeight="13" x14ac:dyDescent="0.15"/>
  <cols>
    <col min="1" max="1" width="27.5" style="145" bestFit="1" customWidth="1"/>
    <col min="2" max="3" width="14.83203125" style="145" bestFit="1" customWidth="1"/>
    <col min="4" max="8" width="15.83203125" style="145" bestFit="1" customWidth="1"/>
    <col min="9" max="10" width="15.5" style="145" bestFit="1" customWidth="1"/>
    <col min="11" max="15" width="15.83203125" style="145" bestFit="1" customWidth="1"/>
    <col min="16" max="16" width="14.83203125" style="145" bestFit="1" customWidth="1"/>
    <col min="17" max="22" width="15.83203125" style="145" bestFit="1" customWidth="1"/>
    <col min="23" max="23" width="13.83203125" style="145" bestFit="1" customWidth="1"/>
    <col min="24" max="29" width="15.83203125" style="145" bestFit="1" customWidth="1"/>
    <col min="30" max="30" width="15.83203125" style="145" customWidth="1"/>
    <col min="31" max="31" width="14.83203125" style="145" customWidth="1"/>
    <col min="32" max="33" width="15.83203125" style="145" customWidth="1"/>
    <col min="34" max="34" width="5.83203125" style="145" customWidth="1"/>
    <col min="35" max="44" width="15.83203125" style="145" customWidth="1"/>
    <col min="45" max="45" width="15.5" style="145" customWidth="1"/>
    <col min="46" max="47" width="15.83203125" style="145" customWidth="1"/>
    <col min="48" max="48" width="13.83203125" style="145" customWidth="1"/>
    <col min="49" max="49" width="14.83203125" style="145" customWidth="1"/>
    <col min="50" max="50" width="15.83203125" style="145" customWidth="1"/>
    <col min="51" max="51" width="12.83203125" style="145" customWidth="1"/>
    <col min="52" max="52" width="14.83203125" style="145" customWidth="1"/>
    <col min="53" max="53" width="13.83203125" style="145" customWidth="1"/>
    <col min="54" max="54" width="12.83203125" style="145" customWidth="1"/>
    <col min="55" max="55" width="14.83203125" style="145" customWidth="1"/>
    <col min="56" max="57" width="4.83203125" style="145" customWidth="1"/>
    <col min="58" max="58" width="5.83203125" style="145" customWidth="1"/>
    <col min="59" max="59" width="4.83203125" style="145" customWidth="1"/>
    <col min="60" max="61" width="13.83203125" style="145" customWidth="1"/>
    <col min="62" max="63" width="4.83203125" style="145" customWidth="1"/>
    <col min="64" max="71" width="9.5" style="145" customWidth="1"/>
    <col min="72" max="16384" width="8.83203125" style="145"/>
  </cols>
  <sheetData>
    <row r="1" spans="1:71" x14ac:dyDescent="0.15">
      <c r="A1" s="144" t="s">
        <v>19</v>
      </c>
      <c r="B1" s="182" t="s">
        <v>193</v>
      </c>
      <c r="C1" s="182" t="s">
        <v>194</v>
      </c>
      <c r="D1" s="182" t="s">
        <v>195</v>
      </c>
      <c r="E1" s="182" t="s">
        <v>196</v>
      </c>
      <c r="F1" s="182" t="s">
        <v>197</v>
      </c>
      <c r="G1" s="182" t="s">
        <v>198</v>
      </c>
      <c r="H1" s="182" t="s">
        <v>199</v>
      </c>
      <c r="I1" s="182" t="s">
        <v>200</v>
      </c>
      <c r="J1" s="182" t="s">
        <v>201</v>
      </c>
      <c r="K1" s="182" t="s">
        <v>202</v>
      </c>
      <c r="L1" s="182" t="s">
        <v>203</v>
      </c>
      <c r="M1" s="182" t="s">
        <v>204</v>
      </c>
      <c r="N1" s="182" t="s">
        <v>205</v>
      </c>
      <c r="O1" s="182" t="s">
        <v>206</v>
      </c>
      <c r="P1" s="182" t="s">
        <v>207</v>
      </c>
      <c r="Q1" s="182" t="s">
        <v>208</v>
      </c>
      <c r="R1" s="182" t="s">
        <v>209</v>
      </c>
      <c r="S1" s="182" t="s">
        <v>210</v>
      </c>
      <c r="T1" s="182" t="s">
        <v>211</v>
      </c>
      <c r="U1" s="182" t="s">
        <v>212</v>
      </c>
      <c r="V1" s="182" t="s">
        <v>213</v>
      </c>
      <c r="W1" s="182" t="s">
        <v>214</v>
      </c>
      <c r="X1" s="182" t="s">
        <v>215</v>
      </c>
      <c r="Y1" s="182" t="s">
        <v>216</v>
      </c>
      <c r="Z1" s="182" t="s">
        <v>217</v>
      </c>
      <c r="AA1" s="182" t="s">
        <v>218</v>
      </c>
      <c r="AB1" s="182" t="s">
        <v>219</v>
      </c>
      <c r="AC1" s="182" t="s">
        <v>220</v>
      </c>
      <c r="AD1" s="182" t="s">
        <v>221</v>
      </c>
      <c r="AE1" s="182" t="s">
        <v>222</v>
      </c>
      <c r="AF1" s="182" t="s">
        <v>223</v>
      </c>
      <c r="AG1" s="182" t="s">
        <v>224</v>
      </c>
      <c r="AH1" s="182" t="s">
        <v>225</v>
      </c>
      <c r="AI1" s="182" t="s">
        <v>226</v>
      </c>
      <c r="AJ1" s="182" t="s">
        <v>227</v>
      </c>
      <c r="AK1" s="182" t="s">
        <v>228</v>
      </c>
      <c r="AL1" s="182" t="s">
        <v>229</v>
      </c>
      <c r="AM1" s="182" t="s">
        <v>230</v>
      </c>
      <c r="AN1" s="182" t="s">
        <v>231</v>
      </c>
      <c r="AO1" s="182" t="s">
        <v>232</v>
      </c>
      <c r="AP1" s="182" t="s">
        <v>233</v>
      </c>
      <c r="AQ1" s="182" t="s">
        <v>234</v>
      </c>
      <c r="AR1" s="182" t="s">
        <v>235</v>
      </c>
      <c r="AS1" s="182" t="s">
        <v>236</v>
      </c>
      <c r="AT1" s="182" t="s">
        <v>237</v>
      </c>
      <c r="AU1" s="182" t="s">
        <v>238</v>
      </c>
      <c r="AV1" s="182" t="s">
        <v>239</v>
      </c>
      <c r="AW1" s="182" t="s">
        <v>240</v>
      </c>
      <c r="AX1" s="182" t="s">
        <v>241</v>
      </c>
      <c r="AY1" s="182" t="s">
        <v>242</v>
      </c>
      <c r="AZ1" s="182" t="s">
        <v>243</v>
      </c>
      <c r="BA1" s="182" t="s">
        <v>244</v>
      </c>
      <c r="BB1" s="182" t="s">
        <v>245</v>
      </c>
      <c r="BC1" s="182" t="s">
        <v>246</v>
      </c>
      <c r="BD1" s="182" t="s">
        <v>247</v>
      </c>
      <c r="BE1" s="182" t="s">
        <v>248</v>
      </c>
      <c r="BF1" s="182" t="s">
        <v>249</v>
      </c>
      <c r="BG1" s="182" t="s">
        <v>250</v>
      </c>
      <c r="BH1" s="182" t="s">
        <v>251</v>
      </c>
      <c r="BI1" s="182" t="s">
        <v>252</v>
      </c>
      <c r="BJ1" s="182" t="s">
        <v>253</v>
      </c>
      <c r="BK1" s="182" t="s">
        <v>254</v>
      </c>
      <c r="BL1" s="182" t="s">
        <v>255</v>
      </c>
      <c r="BM1" s="182" t="s">
        <v>256</v>
      </c>
      <c r="BN1" s="182" t="s">
        <v>257</v>
      </c>
      <c r="BO1" s="182" t="s">
        <v>258</v>
      </c>
      <c r="BP1" s="182" t="s">
        <v>259</v>
      </c>
      <c r="BQ1" s="182" t="s">
        <v>260</v>
      </c>
      <c r="BR1" s="182" t="s">
        <v>261</v>
      </c>
      <c r="BS1" s="182" t="s">
        <v>262</v>
      </c>
    </row>
    <row r="2" spans="1:71" customFormat="1" x14ac:dyDescent="0.15">
      <c r="A2" s="181" t="s">
        <v>193</v>
      </c>
      <c r="B2" s="145">
        <v>0</v>
      </c>
      <c r="C2" s="145">
        <v>0</v>
      </c>
      <c r="D2" s="145">
        <v>3.0239748366277064E-3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  <c r="AQ2" s="145">
        <v>0</v>
      </c>
      <c r="AR2" s="145">
        <v>0</v>
      </c>
      <c r="AS2" s="145">
        <v>0</v>
      </c>
      <c r="AT2" s="145">
        <v>0</v>
      </c>
      <c r="AU2" s="145">
        <v>0</v>
      </c>
      <c r="AV2" s="145">
        <v>0</v>
      </c>
      <c r="AW2" s="145">
        <v>0</v>
      </c>
      <c r="AX2" s="145">
        <v>0</v>
      </c>
      <c r="AY2" s="145">
        <v>0</v>
      </c>
      <c r="AZ2" s="145">
        <v>0</v>
      </c>
      <c r="BA2" s="145">
        <v>0</v>
      </c>
      <c r="BB2" s="145">
        <v>0</v>
      </c>
      <c r="BC2" s="145">
        <v>0</v>
      </c>
      <c r="BD2" s="145">
        <v>0</v>
      </c>
      <c r="BE2" s="145">
        <v>0</v>
      </c>
      <c r="BF2" s="145">
        <v>0</v>
      </c>
      <c r="BG2" s="145">
        <v>0</v>
      </c>
      <c r="BH2" s="145">
        <v>0</v>
      </c>
      <c r="BI2" s="145">
        <v>0</v>
      </c>
      <c r="BJ2" s="145">
        <v>0</v>
      </c>
      <c r="BK2" s="145">
        <v>0</v>
      </c>
      <c r="BL2" s="145">
        <v>0</v>
      </c>
      <c r="BM2" s="145">
        <v>0</v>
      </c>
      <c r="BN2" s="145">
        <v>0</v>
      </c>
      <c r="BO2" s="145">
        <v>0</v>
      </c>
      <c r="BP2" s="145">
        <v>0</v>
      </c>
      <c r="BQ2" s="145">
        <v>0</v>
      </c>
      <c r="BR2" s="145">
        <v>0</v>
      </c>
      <c r="BS2" s="145">
        <v>0</v>
      </c>
    </row>
    <row r="3" spans="1:71" customFormat="1" x14ac:dyDescent="0.15">
      <c r="A3" s="181" t="s">
        <v>194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  <c r="AQ3" s="145">
        <v>0</v>
      </c>
      <c r="AR3" s="145">
        <v>0</v>
      </c>
      <c r="AS3" s="145">
        <v>0</v>
      </c>
      <c r="AT3" s="145">
        <v>0</v>
      </c>
      <c r="AU3" s="145">
        <v>0</v>
      </c>
      <c r="AV3" s="145">
        <v>0</v>
      </c>
      <c r="AW3" s="145">
        <v>0</v>
      </c>
      <c r="AX3" s="145">
        <v>0</v>
      </c>
      <c r="AY3" s="145">
        <v>0</v>
      </c>
      <c r="AZ3" s="145">
        <v>0</v>
      </c>
      <c r="BA3" s="145">
        <v>0</v>
      </c>
      <c r="BB3" s="145">
        <v>0</v>
      </c>
      <c r="BC3" s="145">
        <v>0</v>
      </c>
      <c r="BD3" s="145">
        <v>0</v>
      </c>
      <c r="BE3" s="145">
        <v>0</v>
      </c>
      <c r="BF3" s="145">
        <v>0</v>
      </c>
      <c r="BG3" s="145">
        <v>0</v>
      </c>
      <c r="BH3" s="145">
        <v>0</v>
      </c>
      <c r="BI3" s="145">
        <v>0</v>
      </c>
      <c r="BJ3" s="145">
        <v>0</v>
      </c>
      <c r="BK3" s="145">
        <v>0</v>
      </c>
      <c r="BL3" s="145">
        <v>0</v>
      </c>
      <c r="BM3" s="145">
        <v>0</v>
      </c>
      <c r="BN3" s="145">
        <v>0</v>
      </c>
      <c r="BO3" s="145">
        <v>0</v>
      </c>
      <c r="BP3" s="145">
        <v>0</v>
      </c>
      <c r="BQ3" s="145">
        <v>0</v>
      </c>
      <c r="BR3" s="145">
        <v>0</v>
      </c>
      <c r="BS3" s="145">
        <v>0</v>
      </c>
    </row>
    <row r="4" spans="1:71" customFormat="1" x14ac:dyDescent="0.15">
      <c r="A4" s="181" t="s">
        <v>195</v>
      </c>
      <c r="B4" s="145">
        <v>0</v>
      </c>
      <c r="C4" s="145">
        <v>0</v>
      </c>
      <c r="D4" s="145">
        <v>2.0110006444075501E-3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0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  <c r="AQ4" s="145">
        <v>0</v>
      </c>
      <c r="AR4" s="145">
        <v>0</v>
      </c>
      <c r="AS4" s="145">
        <v>0</v>
      </c>
      <c r="AT4" s="145">
        <v>0</v>
      </c>
      <c r="AU4" s="145">
        <v>0</v>
      </c>
      <c r="AV4" s="145">
        <v>0</v>
      </c>
      <c r="AW4" s="145">
        <v>0</v>
      </c>
      <c r="AX4" s="145">
        <v>0</v>
      </c>
      <c r="AY4" s="145">
        <v>0</v>
      </c>
      <c r="AZ4" s="145">
        <v>0</v>
      </c>
      <c r="BA4" s="145">
        <v>0</v>
      </c>
      <c r="BB4" s="145">
        <v>0</v>
      </c>
      <c r="BC4" s="145">
        <v>0</v>
      </c>
      <c r="BD4" s="145">
        <v>0</v>
      </c>
      <c r="BE4" s="145">
        <v>0</v>
      </c>
      <c r="BF4" s="145">
        <v>0</v>
      </c>
      <c r="BG4" s="145">
        <v>0</v>
      </c>
      <c r="BH4" s="145">
        <v>0</v>
      </c>
      <c r="BI4" s="145">
        <v>0</v>
      </c>
      <c r="BJ4" s="145">
        <v>0</v>
      </c>
      <c r="BK4" s="145">
        <v>0</v>
      </c>
      <c r="BL4" s="145">
        <v>0</v>
      </c>
      <c r="BM4" s="145">
        <v>0</v>
      </c>
      <c r="BN4" s="145">
        <v>0</v>
      </c>
      <c r="BO4" s="145">
        <v>0</v>
      </c>
      <c r="BP4" s="145">
        <v>0</v>
      </c>
      <c r="BQ4" s="145">
        <v>0</v>
      </c>
      <c r="BR4" s="145">
        <v>0</v>
      </c>
      <c r="BS4" s="145">
        <v>0</v>
      </c>
    </row>
    <row r="5" spans="1:71" customFormat="1" x14ac:dyDescent="0.15">
      <c r="A5" s="181" t="s">
        <v>196</v>
      </c>
      <c r="B5" s="145">
        <v>1.9984013115507604E-3</v>
      </c>
      <c r="C5" s="145">
        <v>0</v>
      </c>
      <c r="D5" s="145">
        <v>0</v>
      </c>
      <c r="E5" s="145">
        <v>0</v>
      </c>
      <c r="F5" s="145">
        <v>0</v>
      </c>
      <c r="G5" s="145">
        <v>2.0150313770346266E-3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2.00092068300758E-3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4.0129050958374038E-3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  <c r="AQ5" s="145">
        <v>0</v>
      </c>
      <c r="AR5" s="145">
        <v>0</v>
      </c>
      <c r="AS5" s="145">
        <v>0</v>
      </c>
      <c r="AT5" s="145">
        <v>0</v>
      </c>
      <c r="AU5" s="145">
        <v>0</v>
      </c>
      <c r="AV5" s="145">
        <v>0</v>
      </c>
      <c r="AW5" s="145">
        <v>0</v>
      </c>
      <c r="AX5" s="145">
        <v>0</v>
      </c>
      <c r="AY5" s="145">
        <v>0</v>
      </c>
      <c r="AZ5" s="145">
        <v>0</v>
      </c>
      <c r="BA5" s="145">
        <v>0</v>
      </c>
      <c r="BB5" s="145">
        <v>0</v>
      </c>
      <c r="BC5" s="145">
        <v>0</v>
      </c>
      <c r="BD5" s="145">
        <v>0</v>
      </c>
      <c r="BE5" s="145">
        <v>0</v>
      </c>
      <c r="BF5" s="145">
        <v>0</v>
      </c>
      <c r="BG5" s="145">
        <v>0</v>
      </c>
      <c r="BH5" s="145">
        <v>0</v>
      </c>
      <c r="BI5" s="145">
        <v>0</v>
      </c>
      <c r="BJ5" s="145">
        <v>0</v>
      </c>
      <c r="BK5" s="145">
        <v>0</v>
      </c>
      <c r="BL5" s="145">
        <v>0</v>
      </c>
      <c r="BM5" s="145">
        <v>0</v>
      </c>
      <c r="BN5" s="145">
        <v>0</v>
      </c>
      <c r="BO5" s="145">
        <v>0</v>
      </c>
      <c r="BP5" s="145">
        <v>0</v>
      </c>
      <c r="BQ5" s="145">
        <v>0</v>
      </c>
      <c r="BR5" s="145">
        <v>0</v>
      </c>
      <c r="BS5" s="145">
        <v>0</v>
      </c>
    </row>
    <row r="6" spans="1:71" customFormat="1" x14ac:dyDescent="0.15">
      <c r="A6" s="181" t="s">
        <v>197</v>
      </c>
      <c r="B6" s="145">
        <v>1.9984013115507604E-3</v>
      </c>
      <c r="C6" s="145">
        <v>0</v>
      </c>
      <c r="D6" s="145">
        <v>0.15585255634158518</v>
      </c>
      <c r="E6" s="145">
        <v>6.8993620421309559E-4</v>
      </c>
      <c r="F6" s="145">
        <v>0</v>
      </c>
      <c r="G6" s="145">
        <v>3.022546950551942E-6</v>
      </c>
      <c r="H6" s="145">
        <v>0</v>
      </c>
      <c r="I6" s="145">
        <v>4.0020969734260751E-3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0</v>
      </c>
      <c r="S6" s="145">
        <v>0</v>
      </c>
      <c r="T6" s="145">
        <v>0</v>
      </c>
      <c r="U6" s="145">
        <v>0</v>
      </c>
      <c r="V6" s="145">
        <v>0</v>
      </c>
      <c r="W6" s="145">
        <v>0</v>
      </c>
      <c r="X6" s="145">
        <v>0</v>
      </c>
      <c r="Y6" s="145">
        <v>0</v>
      </c>
      <c r="Z6" s="145">
        <v>9.1576761217787753E-2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1.9013762954092395E-2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  <c r="AQ6" s="145">
        <v>0</v>
      </c>
      <c r="AR6" s="145">
        <v>0</v>
      </c>
      <c r="AS6" s="145">
        <v>0</v>
      </c>
      <c r="AT6" s="145">
        <v>0</v>
      </c>
      <c r="AU6" s="145">
        <v>0</v>
      </c>
      <c r="AV6" s="145">
        <v>0</v>
      </c>
      <c r="AW6" s="145">
        <v>0</v>
      </c>
      <c r="AX6" s="145">
        <v>0</v>
      </c>
      <c r="AY6" s="145">
        <v>0</v>
      </c>
      <c r="AZ6" s="145">
        <v>0</v>
      </c>
      <c r="BA6" s="145">
        <v>0</v>
      </c>
      <c r="BB6" s="145">
        <v>0</v>
      </c>
      <c r="BC6" s="145">
        <v>0</v>
      </c>
      <c r="BD6" s="145">
        <v>0</v>
      </c>
      <c r="BE6" s="145">
        <v>0</v>
      </c>
      <c r="BF6" s="145">
        <v>0</v>
      </c>
      <c r="BG6" s="145">
        <v>0</v>
      </c>
      <c r="BH6" s="145">
        <v>0</v>
      </c>
      <c r="BI6" s="145">
        <v>0</v>
      </c>
      <c r="BJ6" s="145">
        <v>0</v>
      </c>
      <c r="BK6" s="145">
        <v>0</v>
      </c>
      <c r="BL6" s="145">
        <v>0</v>
      </c>
      <c r="BM6" s="145">
        <v>0</v>
      </c>
      <c r="BN6" s="145">
        <v>0</v>
      </c>
      <c r="BO6" s="145">
        <v>0</v>
      </c>
      <c r="BP6" s="145">
        <v>0</v>
      </c>
      <c r="BQ6" s="145">
        <v>0</v>
      </c>
      <c r="BR6" s="145">
        <v>0</v>
      </c>
      <c r="BS6" s="145">
        <v>0</v>
      </c>
    </row>
    <row r="7" spans="1:71" customFormat="1" x14ac:dyDescent="0.15">
      <c r="A7" s="181" t="s">
        <v>198</v>
      </c>
      <c r="B7" s="145">
        <v>1.3988810430855361E-2</v>
      </c>
      <c r="C7" s="145">
        <v>0</v>
      </c>
      <c r="D7" s="145">
        <v>2.0110006444075501E-3</v>
      </c>
      <c r="E7" s="145">
        <v>0</v>
      </c>
      <c r="F7" s="145">
        <v>0</v>
      </c>
      <c r="G7" s="145">
        <v>4.0300629340692508E-3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3.0285677230853965E-3</v>
      </c>
      <c r="O7" s="145">
        <v>0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0</v>
      </c>
      <c r="V7" s="145">
        <v>0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0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  <c r="AP7" s="145">
        <v>0</v>
      </c>
      <c r="AQ7" s="145">
        <v>0</v>
      </c>
      <c r="AR7" s="145">
        <v>0</v>
      </c>
      <c r="AS7" s="145">
        <v>0</v>
      </c>
      <c r="AT7" s="145">
        <v>0</v>
      </c>
      <c r="AU7" s="145">
        <v>0</v>
      </c>
      <c r="AV7" s="145">
        <v>0</v>
      </c>
      <c r="AW7" s="145">
        <v>0</v>
      </c>
      <c r="AX7" s="145">
        <v>0</v>
      </c>
      <c r="AY7" s="145">
        <v>0</v>
      </c>
      <c r="AZ7" s="145">
        <v>0</v>
      </c>
      <c r="BA7" s="145">
        <v>0</v>
      </c>
      <c r="BB7" s="145">
        <v>0</v>
      </c>
      <c r="BC7" s="145">
        <v>0</v>
      </c>
      <c r="BD7" s="145">
        <v>0</v>
      </c>
      <c r="BE7" s="145">
        <v>0</v>
      </c>
      <c r="BF7" s="145">
        <v>0</v>
      </c>
      <c r="BG7" s="145">
        <v>0</v>
      </c>
      <c r="BH7" s="145">
        <v>0</v>
      </c>
      <c r="BI7" s="145">
        <v>0</v>
      </c>
      <c r="BJ7" s="145">
        <v>0</v>
      </c>
      <c r="BK7" s="145">
        <v>0</v>
      </c>
      <c r="BL7" s="145">
        <v>0</v>
      </c>
      <c r="BM7" s="145">
        <v>0</v>
      </c>
      <c r="BN7" s="145">
        <v>0</v>
      </c>
      <c r="BO7" s="145">
        <v>0</v>
      </c>
      <c r="BP7" s="145">
        <v>0</v>
      </c>
      <c r="BQ7" s="145">
        <v>0</v>
      </c>
      <c r="BR7" s="145">
        <v>0</v>
      </c>
      <c r="BS7" s="145">
        <v>0</v>
      </c>
    </row>
    <row r="8" spans="1:71" customFormat="1" x14ac:dyDescent="0.15">
      <c r="A8" s="181" t="s">
        <v>199</v>
      </c>
      <c r="B8" s="145">
        <v>0.13289368609312552</v>
      </c>
      <c r="C8" s="145">
        <v>8.750000111300002E-2</v>
      </c>
      <c r="D8" s="145">
        <v>4.1225515390354787E-2</v>
      </c>
      <c r="E8" s="145">
        <v>0</v>
      </c>
      <c r="F8" s="145">
        <v>2.0004163554419255E-3</v>
      </c>
      <c r="G8" s="145">
        <v>0.37580334485195799</v>
      </c>
      <c r="H8" s="145">
        <v>0</v>
      </c>
      <c r="I8" s="145">
        <v>0</v>
      </c>
      <c r="J8" s="145">
        <v>0</v>
      </c>
      <c r="K8" s="145">
        <v>0.13149908339704625</v>
      </c>
      <c r="L8" s="145">
        <v>0</v>
      </c>
      <c r="M8" s="145">
        <v>2.6981949357829608E-2</v>
      </c>
      <c r="N8" s="145">
        <v>0.20998070506725441</v>
      </c>
      <c r="O8" s="145">
        <v>0</v>
      </c>
      <c r="P8" s="145">
        <v>0</v>
      </c>
      <c r="Q8" s="145">
        <v>0</v>
      </c>
      <c r="R8" s="145">
        <v>9.5148706214082351E-4</v>
      </c>
      <c r="S8" s="145">
        <v>0</v>
      </c>
      <c r="T8" s="145">
        <v>0</v>
      </c>
      <c r="U8" s="145">
        <v>0</v>
      </c>
      <c r="V8" s="145">
        <v>0</v>
      </c>
      <c r="W8" s="145">
        <v>0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2.4005496804552221E-2</v>
      </c>
      <c r="AK8" s="145">
        <v>0</v>
      </c>
      <c r="AL8" s="145">
        <v>0</v>
      </c>
      <c r="AM8" s="145">
        <v>0</v>
      </c>
      <c r="AN8" s="145">
        <v>9.5804484066508194E-4</v>
      </c>
      <c r="AO8" s="145">
        <v>9.00168785996209E-5</v>
      </c>
      <c r="AP8" s="145">
        <v>2.0983009919502251E-3</v>
      </c>
      <c r="AQ8" s="145">
        <v>0</v>
      </c>
      <c r="AR8" s="145">
        <v>0</v>
      </c>
      <c r="AS8" s="145">
        <v>0</v>
      </c>
      <c r="AT8" s="145">
        <v>0</v>
      </c>
      <c r="AU8" s="145">
        <v>0</v>
      </c>
      <c r="AV8" s="145">
        <v>0</v>
      </c>
      <c r="AW8" s="145">
        <v>0</v>
      </c>
      <c r="AX8" s="145">
        <v>0</v>
      </c>
      <c r="AY8" s="145">
        <v>0</v>
      </c>
      <c r="AZ8" s="145">
        <v>0</v>
      </c>
      <c r="BA8" s="145">
        <v>0</v>
      </c>
      <c r="BB8" s="145">
        <v>0</v>
      </c>
      <c r="BC8" s="145">
        <v>0</v>
      </c>
      <c r="BD8" s="145">
        <v>0</v>
      </c>
      <c r="BE8" s="145">
        <v>0</v>
      </c>
      <c r="BF8" s="145">
        <v>0</v>
      </c>
      <c r="BG8" s="145">
        <v>0</v>
      </c>
      <c r="BH8" s="145">
        <v>0</v>
      </c>
      <c r="BI8" s="145">
        <v>0</v>
      </c>
      <c r="BJ8" s="145">
        <v>0</v>
      </c>
      <c r="BK8" s="145">
        <v>0</v>
      </c>
      <c r="BL8" s="145">
        <v>0</v>
      </c>
      <c r="BM8" s="145">
        <v>0</v>
      </c>
      <c r="BN8" s="145">
        <v>0</v>
      </c>
      <c r="BO8" s="145">
        <v>0</v>
      </c>
      <c r="BP8" s="145">
        <v>0</v>
      </c>
      <c r="BQ8" s="145">
        <v>0</v>
      </c>
      <c r="BR8" s="145">
        <v>0</v>
      </c>
      <c r="BS8" s="145">
        <v>0</v>
      </c>
    </row>
    <row r="9" spans="1:71" customFormat="1" x14ac:dyDescent="0.15">
      <c r="A9" s="181" t="s">
        <v>200</v>
      </c>
      <c r="B9" s="145">
        <v>0</v>
      </c>
      <c r="C9" s="145">
        <v>0</v>
      </c>
      <c r="D9" s="145">
        <v>0</v>
      </c>
      <c r="E9" s="145">
        <v>0</v>
      </c>
      <c r="F9" s="145">
        <v>0</v>
      </c>
      <c r="G9" s="145">
        <v>0</v>
      </c>
      <c r="H9" s="145">
        <v>0</v>
      </c>
      <c r="I9" s="145">
        <v>0</v>
      </c>
      <c r="J9" s="145">
        <v>0</v>
      </c>
      <c r="K9" s="145">
        <v>0</v>
      </c>
      <c r="L9" s="145">
        <v>0</v>
      </c>
      <c r="M9" s="145">
        <v>0</v>
      </c>
      <c r="N9" s="145">
        <v>1.3123793516703388E-4</v>
      </c>
      <c r="O9" s="145">
        <v>0</v>
      </c>
      <c r="P9" s="145">
        <v>0</v>
      </c>
      <c r="Q9" s="145">
        <v>0</v>
      </c>
      <c r="R9" s="145">
        <v>0</v>
      </c>
      <c r="S9" s="145">
        <v>0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  <c r="AD9" s="145">
        <v>0</v>
      </c>
      <c r="AE9" s="145">
        <v>0</v>
      </c>
      <c r="AF9" s="145">
        <v>0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  <c r="AP9" s="145">
        <v>0</v>
      </c>
      <c r="AQ9" s="145">
        <v>0</v>
      </c>
      <c r="AR9" s="145">
        <v>0</v>
      </c>
      <c r="AS9" s="145">
        <v>0</v>
      </c>
      <c r="AT9" s="145">
        <v>0</v>
      </c>
      <c r="AU9" s="145">
        <v>0</v>
      </c>
      <c r="AV9" s="145">
        <v>0</v>
      </c>
      <c r="AW9" s="145">
        <v>0</v>
      </c>
      <c r="AX9" s="145">
        <v>0</v>
      </c>
      <c r="AY9" s="145">
        <v>0</v>
      </c>
      <c r="AZ9" s="145">
        <v>0</v>
      </c>
      <c r="BA9" s="145">
        <v>0</v>
      </c>
      <c r="BB9" s="145">
        <v>0</v>
      </c>
      <c r="BC9" s="145">
        <v>0</v>
      </c>
      <c r="BD9" s="145">
        <v>0</v>
      </c>
      <c r="BE9" s="145">
        <v>0</v>
      </c>
      <c r="BF9" s="145">
        <v>0</v>
      </c>
      <c r="BG9" s="145">
        <v>0</v>
      </c>
      <c r="BH9" s="145">
        <v>0</v>
      </c>
      <c r="BI9" s="145">
        <v>0</v>
      </c>
      <c r="BJ9" s="145">
        <v>0</v>
      </c>
      <c r="BK9" s="145">
        <v>0</v>
      </c>
      <c r="BL9" s="145">
        <v>0</v>
      </c>
      <c r="BM9" s="145">
        <v>0</v>
      </c>
      <c r="BN9" s="145">
        <v>0</v>
      </c>
      <c r="BO9" s="145">
        <v>0</v>
      </c>
      <c r="BP9" s="145">
        <v>0</v>
      </c>
      <c r="BQ9" s="145">
        <v>0</v>
      </c>
      <c r="BR9" s="145">
        <v>0</v>
      </c>
      <c r="BS9" s="145">
        <v>0</v>
      </c>
    </row>
    <row r="10" spans="1:71" customFormat="1" x14ac:dyDescent="0.15">
      <c r="A10" s="181" t="s">
        <v>201</v>
      </c>
      <c r="B10" s="145">
        <v>0</v>
      </c>
      <c r="C10" s="145">
        <v>1.041666733250001E-3</v>
      </c>
      <c r="D10" s="145">
        <v>0</v>
      </c>
      <c r="E10" s="145">
        <v>0</v>
      </c>
      <c r="F10" s="145">
        <v>0</v>
      </c>
      <c r="G10" s="145">
        <v>0</v>
      </c>
      <c r="H10" s="145">
        <v>0</v>
      </c>
      <c r="I10" s="145">
        <v>0</v>
      </c>
      <c r="J10" s="145">
        <v>0</v>
      </c>
      <c r="K10" s="145">
        <v>0</v>
      </c>
      <c r="L10" s="145">
        <v>0</v>
      </c>
      <c r="M10" s="145">
        <v>0</v>
      </c>
      <c r="N10" s="145">
        <v>7.1676101729687692E-6</v>
      </c>
      <c r="O10" s="145">
        <v>0</v>
      </c>
      <c r="P10" s="145">
        <v>0</v>
      </c>
      <c r="Q10" s="145">
        <v>0</v>
      </c>
      <c r="R10" s="145">
        <v>0</v>
      </c>
      <c r="S10" s="145">
        <v>0</v>
      </c>
      <c r="T10" s="145">
        <v>0</v>
      </c>
      <c r="U10" s="145">
        <v>0</v>
      </c>
      <c r="V10" s="145">
        <v>0</v>
      </c>
      <c r="W10" s="145">
        <v>0</v>
      </c>
      <c r="X10" s="145">
        <v>0</v>
      </c>
      <c r="Y10" s="145">
        <v>0</v>
      </c>
      <c r="Z10" s="145">
        <v>0</v>
      </c>
      <c r="AA10" s="145">
        <v>0</v>
      </c>
      <c r="AB10" s="145">
        <v>0</v>
      </c>
      <c r="AC10" s="145">
        <v>0</v>
      </c>
      <c r="AD10" s="145">
        <v>0</v>
      </c>
      <c r="AE10" s="145">
        <v>0</v>
      </c>
      <c r="AF10" s="145">
        <v>0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  <c r="AO10" s="145">
        <v>0</v>
      </c>
      <c r="AP10" s="145">
        <v>0</v>
      </c>
      <c r="AQ10" s="145">
        <v>0</v>
      </c>
      <c r="AR10" s="145">
        <v>0</v>
      </c>
      <c r="AS10" s="145">
        <v>0</v>
      </c>
      <c r="AT10" s="145">
        <v>0</v>
      </c>
      <c r="AU10" s="145">
        <v>0</v>
      </c>
      <c r="AV10" s="145">
        <v>0</v>
      </c>
      <c r="AW10" s="145">
        <v>0</v>
      </c>
      <c r="AX10" s="145">
        <v>0</v>
      </c>
      <c r="AY10" s="145">
        <v>0</v>
      </c>
      <c r="AZ10" s="145">
        <v>0</v>
      </c>
      <c r="BA10" s="145">
        <v>0</v>
      </c>
      <c r="BB10" s="145">
        <v>0</v>
      </c>
      <c r="BC10" s="145">
        <v>0</v>
      </c>
      <c r="BD10" s="145">
        <v>0</v>
      </c>
      <c r="BE10" s="145">
        <v>0</v>
      </c>
      <c r="BF10" s="145">
        <v>0</v>
      </c>
      <c r="BG10" s="145">
        <v>0</v>
      </c>
      <c r="BH10" s="145">
        <v>0</v>
      </c>
      <c r="BI10" s="145">
        <v>0</v>
      </c>
      <c r="BJ10" s="145">
        <v>0</v>
      </c>
      <c r="BK10" s="145">
        <v>0</v>
      </c>
      <c r="BL10" s="145">
        <v>0</v>
      </c>
      <c r="BM10" s="145">
        <v>0</v>
      </c>
      <c r="BN10" s="145">
        <v>0</v>
      </c>
      <c r="BO10" s="145">
        <v>0</v>
      </c>
      <c r="BP10" s="145">
        <v>0</v>
      </c>
      <c r="BQ10" s="145">
        <v>0</v>
      </c>
      <c r="BR10" s="145">
        <v>0</v>
      </c>
      <c r="BS10" s="145">
        <v>0</v>
      </c>
    </row>
    <row r="11" spans="1:71" customFormat="1" x14ac:dyDescent="0.15">
      <c r="A11" s="181" t="s">
        <v>202</v>
      </c>
      <c r="B11" s="145">
        <v>2.6978419030935303E-2</v>
      </c>
      <c r="C11" s="145">
        <v>0</v>
      </c>
      <c r="D11" s="145">
        <v>0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0</v>
      </c>
      <c r="K11" s="145">
        <v>0</v>
      </c>
      <c r="L11" s="145">
        <v>0</v>
      </c>
      <c r="M11" s="145">
        <v>0</v>
      </c>
      <c r="N11" s="145">
        <v>4.0380904474471993E-3</v>
      </c>
      <c r="O11" s="145">
        <v>0</v>
      </c>
      <c r="P11" s="145">
        <v>0</v>
      </c>
      <c r="Q11" s="145">
        <v>0</v>
      </c>
      <c r="R11" s="145">
        <v>0</v>
      </c>
      <c r="S11" s="145">
        <v>0</v>
      </c>
      <c r="T11" s="145">
        <v>0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  <c r="AD11" s="145">
        <v>0</v>
      </c>
      <c r="AE11" s="145">
        <v>0</v>
      </c>
      <c r="AF11" s="145">
        <v>0</v>
      </c>
      <c r="AG11" s="145">
        <v>0</v>
      </c>
      <c r="AH11" s="145">
        <v>0</v>
      </c>
      <c r="AI11" s="145">
        <v>0</v>
      </c>
      <c r="AJ11" s="145">
        <v>0</v>
      </c>
      <c r="AK11" s="145">
        <v>0</v>
      </c>
      <c r="AL11" s="145">
        <v>0</v>
      </c>
      <c r="AM11" s="145">
        <v>0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5">
        <v>0</v>
      </c>
      <c r="AT11" s="145">
        <v>0</v>
      </c>
      <c r="AU11" s="145">
        <v>0</v>
      </c>
      <c r="AV11" s="145">
        <v>0</v>
      </c>
      <c r="AW11" s="145">
        <v>0</v>
      </c>
      <c r="AX11" s="145">
        <v>0</v>
      </c>
      <c r="AY11" s="145">
        <v>0</v>
      </c>
      <c r="AZ11" s="145">
        <v>0</v>
      </c>
      <c r="BA11" s="145">
        <v>0</v>
      </c>
      <c r="BB11" s="145">
        <v>0</v>
      </c>
      <c r="BC11" s="145">
        <v>0</v>
      </c>
      <c r="BD11" s="145">
        <v>0</v>
      </c>
      <c r="BE11" s="145">
        <v>0</v>
      </c>
      <c r="BF11" s="145">
        <v>0</v>
      </c>
      <c r="BG11" s="145">
        <v>0</v>
      </c>
      <c r="BH11" s="145">
        <v>0</v>
      </c>
      <c r="BI11" s="145">
        <v>0</v>
      </c>
      <c r="BJ11" s="145">
        <v>0</v>
      </c>
      <c r="BK11" s="145">
        <v>0</v>
      </c>
      <c r="BL11" s="145">
        <v>0</v>
      </c>
      <c r="BM11" s="145">
        <v>0</v>
      </c>
      <c r="BN11" s="145">
        <v>0</v>
      </c>
      <c r="BO11" s="145">
        <v>0</v>
      </c>
      <c r="BP11" s="145">
        <v>0</v>
      </c>
      <c r="BQ11" s="145">
        <v>0</v>
      </c>
      <c r="BR11" s="145">
        <v>0</v>
      </c>
      <c r="BS11" s="145">
        <v>0</v>
      </c>
    </row>
    <row r="12" spans="1:71" customFormat="1" x14ac:dyDescent="0.15">
      <c r="A12" s="181" t="s">
        <v>203</v>
      </c>
      <c r="B12" s="145">
        <v>0</v>
      </c>
      <c r="C12" s="145">
        <v>1.041666733250001E-3</v>
      </c>
      <c r="D12" s="145">
        <v>0</v>
      </c>
      <c r="E12" s="145">
        <v>0</v>
      </c>
      <c r="F12" s="145">
        <v>0</v>
      </c>
      <c r="G12" s="145">
        <v>9.8635778386345113E-4</v>
      </c>
      <c r="H12" s="145">
        <v>0</v>
      </c>
      <c r="I12" s="145">
        <v>0</v>
      </c>
      <c r="J12" s="145">
        <v>0</v>
      </c>
      <c r="K12" s="145">
        <v>1.0014161306390449E-3</v>
      </c>
      <c r="L12" s="145">
        <v>0</v>
      </c>
      <c r="M12" s="145">
        <v>9.9833217623969427E-4</v>
      </c>
      <c r="N12" s="145">
        <v>1.0095225543617985E-4</v>
      </c>
      <c r="O12" s="145">
        <v>0</v>
      </c>
      <c r="P12" s="145">
        <v>0</v>
      </c>
      <c r="Q12" s="145">
        <v>0</v>
      </c>
      <c r="R12" s="145">
        <v>0</v>
      </c>
      <c r="S12" s="145">
        <v>0</v>
      </c>
      <c r="T12" s="145">
        <v>0</v>
      </c>
      <c r="U12" s="145"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0</v>
      </c>
      <c r="AJ12" s="145">
        <v>0</v>
      </c>
      <c r="AK12" s="145">
        <v>0</v>
      </c>
      <c r="AL12" s="145">
        <v>0</v>
      </c>
      <c r="AM12" s="145">
        <v>0</v>
      </c>
      <c r="AN12" s="145">
        <v>9.7802490169980713E-4</v>
      </c>
      <c r="AO12" s="145">
        <v>0</v>
      </c>
      <c r="AP12" s="145">
        <v>0</v>
      </c>
      <c r="AQ12" s="145">
        <v>0</v>
      </c>
      <c r="AR12" s="145">
        <v>0</v>
      </c>
      <c r="AS12" s="145">
        <v>0</v>
      </c>
      <c r="AT12" s="145">
        <v>0</v>
      </c>
      <c r="AU12" s="145">
        <v>0</v>
      </c>
      <c r="AV12" s="145">
        <v>0</v>
      </c>
      <c r="AW12" s="145">
        <v>0</v>
      </c>
      <c r="AX12" s="145">
        <v>0</v>
      </c>
      <c r="AY12" s="145">
        <v>0</v>
      </c>
      <c r="AZ12" s="145">
        <v>0</v>
      </c>
      <c r="BA12" s="145">
        <v>0</v>
      </c>
      <c r="BB12" s="145">
        <v>0</v>
      </c>
      <c r="BC12" s="145">
        <v>0</v>
      </c>
      <c r="BD12" s="145">
        <v>0</v>
      </c>
      <c r="BE12" s="145">
        <v>0</v>
      </c>
      <c r="BF12" s="145">
        <v>0</v>
      </c>
      <c r="BG12" s="145">
        <v>0</v>
      </c>
      <c r="BH12" s="145">
        <v>0</v>
      </c>
      <c r="BI12" s="145">
        <v>0</v>
      </c>
      <c r="BJ12" s="145">
        <v>0</v>
      </c>
      <c r="BK12" s="145">
        <v>0</v>
      </c>
      <c r="BL12" s="145">
        <v>0</v>
      </c>
      <c r="BM12" s="145">
        <v>0</v>
      </c>
      <c r="BN12" s="145">
        <v>0</v>
      </c>
      <c r="BO12" s="145">
        <v>0</v>
      </c>
      <c r="BP12" s="145">
        <v>0</v>
      </c>
      <c r="BQ12" s="145">
        <v>0</v>
      </c>
      <c r="BR12" s="145">
        <v>0</v>
      </c>
      <c r="BS12" s="145">
        <v>0</v>
      </c>
    </row>
    <row r="13" spans="1:71" customFormat="1" x14ac:dyDescent="0.15">
      <c r="A13" s="181" t="s">
        <v>204</v>
      </c>
      <c r="B13" s="145">
        <v>6.185052190499607E-2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9.1037820967185806E-3</v>
      </c>
      <c r="L13" s="145">
        <v>0</v>
      </c>
      <c r="M13" s="145">
        <v>0</v>
      </c>
      <c r="N13" s="145">
        <v>1.009522494361797E-2</v>
      </c>
      <c r="O13" s="145">
        <v>0</v>
      </c>
      <c r="P13" s="145">
        <v>0</v>
      </c>
      <c r="Q13" s="145">
        <v>0</v>
      </c>
      <c r="R13" s="145">
        <v>0</v>
      </c>
      <c r="S13" s="145">
        <v>0</v>
      </c>
      <c r="T13" s="145">
        <v>0</v>
      </c>
      <c r="U13" s="145">
        <v>0</v>
      </c>
      <c r="V13" s="145">
        <v>0</v>
      </c>
      <c r="W13" s="145">
        <v>0</v>
      </c>
      <c r="X13" s="145">
        <v>0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0</v>
      </c>
      <c r="AJ13" s="145">
        <v>0</v>
      </c>
      <c r="AK13" s="145">
        <v>0</v>
      </c>
      <c r="AL13" s="145">
        <v>0</v>
      </c>
      <c r="AM13" s="145">
        <v>0</v>
      </c>
      <c r="AN13" s="145">
        <v>0</v>
      </c>
      <c r="AO13" s="145">
        <v>0</v>
      </c>
      <c r="AP13" s="145">
        <v>0</v>
      </c>
      <c r="AQ13" s="145">
        <v>0</v>
      </c>
      <c r="AR13" s="145">
        <v>0</v>
      </c>
      <c r="AS13" s="145">
        <v>0</v>
      </c>
      <c r="AT13" s="145">
        <v>0</v>
      </c>
      <c r="AU13" s="145">
        <v>0</v>
      </c>
      <c r="AV13" s="145">
        <v>0</v>
      </c>
      <c r="AW13" s="145">
        <v>0</v>
      </c>
      <c r="AX13" s="145">
        <v>0</v>
      </c>
      <c r="AY13" s="145">
        <v>0</v>
      </c>
      <c r="AZ13" s="145">
        <v>0</v>
      </c>
      <c r="BA13" s="145">
        <v>0</v>
      </c>
      <c r="BB13" s="145">
        <v>0</v>
      </c>
      <c r="BC13" s="145">
        <v>0</v>
      </c>
      <c r="BD13" s="145">
        <v>0</v>
      </c>
      <c r="BE13" s="145">
        <v>0</v>
      </c>
      <c r="BF13" s="145">
        <v>0</v>
      </c>
      <c r="BG13" s="145">
        <v>0</v>
      </c>
      <c r="BH13" s="145">
        <v>0</v>
      </c>
      <c r="BI13" s="145">
        <v>0</v>
      </c>
      <c r="BJ13" s="145">
        <v>0</v>
      </c>
      <c r="BK13" s="145">
        <v>0</v>
      </c>
      <c r="BL13" s="145">
        <v>0</v>
      </c>
      <c r="BM13" s="145">
        <v>0</v>
      </c>
      <c r="BN13" s="145">
        <v>0</v>
      </c>
      <c r="BO13" s="145">
        <v>0</v>
      </c>
      <c r="BP13" s="145">
        <v>0</v>
      </c>
      <c r="BQ13" s="145">
        <v>0</v>
      </c>
      <c r="BR13" s="145">
        <v>0</v>
      </c>
      <c r="BS13" s="145">
        <v>0</v>
      </c>
    </row>
    <row r="14" spans="1:71" customFormat="1" x14ac:dyDescent="0.15">
      <c r="A14" s="181" t="s">
        <v>205</v>
      </c>
      <c r="B14" s="145">
        <v>3.2973621015587526E-2</v>
      </c>
      <c r="C14" s="145">
        <v>2.083333466500002E-3</v>
      </c>
      <c r="D14" s="145">
        <v>0.11261604724682284</v>
      </c>
      <c r="E14" s="145">
        <v>0</v>
      </c>
      <c r="F14" s="145">
        <v>0</v>
      </c>
      <c r="G14" s="145">
        <v>0.10276659431876606</v>
      </c>
      <c r="H14" s="145">
        <v>0</v>
      </c>
      <c r="I14" s="145">
        <v>0</v>
      </c>
      <c r="J14" s="145">
        <v>0</v>
      </c>
      <c r="K14" s="145">
        <v>1.5172971561197651E-2</v>
      </c>
      <c r="L14" s="145">
        <v>0</v>
      </c>
      <c r="M14" s="145">
        <v>0</v>
      </c>
      <c r="N14" s="145">
        <v>9.0857032192561919E-3</v>
      </c>
      <c r="O14" s="145">
        <v>0</v>
      </c>
      <c r="P14" s="145">
        <v>0</v>
      </c>
      <c r="Q14" s="145">
        <v>0</v>
      </c>
      <c r="R14" s="145">
        <v>0</v>
      </c>
      <c r="S14" s="145">
        <v>0</v>
      </c>
      <c r="T14" s="145">
        <v>0</v>
      </c>
      <c r="U14" s="145">
        <v>0</v>
      </c>
      <c r="V14" s="145">
        <v>0</v>
      </c>
      <c r="W14" s="145">
        <v>0</v>
      </c>
      <c r="X14" s="145">
        <v>0</v>
      </c>
      <c r="Y14" s="145">
        <v>0</v>
      </c>
      <c r="Z14" s="145">
        <v>7.6498261017273871E-4</v>
      </c>
      <c r="AA14" s="145">
        <v>0</v>
      </c>
      <c r="AB14" s="145">
        <v>0</v>
      </c>
      <c r="AC14" s="145">
        <v>0</v>
      </c>
      <c r="AD14" s="145">
        <v>0</v>
      </c>
      <c r="AE14" s="145">
        <v>0</v>
      </c>
      <c r="AF14" s="145">
        <v>1.0007245238996037E-3</v>
      </c>
      <c r="AG14" s="145">
        <v>5.1902770395447217E-3</v>
      </c>
      <c r="AH14" s="145">
        <v>0</v>
      </c>
      <c r="AI14" s="145">
        <v>0</v>
      </c>
      <c r="AJ14" s="145">
        <v>2.0004579920460189E-2</v>
      </c>
      <c r="AK14" s="145">
        <v>0</v>
      </c>
      <c r="AL14" s="145">
        <v>0</v>
      </c>
      <c r="AM14" s="145">
        <v>0</v>
      </c>
      <c r="AN14" s="145">
        <v>0</v>
      </c>
      <c r="AO14" s="145">
        <v>0</v>
      </c>
      <c r="AP14" s="145">
        <v>0</v>
      </c>
      <c r="AQ14" s="145">
        <v>0</v>
      </c>
      <c r="AR14" s="145">
        <v>0</v>
      </c>
      <c r="AS14" s="145">
        <v>0</v>
      </c>
      <c r="AT14" s="145">
        <v>0</v>
      </c>
      <c r="AU14" s="145">
        <v>0</v>
      </c>
      <c r="AV14" s="145">
        <v>0</v>
      </c>
      <c r="AW14" s="145">
        <v>0</v>
      </c>
      <c r="AX14" s="145">
        <v>0</v>
      </c>
      <c r="AY14" s="145">
        <v>0</v>
      </c>
      <c r="AZ14" s="145">
        <v>0</v>
      </c>
      <c r="BA14" s="145">
        <v>0</v>
      </c>
      <c r="BB14" s="145">
        <v>0</v>
      </c>
      <c r="BC14" s="145">
        <v>0</v>
      </c>
      <c r="BD14" s="145">
        <v>0</v>
      </c>
      <c r="BE14" s="145">
        <v>0</v>
      </c>
      <c r="BF14" s="145">
        <v>0</v>
      </c>
      <c r="BG14" s="145">
        <v>0</v>
      </c>
      <c r="BH14" s="145">
        <v>0</v>
      </c>
      <c r="BI14" s="145">
        <v>0</v>
      </c>
      <c r="BJ14" s="145">
        <v>0</v>
      </c>
      <c r="BK14" s="145">
        <v>0</v>
      </c>
      <c r="BL14" s="145">
        <v>0</v>
      </c>
      <c r="BM14" s="145">
        <v>0</v>
      </c>
      <c r="BN14" s="145">
        <v>0</v>
      </c>
      <c r="BO14" s="145">
        <v>0</v>
      </c>
      <c r="BP14" s="145">
        <v>0</v>
      </c>
      <c r="BQ14" s="145">
        <v>0</v>
      </c>
      <c r="BR14" s="145">
        <v>0</v>
      </c>
      <c r="BS14" s="145">
        <v>0</v>
      </c>
    </row>
    <row r="15" spans="1:71" customFormat="1" x14ac:dyDescent="0.15">
      <c r="A15" s="181" t="s">
        <v>206</v>
      </c>
      <c r="B15" s="145">
        <v>0</v>
      </c>
      <c r="C15" s="145">
        <v>0</v>
      </c>
      <c r="D15" s="145">
        <v>2.0110007644075508E-4</v>
      </c>
      <c r="E15" s="145">
        <v>4.2996023962555227E-5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2.0240772815037969E-4</v>
      </c>
      <c r="L15" s="145">
        <v>0</v>
      </c>
      <c r="M15" s="145">
        <v>0</v>
      </c>
      <c r="N15" s="145">
        <v>0</v>
      </c>
      <c r="O15" s="145">
        <v>0</v>
      </c>
      <c r="P15" s="145">
        <v>0</v>
      </c>
      <c r="Q15" s="145">
        <v>0</v>
      </c>
      <c r="R15" s="145">
        <v>0</v>
      </c>
      <c r="S15" s="145">
        <v>0</v>
      </c>
      <c r="T15" s="145">
        <v>0</v>
      </c>
      <c r="U15" s="145">
        <v>0</v>
      </c>
      <c r="V15" s="145">
        <v>1.3989629011279905E-4</v>
      </c>
      <c r="W15" s="145">
        <v>0</v>
      </c>
      <c r="X15" s="145">
        <v>0</v>
      </c>
      <c r="Y15" s="145">
        <v>0</v>
      </c>
      <c r="Z15" s="145">
        <v>0</v>
      </c>
      <c r="AA15" s="145">
        <v>0</v>
      </c>
      <c r="AB15" s="145">
        <v>0</v>
      </c>
      <c r="AC15" s="145">
        <v>0</v>
      </c>
      <c r="AD15" s="145">
        <v>8.3951036382720276E-4</v>
      </c>
      <c r="AE15" s="145">
        <v>1.9982217454062893E-3</v>
      </c>
      <c r="AF15" s="145">
        <v>0</v>
      </c>
      <c r="AG15" s="145">
        <v>0</v>
      </c>
      <c r="AH15" s="145">
        <v>0</v>
      </c>
      <c r="AI15" s="145">
        <v>0</v>
      </c>
      <c r="AJ15" s="145">
        <v>0</v>
      </c>
      <c r="AK15" s="145">
        <v>0</v>
      </c>
      <c r="AL15" s="145">
        <v>9.9865065050313785E-6</v>
      </c>
      <c r="AM15" s="145">
        <v>0</v>
      </c>
      <c r="AN15" s="145">
        <v>0</v>
      </c>
      <c r="AO15" s="145">
        <v>1.9062398203449125E-6</v>
      </c>
      <c r="AP15" s="145">
        <v>0</v>
      </c>
      <c r="AQ15" s="145">
        <v>0</v>
      </c>
      <c r="AR15" s="145">
        <v>0</v>
      </c>
      <c r="AS15" s="145">
        <v>0</v>
      </c>
      <c r="AT15" s="145">
        <v>0</v>
      </c>
      <c r="AU15" s="145">
        <v>0</v>
      </c>
      <c r="AV15" s="145">
        <v>0</v>
      </c>
      <c r="AW15" s="145">
        <v>0</v>
      </c>
      <c r="AX15" s="145">
        <v>0</v>
      </c>
      <c r="AY15" s="145">
        <v>0</v>
      </c>
      <c r="AZ15" s="145">
        <v>0</v>
      </c>
      <c r="BA15" s="145">
        <v>0</v>
      </c>
      <c r="BB15" s="145">
        <v>0</v>
      </c>
      <c r="BC15" s="145">
        <v>0</v>
      </c>
      <c r="BD15" s="145">
        <v>0</v>
      </c>
      <c r="BE15" s="145">
        <v>0</v>
      </c>
      <c r="BF15" s="145">
        <v>0</v>
      </c>
      <c r="BG15" s="145">
        <v>0</v>
      </c>
      <c r="BH15" s="145">
        <v>0</v>
      </c>
      <c r="BI15" s="145">
        <v>0</v>
      </c>
      <c r="BJ15" s="145">
        <v>0</v>
      </c>
      <c r="BK15" s="145">
        <v>0</v>
      </c>
      <c r="BL15" s="145">
        <v>0</v>
      </c>
      <c r="BM15" s="145">
        <v>0</v>
      </c>
      <c r="BN15" s="145">
        <v>0</v>
      </c>
      <c r="BO15" s="145">
        <v>0</v>
      </c>
      <c r="BP15" s="145">
        <v>0</v>
      </c>
      <c r="BQ15" s="145">
        <v>0</v>
      </c>
      <c r="BR15" s="145">
        <v>0</v>
      </c>
      <c r="BS15" s="145">
        <v>0</v>
      </c>
    </row>
    <row r="16" spans="1:71" customFormat="1" x14ac:dyDescent="0.15">
      <c r="A16" s="181" t="s">
        <v>207</v>
      </c>
      <c r="B16" s="145">
        <v>0</v>
      </c>
      <c r="C16" s="145">
        <v>0</v>
      </c>
      <c r="D16" s="145">
        <v>2.0110006444075501E-3</v>
      </c>
      <c r="E16" s="145">
        <v>4.2996023962555227E-5</v>
      </c>
      <c r="F16" s="145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1.6184503371944162E-2</v>
      </c>
      <c r="L16" s="145">
        <v>0</v>
      </c>
      <c r="M16" s="145">
        <v>0</v>
      </c>
      <c r="N16" s="145">
        <v>0</v>
      </c>
      <c r="O16" s="145">
        <v>0</v>
      </c>
      <c r="P16" s="145">
        <v>0</v>
      </c>
      <c r="Q16" s="145">
        <v>0</v>
      </c>
      <c r="R16" s="145">
        <v>0</v>
      </c>
      <c r="S16" s="145">
        <v>0</v>
      </c>
      <c r="T16" s="145">
        <v>0</v>
      </c>
      <c r="U16" s="145">
        <v>0</v>
      </c>
      <c r="V16" s="145">
        <v>0</v>
      </c>
      <c r="W16" s="145">
        <v>0</v>
      </c>
      <c r="X16" s="145">
        <v>0</v>
      </c>
      <c r="Y16" s="145">
        <v>0</v>
      </c>
      <c r="Z16" s="145">
        <v>0</v>
      </c>
      <c r="AA16" s="145">
        <v>0</v>
      </c>
      <c r="AB16" s="145">
        <v>0</v>
      </c>
      <c r="AC16" s="145">
        <v>0</v>
      </c>
      <c r="AD16" s="145">
        <v>8.3951036382720276E-4</v>
      </c>
      <c r="AE16" s="145">
        <v>0</v>
      </c>
      <c r="AF16" s="145">
        <v>0</v>
      </c>
      <c r="AG16" s="145">
        <v>0</v>
      </c>
      <c r="AH16" s="145">
        <v>4.0000000000000001E-3</v>
      </c>
      <c r="AI16" s="145">
        <v>0</v>
      </c>
      <c r="AJ16" s="145">
        <v>0</v>
      </c>
      <c r="AK16" s="145">
        <v>0</v>
      </c>
      <c r="AL16" s="145">
        <v>9.9865070250313792E-5</v>
      </c>
      <c r="AM16" s="145">
        <v>0</v>
      </c>
      <c r="AN16" s="145">
        <v>0</v>
      </c>
      <c r="AO16" s="145">
        <v>1.9062399703449102E-5</v>
      </c>
      <c r="AP16" s="145">
        <v>0</v>
      </c>
      <c r="AQ16" s="145">
        <v>0</v>
      </c>
      <c r="AR16" s="145">
        <v>0</v>
      </c>
      <c r="AS16" s="145">
        <v>0</v>
      </c>
      <c r="AT16" s="145">
        <v>0</v>
      </c>
      <c r="AU16" s="145">
        <v>0</v>
      </c>
      <c r="AV16" s="145">
        <v>0</v>
      </c>
      <c r="AW16" s="145">
        <v>0</v>
      </c>
      <c r="AX16" s="145">
        <v>0</v>
      </c>
      <c r="AY16" s="145">
        <v>0</v>
      </c>
      <c r="AZ16" s="145">
        <v>0</v>
      </c>
      <c r="BA16" s="145">
        <v>0</v>
      </c>
      <c r="BB16" s="145">
        <v>0</v>
      </c>
      <c r="BC16" s="145">
        <v>0</v>
      </c>
      <c r="BD16" s="145">
        <v>0</v>
      </c>
      <c r="BE16" s="145">
        <v>0</v>
      </c>
      <c r="BF16" s="145">
        <v>0</v>
      </c>
      <c r="BG16" s="145">
        <v>0</v>
      </c>
      <c r="BH16" s="145">
        <v>0</v>
      </c>
      <c r="BI16" s="145">
        <v>0</v>
      </c>
      <c r="BJ16" s="145">
        <v>0</v>
      </c>
      <c r="BK16" s="145">
        <v>0</v>
      </c>
      <c r="BL16" s="145">
        <v>0</v>
      </c>
      <c r="BM16" s="145">
        <v>0</v>
      </c>
      <c r="BN16" s="145">
        <v>0</v>
      </c>
      <c r="BO16" s="145">
        <v>0</v>
      </c>
      <c r="BP16" s="145">
        <v>0</v>
      </c>
      <c r="BQ16" s="145">
        <v>0</v>
      </c>
      <c r="BR16" s="145">
        <v>0</v>
      </c>
      <c r="BS16" s="145">
        <v>0</v>
      </c>
    </row>
    <row r="17" spans="1:71" customFormat="1" x14ac:dyDescent="0.15">
      <c r="A17" s="181" t="s">
        <v>208</v>
      </c>
      <c r="B17" s="145">
        <v>0</v>
      </c>
      <c r="C17" s="145">
        <v>0</v>
      </c>
      <c r="D17" s="145">
        <v>2.0110006444075501E-3</v>
      </c>
      <c r="E17" s="145">
        <v>4.2996023962555227E-5</v>
      </c>
      <c r="F17" s="145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1.019412550830239E-3</v>
      </c>
      <c r="L17" s="145">
        <v>0</v>
      </c>
      <c r="M17" s="145">
        <v>0</v>
      </c>
      <c r="N17" s="145">
        <v>2.8266633282130398E-4</v>
      </c>
      <c r="O17" s="145">
        <v>0</v>
      </c>
      <c r="P17" s="145">
        <v>0</v>
      </c>
      <c r="Q17" s="145">
        <v>0</v>
      </c>
      <c r="R17" s="145">
        <v>0</v>
      </c>
      <c r="S17" s="145">
        <v>0</v>
      </c>
      <c r="T17" s="145">
        <v>0</v>
      </c>
      <c r="U17" s="145">
        <v>0</v>
      </c>
      <c r="V17" s="145">
        <v>8.4038668866318349E-4</v>
      </c>
      <c r="W17" s="145">
        <v>0</v>
      </c>
      <c r="X17" s="145">
        <v>0</v>
      </c>
      <c r="Y17" s="145">
        <v>0</v>
      </c>
      <c r="Z17" s="145">
        <v>1.0080840134055011E-3</v>
      </c>
      <c r="AA17" s="145">
        <v>0</v>
      </c>
      <c r="AB17" s="145">
        <v>0</v>
      </c>
      <c r="AC17" s="145">
        <v>0</v>
      </c>
      <c r="AD17" s="145">
        <v>8.3951036382720276E-4</v>
      </c>
      <c r="AE17" s="145">
        <v>2.0981326861766032E-2</v>
      </c>
      <c r="AF17" s="145">
        <v>1.0007243838996002E-2</v>
      </c>
      <c r="AG17" s="145">
        <v>1.4637762311525112E-3</v>
      </c>
      <c r="AH17" s="145">
        <v>4.0000000000000001E-3</v>
      </c>
      <c r="AI17" s="145">
        <v>0</v>
      </c>
      <c r="AJ17" s="145">
        <v>9.0020619642070809E-3</v>
      </c>
      <c r="AK17" s="145">
        <v>0</v>
      </c>
      <c r="AL17" s="145">
        <v>9.9865070250313792E-5</v>
      </c>
      <c r="AM17" s="145">
        <v>0</v>
      </c>
      <c r="AN17" s="145">
        <v>0</v>
      </c>
      <c r="AO17" s="145">
        <v>1.9062399703449102E-5</v>
      </c>
      <c r="AP17" s="145">
        <v>0</v>
      </c>
      <c r="AQ17" s="145">
        <v>0</v>
      </c>
      <c r="AR17" s="145">
        <v>0</v>
      </c>
      <c r="AS17" s="145">
        <v>0</v>
      </c>
      <c r="AT17" s="145">
        <v>0</v>
      </c>
      <c r="AU17" s="145">
        <v>0</v>
      </c>
      <c r="AV17" s="145">
        <v>0</v>
      </c>
      <c r="AW17" s="145">
        <v>0</v>
      </c>
      <c r="AX17" s="145">
        <v>0</v>
      </c>
      <c r="AY17" s="145">
        <v>0</v>
      </c>
      <c r="AZ17" s="145">
        <v>0</v>
      </c>
      <c r="BA17" s="145">
        <v>0</v>
      </c>
      <c r="BB17" s="145">
        <v>0</v>
      </c>
      <c r="BC17" s="145">
        <v>0</v>
      </c>
      <c r="BD17" s="145">
        <v>0</v>
      </c>
      <c r="BE17" s="145">
        <v>0</v>
      </c>
      <c r="BF17" s="145">
        <v>0</v>
      </c>
      <c r="BG17" s="145">
        <v>0</v>
      </c>
      <c r="BH17" s="145">
        <v>0</v>
      </c>
      <c r="BI17" s="145">
        <v>0</v>
      </c>
      <c r="BJ17" s="145">
        <v>0</v>
      </c>
      <c r="BK17" s="145">
        <v>0</v>
      </c>
      <c r="BL17" s="145">
        <v>0</v>
      </c>
      <c r="BM17" s="145">
        <v>0</v>
      </c>
      <c r="BN17" s="145">
        <v>0</v>
      </c>
      <c r="BO17" s="145">
        <v>0</v>
      </c>
      <c r="BP17" s="145">
        <v>0</v>
      </c>
      <c r="BQ17" s="145">
        <v>0</v>
      </c>
      <c r="BR17" s="145">
        <v>0</v>
      </c>
      <c r="BS17" s="145">
        <v>0</v>
      </c>
    </row>
    <row r="18" spans="1:71" customFormat="1" x14ac:dyDescent="0.15">
      <c r="A18" s="181" t="s">
        <v>209</v>
      </c>
      <c r="B18" s="145">
        <v>0</v>
      </c>
      <c r="C18" s="145">
        <v>0</v>
      </c>
      <c r="D18" s="145">
        <v>2.0110006444075501E-3</v>
      </c>
      <c r="E18" s="145">
        <v>4.2996023962555227E-5</v>
      </c>
      <c r="F18" s="145">
        <v>0</v>
      </c>
      <c r="G18" s="145">
        <v>8.463131861545431E-7</v>
      </c>
      <c r="H18" s="145">
        <v>0</v>
      </c>
      <c r="I18" s="145">
        <v>0</v>
      </c>
      <c r="J18" s="145">
        <v>0</v>
      </c>
      <c r="K18" s="145">
        <v>1.6184503371944162E-2</v>
      </c>
      <c r="L18" s="145">
        <v>0</v>
      </c>
      <c r="M18" s="145">
        <v>0</v>
      </c>
      <c r="N18" s="145">
        <v>2.0190452287235996E-3</v>
      </c>
      <c r="O18" s="145">
        <v>0</v>
      </c>
      <c r="P18" s="145">
        <v>0</v>
      </c>
      <c r="Q18" s="145">
        <v>0</v>
      </c>
      <c r="R18" s="145">
        <v>0</v>
      </c>
      <c r="S18" s="145">
        <v>0</v>
      </c>
      <c r="T18" s="145">
        <v>0</v>
      </c>
      <c r="U18" s="145">
        <v>0</v>
      </c>
      <c r="V18" s="145">
        <v>2.5011509662594734E-2</v>
      </c>
      <c r="W18" s="145">
        <v>0</v>
      </c>
      <c r="X18" s="145">
        <v>0</v>
      </c>
      <c r="Y18" s="145">
        <v>0</v>
      </c>
      <c r="Z18" s="145">
        <v>2.0104670267351906E-3</v>
      </c>
      <c r="AA18" s="145">
        <v>0</v>
      </c>
      <c r="AB18" s="145">
        <v>0</v>
      </c>
      <c r="AC18" s="145">
        <v>0</v>
      </c>
      <c r="AD18" s="145">
        <v>8.3951036382720276E-4</v>
      </c>
      <c r="AE18" s="145">
        <v>2.0981326861766032E-2</v>
      </c>
      <c r="AF18" s="145">
        <v>6.014353743636602E-3</v>
      </c>
      <c r="AG18" s="145">
        <v>0</v>
      </c>
      <c r="AH18" s="145">
        <v>4.0000000000000001E-3</v>
      </c>
      <c r="AI18" s="145">
        <v>0</v>
      </c>
      <c r="AJ18" s="145">
        <v>0</v>
      </c>
      <c r="AK18" s="145">
        <v>0</v>
      </c>
      <c r="AL18" s="145">
        <v>9.9865070250313792E-5</v>
      </c>
      <c r="AM18" s="145">
        <v>0</v>
      </c>
      <c r="AN18" s="145">
        <v>0</v>
      </c>
      <c r="AO18" s="145">
        <v>1.9062399703449102E-5</v>
      </c>
      <c r="AP18" s="145">
        <v>0</v>
      </c>
      <c r="AQ18" s="145">
        <v>0</v>
      </c>
      <c r="AR18" s="145">
        <v>0</v>
      </c>
      <c r="AS18" s="145">
        <v>0</v>
      </c>
      <c r="AT18" s="145">
        <v>0</v>
      </c>
      <c r="AU18" s="145">
        <v>0</v>
      </c>
      <c r="AV18" s="145">
        <v>0</v>
      </c>
      <c r="AW18" s="145">
        <v>0</v>
      </c>
      <c r="AX18" s="145">
        <v>0</v>
      </c>
      <c r="AY18" s="145">
        <v>0</v>
      </c>
      <c r="AZ18" s="145">
        <v>0</v>
      </c>
      <c r="BA18" s="145">
        <v>0</v>
      </c>
      <c r="BB18" s="145">
        <v>0</v>
      </c>
      <c r="BC18" s="145">
        <v>0</v>
      </c>
      <c r="BD18" s="145">
        <v>0</v>
      </c>
      <c r="BE18" s="145">
        <v>0</v>
      </c>
      <c r="BF18" s="145">
        <v>0</v>
      </c>
      <c r="BG18" s="145">
        <v>0</v>
      </c>
      <c r="BH18" s="145">
        <v>0</v>
      </c>
      <c r="BI18" s="145">
        <v>0</v>
      </c>
      <c r="BJ18" s="145">
        <v>0</v>
      </c>
      <c r="BK18" s="145">
        <v>0</v>
      </c>
      <c r="BL18" s="145">
        <v>0</v>
      </c>
      <c r="BM18" s="145">
        <v>0</v>
      </c>
      <c r="BN18" s="145">
        <v>0</v>
      </c>
      <c r="BO18" s="145">
        <v>0</v>
      </c>
      <c r="BP18" s="145">
        <v>0</v>
      </c>
      <c r="BQ18" s="145">
        <v>0</v>
      </c>
      <c r="BR18" s="145">
        <v>0</v>
      </c>
      <c r="BS18" s="145">
        <v>0</v>
      </c>
    </row>
    <row r="19" spans="1:71" customFormat="1" x14ac:dyDescent="0.15">
      <c r="A19" s="181" t="s">
        <v>210</v>
      </c>
      <c r="B19" s="145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5.6420879076969545E-4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0</v>
      </c>
      <c r="N19" s="145">
        <v>0</v>
      </c>
      <c r="O19" s="145">
        <v>0</v>
      </c>
      <c r="P19" s="145">
        <v>0</v>
      </c>
      <c r="Q19" s="145">
        <v>0</v>
      </c>
      <c r="R19" s="145">
        <v>0</v>
      </c>
      <c r="S19" s="145">
        <v>0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</v>
      </c>
      <c r="AI19" s="145">
        <v>0</v>
      </c>
      <c r="AJ19" s="145">
        <v>0</v>
      </c>
      <c r="AK19" s="145">
        <v>0</v>
      </c>
      <c r="AL19" s="145">
        <v>0</v>
      </c>
      <c r="AM19" s="145">
        <v>0</v>
      </c>
      <c r="AN19" s="145">
        <v>0</v>
      </c>
      <c r="AO19" s="145">
        <v>0</v>
      </c>
      <c r="AP19" s="145">
        <v>0</v>
      </c>
      <c r="AQ19" s="145">
        <v>0</v>
      </c>
      <c r="AR19" s="145">
        <v>0</v>
      </c>
      <c r="AS19" s="145">
        <v>0</v>
      </c>
      <c r="AT19" s="145">
        <v>0</v>
      </c>
      <c r="AU19" s="145">
        <v>0</v>
      </c>
      <c r="AV19" s="145">
        <v>0</v>
      </c>
      <c r="AW19" s="145">
        <v>0</v>
      </c>
      <c r="AX19" s="145">
        <v>0</v>
      </c>
      <c r="AY19" s="145">
        <v>0</v>
      </c>
      <c r="AZ19" s="145">
        <v>0</v>
      </c>
      <c r="BA19" s="145">
        <v>0</v>
      </c>
      <c r="BB19" s="145">
        <v>0</v>
      </c>
      <c r="BC19" s="145">
        <v>0</v>
      </c>
      <c r="BD19" s="145">
        <v>0</v>
      </c>
      <c r="BE19" s="145">
        <v>0</v>
      </c>
      <c r="BF19" s="145">
        <v>0</v>
      </c>
      <c r="BG19" s="145">
        <v>0</v>
      </c>
      <c r="BH19" s="145">
        <v>0</v>
      </c>
      <c r="BI19" s="145">
        <v>0</v>
      </c>
      <c r="BJ19" s="145">
        <v>0</v>
      </c>
      <c r="BK19" s="145">
        <v>0</v>
      </c>
      <c r="BL19" s="145">
        <v>0</v>
      </c>
      <c r="BM19" s="145">
        <v>0</v>
      </c>
      <c r="BN19" s="145">
        <v>0</v>
      </c>
      <c r="BO19" s="145">
        <v>0</v>
      </c>
      <c r="BP19" s="145">
        <v>0</v>
      </c>
      <c r="BQ19" s="145">
        <v>0</v>
      </c>
      <c r="BR19" s="145">
        <v>0</v>
      </c>
      <c r="BS19" s="145">
        <v>0</v>
      </c>
    </row>
    <row r="20" spans="1:71" customFormat="1" x14ac:dyDescent="0.15">
      <c r="A20" s="181" t="s">
        <v>211</v>
      </c>
      <c r="B20" s="145">
        <v>0</v>
      </c>
      <c r="C20" s="145">
        <v>0</v>
      </c>
      <c r="D20" s="145">
        <v>0</v>
      </c>
      <c r="E20" s="145">
        <v>0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0</v>
      </c>
      <c r="N20" s="145">
        <v>0</v>
      </c>
      <c r="O20" s="145">
        <v>0</v>
      </c>
      <c r="P20" s="145">
        <v>0</v>
      </c>
      <c r="Q20" s="145">
        <v>0</v>
      </c>
      <c r="R20" s="145">
        <v>0</v>
      </c>
      <c r="S20" s="145">
        <v>0</v>
      </c>
      <c r="T20" s="145">
        <v>0</v>
      </c>
      <c r="U20" s="145">
        <v>0</v>
      </c>
      <c r="V20" s="145">
        <v>3.9017956673647762E-4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>
        <v>3.5032643920997977E-5</v>
      </c>
      <c r="AC20" s="145">
        <v>0</v>
      </c>
      <c r="AD20" s="145">
        <v>1.9988344538742816E-3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1.000229076023009E-6</v>
      </c>
      <c r="AK20" s="145">
        <v>0</v>
      </c>
      <c r="AL20" s="145">
        <v>0</v>
      </c>
      <c r="AM20" s="145">
        <v>0</v>
      </c>
      <c r="AN20" s="145">
        <v>0</v>
      </c>
      <c r="AO20" s="145">
        <v>0</v>
      </c>
      <c r="AP20" s="145">
        <v>0</v>
      </c>
      <c r="AQ20" s="145">
        <v>0</v>
      </c>
      <c r="AR20" s="145">
        <v>0</v>
      </c>
      <c r="AS20" s="145">
        <v>0</v>
      </c>
      <c r="AT20" s="145">
        <v>0</v>
      </c>
      <c r="AU20" s="145">
        <v>0</v>
      </c>
      <c r="AV20" s="145">
        <v>0</v>
      </c>
      <c r="AW20" s="145">
        <v>0</v>
      </c>
      <c r="AX20" s="145">
        <v>0</v>
      </c>
      <c r="AY20" s="145">
        <v>0</v>
      </c>
      <c r="AZ20" s="145">
        <v>0</v>
      </c>
      <c r="BA20" s="145">
        <v>0</v>
      </c>
      <c r="BB20" s="145">
        <v>0</v>
      </c>
      <c r="BC20" s="145">
        <v>0</v>
      </c>
      <c r="BD20" s="145">
        <v>0</v>
      </c>
      <c r="BE20" s="145">
        <v>0</v>
      </c>
      <c r="BF20" s="145">
        <v>0</v>
      </c>
      <c r="BG20" s="145">
        <v>0</v>
      </c>
      <c r="BH20" s="145">
        <v>0</v>
      </c>
      <c r="BI20" s="145">
        <v>0</v>
      </c>
      <c r="BJ20" s="145">
        <v>0</v>
      </c>
      <c r="BK20" s="145">
        <v>0</v>
      </c>
      <c r="BL20" s="145">
        <v>0</v>
      </c>
      <c r="BM20" s="145">
        <v>0</v>
      </c>
      <c r="BN20" s="145">
        <v>0</v>
      </c>
      <c r="BO20" s="145">
        <v>0</v>
      </c>
      <c r="BP20" s="145">
        <v>0</v>
      </c>
      <c r="BQ20" s="145">
        <v>0</v>
      </c>
      <c r="BR20" s="145">
        <v>0</v>
      </c>
      <c r="BS20" s="145">
        <v>0</v>
      </c>
    </row>
    <row r="21" spans="1:71" customFormat="1" x14ac:dyDescent="0.15">
      <c r="A21" s="181" t="s">
        <v>212</v>
      </c>
      <c r="B21" s="145">
        <v>0</v>
      </c>
      <c r="C21" s="145">
        <v>0</v>
      </c>
      <c r="D21" s="145">
        <v>0</v>
      </c>
      <c r="E21" s="145">
        <v>0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0</v>
      </c>
      <c r="N21" s="145">
        <v>0</v>
      </c>
      <c r="O21" s="145">
        <v>0</v>
      </c>
      <c r="P21" s="145">
        <v>0</v>
      </c>
      <c r="Q21" s="145">
        <v>0</v>
      </c>
      <c r="R21" s="145">
        <v>0</v>
      </c>
      <c r="S21" s="145">
        <v>0</v>
      </c>
      <c r="T21" s="145">
        <v>0</v>
      </c>
      <c r="U21" s="145">
        <v>0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2.9006639884667271E-4</v>
      </c>
      <c r="AK21" s="145">
        <v>0</v>
      </c>
      <c r="AL21" s="145">
        <v>0</v>
      </c>
      <c r="AM21" s="145">
        <v>0</v>
      </c>
      <c r="AN21" s="145">
        <v>0</v>
      </c>
      <c r="AO21" s="145">
        <v>0</v>
      </c>
      <c r="AP21" s="145">
        <v>0</v>
      </c>
      <c r="AQ21" s="145">
        <v>0</v>
      </c>
      <c r="AR21" s="145">
        <v>0</v>
      </c>
      <c r="AS21" s="145">
        <v>0</v>
      </c>
      <c r="AT21" s="145">
        <v>0</v>
      </c>
      <c r="AU21" s="145">
        <v>0</v>
      </c>
      <c r="AV21" s="145">
        <v>0</v>
      </c>
      <c r="AW21" s="145">
        <v>0</v>
      </c>
      <c r="AX21" s="145">
        <v>0</v>
      </c>
      <c r="AY21" s="145">
        <v>0</v>
      </c>
      <c r="AZ21" s="145">
        <v>0</v>
      </c>
      <c r="BA21" s="145">
        <v>0</v>
      </c>
      <c r="BB21" s="145">
        <v>0</v>
      </c>
      <c r="BC21" s="145">
        <v>0</v>
      </c>
      <c r="BD21" s="145">
        <v>0</v>
      </c>
      <c r="BE21" s="145">
        <v>0</v>
      </c>
      <c r="BF21" s="145">
        <v>0</v>
      </c>
      <c r="BG21" s="145">
        <v>0</v>
      </c>
      <c r="BH21" s="145">
        <v>0</v>
      </c>
      <c r="BI21" s="145">
        <v>0</v>
      </c>
      <c r="BJ21" s="145">
        <v>0</v>
      </c>
      <c r="BK21" s="145">
        <v>0</v>
      </c>
      <c r="BL21" s="145">
        <v>0</v>
      </c>
      <c r="BM21" s="145">
        <v>0</v>
      </c>
      <c r="BN21" s="145">
        <v>0</v>
      </c>
      <c r="BO21" s="145">
        <v>0</v>
      </c>
      <c r="BP21" s="145">
        <v>0</v>
      </c>
      <c r="BQ21" s="145">
        <v>0</v>
      </c>
      <c r="BR21" s="145">
        <v>0</v>
      </c>
      <c r="BS21" s="145">
        <v>0</v>
      </c>
    </row>
    <row r="22" spans="1:71" customFormat="1" x14ac:dyDescent="0.15">
      <c r="A22" s="181" t="s">
        <v>213</v>
      </c>
      <c r="B22" s="145">
        <v>0</v>
      </c>
      <c r="C22" s="145">
        <v>0</v>
      </c>
      <c r="D22" s="145">
        <v>0</v>
      </c>
      <c r="E22" s="145">
        <v>0</v>
      </c>
      <c r="F22" s="145">
        <v>0</v>
      </c>
      <c r="G22" s="145">
        <v>1.7127765819794343E-5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0</v>
      </c>
      <c r="P22" s="145">
        <v>0</v>
      </c>
      <c r="Q22" s="145">
        <v>0</v>
      </c>
      <c r="R22" s="145">
        <v>0</v>
      </c>
      <c r="S22" s="145">
        <v>0</v>
      </c>
      <c r="T22" s="145">
        <v>0</v>
      </c>
      <c r="U22" s="145">
        <v>0</v>
      </c>
      <c r="V22" s="145">
        <v>0</v>
      </c>
      <c r="W22" s="145">
        <v>0</v>
      </c>
      <c r="X22" s="145">
        <v>0</v>
      </c>
      <c r="Y22" s="145">
        <v>0</v>
      </c>
      <c r="Z22" s="145">
        <v>0</v>
      </c>
      <c r="AA22" s="145">
        <v>0</v>
      </c>
      <c r="AB22" s="145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0</v>
      </c>
      <c r="AM22" s="145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5">
        <v>0</v>
      </c>
      <c r="AT22" s="145">
        <v>0</v>
      </c>
      <c r="AU22" s="145">
        <v>0</v>
      </c>
      <c r="AV22" s="145">
        <v>0</v>
      </c>
      <c r="AW22" s="145">
        <v>0</v>
      </c>
      <c r="AX22" s="145">
        <v>0</v>
      </c>
      <c r="AY22" s="145">
        <v>0</v>
      </c>
      <c r="AZ22" s="145">
        <v>0</v>
      </c>
      <c r="BA22" s="145">
        <v>0</v>
      </c>
      <c r="BB22" s="145">
        <v>0</v>
      </c>
      <c r="BC22" s="145">
        <v>0</v>
      </c>
      <c r="BD22" s="145">
        <v>0</v>
      </c>
      <c r="BE22" s="145">
        <v>0</v>
      </c>
      <c r="BF22" s="145">
        <v>0</v>
      </c>
      <c r="BG22" s="145">
        <v>0</v>
      </c>
      <c r="BH22" s="145">
        <v>0</v>
      </c>
      <c r="BI22" s="145">
        <v>0</v>
      </c>
      <c r="BJ22" s="145">
        <v>0</v>
      </c>
      <c r="BK22" s="145">
        <v>0</v>
      </c>
      <c r="BL22" s="145">
        <v>0</v>
      </c>
      <c r="BM22" s="145">
        <v>0</v>
      </c>
      <c r="BN22" s="145">
        <v>0</v>
      </c>
      <c r="BO22" s="145">
        <v>0</v>
      </c>
      <c r="BP22" s="145">
        <v>0</v>
      </c>
      <c r="BQ22" s="145">
        <v>0</v>
      </c>
      <c r="BR22" s="145">
        <v>0</v>
      </c>
      <c r="BS22" s="145">
        <v>0</v>
      </c>
    </row>
    <row r="23" spans="1:71" customFormat="1" x14ac:dyDescent="0.15">
      <c r="A23" s="181" t="s">
        <v>214</v>
      </c>
      <c r="B23" s="145">
        <v>0</v>
      </c>
      <c r="C23" s="145">
        <v>0</v>
      </c>
      <c r="D23" s="145">
        <v>0</v>
      </c>
      <c r="E23" s="145">
        <v>0</v>
      </c>
      <c r="F23" s="145">
        <v>0</v>
      </c>
      <c r="G23" s="145">
        <v>1.7127765819794343E-5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0</v>
      </c>
      <c r="N23" s="145">
        <v>0</v>
      </c>
      <c r="O23" s="145">
        <v>0</v>
      </c>
      <c r="P23" s="145">
        <v>0</v>
      </c>
      <c r="Q23" s="145">
        <v>0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2.9006639884667271E-4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S23" s="145">
        <v>0</v>
      </c>
      <c r="AT23" s="145">
        <v>0</v>
      </c>
      <c r="AU23" s="145">
        <v>0</v>
      </c>
      <c r="AV23" s="145">
        <v>0</v>
      </c>
      <c r="AW23" s="145">
        <v>0</v>
      </c>
      <c r="AX23" s="145">
        <v>0</v>
      </c>
      <c r="AY23" s="145">
        <v>0</v>
      </c>
      <c r="AZ23" s="145">
        <v>0</v>
      </c>
      <c r="BA23" s="145">
        <v>0</v>
      </c>
      <c r="BB23" s="145">
        <v>0</v>
      </c>
      <c r="BC23" s="145">
        <v>0</v>
      </c>
      <c r="BD23" s="145">
        <v>0</v>
      </c>
      <c r="BE23" s="145">
        <v>0</v>
      </c>
      <c r="BF23" s="145">
        <v>0</v>
      </c>
      <c r="BG23" s="145">
        <v>0</v>
      </c>
      <c r="BH23" s="145">
        <v>0</v>
      </c>
      <c r="BI23" s="145">
        <v>0</v>
      </c>
      <c r="BJ23" s="145">
        <v>0</v>
      </c>
      <c r="BK23" s="145">
        <v>0</v>
      </c>
      <c r="BL23" s="145">
        <v>0</v>
      </c>
      <c r="BM23" s="145">
        <v>0</v>
      </c>
      <c r="BN23" s="145">
        <v>0</v>
      </c>
      <c r="BO23" s="145">
        <v>0</v>
      </c>
      <c r="BP23" s="145">
        <v>0</v>
      </c>
      <c r="BQ23" s="145">
        <v>0</v>
      </c>
      <c r="BR23" s="145">
        <v>0</v>
      </c>
      <c r="BS23" s="145">
        <v>0</v>
      </c>
    </row>
    <row r="24" spans="1:71" customFormat="1" x14ac:dyDescent="0.15">
      <c r="A24" s="181" t="s">
        <v>215</v>
      </c>
      <c r="B24" s="145">
        <v>0</v>
      </c>
      <c r="C24" s="145">
        <v>0</v>
      </c>
      <c r="D24" s="145">
        <v>0</v>
      </c>
      <c r="E24" s="145">
        <v>0</v>
      </c>
      <c r="F24" s="145">
        <v>0</v>
      </c>
      <c r="G24" s="145">
        <v>0</v>
      </c>
      <c r="H24" s="145">
        <v>0</v>
      </c>
      <c r="I24" s="145">
        <v>3.8019919747547732E-5</v>
      </c>
      <c r="J24" s="145">
        <v>0</v>
      </c>
      <c r="K24" s="145">
        <v>3.9449724519113877E-4</v>
      </c>
      <c r="L24" s="145">
        <v>0</v>
      </c>
      <c r="M24" s="145">
        <v>0</v>
      </c>
      <c r="N24" s="145">
        <v>5.9561831437346118E-7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2.0022467144186211E-3</v>
      </c>
      <c r="V24" s="145">
        <v>3.9017956673647762E-4</v>
      </c>
      <c r="W24" s="145">
        <v>0</v>
      </c>
      <c r="X24" s="145">
        <v>0</v>
      </c>
      <c r="Y24" s="145">
        <v>0</v>
      </c>
      <c r="Z24" s="145">
        <v>0</v>
      </c>
      <c r="AA24" s="145">
        <v>0</v>
      </c>
      <c r="AB24" s="145">
        <v>7.7171908724541275E-4</v>
      </c>
      <c r="AC24" s="145">
        <v>0</v>
      </c>
      <c r="AD24" s="145">
        <v>1.9988344538742816E-3</v>
      </c>
      <c r="AE24" s="145">
        <v>0</v>
      </c>
      <c r="AF24" s="145">
        <v>1.4010143434594453E-4</v>
      </c>
      <c r="AG24" s="145">
        <v>7.1586453645417197E-4</v>
      </c>
      <c r="AH24" s="145">
        <v>0</v>
      </c>
      <c r="AI24" s="145">
        <v>0</v>
      </c>
      <c r="AJ24" s="145">
        <v>2.9006639884667271E-4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  <c r="AP24" s="145">
        <v>0</v>
      </c>
      <c r="AQ24" s="145">
        <v>0</v>
      </c>
      <c r="AR24" s="145">
        <v>0</v>
      </c>
      <c r="AS24" s="145">
        <v>0</v>
      </c>
      <c r="AT24" s="145">
        <v>0</v>
      </c>
      <c r="AU24" s="145">
        <v>0</v>
      </c>
      <c r="AV24" s="145">
        <v>0</v>
      </c>
      <c r="AW24" s="145">
        <v>0</v>
      </c>
      <c r="AX24" s="145">
        <v>0</v>
      </c>
      <c r="AY24" s="145">
        <v>0</v>
      </c>
      <c r="AZ24" s="145">
        <v>0</v>
      </c>
      <c r="BA24" s="145">
        <v>0</v>
      </c>
      <c r="BB24" s="145">
        <v>0</v>
      </c>
      <c r="BC24" s="145">
        <v>0</v>
      </c>
      <c r="BD24" s="145">
        <v>0</v>
      </c>
      <c r="BE24" s="145">
        <v>0</v>
      </c>
      <c r="BF24" s="145">
        <v>0</v>
      </c>
      <c r="BG24" s="145">
        <v>0</v>
      </c>
      <c r="BH24" s="145">
        <v>0</v>
      </c>
      <c r="BI24" s="145">
        <v>0</v>
      </c>
      <c r="BJ24" s="145">
        <v>0</v>
      </c>
      <c r="BK24" s="145">
        <v>0</v>
      </c>
      <c r="BL24" s="145">
        <v>0</v>
      </c>
      <c r="BM24" s="145">
        <v>0</v>
      </c>
      <c r="BN24" s="145">
        <v>0</v>
      </c>
      <c r="BO24" s="145">
        <v>0</v>
      </c>
      <c r="BP24" s="145">
        <v>0</v>
      </c>
      <c r="BQ24" s="145">
        <v>0</v>
      </c>
      <c r="BR24" s="145">
        <v>0</v>
      </c>
      <c r="BS24" s="145">
        <v>0</v>
      </c>
    </row>
    <row r="25" spans="1:71" customFormat="1" x14ac:dyDescent="0.15">
      <c r="A25" s="181" t="s">
        <v>216</v>
      </c>
      <c r="B25" s="145">
        <v>0</v>
      </c>
      <c r="C25" s="145">
        <v>0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3.8019919747547732E-5</v>
      </c>
      <c r="J25" s="145">
        <v>0</v>
      </c>
      <c r="K25" s="145">
        <v>3.9449724519113877E-4</v>
      </c>
      <c r="L25" s="145">
        <v>0</v>
      </c>
      <c r="M25" s="145">
        <v>0</v>
      </c>
      <c r="N25" s="145">
        <v>5.9561831437346118E-7</v>
      </c>
      <c r="O25" s="145">
        <v>0</v>
      </c>
      <c r="P25" s="145">
        <v>0</v>
      </c>
      <c r="Q25" s="145">
        <v>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2.6118910623779666E-4</v>
      </c>
      <c r="AG25" s="145">
        <v>7.1586453645417197E-4</v>
      </c>
      <c r="AH25" s="145">
        <v>0</v>
      </c>
      <c r="AI25" s="145">
        <v>0</v>
      </c>
      <c r="AJ25" s="145">
        <v>2.9006639884667271E-4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S25" s="145">
        <v>0</v>
      </c>
      <c r="AT25" s="145">
        <v>0</v>
      </c>
      <c r="AU25" s="145">
        <v>0</v>
      </c>
      <c r="AV25" s="145">
        <v>0</v>
      </c>
      <c r="AW25" s="145">
        <v>0</v>
      </c>
      <c r="AX25" s="145">
        <v>0</v>
      </c>
      <c r="AY25" s="145">
        <v>0</v>
      </c>
      <c r="AZ25" s="145">
        <v>0</v>
      </c>
      <c r="BA25" s="145">
        <v>0</v>
      </c>
      <c r="BB25" s="145">
        <v>0</v>
      </c>
      <c r="BC25" s="145">
        <v>0</v>
      </c>
      <c r="BD25" s="145">
        <v>0</v>
      </c>
      <c r="BE25" s="145">
        <v>0</v>
      </c>
      <c r="BF25" s="145">
        <v>0</v>
      </c>
      <c r="BG25" s="145">
        <v>0</v>
      </c>
      <c r="BH25" s="145">
        <v>0</v>
      </c>
      <c r="BI25" s="145">
        <v>0</v>
      </c>
      <c r="BJ25" s="145">
        <v>0</v>
      </c>
      <c r="BK25" s="145">
        <v>0</v>
      </c>
      <c r="BL25" s="145">
        <v>0</v>
      </c>
      <c r="BM25" s="145">
        <v>0</v>
      </c>
      <c r="BN25" s="145">
        <v>0</v>
      </c>
      <c r="BO25" s="145">
        <v>0</v>
      </c>
      <c r="BP25" s="145">
        <v>0</v>
      </c>
      <c r="BQ25" s="145">
        <v>0</v>
      </c>
      <c r="BR25" s="145">
        <v>0</v>
      </c>
      <c r="BS25" s="145">
        <v>0</v>
      </c>
    </row>
    <row r="26" spans="1:71" customFormat="1" x14ac:dyDescent="0.15">
      <c r="A26" s="181" t="s">
        <v>217</v>
      </c>
      <c r="B26" s="145">
        <v>0</v>
      </c>
      <c r="C26" s="145">
        <v>0</v>
      </c>
      <c r="D26" s="145">
        <v>0</v>
      </c>
      <c r="E26" s="145">
        <v>0</v>
      </c>
      <c r="F26" s="145">
        <v>0</v>
      </c>
      <c r="G26" s="145">
        <v>1.7127765819794343E-5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0</v>
      </c>
      <c r="N26" s="145">
        <v>0</v>
      </c>
      <c r="O26" s="145">
        <v>0</v>
      </c>
      <c r="P26" s="145">
        <v>0</v>
      </c>
      <c r="Q26" s="145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5">
        <v>0</v>
      </c>
      <c r="X26" s="145">
        <v>0</v>
      </c>
      <c r="Y26" s="145">
        <v>0</v>
      </c>
      <c r="Z26" s="145">
        <v>0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0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  <c r="AP26" s="145">
        <v>0</v>
      </c>
      <c r="AQ26" s="145">
        <v>0</v>
      </c>
      <c r="AR26" s="145">
        <v>0</v>
      </c>
      <c r="AS26" s="145">
        <v>0</v>
      </c>
      <c r="AT26" s="145">
        <v>0</v>
      </c>
      <c r="AU26" s="145">
        <v>0</v>
      </c>
      <c r="AV26" s="145">
        <v>0</v>
      </c>
      <c r="AW26" s="145">
        <v>0</v>
      </c>
      <c r="AX26" s="145">
        <v>0</v>
      </c>
      <c r="AY26" s="145">
        <v>0</v>
      </c>
      <c r="AZ26" s="145">
        <v>0</v>
      </c>
      <c r="BA26" s="145">
        <v>0</v>
      </c>
      <c r="BB26" s="145">
        <v>0</v>
      </c>
      <c r="BC26" s="145">
        <v>0</v>
      </c>
      <c r="BD26" s="145">
        <v>0</v>
      </c>
      <c r="BE26" s="145">
        <v>0</v>
      </c>
      <c r="BF26" s="145">
        <v>0</v>
      </c>
      <c r="BG26" s="145">
        <v>0</v>
      </c>
      <c r="BH26" s="145">
        <v>0</v>
      </c>
      <c r="BI26" s="145">
        <v>0</v>
      </c>
      <c r="BJ26" s="145">
        <v>0</v>
      </c>
      <c r="BK26" s="145">
        <v>0</v>
      </c>
      <c r="BL26" s="145">
        <v>0</v>
      </c>
      <c r="BM26" s="145">
        <v>0</v>
      </c>
      <c r="BN26" s="145">
        <v>0</v>
      </c>
      <c r="BO26" s="145">
        <v>0</v>
      </c>
      <c r="BP26" s="145">
        <v>0</v>
      </c>
      <c r="BQ26" s="145">
        <v>0</v>
      </c>
      <c r="BR26" s="145">
        <v>0</v>
      </c>
      <c r="BS26" s="145">
        <v>0</v>
      </c>
    </row>
    <row r="27" spans="1:71" customFormat="1" x14ac:dyDescent="0.15">
      <c r="A27" s="181" t="s">
        <v>218</v>
      </c>
      <c r="B27" s="145">
        <v>0</v>
      </c>
      <c r="C27" s="145">
        <v>0</v>
      </c>
      <c r="D27" s="145">
        <v>0</v>
      </c>
      <c r="E27" s="145">
        <v>0</v>
      </c>
      <c r="F27" s="145">
        <v>0</v>
      </c>
      <c r="G27" s="145">
        <v>0</v>
      </c>
      <c r="H27" s="145">
        <v>0</v>
      </c>
      <c r="I27" s="145">
        <v>3.8019919747547732E-5</v>
      </c>
      <c r="J27" s="145">
        <v>0</v>
      </c>
      <c r="K27" s="145">
        <v>3.9449724519113877E-4</v>
      </c>
      <c r="L27" s="145">
        <v>0</v>
      </c>
      <c r="M27" s="145">
        <v>0</v>
      </c>
      <c r="N27" s="145">
        <v>5.9561831437346118E-7</v>
      </c>
      <c r="O27" s="145">
        <v>0</v>
      </c>
      <c r="P27" s="145">
        <v>0</v>
      </c>
      <c r="Q27" s="145">
        <v>0</v>
      </c>
      <c r="R27" s="145">
        <v>0</v>
      </c>
      <c r="S27" s="145">
        <v>0</v>
      </c>
      <c r="T27" s="145">
        <v>0</v>
      </c>
      <c r="U27" s="145">
        <v>2.0022467144186211E-3</v>
      </c>
      <c r="V27" s="145">
        <v>3.9017956673647762E-4</v>
      </c>
      <c r="W27" s="145">
        <v>0</v>
      </c>
      <c r="X27" s="145">
        <v>0</v>
      </c>
      <c r="Y27" s="145">
        <v>0</v>
      </c>
      <c r="Z27" s="145">
        <v>0</v>
      </c>
      <c r="AA27" s="145">
        <v>0</v>
      </c>
      <c r="AB27" s="145">
        <v>7.7171908724541275E-4</v>
      </c>
      <c r="AC27" s="145">
        <v>0</v>
      </c>
      <c r="AD27" s="145">
        <v>1.9988344538742816E-3</v>
      </c>
      <c r="AE27" s="145">
        <v>0</v>
      </c>
      <c r="AF27" s="145">
        <v>1.4010143434594453E-4</v>
      </c>
      <c r="AG27" s="145">
        <v>7.1586453645417197E-4</v>
      </c>
      <c r="AH27" s="145">
        <v>0</v>
      </c>
      <c r="AI27" s="145">
        <v>0</v>
      </c>
      <c r="AJ27" s="145">
        <v>2.9006639884667271E-4</v>
      </c>
      <c r="AK27" s="145">
        <v>0</v>
      </c>
      <c r="AL27" s="145">
        <v>0</v>
      </c>
      <c r="AM27" s="145">
        <v>0</v>
      </c>
      <c r="AN27" s="145">
        <v>0</v>
      </c>
      <c r="AO27" s="145">
        <v>0</v>
      </c>
      <c r="AP27" s="145">
        <v>0</v>
      </c>
      <c r="AQ27" s="145">
        <v>0</v>
      </c>
      <c r="AR27" s="145">
        <v>0</v>
      </c>
      <c r="AS27" s="145">
        <v>0</v>
      </c>
      <c r="AT27" s="145">
        <v>0</v>
      </c>
      <c r="AU27" s="145">
        <v>0</v>
      </c>
      <c r="AV27" s="145">
        <v>0</v>
      </c>
      <c r="AW27" s="145">
        <v>0</v>
      </c>
      <c r="AX27" s="145">
        <v>0</v>
      </c>
      <c r="AY27" s="145">
        <v>0</v>
      </c>
      <c r="AZ27" s="145">
        <v>0</v>
      </c>
      <c r="BA27" s="145">
        <v>0</v>
      </c>
      <c r="BB27" s="145">
        <v>0</v>
      </c>
      <c r="BC27" s="145">
        <v>0</v>
      </c>
      <c r="BD27" s="145">
        <v>0</v>
      </c>
      <c r="BE27" s="145">
        <v>0</v>
      </c>
      <c r="BF27" s="145">
        <v>0</v>
      </c>
      <c r="BG27" s="145">
        <v>0</v>
      </c>
      <c r="BH27" s="145">
        <v>0</v>
      </c>
      <c r="BI27" s="145">
        <v>0</v>
      </c>
      <c r="BJ27" s="145">
        <v>0</v>
      </c>
      <c r="BK27" s="145">
        <v>0</v>
      </c>
      <c r="BL27" s="145">
        <v>0</v>
      </c>
      <c r="BM27" s="145">
        <v>0</v>
      </c>
      <c r="BN27" s="145">
        <v>0</v>
      </c>
      <c r="BO27" s="145">
        <v>0</v>
      </c>
      <c r="BP27" s="145">
        <v>0</v>
      </c>
      <c r="BQ27" s="145">
        <v>0</v>
      </c>
      <c r="BR27" s="145">
        <v>0</v>
      </c>
      <c r="BS27" s="145">
        <v>0</v>
      </c>
    </row>
    <row r="28" spans="1:71" customFormat="1" x14ac:dyDescent="0.15">
      <c r="A28" s="181" t="s">
        <v>219</v>
      </c>
      <c r="B28" s="145">
        <v>0</v>
      </c>
      <c r="C28" s="145">
        <v>0</v>
      </c>
      <c r="D28" s="145">
        <v>0</v>
      </c>
      <c r="E28" s="145">
        <v>0</v>
      </c>
      <c r="F28" s="145">
        <v>0</v>
      </c>
      <c r="G28" s="145">
        <v>0</v>
      </c>
      <c r="H28" s="145">
        <v>0</v>
      </c>
      <c r="I28" s="145">
        <v>3.8019919747547732E-5</v>
      </c>
      <c r="J28" s="145">
        <v>0</v>
      </c>
      <c r="K28" s="145">
        <v>3.9449724519113877E-4</v>
      </c>
      <c r="L28" s="145">
        <v>0</v>
      </c>
      <c r="M28" s="145">
        <v>0</v>
      </c>
      <c r="N28" s="145">
        <v>5.9561831437346118E-7</v>
      </c>
      <c r="O28" s="145">
        <v>0</v>
      </c>
      <c r="P28" s="145">
        <v>0</v>
      </c>
      <c r="Q28" s="145">
        <v>0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5">
        <v>0</v>
      </c>
      <c r="X28" s="145">
        <v>0</v>
      </c>
      <c r="Y28" s="145">
        <v>0</v>
      </c>
      <c r="Z28" s="145">
        <v>5.0261675568379766E-4</v>
      </c>
      <c r="AA28" s="145">
        <v>0</v>
      </c>
      <c r="AB28" s="145">
        <v>0</v>
      </c>
      <c r="AC28" s="145">
        <v>0</v>
      </c>
      <c r="AD28" s="145">
        <v>0</v>
      </c>
      <c r="AE28" s="145">
        <v>0</v>
      </c>
      <c r="AF28" s="145">
        <v>2.6118910623779666E-4</v>
      </c>
      <c r="AG28" s="145">
        <v>7.1586453645417197E-4</v>
      </c>
      <c r="AH28" s="145">
        <v>0</v>
      </c>
      <c r="AI28" s="145">
        <v>0</v>
      </c>
      <c r="AJ28" s="145">
        <v>2.9006639884667271E-4</v>
      </c>
      <c r="AK28" s="145">
        <v>0</v>
      </c>
      <c r="AL28" s="145">
        <v>0</v>
      </c>
      <c r="AM28" s="145">
        <v>0</v>
      </c>
      <c r="AN28" s="145">
        <v>0</v>
      </c>
      <c r="AO28" s="145">
        <v>0</v>
      </c>
      <c r="AP28" s="145">
        <v>0</v>
      </c>
      <c r="AQ28" s="145">
        <v>0</v>
      </c>
      <c r="AR28" s="145">
        <v>0</v>
      </c>
      <c r="AS28" s="145">
        <v>0</v>
      </c>
      <c r="AT28" s="145">
        <v>0</v>
      </c>
      <c r="AU28" s="145">
        <v>0</v>
      </c>
      <c r="AV28" s="145">
        <v>0</v>
      </c>
      <c r="AW28" s="145">
        <v>0</v>
      </c>
      <c r="AX28" s="145">
        <v>0</v>
      </c>
      <c r="AY28" s="145">
        <v>0</v>
      </c>
      <c r="AZ28" s="145">
        <v>0</v>
      </c>
      <c r="BA28" s="145">
        <v>0</v>
      </c>
      <c r="BB28" s="145">
        <v>0</v>
      </c>
      <c r="BC28" s="145">
        <v>0</v>
      </c>
      <c r="BD28" s="145">
        <v>0</v>
      </c>
      <c r="BE28" s="145">
        <v>0</v>
      </c>
      <c r="BF28" s="145">
        <v>0</v>
      </c>
      <c r="BG28" s="145">
        <v>0</v>
      </c>
      <c r="BH28" s="145">
        <v>0</v>
      </c>
      <c r="BI28" s="145">
        <v>0</v>
      </c>
      <c r="BJ28" s="145">
        <v>0</v>
      </c>
      <c r="BK28" s="145">
        <v>0</v>
      </c>
      <c r="BL28" s="145">
        <v>0</v>
      </c>
      <c r="BM28" s="145">
        <v>0</v>
      </c>
      <c r="BN28" s="145">
        <v>0</v>
      </c>
      <c r="BO28" s="145">
        <v>0</v>
      </c>
      <c r="BP28" s="145">
        <v>0</v>
      </c>
      <c r="BQ28" s="145">
        <v>0</v>
      </c>
      <c r="BR28" s="145">
        <v>0</v>
      </c>
      <c r="BS28" s="145">
        <v>0</v>
      </c>
    </row>
    <row r="29" spans="1:71" customFormat="1" x14ac:dyDescent="0.15">
      <c r="A29" s="181" t="s">
        <v>220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1.7127765819794343E-5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0</v>
      </c>
      <c r="N29" s="145">
        <v>0</v>
      </c>
      <c r="O29" s="145">
        <v>0</v>
      </c>
      <c r="P29" s="145">
        <v>0</v>
      </c>
      <c r="Q29" s="145">
        <v>0</v>
      </c>
      <c r="R29" s="145">
        <v>0</v>
      </c>
      <c r="S29" s="145">
        <v>0</v>
      </c>
      <c r="T29" s="145">
        <v>0</v>
      </c>
      <c r="U29" s="145">
        <v>0</v>
      </c>
      <c r="V29" s="145">
        <v>0</v>
      </c>
      <c r="W29" s="145">
        <v>0</v>
      </c>
      <c r="X29" s="145">
        <v>0</v>
      </c>
      <c r="Y29" s="145">
        <v>0</v>
      </c>
      <c r="Z29" s="145">
        <v>0</v>
      </c>
      <c r="AA29" s="145">
        <v>0</v>
      </c>
      <c r="AB29" s="145">
        <v>0</v>
      </c>
      <c r="AC29" s="145">
        <v>0</v>
      </c>
      <c r="AD29" s="145">
        <v>0</v>
      </c>
      <c r="AE29" s="145">
        <v>0</v>
      </c>
      <c r="AF29" s="145">
        <v>0</v>
      </c>
      <c r="AG29" s="145">
        <v>0</v>
      </c>
      <c r="AH29" s="145">
        <v>0</v>
      </c>
      <c r="AI29" s="145">
        <v>0</v>
      </c>
      <c r="AJ29" s="145">
        <v>0</v>
      </c>
      <c r="AK29" s="145">
        <v>0</v>
      </c>
      <c r="AL29" s="145">
        <v>0</v>
      </c>
      <c r="AM29" s="145">
        <v>0</v>
      </c>
      <c r="AN29" s="145">
        <v>0</v>
      </c>
      <c r="AO29" s="145">
        <v>0</v>
      </c>
      <c r="AP29" s="145">
        <v>0</v>
      </c>
      <c r="AQ29" s="145">
        <v>0</v>
      </c>
      <c r="AR29" s="145">
        <v>0</v>
      </c>
      <c r="AS29" s="145">
        <v>0</v>
      </c>
      <c r="AT29" s="145">
        <v>0</v>
      </c>
      <c r="AU29" s="145">
        <v>0</v>
      </c>
      <c r="AV29" s="145">
        <v>0</v>
      </c>
      <c r="AW29" s="145">
        <v>0</v>
      </c>
      <c r="AX29" s="145">
        <v>0</v>
      </c>
      <c r="AY29" s="145">
        <v>0</v>
      </c>
      <c r="AZ29" s="145">
        <v>0</v>
      </c>
      <c r="BA29" s="145">
        <v>0</v>
      </c>
      <c r="BB29" s="145">
        <v>0</v>
      </c>
      <c r="BC29" s="145">
        <v>0</v>
      </c>
      <c r="BD29" s="145">
        <v>0</v>
      </c>
      <c r="BE29" s="145">
        <v>0</v>
      </c>
      <c r="BF29" s="145">
        <v>0</v>
      </c>
      <c r="BG29" s="145">
        <v>0</v>
      </c>
      <c r="BH29" s="145">
        <v>0</v>
      </c>
      <c r="BI29" s="145">
        <v>0</v>
      </c>
      <c r="BJ29" s="145">
        <v>0</v>
      </c>
      <c r="BK29" s="145">
        <v>0</v>
      </c>
      <c r="BL29" s="145">
        <v>0</v>
      </c>
      <c r="BM29" s="145">
        <v>0</v>
      </c>
      <c r="BN29" s="145">
        <v>0</v>
      </c>
      <c r="BO29" s="145">
        <v>0</v>
      </c>
      <c r="BP29" s="145">
        <v>0</v>
      </c>
      <c r="BQ29" s="145">
        <v>0</v>
      </c>
      <c r="BR29" s="145">
        <v>0</v>
      </c>
      <c r="BS29" s="145">
        <v>0</v>
      </c>
    </row>
    <row r="30" spans="1:71" customFormat="1" x14ac:dyDescent="0.15">
      <c r="A30" s="181" t="s">
        <v>221</v>
      </c>
      <c r="B30" s="145">
        <v>0</v>
      </c>
      <c r="C30" s="145">
        <v>0</v>
      </c>
      <c r="D30" s="145">
        <v>0</v>
      </c>
      <c r="E30" s="145">
        <v>0</v>
      </c>
      <c r="F30" s="145">
        <v>0</v>
      </c>
      <c r="G30" s="145">
        <v>0</v>
      </c>
      <c r="H30" s="145">
        <v>0</v>
      </c>
      <c r="I30" s="145">
        <v>3.8019919747547732E-5</v>
      </c>
      <c r="J30" s="145">
        <v>0</v>
      </c>
      <c r="K30" s="145">
        <v>5.1609050548294547E-5</v>
      </c>
      <c r="L30" s="145">
        <v>0</v>
      </c>
      <c r="M30" s="145">
        <v>0</v>
      </c>
      <c r="N30" s="145">
        <v>5.9561831437346118E-7</v>
      </c>
      <c r="O30" s="145">
        <v>0</v>
      </c>
      <c r="P30" s="145">
        <v>0</v>
      </c>
      <c r="Q30" s="145">
        <v>0</v>
      </c>
      <c r="R30" s="145">
        <v>0</v>
      </c>
      <c r="S30" s="145">
        <v>0</v>
      </c>
      <c r="T30" s="145">
        <v>0</v>
      </c>
      <c r="U30" s="145">
        <v>2.0022466544186203E-4</v>
      </c>
      <c r="V30" s="145">
        <v>3.9017956673647762E-4</v>
      </c>
      <c r="W30" s="145">
        <v>0</v>
      </c>
      <c r="X30" s="145">
        <v>0</v>
      </c>
      <c r="Y30" s="145">
        <v>0</v>
      </c>
      <c r="Z30" s="145">
        <v>0</v>
      </c>
      <c r="AA30" s="145">
        <v>0</v>
      </c>
      <c r="AB30" s="145">
        <v>1.5028644451614077E-4</v>
      </c>
      <c r="AC30" s="145">
        <v>0</v>
      </c>
      <c r="AD30" s="145">
        <v>0</v>
      </c>
      <c r="AE30" s="145">
        <v>0</v>
      </c>
      <c r="AF30" s="145">
        <v>1.4010143434594453E-4</v>
      </c>
      <c r="AG30" s="145">
        <v>1.1550430688002731E-4</v>
      </c>
      <c r="AH30" s="145">
        <v>0</v>
      </c>
      <c r="AI30" s="145">
        <v>0</v>
      </c>
      <c r="AJ30" s="145">
        <v>1.9005640824432048E-4</v>
      </c>
      <c r="AK30" s="145">
        <v>0</v>
      </c>
      <c r="AL30" s="145">
        <v>0</v>
      </c>
      <c r="AM30" s="145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5">
        <v>0</v>
      </c>
      <c r="AT30" s="145">
        <v>0</v>
      </c>
      <c r="AU30" s="145">
        <v>0</v>
      </c>
      <c r="AV30" s="145">
        <v>0</v>
      </c>
      <c r="AW30" s="145">
        <v>0</v>
      </c>
      <c r="AX30" s="145">
        <v>0</v>
      </c>
      <c r="AY30" s="145">
        <v>0</v>
      </c>
      <c r="AZ30" s="145">
        <v>0</v>
      </c>
      <c r="BA30" s="145">
        <v>0</v>
      </c>
      <c r="BB30" s="145">
        <v>0</v>
      </c>
      <c r="BC30" s="145">
        <v>0</v>
      </c>
      <c r="BD30" s="145">
        <v>0</v>
      </c>
      <c r="BE30" s="145">
        <v>0</v>
      </c>
      <c r="BF30" s="145">
        <v>0</v>
      </c>
      <c r="BG30" s="145">
        <v>0</v>
      </c>
      <c r="BH30" s="145">
        <v>0</v>
      </c>
      <c r="BI30" s="145">
        <v>0</v>
      </c>
      <c r="BJ30" s="145">
        <v>0</v>
      </c>
      <c r="BK30" s="145">
        <v>0</v>
      </c>
      <c r="BL30" s="145">
        <v>0</v>
      </c>
      <c r="BM30" s="145">
        <v>0</v>
      </c>
      <c r="BN30" s="145">
        <v>0</v>
      </c>
      <c r="BO30" s="145">
        <v>0</v>
      </c>
      <c r="BP30" s="145">
        <v>0</v>
      </c>
      <c r="BQ30" s="145">
        <v>0</v>
      </c>
      <c r="BR30" s="145">
        <v>0</v>
      </c>
      <c r="BS30" s="145">
        <v>0</v>
      </c>
    </row>
    <row r="31" spans="1:71" customFormat="1" x14ac:dyDescent="0.15">
      <c r="A31" s="181" t="s">
        <v>222</v>
      </c>
      <c r="B31" s="145">
        <v>0</v>
      </c>
      <c r="C31" s="145">
        <v>0</v>
      </c>
      <c r="D31" s="145">
        <v>0</v>
      </c>
      <c r="E31" s="145">
        <v>0</v>
      </c>
      <c r="F31" s="145">
        <v>0</v>
      </c>
      <c r="G31" s="145">
        <v>0</v>
      </c>
      <c r="H31" s="145">
        <v>0</v>
      </c>
      <c r="I31" s="145">
        <v>3.8019919747547732E-5</v>
      </c>
      <c r="J31" s="145">
        <v>0</v>
      </c>
      <c r="K31" s="145">
        <v>3.9449724519113877E-4</v>
      </c>
      <c r="L31" s="145">
        <v>0</v>
      </c>
      <c r="M31" s="145">
        <v>0</v>
      </c>
      <c r="N31" s="145">
        <v>5.9561831437346118E-7</v>
      </c>
      <c r="O31" s="145">
        <v>0</v>
      </c>
      <c r="P31" s="145">
        <v>0</v>
      </c>
      <c r="Q31" s="145">
        <v>0</v>
      </c>
      <c r="R31" s="145">
        <v>0</v>
      </c>
      <c r="S31" s="145">
        <v>0</v>
      </c>
      <c r="T31" s="145">
        <v>0</v>
      </c>
      <c r="U31" s="145">
        <v>0</v>
      </c>
      <c r="V31" s="145">
        <v>0</v>
      </c>
      <c r="W31" s="145">
        <v>0</v>
      </c>
      <c r="X31" s="145">
        <v>0</v>
      </c>
      <c r="Y31" s="145">
        <v>0</v>
      </c>
      <c r="Z31" s="145">
        <v>5.0261675568379766E-4</v>
      </c>
      <c r="AA31" s="145">
        <v>0</v>
      </c>
      <c r="AB31" s="145">
        <v>0</v>
      </c>
      <c r="AC31" s="145">
        <v>0</v>
      </c>
      <c r="AD31" s="145">
        <v>0</v>
      </c>
      <c r="AE31" s="145">
        <v>0</v>
      </c>
      <c r="AF31" s="145">
        <v>2.6118910623779666E-4</v>
      </c>
      <c r="AG31" s="145">
        <v>7.1586453645417197E-4</v>
      </c>
      <c r="AH31" s="145">
        <v>0</v>
      </c>
      <c r="AI31" s="145">
        <v>0</v>
      </c>
      <c r="AJ31" s="145">
        <v>2.9006639884667271E-4</v>
      </c>
      <c r="AK31" s="145">
        <v>0</v>
      </c>
      <c r="AL31" s="145">
        <v>0</v>
      </c>
      <c r="AM31" s="145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5">
        <v>0</v>
      </c>
      <c r="AT31" s="145">
        <v>0</v>
      </c>
      <c r="AU31" s="145">
        <v>0</v>
      </c>
      <c r="AV31" s="145">
        <v>0</v>
      </c>
      <c r="AW31" s="145">
        <v>0</v>
      </c>
      <c r="AX31" s="145">
        <v>0</v>
      </c>
      <c r="AY31" s="145">
        <v>0</v>
      </c>
      <c r="AZ31" s="145">
        <v>0</v>
      </c>
      <c r="BA31" s="145">
        <v>0</v>
      </c>
      <c r="BB31" s="145">
        <v>0</v>
      </c>
      <c r="BC31" s="145">
        <v>0</v>
      </c>
      <c r="BD31" s="145">
        <v>0</v>
      </c>
      <c r="BE31" s="145">
        <v>0</v>
      </c>
      <c r="BF31" s="145">
        <v>0</v>
      </c>
      <c r="BG31" s="145">
        <v>0</v>
      </c>
      <c r="BH31" s="145">
        <v>0</v>
      </c>
      <c r="BI31" s="145">
        <v>0</v>
      </c>
      <c r="BJ31" s="145">
        <v>0</v>
      </c>
      <c r="BK31" s="145">
        <v>0</v>
      </c>
      <c r="BL31" s="145">
        <v>0</v>
      </c>
      <c r="BM31" s="145">
        <v>0</v>
      </c>
      <c r="BN31" s="145">
        <v>0</v>
      </c>
      <c r="BO31" s="145">
        <v>0</v>
      </c>
      <c r="BP31" s="145">
        <v>0</v>
      </c>
      <c r="BQ31" s="145">
        <v>0</v>
      </c>
      <c r="BR31" s="145">
        <v>0</v>
      </c>
      <c r="BS31" s="145">
        <v>0</v>
      </c>
    </row>
    <row r="32" spans="1:71" customFormat="1" x14ac:dyDescent="0.15">
      <c r="A32" s="181" t="s">
        <v>223</v>
      </c>
      <c r="B32" s="145">
        <v>0</v>
      </c>
      <c r="C32" s="145">
        <v>0</v>
      </c>
      <c r="D32" s="145">
        <v>0</v>
      </c>
      <c r="E32" s="145">
        <v>0</v>
      </c>
      <c r="F32" s="145">
        <v>0</v>
      </c>
      <c r="G32" s="145">
        <v>1.7127765819794343E-5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0</v>
      </c>
      <c r="N32" s="145">
        <v>0</v>
      </c>
      <c r="O32" s="145">
        <v>0</v>
      </c>
      <c r="P32" s="145">
        <v>0</v>
      </c>
      <c r="Q32" s="145">
        <v>0</v>
      </c>
      <c r="R32" s="145">
        <v>0</v>
      </c>
      <c r="S32" s="145">
        <v>0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>
        <v>0</v>
      </c>
      <c r="AC32" s="145">
        <v>0</v>
      </c>
      <c r="AD32" s="145">
        <v>0</v>
      </c>
      <c r="AE32" s="145">
        <v>0</v>
      </c>
      <c r="AF32" s="145">
        <v>0</v>
      </c>
      <c r="AG32" s="145">
        <v>0</v>
      </c>
      <c r="AH32" s="145">
        <v>0</v>
      </c>
      <c r="AI32" s="145">
        <v>0</v>
      </c>
      <c r="AJ32" s="145">
        <v>0</v>
      </c>
      <c r="AK32" s="145">
        <v>0</v>
      </c>
      <c r="AL32" s="145">
        <v>0</v>
      </c>
      <c r="AM32" s="145">
        <v>0</v>
      </c>
      <c r="AN32" s="145">
        <v>0</v>
      </c>
      <c r="AO32" s="145">
        <v>0</v>
      </c>
      <c r="AP32" s="145">
        <v>0</v>
      </c>
      <c r="AQ32" s="145">
        <v>0</v>
      </c>
      <c r="AR32" s="145">
        <v>0</v>
      </c>
      <c r="AS32" s="145">
        <v>0</v>
      </c>
      <c r="AT32" s="145">
        <v>0</v>
      </c>
      <c r="AU32" s="145">
        <v>0</v>
      </c>
      <c r="AV32" s="145">
        <v>0</v>
      </c>
      <c r="AW32" s="145">
        <v>0</v>
      </c>
      <c r="AX32" s="145">
        <v>0</v>
      </c>
      <c r="AY32" s="145">
        <v>0</v>
      </c>
      <c r="AZ32" s="145">
        <v>0</v>
      </c>
      <c r="BA32" s="145">
        <v>0</v>
      </c>
      <c r="BB32" s="145">
        <v>0</v>
      </c>
      <c r="BC32" s="145">
        <v>0</v>
      </c>
      <c r="BD32" s="145">
        <v>0</v>
      </c>
      <c r="BE32" s="145">
        <v>0</v>
      </c>
      <c r="BF32" s="145">
        <v>0</v>
      </c>
      <c r="BG32" s="145">
        <v>0</v>
      </c>
      <c r="BH32" s="145">
        <v>0</v>
      </c>
      <c r="BI32" s="145">
        <v>0</v>
      </c>
      <c r="BJ32" s="145">
        <v>0</v>
      </c>
      <c r="BK32" s="145">
        <v>0</v>
      </c>
      <c r="BL32" s="145">
        <v>0</v>
      </c>
      <c r="BM32" s="145">
        <v>0</v>
      </c>
      <c r="BN32" s="145">
        <v>0</v>
      </c>
      <c r="BO32" s="145">
        <v>0</v>
      </c>
      <c r="BP32" s="145">
        <v>0</v>
      </c>
      <c r="BQ32" s="145">
        <v>0</v>
      </c>
      <c r="BR32" s="145">
        <v>0</v>
      </c>
      <c r="BS32" s="145">
        <v>0</v>
      </c>
    </row>
    <row r="33" spans="1:71" customFormat="1" x14ac:dyDescent="0.15">
      <c r="A33" s="181" t="s">
        <v>224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1.7127765819794343E-5</v>
      </c>
      <c r="H33" s="145">
        <v>0</v>
      </c>
      <c r="I33" s="145">
        <v>3.8019919747547732E-5</v>
      </c>
      <c r="J33" s="145">
        <v>0</v>
      </c>
      <c r="K33" s="145">
        <v>3.9449724519113877E-4</v>
      </c>
      <c r="L33" s="145">
        <v>0</v>
      </c>
      <c r="M33" s="145">
        <v>0</v>
      </c>
      <c r="N33" s="145">
        <v>5.9561831437346118E-7</v>
      </c>
      <c r="O33" s="145">
        <v>0</v>
      </c>
      <c r="P33" s="145">
        <v>0</v>
      </c>
      <c r="Q33" s="145">
        <v>0</v>
      </c>
      <c r="R33" s="145">
        <v>0</v>
      </c>
      <c r="S33" s="145">
        <v>0</v>
      </c>
      <c r="T33" s="145">
        <v>0</v>
      </c>
      <c r="U33" s="145">
        <v>0</v>
      </c>
      <c r="V33" s="145">
        <v>0</v>
      </c>
      <c r="W33" s="145">
        <v>0</v>
      </c>
      <c r="X33" s="145">
        <v>0</v>
      </c>
      <c r="Y33" s="145">
        <v>0</v>
      </c>
      <c r="Z33" s="145">
        <v>5.0261675568379766E-4</v>
      </c>
      <c r="AA33" s="145">
        <v>0</v>
      </c>
      <c r="AB33" s="145">
        <v>0</v>
      </c>
      <c r="AC33" s="145">
        <v>0</v>
      </c>
      <c r="AD33" s="145">
        <v>0</v>
      </c>
      <c r="AE33" s="145">
        <v>0</v>
      </c>
      <c r="AF33" s="145">
        <v>2.6118910623779666E-4</v>
      </c>
      <c r="AG33" s="145">
        <v>7.1586453645417197E-4</v>
      </c>
      <c r="AH33" s="145">
        <v>0</v>
      </c>
      <c r="AI33" s="145">
        <v>0</v>
      </c>
      <c r="AJ33" s="145">
        <v>2.9006639884667271E-4</v>
      </c>
      <c r="AK33" s="145">
        <v>0</v>
      </c>
      <c r="AL33" s="145">
        <v>0</v>
      </c>
      <c r="AM33" s="145">
        <v>0</v>
      </c>
      <c r="AN33" s="145">
        <v>0</v>
      </c>
      <c r="AO33" s="145">
        <v>0</v>
      </c>
      <c r="AP33" s="145">
        <v>0</v>
      </c>
      <c r="AQ33" s="145">
        <v>0</v>
      </c>
      <c r="AR33" s="145">
        <v>0</v>
      </c>
      <c r="AS33" s="145">
        <v>0</v>
      </c>
      <c r="AT33" s="145">
        <v>0</v>
      </c>
      <c r="AU33" s="145">
        <v>0</v>
      </c>
      <c r="AV33" s="145">
        <v>0</v>
      </c>
      <c r="AW33" s="145">
        <v>0</v>
      </c>
      <c r="AX33" s="145">
        <v>0</v>
      </c>
      <c r="AY33" s="145">
        <v>0</v>
      </c>
      <c r="AZ33" s="145">
        <v>0</v>
      </c>
      <c r="BA33" s="145">
        <v>0</v>
      </c>
      <c r="BB33" s="145">
        <v>0</v>
      </c>
      <c r="BC33" s="145">
        <v>0</v>
      </c>
      <c r="BD33" s="145">
        <v>0</v>
      </c>
      <c r="BE33" s="145">
        <v>0</v>
      </c>
      <c r="BF33" s="145">
        <v>0</v>
      </c>
      <c r="BG33" s="145">
        <v>0</v>
      </c>
      <c r="BH33" s="145">
        <v>0</v>
      </c>
      <c r="BI33" s="145">
        <v>0</v>
      </c>
      <c r="BJ33" s="145">
        <v>0</v>
      </c>
      <c r="BK33" s="145">
        <v>0</v>
      </c>
      <c r="BL33" s="145">
        <v>0</v>
      </c>
      <c r="BM33" s="145">
        <v>0</v>
      </c>
      <c r="BN33" s="145">
        <v>0</v>
      </c>
      <c r="BO33" s="145">
        <v>0</v>
      </c>
      <c r="BP33" s="145">
        <v>0</v>
      </c>
      <c r="BQ33" s="145">
        <v>0</v>
      </c>
      <c r="BR33" s="145">
        <v>0</v>
      </c>
      <c r="BS33" s="145">
        <v>0</v>
      </c>
    </row>
    <row r="34" spans="1:71" customFormat="1" x14ac:dyDescent="0.15">
      <c r="A34" s="181" t="s">
        <v>225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0</v>
      </c>
      <c r="N34" s="145">
        <v>0</v>
      </c>
      <c r="O34" s="145">
        <v>0</v>
      </c>
      <c r="P34" s="145">
        <v>0</v>
      </c>
      <c r="Q34" s="145">
        <v>0</v>
      </c>
      <c r="R34" s="145">
        <v>0</v>
      </c>
      <c r="S34" s="145">
        <v>0</v>
      </c>
      <c r="T34" s="145">
        <v>0</v>
      </c>
      <c r="U34" s="145">
        <v>0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B34" s="145">
        <v>0</v>
      </c>
      <c r="AC34" s="145">
        <v>0</v>
      </c>
      <c r="AD34" s="145">
        <v>0</v>
      </c>
      <c r="AE34" s="145">
        <v>0</v>
      </c>
      <c r="AF34" s="145">
        <v>0</v>
      </c>
      <c r="AG34" s="145">
        <v>0</v>
      </c>
      <c r="AH34" s="145">
        <v>0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5">
        <v>0</v>
      </c>
      <c r="AT34" s="145">
        <v>0</v>
      </c>
      <c r="AU34" s="145">
        <v>0</v>
      </c>
      <c r="AV34" s="145">
        <v>0</v>
      </c>
      <c r="AW34" s="145">
        <v>0</v>
      </c>
      <c r="AX34" s="145">
        <v>0</v>
      </c>
      <c r="AY34" s="145">
        <v>0</v>
      </c>
      <c r="AZ34" s="145">
        <v>0</v>
      </c>
      <c r="BA34" s="145">
        <v>0</v>
      </c>
      <c r="BB34" s="145">
        <v>0</v>
      </c>
      <c r="BC34" s="145">
        <v>0</v>
      </c>
      <c r="BD34" s="145">
        <v>0</v>
      </c>
      <c r="BE34" s="145">
        <v>0</v>
      </c>
      <c r="BF34" s="145">
        <v>0</v>
      </c>
      <c r="BG34" s="145">
        <v>0</v>
      </c>
      <c r="BH34" s="145">
        <v>0</v>
      </c>
      <c r="BI34" s="145">
        <v>0</v>
      </c>
      <c r="BJ34" s="145">
        <v>0</v>
      </c>
      <c r="BK34" s="145">
        <v>0</v>
      </c>
      <c r="BL34" s="145">
        <v>0</v>
      </c>
      <c r="BM34" s="145">
        <v>0</v>
      </c>
      <c r="BN34" s="145">
        <v>0</v>
      </c>
      <c r="BO34" s="145">
        <v>0</v>
      </c>
      <c r="BP34" s="145">
        <v>0</v>
      </c>
      <c r="BQ34" s="145">
        <v>0</v>
      </c>
      <c r="BR34" s="145">
        <v>0</v>
      </c>
      <c r="BS34" s="145">
        <v>0</v>
      </c>
    </row>
    <row r="35" spans="1:71" customFormat="1" x14ac:dyDescent="0.15">
      <c r="A35" s="181" t="s">
        <v>226</v>
      </c>
      <c r="B35" s="145">
        <v>0</v>
      </c>
      <c r="C35" s="145">
        <v>0</v>
      </c>
      <c r="D35" s="145">
        <v>1.005500322203775E-3</v>
      </c>
      <c r="E35" s="145">
        <v>0</v>
      </c>
      <c r="F35" s="145">
        <v>0</v>
      </c>
      <c r="G35" s="145">
        <v>2.0005656072712829E-3</v>
      </c>
      <c r="H35" s="145">
        <v>0</v>
      </c>
      <c r="I35" s="145">
        <v>0</v>
      </c>
      <c r="J35" s="145">
        <v>0</v>
      </c>
      <c r="K35" s="145">
        <v>1.0415933910658882E-3</v>
      </c>
      <c r="L35" s="145">
        <v>0</v>
      </c>
      <c r="M35" s="145">
        <v>0</v>
      </c>
      <c r="N35" s="145">
        <v>1.0095224943617971E-3</v>
      </c>
      <c r="O35" s="145">
        <v>0</v>
      </c>
      <c r="P35" s="145">
        <v>0</v>
      </c>
      <c r="Q35" s="145">
        <v>0</v>
      </c>
      <c r="R35" s="145">
        <v>0</v>
      </c>
      <c r="S35" s="145">
        <v>0</v>
      </c>
      <c r="T35" s="145">
        <v>0</v>
      </c>
      <c r="U35" s="145">
        <v>0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B35" s="145">
        <v>0</v>
      </c>
      <c r="AC35" s="145">
        <v>0</v>
      </c>
      <c r="AD35" s="145">
        <v>0</v>
      </c>
      <c r="AE35" s="145">
        <v>0</v>
      </c>
      <c r="AF35" s="145">
        <v>0</v>
      </c>
      <c r="AG35" s="145">
        <v>0</v>
      </c>
      <c r="AH35" s="145">
        <v>0</v>
      </c>
      <c r="AI35" s="145">
        <v>0</v>
      </c>
      <c r="AJ35" s="145">
        <v>1.0002289960230094E-3</v>
      </c>
      <c r="AK35" s="145">
        <v>4.4977461324665393E-4</v>
      </c>
      <c r="AL35" s="145">
        <v>0</v>
      </c>
      <c r="AM35" s="145">
        <v>0</v>
      </c>
      <c r="AN35" s="145">
        <v>0</v>
      </c>
      <c r="AO35" s="145">
        <v>0</v>
      </c>
      <c r="AP35" s="145">
        <v>0</v>
      </c>
      <c r="AQ35" s="145">
        <v>0</v>
      </c>
      <c r="AR35" s="145">
        <v>0</v>
      </c>
      <c r="AS35" s="145">
        <v>0</v>
      </c>
      <c r="AT35" s="145">
        <v>0</v>
      </c>
      <c r="AU35" s="145">
        <v>0</v>
      </c>
      <c r="AV35" s="145">
        <v>0</v>
      </c>
      <c r="AW35" s="145">
        <v>0</v>
      </c>
      <c r="AX35" s="145">
        <v>0</v>
      </c>
      <c r="AY35" s="145">
        <v>0</v>
      </c>
      <c r="AZ35" s="145">
        <v>0</v>
      </c>
      <c r="BA35" s="145">
        <v>0</v>
      </c>
      <c r="BB35" s="145">
        <v>0</v>
      </c>
      <c r="BC35" s="145">
        <v>0</v>
      </c>
      <c r="BD35" s="145">
        <v>0</v>
      </c>
      <c r="BE35" s="145">
        <v>0</v>
      </c>
      <c r="BF35" s="145">
        <v>0</v>
      </c>
      <c r="BG35" s="145">
        <v>0</v>
      </c>
      <c r="BH35" s="145">
        <v>0</v>
      </c>
      <c r="BI35" s="145">
        <v>0</v>
      </c>
      <c r="BJ35" s="145">
        <v>0</v>
      </c>
      <c r="BK35" s="145">
        <v>0</v>
      </c>
      <c r="BL35" s="145">
        <v>0</v>
      </c>
      <c r="BM35" s="145">
        <v>0</v>
      </c>
      <c r="BN35" s="145">
        <v>0</v>
      </c>
      <c r="BO35" s="145">
        <v>0</v>
      </c>
      <c r="BP35" s="145">
        <v>0</v>
      </c>
      <c r="BQ35" s="145">
        <v>0</v>
      </c>
      <c r="BR35" s="145">
        <v>0</v>
      </c>
      <c r="BS35" s="145">
        <v>0</v>
      </c>
    </row>
    <row r="36" spans="1:71" customFormat="1" x14ac:dyDescent="0.15">
      <c r="A36" s="181" t="s">
        <v>227</v>
      </c>
      <c r="B36" s="145">
        <v>0</v>
      </c>
      <c r="C36" s="145">
        <v>0</v>
      </c>
      <c r="D36" s="145">
        <v>0</v>
      </c>
      <c r="E36" s="145">
        <v>0</v>
      </c>
      <c r="F36" s="145">
        <v>0</v>
      </c>
      <c r="G36" s="145">
        <v>6.8511061879177396E-4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0</v>
      </c>
      <c r="N36" s="145">
        <v>5.0476131218090011E-4</v>
      </c>
      <c r="O36" s="145">
        <v>0</v>
      </c>
      <c r="P36" s="145">
        <v>0</v>
      </c>
      <c r="Q36" s="145">
        <v>0</v>
      </c>
      <c r="R36" s="145">
        <v>0</v>
      </c>
      <c r="S36" s="145">
        <v>0</v>
      </c>
      <c r="T36" s="145">
        <v>0</v>
      </c>
      <c r="U36" s="145">
        <v>0</v>
      </c>
      <c r="V36" s="145">
        <v>0</v>
      </c>
      <c r="W36" s="145">
        <v>0</v>
      </c>
      <c r="X36" s="145">
        <v>0</v>
      </c>
      <c r="Y36" s="145">
        <v>0</v>
      </c>
      <c r="Z36" s="145">
        <v>0</v>
      </c>
      <c r="AA36" s="145">
        <v>0</v>
      </c>
      <c r="AB36" s="145">
        <v>0</v>
      </c>
      <c r="AC36" s="145">
        <v>0</v>
      </c>
      <c r="AD36" s="145">
        <v>0</v>
      </c>
      <c r="AE36" s="145">
        <v>0</v>
      </c>
      <c r="AF36" s="145">
        <v>0</v>
      </c>
      <c r="AG36" s="145">
        <v>0</v>
      </c>
      <c r="AH36" s="145">
        <v>0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  <c r="AO36" s="145">
        <v>0</v>
      </c>
      <c r="AP36" s="145">
        <v>0</v>
      </c>
      <c r="AQ36" s="145">
        <v>0</v>
      </c>
      <c r="AR36" s="145">
        <v>0</v>
      </c>
      <c r="AS36" s="145">
        <v>0</v>
      </c>
      <c r="AT36" s="145">
        <v>0</v>
      </c>
      <c r="AU36" s="145">
        <v>0</v>
      </c>
      <c r="AV36" s="145">
        <v>0</v>
      </c>
      <c r="AW36" s="145">
        <v>0</v>
      </c>
      <c r="AX36" s="145">
        <v>0</v>
      </c>
      <c r="AY36" s="145">
        <v>0</v>
      </c>
      <c r="AZ36" s="145">
        <v>0</v>
      </c>
      <c r="BA36" s="145">
        <v>0</v>
      </c>
      <c r="BB36" s="145">
        <v>0</v>
      </c>
      <c r="BC36" s="145">
        <v>0</v>
      </c>
      <c r="BD36" s="145">
        <v>0</v>
      </c>
      <c r="BE36" s="145">
        <v>0</v>
      </c>
      <c r="BF36" s="145">
        <v>0</v>
      </c>
      <c r="BG36" s="145">
        <v>0</v>
      </c>
      <c r="BH36" s="145">
        <v>0</v>
      </c>
      <c r="BI36" s="145">
        <v>0</v>
      </c>
      <c r="BJ36" s="145">
        <v>0</v>
      </c>
      <c r="BK36" s="145">
        <v>0</v>
      </c>
      <c r="BL36" s="145">
        <v>0</v>
      </c>
      <c r="BM36" s="145">
        <v>0</v>
      </c>
      <c r="BN36" s="145">
        <v>0</v>
      </c>
      <c r="BO36" s="145">
        <v>0</v>
      </c>
      <c r="BP36" s="145">
        <v>0</v>
      </c>
      <c r="BQ36" s="145">
        <v>0</v>
      </c>
      <c r="BR36" s="145">
        <v>0</v>
      </c>
      <c r="BS36" s="145">
        <v>0</v>
      </c>
    </row>
    <row r="37" spans="1:71" customFormat="1" x14ac:dyDescent="0.15">
      <c r="A37" s="181" t="s">
        <v>228</v>
      </c>
      <c r="B37" s="145">
        <v>0</v>
      </c>
      <c r="C37" s="145">
        <v>0</v>
      </c>
      <c r="D37" s="145">
        <v>0</v>
      </c>
      <c r="E37" s="145">
        <v>0</v>
      </c>
      <c r="F37" s="145">
        <v>0</v>
      </c>
      <c r="G37" s="145">
        <v>9.8635778386345113E-4</v>
      </c>
      <c r="H37" s="145">
        <v>0</v>
      </c>
      <c r="I37" s="145">
        <v>7.0136749534291968E-3</v>
      </c>
      <c r="J37" s="145">
        <v>0</v>
      </c>
      <c r="K37" s="145">
        <v>0</v>
      </c>
      <c r="L37" s="145">
        <v>0</v>
      </c>
      <c r="M37" s="145">
        <v>0</v>
      </c>
      <c r="N37" s="145">
        <v>2.8266633282130398E-4</v>
      </c>
      <c r="O37" s="145">
        <v>0</v>
      </c>
      <c r="P37" s="145">
        <v>0</v>
      </c>
      <c r="Q37" s="145">
        <v>0</v>
      </c>
      <c r="R37" s="145">
        <v>0</v>
      </c>
      <c r="S37" s="145">
        <v>0</v>
      </c>
      <c r="T37" s="145">
        <v>0</v>
      </c>
      <c r="U37" s="145">
        <v>2.0022467144186211E-3</v>
      </c>
      <c r="V37" s="145">
        <v>0</v>
      </c>
      <c r="W37" s="145">
        <v>0</v>
      </c>
      <c r="X37" s="145">
        <v>0</v>
      </c>
      <c r="Y37" s="145">
        <v>3.9990404228489145E-3</v>
      </c>
      <c r="Z37" s="145">
        <v>1.1057567947043536E-2</v>
      </c>
      <c r="AA37" s="145">
        <v>0</v>
      </c>
      <c r="AB37" s="145">
        <v>0</v>
      </c>
      <c r="AC37" s="145">
        <v>5.0038029415555825E-3</v>
      </c>
      <c r="AD37" s="145">
        <v>0</v>
      </c>
      <c r="AE37" s="145">
        <v>0</v>
      </c>
      <c r="AF37" s="145">
        <v>9.0265352155744251E-3</v>
      </c>
      <c r="AG37" s="145">
        <v>8.826579497249711E-4</v>
      </c>
      <c r="AH37" s="145">
        <v>0</v>
      </c>
      <c r="AI37" s="145">
        <v>0</v>
      </c>
      <c r="AJ37" s="145">
        <v>1.1002519156253101E-2</v>
      </c>
      <c r="AK37" s="145">
        <v>0</v>
      </c>
      <c r="AL37" s="145">
        <v>0</v>
      </c>
      <c r="AM37" s="145">
        <v>0</v>
      </c>
      <c r="AN37" s="145">
        <v>0</v>
      </c>
      <c r="AO37" s="145">
        <v>0</v>
      </c>
      <c r="AP37" s="145">
        <v>0</v>
      </c>
      <c r="AQ37" s="145">
        <v>0</v>
      </c>
      <c r="AR37" s="145">
        <v>0</v>
      </c>
      <c r="AS37" s="145">
        <v>0</v>
      </c>
      <c r="AT37" s="145">
        <v>0</v>
      </c>
      <c r="AU37" s="145">
        <v>0</v>
      </c>
      <c r="AV37" s="145">
        <v>0</v>
      </c>
      <c r="AW37" s="145">
        <v>0</v>
      </c>
      <c r="AX37" s="145">
        <v>0</v>
      </c>
      <c r="AY37" s="145">
        <v>0</v>
      </c>
      <c r="AZ37" s="145">
        <v>0</v>
      </c>
      <c r="BA37" s="145">
        <v>0</v>
      </c>
      <c r="BB37" s="145">
        <v>0</v>
      </c>
      <c r="BC37" s="145">
        <v>0</v>
      </c>
      <c r="BD37" s="145">
        <v>0</v>
      </c>
      <c r="BE37" s="145">
        <v>0</v>
      </c>
      <c r="BF37" s="145">
        <v>0</v>
      </c>
      <c r="BG37" s="145">
        <v>0</v>
      </c>
      <c r="BH37" s="145">
        <v>0</v>
      </c>
      <c r="BI37" s="145">
        <v>0</v>
      </c>
      <c r="BJ37" s="145">
        <v>0</v>
      </c>
      <c r="BK37" s="145">
        <v>0</v>
      </c>
      <c r="BL37" s="145">
        <v>0</v>
      </c>
      <c r="BM37" s="145">
        <v>0</v>
      </c>
      <c r="BN37" s="145">
        <v>0</v>
      </c>
      <c r="BO37" s="145">
        <v>0</v>
      </c>
      <c r="BP37" s="145">
        <v>0</v>
      </c>
      <c r="BQ37" s="145">
        <v>0</v>
      </c>
      <c r="BR37" s="145">
        <v>0</v>
      </c>
      <c r="BS37" s="145">
        <v>0</v>
      </c>
    </row>
    <row r="38" spans="1:71" customFormat="1" x14ac:dyDescent="0.15">
      <c r="A38" s="181" t="s">
        <v>229</v>
      </c>
      <c r="B38" s="145">
        <v>1.199040786930456E-2</v>
      </c>
      <c r="C38" s="145">
        <v>1.1458332845749994E-2</v>
      </c>
      <c r="D38" s="145">
        <v>2.4132007752890604E-2</v>
      </c>
      <c r="E38" s="145">
        <v>2.9997227383178073E-3</v>
      </c>
      <c r="F38" s="145">
        <v>2.0004163554419255E-3</v>
      </c>
      <c r="G38" s="145">
        <v>7.0526098846211919E-3</v>
      </c>
      <c r="H38" s="145">
        <v>0</v>
      </c>
      <c r="I38" s="145">
        <v>3.0015727300695565E-2</v>
      </c>
      <c r="J38" s="145">
        <v>1.0999936861058971E-2</v>
      </c>
      <c r="K38" s="145">
        <v>7.0807203452255734E-3</v>
      </c>
      <c r="L38" s="145">
        <v>0</v>
      </c>
      <c r="M38" s="145">
        <v>1.8987295648102361E-2</v>
      </c>
      <c r="N38" s="145">
        <v>3.0285677230853965E-3</v>
      </c>
      <c r="O38" s="145">
        <v>0</v>
      </c>
      <c r="P38" s="145">
        <v>3.0910717253943027E-2</v>
      </c>
      <c r="Q38" s="145">
        <v>0</v>
      </c>
      <c r="R38" s="145">
        <v>9.0146141434477536E-2</v>
      </c>
      <c r="S38" s="145">
        <v>4.9032359177874442E-2</v>
      </c>
      <c r="T38" s="145">
        <v>4.8037316678453817E-2</v>
      </c>
      <c r="U38" s="145">
        <v>0.1802022030976759</v>
      </c>
      <c r="V38" s="145">
        <v>0.20309345126026934</v>
      </c>
      <c r="W38" s="145">
        <v>0.25979215601438826</v>
      </c>
      <c r="X38" s="145">
        <v>2.702465736068237E-2</v>
      </c>
      <c r="Y38" s="145">
        <v>4.798847955418703E-2</v>
      </c>
      <c r="Z38" s="145">
        <v>0.13570651580462523</v>
      </c>
      <c r="AA38" s="145">
        <v>0</v>
      </c>
      <c r="AB38" s="145">
        <v>0.21419959645981615</v>
      </c>
      <c r="AC38" s="145">
        <v>0.2782114417504904</v>
      </c>
      <c r="AD38" s="145">
        <v>4.7972021432982986E-2</v>
      </c>
      <c r="AE38" s="145">
        <v>2.8874300222620851E-2</v>
      </c>
      <c r="AF38" s="145">
        <v>0.22816517044910911</v>
      </c>
      <c r="AG38" s="145">
        <v>0.11706613089192687</v>
      </c>
      <c r="AH38" s="145">
        <v>0.107</v>
      </c>
      <c r="AI38" s="145">
        <v>0</v>
      </c>
      <c r="AJ38" s="145">
        <v>0.20204627419664781</v>
      </c>
      <c r="AK38" s="145">
        <v>9.9849962940757129E-3</v>
      </c>
      <c r="AL38" s="145">
        <v>6.3877664660110647E-2</v>
      </c>
      <c r="AM38" s="145">
        <v>0</v>
      </c>
      <c r="AN38" s="145">
        <v>0</v>
      </c>
      <c r="AO38" s="145">
        <v>0</v>
      </c>
      <c r="AP38" s="145">
        <v>7.3545444517855415E-3</v>
      </c>
      <c r="AQ38" s="145">
        <v>0</v>
      </c>
      <c r="AR38" s="145">
        <v>0</v>
      </c>
      <c r="AS38" s="145">
        <v>0</v>
      </c>
      <c r="AT38" s="145">
        <v>0</v>
      </c>
      <c r="AU38" s="145">
        <v>4.6003682206196476E-4</v>
      </c>
      <c r="AV38" s="145">
        <v>0</v>
      </c>
      <c r="AW38" s="145">
        <v>0</v>
      </c>
      <c r="AX38" s="145">
        <v>0</v>
      </c>
      <c r="AY38" s="145">
        <v>0</v>
      </c>
      <c r="AZ38" s="145">
        <v>0</v>
      </c>
      <c r="BA38" s="145">
        <v>0</v>
      </c>
      <c r="BB38" s="145">
        <v>0</v>
      </c>
      <c r="BC38" s="145">
        <v>0</v>
      </c>
      <c r="BD38" s="145">
        <v>0</v>
      </c>
      <c r="BE38" s="145">
        <v>0</v>
      </c>
      <c r="BF38" s="145">
        <v>0</v>
      </c>
      <c r="BG38" s="145">
        <v>0</v>
      </c>
      <c r="BH38" s="145">
        <v>0</v>
      </c>
      <c r="BI38" s="145">
        <v>0</v>
      </c>
      <c r="BJ38" s="145">
        <v>0</v>
      </c>
      <c r="BK38" s="145">
        <v>0</v>
      </c>
      <c r="BL38" s="145">
        <v>0</v>
      </c>
      <c r="BM38" s="145">
        <v>0</v>
      </c>
      <c r="BN38" s="145">
        <v>0</v>
      </c>
      <c r="BO38" s="145">
        <v>0</v>
      </c>
      <c r="BP38" s="145">
        <v>0</v>
      </c>
      <c r="BQ38" s="145">
        <v>0</v>
      </c>
      <c r="BR38" s="145">
        <v>0</v>
      </c>
      <c r="BS38" s="145">
        <v>0</v>
      </c>
    </row>
    <row r="39" spans="1:71" x14ac:dyDescent="0.15">
      <c r="A39" s="181" t="s">
        <v>230</v>
      </c>
      <c r="B39" s="145">
        <v>0</v>
      </c>
      <c r="C39" s="145">
        <v>0</v>
      </c>
      <c r="D39" s="145">
        <v>4.5247515799169886E-4</v>
      </c>
      <c r="E39" s="145">
        <v>0</v>
      </c>
      <c r="F39" s="145">
        <v>0</v>
      </c>
      <c r="G39" s="145">
        <v>2.0150313770346266E-3</v>
      </c>
      <c r="H39" s="145">
        <v>0</v>
      </c>
      <c r="I39" s="145">
        <v>1.1005767526921704E-2</v>
      </c>
      <c r="J39" s="145">
        <v>0</v>
      </c>
      <c r="K39" s="145">
        <v>4.9565036326578944E-2</v>
      </c>
      <c r="L39" s="145">
        <v>0</v>
      </c>
      <c r="M39" s="145">
        <v>4.9966568810795664E-3</v>
      </c>
      <c r="N39" s="145">
        <v>3.0285677230853965E-3</v>
      </c>
      <c r="O39" s="145">
        <v>2.2492583531820928E-2</v>
      </c>
      <c r="P39" s="145">
        <v>1.0000167385099748E-2</v>
      </c>
      <c r="Q39" s="145">
        <v>0</v>
      </c>
      <c r="R39" s="145">
        <v>3.5017926757233274E-2</v>
      </c>
      <c r="S39" s="145">
        <v>0</v>
      </c>
      <c r="T39" s="145">
        <v>1.6012439992817939E-2</v>
      </c>
      <c r="U39" s="145">
        <v>5.0056160860465406E-3</v>
      </c>
      <c r="V39" s="145">
        <v>7.1032689041769015E-2</v>
      </c>
      <c r="W39" s="145">
        <v>0</v>
      </c>
      <c r="X39" s="145">
        <v>8.7179542776497565E-4</v>
      </c>
      <c r="Y39" s="145">
        <v>3.1992323402791317E-2</v>
      </c>
      <c r="Z39" s="145">
        <v>0.11258614249717051</v>
      </c>
      <c r="AA39" s="145">
        <v>3.1992535917387918E-2</v>
      </c>
      <c r="AB39" s="145">
        <v>9.0184033309483377E-3</v>
      </c>
      <c r="AC39" s="145">
        <v>0</v>
      </c>
      <c r="AD39" s="145">
        <v>1.5990675710994249E-2</v>
      </c>
      <c r="AE39" s="145">
        <v>2.8874300222620851E-2</v>
      </c>
      <c r="AF39" s="145">
        <v>9.827114234694094E-2</v>
      </c>
      <c r="AG39" s="145">
        <v>0.25070798591014415</v>
      </c>
      <c r="AH39" s="145">
        <v>0.05</v>
      </c>
      <c r="AI39" s="145">
        <v>9.2852991492026866E-6</v>
      </c>
      <c r="AJ39" s="145">
        <v>0.1010231375983239</v>
      </c>
      <c r="AK39" s="145">
        <v>3.9979965677480354E-3</v>
      </c>
      <c r="AL39" s="145">
        <v>8.0871716302706578E-2</v>
      </c>
      <c r="AM39" s="145">
        <v>0</v>
      </c>
      <c r="AN39" s="145">
        <v>1.7982072331252841E-4</v>
      </c>
      <c r="AO39" s="145">
        <v>3.8124794906898278E-4</v>
      </c>
      <c r="AP39" s="145">
        <v>0</v>
      </c>
      <c r="AQ39" s="145">
        <v>0</v>
      </c>
      <c r="AR39" s="145">
        <v>0</v>
      </c>
      <c r="AS39" s="145">
        <v>0</v>
      </c>
      <c r="AT39" s="145">
        <v>0</v>
      </c>
      <c r="AU39" s="145">
        <v>2.5001999731628536E-2</v>
      </c>
      <c r="AV39" s="145">
        <v>0</v>
      </c>
      <c r="AW39" s="145">
        <v>0</v>
      </c>
      <c r="AX39" s="145">
        <v>0</v>
      </c>
      <c r="AY39" s="145">
        <v>0</v>
      </c>
      <c r="AZ39" s="145">
        <v>0</v>
      </c>
      <c r="BA39" s="145">
        <v>0</v>
      </c>
      <c r="BB39" s="145">
        <v>0</v>
      </c>
      <c r="BC39" s="145">
        <v>0</v>
      </c>
      <c r="BD39" s="145">
        <v>0</v>
      </c>
      <c r="BE39" s="145">
        <v>0</v>
      </c>
      <c r="BF39" s="145">
        <v>0</v>
      </c>
      <c r="BG39" s="145">
        <v>0</v>
      </c>
      <c r="BH39" s="145">
        <v>0</v>
      </c>
      <c r="BI39" s="145">
        <v>0</v>
      </c>
      <c r="BJ39" s="145">
        <v>0</v>
      </c>
      <c r="BK39" s="145">
        <v>0</v>
      </c>
      <c r="BL39" s="145">
        <v>0</v>
      </c>
      <c r="BM39" s="145">
        <v>0</v>
      </c>
      <c r="BN39" s="145">
        <v>0</v>
      </c>
      <c r="BO39" s="145">
        <v>0</v>
      </c>
      <c r="BP39" s="145">
        <v>0</v>
      </c>
      <c r="BQ39" s="145">
        <v>0</v>
      </c>
      <c r="BR39" s="145">
        <v>0</v>
      </c>
      <c r="BS39" s="145">
        <v>0</v>
      </c>
    </row>
    <row r="40" spans="1:71" x14ac:dyDescent="0.15">
      <c r="A40" s="181" t="s">
        <v>231</v>
      </c>
      <c r="B40" s="145">
        <v>1.199040786930456E-2</v>
      </c>
      <c r="C40" s="145">
        <v>0.13541665872249989</v>
      </c>
      <c r="D40" s="145">
        <v>7.0485570154484641E-3</v>
      </c>
      <c r="E40" s="145">
        <v>7.9992600488474827E-3</v>
      </c>
      <c r="F40" s="145">
        <v>1.1002289754930596E-2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4.9966568810795664E-3</v>
      </c>
      <c r="N40" s="145">
        <v>3.0285677230853965E-3</v>
      </c>
      <c r="O40" s="145">
        <v>0</v>
      </c>
      <c r="P40" s="145">
        <v>0</v>
      </c>
      <c r="Q40" s="145">
        <v>0</v>
      </c>
      <c r="R40" s="145">
        <v>0</v>
      </c>
      <c r="S40" s="145">
        <v>0</v>
      </c>
      <c r="T40" s="145">
        <v>0</v>
      </c>
      <c r="U40" s="145">
        <v>0</v>
      </c>
      <c r="V40" s="145">
        <v>0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0</v>
      </c>
      <c r="AG40" s="145">
        <v>0</v>
      </c>
      <c r="AH40" s="145">
        <v>0</v>
      </c>
      <c r="AI40" s="145">
        <v>0</v>
      </c>
      <c r="AJ40" s="145">
        <v>0</v>
      </c>
      <c r="AK40" s="145">
        <v>0</v>
      </c>
      <c r="AL40" s="145">
        <v>0</v>
      </c>
      <c r="AM40" s="145">
        <v>0</v>
      </c>
      <c r="AN40" s="145">
        <v>9.7802490169980713E-4</v>
      </c>
      <c r="AO40" s="145">
        <v>0</v>
      </c>
      <c r="AP40" s="145">
        <v>4.1966019839004502E-3</v>
      </c>
      <c r="AQ40" s="145">
        <v>0</v>
      </c>
      <c r="AR40" s="145">
        <v>0</v>
      </c>
      <c r="AS40" s="145">
        <v>0</v>
      </c>
      <c r="AT40" s="145">
        <v>0</v>
      </c>
      <c r="AU40" s="145">
        <v>0</v>
      </c>
      <c r="AV40" s="145">
        <v>0</v>
      </c>
      <c r="AW40" s="145">
        <v>0</v>
      </c>
      <c r="AX40" s="145">
        <v>0</v>
      </c>
      <c r="AY40" s="145">
        <v>0</v>
      </c>
      <c r="AZ40" s="145">
        <v>0</v>
      </c>
      <c r="BA40" s="145">
        <v>0</v>
      </c>
      <c r="BB40" s="145">
        <v>0</v>
      </c>
      <c r="BC40" s="145">
        <v>0</v>
      </c>
      <c r="BD40" s="145">
        <v>0</v>
      </c>
      <c r="BE40" s="145">
        <v>0</v>
      </c>
      <c r="BF40" s="145">
        <v>0</v>
      </c>
      <c r="BG40" s="145">
        <v>0</v>
      </c>
      <c r="BH40" s="145">
        <v>0</v>
      </c>
      <c r="BI40" s="145">
        <v>0</v>
      </c>
      <c r="BJ40" s="145">
        <v>0</v>
      </c>
      <c r="BK40" s="145">
        <v>0</v>
      </c>
      <c r="BL40" s="145">
        <v>0</v>
      </c>
      <c r="BM40" s="145">
        <v>0</v>
      </c>
      <c r="BN40" s="145">
        <v>0</v>
      </c>
      <c r="BO40" s="145">
        <v>0</v>
      </c>
      <c r="BP40" s="145">
        <v>0</v>
      </c>
      <c r="BQ40" s="145">
        <v>0</v>
      </c>
      <c r="BR40" s="145">
        <v>0</v>
      </c>
      <c r="BS40" s="145">
        <v>0</v>
      </c>
    </row>
    <row r="41" spans="1:71" x14ac:dyDescent="0.15">
      <c r="A41" s="181" t="s">
        <v>232</v>
      </c>
      <c r="B41" s="145">
        <v>1.9984013115507602E-2</v>
      </c>
      <c r="C41" s="145">
        <v>0</v>
      </c>
      <c r="D41" s="145">
        <v>0.15384155533717761</v>
      </c>
      <c r="E41" s="145">
        <v>4.8995470299190845E-2</v>
      </c>
      <c r="F41" s="145">
        <v>2.0004163554419255E-3</v>
      </c>
      <c r="G41" s="145">
        <v>1.3097703285725085E-2</v>
      </c>
      <c r="H41" s="145">
        <v>0</v>
      </c>
      <c r="I41" s="145">
        <v>3.7019397854191199E-2</v>
      </c>
      <c r="J41" s="145">
        <v>0</v>
      </c>
      <c r="K41" s="145">
        <v>0.1588104386872021</v>
      </c>
      <c r="L41" s="145">
        <v>0</v>
      </c>
      <c r="M41" s="145">
        <v>4.3970583853500105E-2</v>
      </c>
      <c r="N41" s="145">
        <v>2.8266633582130409E-2</v>
      </c>
      <c r="O41" s="145">
        <v>0</v>
      </c>
      <c r="P41" s="145">
        <v>0</v>
      </c>
      <c r="Q41" s="145">
        <v>0</v>
      </c>
      <c r="R41" s="145">
        <v>1.4007170922893311E-2</v>
      </c>
      <c r="S41" s="145">
        <v>0</v>
      </c>
      <c r="T41" s="145">
        <v>1.9014769991471305E-2</v>
      </c>
      <c r="U41" s="145">
        <v>6.0067396732558552E-3</v>
      </c>
      <c r="V41" s="145">
        <v>0</v>
      </c>
      <c r="W41" s="145">
        <v>0</v>
      </c>
      <c r="X41" s="145">
        <v>0</v>
      </c>
      <c r="Y41" s="145">
        <v>9.9976009071222889E-4</v>
      </c>
      <c r="Z41" s="145">
        <v>8.0519191070744199E-3</v>
      </c>
      <c r="AA41" s="145">
        <v>0</v>
      </c>
      <c r="AB41" s="145">
        <v>0</v>
      </c>
      <c r="AC41" s="145">
        <v>0</v>
      </c>
      <c r="AD41" s="145">
        <v>1.8988925181805765E-2</v>
      </c>
      <c r="AE41" s="145">
        <v>0</v>
      </c>
      <c r="AF41" s="145">
        <v>2.0014490477992075E-3</v>
      </c>
      <c r="AG41" s="145">
        <v>2.382762018154264E-5</v>
      </c>
      <c r="AH41" s="145">
        <v>7.0000000000000001E-3</v>
      </c>
      <c r="AI41" s="145">
        <v>0</v>
      </c>
      <c r="AJ41" s="145">
        <v>7.1016259717633659E-2</v>
      </c>
      <c r="AK41" s="145">
        <v>0</v>
      </c>
      <c r="AL41" s="145">
        <v>0</v>
      </c>
      <c r="AM41" s="145">
        <v>0</v>
      </c>
      <c r="AN41" s="145">
        <v>0.14485558925175901</v>
      </c>
      <c r="AO41" s="145">
        <v>8.4721758681996287E-3</v>
      </c>
      <c r="AP41" s="145">
        <v>8.4036949677606526E-3</v>
      </c>
      <c r="AQ41" s="145">
        <v>0</v>
      </c>
      <c r="AR41" s="145">
        <v>0</v>
      </c>
      <c r="AS41" s="145">
        <v>0</v>
      </c>
      <c r="AT41" s="145">
        <v>0</v>
      </c>
      <c r="AU41" s="145">
        <v>0</v>
      </c>
      <c r="AV41" s="145">
        <v>0</v>
      </c>
      <c r="AW41" s="145">
        <v>0</v>
      </c>
      <c r="AX41" s="145">
        <v>0</v>
      </c>
      <c r="AY41" s="145">
        <v>0</v>
      </c>
      <c r="AZ41" s="145">
        <v>0</v>
      </c>
      <c r="BA41" s="145">
        <v>0</v>
      </c>
      <c r="BB41" s="145">
        <v>0</v>
      </c>
      <c r="BC41" s="145">
        <v>0</v>
      </c>
      <c r="BD41" s="145">
        <v>0</v>
      </c>
      <c r="BE41" s="145">
        <v>0</v>
      </c>
      <c r="BF41" s="145">
        <v>0</v>
      </c>
      <c r="BG41" s="145">
        <v>0</v>
      </c>
      <c r="BH41" s="145">
        <v>0</v>
      </c>
      <c r="BI41" s="145">
        <v>0</v>
      </c>
      <c r="BJ41" s="145">
        <v>0</v>
      </c>
      <c r="BK41" s="145">
        <v>0</v>
      </c>
      <c r="BL41" s="145">
        <v>0</v>
      </c>
      <c r="BM41" s="145">
        <v>0</v>
      </c>
      <c r="BN41" s="145">
        <v>0</v>
      </c>
      <c r="BO41" s="145">
        <v>0</v>
      </c>
      <c r="BP41" s="145">
        <v>0</v>
      </c>
      <c r="BQ41" s="145">
        <v>0</v>
      </c>
      <c r="BR41" s="145">
        <v>0</v>
      </c>
      <c r="BS41" s="145">
        <v>0</v>
      </c>
    </row>
    <row r="42" spans="1:71" x14ac:dyDescent="0.15">
      <c r="A42" s="181" t="s">
        <v>233</v>
      </c>
      <c r="B42" s="145">
        <v>0.13888888527777765</v>
      </c>
      <c r="C42" s="145">
        <v>0.28854167867025016</v>
      </c>
      <c r="D42" s="145">
        <v>3.8209013683743465E-2</v>
      </c>
      <c r="E42" s="145">
        <v>8.3992230512898572E-2</v>
      </c>
      <c r="F42" s="145">
        <v>4.7009783652885273E-2</v>
      </c>
      <c r="G42" s="145">
        <v>3.7278079390140606E-2</v>
      </c>
      <c r="H42" s="145">
        <v>0</v>
      </c>
      <c r="I42" s="145">
        <v>0.12106343319613878</v>
      </c>
      <c r="J42" s="145">
        <v>0.1309992551089752</v>
      </c>
      <c r="K42" s="145">
        <v>6.6761084609269772E-2</v>
      </c>
      <c r="L42" s="145">
        <v>5.0030210076045904E-3</v>
      </c>
      <c r="M42" s="145">
        <v>7.3950528239977428E-2</v>
      </c>
      <c r="N42" s="145">
        <v>7.5714191827134888E-2</v>
      </c>
      <c r="O42" s="145">
        <v>6.6455363407652707E-2</v>
      </c>
      <c r="P42" s="145">
        <v>9.1831829863170567E-2</v>
      </c>
      <c r="Q42" s="145">
        <v>0</v>
      </c>
      <c r="R42" s="145">
        <v>4.2021510668679901E-2</v>
      </c>
      <c r="S42" s="145">
        <v>4.9032359177874442E-2</v>
      </c>
      <c r="T42" s="145">
        <v>0.16312672192683275</v>
      </c>
      <c r="U42" s="145">
        <v>7.1980761237349297E-2</v>
      </c>
      <c r="V42" s="145">
        <v>0.19408932038173507</v>
      </c>
      <c r="W42" s="145">
        <v>0.25979215601438826</v>
      </c>
      <c r="X42" s="145">
        <v>5.4149405924552446E-2</v>
      </c>
      <c r="Y42" s="145">
        <v>5.6986319470597097E-2</v>
      </c>
      <c r="Z42" s="145">
        <v>8.8561066677685055E-2</v>
      </c>
      <c r="AA42" s="145">
        <v>0.13096944966180674</v>
      </c>
      <c r="AB42" s="145">
        <v>3.6033569404455179E-2</v>
      </c>
      <c r="AC42" s="145">
        <v>3.0022814549333532E-2</v>
      </c>
      <c r="AD42" s="145">
        <v>6.1963861030103026E-2</v>
      </c>
      <c r="AE42" s="145">
        <v>3.0872522138027145E-2</v>
      </c>
      <c r="AF42" s="145">
        <v>8.4260992012346311E-2</v>
      </c>
      <c r="AG42" s="145">
        <v>0.17300923331815737</v>
      </c>
      <c r="AH42" s="145">
        <v>0.05</v>
      </c>
      <c r="AI42" s="145">
        <v>0</v>
      </c>
      <c r="AJ42" s="145">
        <v>0.11402610654662307</v>
      </c>
      <c r="AK42" s="145">
        <v>9.6951422855390032E-2</v>
      </c>
      <c r="AL42" s="145">
        <v>4.9982520125282188E-3</v>
      </c>
      <c r="AM42" s="145">
        <v>0</v>
      </c>
      <c r="AN42" s="145">
        <v>0.17882171331079214</v>
      </c>
      <c r="AO42" s="145">
        <v>5.9305234777397346E-2</v>
      </c>
      <c r="AP42" s="145">
        <v>5.2562434998353162E-3</v>
      </c>
      <c r="AQ42" s="145">
        <v>0</v>
      </c>
      <c r="AR42" s="145">
        <v>0</v>
      </c>
      <c r="AS42" s="145">
        <v>0</v>
      </c>
      <c r="AT42" s="145">
        <v>0</v>
      </c>
      <c r="AU42" s="145">
        <v>4.6003682206196476E-4</v>
      </c>
      <c r="AV42" s="145">
        <v>0</v>
      </c>
      <c r="AW42" s="145">
        <v>0</v>
      </c>
      <c r="AX42" s="145">
        <v>0</v>
      </c>
      <c r="AY42" s="145">
        <v>0</v>
      </c>
      <c r="AZ42" s="145">
        <v>0</v>
      </c>
      <c r="BA42" s="145">
        <v>0</v>
      </c>
      <c r="BB42" s="145">
        <v>0</v>
      </c>
      <c r="BC42" s="145">
        <v>0</v>
      </c>
      <c r="BD42" s="145">
        <v>0</v>
      </c>
      <c r="BE42" s="145">
        <v>0</v>
      </c>
      <c r="BF42" s="145">
        <v>0</v>
      </c>
      <c r="BG42" s="145">
        <v>0</v>
      </c>
      <c r="BH42" s="145">
        <v>0</v>
      </c>
      <c r="BI42" s="145">
        <v>0</v>
      </c>
      <c r="BJ42" s="145">
        <v>0</v>
      </c>
      <c r="BK42" s="145">
        <v>0</v>
      </c>
      <c r="BL42" s="145">
        <v>0</v>
      </c>
      <c r="BM42" s="145">
        <v>0</v>
      </c>
      <c r="BN42" s="145">
        <v>0</v>
      </c>
      <c r="BO42" s="145">
        <v>0</v>
      </c>
      <c r="BP42" s="145">
        <v>0</v>
      </c>
      <c r="BQ42" s="145">
        <v>0</v>
      </c>
      <c r="BR42" s="145">
        <v>0</v>
      </c>
      <c r="BS42" s="145">
        <v>0</v>
      </c>
    </row>
    <row r="43" spans="1:71" x14ac:dyDescent="0.15">
      <c r="A43" s="181" t="s">
        <v>234</v>
      </c>
      <c r="B43" s="145">
        <v>0.26678655421702585</v>
      </c>
      <c r="C43" s="145">
        <v>0.10312500131175002</v>
      </c>
      <c r="D43" s="145">
        <v>3.5192512077132136E-2</v>
      </c>
      <c r="E43" s="145">
        <v>7.199333653962732E-2</v>
      </c>
      <c r="F43" s="145">
        <v>2.0004163554419255E-3</v>
      </c>
      <c r="G43" s="145">
        <v>1.3097703285725085E-2</v>
      </c>
      <c r="H43" s="145">
        <v>0</v>
      </c>
      <c r="I43" s="145">
        <v>4.0020969734260751E-3</v>
      </c>
      <c r="J43" s="145">
        <v>4.9999715086631737E-2</v>
      </c>
      <c r="K43" s="145">
        <v>4.0461260429860433E-3</v>
      </c>
      <c r="L43" s="145">
        <v>3.0018128545627552E-3</v>
      </c>
      <c r="M43" s="145">
        <v>3.4976599167556938E-2</v>
      </c>
      <c r="N43" s="145">
        <v>5.4514219415537149E-2</v>
      </c>
      <c r="O43" s="145">
        <v>9.7127063941954028E-2</v>
      </c>
      <c r="P43" s="145">
        <v>4.0600679939504981E-2</v>
      </c>
      <c r="Q43" s="145">
        <v>0</v>
      </c>
      <c r="R43" s="145">
        <v>6.9035344898545639E-2</v>
      </c>
      <c r="S43" s="145">
        <v>0</v>
      </c>
      <c r="T43" s="145">
        <v>0.20415858890842872</v>
      </c>
      <c r="U43" s="145">
        <v>0.13114713325441923</v>
      </c>
      <c r="V43" s="145">
        <v>7.4034064001280472E-2</v>
      </c>
      <c r="W43" s="145">
        <v>0</v>
      </c>
      <c r="X43" s="145">
        <v>0.19617899424791646</v>
      </c>
      <c r="Y43" s="145">
        <v>0.261937138566604</v>
      </c>
      <c r="Z43" s="145">
        <v>0.16083733913881493</v>
      </c>
      <c r="AA43" s="145">
        <v>0</v>
      </c>
      <c r="AB43" s="145">
        <v>2.0018652669141716E-3</v>
      </c>
      <c r="AC43" s="145">
        <v>5.0038029415555825E-3</v>
      </c>
      <c r="AD43" s="145">
        <v>0.30182396099501824</v>
      </c>
      <c r="AE43" s="145">
        <v>0.11589684389356467</v>
      </c>
      <c r="AF43" s="145">
        <v>0.10207388843775925</v>
      </c>
      <c r="AG43" s="145">
        <v>7.676637058488299E-2</v>
      </c>
      <c r="AH43" s="145">
        <v>8.7999999999999995E-2</v>
      </c>
      <c r="AI43" s="145">
        <v>0</v>
      </c>
      <c r="AJ43" s="145">
        <v>0.1650377993437965</v>
      </c>
      <c r="AK43" s="145">
        <v>7.8960432325523688E-2</v>
      </c>
      <c r="AL43" s="145">
        <v>5.1981820130293473E-4</v>
      </c>
      <c r="AM43" s="145">
        <v>0</v>
      </c>
      <c r="AN43" s="145">
        <v>0.14285758124828649</v>
      </c>
      <c r="AO43" s="145">
        <v>0.19486005296859135</v>
      </c>
      <c r="AP43" s="145">
        <v>9.4528449637357684E-3</v>
      </c>
      <c r="AQ43" s="145">
        <v>0</v>
      </c>
      <c r="AR43" s="145">
        <v>0</v>
      </c>
      <c r="AS43" s="145">
        <v>0</v>
      </c>
      <c r="AT43" s="145">
        <v>0</v>
      </c>
      <c r="AU43" s="145">
        <v>2.5001999731628536E-2</v>
      </c>
      <c r="AV43" s="145">
        <v>0</v>
      </c>
      <c r="AW43" s="145">
        <v>0</v>
      </c>
      <c r="AX43" s="145">
        <v>3.9983607248448155E-3</v>
      </c>
      <c r="AY43" s="145">
        <v>0</v>
      </c>
      <c r="AZ43" s="145">
        <v>8.1616317633126795E-3</v>
      </c>
      <c r="BA43" s="145">
        <v>0</v>
      </c>
      <c r="BB43" s="145">
        <v>0</v>
      </c>
      <c r="BC43" s="145">
        <v>0</v>
      </c>
      <c r="BD43" s="145">
        <v>0</v>
      </c>
      <c r="BE43" s="145">
        <v>0</v>
      </c>
      <c r="BF43" s="145">
        <v>0</v>
      </c>
      <c r="BG43" s="145">
        <v>0</v>
      </c>
      <c r="BH43" s="145">
        <v>0</v>
      </c>
      <c r="BI43" s="145">
        <v>0</v>
      </c>
      <c r="BJ43" s="145">
        <v>0</v>
      </c>
      <c r="BK43" s="145">
        <v>0</v>
      </c>
      <c r="BL43" s="145">
        <v>0</v>
      </c>
      <c r="BM43" s="145">
        <v>0</v>
      </c>
      <c r="BN43" s="145">
        <v>0</v>
      </c>
      <c r="BO43" s="145">
        <v>0</v>
      </c>
      <c r="BP43" s="145">
        <v>0</v>
      </c>
      <c r="BQ43" s="145">
        <v>0</v>
      </c>
      <c r="BR43" s="145">
        <v>0</v>
      </c>
      <c r="BS43" s="145">
        <v>0</v>
      </c>
    </row>
    <row r="44" spans="1:71" x14ac:dyDescent="0.15">
      <c r="A44" s="181" t="s">
        <v>235</v>
      </c>
      <c r="B44" s="145">
        <v>0.17985612753956873</v>
      </c>
      <c r="C44" s="145">
        <v>0.25416666623300005</v>
      </c>
      <c r="D44" s="145">
        <v>0.32176010070520805</v>
      </c>
      <c r="E44" s="145">
        <v>0.4749560679003193</v>
      </c>
      <c r="F44" s="145">
        <v>0</v>
      </c>
      <c r="G44" s="145">
        <v>0.15616492644518365</v>
      </c>
      <c r="H44" s="145">
        <v>1.9988046594922246E-2</v>
      </c>
      <c r="I44" s="145">
        <v>3.2016776287408608E-2</v>
      </c>
      <c r="J44" s="145">
        <v>0.24499860581449556</v>
      </c>
      <c r="K44" s="145">
        <v>0.45114300479294328</v>
      </c>
      <c r="L44" s="145">
        <v>0.25115165138175044</v>
      </c>
      <c r="M44" s="145">
        <v>0.5126570337987626</v>
      </c>
      <c r="N44" s="145">
        <v>0.26853300648023859</v>
      </c>
      <c r="O44" s="145">
        <v>0.15029133720807639</v>
      </c>
      <c r="P44" s="145">
        <v>0.21607492867804834</v>
      </c>
      <c r="Q44" s="145">
        <v>9.5432769527321493E-2</v>
      </c>
      <c r="R44" s="145">
        <v>2.3011780366181862E-2</v>
      </c>
      <c r="S44" s="145">
        <v>0</v>
      </c>
      <c r="T44" s="145">
        <v>2.0015549991022424E-3</v>
      </c>
      <c r="U44" s="145">
        <v>0.12213703409953564</v>
      </c>
      <c r="V44" s="145">
        <v>0.10104649863688273</v>
      </c>
      <c r="W44" s="145">
        <v>0</v>
      </c>
      <c r="X44" s="145">
        <v>2.3021003933173856E-2</v>
      </c>
      <c r="Y44" s="145">
        <v>0.23494361081737389</v>
      </c>
      <c r="Z44" s="145">
        <v>0.34077412353161424</v>
      </c>
      <c r="AA44" s="145">
        <v>0</v>
      </c>
      <c r="AB44" s="145">
        <v>1.2011192501485015E-2</v>
      </c>
      <c r="AC44" s="145">
        <v>0.26420079691413473</v>
      </c>
      <c r="AD44" s="145">
        <v>1.9988344538742816E-3</v>
      </c>
      <c r="AE44" s="145">
        <v>0.16485329127101889</v>
      </c>
      <c r="AF44" s="145">
        <v>0.15211010363273916</v>
      </c>
      <c r="AG44" s="145">
        <v>0.21755650165756302</v>
      </c>
      <c r="AH44" s="145">
        <v>7.0000000000000001E-3</v>
      </c>
      <c r="AI44" s="145">
        <v>0</v>
      </c>
      <c r="AJ44" s="145">
        <v>0.20704739917676293</v>
      </c>
      <c r="AK44" s="145">
        <v>9.9849972940757419E-4</v>
      </c>
      <c r="AL44" s="145">
        <v>2.3991610060135449E-2</v>
      </c>
      <c r="AM44" s="145">
        <v>0</v>
      </c>
      <c r="AN44" s="145">
        <v>0.20979082636461646</v>
      </c>
      <c r="AO44" s="145">
        <v>9.5311978517245814E-3</v>
      </c>
      <c r="AP44" s="145">
        <v>6.3053946658104256E-3</v>
      </c>
      <c r="AQ44" s="145">
        <v>0</v>
      </c>
      <c r="AR44" s="145">
        <v>0</v>
      </c>
      <c r="AS44" s="145">
        <v>0</v>
      </c>
      <c r="AT44" s="145">
        <v>0</v>
      </c>
      <c r="AU44" s="145">
        <v>2.5001999731628536E-2</v>
      </c>
      <c r="AV44" s="145">
        <v>0</v>
      </c>
      <c r="AW44" s="145">
        <v>0</v>
      </c>
      <c r="AX44" s="145">
        <v>3.9983607248448155E-3</v>
      </c>
      <c r="AY44" s="145">
        <v>0</v>
      </c>
      <c r="AZ44" s="145">
        <v>0</v>
      </c>
      <c r="BA44" s="145">
        <v>0</v>
      </c>
      <c r="BB44" s="145">
        <v>0</v>
      </c>
      <c r="BC44" s="145">
        <v>0</v>
      </c>
      <c r="BD44" s="145">
        <v>0</v>
      </c>
      <c r="BE44" s="145">
        <v>0</v>
      </c>
      <c r="BF44" s="145">
        <v>0</v>
      </c>
      <c r="BG44" s="145">
        <v>0</v>
      </c>
      <c r="BH44" s="145">
        <v>0</v>
      </c>
      <c r="BI44" s="145">
        <v>0</v>
      </c>
      <c r="BJ44" s="145">
        <v>0</v>
      </c>
      <c r="BK44" s="145">
        <v>0</v>
      </c>
      <c r="BL44" s="145">
        <v>0</v>
      </c>
      <c r="BM44" s="145">
        <v>0</v>
      </c>
      <c r="BN44" s="145">
        <v>0</v>
      </c>
      <c r="BO44" s="145">
        <v>0</v>
      </c>
      <c r="BP44" s="145">
        <v>0</v>
      </c>
      <c r="BQ44" s="145">
        <v>0</v>
      </c>
      <c r="BR44" s="145">
        <v>0</v>
      </c>
      <c r="BS44" s="145">
        <v>0</v>
      </c>
    </row>
    <row r="45" spans="1:71" x14ac:dyDescent="0.15">
      <c r="A45" s="181" t="s">
        <v>236</v>
      </c>
      <c r="B45" s="145">
        <v>0</v>
      </c>
      <c r="C45" s="145">
        <v>6.458333082149996E-2</v>
      </c>
      <c r="D45" s="145">
        <v>7.0485580154484667E-2</v>
      </c>
      <c r="E45" s="145">
        <v>5.9994454866356146E-3</v>
      </c>
      <c r="F45" s="145">
        <v>6.0012492863257723E-3</v>
      </c>
      <c r="G45" s="145">
        <v>2.5187892187932833E-4</v>
      </c>
      <c r="H45" s="145">
        <v>0.13092169734674089</v>
      </c>
      <c r="I45" s="145">
        <v>0.10205347032236495</v>
      </c>
      <c r="J45" s="145">
        <v>0.16599904393961712</v>
      </c>
      <c r="K45" s="145">
        <v>0</v>
      </c>
      <c r="L45" s="145">
        <v>0.43226105065703668</v>
      </c>
      <c r="M45" s="145">
        <v>0.22085225074371642</v>
      </c>
      <c r="N45" s="145">
        <v>0.16455218597097337</v>
      </c>
      <c r="O45" s="145">
        <v>1.942541236839081E-2</v>
      </c>
      <c r="P45" s="145">
        <v>0</v>
      </c>
      <c r="Q45" s="145">
        <v>0</v>
      </c>
      <c r="R45" s="145">
        <v>3.4017418141312379E-2</v>
      </c>
      <c r="S45" s="145">
        <v>0</v>
      </c>
      <c r="T45" s="145">
        <v>5.0038869977556064E-3</v>
      </c>
      <c r="U45" s="145">
        <v>3.8042683853953742E-2</v>
      </c>
      <c r="V45" s="145">
        <v>0</v>
      </c>
      <c r="W45" s="145">
        <v>0</v>
      </c>
      <c r="X45" s="145">
        <v>0.1111013705383609</v>
      </c>
      <c r="Y45" s="145">
        <v>7.5981765294129422E-2</v>
      </c>
      <c r="Z45" s="145">
        <v>0</v>
      </c>
      <c r="AA45" s="145">
        <v>0</v>
      </c>
      <c r="AB45" s="145">
        <v>0</v>
      </c>
      <c r="AC45" s="145">
        <v>0</v>
      </c>
      <c r="AD45" s="145">
        <v>4.9970857846857184E-3</v>
      </c>
      <c r="AE45" s="145">
        <v>2.6876080207214579E-2</v>
      </c>
      <c r="AF45" s="145">
        <v>1.0007245238996037E-3</v>
      </c>
      <c r="AG45" s="145">
        <v>5.1902770395447217E-3</v>
      </c>
      <c r="AH45" s="145">
        <v>0</v>
      </c>
      <c r="AI45" s="145">
        <v>0</v>
      </c>
      <c r="AJ45" s="145">
        <v>0</v>
      </c>
      <c r="AK45" s="145">
        <v>0</v>
      </c>
      <c r="AL45" s="145">
        <v>0</v>
      </c>
      <c r="AM45" s="145">
        <v>0</v>
      </c>
      <c r="AN45" s="145">
        <v>0.20379680035419884</v>
      </c>
      <c r="AO45" s="145">
        <v>2.8593595655173713E-2</v>
      </c>
      <c r="AP45" s="145">
        <v>8.1938653885656298E-2</v>
      </c>
      <c r="AQ45" s="145">
        <v>0</v>
      </c>
      <c r="AR45" s="145">
        <v>0</v>
      </c>
      <c r="AS45" s="145">
        <v>0</v>
      </c>
      <c r="AT45" s="145">
        <v>0</v>
      </c>
      <c r="AU45" s="145">
        <v>2.5001999731628536E-2</v>
      </c>
      <c r="AV45" s="145">
        <v>0</v>
      </c>
      <c r="AW45" s="145">
        <v>0</v>
      </c>
      <c r="AX45" s="145">
        <v>3.9983607248448155E-3</v>
      </c>
      <c r="AY45" s="145">
        <v>0</v>
      </c>
      <c r="AZ45" s="145">
        <v>0</v>
      </c>
      <c r="BA45" s="145">
        <v>0</v>
      </c>
      <c r="BB45" s="145">
        <v>0</v>
      </c>
      <c r="BC45" s="145">
        <v>0</v>
      </c>
      <c r="BD45" s="145">
        <v>0</v>
      </c>
      <c r="BE45" s="145">
        <v>0</v>
      </c>
      <c r="BF45" s="145">
        <v>0</v>
      </c>
      <c r="BG45" s="145">
        <v>0</v>
      </c>
      <c r="BH45" s="145">
        <v>0</v>
      </c>
      <c r="BI45" s="145">
        <v>0</v>
      </c>
      <c r="BJ45" s="145">
        <v>0</v>
      </c>
      <c r="BK45" s="145">
        <v>0</v>
      </c>
      <c r="BL45" s="145">
        <v>0</v>
      </c>
      <c r="BM45" s="145">
        <v>0</v>
      </c>
      <c r="BN45" s="145">
        <v>0</v>
      </c>
      <c r="BO45" s="145">
        <v>0</v>
      </c>
      <c r="BP45" s="145">
        <v>0</v>
      </c>
      <c r="BQ45" s="145">
        <v>0</v>
      </c>
      <c r="BR45" s="145">
        <v>0</v>
      </c>
      <c r="BS45" s="145">
        <v>0</v>
      </c>
    </row>
    <row r="46" spans="1:71" x14ac:dyDescent="0.15">
      <c r="A46" s="181" t="s">
        <v>237</v>
      </c>
      <c r="B46" s="145">
        <v>9.7821743012909676E-2</v>
      </c>
      <c r="C46" s="145">
        <v>5.1041663349249956E-2</v>
      </c>
      <c r="D46" s="145">
        <v>1.0055002822037752E-2</v>
      </c>
      <c r="E46" s="145">
        <v>0</v>
      </c>
      <c r="F46" s="145">
        <v>0</v>
      </c>
      <c r="G46" s="145">
        <v>5.0375782075865704E-3</v>
      </c>
      <c r="H46" s="145">
        <v>0</v>
      </c>
      <c r="I46" s="145">
        <v>0</v>
      </c>
      <c r="J46" s="145">
        <v>7.9999551898610952E-3</v>
      </c>
      <c r="K46" s="145">
        <v>1.1126846218211615E-2</v>
      </c>
      <c r="L46" s="145">
        <v>0</v>
      </c>
      <c r="M46" s="145">
        <v>0</v>
      </c>
      <c r="N46" s="145">
        <v>8.0761811948944062E-3</v>
      </c>
      <c r="O46" s="145">
        <v>0</v>
      </c>
      <c r="P46" s="145">
        <v>0</v>
      </c>
      <c r="Q46" s="145">
        <v>0</v>
      </c>
      <c r="R46" s="145">
        <v>5.0025606396047482E-3</v>
      </c>
      <c r="S46" s="145">
        <v>0</v>
      </c>
      <c r="T46" s="145">
        <v>0</v>
      </c>
      <c r="U46" s="145">
        <v>0</v>
      </c>
      <c r="V46" s="145">
        <v>0</v>
      </c>
      <c r="W46" s="145">
        <v>0</v>
      </c>
      <c r="X46" s="145">
        <v>0</v>
      </c>
      <c r="Y46" s="145">
        <v>0</v>
      </c>
      <c r="Z46" s="145">
        <v>1.1057567947043536E-2</v>
      </c>
      <c r="AA46" s="145">
        <v>0</v>
      </c>
      <c r="AB46" s="145">
        <v>0</v>
      </c>
      <c r="AC46" s="145">
        <v>0</v>
      </c>
      <c r="AD46" s="145">
        <v>0</v>
      </c>
      <c r="AE46" s="145">
        <v>0</v>
      </c>
      <c r="AF46" s="145">
        <v>1.4010142834594437E-2</v>
      </c>
      <c r="AG46" s="145">
        <v>0</v>
      </c>
      <c r="AH46" s="145">
        <v>1.4999999999999999E-2</v>
      </c>
      <c r="AI46" s="145">
        <v>0</v>
      </c>
      <c r="AJ46" s="145">
        <v>0</v>
      </c>
      <c r="AK46" s="145">
        <v>0</v>
      </c>
      <c r="AL46" s="145">
        <v>0</v>
      </c>
      <c r="AM46" s="145">
        <v>0</v>
      </c>
      <c r="AN46" s="145">
        <v>1.0989043919098959E-2</v>
      </c>
      <c r="AO46" s="145">
        <v>2.4357507521073903E-4</v>
      </c>
      <c r="AP46" s="145">
        <v>0</v>
      </c>
      <c r="AQ46" s="145">
        <v>0</v>
      </c>
      <c r="AR46" s="145">
        <v>0</v>
      </c>
      <c r="AS46" s="145">
        <v>0</v>
      </c>
      <c r="AT46" s="145">
        <v>0</v>
      </c>
      <c r="AU46" s="145">
        <v>0</v>
      </c>
      <c r="AV46" s="145">
        <v>0</v>
      </c>
      <c r="AW46" s="145">
        <v>0</v>
      </c>
      <c r="AX46" s="145">
        <v>9.9959013121120235E-4</v>
      </c>
      <c r="AY46" s="145">
        <v>0</v>
      </c>
      <c r="AZ46" s="145">
        <v>0</v>
      </c>
      <c r="BA46" s="145">
        <v>0</v>
      </c>
      <c r="BB46" s="145">
        <v>0</v>
      </c>
      <c r="BC46" s="145">
        <v>0</v>
      </c>
      <c r="BD46" s="145">
        <v>0</v>
      </c>
      <c r="BE46" s="145">
        <v>0</v>
      </c>
      <c r="BF46" s="145">
        <v>0</v>
      </c>
      <c r="BG46" s="145">
        <v>0</v>
      </c>
      <c r="BH46" s="145">
        <v>0</v>
      </c>
      <c r="BI46" s="145">
        <v>0</v>
      </c>
      <c r="BJ46" s="145">
        <v>0</v>
      </c>
      <c r="BK46" s="145">
        <v>0</v>
      </c>
      <c r="BL46" s="145">
        <v>0</v>
      </c>
      <c r="BM46" s="145">
        <v>0</v>
      </c>
      <c r="BN46" s="145">
        <v>0</v>
      </c>
      <c r="BO46" s="145">
        <v>0</v>
      </c>
      <c r="BP46" s="145">
        <v>0</v>
      </c>
      <c r="BQ46" s="145">
        <v>0</v>
      </c>
      <c r="BR46" s="145">
        <v>0</v>
      </c>
      <c r="BS46" s="145">
        <v>0</v>
      </c>
    </row>
    <row r="47" spans="1:71" x14ac:dyDescent="0.15">
      <c r="A47" s="181" t="s">
        <v>238</v>
      </c>
      <c r="B47" s="145">
        <v>0</v>
      </c>
      <c r="C47" s="145">
        <v>0</v>
      </c>
      <c r="D47" s="145">
        <v>8.0540580176522401E-3</v>
      </c>
      <c r="E47" s="145">
        <v>1.0998982967165293E-2</v>
      </c>
      <c r="F47" s="145">
        <v>1.8003746998977336E-4</v>
      </c>
      <c r="G47" s="145">
        <v>0.25691649579691495</v>
      </c>
      <c r="H47" s="145">
        <v>8.4849264880444795E-4</v>
      </c>
      <c r="I47" s="145">
        <v>7.6139899494431063E-2</v>
      </c>
      <c r="J47" s="145">
        <v>0.13499923420390578</v>
      </c>
      <c r="K47" s="145">
        <v>3.4392066665381318E-2</v>
      </c>
      <c r="L47" s="145">
        <v>6.5039280098859703E-2</v>
      </c>
      <c r="M47" s="145">
        <v>4.4969915229716023E-2</v>
      </c>
      <c r="N47" s="145">
        <v>7.5714191827134888E-2</v>
      </c>
      <c r="O47" s="145">
        <v>0.10428379375662433</v>
      </c>
      <c r="P47" s="145">
        <v>0.12704405181070433</v>
      </c>
      <c r="Q47" s="145">
        <v>9.5432769527321493E-2</v>
      </c>
      <c r="R47" s="145">
        <v>0.10305275163985785</v>
      </c>
      <c r="S47" s="145">
        <v>2.0013209664438516E-3</v>
      </c>
      <c r="T47" s="145">
        <v>4.8037315678453818E-4</v>
      </c>
      <c r="U47" s="145">
        <v>1.0001221871921005E-2</v>
      </c>
      <c r="V47" s="145">
        <v>7.4034064001280472E-2</v>
      </c>
      <c r="W47" s="145">
        <v>7.983613215557557E-2</v>
      </c>
      <c r="X47" s="145">
        <v>2.5022830796928117E-2</v>
      </c>
      <c r="Y47" s="145">
        <v>5.8985839452021557E-2</v>
      </c>
      <c r="Z47" s="145">
        <v>1.0052333733675933E-2</v>
      </c>
      <c r="AA47" s="145">
        <v>9.1978549762490223E-4</v>
      </c>
      <c r="AB47" s="145">
        <v>3.6033577004455052E-4</v>
      </c>
      <c r="AC47" s="145">
        <v>0</v>
      </c>
      <c r="AD47" s="145">
        <v>4.7972022132982957E-4</v>
      </c>
      <c r="AE47" s="145">
        <v>0.10790396583193958</v>
      </c>
      <c r="AF47" s="145">
        <v>2.7119633447679231E-2</v>
      </c>
      <c r="AG47" s="145">
        <v>8.3085870633031241E-3</v>
      </c>
      <c r="AH47" s="145">
        <v>0</v>
      </c>
      <c r="AI47" s="145">
        <v>9.9849451604450898E-3</v>
      </c>
      <c r="AJ47" s="145">
        <v>2.5005724200575237E-2</v>
      </c>
      <c r="AK47" s="145">
        <v>0</v>
      </c>
      <c r="AL47" s="145">
        <v>3.2988462682686237E-2</v>
      </c>
      <c r="AM47" s="145">
        <v>0</v>
      </c>
      <c r="AN47" s="145">
        <v>0</v>
      </c>
      <c r="AO47" s="145">
        <v>1.0378416438544529E-3</v>
      </c>
      <c r="AP47" s="145">
        <v>1.0491504759751126E-3</v>
      </c>
      <c r="AQ47" s="145">
        <v>0</v>
      </c>
      <c r="AR47" s="145">
        <v>3.1107233416717025E-4</v>
      </c>
      <c r="AS47" s="145">
        <v>0</v>
      </c>
      <c r="AT47" s="145">
        <v>0</v>
      </c>
      <c r="AU47" s="145">
        <v>5.000400306325703E-3</v>
      </c>
      <c r="AV47" s="145">
        <v>0</v>
      </c>
      <c r="AW47" s="145">
        <v>0</v>
      </c>
      <c r="AX47" s="145">
        <v>1.4993852968168066E-4</v>
      </c>
      <c r="AY47" s="145">
        <v>0</v>
      </c>
      <c r="AZ47" s="145">
        <v>2.0404079408281699E-3</v>
      </c>
      <c r="BA47" s="145">
        <v>0</v>
      </c>
      <c r="BB47" s="145">
        <v>0</v>
      </c>
      <c r="BC47" s="145">
        <v>0</v>
      </c>
      <c r="BD47" s="145">
        <v>0</v>
      </c>
      <c r="BE47" s="145">
        <v>0</v>
      </c>
      <c r="BF47" s="145">
        <v>0</v>
      </c>
      <c r="BG47" s="145">
        <v>0</v>
      </c>
      <c r="BH47" s="145">
        <v>0</v>
      </c>
      <c r="BI47" s="145">
        <v>0</v>
      </c>
      <c r="BJ47" s="145">
        <v>0</v>
      </c>
      <c r="BK47" s="145">
        <v>0</v>
      </c>
      <c r="BL47" s="145">
        <v>0</v>
      </c>
      <c r="BM47" s="145">
        <v>0</v>
      </c>
      <c r="BN47" s="145">
        <v>0</v>
      </c>
      <c r="BO47" s="145">
        <v>0</v>
      </c>
      <c r="BP47" s="145">
        <v>0</v>
      </c>
      <c r="BQ47" s="145">
        <v>0</v>
      </c>
      <c r="BR47" s="145">
        <v>0</v>
      </c>
      <c r="BS47" s="145">
        <v>0</v>
      </c>
    </row>
    <row r="48" spans="1:71" x14ac:dyDescent="0.15">
      <c r="A48" s="181" t="s">
        <v>239</v>
      </c>
      <c r="B48" s="145">
        <v>0</v>
      </c>
      <c r="C48" s="145">
        <v>0</v>
      </c>
      <c r="D48" s="145">
        <v>9.8639580216190346E-4</v>
      </c>
      <c r="E48" s="145">
        <v>1.7998334109906831E-2</v>
      </c>
      <c r="F48" s="145">
        <v>8.0016648217677164E-2</v>
      </c>
      <c r="G48" s="145">
        <v>5.0375782075865704E-3</v>
      </c>
      <c r="H48" s="145">
        <v>1.9988046594922246E-2</v>
      </c>
      <c r="I48" s="145">
        <v>9.114776489477884E-2</v>
      </c>
      <c r="J48" s="145">
        <v>4.9999715086631737E-2</v>
      </c>
      <c r="K48" s="145">
        <v>2.0230630214930215E-2</v>
      </c>
      <c r="L48" s="145">
        <v>0.11406888817338467</v>
      </c>
      <c r="M48" s="145">
        <v>6.6955208406466052E-4</v>
      </c>
      <c r="N48" s="145">
        <v>2.8266633582130409E-2</v>
      </c>
      <c r="O48" s="145">
        <v>8.5880762776043673E-2</v>
      </c>
      <c r="P48" s="145">
        <v>0.1190412718226285</v>
      </c>
      <c r="Q48" s="145">
        <v>0.30019858351311646</v>
      </c>
      <c r="R48" s="145">
        <v>0.10805531771946268</v>
      </c>
      <c r="S48" s="145">
        <v>0</v>
      </c>
      <c r="T48" s="145">
        <v>0.18114069991875292</v>
      </c>
      <c r="U48" s="145">
        <v>4.4049427657209664E-2</v>
      </c>
      <c r="V48" s="145">
        <v>0</v>
      </c>
      <c r="W48" s="145">
        <v>0</v>
      </c>
      <c r="X48" s="145">
        <v>0.28526026908498042</v>
      </c>
      <c r="Y48" s="145">
        <v>5.1987524617035902E-2</v>
      </c>
      <c r="Z48" s="145">
        <v>3.216746592776296E-4</v>
      </c>
      <c r="AA48" s="145">
        <v>0.21894893043462352</v>
      </c>
      <c r="AB48" s="145">
        <v>7.6170988741083981E-2</v>
      </c>
      <c r="AC48" s="145">
        <v>3.4025862402577933E-2</v>
      </c>
      <c r="AD48" s="145">
        <v>0.17889567429174857</v>
      </c>
      <c r="AE48" s="145">
        <v>0.17384527734034708</v>
      </c>
      <c r="AF48" s="145">
        <v>8.0258101916748075E-3</v>
      </c>
      <c r="AG48" s="145">
        <v>3.5327035869156694E-4</v>
      </c>
      <c r="AH48" s="145">
        <v>6.6000000000000003E-2</v>
      </c>
      <c r="AI48" s="145">
        <v>9.9849451604450898E-3</v>
      </c>
      <c r="AJ48" s="145">
        <v>6.0013739761380566E-3</v>
      </c>
      <c r="AK48" s="145">
        <v>0.1599198627099214</v>
      </c>
      <c r="AL48" s="145">
        <v>3.1988814580180602E-2</v>
      </c>
      <c r="AM48" s="145">
        <v>0</v>
      </c>
      <c r="AN48" s="145">
        <v>6.3836360110947593E-2</v>
      </c>
      <c r="AO48" s="145">
        <v>3.4947726356323448E-2</v>
      </c>
      <c r="AP48" s="145">
        <v>3.6720269859128928E-2</v>
      </c>
      <c r="AQ48" s="145">
        <v>2.9993887944297238E-3</v>
      </c>
      <c r="AR48" s="145">
        <v>3.0103772616177765E-5</v>
      </c>
      <c r="AS48" s="145">
        <v>0</v>
      </c>
      <c r="AT48" s="145">
        <v>0</v>
      </c>
      <c r="AU48" s="145">
        <v>0</v>
      </c>
      <c r="AV48" s="145">
        <v>0</v>
      </c>
      <c r="AW48" s="145">
        <v>3.601764562248698E-2</v>
      </c>
      <c r="AX48" s="145">
        <v>2.0991393055435258E-2</v>
      </c>
      <c r="AY48" s="145">
        <v>0</v>
      </c>
      <c r="AZ48" s="145">
        <v>0</v>
      </c>
      <c r="BA48" s="145">
        <v>0</v>
      </c>
      <c r="BB48" s="145">
        <v>0</v>
      </c>
      <c r="BC48" s="145">
        <v>0</v>
      </c>
      <c r="BD48" s="145">
        <v>0</v>
      </c>
      <c r="BE48" s="145">
        <v>0</v>
      </c>
      <c r="BF48" s="145">
        <v>0</v>
      </c>
      <c r="BG48" s="145">
        <v>0</v>
      </c>
      <c r="BH48" s="145">
        <v>0</v>
      </c>
      <c r="BI48" s="145">
        <v>0</v>
      </c>
      <c r="BJ48" s="145">
        <v>0</v>
      </c>
      <c r="BK48" s="145">
        <v>0</v>
      </c>
      <c r="BL48" s="145">
        <v>0</v>
      </c>
      <c r="BM48" s="145">
        <v>0</v>
      </c>
      <c r="BN48" s="145">
        <v>0</v>
      </c>
      <c r="BO48" s="145">
        <v>0</v>
      </c>
      <c r="BP48" s="145">
        <v>0</v>
      </c>
      <c r="BQ48" s="145">
        <v>0</v>
      </c>
      <c r="BR48" s="145">
        <v>0</v>
      </c>
      <c r="BS48" s="145">
        <v>0</v>
      </c>
    </row>
    <row r="49" spans="1:71" x14ac:dyDescent="0.15">
      <c r="A49" s="181" t="s">
        <v>240</v>
      </c>
      <c r="B49" s="145">
        <v>0</v>
      </c>
      <c r="C49" s="145">
        <v>0</v>
      </c>
      <c r="D49" s="145">
        <v>0</v>
      </c>
      <c r="E49" s="145">
        <v>0</v>
      </c>
      <c r="F49" s="145">
        <v>3.400707714251276E-4</v>
      </c>
      <c r="G49" s="145">
        <v>0</v>
      </c>
      <c r="H49" s="145">
        <v>0</v>
      </c>
      <c r="I49" s="145">
        <v>0</v>
      </c>
      <c r="J49" s="145">
        <v>0</v>
      </c>
      <c r="K49" s="145">
        <v>2.0230630214930216E-3</v>
      </c>
      <c r="L49" s="145">
        <v>0</v>
      </c>
      <c r="M49" s="145">
        <v>0</v>
      </c>
      <c r="N49" s="145">
        <v>0</v>
      </c>
      <c r="O49" s="145">
        <v>0</v>
      </c>
      <c r="P49" s="145">
        <v>3.0910717253943027E-3</v>
      </c>
      <c r="Q49" s="145">
        <v>0</v>
      </c>
      <c r="R49" s="145">
        <v>1.1005634075130456E-4</v>
      </c>
      <c r="S49" s="145">
        <v>0</v>
      </c>
      <c r="T49" s="145">
        <v>0</v>
      </c>
      <c r="U49" s="145">
        <v>0</v>
      </c>
      <c r="V49" s="145">
        <v>2.2010128603083365E-2</v>
      </c>
      <c r="W49" s="145">
        <v>1.7985610485611484E-2</v>
      </c>
      <c r="X49" s="145">
        <v>0</v>
      </c>
      <c r="Y49" s="145">
        <v>0</v>
      </c>
      <c r="Z49" s="145">
        <v>0</v>
      </c>
      <c r="AA49" s="145">
        <v>0</v>
      </c>
      <c r="AB49" s="145">
        <v>0</v>
      </c>
      <c r="AC49" s="145">
        <v>0</v>
      </c>
      <c r="AD49" s="145">
        <v>0</v>
      </c>
      <c r="AE49" s="145">
        <v>2.6876080207214579E-2</v>
      </c>
      <c r="AF49" s="145">
        <v>9.0265352155744251E-3</v>
      </c>
      <c r="AG49" s="145">
        <v>0</v>
      </c>
      <c r="AH49" s="145">
        <v>2.1000000000000001E-2</v>
      </c>
      <c r="AI49" s="145">
        <v>0</v>
      </c>
      <c r="AJ49" s="145">
        <v>0</v>
      </c>
      <c r="AK49" s="145">
        <v>0</v>
      </c>
      <c r="AL49" s="145">
        <v>5.2981480132799146E-4</v>
      </c>
      <c r="AM49" s="145">
        <v>0</v>
      </c>
      <c r="AN49" s="145">
        <v>0</v>
      </c>
      <c r="AO49" s="145">
        <v>0</v>
      </c>
      <c r="AP49" s="145">
        <v>0</v>
      </c>
      <c r="AQ49" s="145">
        <v>0</v>
      </c>
      <c r="AR49" s="145">
        <v>0</v>
      </c>
      <c r="AS49" s="145">
        <v>0</v>
      </c>
      <c r="AT49" s="145">
        <v>0</v>
      </c>
      <c r="AU49" s="145">
        <v>0</v>
      </c>
      <c r="AV49" s="145">
        <v>0</v>
      </c>
      <c r="AW49" s="145">
        <v>0</v>
      </c>
      <c r="AX49" s="145">
        <v>0</v>
      </c>
      <c r="AY49" s="145">
        <v>0</v>
      </c>
      <c r="AZ49" s="145">
        <v>0</v>
      </c>
      <c r="BA49" s="145">
        <v>0</v>
      </c>
      <c r="BB49" s="145">
        <v>0</v>
      </c>
      <c r="BC49" s="145">
        <v>0</v>
      </c>
      <c r="BD49" s="145">
        <v>0</v>
      </c>
      <c r="BE49" s="145">
        <v>0</v>
      </c>
      <c r="BF49" s="145">
        <v>0</v>
      </c>
      <c r="BG49" s="145">
        <v>0</v>
      </c>
      <c r="BH49" s="145">
        <v>0</v>
      </c>
      <c r="BI49" s="145">
        <v>0</v>
      </c>
      <c r="BJ49" s="145">
        <v>0</v>
      </c>
      <c r="BK49" s="145">
        <v>0</v>
      </c>
      <c r="BL49" s="145">
        <v>0</v>
      </c>
      <c r="BM49" s="145">
        <v>0</v>
      </c>
      <c r="BN49" s="145">
        <v>0</v>
      </c>
      <c r="BO49" s="145">
        <v>0</v>
      </c>
      <c r="BP49" s="145">
        <v>0</v>
      </c>
      <c r="BQ49" s="145">
        <v>0</v>
      </c>
      <c r="BR49" s="145">
        <v>0</v>
      </c>
      <c r="BS49" s="145">
        <v>0</v>
      </c>
    </row>
    <row r="50" spans="1:71" x14ac:dyDescent="0.15">
      <c r="A50" s="181" t="s">
        <v>241</v>
      </c>
      <c r="B50" s="145">
        <v>0</v>
      </c>
      <c r="C50" s="145">
        <v>0</v>
      </c>
      <c r="D50" s="145">
        <v>4.0220012988151001E-3</v>
      </c>
      <c r="E50" s="145">
        <v>0.22997872640436512</v>
      </c>
      <c r="F50" s="145">
        <v>4.4009159019722383E-2</v>
      </c>
      <c r="G50" s="145">
        <v>6.0450939011038839E-3</v>
      </c>
      <c r="H50" s="145">
        <v>9.4843288077905931E-4</v>
      </c>
      <c r="I50" s="145">
        <v>0.3211682978674425</v>
      </c>
      <c r="J50" s="145">
        <v>0</v>
      </c>
      <c r="K50" s="145">
        <v>0</v>
      </c>
      <c r="L50" s="145">
        <v>2.6015711939543874E-2</v>
      </c>
      <c r="M50" s="145">
        <v>1.0992645938375026E-2</v>
      </c>
      <c r="N50" s="145">
        <v>7.0666581705325958E-3</v>
      </c>
      <c r="O50" s="145">
        <v>7.3612093022323022E-2</v>
      </c>
      <c r="P50" s="145">
        <v>0.1730599847421406</v>
      </c>
      <c r="Q50" s="145">
        <v>0</v>
      </c>
      <c r="R50" s="145">
        <v>3.7018947889075123E-2</v>
      </c>
      <c r="S50" s="145">
        <v>3.502311501276744E-2</v>
      </c>
      <c r="T50" s="145">
        <v>1.4010884793715697E-2</v>
      </c>
      <c r="U50" s="145">
        <v>6.1068517249767813E-2</v>
      </c>
      <c r="V50" s="145">
        <v>5.1023479311693265E-2</v>
      </c>
      <c r="W50" s="145">
        <v>0</v>
      </c>
      <c r="X50" s="145">
        <v>2.5022830796928117E-2</v>
      </c>
      <c r="Y50" s="145">
        <v>8.997840916410059E-2</v>
      </c>
      <c r="Z50" s="145">
        <v>2.3120370307454684E-2</v>
      </c>
      <c r="AA50" s="145">
        <v>2.7993472227714415E-2</v>
      </c>
      <c r="AB50" s="145">
        <v>3.3030779454083795E-2</v>
      </c>
      <c r="AC50" s="145">
        <v>0.10107681781942278</v>
      </c>
      <c r="AD50" s="145">
        <v>1.3991840497119998E-2</v>
      </c>
      <c r="AE50" s="145">
        <v>7.7730820599304626E-2</v>
      </c>
      <c r="AF50" s="145">
        <v>2.8120358171578836E-2</v>
      </c>
      <c r="AG50" s="145">
        <v>1.035983567893159E-3</v>
      </c>
      <c r="AH50" s="145">
        <v>0.44700000000000001</v>
      </c>
      <c r="AI50" s="145">
        <v>9.9849451604450898E-3</v>
      </c>
      <c r="AJ50" s="145">
        <v>1.3002977348299121E-4</v>
      </c>
      <c r="AK50" s="145">
        <v>0.17391284312203928</v>
      </c>
      <c r="AL50" s="145">
        <v>1.7993707245101586E-2</v>
      </c>
      <c r="AM50" s="145">
        <v>0</v>
      </c>
      <c r="AN50" s="145">
        <v>4.1958170072923302E-2</v>
      </c>
      <c r="AO50" s="145">
        <v>3.9183813490423283E-2</v>
      </c>
      <c r="AP50" s="145">
        <v>6.3053946658104256E-3</v>
      </c>
      <c r="AQ50" s="145">
        <v>0</v>
      </c>
      <c r="AR50" s="145">
        <v>3.0103775216177766E-3</v>
      </c>
      <c r="AS50" s="145">
        <v>0</v>
      </c>
      <c r="AT50" s="145">
        <v>0</v>
      </c>
      <c r="AU50" s="145">
        <v>0</v>
      </c>
      <c r="AV50" s="145">
        <v>0</v>
      </c>
      <c r="AW50" s="145">
        <v>6.0129464405318626E-3</v>
      </c>
      <c r="AX50" s="145">
        <v>3.0987300967547485E-2</v>
      </c>
      <c r="AY50" s="145">
        <v>0</v>
      </c>
      <c r="AZ50" s="145">
        <v>0</v>
      </c>
      <c r="BA50" s="145">
        <v>0</v>
      </c>
      <c r="BB50" s="145">
        <v>0</v>
      </c>
      <c r="BC50" s="145">
        <v>0</v>
      </c>
      <c r="BD50" s="145">
        <v>0</v>
      </c>
      <c r="BE50" s="145">
        <v>0</v>
      </c>
      <c r="BF50" s="145">
        <v>0</v>
      </c>
      <c r="BG50" s="145">
        <v>0</v>
      </c>
      <c r="BH50" s="145">
        <v>0</v>
      </c>
      <c r="BI50" s="145">
        <v>0</v>
      </c>
      <c r="BJ50" s="145">
        <v>0</v>
      </c>
      <c r="BK50" s="145">
        <v>0</v>
      </c>
      <c r="BL50" s="145">
        <v>0</v>
      </c>
      <c r="BM50" s="145">
        <v>0</v>
      </c>
      <c r="BN50" s="145">
        <v>0</v>
      </c>
      <c r="BO50" s="145">
        <v>0</v>
      </c>
      <c r="BP50" s="145">
        <v>0</v>
      </c>
      <c r="BQ50" s="145">
        <v>0</v>
      </c>
      <c r="BR50" s="145">
        <v>0</v>
      </c>
      <c r="BS50" s="145">
        <v>0</v>
      </c>
    </row>
    <row r="51" spans="1:71" x14ac:dyDescent="0.15">
      <c r="A51" s="181" t="s">
        <v>242</v>
      </c>
      <c r="B51" s="145">
        <v>0</v>
      </c>
      <c r="C51" s="145">
        <v>0</v>
      </c>
      <c r="D51" s="145">
        <v>0</v>
      </c>
      <c r="E51" s="145">
        <v>9.9990750610593534E-4</v>
      </c>
      <c r="F51" s="145">
        <v>1.8003746998977336E-4</v>
      </c>
      <c r="G51" s="145">
        <v>0</v>
      </c>
      <c r="H51" s="145">
        <v>0</v>
      </c>
      <c r="I51" s="145">
        <v>1.0005242133565191E-2</v>
      </c>
      <c r="J51" s="145">
        <v>0</v>
      </c>
      <c r="K51" s="145">
        <v>0</v>
      </c>
      <c r="L51" s="145">
        <v>0</v>
      </c>
      <c r="M51" s="145">
        <v>0</v>
      </c>
      <c r="N51" s="145">
        <v>6.057135446170793E-3</v>
      </c>
      <c r="O51" s="145">
        <v>2.0447803856200836E-3</v>
      </c>
      <c r="P51" s="145">
        <v>1.0303572784647675E-2</v>
      </c>
      <c r="Q51" s="145">
        <v>5.4549699729815333E-2</v>
      </c>
      <c r="R51" s="145">
        <v>2.3011780366181862E-2</v>
      </c>
      <c r="S51" s="145">
        <v>2.0013209664438516E-3</v>
      </c>
      <c r="T51" s="145">
        <v>4.8037315678453818E-4</v>
      </c>
      <c r="U51" s="145">
        <v>9.0000971547116709E-3</v>
      </c>
      <c r="V51" s="145">
        <v>2.2010128603083365E-2</v>
      </c>
      <c r="W51" s="145">
        <v>7.983613215557557E-2</v>
      </c>
      <c r="X51" s="145">
        <v>0</v>
      </c>
      <c r="Y51" s="145">
        <v>0</v>
      </c>
      <c r="Z51" s="145">
        <v>0</v>
      </c>
      <c r="AA51" s="145">
        <v>9.1978549762490223E-4</v>
      </c>
      <c r="AB51" s="145">
        <v>1.8016785102227581E-2</v>
      </c>
      <c r="AC51" s="145">
        <v>1.9014451477911209E-2</v>
      </c>
      <c r="AD51" s="145">
        <v>4.7972022132982957E-4</v>
      </c>
      <c r="AE51" s="145">
        <v>2.5876970199511438E-2</v>
      </c>
      <c r="AF51" s="145">
        <v>3.0121805819378011E-2</v>
      </c>
      <c r="AG51" s="145">
        <v>1.4503768710504215E-2</v>
      </c>
      <c r="AH51" s="145">
        <v>6.2E-2</v>
      </c>
      <c r="AI51" s="145">
        <v>9.9849451604450898E-3</v>
      </c>
      <c r="AJ51" s="145">
        <v>7.0016034621610641E-3</v>
      </c>
      <c r="AK51" s="145">
        <v>1.5991986270992142E-2</v>
      </c>
      <c r="AL51" s="145">
        <v>2.7990212770158028E-2</v>
      </c>
      <c r="AM51" s="145">
        <v>0</v>
      </c>
      <c r="AN51" s="145">
        <v>0</v>
      </c>
      <c r="AO51" s="145">
        <v>0</v>
      </c>
      <c r="AP51" s="145">
        <v>0</v>
      </c>
      <c r="AQ51" s="145">
        <v>3.1993479407250412E-5</v>
      </c>
      <c r="AR51" s="145">
        <v>0</v>
      </c>
      <c r="AS51" s="145">
        <v>0</v>
      </c>
      <c r="AT51" s="145">
        <v>0</v>
      </c>
      <c r="AU51" s="145">
        <v>1.3001040460446832E-2</v>
      </c>
      <c r="AV51" s="145">
        <v>0</v>
      </c>
      <c r="AW51" s="145">
        <v>0</v>
      </c>
      <c r="AX51" s="145">
        <v>0</v>
      </c>
      <c r="AY51" s="145">
        <v>0</v>
      </c>
      <c r="AZ51" s="145">
        <v>0</v>
      </c>
      <c r="BA51" s="145">
        <v>0</v>
      </c>
      <c r="BB51" s="145">
        <v>0</v>
      </c>
      <c r="BC51" s="145">
        <v>0</v>
      </c>
      <c r="BD51" s="145">
        <v>0</v>
      </c>
      <c r="BE51" s="145">
        <v>0</v>
      </c>
      <c r="BF51" s="145">
        <v>0</v>
      </c>
      <c r="BG51" s="145">
        <v>0</v>
      </c>
      <c r="BH51" s="145">
        <v>0</v>
      </c>
      <c r="BI51" s="145">
        <v>0</v>
      </c>
      <c r="BJ51" s="145">
        <v>0</v>
      </c>
      <c r="BK51" s="145">
        <v>0</v>
      </c>
      <c r="BL51" s="145">
        <v>0</v>
      </c>
      <c r="BM51" s="145">
        <v>0</v>
      </c>
      <c r="BN51" s="145">
        <v>0</v>
      </c>
      <c r="BO51" s="145">
        <v>0</v>
      </c>
      <c r="BP51" s="145">
        <v>0</v>
      </c>
      <c r="BQ51" s="145">
        <v>0</v>
      </c>
      <c r="BR51" s="145">
        <v>0</v>
      </c>
      <c r="BS51" s="145">
        <v>0</v>
      </c>
    </row>
    <row r="52" spans="1:71" x14ac:dyDescent="0.15">
      <c r="A52" s="181" t="s">
        <v>243</v>
      </c>
      <c r="B52" s="145">
        <v>0</v>
      </c>
      <c r="C52" s="145">
        <v>0</v>
      </c>
      <c r="D52" s="145">
        <v>0</v>
      </c>
      <c r="E52" s="145">
        <v>5.9994454866356146E-3</v>
      </c>
      <c r="F52" s="145">
        <v>4.7009783652885273E-2</v>
      </c>
      <c r="G52" s="145">
        <v>8.0601258681385016E-3</v>
      </c>
      <c r="H52" s="145">
        <v>3.4979081891113928E-2</v>
      </c>
      <c r="I52" s="145">
        <v>3.9020449740904205E-2</v>
      </c>
      <c r="J52" s="145">
        <v>0</v>
      </c>
      <c r="K52" s="145">
        <v>9.9130081053157965E-4</v>
      </c>
      <c r="L52" s="145">
        <v>3.8022964157794897E-4</v>
      </c>
      <c r="M52" s="145">
        <v>0</v>
      </c>
      <c r="N52" s="145">
        <v>1.3123793816703394E-2</v>
      </c>
      <c r="O52" s="145">
        <v>8.690315896385363E-2</v>
      </c>
      <c r="P52" s="145">
        <v>8.4529309874051314E-2</v>
      </c>
      <c r="Q52" s="145">
        <v>2.7333253864618396E-2</v>
      </c>
      <c r="R52" s="145">
        <v>3.601843547315417E-2</v>
      </c>
      <c r="S52" s="145">
        <v>7.014629882385702E-2</v>
      </c>
      <c r="T52" s="145">
        <v>4.0031099982044847E-3</v>
      </c>
      <c r="U52" s="145">
        <v>5.706402758093064E-2</v>
      </c>
      <c r="V52" s="145">
        <v>2.2010128603083365E-2</v>
      </c>
      <c r="W52" s="145">
        <v>0</v>
      </c>
      <c r="X52" s="145">
        <v>2.5022830796928117E-2</v>
      </c>
      <c r="Y52" s="145">
        <v>3.499160297492801E-2</v>
      </c>
      <c r="Z52" s="145">
        <v>1.0052335133675953E-3</v>
      </c>
      <c r="AA52" s="145">
        <v>7.9981339793469795E-3</v>
      </c>
      <c r="AB52" s="145">
        <v>0.10810074021336501</v>
      </c>
      <c r="AC52" s="145">
        <v>7.7158643898787044E-2</v>
      </c>
      <c r="AD52" s="145">
        <v>3.9976688277485661E-3</v>
      </c>
      <c r="AE52" s="145">
        <v>5.6849400438308877E-2</v>
      </c>
      <c r="AF52" s="145">
        <v>3.0121805819378011E-2</v>
      </c>
      <c r="AG52" s="145">
        <v>3.9470967200729304E-2</v>
      </c>
      <c r="AH52" s="145">
        <v>0</v>
      </c>
      <c r="AI52" s="145">
        <v>1.3992916124847972E-2</v>
      </c>
      <c r="AJ52" s="145">
        <v>0</v>
      </c>
      <c r="AK52" s="145">
        <v>0</v>
      </c>
      <c r="AL52" s="145">
        <v>3.1988814580180602E-2</v>
      </c>
      <c r="AM52" s="145">
        <v>0</v>
      </c>
      <c r="AN52" s="145">
        <v>0</v>
      </c>
      <c r="AO52" s="145">
        <v>4.2360879340998144E-3</v>
      </c>
      <c r="AP52" s="145">
        <v>1.67864076356018E-2</v>
      </c>
      <c r="AQ52" s="145">
        <v>2.9993887944297238E-3</v>
      </c>
      <c r="AR52" s="145">
        <v>3.0103775216177766E-3</v>
      </c>
      <c r="AS52" s="145">
        <v>0</v>
      </c>
      <c r="AT52" s="145">
        <v>0</v>
      </c>
      <c r="AU52" s="145">
        <v>0</v>
      </c>
      <c r="AV52" s="145">
        <v>0</v>
      </c>
      <c r="AW52" s="145">
        <v>3.601764562248698E-2</v>
      </c>
      <c r="AX52" s="145">
        <v>3.1986885798758524E-2</v>
      </c>
      <c r="AY52" s="145">
        <v>0</v>
      </c>
      <c r="AZ52" s="145">
        <v>0</v>
      </c>
      <c r="BA52" s="145">
        <v>0</v>
      </c>
      <c r="BB52" s="145">
        <v>0</v>
      </c>
      <c r="BC52" s="145">
        <v>0</v>
      </c>
      <c r="BD52" s="145">
        <v>0</v>
      </c>
      <c r="BE52" s="145">
        <v>0</v>
      </c>
      <c r="BF52" s="145">
        <v>0</v>
      </c>
      <c r="BG52" s="145">
        <v>0</v>
      </c>
      <c r="BH52" s="145">
        <v>0</v>
      </c>
      <c r="BI52" s="145">
        <v>0</v>
      </c>
      <c r="BJ52" s="145">
        <v>0</v>
      </c>
      <c r="BK52" s="145">
        <v>0</v>
      </c>
      <c r="BL52" s="145">
        <v>0</v>
      </c>
      <c r="BM52" s="145">
        <v>0</v>
      </c>
      <c r="BN52" s="145">
        <v>0</v>
      </c>
      <c r="BO52" s="145">
        <v>0</v>
      </c>
      <c r="BP52" s="145">
        <v>0</v>
      </c>
      <c r="BQ52" s="145">
        <v>0</v>
      </c>
      <c r="BR52" s="145">
        <v>0</v>
      </c>
      <c r="BS52" s="145">
        <v>0</v>
      </c>
    </row>
    <row r="53" spans="1:71" x14ac:dyDescent="0.15">
      <c r="A53" s="181" t="s">
        <v>244</v>
      </c>
      <c r="B53" s="145">
        <v>0</v>
      </c>
      <c r="C53" s="145">
        <v>0</v>
      </c>
      <c r="D53" s="145">
        <v>3.3181510072724583E-5</v>
      </c>
      <c r="E53" s="145">
        <v>1.3998705385483097E-4</v>
      </c>
      <c r="F53" s="145">
        <v>9.2019153550328553E-2</v>
      </c>
      <c r="G53" s="145">
        <v>0</v>
      </c>
      <c r="H53" s="145">
        <v>0</v>
      </c>
      <c r="I53" s="145">
        <v>5.1026735161182474E-2</v>
      </c>
      <c r="J53" s="145">
        <v>2.2999868745850597E-6</v>
      </c>
      <c r="K53" s="145">
        <v>0</v>
      </c>
      <c r="L53" s="145">
        <v>0</v>
      </c>
      <c r="M53" s="145">
        <v>0</v>
      </c>
      <c r="N53" s="145">
        <v>9.0857032192561919E-3</v>
      </c>
      <c r="O53" s="145">
        <v>0</v>
      </c>
      <c r="P53" s="145">
        <v>1.0303572784647675E-2</v>
      </c>
      <c r="Q53" s="145">
        <v>6.8216329662124528E-2</v>
      </c>
      <c r="R53" s="145">
        <v>1.5007682338814249E-2</v>
      </c>
      <c r="S53" s="145">
        <v>7.6150258723188619E-2</v>
      </c>
      <c r="T53" s="145">
        <v>3.7028767083391488E-5</v>
      </c>
      <c r="U53" s="145">
        <v>1.0001221871921004E-3</v>
      </c>
      <c r="V53" s="145">
        <v>2.2010128603083365E-2</v>
      </c>
      <c r="W53" s="145">
        <v>0.12490009837230266</v>
      </c>
      <c r="X53" s="145">
        <v>7.116493226646361E-5</v>
      </c>
      <c r="Y53" s="145">
        <v>1.9995201214244581E-2</v>
      </c>
      <c r="Z53" s="145">
        <v>0</v>
      </c>
      <c r="AA53" s="145">
        <v>3.2992302214806285E-6</v>
      </c>
      <c r="AB53" s="145">
        <v>3.0027981303712538E-3</v>
      </c>
      <c r="AC53" s="145">
        <v>0</v>
      </c>
      <c r="AD53" s="145">
        <v>3.6978434106674345E-5</v>
      </c>
      <c r="AE53" s="145">
        <v>2.987341283032401E-3</v>
      </c>
      <c r="AF53" s="145">
        <v>3.4124706714976492E-2</v>
      </c>
      <c r="AG53" s="145">
        <v>9.3445690711962733E-3</v>
      </c>
      <c r="AH53" s="145">
        <v>3.2000000000000001E-2</v>
      </c>
      <c r="AI53" s="145">
        <v>0.30384615588241276</v>
      </c>
      <c r="AJ53" s="145">
        <v>0</v>
      </c>
      <c r="AK53" s="145">
        <v>1.6991485400429149E-2</v>
      </c>
      <c r="AL53" s="145">
        <v>5.2981473632799127E-2</v>
      </c>
      <c r="AM53" s="145">
        <v>5.0025811002772386E-3</v>
      </c>
      <c r="AN53" s="145">
        <v>0</v>
      </c>
      <c r="AO53" s="145">
        <v>3.2829682789273541E-2</v>
      </c>
      <c r="AP53" s="145">
        <v>2.2032158315477373E-2</v>
      </c>
      <c r="AQ53" s="145">
        <v>0.10297901009208728</v>
      </c>
      <c r="AR53" s="145">
        <v>8.0276730043140707E-3</v>
      </c>
      <c r="AS53" s="145">
        <v>6.0407350955466689E-3</v>
      </c>
      <c r="AT53" s="145">
        <v>0</v>
      </c>
      <c r="AU53" s="145">
        <v>6.0004805455908423E-3</v>
      </c>
      <c r="AV53" s="145">
        <v>0.15286241891327793</v>
      </c>
      <c r="AW53" s="145">
        <v>0.45122110529282361</v>
      </c>
      <c r="AX53" s="145">
        <v>0.1699303293059046</v>
      </c>
      <c r="AY53" s="145">
        <v>0.45895410458954106</v>
      </c>
      <c r="AZ53" s="145">
        <v>0.12902579625825192</v>
      </c>
      <c r="BA53" s="145">
        <v>1.0000000251000006E-2</v>
      </c>
      <c r="BB53" s="145">
        <v>0</v>
      </c>
      <c r="BC53" s="145">
        <v>0</v>
      </c>
      <c r="BD53" s="145">
        <v>0</v>
      </c>
      <c r="BE53" s="145">
        <v>0</v>
      </c>
      <c r="BF53" s="145">
        <v>0</v>
      </c>
      <c r="BG53" s="145">
        <v>0</v>
      </c>
      <c r="BH53" s="145">
        <v>0</v>
      </c>
      <c r="BI53" s="145">
        <v>0</v>
      </c>
      <c r="BJ53" s="145">
        <v>0</v>
      </c>
      <c r="BK53" s="145">
        <v>0</v>
      </c>
      <c r="BL53" s="145">
        <v>0</v>
      </c>
      <c r="BM53" s="145">
        <v>0</v>
      </c>
      <c r="BN53" s="145">
        <v>0</v>
      </c>
      <c r="BO53" s="145">
        <v>0</v>
      </c>
      <c r="BP53" s="145">
        <v>0</v>
      </c>
      <c r="BQ53" s="145">
        <v>0</v>
      </c>
      <c r="BR53" s="145">
        <v>0</v>
      </c>
      <c r="BS53" s="145">
        <v>0</v>
      </c>
    </row>
    <row r="54" spans="1:71" x14ac:dyDescent="0.15">
      <c r="A54" s="181" t="s">
        <v>245</v>
      </c>
      <c r="B54" s="145">
        <v>0</v>
      </c>
      <c r="C54" s="145">
        <v>0</v>
      </c>
      <c r="D54" s="145">
        <v>9.5623080209579012E-5</v>
      </c>
      <c r="E54" s="145">
        <v>2.0998057328224643E-4</v>
      </c>
      <c r="F54" s="145">
        <v>0.10402165168298011</v>
      </c>
      <c r="G54" s="145">
        <v>0</v>
      </c>
      <c r="H54" s="145">
        <v>0</v>
      </c>
      <c r="I54" s="145">
        <v>3.0015727300695565E-2</v>
      </c>
      <c r="J54" s="145">
        <v>0</v>
      </c>
      <c r="K54" s="145">
        <v>0</v>
      </c>
      <c r="L54" s="145">
        <v>1.0006043615209184E-3</v>
      </c>
      <c r="M54" s="145">
        <v>0</v>
      </c>
      <c r="N54" s="145">
        <v>2.523806380904496E-5</v>
      </c>
      <c r="O54" s="145">
        <v>0</v>
      </c>
      <c r="P54" s="145">
        <v>3.0910717253943027E-3</v>
      </c>
      <c r="Q54" s="145">
        <v>0</v>
      </c>
      <c r="R54" s="145">
        <v>1.0005121259209496E-2</v>
      </c>
      <c r="S54" s="145">
        <v>2.0013209664438516E-3</v>
      </c>
      <c r="T54" s="145">
        <v>3.4026434184738119E-5</v>
      </c>
      <c r="U54" s="145">
        <v>1.3014601623721005E-4</v>
      </c>
      <c r="V54" s="145">
        <v>0</v>
      </c>
      <c r="W54" s="145">
        <v>0</v>
      </c>
      <c r="X54" s="145">
        <v>6.71612821389552E-5</v>
      </c>
      <c r="Y54" s="145">
        <v>0</v>
      </c>
      <c r="Z54" s="145">
        <v>0</v>
      </c>
      <c r="AA54" s="145">
        <v>0</v>
      </c>
      <c r="AB54" s="145">
        <v>2.6024249569884216E-4</v>
      </c>
      <c r="AC54" s="145">
        <v>0</v>
      </c>
      <c r="AD54" s="145">
        <v>3.3980183035862898E-5</v>
      </c>
      <c r="AE54" s="145">
        <v>0</v>
      </c>
      <c r="AF54" s="145">
        <v>6.5147161555864077E-4</v>
      </c>
      <c r="AG54" s="145">
        <v>3.118310383758407E-3</v>
      </c>
      <c r="AH54" s="145">
        <v>0</v>
      </c>
      <c r="AI54" s="145">
        <v>0.26386640423999008</v>
      </c>
      <c r="AJ54" s="145">
        <v>0</v>
      </c>
      <c r="AK54" s="145">
        <v>1.9989982788740174E-2</v>
      </c>
      <c r="AL54" s="145">
        <v>2.6990562767652385E-2</v>
      </c>
      <c r="AM54" s="145">
        <v>2.0010327401109016E-3</v>
      </c>
      <c r="AN54" s="145">
        <v>0</v>
      </c>
      <c r="AO54" s="145">
        <v>0.10907927030307013</v>
      </c>
      <c r="AP54" s="145">
        <v>3.35728152712036E-2</v>
      </c>
      <c r="AQ54" s="145">
        <v>5.7988178925641412E-2</v>
      </c>
      <c r="AR54" s="145">
        <v>1.0024556805387195E-4</v>
      </c>
      <c r="AS54" s="145">
        <v>6.0407350955466689E-3</v>
      </c>
      <c r="AT54" s="145">
        <v>1.7991237469156804E-4</v>
      </c>
      <c r="AU54" s="145">
        <v>3.0002402777954212E-3</v>
      </c>
      <c r="AV54" s="145">
        <v>0.13487860345289224</v>
      </c>
      <c r="AW54" s="145">
        <v>0.13006372852564754</v>
      </c>
      <c r="AX54" s="145">
        <v>0.25589508599006816</v>
      </c>
      <c r="AY54" s="145">
        <v>0.48095190480951905</v>
      </c>
      <c r="AZ54" s="145">
        <v>0.12902579625825192</v>
      </c>
      <c r="BA54" s="145">
        <v>0.1349999933884998</v>
      </c>
      <c r="BB54" s="145">
        <v>0</v>
      </c>
      <c r="BC54" s="145">
        <v>0</v>
      </c>
      <c r="BD54" s="145">
        <v>0</v>
      </c>
      <c r="BE54" s="145">
        <v>0</v>
      </c>
      <c r="BF54" s="145">
        <v>0</v>
      </c>
      <c r="BG54" s="145">
        <v>0</v>
      </c>
      <c r="BH54" s="145">
        <v>0</v>
      </c>
      <c r="BI54" s="145">
        <v>0</v>
      </c>
      <c r="BJ54" s="145">
        <v>0</v>
      </c>
      <c r="BK54" s="145">
        <v>0</v>
      </c>
      <c r="BL54" s="145">
        <v>0</v>
      </c>
      <c r="BM54" s="145">
        <v>0</v>
      </c>
      <c r="BN54" s="145">
        <v>0</v>
      </c>
      <c r="BO54" s="145">
        <v>0</v>
      </c>
      <c r="BP54" s="145">
        <v>0</v>
      </c>
      <c r="BQ54" s="145">
        <v>0</v>
      </c>
      <c r="BR54" s="145">
        <v>0</v>
      </c>
      <c r="BS54" s="145">
        <v>0</v>
      </c>
    </row>
    <row r="55" spans="1:71" x14ac:dyDescent="0.15">
      <c r="A55" s="181" t="s">
        <v>246</v>
      </c>
      <c r="B55" s="145">
        <v>0</v>
      </c>
      <c r="C55" s="145">
        <v>0</v>
      </c>
      <c r="D55" s="145">
        <v>0</v>
      </c>
      <c r="E55" s="145">
        <v>8.7991860537322316E-4</v>
      </c>
      <c r="F55" s="145">
        <v>2.0004163554419255E-3</v>
      </c>
      <c r="G55" s="145">
        <v>0</v>
      </c>
      <c r="H55" s="145">
        <v>0</v>
      </c>
      <c r="I55" s="145">
        <v>1.1005767526921704E-2</v>
      </c>
      <c r="J55" s="145">
        <v>0</v>
      </c>
      <c r="K55" s="145">
        <v>0</v>
      </c>
      <c r="L55" s="145">
        <v>0</v>
      </c>
      <c r="M55" s="145">
        <v>0</v>
      </c>
      <c r="N55" s="145">
        <v>1.4133316041065185E-5</v>
      </c>
      <c r="O55" s="145">
        <v>3.0671702334301295E-3</v>
      </c>
      <c r="P55" s="145">
        <v>1.0003467985094831E-2</v>
      </c>
      <c r="Q55" s="145">
        <v>2.920219655536152E-2</v>
      </c>
      <c r="R55" s="145">
        <v>1.0005122859209521E-3</v>
      </c>
      <c r="S55" s="145">
        <v>3.1020473179879732E-2</v>
      </c>
      <c r="T55" s="145">
        <v>0</v>
      </c>
      <c r="U55" s="145">
        <v>1.2013478606511698E-4</v>
      </c>
      <c r="V55" s="145">
        <v>2.2010128603083365E-2</v>
      </c>
      <c r="W55" s="145">
        <v>1.7985610485611484E-2</v>
      </c>
      <c r="X55" s="145">
        <v>0</v>
      </c>
      <c r="Y55" s="145">
        <v>2.3994239777093516E-4</v>
      </c>
      <c r="Z55" s="145">
        <v>0</v>
      </c>
      <c r="AA55" s="145">
        <v>0</v>
      </c>
      <c r="AB55" s="145">
        <v>0</v>
      </c>
      <c r="AC55" s="145">
        <v>1.4010647836355637E-4</v>
      </c>
      <c r="AD55" s="145">
        <v>0</v>
      </c>
      <c r="AE55" s="145">
        <v>0</v>
      </c>
      <c r="AF55" s="145">
        <v>9.0265352155744251E-3</v>
      </c>
      <c r="AG55" s="145">
        <v>0</v>
      </c>
      <c r="AH55" s="145">
        <v>0</v>
      </c>
      <c r="AI55" s="145">
        <v>5.3972677267270765E-2</v>
      </c>
      <c r="AJ55" s="145">
        <v>0</v>
      </c>
      <c r="AK55" s="145">
        <v>1.099449032380709E-2</v>
      </c>
      <c r="AL55" s="145">
        <v>1.0996155427562083E-2</v>
      </c>
      <c r="AM55" s="145">
        <v>0.16908724938937084</v>
      </c>
      <c r="AN55" s="145">
        <v>0</v>
      </c>
      <c r="AO55" s="145">
        <v>2.8593595655173713E-2</v>
      </c>
      <c r="AP55" s="145">
        <v>3.1474514279253379E-3</v>
      </c>
      <c r="AQ55" s="145">
        <v>0.19895945131383846</v>
      </c>
      <c r="AR55" s="145">
        <v>1.3044968207010364E-2</v>
      </c>
      <c r="AS55" s="145">
        <v>1.0067892859244464E-3</v>
      </c>
      <c r="AT55" s="145">
        <v>0</v>
      </c>
      <c r="AU55" s="145">
        <v>0</v>
      </c>
      <c r="AV55" s="145">
        <v>3.1971228218463446E-2</v>
      </c>
      <c r="AW55" s="145">
        <v>8.0139265440033594E-2</v>
      </c>
      <c r="AX55" s="145">
        <v>0</v>
      </c>
      <c r="AY55" s="145">
        <v>0</v>
      </c>
      <c r="AZ55" s="145">
        <v>0</v>
      </c>
      <c r="BA55" s="145">
        <v>0.12699999218769981</v>
      </c>
      <c r="BB55" s="145">
        <v>0</v>
      </c>
      <c r="BC55" s="145">
        <v>0</v>
      </c>
      <c r="BD55" s="145">
        <v>0</v>
      </c>
      <c r="BE55" s="145">
        <v>0</v>
      </c>
      <c r="BF55" s="145">
        <v>0</v>
      </c>
      <c r="BG55" s="145">
        <v>0</v>
      </c>
      <c r="BH55" s="145">
        <v>0</v>
      </c>
      <c r="BI55" s="145">
        <v>0</v>
      </c>
      <c r="BJ55" s="145">
        <v>0</v>
      </c>
      <c r="BK55" s="145">
        <v>0</v>
      </c>
      <c r="BL55" s="145">
        <v>0</v>
      </c>
      <c r="BM55" s="145">
        <v>0</v>
      </c>
      <c r="BN55" s="145">
        <v>0</v>
      </c>
      <c r="BO55" s="145">
        <v>0</v>
      </c>
      <c r="BP55" s="145">
        <v>0</v>
      </c>
      <c r="BQ55" s="145">
        <v>0</v>
      </c>
      <c r="BR55" s="145">
        <v>0</v>
      </c>
      <c r="BS55" s="145">
        <v>0</v>
      </c>
    </row>
    <row r="56" spans="1:71" x14ac:dyDescent="0.15">
      <c r="A56" s="181" t="s">
        <v>247</v>
      </c>
      <c r="B56" s="145">
        <v>0</v>
      </c>
      <c r="C56" s="145">
        <v>0</v>
      </c>
      <c r="D56" s="145">
        <v>2.1115508846279283E-6</v>
      </c>
      <c r="E56" s="145">
        <v>1.1998890973271229E-2</v>
      </c>
      <c r="F56" s="145">
        <v>0.22304643203177452</v>
      </c>
      <c r="G56" s="145">
        <v>0</v>
      </c>
      <c r="H56" s="145">
        <v>0</v>
      </c>
      <c r="I56" s="145">
        <v>0</v>
      </c>
      <c r="J56" s="145">
        <v>0</v>
      </c>
      <c r="K56" s="145">
        <v>0</v>
      </c>
      <c r="L56" s="145">
        <v>0</v>
      </c>
      <c r="M56" s="145">
        <v>0</v>
      </c>
      <c r="N56" s="145">
        <v>7.2685625054049526E-4</v>
      </c>
      <c r="O56" s="145">
        <v>3.0671702334301295E-3</v>
      </c>
      <c r="P56" s="145">
        <v>3.0910717253943027E-3</v>
      </c>
      <c r="Q56" s="145">
        <v>2.920219655536152E-2</v>
      </c>
      <c r="R56" s="145">
        <v>1.5007682338814249E-2</v>
      </c>
      <c r="S56" s="145">
        <v>0.43328597373509414</v>
      </c>
      <c r="T56" s="145">
        <v>1.9014772291471303E-4</v>
      </c>
      <c r="U56" s="145">
        <v>1.0001221871921004E-3</v>
      </c>
      <c r="V56" s="145">
        <v>0</v>
      </c>
      <c r="W56" s="145">
        <v>0</v>
      </c>
      <c r="X56" s="145">
        <v>2.9026483424436604E-6</v>
      </c>
      <c r="Y56" s="145">
        <v>1.9995202114244572E-3</v>
      </c>
      <c r="Z56" s="145">
        <v>0</v>
      </c>
      <c r="AA56" s="145">
        <v>3.8990905099316512E-4</v>
      </c>
      <c r="AB56" s="145">
        <v>6.1156988989227864E-4</v>
      </c>
      <c r="AC56" s="145">
        <v>0</v>
      </c>
      <c r="AD56" s="145">
        <v>1.8988925781805737E-4</v>
      </c>
      <c r="AE56" s="145">
        <v>0</v>
      </c>
      <c r="AF56" s="145">
        <v>9.2266792203543233E-4</v>
      </c>
      <c r="AG56" s="145">
        <v>4.1542933616515619E-3</v>
      </c>
      <c r="AH56" s="145">
        <v>0</v>
      </c>
      <c r="AI56" s="145">
        <v>3.7980770610301605E-2</v>
      </c>
      <c r="AJ56" s="145">
        <v>0</v>
      </c>
      <c r="AK56" s="145">
        <v>0.10594690912032292</v>
      </c>
      <c r="AL56" s="145">
        <v>8.6869620217740431E-2</v>
      </c>
      <c r="AM56" s="145">
        <v>0.17509034650970351</v>
      </c>
      <c r="AN56" s="145">
        <v>0</v>
      </c>
      <c r="AO56" s="145">
        <v>8.3662748698471137E-2</v>
      </c>
      <c r="AP56" s="145">
        <v>0.20773179920307228</v>
      </c>
      <c r="AQ56" s="145">
        <v>0.10897778498094679</v>
      </c>
      <c r="AR56" s="145">
        <v>1.1038051005931847E-2</v>
      </c>
      <c r="AS56" s="145">
        <v>1.7115416270715566E-2</v>
      </c>
      <c r="AT56" s="145">
        <v>5.9970795430522757E-3</v>
      </c>
      <c r="AU56" s="145">
        <v>2.2001761663833091E-2</v>
      </c>
      <c r="AV56" s="145">
        <v>0.20581476926885811</v>
      </c>
      <c r="AW56" s="145">
        <v>5.0124560587961095E-2</v>
      </c>
      <c r="AX56" s="145">
        <v>0.16493237514984849</v>
      </c>
      <c r="AY56" s="145">
        <v>0</v>
      </c>
      <c r="AZ56" s="145">
        <v>0.12902579625825192</v>
      </c>
      <c r="BA56" s="145">
        <v>4.9000001229900024E-2</v>
      </c>
      <c r="BB56" s="145">
        <v>0</v>
      </c>
      <c r="BC56" s="145">
        <v>9.999000139986002E-4</v>
      </c>
      <c r="BD56" s="145">
        <v>0.01</v>
      </c>
      <c r="BE56" s="145">
        <v>0.04</v>
      </c>
      <c r="BF56" s="145">
        <v>0</v>
      </c>
      <c r="BG56" s="145">
        <v>0</v>
      </c>
      <c r="BH56" s="145">
        <v>0</v>
      </c>
      <c r="BI56" s="145">
        <v>0</v>
      </c>
      <c r="BJ56" s="145">
        <v>0</v>
      </c>
      <c r="BK56" s="145">
        <v>0</v>
      </c>
      <c r="BL56" s="145">
        <v>0</v>
      </c>
      <c r="BM56" s="145">
        <v>0</v>
      </c>
      <c r="BN56" s="145">
        <v>0</v>
      </c>
      <c r="BO56" s="145">
        <v>0</v>
      </c>
      <c r="BP56" s="145">
        <v>0</v>
      </c>
      <c r="BQ56" s="145">
        <v>0</v>
      </c>
      <c r="BR56" s="145">
        <v>0</v>
      </c>
      <c r="BS56" s="145">
        <v>0</v>
      </c>
    </row>
    <row r="57" spans="1:71" x14ac:dyDescent="0.15">
      <c r="A57" s="181" t="s">
        <v>248</v>
      </c>
      <c r="B57" s="145">
        <v>0</v>
      </c>
      <c r="C57" s="145">
        <v>0</v>
      </c>
      <c r="D57" s="145">
        <v>5.3291520116800089E-4</v>
      </c>
      <c r="E57" s="145">
        <v>8.9991670549534157E-3</v>
      </c>
      <c r="F57" s="145">
        <v>0.20004163254419263</v>
      </c>
      <c r="G57" s="145">
        <v>0</v>
      </c>
      <c r="H57" s="145">
        <v>6.6860018645014868E-2</v>
      </c>
      <c r="I57" s="145">
        <v>2.2011535053843408E-2</v>
      </c>
      <c r="J57" s="145">
        <v>5.3999693481562298E-2</v>
      </c>
      <c r="K57" s="145">
        <v>0</v>
      </c>
      <c r="L57" s="145">
        <v>2.1012690031939282E-6</v>
      </c>
      <c r="M57" s="145">
        <v>0</v>
      </c>
      <c r="N57" s="145">
        <v>0</v>
      </c>
      <c r="O57" s="145">
        <v>0.26582145383061079</v>
      </c>
      <c r="P57" s="145">
        <v>6.7023229900135387E-2</v>
      </c>
      <c r="Q57" s="145">
        <v>0.30019858351311646</v>
      </c>
      <c r="R57" s="145">
        <v>0.3361720793494391</v>
      </c>
      <c r="S57" s="145">
        <v>0.24816378583903784</v>
      </c>
      <c r="T57" s="145">
        <v>0.3402643198473812</v>
      </c>
      <c r="U57" s="145">
        <v>0.2552864293883737</v>
      </c>
      <c r="V57" s="145">
        <v>9.2042358758348583E-2</v>
      </c>
      <c r="W57" s="145">
        <v>0.1598721043165468</v>
      </c>
      <c r="X57" s="145">
        <v>0.2232036511085988</v>
      </c>
      <c r="Y57" s="145">
        <v>2.599376225851795E-2</v>
      </c>
      <c r="Z57" s="145">
        <v>0</v>
      </c>
      <c r="AA57" s="145">
        <v>0.57986469850265598</v>
      </c>
      <c r="AB57" s="145">
        <v>0.48545237597668583</v>
      </c>
      <c r="AC57" s="145">
        <v>0.1861414588258678</v>
      </c>
      <c r="AD57" s="145">
        <v>0.33680358548781725</v>
      </c>
      <c r="AE57" s="145">
        <v>8.7721930676336088E-2</v>
      </c>
      <c r="AF57" s="145">
        <v>9.0265342155743999E-2</v>
      </c>
      <c r="AG57" s="145">
        <v>6.744252051384457E-2</v>
      </c>
      <c r="AH57" s="145">
        <v>3.5999999999999997E-2</v>
      </c>
      <c r="AI57" s="145">
        <v>0.28485578757726215</v>
      </c>
      <c r="AJ57" s="145">
        <v>1.3002977348299121E-4</v>
      </c>
      <c r="AK57" s="145">
        <v>0.30484724897828802</v>
      </c>
      <c r="AL57" s="145">
        <v>0.42585107806740424</v>
      </c>
      <c r="AM57" s="145">
        <v>0.15307899106848369</v>
      </c>
      <c r="AN57" s="145">
        <v>0</v>
      </c>
      <c r="AO57" s="145">
        <v>0.30182129530461133</v>
      </c>
      <c r="AP57" s="145">
        <v>0.44169235030552245</v>
      </c>
      <c r="AQ57" s="145">
        <v>0.15796781807329865</v>
      </c>
      <c r="AR57" s="145">
        <v>7.024214003774812E-3</v>
      </c>
      <c r="AS57" s="145">
        <v>0.13188939008610237</v>
      </c>
      <c r="AT57" s="145">
        <v>2.5987343333226502E-4</v>
      </c>
      <c r="AU57" s="145">
        <v>0.1860148890033162</v>
      </c>
      <c r="AV57" s="145">
        <v>0.12089120309481481</v>
      </c>
      <c r="AW57" s="145">
        <v>8.7142701022183897E-2</v>
      </c>
      <c r="AX57" s="145">
        <v>9.7959833058697834E-2</v>
      </c>
      <c r="AY57" s="145">
        <v>6.0093990600939909E-2</v>
      </c>
      <c r="AZ57" s="145">
        <v>0.51810364397499431</v>
      </c>
      <c r="BA57" s="145">
        <v>2.0000000502000011E-2</v>
      </c>
      <c r="BB57" s="145">
        <v>0</v>
      </c>
      <c r="BC57" s="145">
        <v>9.999000139986002E-4</v>
      </c>
      <c r="BD57" s="145">
        <v>0.01</v>
      </c>
      <c r="BE57" s="145">
        <v>0.01</v>
      </c>
      <c r="BF57" s="145">
        <v>0</v>
      </c>
      <c r="BG57" s="145">
        <v>0</v>
      </c>
      <c r="BH57" s="145">
        <v>0</v>
      </c>
      <c r="BI57" s="145">
        <v>0</v>
      </c>
      <c r="BJ57" s="145">
        <v>0</v>
      </c>
      <c r="BK57" s="145">
        <v>0</v>
      </c>
      <c r="BL57" s="145">
        <v>0</v>
      </c>
      <c r="BM57" s="145">
        <v>0</v>
      </c>
      <c r="BN57" s="145">
        <v>0</v>
      </c>
      <c r="BO57" s="145">
        <v>0</v>
      </c>
      <c r="BP57" s="145">
        <v>0</v>
      </c>
      <c r="BQ57" s="145">
        <v>0</v>
      </c>
      <c r="BR57" s="145">
        <v>0</v>
      </c>
      <c r="BS57" s="145">
        <v>0</v>
      </c>
    </row>
    <row r="58" spans="1:71" x14ac:dyDescent="0.15">
      <c r="A58" s="181" t="s">
        <v>249</v>
      </c>
      <c r="B58" s="145">
        <v>0</v>
      </c>
      <c r="C58" s="145">
        <v>0</v>
      </c>
      <c r="D58" s="145">
        <v>0</v>
      </c>
      <c r="E58" s="145">
        <v>4.9995370305296736E-7</v>
      </c>
      <c r="F58" s="145">
        <v>8.7018108061723845E-2</v>
      </c>
      <c r="G58" s="145">
        <v>0</v>
      </c>
      <c r="H58" s="145">
        <v>0</v>
      </c>
      <c r="I58" s="145">
        <v>0</v>
      </c>
      <c r="J58" s="145">
        <v>3.3999804906909546E-6</v>
      </c>
      <c r="K58" s="145">
        <v>1.416144015045114E-6</v>
      </c>
      <c r="L58" s="145">
        <v>1.4008460021292857E-5</v>
      </c>
      <c r="M58" s="145">
        <v>0</v>
      </c>
      <c r="N58" s="145">
        <v>9.6914192338733304E-4</v>
      </c>
      <c r="O58" s="145">
        <v>0</v>
      </c>
      <c r="P58" s="145">
        <v>0</v>
      </c>
      <c r="Q58" s="145">
        <v>0</v>
      </c>
      <c r="R58" s="145">
        <v>1.9009729202498023E-5</v>
      </c>
      <c r="S58" s="145">
        <v>0</v>
      </c>
      <c r="T58" s="145">
        <v>0</v>
      </c>
      <c r="U58" s="145">
        <v>0</v>
      </c>
      <c r="V58" s="145">
        <v>0</v>
      </c>
      <c r="W58" s="145">
        <v>0</v>
      </c>
      <c r="X58" s="145">
        <v>0</v>
      </c>
      <c r="Y58" s="145">
        <v>0</v>
      </c>
      <c r="Z58" s="145">
        <v>0</v>
      </c>
      <c r="AA58" s="145">
        <v>0</v>
      </c>
      <c r="AB58" s="145">
        <v>0</v>
      </c>
      <c r="AC58" s="145">
        <v>0</v>
      </c>
      <c r="AD58" s="145">
        <v>0</v>
      </c>
      <c r="AE58" s="145">
        <v>0</v>
      </c>
      <c r="AF58" s="145">
        <v>0</v>
      </c>
      <c r="AG58" s="145">
        <v>0</v>
      </c>
      <c r="AH58" s="145">
        <v>0</v>
      </c>
      <c r="AI58" s="145">
        <v>9.9849461604451049E-4</v>
      </c>
      <c r="AJ58" s="145">
        <v>0</v>
      </c>
      <c r="AK58" s="145">
        <v>0</v>
      </c>
      <c r="AL58" s="145">
        <v>2.3991610060135449E-4</v>
      </c>
      <c r="AM58" s="145">
        <v>0</v>
      </c>
      <c r="AN58" s="145">
        <v>0</v>
      </c>
      <c r="AO58" s="145">
        <v>2.1180439670499072E-3</v>
      </c>
      <c r="AP58" s="145">
        <v>8.9282709657482074E-5</v>
      </c>
      <c r="AQ58" s="145">
        <v>1.7996333266578334E-5</v>
      </c>
      <c r="AR58" s="145">
        <v>1.0024556805387195E-4</v>
      </c>
      <c r="AS58" s="145">
        <v>4.6312303132524471E-6</v>
      </c>
      <c r="AT58" s="145">
        <v>3.1984423656278793E-6</v>
      </c>
      <c r="AU58" s="145">
        <v>0</v>
      </c>
      <c r="AV58" s="145">
        <v>0</v>
      </c>
      <c r="AW58" s="145">
        <v>5.0124560587961095E-2</v>
      </c>
      <c r="AX58" s="145">
        <v>0.16493237514984849</v>
      </c>
      <c r="AY58" s="145">
        <v>0</v>
      </c>
      <c r="AZ58" s="145">
        <v>0</v>
      </c>
      <c r="BA58" s="145">
        <v>3.1000003978100096E-2</v>
      </c>
      <c r="BB58" s="145">
        <v>0</v>
      </c>
      <c r="BC58" s="145">
        <v>9.999000139986002E-4</v>
      </c>
      <c r="BD58" s="145">
        <v>0.1</v>
      </c>
      <c r="BE58" s="145">
        <v>7.0000000000000007E-2</v>
      </c>
      <c r="BF58" s="145">
        <v>1E-3</v>
      </c>
      <c r="BG58" s="145">
        <v>0</v>
      </c>
      <c r="BH58" s="145">
        <v>0</v>
      </c>
      <c r="BI58" s="145">
        <v>0</v>
      </c>
      <c r="BJ58" s="145">
        <v>0</v>
      </c>
      <c r="BK58" s="145">
        <v>0</v>
      </c>
      <c r="BL58" s="145">
        <v>0</v>
      </c>
      <c r="BM58" s="145">
        <v>0</v>
      </c>
      <c r="BN58" s="145">
        <v>0</v>
      </c>
      <c r="BO58" s="145">
        <v>0</v>
      </c>
      <c r="BP58" s="145">
        <v>0</v>
      </c>
      <c r="BQ58" s="145">
        <v>0</v>
      </c>
      <c r="BR58" s="145">
        <v>0</v>
      </c>
      <c r="BS58" s="145">
        <v>0</v>
      </c>
    </row>
    <row r="59" spans="1:71" x14ac:dyDescent="0.15">
      <c r="A59" s="181" t="s">
        <v>250</v>
      </c>
      <c r="B59" s="145">
        <v>0</v>
      </c>
      <c r="C59" s="145">
        <v>0</v>
      </c>
      <c r="D59" s="145">
        <v>0</v>
      </c>
      <c r="E59" s="145">
        <v>0</v>
      </c>
      <c r="F59" s="145">
        <v>0</v>
      </c>
      <c r="G59" s="145">
        <v>0</v>
      </c>
      <c r="H59" s="145">
        <v>0.15590677884039322</v>
      </c>
      <c r="I59" s="145">
        <v>0</v>
      </c>
      <c r="J59" s="145">
        <v>4.9999715086631737E-2</v>
      </c>
      <c r="K59" s="145">
        <v>0</v>
      </c>
      <c r="L59" s="145">
        <v>5.1030820077566832E-2</v>
      </c>
      <c r="M59" s="145">
        <v>0</v>
      </c>
      <c r="N59" s="145">
        <v>0</v>
      </c>
      <c r="O59" s="145">
        <v>9.2015118902903752E-3</v>
      </c>
      <c r="P59" s="145">
        <v>0</v>
      </c>
      <c r="Q59" s="145">
        <v>2.3361755184289225E-4</v>
      </c>
      <c r="R59" s="145">
        <v>0</v>
      </c>
      <c r="S59" s="145">
        <v>2.0013209664438516E-3</v>
      </c>
      <c r="T59" s="145">
        <v>0</v>
      </c>
      <c r="U59" s="145">
        <v>0</v>
      </c>
      <c r="V59" s="145">
        <v>0</v>
      </c>
      <c r="W59" s="145">
        <v>0</v>
      </c>
      <c r="X59" s="145">
        <v>9.7188717495270158E-4</v>
      </c>
      <c r="Y59" s="145">
        <v>0</v>
      </c>
      <c r="Z59" s="145">
        <v>0</v>
      </c>
      <c r="AA59" s="145">
        <v>0</v>
      </c>
      <c r="AB59" s="145">
        <v>0</v>
      </c>
      <c r="AC59" s="145">
        <v>0</v>
      </c>
      <c r="AD59" s="145">
        <v>0</v>
      </c>
      <c r="AE59" s="145">
        <v>0</v>
      </c>
      <c r="AF59" s="145">
        <v>0</v>
      </c>
      <c r="AG59" s="145">
        <v>0</v>
      </c>
      <c r="AH59" s="145">
        <v>0</v>
      </c>
      <c r="AI59" s="145">
        <v>0</v>
      </c>
      <c r="AJ59" s="145">
        <v>0</v>
      </c>
      <c r="AK59" s="145">
        <v>0</v>
      </c>
      <c r="AL59" s="145">
        <v>0</v>
      </c>
      <c r="AM59" s="145">
        <v>0</v>
      </c>
      <c r="AN59" s="145">
        <v>0</v>
      </c>
      <c r="AO59" s="145">
        <v>1.5885329752874303E-5</v>
      </c>
      <c r="AP59" s="145">
        <v>3.7769417255104055E-4</v>
      </c>
      <c r="AQ59" s="145">
        <v>4.199144232201615E-5</v>
      </c>
      <c r="AR59" s="145">
        <v>0.2006918341078518</v>
      </c>
      <c r="AS59" s="145">
        <v>1.9128994902564456E-4</v>
      </c>
      <c r="AT59" s="145">
        <v>0</v>
      </c>
      <c r="AU59" s="145">
        <v>0.59304743363422885</v>
      </c>
      <c r="AV59" s="145">
        <v>0</v>
      </c>
      <c r="AW59" s="145">
        <v>0</v>
      </c>
      <c r="AX59" s="145">
        <v>0</v>
      </c>
      <c r="AY59" s="145">
        <v>0</v>
      </c>
      <c r="AZ59" s="145">
        <v>0</v>
      </c>
      <c r="BA59" s="145">
        <v>0</v>
      </c>
      <c r="BB59" s="145">
        <v>0</v>
      </c>
      <c r="BC59" s="145">
        <v>4.9995000699930006E-3</v>
      </c>
      <c r="BD59" s="145">
        <v>0</v>
      </c>
      <c r="BE59" s="145">
        <v>0</v>
      </c>
      <c r="BF59" s="145">
        <v>0</v>
      </c>
      <c r="BG59" s="145">
        <v>0.01</v>
      </c>
      <c r="BH59" s="145">
        <v>4.0128406352808961E-2</v>
      </c>
      <c r="BI59" s="145">
        <v>0.1070107070642064</v>
      </c>
      <c r="BJ59" s="145">
        <v>0.25</v>
      </c>
      <c r="BK59" s="145">
        <v>0.2</v>
      </c>
      <c r="BL59" s="145">
        <v>0</v>
      </c>
      <c r="BM59" s="145">
        <v>0</v>
      </c>
      <c r="BN59" s="145">
        <v>0</v>
      </c>
      <c r="BO59" s="145">
        <v>0</v>
      </c>
      <c r="BP59" s="145">
        <v>0</v>
      </c>
      <c r="BQ59" s="145">
        <v>0</v>
      </c>
      <c r="BR59" s="145">
        <v>0</v>
      </c>
      <c r="BS59" s="145">
        <v>0</v>
      </c>
    </row>
    <row r="60" spans="1:71" x14ac:dyDescent="0.15">
      <c r="A60" s="181" t="s">
        <v>251</v>
      </c>
      <c r="B60" s="145">
        <v>0</v>
      </c>
      <c r="C60" s="145">
        <v>0</v>
      </c>
      <c r="D60" s="145">
        <v>0</v>
      </c>
      <c r="E60" s="145">
        <v>0</v>
      </c>
      <c r="F60" s="145">
        <v>4.0008325408838554E-5</v>
      </c>
      <c r="G60" s="145">
        <v>0</v>
      </c>
      <c r="H60" s="145">
        <v>0.18888704117201524</v>
      </c>
      <c r="I60" s="145">
        <v>0</v>
      </c>
      <c r="J60" s="145">
        <v>4.9999715086631737E-2</v>
      </c>
      <c r="K60" s="145">
        <v>0</v>
      </c>
      <c r="L60" s="145">
        <v>5.1030820077566832E-2</v>
      </c>
      <c r="M60" s="145">
        <v>0</v>
      </c>
      <c r="N60" s="145">
        <v>4.0380904474471993E-3</v>
      </c>
      <c r="O60" s="145">
        <v>3.0671702334301295E-3</v>
      </c>
      <c r="P60" s="145">
        <v>0</v>
      </c>
      <c r="Q60" s="145">
        <v>0</v>
      </c>
      <c r="R60" s="145">
        <v>2.0010245818419046E-3</v>
      </c>
      <c r="S60" s="145">
        <v>0</v>
      </c>
      <c r="T60" s="145">
        <v>2.2017102290124668E-6</v>
      </c>
      <c r="U60" s="145">
        <v>0</v>
      </c>
      <c r="V60" s="145">
        <v>0</v>
      </c>
      <c r="W60" s="145">
        <v>0</v>
      </c>
      <c r="X60" s="145">
        <v>4.5041098534470706E-6</v>
      </c>
      <c r="Y60" s="145">
        <v>0</v>
      </c>
      <c r="Z60" s="145">
        <v>0</v>
      </c>
      <c r="AA60" s="145">
        <v>0</v>
      </c>
      <c r="AB60" s="145">
        <v>0</v>
      </c>
      <c r="AC60" s="145">
        <v>0</v>
      </c>
      <c r="AD60" s="145">
        <v>2.1987176752617193E-6</v>
      </c>
      <c r="AE60" s="145">
        <v>0</v>
      </c>
      <c r="AF60" s="145">
        <v>3.9128325634474425E-5</v>
      </c>
      <c r="AG60" s="145">
        <v>0</v>
      </c>
      <c r="AH60" s="145">
        <v>0</v>
      </c>
      <c r="AI60" s="145">
        <v>5.0974190819088976E-4</v>
      </c>
      <c r="AJ60" s="145">
        <v>3.4007787564782309E-2</v>
      </c>
      <c r="AK60" s="145">
        <v>2.0989483018177215E-6</v>
      </c>
      <c r="AL60" s="145">
        <v>6.4877320162616298E-2</v>
      </c>
      <c r="AM60" s="145">
        <v>0.21110892723169958</v>
      </c>
      <c r="AN60" s="145">
        <v>0</v>
      </c>
      <c r="AO60" s="145">
        <v>4.4478926108048003E-2</v>
      </c>
      <c r="AP60" s="145">
        <v>8.9282713457482052E-2</v>
      </c>
      <c r="AQ60" s="145">
        <v>8.3982883344032325E-2</v>
      </c>
      <c r="AR60" s="145">
        <v>0.42647013122918498</v>
      </c>
      <c r="AS60" s="145">
        <v>0.35136940555763091</v>
      </c>
      <c r="AT60" s="145">
        <v>4.9975661025435597E-3</v>
      </c>
      <c r="AU60" s="145">
        <v>1.6001282128242238E-2</v>
      </c>
      <c r="AV60" s="145">
        <v>0</v>
      </c>
      <c r="AW60" s="145">
        <v>0</v>
      </c>
      <c r="AX60" s="145">
        <v>0</v>
      </c>
      <c r="AY60" s="145">
        <v>0</v>
      </c>
      <c r="AZ60" s="145">
        <v>0</v>
      </c>
      <c r="BA60" s="145">
        <v>0</v>
      </c>
      <c r="BB60" s="145">
        <v>0</v>
      </c>
      <c r="BC60" s="145">
        <v>9.999000139986002E-4</v>
      </c>
      <c r="BD60" s="145">
        <v>0</v>
      </c>
      <c r="BE60" s="145">
        <v>0</v>
      </c>
      <c r="BF60" s="145">
        <v>0</v>
      </c>
      <c r="BG60" s="145">
        <v>0</v>
      </c>
      <c r="BH60" s="145">
        <v>1.003210156320224E-2</v>
      </c>
      <c r="BI60" s="145">
        <v>0.10501050006300629</v>
      </c>
      <c r="BJ60" s="145">
        <v>0.2</v>
      </c>
      <c r="BK60" s="145">
        <v>0.27</v>
      </c>
      <c r="BL60" s="145">
        <v>0</v>
      </c>
      <c r="BM60" s="145">
        <v>0</v>
      </c>
      <c r="BN60" s="145">
        <v>0</v>
      </c>
      <c r="BO60" s="145">
        <v>0</v>
      </c>
      <c r="BP60" s="145">
        <v>0</v>
      </c>
      <c r="BQ60" s="145">
        <v>0</v>
      </c>
      <c r="BR60" s="145">
        <v>0</v>
      </c>
      <c r="BS60" s="145">
        <v>0</v>
      </c>
    </row>
    <row r="61" spans="1:71" x14ac:dyDescent="0.15">
      <c r="A61" s="181" t="s">
        <v>252</v>
      </c>
      <c r="B61" s="145">
        <v>0</v>
      </c>
      <c r="C61" s="145">
        <v>0</v>
      </c>
      <c r="D61" s="145">
        <v>0</v>
      </c>
      <c r="E61" s="145">
        <v>0</v>
      </c>
      <c r="F61" s="145">
        <v>0</v>
      </c>
      <c r="G61" s="145">
        <v>0</v>
      </c>
      <c r="H61" s="145">
        <v>0.18089182333404633</v>
      </c>
      <c r="I61" s="145">
        <v>0</v>
      </c>
      <c r="J61" s="145">
        <v>4.9999715086631737E-2</v>
      </c>
      <c r="K61" s="145">
        <v>0</v>
      </c>
      <c r="L61" s="145">
        <v>0</v>
      </c>
      <c r="M61" s="145">
        <v>0</v>
      </c>
      <c r="N61" s="145">
        <v>0</v>
      </c>
      <c r="O61" s="145">
        <v>5.1119503890502153E-3</v>
      </c>
      <c r="P61" s="145">
        <v>0</v>
      </c>
      <c r="Q61" s="145">
        <v>0</v>
      </c>
      <c r="R61" s="145">
        <v>4.902509398012653E-5</v>
      </c>
      <c r="S61" s="145">
        <v>0</v>
      </c>
      <c r="T61" s="145">
        <v>0</v>
      </c>
      <c r="U61" s="145">
        <v>0</v>
      </c>
      <c r="V61" s="145">
        <v>0</v>
      </c>
      <c r="W61" s="145">
        <v>0</v>
      </c>
      <c r="X61" s="145">
        <v>0</v>
      </c>
      <c r="Y61" s="145">
        <v>0</v>
      </c>
      <c r="Z61" s="145">
        <v>0</v>
      </c>
      <c r="AA61" s="145">
        <v>0</v>
      </c>
      <c r="AB61" s="145">
        <v>0</v>
      </c>
      <c r="AC61" s="145">
        <v>0</v>
      </c>
      <c r="AD61" s="145">
        <v>0</v>
      </c>
      <c r="AE61" s="145">
        <v>0</v>
      </c>
      <c r="AF61" s="145">
        <v>0</v>
      </c>
      <c r="AG61" s="145">
        <v>0</v>
      </c>
      <c r="AH61" s="145">
        <v>0</v>
      </c>
      <c r="AI61" s="145">
        <v>0</v>
      </c>
      <c r="AJ61" s="145">
        <v>0</v>
      </c>
      <c r="AK61" s="145">
        <v>0</v>
      </c>
      <c r="AL61" s="145">
        <v>0</v>
      </c>
      <c r="AM61" s="145">
        <v>4.4022716782439757E-4</v>
      </c>
      <c r="AN61" s="145">
        <v>0</v>
      </c>
      <c r="AO61" s="145">
        <v>1.0590219835249536E-3</v>
      </c>
      <c r="AP61" s="145">
        <v>2.0983009919502251E-3</v>
      </c>
      <c r="AQ61" s="145">
        <v>1.7996331666578364E-6</v>
      </c>
      <c r="AR61" s="145">
        <v>8.3287100044758478E-2</v>
      </c>
      <c r="AS61" s="145">
        <v>6.0407345255466594E-2</v>
      </c>
      <c r="AT61" s="145">
        <v>0</v>
      </c>
      <c r="AU61" s="145">
        <v>3.0002399677954244E-2</v>
      </c>
      <c r="AV61" s="145">
        <v>0</v>
      </c>
      <c r="AW61" s="145">
        <v>0</v>
      </c>
      <c r="AX61" s="145">
        <v>0</v>
      </c>
      <c r="AY61" s="145">
        <v>0</v>
      </c>
      <c r="AZ61" s="145">
        <v>0</v>
      </c>
      <c r="BA61" s="145">
        <v>0</v>
      </c>
      <c r="BB61" s="145">
        <v>0</v>
      </c>
      <c r="BC61" s="145">
        <v>0</v>
      </c>
      <c r="BD61" s="145">
        <v>0</v>
      </c>
      <c r="BE61" s="145">
        <v>0</v>
      </c>
      <c r="BF61" s="145">
        <v>0</v>
      </c>
      <c r="BG61" s="145">
        <v>0</v>
      </c>
      <c r="BH61" s="145">
        <v>2.0064203226404481E-2</v>
      </c>
      <c r="BI61" s="145">
        <v>0.13001300007800776</v>
      </c>
      <c r="BJ61" s="145">
        <v>0.04</v>
      </c>
      <c r="BK61" s="145">
        <v>0.3</v>
      </c>
      <c r="BL61" s="145">
        <v>0</v>
      </c>
      <c r="BM61" s="145">
        <v>0</v>
      </c>
      <c r="BN61" s="145">
        <v>0</v>
      </c>
      <c r="BO61" s="145">
        <v>0</v>
      </c>
      <c r="BP61" s="145">
        <v>0</v>
      </c>
      <c r="BQ61" s="145">
        <v>0</v>
      </c>
      <c r="BR61" s="145">
        <v>0</v>
      </c>
      <c r="BS61" s="145">
        <v>0</v>
      </c>
    </row>
    <row r="62" spans="1:71" x14ac:dyDescent="0.15">
      <c r="A62" s="181" t="s">
        <v>253</v>
      </c>
      <c r="B62" s="145">
        <v>0</v>
      </c>
      <c r="C62" s="145">
        <v>0</v>
      </c>
      <c r="D62" s="145">
        <v>0</v>
      </c>
      <c r="E62" s="145">
        <v>0</v>
      </c>
      <c r="F62" s="145">
        <v>0</v>
      </c>
      <c r="G62" s="145">
        <v>0</v>
      </c>
      <c r="H62" s="145">
        <v>5.8964738805020608E-2</v>
      </c>
      <c r="I62" s="145">
        <v>0</v>
      </c>
      <c r="J62" s="145">
        <v>0</v>
      </c>
      <c r="K62" s="145">
        <v>0</v>
      </c>
      <c r="L62" s="145">
        <v>0</v>
      </c>
      <c r="M62" s="145">
        <v>0</v>
      </c>
      <c r="N62" s="145">
        <v>4.0380904474471993E-3</v>
      </c>
      <c r="O62" s="145">
        <v>1.0223901178100427E-4</v>
      </c>
      <c r="P62" s="145">
        <v>0</v>
      </c>
      <c r="Q62" s="145">
        <v>0</v>
      </c>
      <c r="R62" s="145">
        <v>1.5007682338814249E-5</v>
      </c>
      <c r="S62" s="145">
        <v>0</v>
      </c>
      <c r="T62" s="145">
        <v>2.0015549991022424E-3</v>
      </c>
      <c r="U62" s="145">
        <v>5.5061780946512025E-4</v>
      </c>
      <c r="V62" s="145">
        <v>0</v>
      </c>
      <c r="W62" s="145">
        <v>0</v>
      </c>
      <c r="X62" s="145">
        <v>3.0027398356313783E-3</v>
      </c>
      <c r="Y62" s="145">
        <v>9.9976009071222889E-4</v>
      </c>
      <c r="Z62" s="145">
        <v>0</v>
      </c>
      <c r="AA62" s="145">
        <v>0</v>
      </c>
      <c r="AB62" s="145">
        <v>0</v>
      </c>
      <c r="AC62" s="145">
        <v>0</v>
      </c>
      <c r="AD62" s="145">
        <v>1.9988344538742816E-3</v>
      </c>
      <c r="AE62" s="145">
        <v>0</v>
      </c>
      <c r="AF62" s="145">
        <v>0</v>
      </c>
      <c r="AG62" s="145">
        <v>0</v>
      </c>
      <c r="AH62" s="145">
        <v>0</v>
      </c>
      <c r="AI62" s="145">
        <v>0</v>
      </c>
      <c r="AJ62" s="145">
        <v>0</v>
      </c>
      <c r="AK62" s="145">
        <v>0</v>
      </c>
      <c r="AL62" s="145">
        <v>0</v>
      </c>
      <c r="AM62" s="145">
        <v>4.0020654802218033E-3</v>
      </c>
      <c r="AN62" s="145">
        <v>0</v>
      </c>
      <c r="AO62" s="145">
        <v>3.1770662805748555E-3</v>
      </c>
      <c r="AP62" s="145">
        <v>4.3015169834979616E-4</v>
      </c>
      <c r="AQ62" s="145">
        <v>3.2993276688726964E-5</v>
      </c>
      <c r="AR62" s="145">
        <v>5.3183332128580715E-2</v>
      </c>
      <c r="AS62" s="145">
        <v>1.409504862294223E-2</v>
      </c>
      <c r="AT62" s="145">
        <v>0</v>
      </c>
      <c r="AU62" s="145">
        <v>0</v>
      </c>
      <c r="AV62" s="145">
        <v>0</v>
      </c>
      <c r="AW62" s="145">
        <v>0</v>
      </c>
      <c r="AX62" s="145">
        <v>0</v>
      </c>
      <c r="AY62" s="145">
        <v>0</v>
      </c>
      <c r="AZ62" s="145">
        <v>0</v>
      </c>
      <c r="BA62" s="145">
        <v>0</v>
      </c>
      <c r="BB62" s="145">
        <v>0</v>
      </c>
      <c r="BC62" s="145">
        <v>9.9990001399860015E-5</v>
      </c>
      <c r="BD62" s="145">
        <v>0</v>
      </c>
      <c r="BE62" s="145">
        <v>0</v>
      </c>
      <c r="BF62" s="145">
        <v>0</v>
      </c>
      <c r="BG62" s="145">
        <v>0</v>
      </c>
      <c r="BH62" s="145">
        <v>0</v>
      </c>
      <c r="BI62" s="145">
        <v>2.0002000012001194E-2</v>
      </c>
      <c r="BJ62" s="145">
        <v>0.01</v>
      </c>
      <c r="BK62" s="145">
        <v>0</v>
      </c>
      <c r="BL62" s="145">
        <v>0</v>
      </c>
      <c r="BM62" s="145">
        <v>0</v>
      </c>
      <c r="BN62" s="145">
        <v>0</v>
      </c>
      <c r="BO62" s="145">
        <v>0</v>
      </c>
      <c r="BP62" s="145">
        <v>0</v>
      </c>
      <c r="BQ62" s="145">
        <v>0</v>
      </c>
      <c r="BR62" s="145">
        <v>0</v>
      </c>
      <c r="BS62" s="145">
        <v>0</v>
      </c>
    </row>
    <row r="63" spans="1:71" x14ac:dyDescent="0.15">
      <c r="A63" s="181" t="s">
        <v>254</v>
      </c>
      <c r="B63" s="145">
        <v>0</v>
      </c>
      <c r="C63" s="145">
        <v>0</v>
      </c>
      <c r="D63" s="145">
        <v>0</v>
      </c>
      <c r="E63" s="145">
        <v>0</v>
      </c>
      <c r="F63" s="145">
        <v>0</v>
      </c>
      <c r="G63" s="145">
        <v>9.2590691685241107E-7</v>
      </c>
      <c r="H63" s="145">
        <v>1.998804959492219E-3</v>
      </c>
      <c r="I63" s="145">
        <v>0</v>
      </c>
      <c r="J63" s="145">
        <v>0</v>
      </c>
      <c r="K63" s="145">
        <v>0</v>
      </c>
      <c r="L63" s="145">
        <v>0</v>
      </c>
      <c r="M63" s="145">
        <v>0</v>
      </c>
      <c r="N63" s="145">
        <v>0</v>
      </c>
      <c r="O63" s="145">
        <v>0</v>
      </c>
      <c r="P63" s="145">
        <v>0</v>
      </c>
      <c r="Q63" s="145">
        <v>0</v>
      </c>
      <c r="R63" s="145">
        <v>0</v>
      </c>
      <c r="S63" s="145">
        <v>0</v>
      </c>
      <c r="T63" s="145">
        <v>0</v>
      </c>
      <c r="U63" s="145">
        <v>0</v>
      </c>
      <c r="V63" s="145">
        <v>0</v>
      </c>
      <c r="W63" s="145">
        <v>0</v>
      </c>
      <c r="X63" s="145">
        <v>0</v>
      </c>
      <c r="Y63" s="145">
        <v>0</v>
      </c>
      <c r="Z63" s="145">
        <v>0</v>
      </c>
      <c r="AA63" s="145">
        <v>0</v>
      </c>
      <c r="AB63" s="145">
        <v>0</v>
      </c>
      <c r="AC63" s="145">
        <v>0</v>
      </c>
      <c r="AD63" s="145">
        <v>0</v>
      </c>
      <c r="AE63" s="145">
        <v>0</v>
      </c>
      <c r="AF63" s="145">
        <v>0</v>
      </c>
      <c r="AG63" s="145">
        <v>0</v>
      </c>
      <c r="AH63" s="145">
        <v>0</v>
      </c>
      <c r="AI63" s="145">
        <v>0</v>
      </c>
      <c r="AJ63" s="145">
        <v>0</v>
      </c>
      <c r="AK63" s="145">
        <v>0</v>
      </c>
      <c r="AL63" s="145">
        <v>0</v>
      </c>
      <c r="AM63" s="145">
        <v>0</v>
      </c>
      <c r="AN63" s="145">
        <v>0</v>
      </c>
      <c r="AO63" s="145">
        <v>0</v>
      </c>
      <c r="AP63" s="145">
        <v>0</v>
      </c>
      <c r="AQ63" s="145">
        <v>2.9993887944297238E-3</v>
      </c>
      <c r="AR63" s="145">
        <v>0</v>
      </c>
      <c r="AS63" s="145">
        <v>0</v>
      </c>
      <c r="AT63" s="145">
        <v>0</v>
      </c>
      <c r="AU63" s="145">
        <v>0</v>
      </c>
      <c r="AV63" s="145">
        <v>0</v>
      </c>
      <c r="AW63" s="145">
        <v>0</v>
      </c>
      <c r="AX63" s="145">
        <v>0</v>
      </c>
      <c r="AY63" s="145">
        <v>0</v>
      </c>
      <c r="AZ63" s="145">
        <v>0</v>
      </c>
      <c r="BA63" s="145">
        <v>0</v>
      </c>
      <c r="BB63" s="145">
        <v>0</v>
      </c>
      <c r="BC63" s="145">
        <v>9.999000139986002E-4</v>
      </c>
      <c r="BD63" s="145">
        <v>0</v>
      </c>
      <c r="BE63" s="145">
        <v>0</v>
      </c>
      <c r="BF63" s="145">
        <v>0</v>
      </c>
      <c r="BG63" s="145">
        <v>0</v>
      </c>
      <c r="BH63" s="145">
        <v>0</v>
      </c>
      <c r="BI63" s="145">
        <v>0</v>
      </c>
      <c r="BJ63" s="145">
        <v>0</v>
      </c>
      <c r="BK63" s="145">
        <v>0</v>
      </c>
      <c r="BL63" s="145">
        <v>0</v>
      </c>
      <c r="BM63" s="145">
        <v>0</v>
      </c>
      <c r="BN63" s="145">
        <v>0</v>
      </c>
      <c r="BO63" s="145">
        <v>0</v>
      </c>
      <c r="BP63" s="145">
        <v>0</v>
      </c>
      <c r="BQ63" s="145">
        <v>0</v>
      </c>
      <c r="BR63" s="145">
        <v>0</v>
      </c>
      <c r="BS63" s="145">
        <v>0</v>
      </c>
    </row>
    <row r="64" spans="1:71" x14ac:dyDescent="0.15">
      <c r="A64" s="181" t="s">
        <v>255</v>
      </c>
      <c r="B64" s="145">
        <v>0</v>
      </c>
      <c r="C64" s="145">
        <v>0</v>
      </c>
      <c r="D64" s="145">
        <v>0</v>
      </c>
      <c r="E64" s="145">
        <v>0</v>
      </c>
      <c r="F64" s="145">
        <v>8.7018108061723844E-7</v>
      </c>
      <c r="G64" s="145">
        <v>0</v>
      </c>
      <c r="H64" s="145">
        <v>3.9976099189844381E-3</v>
      </c>
      <c r="I64" s="145">
        <v>0</v>
      </c>
      <c r="J64" s="145">
        <v>0</v>
      </c>
      <c r="K64" s="145">
        <v>0</v>
      </c>
      <c r="L64" s="145">
        <v>0</v>
      </c>
      <c r="M64" s="145">
        <v>0</v>
      </c>
      <c r="N64" s="145">
        <v>0</v>
      </c>
      <c r="O64" s="145">
        <v>0</v>
      </c>
      <c r="P64" s="145">
        <v>0</v>
      </c>
      <c r="Q64" s="145">
        <v>0</v>
      </c>
      <c r="R64" s="145">
        <v>0</v>
      </c>
      <c r="S64" s="145">
        <v>0</v>
      </c>
      <c r="T64" s="145">
        <v>0</v>
      </c>
      <c r="U64" s="145">
        <v>0</v>
      </c>
      <c r="V64" s="145">
        <v>0</v>
      </c>
      <c r="W64" s="145">
        <v>0</v>
      </c>
      <c r="X64" s="145">
        <v>0</v>
      </c>
      <c r="Y64" s="145">
        <v>0</v>
      </c>
      <c r="Z64" s="145">
        <v>0</v>
      </c>
      <c r="AA64" s="145">
        <v>0</v>
      </c>
      <c r="AB64" s="145">
        <v>0</v>
      </c>
      <c r="AC64" s="145">
        <v>0</v>
      </c>
      <c r="AD64" s="145">
        <v>0</v>
      </c>
      <c r="AE64" s="145">
        <v>0</v>
      </c>
      <c r="AF64" s="145">
        <v>0</v>
      </c>
      <c r="AG64" s="145">
        <v>0</v>
      </c>
      <c r="AH64" s="145">
        <v>0</v>
      </c>
      <c r="AI64" s="145">
        <v>2.7985832749695953E-5</v>
      </c>
      <c r="AJ64" s="145">
        <v>0</v>
      </c>
      <c r="AK64" s="145">
        <v>0</v>
      </c>
      <c r="AL64" s="145">
        <v>0</v>
      </c>
      <c r="AM64" s="145">
        <v>0</v>
      </c>
      <c r="AN64" s="145">
        <v>0</v>
      </c>
      <c r="AO64" s="145">
        <v>3.1770662805748555E-3</v>
      </c>
      <c r="AP64" s="145">
        <v>1.0491504759751126E-3</v>
      </c>
      <c r="AQ64" s="145">
        <v>9.9979628147657431E-4</v>
      </c>
      <c r="AR64" s="145">
        <v>4.013836382157035E-3</v>
      </c>
      <c r="AS64" s="145">
        <v>6.0407350955466695E-6</v>
      </c>
      <c r="AT64" s="145">
        <v>4.8997854005372266E-2</v>
      </c>
      <c r="AU64" s="145">
        <v>0</v>
      </c>
      <c r="AV64" s="145">
        <v>0</v>
      </c>
      <c r="AW64" s="145">
        <v>0</v>
      </c>
      <c r="AX64" s="145">
        <v>0</v>
      </c>
      <c r="AY64" s="145">
        <v>0</v>
      </c>
      <c r="AZ64" s="145">
        <v>0</v>
      </c>
      <c r="BA64" s="145">
        <v>0.10100000253510005</v>
      </c>
      <c r="BB64" s="145">
        <v>0.10101803460610823</v>
      </c>
      <c r="BC64" s="145">
        <v>0.10298969744185578</v>
      </c>
      <c r="BD64" s="145">
        <v>0.15</v>
      </c>
      <c r="BE64" s="145">
        <v>0.19</v>
      </c>
      <c r="BF64" s="145">
        <v>0.159</v>
      </c>
      <c r="BG64" s="145">
        <v>0.1</v>
      </c>
      <c r="BH64" s="145">
        <v>0.20264849227668549</v>
      </c>
      <c r="BI64" s="145">
        <v>0.55705570033423335</v>
      </c>
      <c r="BJ64" s="145">
        <v>0.05</v>
      </c>
      <c r="BK64" s="145">
        <v>0.13</v>
      </c>
      <c r="BL64" s="145">
        <v>0</v>
      </c>
      <c r="BM64" s="145">
        <v>0</v>
      </c>
      <c r="BN64" s="145">
        <v>0</v>
      </c>
      <c r="BO64" s="145">
        <v>0</v>
      </c>
      <c r="BP64" s="145">
        <v>0</v>
      </c>
      <c r="BQ64" s="145">
        <v>0</v>
      </c>
      <c r="BR64" s="145">
        <v>0</v>
      </c>
      <c r="BS64" s="145">
        <v>0</v>
      </c>
    </row>
    <row r="65" spans="1:71" x14ac:dyDescent="0.15">
      <c r="A65" s="181" t="s">
        <v>256</v>
      </c>
      <c r="B65" s="145">
        <v>0</v>
      </c>
      <c r="C65" s="145">
        <v>0</v>
      </c>
      <c r="D65" s="145">
        <v>1.005500322203775E-3</v>
      </c>
      <c r="E65" s="145">
        <v>9.9990750610593534E-4</v>
      </c>
      <c r="F65" s="145">
        <v>5.1010618863769063E-5</v>
      </c>
      <c r="G65" s="145">
        <v>0</v>
      </c>
      <c r="H65" s="145">
        <v>1.0993426477207219E-2</v>
      </c>
      <c r="I65" s="145">
        <v>0</v>
      </c>
      <c r="J65" s="145">
        <v>0</v>
      </c>
      <c r="K65" s="145">
        <v>0</v>
      </c>
      <c r="L65" s="145">
        <v>0</v>
      </c>
      <c r="M65" s="145">
        <v>0</v>
      </c>
      <c r="N65" s="145">
        <v>5.2495171266813475E-4</v>
      </c>
      <c r="O65" s="145">
        <v>0</v>
      </c>
      <c r="P65" s="145">
        <v>0</v>
      </c>
      <c r="Q65" s="145">
        <v>0</v>
      </c>
      <c r="R65" s="145">
        <v>1.500768293881426E-4</v>
      </c>
      <c r="S65" s="145">
        <v>0</v>
      </c>
      <c r="T65" s="145">
        <v>0</v>
      </c>
      <c r="U65" s="145">
        <v>0</v>
      </c>
      <c r="V65" s="145">
        <v>0</v>
      </c>
      <c r="W65" s="145">
        <v>0</v>
      </c>
      <c r="X65" s="145">
        <v>0</v>
      </c>
      <c r="Y65" s="145">
        <v>0</v>
      </c>
      <c r="Z65" s="145">
        <v>0</v>
      </c>
      <c r="AA65" s="145">
        <v>0</v>
      </c>
      <c r="AB65" s="145">
        <v>0</v>
      </c>
      <c r="AC65" s="145">
        <v>0</v>
      </c>
      <c r="AD65" s="145">
        <v>0</v>
      </c>
      <c r="AE65" s="145">
        <v>0</v>
      </c>
      <c r="AF65" s="145">
        <v>0</v>
      </c>
      <c r="AG65" s="145">
        <v>0</v>
      </c>
      <c r="AH65" s="145">
        <v>0</v>
      </c>
      <c r="AI65" s="145">
        <v>0</v>
      </c>
      <c r="AJ65" s="145">
        <v>0</v>
      </c>
      <c r="AK65" s="145">
        <v>5.996995176622062E-5</v>
      </c>
      <c r="AL65" s="145">
        <v>1.0996155427562083E-2</v>
      </c>
      <c r="AM65" s="145">
        <v>0.27314094247513748</v>
      </c>
      <c r="AN65" s="145">
        <v>0</v>
      </c>
      <c r="AO65" s="145">
        <v>2.1180439670499072E-3</v>
      </c>
      <c r="AP65" s="145">
        <v>2.0983009919502251E-3</v>
      </c>
      <c r="AQ65" s="145">
        <v>0.13397269751786103</v>
      </c>
      <c r="AR65" s="145">
        <v>3.0103775216177766E-3</v>
      </c>
      <c r="AS65" s="145">
        <v>8.0643821275548158E-3</v>
      </c>
      <c r="AT65" s="145">
        <v>5.9970795430522757E-3</v>
      </c>
      <c r="AU65" s="145">
        <v>0</v>
      </c>
      <c r="AV65" s="145">
        <v>0.14087321260635424</v>
      </c>
      <c r="AW65" s="145">
        <v>7.3135840857883411E-2</v>
      </c>
      <c r="AX65" s="145">
        <v>1.0995492943323271E-4</v>
      </c>
      <c r="AY65" s="145">
        <v>0</v>
      </c>
      <c r="AZ65" s="145">
        <v>0</v>
      </c>
      <c r="BA65" s="145">
        <v>0.25300000635030012</v>
      </c>
      <c r="BB65" s="145">
        <v>0</v>
      </c>
      <c r="BC65" s="145">
        <v>0</v>
      </c>
      <c r="BD65" s="145">
        <v>0</v>
      </c>
      <c r="BE65" s="145">
        <v>0.12</v>
      </c>
      <c r="BF65" s="145">
        <v>0</v>
      </c>
      <c r="BG65" s="145">
        <v>0</v>
      </c>
      <c r="BH65" s="145">
        <v>0</v>
      </c>
      <c r="BI65" s="145">
        <v>0</v>
      </c>
      <c r="BJ65" s="145">
        <v>0</v>
      </c>
      <c r="BK65" s="145">
        <v>0</v>
      </c>
      <c r="BL65" s="145">
        <v>0</v>
      </c>
      <c r="BM65" s="145">
        <v>0</v>
      </c>
      <c r="BN65" s="145">
        <v>0</v>
      </c>
      <c r="BO65" s="145">
        <v>0</v>
      </c>
      <c r="BP65" s="145">
        <v>0</v>
      </c>
      <c r="BQ65" s="145">
        <v>0</v>
      </c>
      <c r="BR65" s="145">
        <v>0</v>
      </c>
      <c r="BS65" s="145">
        <v>0</v>
      </c>
    </row>
    <row r="66" spans="1:71" x14ac:dyDescent="0.15">
      <c r="A66" s="181" t="s">
        <v>257</v>
      </c>
      <c r="B66" s="145">
        <v>0</v>
      </c>
      <c r="C66" s="145">
        <v>0</v>
      </c>
      <c r="D66" s="145">
        <v>0</v>
      </c>
      <c r="E66" s="145">
        <v>0</v>
      </c>
      <c r="F66" s="145">
        <v>0</v>
      </c>
      <c r="G66" s="145">
        <v>0</v>
      </c>
      <c r="H66" s="145">
        <v>0</v>
      </c>
      <c r="I66" s="145">
        <v>0</v>
      </c>
      <c r="J66" s="145">
        <v>0</v>
      </c>
      <c r="K66" s="145">
        <v>0</v>
      </c>
      <c r="L66" s="145">
        <v>0</v>
      </c>
      <c r="M66" s="145">
        <v>0</v>
      </c>
      <c r="N66" s="145">
        <v>0</v>
      </c>
      <c r="O66" s="145">
        <v>0</v>
      </c>
      <c r="P66" s="145">
        <v>0</v>
      </c>
      <c r="Q66" s="145">
        <v>0</v>
      </c>
      <c r="R66" s="145">
        <v>0</v>
      </c>
      <c r="S66" s="145">
        <v>0</v>
      </c>
      <c r="T66" s="145">
        <v>0</v>
      </c>
      <c r="U66" s="145">
        <v>0</v>
      </c>
      <c r="V66" s="145">
        <v>0</v>
      </c>
      <c r="W66" s="145">
        <v>0</v>
      </c>
      <c r="X66" s="145">
        <v>0</v>
      </c>
      <c r="Y66" s="145">
        <v>0</v>
      </c>
      <c r="Z66" s="145">
        <v>0</v>
      </c>
      <c r="AA66" s="145">
        <v>0</v>
      </c>
      <c r="AB66" s="145">
        <v>0</v>
      </c>
      <c r="AC66" s="145">
        <v>0</v>
      </c>
      <c r="AD66" s="145">
        <v>0</v>
      </c>
      <c r="AE66" s="145">
        <v>0</v>
      </c>
      <c r="AF66" s="145">
        <v>0</v>
      </c>
      <c r="AG66" s="145">
        <v>0</v>
      </c>
      <c r="AH66" s="145">
        <v>0</v>
      </c>
      <c r="AI66" s="145">
        <v>0</v>
      </c>
      <c r="AJ66" s="145">
        <v>0</v>
      </c>
      <c r="AK66" s="145">
        <v>0</v>
      </c>
      <c r="AL66" s="145">
        <v>0</v>
      </c>
      <c r="AM66" s="145">
        <v>6.0030977503326951E-3</v>
      </c>
      <c r="AN66" s="145">
        <v>0</v>
      </c>
      <c r="AO66" s="145">
        <v>0</v>
      </c>
      <c r="AP66" s="145">
        <v>1.0491504259751129E-5</v>
      </c>
      <c r="AQ66" s="145">
        <v>2.0995720811008083E-2</v>
      </c>
      <c r="AR66" s="145">
        <v>2.3079560012402953E-5</v>
      </c>
      <c r="AS66" s="145">
        <v>1.0067891859244449E-5</v>
      </c>
      <c r="AT66" s="145">
        <v>4.9997811025890078E-2</v>
      </c>
      <c r="AU66" s="145">
        <v>0</v>
      </c>
      <c r="AV66" s="145">
        <v>0.14087321260635424</v>
      </c>
      <c r="AW66" s="145">
        <v>0</v>
      </c>
      <c r="AX66" s="145">
        <v>0</v>
      </c>
      <c r="AY66" s="145">
        <v>0</v>
      </c>
      <c r="AZ66" s="145">
        <v>0</v>
      </c>
      <c r="BA66" s="145">
        <v>9.9000002484900054E-2</v>
      </c>
      <c r="BB66" s="145">
        <v>0.14396807686380847</v>
      </c>
      <c r="BC66" s="145">
        <v>7.9992001119888009E-2</v>
      </c>
      <c r="BD66" s="145">
        <v>0.19</v>
      </c>
      <c r="BE66" s="145">
        <v>0.08</v>
      </c>
      <c r="BF66" s="145">
        <v>0.3</v>
      </c>
      <c r="BG66" s="145">
        <v>0.04</v>
      </c>
      <c r="BH66" s="145">
        <v>0.15048153794803371</v>
      </c>
      <c r="BI66" s="145">
        <v>0</v>
      </c>
      <c r="BJ66" s="145">
        <v>0.05</v>
      </c>
      <c r="BK66" s="145">
        <v>0</v>
      </c>
      <c r="BL66" s="145">
        <v>5.0000000000000001E-3</v>
      </c>
      <c r="BM66" s="145">
        <v>0</v>
      </c>
      <c r="BN66" s="145">
        <v>0</v>
      </c>
      <c r="BO66" s="145">
        <v>0</v>
      </c>
      <c r="BP66" s="145">
        <v>0</v>
      </c>
      <c r="BQ66" s="145">
        <v>0</v>
      </c>
      <c r="BR66" s="145">
        <v>0</v>
      </c>
      <c r="BS66" s="145">
        <v>0</v>
      </c>
    </row>
    <row r="67" spans="1:71" x14ac:dyDescent="0.15">
      <c r="A67" s="181" t="s">
        <v>258</v>
      </c>
      <c r="B67" s="145">
        <v>0</v>
      </c>
      <c r="C67" s="145">
        <v>0</v>
      </c>
      <c r="D67" s="145">
        <v>0</v>
      </c>
      <c r="E67" s="145">
        <v>0</v>
      </c>
      <c r="F67" s="145">
        <v>4.4009159019722383E-2</v>
      </c>
      <c r="G67" s="145">
        <v>0</v>
      </c>
      <c r="H67" s="145">
        <v>2.5984461873398899E-2</v>
      </c>
      <c r="I67" s="145">
        <v>0</v>
      </c>
      <c r="J67" s="145">
        <v>0</v>
      </c>
      <c r="K67" s="145">
        <v>0</v>
      </c>
      <c r="L67" s="145">
        <v>0</v>
      </c>
      <c r="M67" s="145">
        <v>0</v>
      </c>
      <c r="N67" s="145">
        <v>0</v>
      </c>
      <c r="O67" s="145">
        <v>0</v>
      </c>
      <c r="P67" s="145">
        <v>0</v>
      </c>
      <c r="Q67" s="145">
        <v>0</v>
      </c>
      <c r="R67" s="145">
        <v>0</v>
      </c>
      <c r="S67" s="145">
        <v>0</v>
      </c>
      <c r="T67" s="145">
        <v>0</v>
      </c>
      <c r="U67" s="145">
        <v>0</v>
      </c>
      <c r="V67" s="145">
        <v>0</v>
      </c>
      <c r="W67" s="145">
        <v>0</v>
      </c>
      <c r="X67" s="145">
        <v>0</v>
      </c>
      <c r="Y67" s="145">
        <v>0</v>
      </c>
      <c r="Z67" s="145">
        <v>0</v>
      </c>
      <c r="AA67" s="145">
        <v>0</v>
      </c>
      <c r="AB67" s="145">
        <v>0</v>
      </c>
      <c r="AC67" s="145">
        <v>0</v>
      </c>
      <c r="AD67" s="145">
        <v>0</v>
      </c>
      <c r="AE67" s="145">
        <v>0</v>
      </c>
      <c r="AF67" s="145">
        <v>0</v>
      </c>
      <c r="AG67" s="145">
        <v>0</v>
      </c>
      <c r="AH67" s="145">
        <v>0</v>
      </c>
      <c r="AI67" s="145">
        <v>0</v>
      </c>
      <c r="AJ67" s="145">
        <v>0</v>
      </c>
      <c r="AK67" s="145">
        <v>0</v>
      </c>
      <c r="AL67" s="145">
        <v>0</v>
      </c>
      <c r="AM67" s="145">
        <v>1.0005163700554508E-3</v>
      </c>
      <c r="AN67" s="145">
        <v>0</v>
      </c>
      <c r="AO67" s="145">
        <v>0</v>
      </c>
      <c r="AP67" s="145">
        <v>8.8233554961506969E-6</v>
      </c>
      <c r="AQ67" s="145">
        <v>7.6984308573696319E-5</v>
      </c>
      <c r="AR67" s="145">
        <v>1.0024556905387196E-2</v>
      </c>
      <c r="AS67" s="145">
        <v>0.10168571160836899</v>
      </c>
      <c r="AT67" s="145">
        <v>4.5977608343400755E-2</v>
      </c>
      <c r="AU67" s="145">
        <v>0</v>
      </c>
      <c r="AV67" s="145">
        <v>0</v>
      </c>
      <c r="AW67" s="145">
        <v>0</v>
      </c>
      <c r="AX67" s="145">
        <v>0</v>
      </c>
      <c r="AY67" s="145">
        <v>0</v>
      </c>
      <c r="AZ67" s="145">
        <v>0</v>
      </c>
      <c r="BA67" s="145">
        <v>2.800000340280008E-2</v>
      </c>
      <c r="BB67" s="145">
        <v>0.3019330518115983</v>
      </c>
      <c r="BC67" s="145">
        <v>0.33696630471752825</v>
      </c>
      <c r="BD67" s="145">
        <v>0.02</v>
      </c>
      <c r="BE67" s="145">
        <v>0.1</v>
      </c>
      <c r="BF67" s="145">
        <v>0</v>
      </c>
      <c r="BG67" s="145">
        <v>0.8</v>
      </c>
      <c r="BH67" s="145">
        <v>0.37620383737008417</v>
      </c>
      <c r="BI67" s="145">
        <v>5.190519243114311E-2</v>
      </c>
      <c r="BJ67" s="145">
        <v>0.2</v>
      </c>
      <c r="BK67" s="145">
        <v>0.05</v>
      </c>
      <c r="BL67" s="145">
        <v>5.0000000000000001E-3</v>
      </c>
      <c r="BM67" s="145">
        <v>0</v>
      </c>
      <c r="BN67" s="145">
        <v>0</v>
      </c>
      <c r="BO67" s="145">
        <v>0</v>
      </c>
      <c r="BP67" s="145">
        <v>0</v>
      </c>
      <c r="BQ67" s="145">
        <v>0</v>
      </c>
      <c r="BR67" s="145">
        <v>0</v>
      </c>
      <c r="BS67" s="145">
        <v>0</v>
      </c>
    </row>
    <row r="68" spans="1:71" x14ac:dyDescent="0.15">
      <c r="A68" s="181" t="s">
        <v>259</v>
      </c>
      <c r="B68" s="145">
        <v>0</v>
      </c>
      <c r="C68" s="145">
        <v>0</v>
      </c>
      <c r="D68" s="145">
        <v>9.6628570211782763E-5</v>
      </c>
      <c r="E68" s="145">
        <v>1.2998797979377162E-2</v>
      </c>
      <c r="F68" s="145">
        <v>0</v>
      </c>
      <c r="G68" s="145">
        <v>0</v>
      </c>
      <c r="H68" s="145">
        <v>6.3861818705776383E-2</v>
      </c>
      <c r="I68" s="145">
        <v>0</v>
      </c>
      <c r="J68" s="145">
        <v>0</v>
      </c>
      <c r="K68" s="145">
        <v>0</v>
      </c>
      <c r="L68" s="145">
        <v>0</v>
      </c>
      <c r="M68" s="145">
        <v>0</v>
      </c>
      <c r="N68" s="145">
        <v>9.5904667414371445E-4</v>
      </c>
      <c r="O68" s="145">
        <v>0</v>
      </c>
      <c r="P68" s="145">
        <v>0</v>
      </c>
      <c r="Q68" s="145">
        <v>0</v>
      </c>
      <c r="R68" s="145">
        <v>0</v>
      </c>
      <c r="S68" s="145">
        <v>0</v>
      </c>
      <c r="T68" s="145">
        <v>0</v>
      </c>
      <c r="U68" s="145">
        <v>0</v>
      </c>
      <c r="V68" s="145">
        <v>0</v>
      </c>
      <c r="W68" s="145">
        <v>0</v>
      </c>
      <c r="X68" s="145">
        <v>0</v>
      </c>
      <c r="Y68" s="145">
        <v>0</v>
      </c>
      <c r="Z68" s="145">
        <v>0</v>
      </c>
      <c r="AA68" s="145">
        <v>0</v>
      </c>
      <c r="AB68" s="145">
        <v>0</v>
      </c>
      <c r="AC68" s="145">
        <v>0</v>
      </c>
      <c r="AD68" s="145">
        <v>0</v>
      </c>
      <c r="AE68" s="145">
        <v>0</v>
      </c>
      <c r="AF68" s="145">
        <v>0</v>
      </c>
      <c r="AG68" s="145">
        <v>0</v>
      </c>
      <c r="AH68" s="145">
        <v>0</v>
      </c>
      <c r="AI68" s="145">
        <v>0</v>
      </c>
      <c r="AJ68" s="145">
        <v>0</v>
      </c>
      <c r="AK68" s="145">
        <v>0</v>
      </c>
      <c r="AL68" s="145">
        <v>1.4994757737584659E-4</v>
      </c>
      <c r="AM68" s="145">
        <v>4.4022716782439758E-5</v>
      </c>
      <c r="AN68" s="145">
        <v>0</v>
      </c>
      <c r="AO68" s="145">
        <v>5.7187192410347414E-4</v>
      </c>
      <c r="AP68" s="145">
        <v>2.7277912395352928E-5</v>
      </c>
      <c r="AQ68" s="145">
        <v>2.9993885544297282E-2</v>
      </c>
      <c r="AR68" s="145">
        <v>3.0103775216177766E-3</v>
      </c>
      <c r="AS68" s="145">
        <v>3.6244410573280012E-5</v>
      </c>
      <c r="AT68" s="145">
        <v>0</v>
      </c>
      <c r="AU68" s="145">
        <v>0</v>
      </c>
      <c r="AV68" s="145">
        <v>0</v>
      </c>
      <c r="AW68" s="145">
        <v>0</v>
      </c>
      <c r="AX68" s="145">
        <v>0</v>
      </c>
      <c r="AY68" s="145">
        <v>0</v>
      </c>
      <c r="AZ68" s="145">
        <v>0</v>
      </c>
      <c r="BA68" s="145">
        <v>4.7000001179700025E-2</v>
      </c>
      <c r="BB68" s="145">
        <v>0</v>
      </c>
      <c r="BC68" s="145">
        <v>0</v>
      </c>
      <c r="BD68" s="145">
        <v>0</v>
      </c>
      <c r="BE68" s="145">
        <v>0.05</v>
      </c>
      <c r="BF68" s="145">
        <v>0</v>
      </c>
      <c r="BG68" s="145">
        <v>0</v>
      </c>
      <c r="BH68" s="145">
        <v>0</v>
      </c>
      <c r="BI68" s="145">
        <v>0</v>
      </c>
      <c r="BJ68" s="145">
        <v>0</v>
      </c>
      <c r="BK68" s="145">
        <v>0</v>
      </c>
      <c r="BL68" s="145">
        <v>0</v>
      </c>
      <c r="BM68" s="145">
        <v>0</v>
      </c>
      <c r="BN68" s="145">
        <v>0</v>
      </c>
      <c r="BO68" s="145">
        <v>0</v>
      </c>
      <c r="BP68" s="145">
        <v>0</v>
      </c>
      <c r="BQ68" s="145">
        <v>0</v>
      </c>
      <c r="BR68" s="145">
        <v>0</v>
      </c>
      <c r="BS68" s="145">
        <v>0</v>
      </c>
    </row>
    <row r="69" spans="1:71" x14ac:dyDescent="0.15">
      <c r="A69" s="181" t="s">
        <v>260</v>
      </c>
      <c r="B69" s="145">
        <v>0</v>
      </c>
      <c r="C69" s="145">
        <v>0</v>
      </c>
      <c r="D69" s="145">
        <v>0</v>
      </c>
      <c r="E69" s="145">
        <v>0</v>
      </c>
      <c r="F69" s="145">
        <v>0</v>
      </c>
      <c r="G69" s="145">
        <v>0</v>
      </c>
      <c r="H69" s="145">
        <v>3.3979679311367819E-2</v>
      </c>
      <c r="I69" s="145">
        <v>0</v>
      </c>
      <c r="J69" s="145">
        <v>0</v>
      </c>
      <c r="K69" s="145">
        <v>0</v>
      </c>
      <c r="L69" s="145">
        <v>0</v>
      </c>
      <c r="M69" s="145">
        <v>0</v>
      </c>
      <c r="N69" s="145">
        <v>7.7733231875858367E-5</v>
      </c>
      <c r="O69" s="145">
        <v>0</v>
      </c>
      <c r="P69" s="145">
        <v>0</v>
      </c>
      <c r="Q69" s="145">
        <v>0</v>
      </c>
      <c r="R69" s="145">
        <v>0</v>
      </c>
      <c r="S69" s="145">
        <v>0</v>
      </c>
      <c r="T69" s="145">
        <v>0</v>
      </c>
      <c r="U69" s="145">
        <v>0</v>
      </c>
      <c r="V69" s="145">
        <v>0</v>
      </c>
      <c r="W69" s="145">
        <v>0</v>
      </c>
      <c r="X69" s="145">
        <v>0</v>
      </c>
      <c r="Y69" s="145">
        <v>0</v>
      </c>
      <c r="Z69" s="145">
        <v>0</v>
      </c>
      <c r="AA69" s="145">
        <v>0</v>
      </c>
      <c r="AB69" s="145">
        <v>0</v>
      </c>
      <c r="AC69" s="145">
        <v>0</v>
      </c>
      <c r="AD69" s="145">
        <v>0</v>
      </c>
      <c r="AE69" s="145">
        <v>0</v>
      </c>
      <c r="AF69" s="145">
        <v>0</v>
      </c>
      <c r="AG69" s="145">
        <v>0</v>
      </c>
      <c r="AH69" s="145">
        <v>0</v>
      </c>
      <c r="AI69" s="145">
        <v>0</v>
      </c>
      <c r="AJ69" s="145">
        <v>0</v>
      </c>
      <c r="AK69" s="145">
        <v>0</v>
      </c>
      <c r="AL69" s="145">
        <v>0</v>
      </c>
      <c r="AM69" s="145">
        <v>0</v>
      </c>
      <c r="AN69" s="145">
        <v>0</v>
      </c>
      <c r="AO69" s="145">
        <v>0</v>
      </c>
      <c r="AP69" s="145">
        <v>0</v>
      </c>
      <c r="AQ69" s="145">
        <v>0</v>
      </c>
      <c r="AR69" s="145">
        <v>0.17058804609167399</v>
      </c>
      <c r="AS69" s="145">
        <v>0.30203676677733365</v>
      </c>
      <c r="AT69" s="145">
        <v>0.20000000410374008</v>
      </c>
      <c r="AU69" s="145">
        <v>0</v>
      </c>
      <c r="AV69" s="145">
        <v>0</v>
      </c>
      <c r="AW69" s="145">
        <v>0</v>
      </c>
      <c r="AX69" s="145">
        <v>0</v>
      </c>
      <c r="AY69" s="145">
        <v>0</v>
      </c>
      <c r="AZ69" s="145">
        <v>0</v>
      </c>
      <c r="BA69" s="145">
        <v>1.700000042670001E-2</v>
      </c>
      <c r="BB69" s="145">
        <v>0.35206280211237684</v>
      </c>
      <c r="BC69" s="145">
        <v>0.28397160397560245</v>
      </c>
      <c r="BD69" s="145">
        <v>0.1</v>
      </c>
      <c r="BE69" s="145">
        <v>0.22</v>
      </c>
      <c r="BF69" s="145">
        <v>0</v>
      </c>
      <c r="BG69" s="145">
        <v>0.05</v>
      </c>
      <c r="BH69" s="145">
        <v>0.20044142126278097</v>
      </c>
      <c r="BI69" s="145">
        <v>2.9002900017401738E-2</v>
      </c>
      <c r="BJ69" s="145">
        <v>0.2</v>
      </c>
      <c r="BK69" s="145">
        <v>0.05</v>
      </c>
      <c r="BL69" s="145">
        <v>0.5</v>
      </c>
      <c r="BM69" s="145">
        <v>0</v>
      </c>
      <c r="BN69" s="145">
        <v>0</v>
      </c>
      <c r="BO69" s="145">
        <v>0</v>
      </c>
      <c r="BP69" s="145">
        <v>0</v>
      </c>
      <c r="BQ69" s="145">
        <v>0</v>
      </c>
      <c r="BR69" s="145">
        <v>0</v>
      </c>
      <c r="BS69" s="145">
        <v>0</v>
      </c>
    </row>
    <row r="70" spans="1:71" x14ac:dyDescent="0.15">
      <c r="A70" s="181" t="s">
        <v>261</v>
      </c>
      <c r="B70" s="145">
        <v>0</v>
      </c>
      <c r="C70" s="145">
        <v>0</v>
      </c>
      <c r="D70" s="145">
        <v>1.5082504433056627E-5</v>
      </c>
      <c r="E70" s="145">
        <v>0</v>
      </c>
      <c r="F70" s="145">
        <v>4.0008329108838468E-3</v>
      </c>
      <c r="G70" s="145">
        <v>0</v>
      </c>
      <c r="H70" s="145">
        <v>0</v>
      </c>
      <c r="I70" s="145">
        <v>0</v>
      </c>
      <c r="J70" s="145">
        <v>0</v>
      </c>
      <c r="K70" s="145">
        <v>0</v>
      </c>
      <c r="L70" s="145">
        <v>0</v>
      </c>
      <c r="M70" s="145">
        <v>0</v>
      </c>
      <c r="N70" s="145">
        <v>0</v>
      </c>
      <c r="O70" s="145">
        <v>2.044984815617646E-3</v>
      </c>
      <c r="P70" s="145">
        <v>0</v>
      </c>
      <c r="Q70" s="145">
        <v>0</v>
      </c>
      <c r="R70" s="145">
        <v>9.4148191498161357E-5</v>
      </c>
      <c r="S70" s="145">
        <v>1.4009246465106968E-4</v>
      </c>
      <c r="T70" s="145">
        <v>0</v>
      </c>
      <c r="U70" s="145">
        <v>0</v>
      </c>
      <c r="V70" s="145">
        <v>0</v>
      </c>
      <c r="W70" s="145">
        <v>0</v>
      </c>
      <c r="X70" s="145">
        <v>0</v>
      </c>
      <c r="Y70" s="145">
        <v>0</v>
      </c>
      <c r="Z70" s="145">
        <v>0</v>
      </c>
      <c r="AA70" s="145">
        <v>0</v>
      </c>
      <c r="AB70" s="145">
        <v>0</v>
      </c>
      <c r="AC70" s="145">
        <v>0</v>
      </c>
      <c r="AD70" s="145">
        <v>0</v>
      </c>
      <c r="AE70" s="145">
        <v>0</v>
      </c>
      <c r="AF70" s="145">
        <v>0</v>
      </c>
      <c r="AG70" s="145">
        <v>0</v>
      </c>
      <c r="AH70" s="145">
        <v>0</v>
      </c>
      <c r="AI70" s="145">
        <v>0</v>
      </c>
      <c r="AJ70" s="145">
        <v>0</v>
      </c>
      <c r="AK70" s="145">
        <v>0</v>
      </c>
      <c r="AL70" s="145">
        <v>1.999301005011288E-3</v>
      </c>
      <c r="AM70" s="145">
        <v>0</v>
      </c>
      <c r="AN70" s="145">
        <v>0</v>
      </c>
      <c r="AO70" s="145">
        <v>6.3558215211234363E-3</v>
      </c>
      <c r="AP70" s="145">
        <v>1.0483736159780929E-2</v>
      </c>
      <c r="AQ70" s="145">
        <v>9.398084825879803E-2</v>
      </c>
      <c r="AR70" s="145">
        <v>0</v>
      </c>
      <c r="AS70" s="145">
        <v>0</v>
      </c>
      <c r="AT70" s="145">
        <v>0.63759201308255931</v>
      </c>
      <c r="AU70" s="145">
        <v>0</v>
      </c>
      <c r="AV70" s="145">
        <v>7.1835351838985012E-2</v>
      </c>
      <c r="AW70" s="145">
        <v>0</v>
      </c>
      <c r="AX70" s="145">
        <v>1.4993852968168066E-4</v>
      </c>
      <c r="AY70" s="145">
        <v>0</v>
      </c>
      <c r="AZ70" s="145">
        <v>0</v>
      </c>
      <c r="BA70" s="145">
        <v>6.2999991581299791E-2</v>
      </c>
      <c r="BB70" s="145">
        <v>0.10101803460610823</v>
      </c>
      <c r="BC70" s="145">
        <v>0.17598240246375366</v>
      </c>
      <c r="BD70" s="145">
        <v>0.42</v>
      </c>
      <c r="BE70" s="145">
        <v>7.0000000000000007E-2</v>
      </c>
      <c r="BF70" s="145">
        <v>0.54</v>
      </c>
      <c r="BG70" s="145">
        <v>0</v>
      </c>
      <c r="BH70" s="145">
        <v>0</v>
      </c>
      <c r="BI70" s="145">
        <v>0</v>
      </c>
      <c r="BJ70" s="145">
        <v>0</v>
      </c>
      <c r="BK70" s="145">
        <v>0</v>
      </c>
      <c r="BL70" s="145">
        <v>0.48299999999999998</v>
      </c>
      <c r="BM70" s="145">
        <v>0</v>
      </c>
      <c r="BN70" s="145">
        <v>0</v>
      </c>
      <c r="BO70" s="145">
        <v>0</v>
      </c>
      <c r="BP70" s="145">
        <v>0</v>
      </c>
      <c r="BQ70" s="145">
        <v>0</v>
      </c>
      <c r="BR70" s="145">
        <v>0</v>
      </c>
      <c r="BS70" s="145">
        <v>0</v>
      </c>
    </row>
    <row r="71" spans="1:71" x14ac:dyDescent="0.15">
      <c r="A71" s="181" t="s">
        <v>262</v>
      </c>
      <c r="B71" s="145">
        <v>0</v>
      </c>
      <c r="C71" s="145">
        <v>0</v>
      </c>
      <c r="D71" s="1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145">
        <v>0</v>
      </c>
      <c r="O71" s="145">
        <v>0</v>
      </c>
      <c r="P71" s="145">
        <v>0</v>
      </c>
      <c r="Q71" s="145">
        <v>0</v>
      </c>
      <c r="R71" s="145">
        <v>0</v>
      </c>
      <c r="S71" s="145">
        <v>0</v>
      </c>
      <c r="T71" s="145">
        <v>0</v>
      </c>
      <c r="U71" s="145">
        <v>0</v>
      </c>
      <c r="V71" s="145">
        <v>0</v>
      </c>
      <c r="W71" s="145">
        <v>0</v>
      </c>
      <c r="X71" s="145">
        <v>0</v>
      </c>
      <c r="Y71" s="145">
        <v>0</v>
      </c>
      <c r="Z71" s="145">
        <v>0</v>
      </c>
      <c r="AA71" s="145">
        <v>0</v>
      </c>
      <c r="AB71" s="145">
        <v>0</v>
      </c>
      <c r="AC71" s="145">
        <v>0</v>
      </c>
      <c r="AD71" s="145">
        <v>0</v>
      </c>
      <c r="AE71" s="145">
        <v>0</v>
      </c>
      <c r="AF71" s="145">
        <v>0</v>
      </c>
      <c r="AG71" s="145">
        <v>0</v>
      </c>
      <c r="AH71" s="145">
        <v>0</v>
      </c>
      <c r="AI71" s="145">
        <v>0</v>
      </c>
      <c r="AJ71" s="145">
        <v>0</v>
      </c>
      <c r="AK71" s="145">
        <v>0</v>
      </c>
      <c r="AL71" s="145">
        <v>0</v>
      </c>
      <c r="AM71" s="145">
        <v>0</v>
      </c>
      <c r="AN71" s="145">
        <v>0</v>
      </c>
      <c r="AO71" s="145">
        <v>0</v>
      </c>
      <c r="AP71" s="145">
        <v>0</v>
      </c>
      <c r="AQ71" s="145">
        <v>0</v>
      </c>
      <c r="AR71" s="145">
        <v>0</v>
      </c>
      <c r="AS71" s="145">
        <v>0</v>
      </c>
      <c r="AT71" s="145">
        <v>0</v>
      </c>
      <c r="AU71" s="145">
        <v>2.5001999731628536E-2</v>
      </c>
      <c r="AV71" s="145">
        <v>0</v>
      </c>
      <c r="AW71" s="145">
        <v>0</v>
      </c>
      <c r="AX71" s="145">
        <v>4.897991722934894E-2</v>
      </c>
      <c r="AY71" s="145">
        <v>0</v>
      </c>
      <c r="AZ71" s="145">
        <v>8.4616927546109111E-2</v>
      </c>
      <c r="BA71" s="145">
        <v>2.0000000502000011E-2</v>
      </c>
      <c r="BB71" s="145">
        <v>0</v>
      </c>
      <c r="BC71" s="145">
        <v>9.9990001399860012E-3</v>
      </c>
      <c r="BD71" s="145">
        <v>0</v>
      </c>
      <c r="BE71" s="145">
        <v>0.05</v>
      </c>
      <c r="BF71" s="145">
        <v>0</v>
      </c>
      <c r="BG71" s="145">
        <v>0</v>
      </c>
      <c r="BH71" s="145">
        <v>0</v>
      </c>
      <c r="BI71" s="145">
        <v>0</v>
      </c>
      <c r="BJ71" s="145">
        <v>0</v>
      </c>
      <c r="BK71" s="145">
        <v>0</v>
      </c>
      <c r="BL71" s="145">
        <v>7.0000000000000001E-3</v>
      </c>
      <c r="BM71" s="145">
        <v>0</v>
      </c>
      <c r="BN71" s="145">
        <v>0</v>
      </c>
      <c r="BO71" s="145">
        <v>0</v>
      </c>
      <c r="BP71" s="145">
        <v>0</v>
      </c>
      <c r="BQ71" s="145">
        <v>0</v>
      </c>
      <c r="BR71" s="145">
        <v>0</v>
      </c>
      <c r="BS71" s="145">
        <v>0</v>
      </c>
    </row>
    <row r="72" spans="1:71" x14ac:dyDescent="0.15">
      <c r="A72" s="181" t="s">
        <v>277</v>
      </c>
      <c r="B72" s="145">
        <v>0</v>
      </c>
      <c r="C72" s="145">
        <v>0</v>
      </c>
      <c r="D72" s="145">
        <v>0</v>
      </c>
      <c r="E72" s="145">
        <v>0</v>
      </c>
      <c r="F72" s="145">
        <v>0</v>
      </c>
      <c r="G72" s="145">
        <v>0</v>
      </c>
      <c r="H72" s="145">
        <v>0</v>
      </c>
      <c r="I72" s="145">
        <v>0</v>
      </c>
      <c r="J72" s="145">
        <v>0</v>
      </c>
      <c r="K72" s="145">
        <v>0</v>
      </c>
      <c r="L72" s="145">
        <v>0</v>
      </c>
      <c r="M72" s="145">
        <v>0</v>
      </c>
      <c r="N72" s="145">
        <v>0</v>
      </c>
      <c r="O72" s="145">
        <v>0</v>
      </c>
      <c r="P72" s="145">
        <v>0</v>
      </c>
      <c r="Q72" s="145">
        <v>0</v>
      </c>
      <c r="R72" s="145">
        <v>0</v>
      </c>
      <c r="S72" s="145">
        <v>0</v>
      </c>
      <c r="T72" s="145">
        <v>0</v>
      </c>
      <c r="U72" s="145">
        <v>0</v>
      </c>
      <c r="V72" s="145">
        <v>0</v>
      </c>
      <c r="W72" s="145">
        <v>0</v>
      </c>
      <c r="X72" s="145">
        <v>0</v>
      </c>
      <c r="Y72" s="145">
        <v>0</v>
      </c>
      <c r="Z72" s="145">
        <v>0</v>
      </c>
      <c r="AA72" s="145">
        <v>0</v>
      </c>
      <c r="AB72" s="145">
        <v>0</v>
      </c>
      <c r="AC72" s="145">
        <v>0</v>
      </c>
      <c r="AD72" s="145">
        <v>0</v>
      </c>
      <c r="AE72" s="145">
        <v>0</v>
      </c>
      <c r="AF72" s="145">
        <v>0</v>
      </c>
      <c r="AG72" s="145">
        <v>0</v>
      </c>
      <c r="AH72" s="145">
        <v>0</v>
      </c>
      <c r="AI72" s="145">
        <v>0</v>
      </c>
      <c r="AJ72" s="145">
        <v>0</v>
      </c>
      <c r="AK72" s="145">
        <v>0</v>
      </c>
      <c r="AL72" s="145">
        <v>0</v>
      </c>
      <c r="AM72" s="145">
        <v>0</v>
      </c>
      <c r="AN72" s="145">
        <v>0</v>
      </c>
      <c r="AO72" s="145">
        <v>0</v>
      </c>
      <c r="AP72" s="145">
        <v>0</v>
      </c>
      <c r="AQ72" s="145">
        <v>0</v>
      </c>
      <c r="AR72" s="145">
        <v>0</v>
      </c>
      <c r="AS72" s="145">
        <v>0</v>
      </c>
      <c r="AT72" s="145">
        <v>0</v>
      </c>
      <c r="AU72" s="145">
        <v>0</v>
      </c>
      <c r="AV72" s="145">
        <v>0</v>
      </c>
      <c r="AW72" s="145">
        <v>0</v>
      </c>
      <c r="AX72" s="145">
        <v>0</v>
      </c>
      <c r="AY72" s="145">
        <v>0</v>
      </c>
      <c r="AZ72" s="145">
        <v>0</v>
      </c>
      <c r="BA72" s="145">
        <v>0</v>
      </c>
      <c r="BB72" s="145">
        <v>0</v>
      </c>
      <c r="BC72" s="145">
        <v>0</v>
      </c>
      <c r="BD72" s="145">
        <v>0</v>
      </c>
      <c r="BE72" s="145">
        <v>0</v>
      </c>
      <c r="BF72" s="145">
        <v>0</v>
      </c>
      <c r="BG72" s="145">
        <v>0</v>
      </c>
      <c r="BH72" s="145">
        <v>0</v>
      </c>
      <c r="BI72" s="145">
        <v>0</v>
      </c>
      <c r="BJ72" s="145">
        <v>0</v>
      </c>
      <c r="BK72" s="145">
        <v>0</v>
      </c>
      <c r="BL72" s="145">
        <v>0</v>
      </c>
      <c r="BM72" s="145">
        <v>0</v>
      </c>
      <c r="BN72" s="145">
        <v>0</v>
      </c>
      <c r="BO72" s="145">
        <v>0</v>
      </c>
      <c r="BP72" s="145">
        <v>0</v>
      </c>
      <c r="BQ72" s="145">
        <v>0</v>
      </c>
      <c r="BR72" s="145">
        <v>0</v>
      </c>
      <c r="BS72" s="14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G185"/>
  <sheetViews>
    <sheetView workbookViewId="0">
      <pane xSplit="2" ySplit="1" topLeftCell="C61" activePane="bottomRight" state="frozen"/>
      <selection pane="topRight" activeCell="C1" sqref="C1"/>
      <selection pane="bottomLeft" activeCell="A2" sqref="A2"/>
      <selection pane="bottomRight" activeCell="J72" sqref="J72"/>
    </sheetView>
  </sheetViews>
  <sheetFormatPr baseColWidth="10" defaultColWidth="8.83203125" defaultRowHeight="13" x14ac:dyDescent="0.15"/>
  <cols>
    <col min="1" max="1" width="3.33203125" customWidth="1"/>
    <col min="2" max="2" width="27.5" customWidth="1"/>
    <col min="3" max="4" width="18.5" style="114" customWidth="1"/>
    <col min="5" max="5" width="18.5" style="113" customWidth="1"/>
    <col min="6" max="7" width="18.5" style="114" customWidth="1"/>
  </cols>
  <sheetData>
    <row r="1" spans="1:7" ht="70" x14ac:dyDescent="0.15">
      <c r="A1" s="5" t="s">
        <v>20</v>
      </c>
      <c r="B1" s="1" t="s">
        <v>0</v>
      </c>
      <c r="C1" s="330" t="s">
        <v>260</v>
      </c>
      <c r="D1" s="330" t="s">
        <v>261</v>
      </c>
      <c r="E1" s="330" t="s">
        <v>262</v>
      </c>
      <c r="F1" s="330" t="s">
        <v>278</v>
      </c>
      <c r="G1" s="330" t="s">
        <v>279</v>
      </c>
    </row>
    <row r="2" spans="1:7" x14ac:dyDescent="0.15">
      <c r="A2">
        <v>1</v>
      </c>
      <c r="B2" s="183" t="s">
        <v>193</v>
      </c>
      <c r="C2" s="114">
        <v>0.7</v>
      </c>
      <c r="D2" s="114">
        <v>0.28999999999999998</v>
      </c>
      <c r="E2" s="113">
        <v>0.01</v>
      </c>
      <c r="F2" s="114">
        <v>0</v>
      </c>
      <c r="G2" s="329">
        <f>SUM(C2:F2)</f>
        <v>1</v>
      </c>
    </row>
    <row r="3" spans="1:7" x14ac:dyDescent="0.15">
      <c r="A3">
        <v>2</v>
      </c>
      <c r="B3" s="183" t="s">
        <v>194</v>
      </c>
      <c r="C3" s="114">
        <v>0.5</v>
      </c>
      <c r="D3" s="114">
        <v>0</v>
      </c>
      <c r="E3" s="113">
        <v>0.01</v>
      </c>
      <c r="F3" s="114">
        <v>0.49</v>
      </c>
      <c r="G3" s="329">
        <f t="shared" ref="G3:G66" si="0">SUM(C3:F3)</f>
        <v>1</v>
      </c>
    </row>
    <row r="4" spans="1:7" x14ac:dyDescent="0.15">
      <c r="A4">
        <v>3</v>
      </c>
      <c r="B4" s="183" t="s">
        <v>195</v>
      </c>
      <c r="C4" s="114">
        <v>0.7</v>
      </c>
      <c r="D4" s="114">
        <v>0.28999999999999998</v>
      </c>
      <c r="E4" s="113">
        <v>0.01</v>
      </c>
      <c r="F4" s="114">
        <v>0</v>
      </c>
      <c r="G4" s="329">
        <f t="shared" si="0"/>
        <v>1</v>
      </c>
    </row>
    <row r="5" spans="1:7" x14ac:dyDescent="0.15">
      <c r="A5">
        <v>4</v>
      </c>
      <c r="B5" s="183" t="s">
        <v>196</v>
      </c>
      <c r="C5" s="114">
        <v>0.7</v>
      </c>
      <c r="D5" s="114">
        <v>0.28999999999999998</v>
      </c>
      <c r="E5" s="113">
        <v>0.01</v>
      </c>
      <c r="F5" s="114">
        <v>0</v>
      </c>
      <c r="G5" s="329">
        <f t="shared" si="0"/>
        <v>1</v>
      </c>
    </row>
    <row r="6" spans="1:7" x14ac:dyDescent="0.15">
      <c r="A6">
        <v>5</v>
      </c>
      <c r="B6" s="183" t="s">
        <v>197</v>
      </c>
      <c r="C6" s="114">
        <v>0.19</v>
      </c>
      <c r="D6" s="114">
        <v>0.8</v>
      </c>
      <c r="E6" s="113">
        <v>0.01</v>
      </c>
      <c r="F6" s="114">
        <v>0</v>
      </c>
      <c r="G6" s="329">
        <f t="shared" si="0"/>
        <v>1</v>
      </c>
    </row>
    <row r="7" spans="1:7" x14ac:dyDescent="0.15">
      <c r="A7">
        <v>6</v>
      </c>
      <c r="B7" s="183" t="s">
        <v>198</v>
      </c>
      <c r="C7" s="114">
        <v>0.75</v>
      </c>
      <c r="D7" s="114">
        <v>0.24</v>
      </c>
      <c r="E7" s="113">
        <v>0.01</v>
      </c>
      <c r="F7" s="114">
        <v>0</v>
      </c>
      <c r="G7" s="329">
        <f t="shared" si="0"/>
        <v>1</v>
      </c>
    </row>
    <row r="8" spans="1:7" x14ac:dyDescent="0.15">
      <c r="A8">
        <v>7</v>
      </c>
      <c r="B8" s="183" t="s">
        <v>199</v>
      </c>
      <c r="C8" s="114">
        <v>0.75</v>
      </c>
      <c r="D8" s="114">
        <v>0.24</v>
      </c>
      <c r="E8" s="113">
        <v>0.01</v>
      </c>
      <c r="F8" s="114">
        <v>0</v>
      </c>
      <c r="G8" s="329">
        <f t="shared" si="0"/>
        <v>1</v>
      </c>
    </row>
    <row r="9" spans="1:7" x14ac:dyDescent="0.15">
      <c r="A9">
        <v>8</v>
      </c>
      <c r="B9" s="183" t="s">
        <v>200</v>
      </c>
      <c r="C9" s="114">
        <v>0.75</v>
      </c>
      <c r="D9" s="114">
        <v>0.24</v>
      </c>
      <c r="E9" s="113">
        <v>0.01</v>
      </c>
      <c r="F9" s="114">
        <v>0</v>
      </c>
      <c r="G9" s="329">
        <f t="shared" si="0"/>
        <v>1</v>
      </c>
    </row>
    <row r="10" spans="1:7" x14ac:dyDescent="0.15">
      <c r="A10">
        <v>9</v>
      </c>
      <c r="B10" s="183" t="s">
        <v>201</v>
      </c>
      <c r="C10" s="114">
        <v>0.75</v>
      </c>
      <c r="D10" s="114">
        <v>0.24</v>
      </c>
      <c r="E10" s="113">
        <v>0.01</v>
      </c>
      <c r="F10" s="114">
        <v>0</v>
      </c>
      <c r="G10" s="329">
        <f t="shared" si="0"/>
        <v>1</v>
      </c>
    </row>
    <row r="11" spans="1:7" x14ac:dyDescent="0.15">
      <c r="A11">
        <v>10</v>
      </c>
      <c r="B11" s="183" t="s">
        <v>202</v>
      </c>
      <c r="C11" s="114">
        <v>0.75</v>
      </c>
      <c r="D11" s="114">
        <v>0.24</v>
      </c>
      <c r="E11" s="113">
        <v>0.01</v>
      </c>
      <c r="F11" s="114">
        <v>0</v>
      </c>
      <c r="G11" s="329">
        <f t="shared" si="0"/>
        <v>1</v>
      </c>
    </row>
    <row r="12" spans="1:7" x14ac:dyDescent="0.15">
      <c r="A12">
        <v>11</v>
      </c>
      <c r="B12" s="183" t="s">
        <v>203</v>
      </c>
      <c r="C12" s="114">
        <v>0.75</v>
      </c>
      <c r="D12" s="114">
        <v>0.24</v>
      </c>
      <c r="E12" s="113">
        <v>0.01</v>
      </c>
      <c r="F12" s="114">
        <v>0</v>
      </c>
      <c r="G12" s="329">
        <f t="shared" si="0"/>
        <v>1</v>
      </c>
    </row>
    <row r="13" spans="1:7" x14ac:dyDescent="0.15">
      <c r="A13">
        <v>12</v>
      </c>
      <c r="B13" s="183" t="s">
        <v>204</v>
      </c>
      <c r="C13" s="114">
        <v>0.75</v>
      </c>
      <c r="D13" s="114">
        <v>0.24</v>
      </c>
      <c r="E13" s="113">
        <v>0.01</v>
      </c>
      <c r="F13" s="114">
        <v>0</v>
      </c>
      <c r="G13" s="329">
        <f t="shared" si="0"/>
        <v>1</v>
      </c>
    </row>
    <row r="14" spans="1:7" x14ac:dyDescent="0.15">
      <c r="A14">
        <v>13</v>
      </c>
      <c r="B14" s="183" t="s">
        <v>205</v>
      </c>
      <c r="C14" s="114">
        <v>0.75</v>
      </c>
      <c r="D14" s="114">
        <v>0.24</v>
      </c>
      <c r="E14" s="113">
        <v>0.01</v>
      </c>
      <c r="F14" s="114">
        <v>0</v>
      </c>
      <c r="G14" s="329">
        <f t="shared" si="0"/>
        <v>1</v>
      </c>
    </row>
    <row r="15" spans="1:7" x14ac:dyDescent="0.15">
      <c r="A15">
        <v>14</v>
      </c>
      <c r="B15" s="183" t="s">
        <v>206</v>
      </c>
      <c r="C15" s="114">
        <v>0.19</v>
      </c>
      <c r="D15" s="114">
        <v>0.8</v>
      </c>
      <c r="E15" s="113">
        <v>0.01</v>
      </c>
      <c r="F15" s="114">
        <v>0</v>
      </c>
      <c r="G15" s="329">
        <f t="shared" si="0"/>
        <v>1</v>
      </c>
    </row>
    <row r="16" spans="1:7" x14ac:dyDescent="0.15">
      <c r="A16">
        <v>15</v>
      </c>
      <c r="B16" s="183" t="s">
        <v>207</v>
      </c>
      <c r="C16" s="114">
        <v>0.19</v>
      </c>
      <c r="D16" s="114">
        <v>0.8</v>
      </c>
      <c r="E16" s="113">
        <v>0.01</v>
      </c>
      <c r="F16" s="114">
        <v>0</v>
      </c>
      <c r="G16" s="329">
        <f t="shared" si="0"/>
        <v>1</v>
      </c>
    </row>
    <row r="17" spans="1:7" ht="15" customHeight="1" x14ac:dyDescent="0.15">
      <c r="A17">
        <v>16</v>
      </c>
      <c r="B17" s="183" t="s">
        <v>208</v>
      </c>
      <c r="C17" s="114">
        <v>0.19</v>
      </c>
      <c r="D17" s="114">
        <v>0.8</v>
      </c>
      <c r="E17" s="113">
        <v>0.01</v>
      </c>
      <c r="F17" s="114">
        <v>0</v>
      </c>
      <c r="G17" s="329">
        <f t="shared" si="0"/>
        <v>1</v>
      </c>
    </row>
    <row r="18" spans="1:7" ht="15" customHeight="1" x14ac:dyDescent="0.15">
      <c r="A18">
        <v>17</v>
      </c>
      <c r="B18" s="183" t="s">
        <v>209</v>
      </c>
      <c r="C18" s="114">
        <v>0.19</v>
      </c>
      <c r="D18" s="114">
        <v>0.8</v>
      </c>
      <c r="E18" s="113">
        <v>0.01</v>
      </c>
      <c r="F18" s="114">
        <v>0</v>
      </c>
      <c r="G18" s="329">
        <f t="shared" si="0"/>
        <v>1</v>
      </c>
    </row>
    <row r="19" spans="1:7" ht="15" customHeight="1" x14ac:dyDescent="0.15">
      <c r="A19">
        <v>18</v>
      </c>
      <c r="B19" s="183" t="s">
        <v>210</v>
      </c>
      <c r="C19" s="114">
        <v>0.19</v>
      </c>
      <c r="D19" s="114">
        <v>0.8</v>
      </c>
      <c r="E19" s="113">
        <v>0.01</v>
      </c>
      <c r="F19" s="114">
        <v>0</v>
      </c>
      <c r="G19" s="329">
        <f t="shared" si="0"/>
        <v>1</v>
      </c>
    </row>
    <row r="20" spans="1:7" ht="15" customHeight="1" x14ac:dyDescent="0.15">
      <c r="A20">
        <v>19</v>
      </c>
      <c r="B20" s="183" t="s">
        <v>211</v>
      </c>
      <c r="C20" s="114">
        <v>0.19</v>
      </c>
      <c r="D20" s="114">
        <v>0.8</v>
      </c>
      <c r="E20" s="113">
        <v>0.01</v>
      </c>
      <c r="F20" s="114">
        <v>0</v>
      </c>
      <c r="G20" s="329">
        <f t="shared" si="0"/>
        <v>1</v>
      </c>
    </row>
    <row r="21" spans="1:7" ht="15" customHeight="1" x14ac:dyDescent="0.15">
      <c r="A21">
        <v>20</v>
      </c>
      <c r="B21" s="183" t="s">
        <v>212</v>
      </c>
      <c r="C21" s="114">
        <v>0.19</v>
      </c>
      <c r="D21" s="114">
        <v>0.8</v>
      </c>
      <c r="E21" s="113">
        <v>0.01</v>
      </c>
      <c r="F21" s="114">
        <v>0</v>
      </c>
      <c r="G21" s="329">
        <f t="shared" si="0"/>
        <v>1</v>
      </c>
    </row>
    <row r="22" spans="1:7" ht="15" customHeight="1" x14ac:dyDescent="0.15">
      <c r="A22">
        <v>21</v>
      </c>
      <c r="B22" s="183" t="s">
        <v>213</v>
      </c>
      <c r="C22" s="114">
        <v>0.19</v>
      </c>
      <c r="D22" s="114">
        <v>0.8</v>
      </c>
      <c r="E22" s="113">
        <v>0.01</v>
      </c>
      <c r="F22" s="114">
        <v>0</v>
      </c>
      <c r="G22" s="329">
        <f t="shared" si="0"/>
        <v>1</v>
      </c>
    </row>
    <row r="23" spans="1:7" ht="15" customHeight="1" x14ac:dyDescent="0.15">
      <c r="A23">
        <v>22</v>
      </c>
      <c r="B23" s="183" t="s">
        <v>214</v>
      </c>
      <c r="C23" s="114">
        <v>0.19</v>
      </c>
      <c r="D23" s="114">
        <v>0.8</v>
      </c>
      <c r="E23" s="113">
        <v>0.01</v>
      </c>
      <c r="F23" s="114">
        <v>0</v>
      </c>
      <c r="G23" s="329">
        <f t="shared" si="0"/>
        <v>1</v>
      </c>
    </row>
    <row r="24" spans="1:7" ht="15" customHeight="1" x14ac:dyDescent="0.15">
      <c r="A24">
        <v>23</v>
      </c>
      <c r="B24" s="183" t="s">
        <v>215</v>
      </c>
      <c r="C24" s="114">
        <v>0.19</v>
      </c>
      <c r="D24" s="114">
        <v>0.8</v>
      </c>
      <c r="E24" s="113">
        <v>0.01</v>
      </c>
      <c r="F24" s="114">
        <v>0</v>
      </c>
      <c r="G24" s="329">
        <f t="shared" si="0"/>
        <v>1</v>
      </c>
    </row>
    <row r="25" spans="1:7" ht="15" customHeight="1" x14ac:dyDescent="0.15">
      <c r="A25">
        <v>24</v>
      </c>
      <c r="B25" s="183" t="s">
        <v>216</v>
      </c>
      <c r="C25" s="114">
        <v>0.19</v>
      </c>
      <c r="D25" s="114">
        <v>0.8</v>
      </c>
      <c r="E25" s="113">
        <v>0.01</v>
      </c>
      <c r="F25" s="114">
        <v>0</v>
      </c>
      <c r="G25" s="329">
        <f t="shared" si="0"/>
        <v>1</v>
      </c>
    </row>
    <row r="26" spans="1:7" ht="15" customHeight="1" x14ac:dyDescent="0.15">
      <c r="A26">
        <v>25</v>
      </c>
      <c r="B26" s="183" t="s">
        <v>217</v>
      </c>
      <c r="C26" s="114">
        <v>0.19</v>
      </c>
      <c r="D26" s="114">
        <v>0.8</v>
      </c>
      <c r="E26" s="113">
        <v>0.01</v>
      </c>
      <c r="F26" s="114">
        <v>0</v>
      </c>
      <c r="G26" s="329">
        <f t="shared" si="0"/>
        <v>1</v>
      </c>
    </row>
    <row r="27" spans="1:7" ht="15" customHeight="1" x14ac:dyDescent="0.15">
      <c r="A27">
        <v>26</v>
      </c>
      <c r="B27" s="183" t="s">
        <v>218</v>
      </c>
      <c r="C27" s="114">
        <v>0.19</v>
      </c>
      <c r="D27" s="114">
        <v>0.8</v>
      </c>
      <c r="E27" s="113">
        <v>0.01</v>
      </c>
      <c r="F27" s="114">
        <v>0</v>
      </c>
      <c r="G27" s="329">
        <f t="shared" si="0"/>
        <v>1</v>
      </c>
    </row>
    <row r="28" spans="1:7" ht="15" customHeight="1" x14ac:dyDescent="0.15">
      <c r="A28">
        <v>27</v>
      </c>
      <c r="B28" s="183" t="s">
        <v>219</v>
      </c>
      <c r="C28" s="114">
        <v>0.19</v>
      </c>
      <c r="D28" s="114">
        <v>0.8</v>
      </c>
      <c r="E28" s="113">
        <v>0.01</v>
      </c>
      <c r="F28" s="114">
        <v>0</v>
      </c>
      <c r="G28" s="329">
        <f t="shared" si="0"/>
        <v>1</v>
      </c>
    </row>
    <row r="29" spans="1:7" ht="15" customHeight="1" x14ac:dyDescent="0.15">
      <c r="A29">
        <v>28</v>
      </c>
      <c r="B29" s="183" t="s">
        <v>220</v>
      </c>
      <c r="C29" s="114">
        <v>0.19</v>
      </c>
      <c r="D29" s="114">
        <v>0.8</v>
      </c>
      <c r="E29" s="113">
        <v>0.01</v>
      </c>
      <c r="F29" s="114">
        <v>0</v>
      </c>
      <c r="G29" s="329">
        <f t="shared" si="0"/>
        <v>1</v>
      </c>
    </row>
    <row r="30" spans="1:7" ht="15" customHeight="1" x14ac:dyDescent="0.15">
      <c r="A30">
        <v>29</v>
      </c>
      <c r="B30" s="183" t="s">
        <v>221</v>
      </c>
      <c r="C30" s="114">
        <v>0.19</v>
      </c>
      <c r="D30" s="114">
        <v>0.8</v>
      </c>
      <c r="E30" s="113">
        <v>0.01</v>
      </c>
      <c r="F30" s="114">
        <v>0</v>
      </c>
      <c r="G30" s="329">
        <f t="shared" si="0"/>
        <v>1</v>
      </c>
    </row>
    <row r="31" spans="1:7" ht="15" customHeight="1" x14ac:dyDescent="0.15">
      <c r="A31">
        <v>30</v>
      </c>
      <c r="B31" s="183" t="s">
        <v>222</v>
      </c>
      <c r="C31" s="114">
        <v>0.19</v>
      </c>
      <c r="D31" s="114">
        <v>0.8</v>
      </c>
      <c r="E31" s="113">
        <v>0.01</v>
      </c>
      <c r="F31" s="114">
        <v>0</v>
      </c>
      <c r="G31" s="329">
        <f t="shared" si="0"/>
        <v>1</v>
      </c>
    </row>
    <row r="32" spans="1:7" ht="15" customHeight="1" x14ac:dyDescent="0.15">
      <c r="A32">
        <v>31</v>
      </c>
      <c r="B32" s="183" t="s">
        <v>223</v>
      </c>
      <c r="C32" s="114">
        <v>0.19</v>
      </c>
      <c r="D32" s="114">
        <v>0.8</v>
      </c>
      <c r="E32" s="113">
        <v>0.01</v>
      </c>
      <c r="F32" s="114">
        <v>0</v>
      </c>
      <c r="G32" s="329">
        <f t="shared" si="0"/>
        <v>1</v>
      </c>
    </row>
    <row r="33" spans="1:7" ht="15" customHeight="1" x14ac:dyDescent="0.15">
      <c r="A33">
        <v>32</v>
      </c>
      <c r="B33" s="183" t="s">
        <v>224</v>
      </c>
      <c r="C33" s="114">
        <v>0.19</v>
      </c>
      <c r="D33" s="114">
        <v>0.8</v>
      </c>
      <c r="E33" s="113">
        <v>0.01</v>
      </c>
      <c r="F33" s="114">
        <v>0</v>
      </c>
      <c r="G33" s="329">
        <f t="shared" si="0"/>
        <v>1</v>
      </c>
    </row>
    <row r="34" spans="1:7" ht="15" customHeight="1" x14ac:dyDescent="0.15">
      <c r="A34">
        <v>33</v>
      </c>
      <c r="B34" s="183" t="s">
        <v>225</v>
      </c>
      <c r="C34" s="114">
        <v>0.19</v>
      </c>
      <c r="D34" s="114">
        <v>0.8</v>
      </c>
      <c r="E34" s="113">
        <v>0.01</v>
      </c>
      <c r="F34" s="114">
        <v>0</v>
      </c>
      <c r="G34" s="329">
        <f t="shared" si="0"/>
        <v>1</v>
      </c>
    </row>
    <row r="35" spans="1:7" ht="15" customHeight="1" x14ac:dyDescent="0.15">
      <c r="A35">
        <v>34</v>
      </c>
      <c r="B35" s="183" t="s">
        <v>226</v>
      </c>
      <c r="C35" s="114">
        <v>0.19</v>
      </c>
      <c r="D35" s="114">
        <v>0.8</v>
      </c>
      <c r="E35" s="113">
        <v>0.01</v>
      </c>
      <c r="F35" s="114">
        <v>0</v>
      </c>
      <c r="G35" s="329">
        <f t="shared" si="0"/>
        <v>1</v>
      </c>
    </row>
    <row r="36" spans="1:7" ht="15" customHeight="1" x14ac:dyDescent="0.15">
      <c r="A36">
        <v>35</v>
      </c>
      <c r="B36" s="183" t="s">
        <v>227</v>
      </c>
      <c r="C36" s="114">
        <v>0.19</v>
      </c>
      <c r="D36" s="114">
        <v>0.8</v>
      </c>
      <c r="E36" s="114">
        <v>0.01</v>
      </c>
      <c r="F36" s="114">
        <v>0</v>
      </c>
      <c r="G36" s="329">
        <f t="shared" si="0"/>
        <v>1</v>
      </c>
    </row>
    <row r="37" spans="1:7" ht="15" customHeight="1" x14ac:dyDescent="0.15">
      <c r="A37">
        <v>36</v>
      </c>
      <c r="B37" s="183" t="s">
        <v>228</v>
      </c>
      <c r="C37" s="114">
        <v>0.19</v>
      </c>
      <c r="D37" s="114">
        <v>0.8</v>
      </c>
      <c r="E37" s="114">
        <v>0.01</v>
      </c>
      <c r="F37" s="114">
        <v>0</v>
      </c>
      <c r="G37" s="329">
        <f t="shared" si="0"/>
        <v>1</v>
      </c>
    </row>
    <row r="38" spans="1:7" ht="15" customHeight="1" x14ac:dyDescent="0.15">
      <c r="A38">
        <v>37</v>
      </c>
      <c r="B38" s="183" t="s">
        <v>229</v>
      </c>
      <c r="C38" s="114">
        <v>0.19</v>
      </c>
      <c r="D38" s="114">
        <v>0.8</v>
      </c>
      <c r="E38" s="114">
        <v>0.01</v>
      </c>
      <c r="F38" s="114">
        <v>0</v>
      </c>
      <c r="G38" s="329">
        <f t="shared" si="0"/>
        <v>1</v>
      </c>
    </row>
    <row r="39" spans="1:7" ht="15" customHeight="1" x14ac:dyDescent="0.15">
      <c r="A39">
        <v>38</v>
      </c>
      <c r="B39" s="183" t="s">
        <v>230</v>
      </c>
      <c r="C39" s="114">
        <v>0.19</v>
      </c>
      <c r="D39" s="114">
        <v>0.8</v>
      </c>
      <c r="E39" s="114">
        <v>0.01</v>
      </c>
      <c r="F39" s="114">
        <v>0</v>
      </c>
      <c r="G39" s="329">
        <f t="shared" si="0"/>
        <v>1</v>
      </c>
    </row>
    <row r="40" spans="1:7" ht="15" customHeight="1" x14ac:dyDescent="0.15">
      <c r="A40">
        <v>39</v>
      </c>
      <c r="B40" s="183" t="s">
        <v>231</v>
      </c>
      <c r="C40" s="114">
        <v>0.7</v>
      </c>
      <c r="D40" s="114">
        <v>0.28999999999999998</v>
      </c>
      <c r="E40" s="114">
        <v>0.01</v>
      </c>
      <c r="F40" s="114">
        <v>0</v>
      </c>
      <c r="G40" s="329">
        <f t="shared" si="0"/>
        <v>1</v>
      </c>
    </row>
    <row r="41" spans="1:7" ht="15" customHeight="1" x14ac:dyDescent="0.15">
      <c r="A41">
        <v>40</v>
      </c>
      <c r="B41" s="183" t="s">
        <v>232</v>
      </c>
      <c r="C41" s="114">
        <v>0.19</v>
      </c>
      <c r="D41" s="114">
        <v>0.8</v>
      </c>
      <c r="E41" s="114">
        <v>0.01</v>
      </c>
      <c r="F41" s="114">
        <v>0</v>
      </c>
      <c r="G41" s="329">
        <f t="shared" si="0"/>
        <v>1</v>
      </c>
    </row>
    <row r="42" spans="1:7" ht="15" customHeight="1" x14ac:dyDescent="0.15">
      <c r="A42">
        <v>41</v>
      </c>
      <c r="B42" s="183" t="s">
        <v>233</v>
      </c>
      <c r="C42" s="114">
        <v>0.19</v>
      </c>
      <c r="D42" s="114">
        <v>0.8</v>
      </c>
      <c r="E42" s="114">
        <v>0.01</v>
      </c>
      <c r="F42" s="114">
        <v>0</v>
      </c>
      <c r="G42" s="329">
        <f t="shared" si="0"/>
        <v>1</v>
      </c>
    </row>
    <row r="43" spans="1:7" ht="15" customHeight="1" x14ac:dyDescent="0.15">
      <c r="A43">
        <v>42</v>
      </c>
      <c r="B43" s="183" t="s">
        <v>234</v>
      </c>
      <c r="C43" s="114">
        <v>0.19</v>
      </c>
      <c r="D43" s="114">
        <v>0.8</v>
      </c>
      <c r="E43" s="114">
        <v>0.01</v>
      </c>
      <c r="F43" s="114">
        <v>0</v>
      </c>
      <c r="G43" s="329">
        <f t="shared" si="0"/>
        <v>1</v>
      </c>
    </row>
    <row r="44" spans="1:7" ht="15" customHeight="1" x14ac:dyDescent="0.15">
      <c r="A44">
        <v>43</v>
      </c>
      <c r="B44" s="183" t="s">
        <v>235</v>
      </c>
      <c r="C44" s="114">
        <v>0.75</v>
      </c>
      <c r="D44" s="114">
        <v>0.24</v>
      </c>
      <c r="E44" s="113">
        <v>0.01</v>
      </c>
      <c r="F44" s="114">
        <v>0</v>
      </c>
      <c r="G44" s="329">
        <f t="shared" si="0"/>
        <v>1</v>
      </c>
    </row>
    <row r="45" spans="1:7" ht="15" customHeight="1" x14ac:dyDescent="0.15">
      <c r="A45">
        <v>44</v>
      </c>
      <c r="B45" s="183" t="s">
        <v>236</v>
      </c>
      <c r="C45" s="114">
        <v>0.75</v>
      </c>
      <c r="D45" s="114">
        <v>0.24</v>
      </c>
      <c r="E45" s="113">
        <v>0.01</v>
      </c>
      <c r="F45" s="114">
        <v>0</v>
      </c>
      <c r="G45" s="329">
        <f t="shared" si="0"/>
        <v>1</v>
      </c>
    </row>
    <row r="46" spans="1:7" ht="15" customHeight="1" x14ac:dyDescent="0.15">
      <c r="A46">
        <v>45</v>
      </c>
      <c r="B46" s="183" t="s">
        <v>237</v>
      </c>
      <c r="C46" s="114">
        <v>0.75</v>
      </c>
      <c r="D46" s="114">
        <v>0.24</v>
      </c>
      <c r="E46" s="114">
        <v>0.01</v>
      </c>
      <c r="F46" s="114">
        <v>0</v>
      </c>
      <c r="G46" s="329">
        <f t="shared" si="0"/>
        <v>1</v>
      </c>
    </row>
    <row r="47" spans="1:7" ht="15" customHeight="1" x14ac:dyDescent="0.15">
      <c r="A47">
        <v>46</v>
      </c>
      <c r="B47" s="183" t="s">
        <v>238</v>
      </c>
      <c r="C47" s="114">
        <v>0.3</v>
      </c>
      <c r="D47" s="114">
        <v>0.3</v>
      </c>
      <c r="E47" s="113">
        <v>0.4</v>
      </c>
      <c r="F47" s="114">
        <v>0</v>
      </c>
      <c r="G47" s="329">
        <f t="shared" si="0"/>
        <v>1</v>
      </c>
    </row>
    <row r="48" spans="1:7" ht="15" customHeight="1" x14ac:dyDescent="0.15">
      <c r="A48">
        <v>47</v>
      </c>
      <c r="B48" s="183" t="s">
        <v>239</v>
      </c>
      <c r="C48" s="114">
        <v>0.1</v>
      </c>
      <c r="D48" s="114">
        <v>0.89</v>
      </c>
      <c r="E48" s="113">
        <v>0.01</v>
      </c>
      <c r="F48" s="114">
        <v>0</v>
      </c>
      <c r="G48" s="329">
        <f t="shared" si="0"/>
        <v>1</v>
      </c>
    </row>
    <row r="49" spans="1:7" ht="15" customHeight="1" x14ac:dyDescent="0.15">
      <c r="A49">
        <v>48</v>
      </c>
      <c r="B49" s="183" t="s">
        <v>240</v>
      </c>
      <c r="C49" s="114">
        <v>0.1</v>
      </c>
      <c r="D49" s="114">
        <v>0.89</v>
      </c>
      <c r="E49" s="113">
        <v>0.01</v>
      </c>
      <c r="F49" s="114">
        <v>0</v>
      </c>
      <c r="G49" s="329">
        <f t="shared" si="0"/>
        <v>1</v>
      </c>
    </row>
    <row r="50" spans="1:7" ht="15" customHeight="1" x14ac:dyDescent="0.15">
      <c r="A50">
        <v>49</v>
      </c>
      <c r="B50" s="183" t="s">
        <v>241</v>
      </c>
      <c r="C50" s="114">
        <v>0.1</v>
      </c>
      <c r="D50" s="114">
        <v>0.89</v>
      </c>
      <c r="E50" s="113">
        <v>0.01</v>
      </c>
      <c r="F50" s="114">
        <v>0</v>
      </c>
      <c r="G50" s="329">
        <f t="shared" si="0"/>
        <v>1</v>
      </c>
    </row>
    <row r="51" spans="1:7" ht="15" customHeight="1" x14ac:dyDescent="0.15">
      <c r="A51">
        <v>50</v>
      </c>
      <c r="B51" s="183" t="s">
        <v>242</v>
      </c>
      <c r="C51" s="114">
        <v>0.1</v>
      </c>
      <c r="D51" s="114">
        <v>0.89</v>
      </c>
      <c r="E51" s="113">
        <v>0.01</v>
      </c>
      <c r="F51" s="114">
        <v>0</v>
      </c>
      <c r="G51" s="329">
        <f t="shared" si="0"/>
        <v>1</v>
      </c>
    </row>
    <row r="52" spans="1:7" ht="15" customHeight="1" x14ac:dyDescent="0.15">
      <c r="A52">
        <v>51</v>
      </c>
      <c r="B52" s="183" t="s">
        <v>243</v>
      </c>
      <c r="C52" s="114">
        <v>0.1</v>
      </c>
      <c r="D52" s="114">
        <v>0.89</v>
      </c>
      <c r="E52" s="113">
        <v>0.01</v>
      </c>
      <c r="F52" s="114">
        <v>0</v>
      </c>
      <c r="G52" s="329">
        <f t="shared" si="0"/>
        <v>1</v>
      </c>
    </row>
    <row r="53" spans="1:7" ht="15" customHeight="1" x14ac:dyDescent="0.15">
      <c r="A53">
        <v>52</v>
      </c>
      <c r="B53" s="183" t="s">
        <v>244</v>
      </c>
      <c r="C53" s="114">
        <v>0.1</v>
      </c>
      <c r="D53" s="114">
        <v>0.89</v>
      </c>
      <c r="E53" s="113">
        <v>0.01</v>
      </c>
      <c r="F53" s="114">
        <v>0</v>
      </c>
      <c r="G53" s="329">
        <f t="shared" si="0"/>
        <v>1</v>
      </c>
    </row>
    <row r="54" spans="1:7" ht="15" customHeight="1" x14ac:dyDescent="0.15">
      <c r="A54">
        <v>53</v>
      </c>
      <c r="B54" s="183" t="s">
        <v>245</v>
      </c>
      <c r="C54" s="114">
        <v>0.1</v>
      </c>
      <c r="D54" s="114">
        <v>0.89</v>
      </c>
      <c r="E54" s="113">
        <v>0.01</v>
      </c>
      <c r="F54" s="114">
        <v>0</v>
      </c>
      <c r="G54" s="329">
        <f t="shared" si="0"/>
        <v>1</v>
      </c>
    </row>
    <row r="55" spans="1:7" ht="15" customHeight="1" x14ac:dyDescent="0.15">
      <c r="A55">
        <v>54</v>
      </c>
      <c r="B55" s="183" t="s">
        <v>246</v>
      </c>
      <c r="C55" s="114">
        <v>0.1</v>
      </c>
      <c r="D55" s="114">
        <v>0.89</v>
      </c>
      <c r="E55" s="113">
        <v>0.01</v>
      </c>
      <c r="F55" s="114">
        <v>0</v>
      </c>
      <c r="G55" s="329">
        <f t="shared" si="0"/>
        <v>1</v>
      </c>
    </row>
    <row r="56" spans="1:7" ht="15" customHeight="1" x14ac:dyDescent="0.15">
      <c r="A56">
        <v>55</v>
      </c>
      <c r="B56" s="183" t="s">
        <v>247</v>
      </c>
      <c r="C56" s="114">
        <v>0.1</v>
      </c>
      <c r="D56" s="114">
        <v>0.89</v>
      </c>
      <c r="E56" s="113">
        <v>0.01</v>
      </c>
      <c r="F56" s="114">
        <v>0</v>
      </c>
      <c r="G56" s="329">
        <f t="shared" si="0"/>
        <v>1</v>
      </c>
    </row>
    <row r="57" spans="1:7" ht="15" customHeight="1" x14ac:dyDescent="0.15">
      <c r="A57">
        <v>56</v>
      </c>
      <c r="B57" s="183" t="s">
        <v>248</v>
      </c>
      <c r="C57" s="114">
        <v>0.1</v>
      </c>
      <c r="D57" s="114">
        <v>0.89</v>
      </c>
      <c r="E57" s="113">
        <v>0.01</v>
      </c>
      <c r="F57" s="114">
        <v>0</v>
      </c>
      <c r="G57" s="329">
        <f t="shared" si="0"/>
        <v>1</v>
      </c>
    </row>
    <row r="58" spans="1:7" ht="15" customHeight="1" x14ac:dyDescent="0.15">
      <c r="A58">
        <v>57</v>
      </c>
      <c r="B58" s="183" t="s">
        <v>249</v>
      </c>
      <c r="C58" s="114">
        <v>0.1</v>
      </c>
      <c r="D58" s="114">
        <v>0.89</v>
      </c>
      <c r="E58" s="113">
        <v>0.01</v>
      </c>
      <c r="F58" s="114">
        <v>0</v>
      </c>
      <c r="G58" s="329">
        <f t="shared" si="0"/>
        <v>1</v>
      </c>
    </row>
    <row r="59" spans="1:7" ht="15" customHeight="1" x14ac:dyDescent="0.15">
      <c r="A59">
        <v>58</v>
      </c>
      <c r="B59" s="183" t="s">
        <v>250</v>
      </c>
      <c r="C59" s="114">
        <v>0.95</v>
      </c>
      <c r="D59" s="114">
        <v>0.04</v>
      </c>
      <c r="E59" s="113">
        <v>0.01</v>
      </c>
      <c r="F59" s="114">
        <v>0</v>
      </c>
      <c r="G59" s="329">
        <f t="shared" si="0"/>
        <v>1</v>
      </c>
    </row>
    <row r="60" spans="1:7" ht="15" customHeight="1" x14ac:dyDescent="0.15">
      <c r="A60">
        <v>59</v>
      </c>
      <c r="B60" s="183" t="s">
        <v>251</v>
      </c>
      <c r="C60" s="114">
        <v>0.95</v>
      </c>
      <c r="D60" s="114">
        <v>0.04</v>
      </c>
      <c r="E60" s="113">
        <v>0.01</v>
      </c>
      <c r="F60" s="114">
        <v>0</v>
      </c>
      <c r="G60" s="329">
        <f t="shared" si="0"/>
        <v>1</v>
      </c>
    </row>
    <row r="61" spans="1:7" ht="15" customHeight="1" x14ac:dyDescent="0.15">
      <c r="A61">
        <v>60</v>
      </c>
      <c r="B61" s="183" t="s">
        <v>252</v>
      </c>
      <c r="C61" s="114">
        <v>0.95</v>
      </c>
      <c r="D61" s="114">
        <v>0.04</v>
      </c>
      <c r="E61" s="113">
        <v>0.01</v>
      </c>
      <c r="F61" s="114">
        <v>0</v>
      </c>
      <c r="G61" s="329">
        <f t="shared" si="0"/>
        <v>1</v>
      </c>
    </row>
    <row r="62" spans="1:7" ht="15" customHeight="1" x14ac:dyDescent="0.15">
      <c r="A62">
        <v>61</v>
      </c>
      <c r="B62" s="183" t="s">
        <v>253</v>
      </c>
      <c r="C62" s="114">
        <v>0.95</v>
      </c>
      <c r="D62" s="114">
        <v>0.04</v>
      </c>
      <c r="E62" s="113">
        <v>0.01</v>
      </c>
      <c r="F62" s="114">
        <v>0</v>
      </c>
      <c r="G62" s="329">
        <f t="shared" si="0"/>
        <v>1</v>
      </c>
    </row>
    <row r="63" spans="1:7" ht="15" customHeight="1" x14ac:dyDescent="0.15">
      <c r="A63">
        <v>62</v>
      </c>
      <c r="B63" s="183" t="s">
        <v>254</v>
      </c>
      <c r="C63" s="114">
        <v>0.95</v>
      </c>
      <c r="D63" s="114">
        <v>0.04</v>
      </c>
      <c r="E63" s="113">
        <v>0.01</v>
      </c>
      <c r="F63" s="114">
        <v>0</v>
      </c>
      <c r="G63" s="329">
        <f t="shared" si="0"/>
        <v>1</v>
      </c>
    </row>
    <row r="64" spans="1:7" ht="15" customHeight="1" x14ac:dyDescent="0.15">
      <c r="A64">
        <v>63</v>
      </c>
      <c r="B64" s="183" t="s">
        <v>255</v>
      </c>
      <c r="C64" s="114">
        <v>0.7</v>
      </c>
      <c r="D64" s="114">
        <v>0.28999999999999998</v>
      </c>
      <c r="E64" s="113">
        <v>0.01</v>
      </c>
      <c r="F64" s="114">
        <v>0</v>
      </c>
      <c r="G64" s="329">
        <f t="shared" si="0"/>
        <v>1</v>
      </c>
    </row>
    <row r="65" spans="1:7" ht="15" customHeight="1" x14ac:dyDescent="0.15">
      <c r="A65">
        <v>64</v>
      </c>
      <c r="B65" s="183" t="s">
        <v>256</v>
      </c>
      <c r="C65" s="114">
        <v>0.5</v>
      </c>
      <c r="D65" s="114">
        <v>0.5</v>
      </c>
      <c r="E65" s="113">
        <v>0</v>
      </c>
      <c r="F65" s="114">
        <v>0</v>
      </c>
      <c r="G65" s="329">
        <f t="shared" si="0"/>
        <v>1</v>
      </c>
    </row>
    <row r="66" spans="1:7" ht="15" customHeight="1" x14ac:dyDescent="0.15">
      <c r="A66">
        <v>65</v>
      </c>
      <c r="B66" s="183" t="s">
        <v>257</v>
      </c>
      <c r="C66" s="114">
        <v>0</v>
      </c>
      <c r="D66" s="114">
        <v>1</v>
      </c>
      <c r="E66" s="113">
        <v>0</v>
      </c>
      <c r="F66" s="114">
        <v>0</v>
      </c>
      <c r="G66" s="329">
        <f t="shared" si="0"/>
        <v>1</v>
      </c>
    </row>
    <row r="67" spans="1:7" ht="15" customHeight="1" x14ac:dyDescent="0.15">
      <c r="A67">
        <v>66</v>
      </c>
      <c r="B67" s="183" t="s">
        <v>258</v>
      </c>
      <c r="C67" s="114">
        <v>0.5</v>
      </c>
      <c r="D67" s="114">
        <v>0.49</v>
      </c>
      <c r="E67" s="113">
        <v>0.01</v>
      </c>
      <c r="F67" s="114">
        <v>0</v>
      </c>
      <c r="G67" s="329">
        <f t="shared" ref="G67:G85" si="1">SUM(C67:F67)</f>
        <v>1</v>
      </c>
    </row>
    <row r="68" spans="1:7" ht="15" customHeight="1" x14ac:dyDescent="0.15">
      <c r="A68">
        <v>67</v>
      </c>
      <c r="B68" s="183" t="s">
        <v>259</v>
      </c>
      <c r="C68" s="114">
        <v>0</v>
      </c>
      <c r="D68" s="114">
        <v>1</v>
      </c>
      <c r="E68" s="113">
        <v>0</v>
      </c>
      <c r="F68" s="114">
        <v>0</v>
      </c>
      <c r="G68" s="329">
        <f t="shared" si="1"/>
        <v>1</v>
      </c>
    </row>
    <row r="69" spans="1:7" ht="15" customHeight="1" x14ac:dyDescent="0.15">
      <c r="A69" s="326">
        <v>68</v>
      </c>
      <c r="B69" s="327" t="s">
        <v>260</v>
      </c>
      <c r="C69" s="328">
        <v>0</v>
      </c>
      <c r="D69" s="328">
        <v>1</v>
      </c>
      <c r="E69" s="328">
        <v>0</v>
      </c>
      <c r="F69" s="328">
        <v>0</v>
      </c>
      <c r="G69" s="329">
        <f t="shared" si="1"/>
        <v>1</v>
      </c>
    </row>
    <row r="70" spans="1:7" ht="15" customHeight="1" x14ac:dyDescent="0.15">
      <c r="A70" s="326">
        <v>69</v>
      </c>
      <c r="B70" s="327" t="s">
        <v>261</v>
      </c>
      <c r="C70" s="328">
        <v>0</v>
      </c>
      <c r="D70" s="328">
        <v>0</v>
      </c>
      <c r="E70" s="328">
        <v>0</v>
      </c>
      <c r="F70" s="328">
        <v>1</v>
      </c>
      <c r="G70" s="329">
        <f t="shared" si="1"/>
        <v>1</v>
      </c>
    </row>
    <row r="71" spans="1:7" ht="15" customHeight="1" x14ac:dyDescent="0.15">
      <c r="A71" s="326">
        <v>70</v>
      </c>
      <c r="B71" s="327" t="s">
        <v>262</v>
      </c>
      <c r="C71" s="328">
        <v>0.1</v>
      </c>
      <c r="D71" s="328">
        <v>0.9</v>
      </c>
      <c r="E71" s="328">
        <v>0</v>
      </c>
      <c r="F71" s="328">
        <v>0</v>
      </c>
      <c r="G71" s="329">
        <f t="shared" si="1"/>
        <v>1</v>
      </c>
    </row>
    <row r="72" spans="1:7" ht="15" customHeight="1" x14ac:dyDescent="0.15">
      <c r="A72">
        <v>71</v>
      </c>
      <c r="B72" s="183" t="s">
        <v>263</v>
      </c>
      <c r="C72" s="114">
        <v>0</v>
      </c>
      <c r="D72" s="114">
        <v>1</v>
      </c>
      <c r="E72" s="113">
        <v>0</v>
      </c>
      <c r="F72" s="114">
        <v>0</v>
      </c>
      <c r="G72" s="329">
        <f t="shared" si="1"/>
        <v>1</v>
      </c>
    </row>
    <row r="73" spans="1:7" ht="15" customHeight="1" x14ac:dyDescent="0.15">
      <c r="A73">
        <v>72</v>
      </c>
      <c r="B73" s="183" t="s">
        <v>264</v>
      </c>
      <c r="C73" s="114">
        <v>0</v>
      </c>
      <c r="D73" s="114">
        <v>1</v>
      </c>
      <c r="E73" s="113">
        <v>0</v>
      </c>
      <c r="F73" s="114">
        <v>0</v>
      </c>
      <c r="G73" s="329">
        <f t="shared" si="1"/>
        <v>1</v>
      </c>
    </row>
    <row r="74" spans="1:7" ht="15" customHeight="1" x14ac:dyDescent="0.15">
      <c r="A74">
        <v>73</v>
      </c>
      <c r="B74" s="183" t="s">
        <v>265</v>
      </c>
      <c r="C74" s="114">
        <v>0</v>
      </c>
      <c r="D74" s="114">
        <v>1</v>
      </c>
      <c r="E74" s="113">
        <v>0</v>
      </c>
      <c r="F74" s="114">
        <v>0</v>
      </c>
      <c r="G74" s="329">
        <f t="shared" si="1"/>
        <v>1</v>
      </c>
    </row>
    <row r="75" spans="1:7" ht="15" customHeight="1" x14ac:dyDescent="0.15">
      <c r="A75">
        <v>74</v>
      </c>
      <c r="B75" s="183" t="s">
        <v>266</v>
      </c>
      <c r="C75" s="114">
        <v>0</v>
      </c>
      <c r="D75" s="114">
        <v>1</v>
      </c>
      <c r="E75" s="113">
        <v>0</v>
      </c>
      <c r="F75" s="114">
        <v>0</v>
      </c>
      <c r="G75" s="329">
        <f t="shared" si="1"/>
        <v>1</v>
      </c>
    </row>
    <row r="76" spans="1:7" ht="15" customHeight="1" x14ac:dyDescent="0.15">
      <c r="A76">
        <v>75</v>
      </c>
      <c r="B76" s="183" t="s">
        <v>267</v>
      </c>
      <c r="C76" s="114">
        <v>0</v>
      </c>
      <c r="D76" s="114">
        <v>1</v>
      </c>
      <c r="E76" s="113">
        <v>0</v>
      </c>
      <c r="F76" s="114">
        <v>0</v>
      </c>
      <c r="G76" s="329">
        <f t="shared" si="1"/>
        <v>1</v>
      </c>
    </row>
    <row r="77" spans="1:7" ht="15" customHeight="1" x14ac:dyDescent="0.15">
      <c r="A77">
        <v>76</v>
      </c>
      <c r="B77" s="183" t="s">
        <v>268</v>
      </c>
      <c r="C77" s="114">
        <v>0</v>
      </c>
      <c r="D77" s="114">
        <v>1</v>
      </c>
      <c r="E77" s="113">
        <v>0</v>
      </c>
      <c r="F77" s="114">
        <v>0</v>
      </c>
      <c r="G77" s="329">
        <f t="shared" si="1"/>
        <v>1</v>
      </c>
    </row>
    <row r="78" spans="1:7" ht="15" customHeight="1" x14ac:dyDescent="0.15">
      <c r="A78">
        <v>77</v>
      </c>
      <c r="B78" s="183" t="s">
        <v>269</v>
      </c>
      <c r="C78" s="114">
        <v>0</v>
      </c>
      <c r="D78" s="114">
        <v>1</v>
      </c>
      <c r="E78" s="113">
        <v>0</v>
      </c>
      <c r="F78" s="114">
        <v>0</v>
      </c>
      <c r="G78" s="329">
        <f t="shared" si="1"/>
        <v>1</v>
      </c>
    </row>
    <row r="79" spans="1:7" ht="15" customHeight="1" x14ac:dyDescent="0.15">
      <c r="A79">
        <v>78</v>
      </c>
      <c r="B79" s="183" t="s">
        <v>270</v>
      </c>
      <c r="C79" s="114">
        <v>0</v>
      </c>
      <c r="D79" s="114">
        <v>1</v>
      </c>
      <c r="E79" s="113">
        <v>0</v>
      </c>
      <c r="F79" s="114">
        <v>0</v>
      </c>
      <c r="G79" s="329">
        <f t="shared" si="1"/>
        <v>1</v>
      </c>
    </row>
    <row r="80" spans="1:7" ht="15" customHeight="1" x14ac:dyDescent="0.15">
      <c r="A80">
        <v>79</v>
      </c>
      <c r="B80" s="183" t="s">
        <v>271</v>
      </c>
      <c r="C80" s="114">
        <v>0</v>
      </c>
      <c r="D80" s="114">
        <v>1</v>
      </c>
      <c r="E80" s="113">
        <v>0</v>
      </c>
      <c r="F80" s="114">
        <v>0</v>
      </c>
      <c r="G80" s="329">
        <f t="shared" si="1"/>
        <v>1</v>
      </c>
    </row>
    <row r="81" spans="1:7" ht="15" customHeight="1" x14ac:dyDescent="0.15">
      <c r="A81">
        <v>80</v>
      </c>
      <c r="B81" s="183" t="s">
        <v>272</v>
      </c>
      <c r="C81" s="114">
        <v>0</v>
      </c>
      <c r="D81" s="114">
        <v>1</v>
      </c>
      <c r="E81" s="113">
        <v>0</v>
      </c>
      <c r="F81" s="114">
        <v>0</v>
      </c>
      <c r="G81" s="329">
        <f t="shared" si="1"/>
        <v>1</v>
      </c>
    </row>
    <row r="82" spans="1:7" ht="15" customHeight="1" x14ac:dyDescent="0.15">
      <c r="A82">
        <v>81</v>
      </c>
      <c r="B82" s="183" t="s">
        <v>273</v>
      </c>
      <c r="C82" s="114">
        <v>0</v>
      </c>
      <c r="D82" s="114">
        <v>1</v>
      </c>
      <c r="E82" s="113">
        <v>0</v>
      </c>
      <c r="F82" s="114">
        <v>0</v>
      </c>
      <c r="G82" s="329">
        <f t="shared" si="1"/>
        <v>1</v>
      </c>
    </row>
    <row r="83" spans="1:7" ht="15" customHeight="1" x14ac:dyDescent="0.15">
      <c r="A83">
        <v>82</v>
      </c>
      <c r="B83" s="183" t="s">
        <v>274</v>
      </c>
      <c r="C83" s="114">
        <v>0</v>
      </c>
      <c r="D83" s="114">
        <v>1</v>
      </c>
      <c r="E83" s="113">
        <v>0</v>
      </c>
      <c r="F83" s="114">
        <v>0</v>
      </c>
      <c r="G83" s="329">
        <f t="shared" si="1"/>
        <v>1</v>
      </c>
    </row>
    <row r="84" spans="1:7" ht="15" customHeight="1" x14ac:dyDescent="0.15">
      <c r="A84">
        <v>83</v>
      </c>
      <c r="B84" s="183" t="s">
        <v>275</v>
      </c>
      <c r="C84" s="114">
        <v>0</v>
      </c>
      <c r="D84" s="114">
        <v>1</v>
      </c>
      <c r="E84" s="113">
        <v>0</v>
      </c>
      <c r="F84" s="114">
        <v>0</v>
      </c>
      <c r="G84" s="329">
        <f t="shared" si="1"/>
        <v>1</v>
      </c>
    </row>
    <row r="85" spans="1:7" ht="15" customHeight="1" x14ac:dyDescent="0.15">
      <c r="A85">
        <v>84</v>
      </c>
      <c r="B85" s="183" t="s">
        <v>276</v>
      </c>
      <c r="C85" s="114">
        <v>0</v>
      </c>
      <c r="D85" s="114">
        <v>1</v>
      </c>
      <c r="E85" s="113">
        <v>0</v>
      </c>
      <c r="F85" s="114">
        <v>0</v>
      </c>
      <c r="G85" s="329">
        <f t="shared" si="1"/>
        <v>1</v>
      </c>
    </row>
    <row r="86" spans="1:7" ht="15" customHeight="1" x14ac:dyDescent="0.15">
      <c r="C86"/>
      <c r="D86"/>
      <c r="E86"/>
      <c r="F86"/>
      <c r="G86"/>
    </row>
    <row r="87" spans="1:7" ht="15" customHeight="1" x14ac:dyDescent="0.15">
      <c r="C87"/>
      <c r="D87"/>
      <c r="E87"/>
      <c r="F87"/>
      <c r="G87"/>
    </row>
    <row r="88" spans="1:7" ht="15" customHeight="1" x14ac:dyDescent="0.15">
      <c r="C88"/>
      <c r="D88"/>
      <c r="E88"/>
      <c r="F88"/>
      <c r="G88"/>
    </row>
    <row r="89" spans="1:7" ht="15" customHeight="1" x14ac:dyDescent="0.15">
      <c r="C89"/>
      <c r="D89"/>
      <c r="E89"/>
      <c r="F89"/>
      <c r="G89"/>
    </row>
    <row r="90" spans="1:7" ht="15" customHeight="1" x14ac:dyDescent="0.15">
      <c r="C90"/>
      <c r="D90"/>
      <c r="E90"/>
      <c r="F90"/>
      <c r="G90"/>
    </row>
    <row r="91" spans="1:7" ht="15" customHeight="1" x14ac:dyDescent="0.15">
      <c r="C91"/>
      <c r="D91"/>
      <c r="E91"/>
      <c r="F91"/>
      <c r="G91"/>
    </row>
    <row r="92" spans="1:7" ht="15" customHeight="1" x14ac:dyDescent="0.15">
      <c r="C92"/>
      <c r="D92"/>
      <c r="E92"/>
      <c r="F92"/>
      <c r="G92"/>
    </row>
    <row r="93" spans="1:7" ht="15" customHeight="1" x14ac:dyDescent="0.15">
      <c r="C93"/>
      <c r="D93"/>
      <c r="E93"/>
      <c r="F93"/>
      <c r="G93"/>
    </row>
    <row r="94" spans="1:7" ht="15" customHeight="1" x14ac:dyDescent="0.15">
      <c r="C94"/>
      <c r="D94"/>
      <c r="E94"/>
      <c r="F94"/>
      <c r="G94"/>
    </row>
    <row r="95" spans="1:7" ht="15" customHeight="1" x14ac:dyDescent="0.15">
      <c r="C95"/>
      <c r="D95"/>
      <c r="E95"/>
      <c r="F95"/>
      <c r="G95"/>
    </row>
    <row r="96" spans="1:7" ht="15" customHeight="1" x14ac:dyDescent="0.15">
      <c r="C96"/>
      <c r="D96"/>
      <c r="E96"/>
      <c r="F96"/>
      <c r="G96"/>
    </row>
    <row r="97" spans="3:7" ht="15" customHeight="1" x14ac:dyDescent="0.15">
      <c r="C97"/>
      <c r="D97"/>
      <c r="E97"/>
      <c r="F97"/>
      <c r="G97"/>
    </row>
    <row r="98" spans="3:7" ht="15" customHeight="1" x14ac:dyDescent="0.15">
      <c r="C98"/>
      <c r="D98"/>
      <c r="E98"/>
      <c r="F98"/>
      <c r="G98"/>
    </row>
    <row r="99" spans="3:7" ht="15" customHeight="1" x14ac:dyDescent="0.15">
      <c r="C99"/>
      <c r="D99"/>
      <c r="E99"/>
      <c r="F99"/>
      <c r="G99"/>
    </row>
    <row r="100" spans="3:7" ht="15" customHeight="1" x14ac:dyDescent="0.15">
      <c r="C100"/>
      <c r="D100"/>
      <c r="E100"/>
      <c r="F100"/>
      <c r="G100"/>
    </row>
    <row r="101" spans="3:7" ht="15" customHeight="1" x14ac:dyDescent="0.15">
      <c r="C101"/>
      <c r="D101"/>
      <c r="E101"/>
      <c r="F101"/>
      <c r="G101"/>
    </row>
    <row r="102" spans="3:7" ht="15" customHeight="1" x14ac:dyDescent="0.15">
      <c r="C102"/>
      <c r="D102"/>
      <c r="E102"/>
      <c r="F102"/>
      <c r="G102"/>
    </row>
    <row r="103" spans="3:7" ht="15" customHeight="1" x14ac:dyDescent="0.15">
      <c r="C103"/>
      <c r="D103"/>
      <c r="E103"/>
      <c r="F103"/>
      <c r="G103"/>
    </row>
    <row r="104" spans="3:7" ht="15" customHeight="1" x14ac:dyDescent="0.15"/>
    <row r="105" spans="3:7" ht="15" customHeight="1" x14ac:dyDescent="0.15"/>
    <row r="106" spans="3:7" ht="15" customHeight="1" x14ac:dyDescent="0.15"/>
    <row r="107" spans="3:7" ht="15" customHeight="1" x14ac:dyDescent="0.15"/>
    <row r="108" spans="3:7" ht="15" customHeight="1" x14ac:dyDescent="0.15"/>
    <row r="109" spans="3:7" ht="15" customHeight="1" x14ac:dyDescent="0.15"/>
    <row r="110" spans="3:7" ht="15" customHeight="1" x14ac:dyDescent="0.15"/>
    <row r="111" spans="3:7" ht="15" customHeight="1" x14ac:dyDescent="0.15"/>
    <row r="112" spans="3:7" ht="15" customHeight="1" x14ac:dyDescent="0.15"/>
    <row r="113" spans="3:7" ht="15" customHeight="1" x14ac:dyDescent="0.15"/>
    <row r="114" spans="3:7" ht="15" customHeight="1" x14ac:dyDescent="0.15"/>
    <row r="115" spans="3:7" ht="15" customHeight="1" x14ac:dyDescent="0.15">
      <c r="C115"/>
      <c r="D115"/>
      <c r="E115"/>
      <c r="F115"/>
      <c r="G115"/>
    </row>
    <row r="116" spans="3:7" ht="15" customHeight="1" x14ac:dyDescent="0.15">
      <c r="C116"/>
      <c r="D116"/>
      <c r="E116"/>
      <c r="F116"/>
      <c r="G116"/>
    </row>
    <row r="117" spans="3:7" ht="15" customHeight="1" x14ac:dyDescent="0.15">
      <c r="C117"/>
      <c r="D117"/>
      <c r="E117"/>
      <c r="F117"/>
      <c r="G117"/>
    </row>
    <row r="118" spans="3:7" ht="15" customHeight="1" x14ac:dyDescent="0.15">
      <c r="C118"/>
      <c r="D118"/>
      <c r="E118"/>
      <c r="F118"/>
      <c r="G118"/>
    </row>
    <row r="119" spans="3:7" ht="15" customHeight="1" x14ac:dyDescent="0.15">
      <c r="C119"/>
      <c r="D119"/>
      <c r="E119"/>
      <c r="F119"/>
      <c r="G119"/>
    </row>
    <row r="120" spans="3:7" ht="15" customHeight="1" x14ac:dyDescent="0.15">
      <c r="C120"/>
      <c r="D120"/>
      <c r="E120"/>
      <c r="F120"/>
      <c r="G120"/>
    </row>
    <row r="121" spans="3:7" ht="15" customHeight="1" x14ac:dyDescent="0.15">
      <c r="C121"/>
      <c r="D121"/>
      <c r="E121"/>
      <c r="F121"/>
      <c r="G121"/>
    </row>
    <row r="122" spans="3:7" ht="15" customHeight="1" x14ac:dyDescent="0.15">
      <c r="C122"/>
      <c r="D122"/>
      <c r="E122"/>
      <c r="F122"/>
      <c r="G122"/>
    </row>
    <row r="123" spans="3:7" ht="15" customHeight="1" x14ac:dyDescent="0.15">
      <c r="C123"/>
      <c r="D123"/>
      <c r="E123"/>
      <c r="F123"/>
      <c r="G123"/>
    </row>
    <row r="124" spans="3:7" ht="15" customHeight="1" x14ac:dyDescent="0.15">
      <c r="C124"/>
      <c r="D124"/>
      <c r="E124"/>
      <c r="F124"/>
      <c r="G124"/>
    </row>
    <row r="125" spans="3:7" ht="15" customHeight="1" x14ac:dyDescent="0.15">
      <c r="C125"/>
      <c r="D125"/>
      <c r="E125"/>
      <c r="F125"/>
      <c r="G125"/>
    </row>
    <row r="126" spans="3:7" ht="15" customHeight="1" x14ac:dyDescent="0.15">
      <c r="C126"/>
      <c r="D126"/>
      <c r="E126"/>
      <c r="F126"/>
      <c r="G126"/>
    </row>
    <row r="127" spans="3:7" ht="15" customHeight="1" x14ac:dyDescent="0.15">
      <c r="C127"/>
      <c r="D127"/>
      <c r="E127"/>
      <c r="F127"/>
      <c r="G127"/>
    </row>
    <row r="128" spans="3:7" ht="15" customHeight="1" x14ac:dyDescent="0.15">
      <c r="C128"/>
      <c r="D128"/>
      <c r="E128"/>
      <c r="F128"/>
      <c r="G128"/>
    </row>
    <row r="129" spans="3:7" ht="15" customHeight="1" x14ac:dyDescent="0.15">
      <c r="C129"/>
      <c r="D129"/>
      <c r="E129"/>
      <c r="F129"/>
      <c r="G129"/>
    </row>
    <row r="130" spans="3:7" ht="15" customHeight="1" x14ac:dyDescent="0.15">
      <c r="C130"/>
      <c r="D130"/>
      <c r="E130"/>
      <c r="F130"/>
      <c r="G130"/>
    </row>
    <row r="131" spans="3:7" ht="15" customHeight="1" x14ac:dyDescent="0.15">
      <c r="C131"/>
      <c r="D131"/>
      <c r="E131"/>
      <c r="F131"/>
      <c r="G131"/>
    </row>
    <row r="132" spans="3:7" ht="15" customHeight="1" x14ac:dyDescent="0.15">
      <c r="C132"/>
      <c r="D132"/>
      <c r="E132"/>
      <c r="F132"/>
      <c r="G132"/>
    </row>
    <row r="133" spans="3:7" ht="15" customHeight="1" x14ac:dyDescent="0.15">
      <c r="C133"/>
      <c r="D133"/>
      <c r="E133"/>
      <c r="F133"/>
      <c r="G133"/>
    </row>
    <row r="134" spans="3:7" ht="15" customHeight="1" x14ac:dyDescent="0.15">
      <c r="C134"/>
      <c r="D134"/>
      <c r="E134"/>
      <c r="F134"/>
      <c r="G134"/>
    </row>
    <row r="135" spans="3:7" ht="15" customHeight="1" x14ac:dyDescent="0.15">
      <c r="C135"/>
      <c r="D135"/>
      <c r="E135"/>
      <c r="F135"/>
      <c r="G135"/>
    </row>
    <row r="136" spans="3:7" ht="15" customHeight="1" x14ac:dyDescent="0.15">
      <c r="C136"/>
      <c r="D136"/>
      <c r="E136"/>
      <c r="F136"/>
      <c r="G136"/>
    </row>
    <row r="137" spans="3:7" ht="15" customHeight="1" x14ac:dyDescent="0.15">
      <c r="C137"/>
      <c r="D137"/>
      <c r="E137"/>
      <c r="F137"/>
      <c r="G137"/>
    </row>
    <row r="138" spans="3:7" ht="15" customHeight="1" x14ac:dyDescent="0.15">
      <c r="C138"/>
      <c r="D138"/>
      <c r="E138"/>
      <c r="F138"/>
      <c r="G138"/>
    </row>
    <row r="139" spans="3:7" ht="15" customHeight="1" x14ac:dyDescent="0.15">
      <c r="C139"/>
      <c r="D139"/>
      <c r="E139"/>
      <c r="F139"/>
      <c r="G139"/>
    </row>
    <row r="140" spans="3:7" ht="15" customHeight="1" x14ac:dyDescent="0.15">
      <c r="C140"/>
      <c r="D140"/>
      <c r="E140"/>
      <c r="F140"/>
      <c r="G140"/>
    </row>
    <row r="141" spans="3:7" ht="15" customHeight="1" x14ac:dyDescent="0.15">
      <c r="C141"/>
      <c r="D141"/>
      <c r="E141"/>
      <c r="F141"/>
      <c r="G141"/>
    </row>
    <row r="142" spans="3:7" ht="15" customHeight="1" x14ac:dyDescent="0.15">
      <c r="C142"/>
      <c r="D142"/>
      <c r="E142"/>
      <c r="F142"/>
      <c r="G142"/>
    </row>
    <row r="143" spans="3:7" ht="15" customHeight="1" x14ac:dyDescent="0.15">
      <c r="C143"/>
      <c r="D143"/>
      <c r="E143"/>
      <c r="F143"/>
      <c r="G143"/>
    </row>
    <row r="144" spans="3:7" ht="15" customHeight="1" x14ac:dyDescent="0.15">
      <c r="C144"/>
      <c r="D144"/>
      <c r="E144"/>
      <c r="F144"/>
      <c r="G144"/>
    </row>
    <row r="145" spans="3:7" ht="15" customHeight="1" x14ac:dyDescent="0.15">
      <c r="C145"/>
      <c r="D145"/>
      <c r="E145"/>
      <c r="F145"/>
      <c r="G145"/>
    </row>
    <row r="146" spans="3:7" ht="15" customHeight="1" x14ac:dyDescent="0.15">
      <c r="C146"/>
      <c r="D146"/>
      <c r="E146"/>
      <c r="F146"/>
      <c r="G146"/>
    </row>
    <row r="147" spans="3:7" ht="15" customHeight="1" x14ac:dyDescent="0.15">
      <c r="C147"/>
      <c r="D147"/>
      <c r="E147"/>
      <c r="F147"/>
      <c r="G147"/>
    </row>
    <row r="148" spans="3:7" ht="15" customHeight="1" x14ac:dyDescent="0.15">
      <c r="C148"/>
      <c r="D148"/>
      <c r="E148"/>
      <c r="F148"/>
      <c r="G148"/>
    </row>
    <row r="149" spans="3:7" ht="15" customHeight="1" x14ac:dyDescent="0.15">
      <c r="C149"/>
      <c r="D149"/>
      <c r="E149"/>
      <c r="F149"/>
      <c r="G149"/>
    </row>
    <row r="150" spans="3:7" ht="15" customHeight="1" x14ac:dyDescent="0.15">
      <c r="C150"/>
      <c r="D150"/>
      <c r="E150"/>
      <c r="F150"/>
      <c r="G150"/>
    </row>
    <row r="151" spans="3:7" ht="15" customHeight="1" x14ac:dyDescent="0.15">
      <c r="C151"/>
      <c r="D151"/>
      <c r="E151"/>
      <c r="F151"/>
      <c r="G151"/>
    </row>
    <row r="152" spans="3:7" ht="15" customHeight="1" x14ac:dyDescent="0.15">
      <c r="C152"/>
      <c r="D152"/>
      <c r="E152"/>
      <c r="F152"/>
      <c r="G152"/>
    </row>
    <row r="153" spans="3:7" ht="15" customHeight="1" x14ac:dyDescent="0.15">
      <c r="C153"/>
      <c r="D153"/>
      <c r="E153"/>
      <c r="F153"/>
      <c r="G153"/>
    </row>
    <row r="154" spans="3:7" ht="15" customHeight="1" x14ac:dyDescent="0.15">
      <c r="C154"/>
      <c r="D154"/>
      <c r="E154"/>
      <c r="F154"/>
      <c r="G154"/>
    </row>
    <row r="155" spans="3:7" ht="15" customHeight="1" x14ac:dyDescent="0.15">
      <c r="C155"/>
      <c r="D155"/>
      <c r="E155"/>
      <c r="F155"/>
      <c r="G155"/>
    </row>
    <row r="156" spans="3:7" ht="15" customHeight="1" x14ac:dyDescent="0.15">
      <c r="C156"/>
      <c r="D156"/>
      <c r="E156"/>
      <c r="F156"/>
      <c r="G156"/>
    </row>
    <row r="157" spans="3:7" ht="15" customHeight="1" x14ac:dyDescent="0.15">
      <c r="C157"/>
      <c r="D157"/>
      <c r="E157"/>
      <c r="F157"/>
      <c r="G157"/>
    </row>
    <row r="158" spans="3:7" ht="15" customHeight="1" x14ac:dyDescent="0.15">
      <c r="C158"/>
      <c r="D158"/>
      <c r="E158"/>
      <c r="F158"/>
      <c r="G158"/>
    </row>
    <row r="159" spans="3:7" ht="15" customHeight="1" x14ac:dyDescent="0.15">
      <c r="C159"/>
      <c r="D159"/>
      <c r="E159"/>
      <c r="F159"/>
      <c r="G159"/>
    </row>
    <row r="160" spans="3:7" ht="15" customHeight="1" x14ac:dyDescent="0.15">
      <c r="C160"/>
      <c r="D160"/>
      <c r="E160"/>
      <c r="F160"/>
      <c r="G160"/>
    </row>
    <row r="161" spans="3:7" ht="15" customHeight="1" x14ac:dyDescent="0.15">
      <c r="C161"/>
      <c r="D161"/>
      <c r="E161"/>
      <c r="F161"/>
      <c r="G161"/>
    </row>
    <row r="162" spans="3:7" ht="15" customHeight="1" x14ac:dyDescent="0.15">
      <c r="C162"/>
      <c r="D162"/>
      <c r="E162"/>
      <c r="F162"/>
      <c r="G162"/>
    </row>
    <row r="163" spans="3:7" ht="15" customHeight="1" x14ac:dyDescent="0.15">
      <c r="C163"/>
      <c r="D163"/>
      <c r="E163"/>
      <c r="F163"/>
      <c r="G163"/>
    </row>
    <row r="164" spans="3:7" ht="15" customHeight="1" x14ac:dyDescent="0.15">
      <c r="C164"/>
      <c r="D164"/>
      <c r="E164"/>
      <c r="F164"/>
      <c r="G164"/>
    </row>
    <row r="165" spans="3:7" ht="15" customHeight="1" x14ac:dyDescent="0.15">
      <c r="C165"/>
      <c r="D165"/>
      <c r="E165"/>
      <c r="F165"/>
      <c r="G165"/>
    </row>
    <row r="166" spans="3:7" ht="15" customHeight="1" x14ac:dyDescent="0.15">
      <c r="C166"/>
      <c r="D166"/>
      <c r="E166"/>
      <c r="F166"/>
      <c r="G166"/>
    </row>
    <row r="167" spans="3:7" ht="15" customHeight="1" x14ac:dyDescent="0.15">
      <c r="C167"/>
      <c r="D167"/>
      <c r="E167"/>
      <c r="F167"/>
      <c r="G167"/>
    </row>
    <row r="168" spans="3:7" ht="15" customHeight="1" x14ac:dyDescent="0.15">
      <c r="C168"/>
      <c r="D168"/>
      <c r="E168"/>
      <c r="F168"/>
      <c r="G168"/>
    </row>
    <row r="169" spans="3:7" ht="15" customHeight="1" x14ac:dyDescent="0.15">
      <c r="C169"/>
      <c r="D169"/>
      <c r="E169"/>
      <c r="F169"/>
      <c r="G169"/>
    </row>
    <row r="170" spans="3:7" ht="15" customHeight="1" x14ac:dyDescent="0.15">
      <c r="C170"/>
      <c r="D170"/>
      <c r="E170"/>
      <c r="F170"/>
      <c r="G170"/>
    </row>
    <row r="171" spans="3:7" ht="15" customHeight="1" x14ac:dyDescent="0.15">
      <c r="C171"/>
      <c r="D171"/>
      <c r="E171"/>
      <c r="F171"/>
      <c r="G171"/>
    </row>
    <row r="172" spans="3:7" ht="15" customHeight="1" x14ac:dyDescent="0.15">
      <c r="C172"/>
      <c r="D172"/>
      <c r="E172"/>
      <c r="F172"/>
      <c r="G172"/>
    </row>
    <row r="173" spans="3:7" ht="15" customHeight="1" x14ac:dyDescent="0.15">
      <c r="C173"/>
      <c r="D173"/>
      <c r="E173"/>
      <c r="F173"/>
      <c r="G173"/>
    </row>
    <row r="174" spans="3:7" ht="15" customHeight="1" x14ac:dyDescent="0.15">
      <c r="C174"/>
      <c r="D174"/>
      <c r="E174"/>
      <c r="F174"/>
      <c r="G174"/>
    </row>
    <row r="175" spans="3:7" ht="15" customHeight="1" x14ac:dyDescent="0.15">
      <c r="C175"/>
      <c r="D175"/>
      <c r="E175"/>
      <c r="F175"/>
      <c r="G175"/>
    </row>
    <row r="176" spans="3:7" ht="15" customHeight="1" x14ac:dyDescent="0.15">
      <c r="C176"/>
      <c r="D176"/>
      <c r="E176"/>
      <c r="F176"/>
      <c r="G176"/>
    </row>
    <row r="177" spans="3:7" ht="15" customHeight="1" x14ac:dyDescent="0.15">
      <c r="C177"/>
      <c r="D177"/>
      <c r="E177"/>
      <c r="F177"/>
      <c r="G177"/>
    </row>
    <row r="178" spans="3:7" ht="15" customHeight="1" x14ac:dyDescent="0.15">
      <c r="C178"/>
      <c r="D178"/>
      <c r="E178"/>
      <c r="F178"/>
      <c r="G178"/>
    </row>
    <row r="179" spans="3:7" ht="15" customHeight="1" x14ac:dyDescent="0.15">
      <c r="C179"/>
      <c r="D179"/>
      <c r="E179"/>
      <c r="F179"/>
      <c r="G179"/>
    </row>
    <row r="180" spans="3:7" ht="15" customHeight="1" x14ac:dyDescent="0.15">
      <c r="C180"/>
      <c r="D180"/>
      <c r="E180"/>
      <c r="F180"/>
      <c r="G180"/>
    </row>
    <row r="181" spans="3:7" ht="15" customHeight="1" x14ac:dyDescent="0.15">
      <c r="C181"/>
      <c r="D181"/>
      <c r="E181"/>
      <c r="F181"/>
      <c r="G181"/>
    </row>
    <row r="182" spans="3:7" ht="15" customHeight="1" x14ac:dyDescent="0.15">
      <c r="C182"/>
      <c r="D182"/>
      <c r="E182"/>
      <c r="F182"/>
      <c r="G182"/>
    </row>
    <row r="183" spans="3:7" ht="15" customHeight="1" x14ac:dyDescent="0.15">
      <c r="C183"/>
      <c r="D183"/>
      <c r="E183"/>
      <c r="F183"/>
      <c r="G183"/>
    </row>
    <row r="184" spans="3:7" ht="15" customHeight="1" x14ac:dyDescent="0.15">
      <c r="C184"/>
      <c r="D184"/>
      <c r="E184"/>
      <c r="F184"/>
      <c r="G184"/>
    </row>
    <row r="185" spans="3:7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Q173"/>
  <sheetViews>
    <sheetView workbookViewId="0">
      <pane xSplit="2" ySplit="1" topLeftCell="C67" activePane="bottomRight" state="frozen"/>
      <selection pane="topRight" activeCell="D1" sqref="D1"/>
      <selection pane="bottomLeft" activeCell="A2" sqref="A2"/>
      <selection pane="bottomRight" activeCell="B74" sqref="B74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5" width="11.83203125" bestFit="1" customWidth="1"/>
    <col min="6" max="6" width="11.83203125" customWidth="1"/>
    <col min="7" max="7" width="11.5" customWidth="1"/>
    <col min="8" max="8" width="11.83203125" customWidth="1"/>
    <col min="9" max="10" width="11.5" customWidth="1"/>
    <col min="11" max="11" width="12.83203125" customWidth="1"/>
    <col min="12" max="12" width="11.83203125" customWidth="1"/>
    <col min="13" max="13" width="12.83203125" customWidth="1"/>
    <col min="14" max="14" width="8.83203125" customWidth="1"/>
    <col min="15" max="15" width="11.83203125" customWidth="1"/>
    <col min="16" max="16" width="11.5" customWidth="1"/>
    <col min="17" max="17" width="15.83203125" customWidth="1"/>
  </cols>
  <sheetData>
    <row r="1" spans="1:17" s="115" customFormat="1" ht="112" x14ac:dyDescent="0.15">
      <c r="A1" s="5" t="s">
        <v>21</v>
      </c>
      <c r="B1" s="3" t="s">
        <v>0</v>
      </c>
      <c r="C1" s="185" t="s">
        <v>263</v>
      </c>
      <c r="D1" s="185" t="s">
        <v>264</v>
      </c>
      <c r="E1" s="185" t="s">
        <v>265</v>
      </c>
      <c r="F1" s="185" t="s">
        <v>266</v>
      </c>
      <c r="G1" s="185" t="s">
        <v>267</v>
      </c>
      <c r="H1" s="185" t="s">
        <v>268</v>
      </c>
      <c r="I1" s="185" t="s">
        <v>269</v>
      </c>
      <c r="J1" s="185" t="s">
        <v>270</v>
      </c>
      <c r="K1" s="185" t="s">
        <v>271</v>
      </c>
      <c r="L1" s="185" t="s">
        <v>272</v>
      </c>
      <c r="M1" s="185" t="s">
        <v>273</v>
      </c>
      <c r="N1" s="185" t="s">
        <v>274</v>
      </c>
      <c r="O1" s="185" t="s">
        <v>275</v>
      </c>
      <c r="P1" s="185" t="s">
        <v>276</v>
      </c>
      <c r="Q1" s="185" t="s">
        <v>280</v>
      </c>
    </row>
    <row r="2" spans="1:17" ht="15" customHeight="1" x14ac:dyDescent="0.15">
      <c r="A2">
        <v>1</v>
      </c>
      <c r="B2" s="184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ht="15" customHeight="1" x14ac:dyDescent="0.15">
      <c r="A3">
        <v>2</v>
      </c>
      <c r="B3" s="184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ht="15" customHeight="1" x14ac:dyDescent="0.15">
      <c r="A4">
        <v>3</v>
      </c>
      <c r="B4" s="184" t="s">
        <v>195</v>
      </c>
      <c r="C4">
        <v>8.8499999999999996E-5</v>
      </c>
      <c r="D4">
        <v>6.8999999999999997E-5</v>
      </c>
      <c r="E4">
        <v>3.625E-5</v>
      </c>
      <c r="F4">
        <v>1.0349999999999999E-5</v>
      </c>
      <c r="G4">
        <v>1.145E-7</v>
      </c>
      <c r="H4">
        <v>5.3499999999999996E-7</v>
      </c>
      <c r="I4">
        <v>1.0649999999999999E-8</v>
      </c>
      <c r="J4">
        <v>1.155E-6</v>
      </c>
      <c r="K4">
        <v>2.0449999999999999E-6</v>
      </c>
      <c r="L4">
        <v>8.1499999999999997E-4</v>
      </c>
      <c r="M4">
        <v>1.4999999999999999E-7</v>
      </c>
      <c r="N4">
        <v>0</v>
      </c>
      <c r="O4">
        <v>6.3500000000000002E-6</v>
      </c>
      <c r="P4">
        <v>0</v>
      </c>
      <c r="Q4">
        <v>1.0294601499999999E-3</v>
      </c>
    </row>
    <row r="5" spans="1:17" ht="15" customHeight="1" x14ac:dyDescent="0.15">
      <c r="A5">
        <v>4</v>
      </c>
      <c r="B5" s="184" t="s">
        <v>196</v>
      </c>
      <c r="C5">
        <v>2.06359E-5</v>
      </c>
      <c r="D5">
        <v>1.06529E-4</v>
      </c>
      <c r="E5">
        <v>1.8366999999999999E-5</v>
      </c>
      <c r="F5">
        <v>1.2878500000000001E-6</v>
      </c>
      <c r="G5">
        <v>6.5689099999999998E-7</v>
      </c>
      <c r="H5">
        <v>0</v>
      </c>
      <c r="I5">
        <v>0</v>
      </c>
      <c r="J5">
        <v>4.7538099999999999E-7</v>
      </c>
      <c r="K5">
        <v>2.01173E-7</v>
      </c>
      <c r="L5">
        <v>1.2100600000000001E-5</v>
      </c>
      <c r="M5">
        <v>0</v>
      </c>
      <c r="N5">
        <v>0</v>
      </c>
      <c r="O5">
        <v>8.1030900000000001E-8</v>
      </c>
      <c r="P5">
        <v>0</v>
      </c>
      <c r="Q5">
        <v>1.6033482590000001E-4</v>
      </c>
    </row>
    <row r="6" spans="1:17" ht="15" customHeight="1" x14ac:dyDescent="0.15">
      <c r="A6">
        <v>5</v>
      </c>
      <c r="B6" s="184" t="s">
        <v>197</v>
      </c>
      <c r="C6">
        <v>1.8000000000000001E-4</v>
      </c>
      <c r="D6">
        <v>3.5500000000000002E-5</v>
      </c>
      <c r="E6">
        <v>2.0800000000000001E-5</v>
      </c>
      <c r="F6">
        <v>0</v>
      </c>
      <c r="G6">
        <v>5.4700000000000001E-6</v>
      </c>
      <c r="H6">
        <v>1.37E-6</v>
      </c>
      <c r="I6">
        <v>7.9400000000000004E-7</v>
      </c>
      <c r="J6">
        <v>3.4199999999999998E-5</v>
      </c>
      <c r="K6">
        <v>5.8300000000000001E-6</v>
      </c>
      <c r="L6">
        <v>0</v>
      </c>
      <c r="M6">
        <v>8.8900000000000005E-9</v>
      </c>
      <c r="N6">
        <v>0</v>
      </c>
      <c r="O6">
        <v>8.0000000000000002E-8</v>
      </c>
      <c r="P6">
        <v>0</v>
      </c>
      <c r="Q6">
        <v>2.8405288999999999E-4</v>
      </c>
    </row>
    <row r="7" spans="1:17" ht="15" customHeight="1" x14ac:dyDescent="0.15">
      <c r="A7">
        <v>6</v>
      </c>
      <c r="B7" s="184" t="s">
        <v>198</v>
      </c>
      <c r="C7">
        <v>0</v>
      </c>
      <c r="D7">
        <v>1.075E-4</v>
      </c>
      <c r="E7">
        <v>1.27E-4</v>
      </c>
      <c r="F7">
        <v>4.9400000000000001E-6</v>
      </c>
      <c r="G7">
        <v>0</v>
      </c>
      <c r="H7">
        <v>0</v>
      </c>
      <c r="I7">
        <v>0</v>
      </c>
      <c r="J7">
        <v>0</v>
      </c>
      <c r="K7">
        <v>8.9500000000000001E-7</v>
      </c>
      <c r="L7">
        <v>0</v>
      </c>
      <c r="M7">
        <v>0</v>
      </c>
      <c r="N7">
        <v>0</v>
      </c>
      <c r="O7">
        <v>3.375E-5</v>
      </c>
      <c r="P7">
        <v>6.6500000000000001E-4</v>
      </c>
      <c r="Q7">
        <v>9.3908499999999998E-4</v>
      </c>
    </row>
    <row r="8" spans="1:17" ht="15" customHeight="1" x14ac:dyDescent="0.15">
      <c r="A8">
        <v>7</v>
      </c>
      <c r="B8" s="184" t="s">
        <v>199</v>
      </c>
      <c r="C8">
        <v>2.84E-7</v>
      </c>
      <c r="D8">
        <v>0</v>
      </c>
      <c r="E8">
        <v>1.8099999999999999E-5</v>
      </c>
      <c r="F8">
        <v>0</v>
      </c>
      <c r="G8">
        <v>3.0900000000000001E-6</v>
      </c>
      <c r="H8">
        <v>1.0899999999999999E-6</v>
      </c>
      <c r="I8">
        <v>2.3900000000000002E-3</v>
      </c>
      <c r="J8">
        <v>2.8399999999999999E-5</v>
      </c>
      <c r="K8">
        <v>4.8599999999999998E-7</v>
      </c>
      <c r="L8">
        <v>4.8E-8</v>
      </c>
      <c r="M8">
        <v>2.3099999999999999E-7</v>
      </c>
      <c r="N8">
        <v>0</v>
      </c>
      <c r="O8">
        <v>1.6700000000000001E-6</v>
      </c>
      <c r="P8">
        <v>0</v>
      </c>
      <c r="Q8">
        <v>2.4433990000000002E-3</v>
      </c>
    </row>
    <row r="9" spans="1:17" ht="15" customHeight="1" x14ac:dyDescent="0.15">
      <c r="A9">
        <v>8</v>
      </c>
      <c r="B9" s="184" t="s">
        <v>200</v>
      </c>
      <c r="C9">
        <v>3.2786700000000002E-5</v>
      </c>
      <c r="D9">
        <v>4.74125E-5</v>
      </c>
      <c r="E9">
        <v>3.08891E-6</v>
      </c>
      <c r="F9">
        <v>1.5104800000000001E-4</v>
      </c>
      <c r="G9">
        <v>2.5220499999999997E-7</v>
      </c>
      <c r="H9">
        <v>3.0889100000000002E-5</v>
      </c>
      <c r="I9">
        <v>4.2726600000000001E-8</v>
      </c>
      <c r="J9">
        <v>3.3676800000000001E-7</v>
      </c>
      <c r="K9">
        <v>0</v>
      </c>
      <c r="L9">
        <v>0</v>
      </c>
      <c r="M9">
        <v>6.7947000000000006E-8</v>
      </c>
      <c r="N9">
        <v>0</v>
      </c>
      <c r="O9">
        <v>3.9877699999999999E-5</v>
      </c>
      <c r="P9">
        <v>3.08891E-6</v>
      </c>
      <c r="Q9">
        <v>3.0889146660000001E-4</v>
      </c>
    </row>
    <row r="10" spans="1:17" ht="15" customHeight="1" x14ac:dyDescent="0.15">
      <c r="A10">
        <v>9</v>
      </c>
      <c r="B10" s="184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ht="15" customHeight="1" x14ac:dyDescent="0.15">
      <c r="A11">
        <v>10</v>
      </c>
      <c r="B11" s="184" t="s">
        <v>202</v>
      </c>
      <c r="C11">
        <v>5.2825099999999998E-4</v>
      </c>
      <c r="D11">
        <v>2.9102000000000002E-4</v>
      </c>
      <c r="E11">
        <v>5.2825099999999997E-5</v>
      </c>
      <c r="F11">
        <v>5.2825099999999997E-5</v>
      </c>
      <c r="G11">
        <v>1.9402999999999999E-6</v>
      </c>
      <c r="H11">
        <v>3.2719229999999999E-3</v>
      </c>
      <c r="I11">
        <v>4.6665300000000002E-5</v>
      </c>
      <c r="J11">
        <v>8.26878E-7</v>
      </c>
      <c r="K11">
        <v>0</v>
      </c>
      <c r="L11">
        <v>1.22804E-6</v>
      </c>
      <c r="M11">
        <v>0</v>
      </c>
      <c r="N11">
        <v>0</v>
      </c>
      <c r="O11">
        <v>9.8218200000000006E-4</v>
      </c>
      <c r="P11">
        <v>5.2825099999999997E-5</v>
      </c>
      <c r="Q11">
        <v>5.2825118179999995E-3</v>
      </c>
    </row>
    <row r="12" spans="1:17" ht="15" customHeight="1" x14ac:dyDescent="0.15">
      <c r="A12">
        <v>11</v>
      </c>
      <c r="B12" s="184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ht="15" customHeight="1" x14ac:dyDescent="0.15">
      <c r="A13">
        <v>12</v>
      </c>
      <c r="B13" s="184" t="s">
        <v>204</v>
      </c>
      <c r="C13">
        <v>6.1476000000000006E-5</v>
      </c>
      <c r="D13">
        <v>6.5257599999999998E-4</v>
      </c>
      <c r="E13">
        <v>6.1476000000000006E-5</v>
      </c>
      <c r="F13">
        <v>6.1476000000000006E-5</v>
      </c>
      <c r="G13">
        <v>1.2322400000000001E-5</v>
      </c>
      <c r="H13">
        <v>5.2269880000000001E-3</v>
      </c>
      <c r="I13">
        <v>2.3128199999999999E-7</v>
      </c>
      <c r="J13">
        <v>8.2939099999999993E-6</v>
      </c>
      <c r="K13">
        <v>0</v>
      </c>
      <c r="L13">
        <v>5.2133399999999998E-7</v>
      </c>
      <c r="M13">
        <v>7.7726000000000001E-7</v>
      </c>
      <c r="N13">
        <v>0</v>
      </c>
      <c r="O13">
        <v>6.1476000000000006E-5</v>
      </c>
      <c r="P13">
        <v>0</v>
      </c>
      <c r="Q13">
        <v>6.147614186000001E-3</v>
      </c>
    </row>
    <row r="14" spans="1:17" ht="15" customHeight="1" x14ac:dyDescent="0.15">
      <c r="A14">
        <v>13</v>
      </c>
      <c r="B14" s="184" t="s">
        <v>205</v>
      </c>
      <c r="C14">
        <v>3.1077299999999997E-4</v>
      </c>
      <c r="D14">
        <v>3.5096699999999999E-4</v>
      </c>
      <c r="E14">
        <v>3.0194999999999999E-4</v>
      </c>
      <c r="F14">
        <v>6.1370300000000003E-6</v>
      </c>
      <c r="G14">
        <v>3.4214400000000002E-5</v>
      </c>
      <c r="H14">
        <v>2.61755E-6</v>
      </c>
      <c r="I14">
        <v>1.49014E-6</v>
      </c>
      <c r="J14">
        <v>9.9015899999999995E-5</v>
      </c>
      <c r="K14">
        <v>2.1959999999999999E-8</v>
      </c>
      <c r="L14">
        <v>3.6567299999999998E-5</v>
      </c>
      <c r="M14">
        <v>5.2743100000000003E-7</v>
      </c>
      <c r="N14">
        <v>0</v>
      </c>
      <c r="O14">
        <v>1.5783699999999999E-5</v>
      </c>
      <c r="P14">
        <v>0</v>
      </c>
      <c r="Q14">
        <v>1.1600654109999999E-3</v>
      </c>
    </row>
    <row r="15" spans="1:17" ht="15" customHeight="1" x14ac:dyDescent="0.15">
      <c r="A15">
        <v>14</v>
      </c>
      <c r="B15" s="184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ht="15" customHeight="1" x14ac:dyDescent="0.15">
      <c r="A16">
        <v>15</v>
      </c>
      <c r="B16" s="184" t="s">
        <v>207</v>
      </c>
      <c r="C16">
        <v>5.0684700000000003E-6</v>
      </c>
      <c r="D16">
        <v>1.4377210000000001E-3</v>
      </c>
      <c r="E16">
        <v>1.0401939999999999E-3</v>
      </c>
      <c r="F16">
        <v>2.7826800000000003E-4</v>
      </c>
      <c r="G16">
        <v>3.9090100000000003E-9</v>
      </c>
      <c r="H16">
        <v>0</v>
      </c>
      <c r="I16">
        <v>0</v>
      </c>
      <c r="J16">
        <v>0</v>
      </c>
      <c r="K16">
        <v>5.9297699999999996E-4</v>
      </c>
      <c r="L16">
        <v>2.4878499999999999E-5</v>
      </c>
      <c r="M16">
        <v>1.6331699999999999E-6</v>
      </c>
      <c r="N16">
        <v>0</v>
      </c>
      <c r="O16">
        <v>0</v>
      </c>
      <c r="P16">
        <v>0</v>
      </c>
      <c r="Q16">
        <v>3.3807440490100002E-3</v>
      </c>
    </row>
    <row r="17" spans="1:17" ht="15" customHeight="1" x14ac:dyDescent="0.15">
      <c r="A17">
        <v>16</v>
      </c>
      <c r="B17" s="184" t="s">
        <v>208</v>
      </c>
      <c r="C17">
        <v>0</v>
      </c>
      <c r="D17">
        <v>9.9162399999999994E-6</v>
      </c>
      <c r="E17">
        <v>1.4568E-5</v>
      </c>
      <c r="F17">
        <v>2.2033100000000001E-5</v>
      </c>
      <c r="G17">
        <v>0</v>
      </c>
      <c r="H17">
        <v>0</v>
      </c>
      <c r="I17">
        <v>3.2868499999999998E-7</v>
      </c>
      <c r="J17">
        <v>0</v>
      </c>
      <c r="K17">
        <v>1.00555E-4</v>
      </c>
      <c r="L17">
        <v>1.0306200000000001E-6</v>
      </c>
      <c r="M17">
        <v>5.9051800000000001E-8</v>
      </c>
      <c r="N17">
        <v>0</v>
      </c>
      <c r="O17">
        <v>0</v>
      </c>
      <c r="P17">
        <v>0</v>
      </c>
      <c r="Q17">
        <v>1.4849069680000001E-4</v>
      </c>
    </row>
    <row r="18" spans="1:17" ht="15" customHeight="1" x14ac:dyDescent="0.15">
      <c r="A18">
        <v>17</v>
      </c>
      <c r="B18" s="184" t="s">
        <v>209</v>
      </c>
      <c r="C18">
        <v>2.4148300000000001E-5</v>
      </c>
      <c r="D18">
        <v>1.4011000000000001E-4</v>
      </c>
      <c r="E18">
        <v>3.9766499999999999E-5</v>
      </c>
      <c r="F18">
        <v>1.2362599999999999E-5</v>
      </c>
      <c r="G18">
        <v>6.3049400000000006E-8</v>
      </c>
      <c r="H18">
        <v>1.4216999999999999E-8</v>
      </c>
      <c r="I18">
        <v>1.63187E-6</v>
      </c>
      <c r="J18">
        <v>2.8310399999999999E-8</v>
      </c>
      <c r="K18">
        <v>7.6648299999999996E-5</v>
      </c>
      <c r="L18">
        <v>9.8901099999999994E-6</v>
      </c>
      <c r="M18">
        <v>5.8516500000000001E-7</v>
      </c>
      <c r="N18">
        <v>0</v>
      </c>
      <c r="O18">
        <v>0</v>
      </c>
      <c r="P18">
        <v>0</v>
      </c>
      <c r="Q18">
        <v>3.0524842180000003E-4</v>
      </c>
    </row>
    <row r="19" spans="1:17" ht="15" customHeight="1" x14ac:dyDescent="0.15">
      <c r="A19">
        <v>18</v>
      </c>
      <c r="B19" s="184" t="s">
        <v>210</v>
      </c>
      <c r="C19">
        <v>0</v>
      </c>
      <c r="D19">
        <v>2.6655800000000002E-7</v>
      </c>
      <c r="E19">
        <v>1.2804E-5</v>
      </c>
      <c r="F19">
        <v>3.7489300000000002E-7</v>
      </c>
      <c r="G19">
        <v>0</v>
      </c>
      <c r="H19">
        <v>0</v>
      </c>
      <c r="I19">
        <v>0</v>
      </c>
      <c r="J19">
        <v>0</v>
      </c>
      <c r="K19">
        <v>3.7489300000000002E-7</v>
      </c>
      <c r="L19">
        <v>2.36689E-5</v>
      </c>
      <c r="M19">
        <v>0</v>
      </c>
      <c r="N19">
        <v>0</v>
      </c>
      <c r="O19">
        <v>0</v>
      </c>
      <c r="P19">
        <v>0</v>
      </c>
      <c r="Q19">
        <v>3.7489244000000001E-5</v>
      </c>
    </row>
    <row r="20" spans="1:17" ht="15" customHeight="1" x14ac:dyDescent="0.15">
      <c r="A20">
        <v>19</v>
      </c>
      <c r="B20" s="184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ht="15" customHeight="1" x14ac:dyDescent="0.15">
      <c r="A21">
        <v>20</v>
      </c>
      <c r="B21" s="184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ht="15" customHeight="1" x14ac:dyDescent="0.15">
      <c r="A22">
        <v>21</v>
      </c>
      <c r="B22" s="184" t="s">
        <v>213</v>
      </c>
      <c r="C22">
        <v>0</v>
      </c>
      <c r="D22">
        <v>6.8354599999999998E-6</v>
      </c>
      <c r="E22">
        <v>6.8354599999999998E-6</v>
      </c>
      <c r="F22">
        <v>4.4051499999999999E-4</v>
      </c>
      <c r="G22">
        <v>0</v>
      </c>
      <c r="H22">
        <v>0</v>
      </c>
      <c r="I22">
        <v>0</v>
      </c>
      <c r="J22">
        <v>0</v>
      </c>
      <c r="K22">
        <v>6.8354599999999998E-6</v>
      </c>
      <c r="L22">
        <v>2.15689E-4</v>
      </c>
      <c r="M22">
        <v>6.8354599999999998E-6</v>
      </c>
      <c r="N22">
        <v>0</v>
      </c>
      <c r="O22">
        <v>0</v>
      </c>
      <c r="P22">
        <v>0</v>
      </c>
      <c r="Q22">
        <v>6.8354583999999993E-4</v>
      </c>
    </row>
    <row r="23" spans="1:17" ht="15" customHeight="1" x14ac:dyDescent="0.15">
      <c r="A23">
        <v>22</v>
      </c>
      <c r="B23" s="184" t="s">
        <v>214</v>
      </c>
      <c r="C23">
        <v>0</v>
      </c>
      <c r="D23">
        <v>1.56E-4</v>
      </c>
      <c r="E23">
        <v>2.7399999999999999E-5</v>
      </c>
      <c r="F23">
        <v>3.6899999999999998E-6</v>
      </c>
      <c r="G23">
        <v>0</v>
      </c>
      <c r="H23">
        <v>4.2599999999999999E-6</v>
      </c>
      <c r="I23">
        <v>0</v>
      </c>
      <c r="J23">
        <v>0</v>
      </c>
      <c r="K23">
        <v>1.44E-4</v>
      </c>
      <c r="L23">
        <v>4.8299999999999998E-4</v>
      </c>
      <c r="M23">
        <v>4.9599999999999999E-7</v>
      </c>
      <c r="N23">
        <v>0</v>
      </c>
      <c r="O23">
        <v>0</v>
      </c>
      <c r="P23">
        <v>0</v>
      </c>
      <c r="Q23">
        <v>8.1884600000000003E-4</v>
      </c>
    </row>
    <row r="24" spans="1:17" ht="15" customHeight="1" x14ac:dyDescent="0.15">
      <c r="A24">
        <v>23</v>
      </c>
      <c r="B24" s="184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ht="15" customHeight="1" x14ac:dyDescent="0.15">
      <c r="A25">
        <v>24</v>
      </c>
      <c r="B25" s="184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ht="15" customHeight="1" x14ac:dyDescent="0.15">
      <c r="A26">
        <v>25</v>
      </c>
      <c r="B26" s="184" t="s">
        <v>217</v>
      </c>
      <c r="C26">
        <v>0</v>
      </c>
      <c r="D26">
        <v>1.5300000000000001E-4</v>
      </c>
      <c r="E26">
        <v>7.0400000000000004E-5</v>
      </c>
      <c r="F26">
        <v>1.8700000000000001E-6</v>
      </c>
      <c r="G26">
        <v>9.9600000000000005E-8</v>
      </c>
      <c r="H26">
        <v>0</v>
      </c>
      <c r="I26">
        <v>0</v>
      </c>
      <c r="J26">
        <v>3.0699999999999997E-8</v>
      </c>
      <c r="K26">
        <v>1.07E-4</v>
      </c>
      <c r="L26">
        <v>1.2799999999999999E-4</v>
      </c>
      <c r="M26">
        <v>6.5799999999999997E-6</v>
      </c>
      <c r="N26">
        <v>0</v>
      </c>
      <c r="O26">
        <v>0</v>
      </c>
      <c r="P26">
        <v>0</v>
      </c>
      <c r="Q26">
        <v>4.6698030000000003E-4</v>
      </c>
    </row>
    <row r="27" spans="1:17" ht="15" customHeight="1" x14ac:dyDescent="0.15">
      <c r="A27">
        <v>26</v>
      </c>
      <c r="B27" s="184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ht="15" customHeight="1" x14ac:dyDescent="0.15">
      <c r="A28">
        <v>27</v>
      </c>
      <c r="B28" s="184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ht="15" customHeight="1" x14ac:dyDescent="0.15">
      <c r="A29">
        <v>28</v>
      </c>
      <c r="B29" s="184" t="s">
        <v>220</v>
      </c>
      <c r="C29">
        <v>0</v>
      </c>
      <c r="D29">
        <v>4.14115E-4</v>
      </c>
      <c r="E29">
        <v>7.4019999999999999E-5</v>
      </c>
      <c r="F29">
        <v>2.34465E-4</v>
      </c>
      <c r="G29">
        <v>0</v>
      </c>
      <c r="H29">
        <v>7.9312099999999996E-5</v>
      </c>
      <c r="I29">
        <v>0</v>
      </c>
      <c r="J29">
        <v>0</v>
      </c>
      <c r="K29">
        <v>1.2291577600000001E-2</v>
      </c>
      <c r="L29">
        <v>2.0985410000000002E-3</v>
      </c>
      <c r="M29">
        <v>1.6862172599999999E-2</v>
      </c>
      <c r="N29">
        <v>0</v>
      </c>
      <c r="O29">
        <v>0</v>
      </c>
      <c r="P29">
        <v>0</v>
      </c>
      <c r="Q29">
        <v>3.20542033E-2</v>
      </c>
    </row>
    <row r="30" spans="1:17" ht="15" customHeight="1" x14ac:dyDescent="0.15">
      <c r="A30">
        <v>29</v>
      </c>
      <c r="B30" s="184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ht="15" customHeight="1" x14ac:dyDescent="0.15">
      <c r="A31">
        <v>30</v>
      </c>
      <c r="B31" s="184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ht="15" customHeight="1" x14ac:dyDescent="0.15">
      <c r="A32">
        <v>31</v>
      </c>
      <c r="B32" s="184" t="s">
        <v>223</v>
      </c>
      <c r="C32">
        <v>5.4231299999999997E-5</v>
      </c>
      <c r="D32">
        <v>1.18931E-5</v>
      </c>
      <c r="E32">
        <v>1.18931E-5</v>
      </c>
      <c r="F32">
        <v>3.1842900000000001E-4</v>
      </c>
      <c r="G32">
        <v>1.3503599999999999E-7</v>
      </c>
      <c r="H32">
        <v>0</v>
      </c>
      <c r="I32">
        <v>1.18931E-5</v>
      </c>
      <c r="J32">
        <v>7.92725E-7</v>
      </c>
      <c r="K32">
        <v>1.18931E-5</v>
      </c>
      <c r="L32">
        <v>3.24729E-4</v>
      </c>
      <c r="M32">
        <v>4.4341699999999999E-4</v>
      </c>
      <c r="N32">
        <v>0</v>
      </c>
      <c r="O32">
        <v>0</v>
      </c>
      <c r="P32">
        <v>0</v>
      </c>
      <c r="Q32">
        <v>1.1893064609999999E-3</v>
      </c>
    </row>
    <row r="33" spans="1:17" ht="15" customHeight="1" x14ac:dyDescent="0.15">
      <c r="A33">
        <v>32</v>
      </c>
      <c r="B33" s="184" t="s">
        <v>224</v>
      </c>
      <c r="C33">
        <v>0</v>
      </c>
      <c r="D33">
        <v>1.27E-4</v>
      </c>
      <c r="E33">
        <v>1.2999999999999999E-4</v>
      </c>
      <c r="F33">
        <v>3.6199999999999999E-5</v>
      </c>
      <c r="G33">
        <v>0</v>
      </c>
      <c r="H33">
        <v>1.2800000000000001E-7</v>
      </c>
      <c r="I33">
        <v>3.1500000000000001E-9</v>
      </c>
      <c r="J33">
        <v>0</v>
      </c>
      <c r="K33">
        <v>2.7900000000000001E-4</v>
      </c>
      <c r="L33">
        <v>3.3700000000000001E-4</v>
      </c>
      <c r="M33">
        <v>3.0100000000000001E-7</v>
      </c>
      <c r="N33">
        <v>0</v>
      </c>
      <c r="O33">
        <v>0</v>
      </c>
      <c r="P33">
        <v>0</v>
      </c>
      <c r="Q33">
        <v>9.0963215E-4</v>
      </c>
    </row>
    <row r="34" spans="1:17" ht="15" customHeight="1" x14ac:dyDescent="0.15">
      <c r="A34">
        <v>33</v>
      </c>
      <c r="B34" s="184" t="s">
        <v>225</v>
      </c>
      <c r="C34">
        <v>0</v>
      </c>
      <c r="D34">
        <v>0</v>
      </c>
      <c r="E34">
        <v>0</v>
      </c>
      <c r="F34">
        <v>3.9500000000000003E-8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3.9500000000000003E-8</v>
      </c>
    </row>
    <row r="35" spans="1:17" ht="15" customHeight="1" x14ac:dyDescent="0.15">
      <c r="A35">
        <v>34</v>
      </c>
      <c r="B35" s="184" t="s">
        <v>226</v>
      </c>
      <c r="C35">
        <v>1.4049699999999999E-7</v>
      </c>
      <c r="D35">
        <v>1.7060799999999999E-7</v>
      </c>
      <c r="E35">
        <v>2.7893199999999998E-6</v>
      </c>
      <c r="F35">
        <v>7.5708700000000002E-6</v>
      </c>
      <c r="G35">
        <v>1.04625E-9</v>
      </c>
      <c r="H35">
        <v>9.9642700000000008E-9</v>
      </c>
      <c r="I35">
        <v>1.6142200000000001E-8</v>
      </c>
      <c r="J35">
        <v>3.2085099999999999E-10</v>
      </c>
      <c r="K35">
        <v>1.7060799999999999E-7</v>
      </c>
      <c r="L35">
        <v>3.6047699999999998E-6</v>
      </c>
      <c r="M35">
        <v>2.5121800000000001E-6</v>
      </c>
      <c r="N35">
        <v>0</v>
      </c>
      <c r="O35">
        <v>7.4532999999999996E-8</v>
      </c>
      <c r="P35">
        <v>0</v>
      </c>
      <c r="Q35">
        <v>1.7060859571E-5</v>
      </c>
    </row>
    <row r="36" spans="1:17" ht="15" customHeight="1" x14ac:dyDescent="0.15">
      <c r="A36">
        <v>35</v>
      </c>
      <c r="B36" s="184" t="s">
        <v>227</v>
      </c>
      <c r="C36">
        <v>3.0253399999999999E-6</v>
      </c>
      <c r="D36">
        <v>2.13129E-6</v>
      </c>
      <c r="E36">
        <v>8.0193300000000003E-5</v>
      </c>
      <c r="F36">
        <v>2.13129E-6</v>
      </c>
      <c r="G36">
        <v>2.30523E-8</v>
      </c>
      <c r="H36">
        <v>1.6646299999999999E-8</v>
      </c>
      <c r="I36">
        <v>0</v>
      </c>
      <c r="J36">
        <v>0</v>
      </c>
      <c r="K36">
        <v>2.13129E-6</v>
      </c>
      <c r="L36">
        <v>9.3788099999999997E-5</v>
      </c>
      <c r="M36">
        <v>2.13129E-6</v>
      </c>
      <c r="N36">
        <v>0</v>
      </c>
      <c r="O36">
        <v>2.7557200000000001E-5</v>
      </c>
      <c r="P36">
        <v>0</v>
      </c>
      <c r="Q36">
        <v>2.131287986E-4</v>
      </c>
    </row>
    <row r="37" spans="1:17" ht="15" customHeight="1" x14ac:dyDescent="0.15">
      <c r="A37">
        <v>36</v>
      </c>
      <c r="B37" s="184" t="s">
        <v>228</v>
      </c>
      <c r="C37">
        <v>1.3951000000000001E-5</v>
      </c>
      <c r="D37">
        <v>1.3951000000000001E-5</v>
      </c>
      <c r="E37">
        <v>1.3951000000000001E-5</v>
      </c>
      <c r="F37">
        <v>2.3716699999999999E-4</v>
      </c>
      <c r="G37">
        <v>6.3E-7</v>
      </c>
      <c r="H37">
        <v>0</v>
      </c>
      <c r="I37">
        <v>1.67E-7</v>
      </c>
      <c r="J37">
        <v>8.0000000000000002E-8</v>
      </c>
      <c r="K37">
        <v>1.7350000000000002E-5</v>
      </c>
      <c r="L37">
        <v>2.2049999999999999E-8</v>
      </c>
      <c r="M37">
        <v>7.8499999999999997E-5</v>
      </c>
      <c r="N37">
        <v>0</v>
      </c>
      <c r="O37">
        <v>0</v>
      </c>
      <c r="P37">
        <v>0</v>
      </c>
      <c r="Q37">
        <v>3.7576904999999999E-4</v>
      </c>
    </row>
    <row r="38" spans="1:17" ht="15" customHeight="1" x14ac:dyDescent="0.15">
      <c r="A38">
        <v>37</v>
      </c>
      <c r="B38" s="184" t="s">
        <v>229</v>
      </c>
      <c r="C38">
        <v>1.6699999999999999E-4</v>
      </c>
      <c r="D38">
        <v>2.8999999999999998E-3</v>
      </c>
      <c r="E38">
        <v>3.7100000000000002E-4</v>
      </c>
      <c r="F38">
        <v>1.17E-3</v>
      </c>
      <c r="G38">
        <v>5.3399999999999997E-5</v>
      </c>
      <c r="H38">
        <v>2.67E-7</v>
      </c>
      <c r="I38">
        <v>2.0800000000000001E-5</v>
      </c>
      <c r="J38">
        <v>3.1900000000000003E-5</v>
      </c>
      <c r="K38">
        <v>9.7900000000000005E-4</v>
      </c>
      <c r="L38">
        <v>8.9800000000000001E-5</v>
      </c>
      <c r="M38">
        <v>1.7100000000000001E-4</v>
      </c>
      <c r="N38">
        <v>0</v>
      </c>
      <c r="O38">
        <v>1.28E-6</v>
      </c>
      <c r="P38">
        <v>0</v>
      </c>
      <c r="Q38">
        <v>5.955447E-3</v>
      </c>
    </row>
    <row r="39" spans="1:17" ht="15" customHeight="1" x14ac:dyDescent="0.15">
      <c r="A39">
        <v>38</v>
      </c>
      <c r="B39" s="184" t="s">
        <v>230</v>
      </c>
      <c r="C39">
        <v>0</v>
      </c>
      <c r="D39">
        <v>4.1400000000000002E-6</v>
      </c>
      <c r="E39">
        <v>0</v>
      </c>
      <c r="F39">
        <v>0</v>
      </c>
      <c r="G39">
        <v>5.3400000000000002E-9</v>
      </c>
      <c r="H39">
        <v>0</v>
      </c>
      <c r="I39">
        <v>1.2300000000000001E-6</v>
      </c>
      <c r="J39">
        <v>1.04E-7</v>
      </c>
      <c r="K39">
        <v>1.8400000000000001E-7</v>
      </c>
      <c r="L39">
        <v>0</v>
      </c>
      <c r="M39">
        <v>7.61E-7</v>
      </c>
      <c r="N39">
        <v>0</v>
      </c>
      <c r="O39">
        <v>4.3000000000000001E-8</v>
      </c>
      <c r="P39">
        <v>0</v>
      </c>
      <c r="Q39">
        <v>6.467340000000001E-6</v>
      </c>
    </row>
    <row r="40" spans="1:17" ht="15" customHeight="1" x14ac:dyDescent="0.15">
      <c r="A40">
        <v>39</v>
      </c>
      <c r="B40" s="184" t="s">
        <v>231</v>
      </c>
      <c r="C40">
        <v>1.17E-3</v>
      </c>
      <c r="D40">
        <v>9.4699999999999993E-3</v>
      </c>
      <c r="E40">
        <v>6.8499999999999995E-4</v>
      </c>
      <c r="F40">
        <v>1.07E-8</v>
      </c>
      <c r="G40">
        <v>8.4199999999999998E-4</v>
      </c>
      <c r="H40">
        <v>6.8199999999999999E-4</v>
      </c>
      <c r="I40">
        <v>2.2799999999999999E-5</v>
      </c>
      <c r="J40">
        <v>7.27E-4</v>
      </c>
      <c r="K40">
        <v>1.0899999999999999E-6</v>
      </c>
      <c r="L40">
        <v>0</v>
      </c>
      <c r="M40">
        <v>2.1299999999999999E-6</v>
      </c>
      <c r="N40">
        <v>0</v>
      </c>
      <c r="O40">
        <v>1.8000000000000001E-4</v>
      </c>
      <c r="P40">
        <v>0</v>
      </c>
      <c r="Q40">
        <v>1.3782030700000001E-2</v>
      </c>
    </row>
    <row r="41" spans="1:17" ht="15" customHeight="1" x14ac:dyDescent="0.15">
      <c r="A41">
        <v>40</v>
      </c>
      <c r="B41" s="184" t="s">
        <v>232</v>
      </c>
      <c r="C41">
        <v>5.0099999999999997E-3</v>
      </c>
      <c r="D41">
        <v>1.7299999999999999E-2</v>
      </c>
      <c r="E41">
        <v>1.06E-3</v>
      </c>
      <c r="F41">
        <v>1.27E-5</v>
      </c>
      <c r="G41">
        <v>4.0700000000000003E-4</v>
      </c>
      <c r="H41">
        <v>4.1899999999999999E-4</v>
      </c>
      <c r="I41">
        <v>6.3399999999999996E-5</v>
      </c>
      <c r="J41">
        <v>1.7100000000000001E-4</v>
      </c>
      <c r="K41">
        <v>2.7599999999999998E-6</v>
      </c>
      <c r="L41">
        <v>9.1500000000000003E-7</v>
      </c>
      <c r="M41">
        <v>1.1199999999999999E-5</v>
      </c>
      <c r="N41">
        <v>0</v>
      </c>
      <c r="O41">
        <v>1.2300000000000001E-4</v>
      </c>
      <c r="P41">
        <v>0</v>
      </c>
      <c r="Q41">
        <v>2.4580975000000005E-2</v>
      </c>
    </row>
    <row r="42" spans="1:17" ht="15" customHeight="1" x14ac:dyDescent="0.15">
      <c r="A42">
        <v>41</v>
      </c>
      <c r="B42" s="184" t="s">
        <v>233</v>
      </c>
      <c r="C42">
        <v>8.0800000000000002E-4</v>
      </c>
      <c r="D42">
        <v>1.4400000000000001E-3</v>
      </c>
      <c r="E42">
        <v>2.3800000000000001E-4</v>
      </c>
      <c r="F42">
        <v>4.1899999999999999E-4</v>
      </c>
      <c r="G42">
        <v>5.8399999999999999E-4</v>
      </c>
      <c r="H42">
        <v>1.7999999999999999E-6</v>
      </c>
      <c r="I42">
        <v>1.95E-5</v>
      </c>
      <c r="J42">
        <v>7.2899999999999997E-5</v>
      </c>
      <c r="K42">
        <v>2.9999999999999997E-4</v>
      </c>
      <c r="L42">
        <v>4.0800000000000002E-5</v>
      </c>
      <c r="M42">
        <v>1.11E-5</v>
      </c>
      <c r="N42">
        <v>0</v>
      </c>
      <c r="O42">
        <v>5.2500000000000002E-5</v>
      </c>
      <c r="P42">
        <v>0</v>
      </c>
      <c r="Q42">
        <v>3.9875999999999991E-3</v>
      </c>
    </row>
    <row r="43" spans="1:17" ht="15" customHeight="1" x14ac:dyDescent="0.15">
      <c r="A43">
        <v>42</v>
      </c>
      <c r="B43" s="184" t="s">
        <v>234</v>
      </c>
      <c r="C43">
        <v>1.98E-3</v>
      </c>
      <c r="D43">
        <v>3.7100000000000002E-3</v>
      </c>
      <c r="E43">
        <v>4.1100000000000003E-5</v>
      </c>
      <c r="F43">
        <v>9.4499999999999993E-6</v>
      </c>
      <c r="G43">
        <v>6.2700000000000006E-5</v>
      </c>
      <c r="H43">
        <v>7.6700000000000005E-8</v>
      </c>
      <c r="I43">
        <v>1.08E-4</v>
      </c>
      <c r="J43">
        <v>1.5E-5</v>
      </c>
      <c r="K43">
        <v>1.06E-6</v>
      </c>
      <c r="L43">
        <v>0</v>
      </c>
      <c r="M43">
        <v>2.4499999999999999E-5</v>
      </c>
      <c r="N43">
        <v>0</v>
      </c>
      <c r="O43">
        <v>8.6400000000000003E-6</v>
      </c>
      <c r="P43">
        <v>0</v>
      </c>
      <c r="Q43">
        <v>5.9605266999999997E-3</v>
      </c>
    </row>
    <row r="44" spans="1:17" ht="15" customHeight="1" x14ac:dyDescent="0.15">
      <c r="A44">
        <v>43</v>
      </c>
      <c r="B44" s="184" t="s">
        <v>235</v>
      </c>
      <c r="C44">
        <v>0</v>
      </c>
      <c r="D44">
        <v>2.4139999999999999E-3</v>
      </c>
      <c r="E44">
        <v>3.0918200000000002E-4</v>
      </c>
      <c r="F44">
        <v>2.2084400000000002E-6</v>
      </c>
      <c r="G44">
        <v>6.8020000000000005E-4</v>
      </c>
      <c r="H44">
        <v>1.29856E-4</v>
      </c>
      <c r="I44">
        <v>2.8798000000000001E-3</v>
      </c>
      <c r="J44">
        <v>2.7369999999999998E-2</v>
      </c>
      <c r="K44">
        <v>2.5087800000000001E-5</v>
      </c>
      <c r="L44">
        <v>2.10243E-6</v>
      </c>
      <c r="M44">
        <v>1.5971400000000001E-5</v>
      </c>
      <c r="N44">
        <v>0</v>
      </c>
      <c r="O44">
        <v>6.9433300000000005E-5</v>
      </c>
      <c r="P44">
        <v>0</v>
      </c>
      <c r="Q44">
        <v>3.3897841369999994E-2</v>
      </c>
    </row>
    <row r="45" spans="1:17" ht="15" customHeight="1" x14ac:dyDescent="0.15">
      <c r="A45">
        <v>44</v>
      </c>
      <c r="B45" s="184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5.3400000000000002E-8</v>
      </c>
      <c r="J45">
        <v>9.9300000000000001E-5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9.9353399999999996E-5</v>
      </c>
    </row>
    <row r="46" spans="1:17" ht="15" customHeight="1" x14ac:dyDescent="0.15">
      <c r="A46">
        <v>45</v>
      </c>
      <c r="B46" s="184" t="s">
        <v>237</v>
      </c>
      <c r="C46">
        <v>0</v>
      </c>
      <c r="D46">
        <v>0</v>
      </c>
      <c r="E46">
        <v>0</v>
      </c>
      <c r="F46">
        <v>0</v>
      </c>
      <c r="G46">
        <v>1E-3</v>
      </c>
      <c r="H46">
        <v>7.8E-2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7.9000000000000001E-2</v>
      </c>
    </row>
    <row r="47" spans="1:17" ht="15" customHeight="1" x14ac:dyDescent="0.15">
      <c r="A47">
        <v>46</v>
      </c>
      <c r="B47" s="184" t="s">
        <v>238</v>
      </c>
      <c r="C47">
        <v>0</v>
      </c>
      <c r="D47">
        <v>0</v>
      </c>
      <c r="E47">
        <v>0</v>
      </c>
      <c r="F47">
        <v>0</v>
      </c>
      <c r="G47">
        <v>2.53E-7</v>
      </c>
      <c r="H47">
        <v>0</v>
      </c>
      <c r="I47">
        <v>1.15E-4</v>
      </c>
      <c r="J47">
        <v>1.44E-6</v>
      </c>
      <c r="K47">
        <v>0</v>
      </c>
      <c r="L47">
        <v>0</v>
      </c>
      <c r="M47">
        <v>5.3400000000000002E-9</v>
      </c>
      <c r="N47">
        <v>0</v>
      </c>
      <c r="O47">
        <v>1.46E-6</v>
      </c>
      <c r="P47">
        <v>0</v>
      </c>
      <c r="Q47">
        <v>1.1815834E-4</v>
      </c>
    </row>
    <row r="48" spans="1:17" ht="15" customHeight="1" x14ac:dyDescent="0.15">
      <c r="A48">
        <v>47</v>
      </c>
      <c r="B48" s="184" t="s">
        <v>239</v>
      </c>
      <c r="C48">
        <v>0</v>
      </c>
      <c r="D48">
        <v>0</v>
      </c>
      <c r="E48">
        <v>0</v>
      </c>
      <c r="F48">
        <v>0</v>
      </c>
      <c r="G48">
        <v>9.3500000000000003E-6</v>
      </c>
      <c r="H48">
        <v>0</v>
      </c>
      <c r="I48">
        <v>2.07E-2</v>
      </c>
      <c r="J48">
        <v>2.6699999999999998E-6</v>
      </c>
      <c r="K48">
        <v>0</v>
      </c>
      <c r="L48">
        <v>0</v>
      </c>
      <c r="M48">
        <v>0</v>
      </c>
      <c r="N48">
        <v>2.72E-5</v>
      </c>
      <c r="O48">
        <v>0</v>
      </c>
      <c r="P48">
        <v>0</v>
      </c>
      <c r="Q48">
        <v>2.0739220000000003E-2</v>
      </c>
    </row>
    <row r="49" spans="1:17" ht="15" customHeight="1" x14ac:dyDescent="0.15">
      <c r="A49">
        <v>48</v>
      </c>
      <c r="B49" s="184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1.38E-5</v>
      </c>
      <c r="J49">
        <v>0</v>
      </c>
      <c r="K49">
        <v>4.63E-7</v>
      </c>
      <c r="L49">
        <v>0</v>
      </c>
      <c r="M49">
        <v>0</v>
      </c>
      <c r="N49">
        <v>3.96E-3</v>
      </c>
      <c r="O49">
        <v>0</v>
      </c>
      <c r="P49">
        <v>0</v>
      </c>
      <c r="Q49">
        <v>3.9742629999999996E-3</v>
      </c>
    </row>
    <row r="50" spans="1:17" x14ac:dyDescent="0.15">
      <c r="A50">
        <v>49</v>
      </c>
      <c r="B50" s="184" t="s">
        <v>241</v>
      </c>
      <c r="C50">
        <v>0</v>
      </c>
      <c r="D50">
        <v>0</v>
      </c>
      <c r="E50">
        <v>0</v>
      </c>
      <c r="F50">
        <v>0</v>
      </c>
      <c r="G50">
        <v>2.5999999999999998E-5</v>
      </c>
      <c r="H50">
        <v>1.6299999999999999E-7</v>
      </c>
      <c r="I50">
        <v>1.8199999999999999E-5</v>
      </c>
      <c r="J50">
        <v>2.1900000000000002E-6</v>
      </c>
      <c r="K50">
        <v>2.4499999999999998E-7</v>
      </c>
      <c r="L50">
        <v>0</v>
      </c>
      <c r="M50">
        <v>0</v>
      </c>
      <c r="N50">
        <v>2.0500000000000001E-2</v>
      </c>
      <c r="O50">
        <v>8.9800000000000002E-7</v>
      </c>
      <c r="P50">
        <v>0</v>
      </c>
      <c r="Q50">
        <v>2.0547696000000001E-2</v>
      </c>
    </row>
    <row r="51" spans="1:17" x14ac:dyDescent="0.15">
      <c r="A51">
        <v>50</v>
      </c>
      <c r="B51" s="184" t="s">
        <v>242</v>
      </c>
      <c r="C51">
        <v>0</v>
      </c>
      <c r="D51">
        <v>0</v>
      </c>
      <c r="E51">
        <v>0</v>
      </c>
      <c r="F51">
        <v>0</v>
      </c>
      <c r="G51">
        <v>9.8700000000000004E-8</v>
      </c>
      <c r="H51">
        <v>0</v>
      </c>
      <c r="I51">
        <v>3.5099999999999999E-6</v>
      </c>
      <c r="J51">
        <v>4.5400000000000003E-8</v>
      </c>
      <c r="K51">
        <v>0</v>
      </c>
      <c r="L51">
        <v>0</v>
      </c>
      <c r="M51">
        <v>1.98E-5</v>
      </c>
      <c r="N51">
        <v>0</v>
      </c>
      <c r="O51">
        <v>7.9500000000000001E-7</v>
      </c>
      <c r="P51">
        <v>0</v>
      </c>
      <c r="Q51">
        <v>2.4249099999999998E-5</v>
      </c>
    </row>
    <row r="52" spans="1:17" x14ac:dyDescent="0.15">
      <c r="A52">
        <v>51</v>
      </c>
      <c r="B52" s="184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15">
      <c r="A53">
        <v>52</v>
      </c>
      <c r="B53" s="184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3.0899999999999999E-3</v>
      </c>
      <c r="J53">
        <v>1.11E-4</v>
      </c>
      <c r="K53">
        <v>0</v>
      </c>
      <c r="L53">
        <v>0</v>
      </c>
      <c r="M53">
        <v>5.2299999999999997E-5</v>
      </c>
      <c r="N53">
        <v>0</v>
      </c>
      <c r="O53">
        <v>0</v>
      </c>
      <c r="P53">
        <v>0</v>
      </c>
      <c r="Q53">
        <v>3.2532999999999998E-3</v>
      </c>
    </row>
    <row r="54" spans="1:17" x14ac:dyDescent="0.15">
      <c r="A54">
        <v>53</v>
      </c>
      <c r="B54" s="184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8.8100000000000004E-6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8.8100000000000004E-6</v>
      </c>
    </row>
    <row r="55" spans="1:17" x14ac:dyDescent="0.15">
      <c r="A55">
        <v>54</v>
      </c>
      <c r="B55" s="184" t="s">
        <v>246</v>
      </c>
      <c r="C55">
        <v>0</v>
      </c>
      <c r="D55">
        <v>0</v>
      </c>
      <c r="E55">
        <v>0</v>
      </c>
      <c r="F55">
        <v>0</v>
      </c>
      <c r="G55">
        <v>1.79E-7</v>
      </c>
      <c r="H55">
        <v>0</v>
      </c>
      <c r="I55">
        <v>5.0499999999999999E-6</v>
      </c>
      <c r="J55">
        <v>0</v>
      </c>
      <c r="K55">
        <v>0</v>
      </c>
      <c r="L55">
        <v>0</v>
      </c>
      <c r="M55">
        <v>9.8899999999999998E-7</v>
      </c>
      <c r="N55">
        <v>0</v>
      </c>
      <c r="O55">
        <v>0</v>
      </c>
      <c r="P55">
        <v>0</v>
      </c>
      <c r="Q55">
        <v>6.2180000000000004E-6</v>
      </c>
    </row>
    <row r="56" spans="1:17" x14ac:dyDescent="0.15">
      <c r="A56">
        <v>55</v>
      </c>
      <c r="B56" s="184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15">
      <c r="A57">
        <v>56</v>
      </c>
      <c r="B57" s="184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1.32E-3</v>
      </c>
      <c r="J57">
        <v>9.7799999999999995E-6</v>
      </c>
      <c r="K57">
        <v>0</v>
      </c>
      <c r="L57">
        <v>0</v>
      </c>
      <c r="M57">
        <v>0</v>
      </c>
      <c r="N57">
        <v>1.5799999999999999E-4</v>
      </c>
      <c r="O57">
        <v>0</v>
      </c>
      <c r="P57">
        <v>0</v>
      </c>
      <c r="Q57">
        <v>1.48778E-3</v>
      </c>
    </row>
    <row r="58" spans="1:17" x14ac:dyDescent="0.15">
      <c r="A58">
        <v>57</v>
      </c>
      <c r="B58" s="184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15">
      <c r="A59">
        <v>58</v>
      </c>
      <c r="B59" s="184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15">
      <c r="A60">
        <v>59</v>
      </c>
      <c r="B60" s="184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15">
      <c r="A61">
        <v>60</v>
      </c>
      <c r="B61" s="184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15">
      <c r="A62">
        <v>61</v>
      </c>
      <c r="B62" s="184" t="s">
        <v>253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15">
      <c r="A63">
        <v>62</v>
      </c>
      <c r="B63" s="184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1.4400000000000001E-3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1.4400000000000001E-3</v>
      </c>
    </row>
    <row r="64" spans="1:17" x14ac:dyDescent="0.15">
      <c r="A64">
        <v>63</v>
      </c>
      <c r="B64" s="184" t="s">
        <v>255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15">
      <c r="A65">
        <v>64</v>
      </c>
      <c r="B65" s="184" t="s">
        <v>256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15">
      <c r="A66">
        <v>65</v>
      </c>
      <c r="B66" s="184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15">
      <c r="A67">
        <v>66</v>
      </c>
      <c r="B67" s="184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15">
      <c r="A68">
        <v>67</v>
      </c>
      <c r="B68" s="184" t="s">
        <v>259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15">
      <c r="A69">
        <v>68</v>
      </c>
      <c r="B69" s="184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15">
      <c r="A70">
        <v>69</v>
      </c>
      <c r="B70" s="184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15">
      <c r="A71">
        <v>70</v>
      </c>
      <c r="B71" s="184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81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2" ht="15" customHeight="1" x14ac:dyDescent="0.15"/>
    <row r="173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Q71"/>
  <sheetViews>
    <sheetView workbookViewId="0">
      <pane xSplit="2" ySplit="1" topLeftCell="C56" activePane="bottomRight" state="frozen"/>
      <selection pane="topRight" activeCell="D1" sqref="D1"/>
      <selection pane="bottomLeft" activeCell="A2" sqref="A2"/>
      <selection pane="bottomRight" activeCell="F76" sqref="F76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4" width="11.83203125" bestFit="1" customWidth="1"/>
    <col min="5" max="5" width="11.5" bestFit="1" customWidth="1"/>
    <col min="6" max="6" width="11.83203125" customWidth="1"/>
    <col min="7" max="7" width="11.5" customWidth="1"/>
    <col min="8" max="8" width="11.83203125" customWidth="1"/>
    <col min="9" max="10" width="11.5" customWidth="1"/>
    <col min="11" max="11" width="11.83203125" customWidth="1"/>
    <col min="12" max="13" width="11.5" customWidth="1"/>
    <col min="14" max="14" width="2.33203125" customWidth="1"/>
    <col min="15" max="16" width="11.5" customWidth="1"/>
    <col min="17" max="17" width="15.83203125" customWidth="1"/>
  </cols>
  <sheetData>
    <row r="1" spans="1:17" s="115" customFormat="1" ht="112" x14ac:dyDescent="0.15">
      <c r="A1" s="5" t="s">
        <v>22</v>
      </c>
      <c r="B1" s="3" t="s">
        <v>0</v>
      </c>
      <c r="C1" s="187" t="s">
        <v>263</v>
      </c>
      <c r="D1" s="187" t="s">
        <v>264</v>
      </c>
      <c r="E1" s="187" t="s">
        <v>265</v>
      </c>
      <c r="F1" s="187" t="s">
        <v>266</v>
      </c>
      <c r="G1" s="187" t="s">
        <v>267</v>
      </c>
      <c r="H1" s="187" t="s">
        <v>268</v>
      </c>
      <c r="I1" s="187" t="s">
        <v>269</v>
      </c>
      <c r="J1" s="187" t="s">
        <v>270</v>
      </c>
      <c r="K1" s="187" t="s">
        <v>271</v>
      </c>
      <c r="L1" s="187" t="s">
        <v>272</v>
      </c>
      <c r="M1" s="187" t="s">
        <v>273</v>
      </c>
      <c r="N1" s="187" t="s">
        <v>274</v>
      </c>
      <c r="O1" s="187" t="s">
        <v>275</v>
      </c>
      <c r="P1" s="187" t="s">
        <v>276</v>
      </c>
      <c r="Q1" s="187" t="s">
        <v>280</v>
      </c>
    </row>
    <row r="2" spans="1:17" x14ac:dyDescent="0.15">
      <c r="A2">
        <v>1</v>
      </c>
      <c r="B2" s="18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15">
      <c r="A3">
        <v>2</v>
      </c>
      <c r="B3" s="18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15">
      <c r="A4">
        <v>3</v>
      </c>
      <c r="B4" s="186" t="s">
        <v>195</v>
      </c>
      <c r="C4">
        <v>8.0000000000000007E-5</v>
      </c>
      <c r="D4">
        <v>1.8500000000000001E-3</v>
      </c>
      <c r="E4">
        <v>1.8000000000000001E-4</v>
      </c>
      <c r="F4">
        <v>5.1999999999999997E-5</v>
      </c>
      <c r="G4">
        <v>0</v>
      </c>
      <c r="H4">
        <v>7.6000000000000004E-4</v>
      </c>
      <c r="I4">
        <v>0</v>
      </c>
      <c r="J4">
        <v>0</v>
      </c>
      <c r="K4">
        <v>4.2949999999999998E-4</v>
      </c>
      <c r="L4">
        <v>4.6749999999999998E-4</v>
      </c>
      <c r="M4">
        <v>0</v>
      </c>
      <c r="N4">
        <v>0</v>
      </c>
      <c r="O4">
        <v>8.7499999999999992E-6</v>
      </c>
      <c r="P4">
        <v>0</v>
      </c>
      <c r="Q4">
        <v>3.8277500000000004E-3</v>
      </c>
    </row>
    <row r="5" spans="1:17" x14ac:dyDescent="0.15">
      <c r="A5">
        <v>4</v>
      </c>
      <c r="B5" s="186" t="s">
        <v>196</v>
      </c>
      <c r="C5">
        <v>4.7538099999999998E-5</v>
      </c>
      <c r="D5">
        <v>2.7226399999999998E-4</v>
      </c>
      <c r="E5">
        <v>2.1608200000000001E-5</v>
      </c>
      <c r="F5">
        <v>1.44775E-6</v>
      </c>
      <c r="G5">
        <v>0</v>
      </c>
      <c r="H5">
        <v>1.8907200000000001E-4</v>
      </c>
      <c r="I5">
        <v>0</v>
      </c>
      <c r="J5">
        <v>0</v>
      </c>
      <c r="K5">
        <v>4.6889899999999996E-6</v>
      </c>
      <c r="L5">
        <v>9.0106399999999995E-5</v>
      </c>
      <c r="M5">
        <v>0</v>
      </c>
      <c r="N5">
        <v>0</v>
      </c>
      <c r="O5">
        <v>0</v>
      </c>
      <c r="P5">
        <v>0</v>
      </c>
      <c r="Q5">
        <v>6.2672544000000005E-4</v>
      </c>
    </row>
    <row r="6" spans="1:17" x14ac:dyDescent="0.15">
      <c r="A6">
        <v>5</v>
      </c>
      <c r="B6" s="186" t="s">
        <v>197</v>
      </c>
      <c r="C6">
        <v>3.81E-3</v>
      </c>
      <c r="D6">
        <v>3.5500000000000002E-3</v>
      </c>
      <c r="E6">
        <v>5.0000000000000002E-5</v>
      </c>
      <c r="F6">
        <v>0</v>
      </c>
      <c r="G6">
        <v>0</v>
      </c>
      <c r="H6">
        <v>1.2899999999999999E-4</v>
      </c>
      <c r="I6">
        <v>0</v>
      </c>
      <c r="J6">
        <v>0</v>
      </c>
      <c r="K6">
        <v>0</v>
      </c>
      <c r="L6">
        <v>1.13E-4</v>
      </c>
      <c r="M6">
        <v>0</v>
      </c>
      <c r="N6">
        <v>0</v>
      </c>
      <c r="O6">
        <v>0</v>
      </c>
      <c r="P6">
        <v>0</v>
      </c>
      <c r="Q6">
        <v>7.6519999999999999E-3</v>
      </c>
    </row>
    <row r="7" spans="1:17" x14ac:dyDescent="0.15">
      <c r="A7">
        <v>6</v>
      </c>
      <c r="B7" s="186" t="s">
        <v>198</v>
      </c>
      <c r="C7">
        <v>5.0000000000000004E-6</v>
      </c>
      <c r="D7">
        <v>4.5000000000000003E-5</v>
      </c>
      <c r="E7">
        <v>1.4999999999999999E-4</v>
      </c>
      <c r="F7">
        <v>5.75E-6</v>
      </c>
      <c r="G7">
        <v>0</v>
      </c>
      <c r="H7">
        <v>3.4999999999999999E-6</v>
      </c>
      <c r="I7">
        <v>0</v>
      </c>
      <c r="J7">
        <v>0</v>
      </c>
      <c r="K7">
        <v>9.3000000000000007E-6</v>
      </c>
      <c r="L7">
        <v>0</v>
      </c>
      <c r="M7">
        <v>0</v>
      </c>
      <c r="N7">
        <v>0</v>
      </c>
      <c r="O7">
        <v>1.2300000000000001E-6</v>
      </c>
      <c r="P7">
        <v>5.5999999999999995E-4</v>
      </c>
      <c r="Q7">
        <v>7.7977999999999988E-4</v>
      </c>
    </row>
    <row r="8" spans="1:17" x14ac:dyDescent="0.15">
      <c r="A8">
        <v>7</v>
      </c>
      <c r="B8" s="186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15">
      <c r="A9">
        <v>8</v>
      </c>
      <c r="B9" s="186" t="s">
        <v>200</v>
      </c>
      <c r="C9">
        <v>5.8812499999999998E-6</v>
      </c>
      <c r="D9">
        <v>8.5048399999999997E-6</v>
      </c>
      <c r="E9">
        <v>5.5408599999999995E-7</v>
      </c>
      <c r="F9">
        <v>2.70949E-5</v>
      </c>
      <c r="G9">
        <v>4.5240199999999998E-8</v>
      </c>
      <c r="H9">
        <v>5.5408600000000003E-6</v>
      </c>
      <c r="I9">
        <v>7.6642600000000002E-9</v>
      </c>
      <c r="J9">
        <v>6.0408999999999995E-8</v>
      </c>
      <c r="K9">
        <v>0</v>
      </c>
      <c r="L9">
        <v>0</v>
      </c>
      <c r="M9">
        <v>1.2188299999999999E-8</v>
      </c>
      <c r="N9">
        <v>0</v>
      </c>
      <c r="O9">
        <v>7.1532000000000004E-6</v>
      </c>
      <c r="P9">
        <v>5.5408599999999995E-7</v>
      </c>
      <c r="Q9">
        <v>5.5408723759999993E-5</v>
      </c>
    </row>
    <row r="10" spans="1:17" x14ac:dyDescent="0.15">
      <c r="A10">
        <v>9</v>
      </c>
      <c r="B10" s="186" t="s">
        <v>201</v>
      </c>
      <c r="C10">
        <v>8.5034200000000003E-7</v>
      </c>
      <c r="D10">
        <v>1.06293E-6</v>
      </c>
      <c r="E10">
        <v>2.12586E-7</v>
      </c>
      <c r="F10">
        <v>1.42858E-8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2.1401438000000001E-6</v>
      </c>
    </row>
    <row r="11" spans="1:17" x14ac:dyDescent="0.15">
      <c r="A11">
        <v>10</v>
      </c>
      <c r="B11" s="186" t="s">
        <v>202</v>
      </c>
      <c r="C11">
        <v>2.5768000000000001E-5</v>
      </c>
      <c r="D11">
        <v>1.4195900000000001E-5</v>
      </c>
      <c r="E11">
        <v>2.5768E-6</v>
      </c>
      <c r="F11">
        <v>2.5768E-6</v>
      </c>
      <c r="G11">
        <v>9.4647300000000003E-8</v>
      </c>
      <c r="H11">
        <v>1.5960400000000001E-4</v>
      </c>
      <c r="I11">
        <v>2.2763199999999998E-6</v>
      </c>
      <c r="J11">
        <v>4.0334899999999998E-8</v>
      </c>
      <c r="K11">
        <v>0</v>
      </c>
      <c r="L11">
        <v>5.9903200000000001E-8</v>
      </c>
      <c r="M11">
        <v>0</v>
      </c>
      <c r="N11">
        <v>0</v>
      </c>
      <c r="O11">
        <v>4.7910600000000002E-5</v>
      </c>
      <c r="P11">
        <v>2.5768E-6</v>
      </c>
      <c r="Q11">
        <v>2.5768010540000002E-4</v>
      </c>
    </row>
    <row r="12" spans="1:17" x14ac:dyDescent="0.15">
      <c r="A12">
        <v>11</v>
      </c>
      <c r="B12" s="186" t="s">
        <v>203</v>
      </c>
      <c r="C12">
        <v>2.9198000000000001E-8</v>
      </c>
      <c r="D12">
        <v>4.5805699999999998E-7</v>
      </c>
      <c r="E12">
        <v>8.8572799999999998E-7</v>
      </c>
      <c r="F12">
        <v>2.9198000000000001E-8</v>
      </c>
      <c r="G12">
        <v>0</v>
      </c>
      <c r="H12">
        <v>9.8932500000000005E-7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5.28293E-7</v>
      </c>
      <c r="P12">
        <v>0</v>
      </c>
      <c r="Q12">
        <v>2.9197990000000002E-6</v>
      </c>
    </row>
    <row r="13" spans="1:17" x14ac:dyDescent="0.15">
      <c r="A13">
        <v>12</v>
      </c>
      <c r="B13" s="186" t="s">
        <v>204</v>
      </c>
      <c r="C13">
        <v>3.2355900000000001E-6</v>
      </c>
      <c r="D13">
        <v>3.43461E-5</v>
      </c>
      <c r="E13">
        <v>3.2355900000000001E-6</v>
      </c>
      <c r="F13">
        <v>3.2355900000000001E-6</v>
      </c>
      <c r="G13">
        <v>6.4854799999999997E-7</v>
      </c>
      <c r="H13">
        <v>2.7510499999999999E-4</v>
      </c>
      <c r="I13">
        <v>1.21727E-8</v>
      </c>
      <c r="J13">
        <v>4.36522E-7</v>
      </c>
      <c r="K13">
        <v>0</v>
      </c>
      <c r="L13">
        <v>2.7438500000000001E-8</v>
      </c>
      <c r="M13">
        <v>4.09084E-8</v>
      </c>
      <c r="N13">
        <v>0</v>
      </c>
      <c r="O13">
        <v>3.2355900000000001E-6</v>
      </c>
      <c r="P13">
        <v>0</v>
      </c>
      <c r="Q13">
        <v>3.2355904959999995E-4</v>
      </c>
    </row>
    <row r="14" spans="1:17" x14ac:dyDescent="0.15">
      <c r="A14">
        <v>13</v>
      </c>
      <c r="B14" s="186" t="s">
        <v>205</v>
      </c>
      <c r="C14">
        <v>2.3332499999999999E-4</v>
      </c>
      <c r="D14">
        <v>3.3136E-4</v>
      </c>
      <c r="E14">
        <v>5.09785E-5</v>
      </c>
      <c r="F14">
        <v>1.03918E-6</v>
      </c>
      <c r="G14">
        <v>0</v>
      </c>
      <c r="H14">
        <v>8.3330199999999994E-6</v>
      </c>
      <c r="I14">
        <v>0</v>
      </c>
      <c r="J14">
        <v>0</v>
      </c>
      <c r="K14">
        <v>7.0291500000000003E-6</v>
      </c>
      <c r="L14">
        <v>0</v>
      </c>
      <c r="M14">
        <v>0</v>
      </c>
      <c r="N14">
        <v>0</v>
      </c>
      <c r="O14">
        <v>3.8233899999999999E-7</v>
      </c>
      <c r="P14">
        <v>1.7058199999999999E-5</v>
      </c>
      <c r="Q14">
        <v>6.4950538900000005E-4</v>
      </c>
    </row>
    <row r="15" spans="1:17" x14ac:dyDescent="0.15">
      <c r="A15">
        <v>14</v>
      </c>
      <c r="B15" s="186" t="s">
        <v>206</v>
      </c>
      <c r="C15">
        <v>0</v>
      </c>
      <c r="D15">
        <v>1.0432799999999999E-6</v>
      </c>
      <c r="E15">
        <v>5.2164099999999998E-7</v>
      </c>
      <c r="F15">
        <v>6.9378199999999996E-7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2.2587029999999999E-6</v>
      </c>
    </row>
    <row r="16" spans="1:17" x14ac:dyDescent="0.15">
      <c r="A16">
        <v>15</v>
      </c>
      <c r="B16" s="186" t="s">
        <v>207</v>
      </c>
      <c r="C16">
        <v>0</v>
      </c>
      <c r="D16">
        <v>2.1864000000000001E-4</v>
      </c>
      <c r="E16">
        <v>9.9381899999999998E-5</v>
      </c>
      <c r="F16">
        <v>2.1135200000000001E-5</v>
      </c>
      <c r="G16">
        <v>0</v>
      </c>
      <c r="H16">
        <v>3.3127199999999998E-7</v>
      </c>
      <c r="I16">
        <v>7.7517599999999998E-6</v>
      </c>
      <c r="J16">
        <v>0</v>
      </c>
      <c r="K16">
        <v>2.1300799999999999E-4</v>
      </c>
      <c r="L16">
        <v>6.1616600000000004E-7</v>
      </c>
      <c r="M16">
        <v>0</v>
      </c>
      <c r="N16">
        <v>0</v>
      </c>
      <c r="O16">
        <v>0</v>
      </c>
      <c r="P16">
        <v>0</v>
      </c>
      <c r="Q16">
        <v>5.6086429800000011E-4</v>
      </c>
    </row>
    <row r="17" spans="1:17" x14ac:dyDescent="0.15">
      <c r="A17">
        <v>16</v>
      </c>
      <c r="B17" s="186" t="s">
        <v>208</v>
      </c>
      <c r="C17">
        <v>0</v>
      </c>
      <c r="D17">
        <v>5.5709200000000002E-7</v>
      </c>
      <c r="E17">
        <v>2.7854699999999999E-7</v>
      </c>
      <c r="F17">
        <v>5.3480899999999998E-7</v>
      </c>
      <c r="G17">
        <v>0</v>
      </c>
      <c r="H17">
        <v>0</v>
      </c>
      <c r="I17">
        <v>4.20606E-8</v>
      </c>
      <c r="J17">
        <v>0</v>
      </c>
      <c r="K17">
        <v>1.6211399999999999E-7</v>
      </c>
      <c r="L17">
        <v>3.7882400000000002E-10</v>
      </c>
      <c r="M17">
        <v>0</v>
      </c>
      <c r="N17">
        <v>0</v>
      </c>
      <c r="O17">
        <v>0</v>
      </c>
      <c r="P17">
        <v>0</v>
      </c>
      <c r="Q17">
        <v>1.5750014240000003E-6</v>
      </c>
    </row>
    <row r="18" spans="1:17" x14ac:dyDescent="0.15">
      <c r="A18">
        <v>17</v>
      </c>
      <c r="B18" s="186" t="s">
        <v>209</v>
      </c>
      <c r="C18">
        <v>3.7541199999999999E-4</v>
      </c>
      <c r="D18">
        <v>1.6689560000000001E-3</v>
      </c>
      <c r="E18">
        <v>4.40934E-5</v>
      </c>
      <c r="F18">
        <v>1.37637E-5</v>
      </c>
      <c r="G18">
        <v>0</v>
      </c>
      <c r="H18">
        <v>0</v>
      </c>
      <c r="I18">
        <v>4.0879100000000002E-7</v>
      </c>
      <c r="J18">
        <v>0</v>
      </c>
      <c r="K18">
        <v>8.1181299999999998E-6</v>
      </c>
      <c r="L18">
        <v>0</v>
      </c>
      <c r="M18">
        <v>0</v>
      </c>
      <c r="N18">
        <v>0</v>
      </c>
      <c r="O18">
        <v>0</v>
      </c>
      <c r="P18">
        <v>0</v>
      </c>
      <c r="Q18">
        <v>2.1107520209999999E-3</v>
      </c>
    </row>
    <row r="19" spans="1:17" x14ac:dyDescent="0.15">
      <c r="A19">
        <v>18</v>
      </c>
      <c r="B19" s="186" t="s">
        <v>210</v>
      </c>
      <c r="C19">
        <v>0</v>
      </c>
      <c r="D19">
        <v>7.6660800000000006E-11</v>
      </c>
      <c r="E19">
        <v>3.6823499999999998E-9</v>
      </c>
      <c r="F19">
        <v>1.07817E-10</v>
      </c>
      <c r="G19">
        <v>0</v>
      </c>
      <c r="H19">
        <v>0</v>
      </c>
      <c r="I19">
        <v>0</v>
      </c>
      <c r="J19">
        <v>0</v>
      </c>
      <c r="K19">
        <v>1.07817E-10</v>
      </c>
      <c r="L19">
        <v>6.8070600000000003E-9</v>
      </c>
      <c r="M19">
        <v>0</v>
      </c>
      <c r="N19">
        <v>0</v>
      </c>
      <c r="O19">
        <v>0</v>
      </c>
      <c r="P19">
        <v>0</v>
      </c>
      <c r="Q19">
        <v>1.0781704799999999E-8</v>
      </c>
    </row>
    <row r="20" spans="1:17" x14ac:dyDescent="0.15">
      <c r="A20">
        <v>19</v>
      </c>
      <c r="B20" s="186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15">
      <c r="A21">
        <v>20</v>
      </c>
      <c r="B21" s="186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15">
      <c r="A22">
        <v>21</v>
      </c>
      <c r="B22" s="186" t="s">
        <v>213</v>
      </c>
      <c r="C22">
        <v>0</v>
      </c>
      <c r="D22">
        <v>3.1022800000000002E-8</v>
      </c>
      <c r="E22">
        <v>3.1022800000000002E-8</v>
      </c>
      <c r="F22">
        <v>1.9992799999999999E-6</v>
      </c>
      <c r="G22">
        <v>0</v>
      </c>
      <c r="H22">
        <v>0</v>
      </c>
      <c r="I22">
        <v>0</v>
      </c>
      <c r="J22">
        <v>0</v>
      </c>
      <c r="K22">
        <v>3.1022800000000002E-8</v>
      </c>
      <c r="L22">
        <v>9.7890700000000005E-7</v>
      </c>
      <c r="M22">
        <v>3.1022800000000002E-8</v>
      </c>
      <c r="N22">
        <v>0</v>
      </c>
      <c r="O22">
        <v>0</v>
      </c>
      <c r="P22">
        <v>0</v>
      </c>
      <c r="Q22">
        <v>3.1022781999999996E-6</v>
      </c>
    </row>
    <row r="23" spans="1:17" x14ac:dyDescent="0.15">
      <c r="A23">
        <v>22</v>
      </c>
      <c r="B23" s="186" t="s">
        <v>214</v>
      </c>
      <c r="C23">
        <v>0</v>
      </c>
      <c r="D23">
        <v>3.0000000000000001E-5</v>
      </c>
      <c r="E23">
        <v>0</v>
      </c>
      <c r="F23">
        <v>3.9099999999999999E-7</v>
      </c>
      <c r="G23">
        <v>0</v>
      </c>
      <c r="H23">
        <v>0</v>
      </c>
      <c r="I23">
        <v>0</v>
      </c>
      <c r="J23">
        <v>0</v>
      </c>
      <c r="K23">
        <v>4.6600000000000003E-6</v>
      </c>
      <c r="L23">
        <v>1.72E-7</v>
      </c>
      <c r="M23">
        <v>0</v>
      </c>
      <c r="N23">
        <v>0</v>
      </c>
      <c r="O23">
        <v>0</v>
      </c>
      <c r="P23">
        <v>0</v>
      </c>
      <c r="Q23">
        <v>3.5222999999999998E-5</v>
      </c>
    </row>
    <row r="24" spans="1:17" x14ac:dyDescent="0.15">
      <c r="A24">
        <v>23</v>
      </c>
      <c r="B24" s="186" t="s">
        <v>215</v>
      </c>
      <c r="C24">
        <v>0</v>
      </c>
      <c r="D24">
        <v>2.45496E-6</v>
      </c>
      <c r="E24">
        <v>0</v>
      </c>
      <c r="F24">
        <v>3.24054E-6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5.6954999999999999E-6</v>
      </c>
    </row>
    <row r="25" spans="1:17" x14ac:dyDescent="0.15">
      <c r="A25">
        <v>24</v>
      </c>
      <c r="B25" s="186" t="s">
        <v>216</v>
      </c>
      <c r="C25">
        <v>2.39686E-6</v>
      </c>
      <c r="D25">
        <v>6.3916200000000003E-5</v>
      </c>
      <c r="E25">
        <v>8.7884799999999992E-6</v>
      </c>
      <c r="F25">
        <v>5.2810599999999999E-6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8.0382600000000005E-5</v>
      </c>
    </row>
    <row r="26" spans="1:17" x14ac:dyDescent="0.15">
      <c r="A26">
        <v>25</v>
      </c>
      <c r="B26" s="186" t="s">
        <v>217</v>
      </c>
      <c r="C26">
        <v>1E-4</v>
      </c>
      <c r="D26">
        <v>2.47E-3</v>
      </c>
      <c r="E26">
        <v>3.3E-4</v>
      </c>
      <c r="F26">
        <v>6.1666699999999997E-5</v>
      </c>
      <c r="G26">
        <v>0</v>
      </c>
      <c r="H26">
        <v>0</v>
      </c>
      <c r="I26">
        <v>0</v>
      </c>
      <c r="J26">
        <v>0</v>
      </c>
      <c r="K26">
        <v>1.00333E-4</v>
      </c>
      <c r="L26">
        <v>1.56667E-6</v>
      </c>
      <c r="M26">
        <v>0</v>
      </c>
      <c r="N26">
        <v>0</v>
      </c>
      <c r="O26">
        <v>0</v>
      </c>
      <c r="P26">
        <v>0</v>
      </c>
      <c r="Q26">
        <v>3.06356637E-3</v>
      </c>
    </row>
    <row r="27" spans="1:17" x14ac:dyDescent="0.15">
      <c r="A27">
        <v>26</v>
      </c>
      <c r="B27" s="186" t="s">
        <v>218</v>
      </c>
      <c r="C27">
        <v>0</v>
      </c>
      <c r="D27">
        <v>0</v>
      </c>
      <c r="E27">
        <v>0</v>
      </c>
      <c r="F27">
        <v>3.6055800000000001E-6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3.6055800000000001E-6</v>
      </c>
    </row>
    <row r="28" spans="1:17" x14ac:dyDescent="0.15">
      <c r="A28">
        <v>27</v>
      </c>
      <c r="B28" s="186" t="s">
        <v>219</v>
      </c>
      <c r="C28">
        <v>0</v>
      </c>
      <c r="D28">
        <v>1.4562200000000001E-4</v>
      </c>
      <c r="E28">
        <v>1.54889E-5</v>
      </c>
      <c r="F28">
        <v>1.06605E-4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2.677159E-4</v>
      </c>
    </row>
    <row r="29" spans="1:17" x14ac:dyDescent="0.15">
      <c r="A29">
        <v>28</v>
      </c>
      <c r="B29" s="186" t="s">
        <v>220</v>
      </c>
      <c r="C29">
        <v>0</v>
      </c>
      <c r="D29">
        <v>4.4211899999999999E-4</v>
      </c>
      <c r="E29">
        <v>5.0574800000000002E-5</v>
      </c>
      <c r="F29">
        <v>1.12069E-4</v>
      </c>
      <c r="G29">
        <v>0</v>
      </c>
      <c r="H29">
        <v>0</v>
      </c>
      <c r="I29">
        <v>0</v>
      </c>
      <c r="J29">
        <v>0</v>
      </c>
      <c r="K29">
        <v>2.27791E-4</v>
      </c>
      <c r="L29">
        <v>4.0491100000000003E-5</v>
      </c>
      <c r="M29">
        <v>0</v>
      </c>
      <c r="N29">
        <v>0</v>
      </c>
      <c r="O29">
        <v>0</v>
      </c>
      <c r="P29">
        <v>0</v>
      </c>
      <c r="Q29">
        <v>8.7304489999999989E-4</v>
      </c>
    </row>
    <row r="30" spans="1:17" x14ac:dyDescent="0.15">
      <c r="A30">
        <v>29</v>
      </c>
      <c r="B30" s="186" t="s">
        <v>221</v>
      </c>
      <c r="C30">
        <v>0</v>
      </c>
      <c r="D30">
        <v>4.8400000000000003E-8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4.8400000000000003E-8</v>
      </c>
    </row>
    <row r="31" spans="1:17" x14ac:dyDescent="0.15">
      <c r="A31">
        <v>30</v>
      </c>
      <c r="B31" s="186" t="s">
        <v>222</v>
      </c>
      <c r="C31">
        <v>0</v>
      </c>
      <c r="D31">
        <v>2.4200000000000002E-7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2.4200000000000002E-7</v>
      </c>
    </row>
    <row r="32" spans="1:17" x14ac:dyDescent="0.15">
      <c r="A32">
        <v>31</v>
      </c>
      <c r="B32" s="186" t="s">
        <v>223</v>
      </c>
      <c r="C32">
        <v>8.8283399999999992E-6</v>
      </c>
      <c r="D32">
        <v>1.9360799999999999E-6</v>
      </c>
      <c r="E32">
        <v>1.9360799999999999E-6</v>
      </c>
      <c r="F32">
        <v>5.1837299999999999E-5</v>
      </c>
      <c r="G32">
        <v>2.1982600000000001E-8</v>
      </c>
      <c r="H32">
        <v>0</v>
      </c>
      <c r="I32">
        <v>1.9360799999999999E-6</v>
      </c>
      <c r="J32">
        <v>1.2904800000000001E-7</v>
      </c>
      <c r="K32">
        <v>1.9360799999999999E-6</v>
      </c>
      <c r="L32">
        <v>5.2862799999999998E-5</v>
      </c>
      <c r="M32">
        <v>7.2184199999999999E-5</v>
      </c>
      <c r="N32">
        <v>0</v>
      </c>
      <c r="O32">
        <v>0</v>
      </c>
      <c r="P32">
        <v>0</v>
      </c>
      <c r="Q32">
        <v>1.9360799059999997E-4</v>
      </c>
    </row>
    <row r="33" spans="1:17" x14ac:dyDescent="0.15">
      <c r="A33">
        <v>32</v>
      </c>
      <c r="B33" s="186" t="s">
        <v>224</v>
      </c>
      <c r="C33">
        <v>0</v>
      </c>
      <c r="D33">
        <v>3.0000000000000001E-5</v>
      </c>
      <c r="E33">
        <v>1.0000000000000001E-5</v>
      </c>
      <c r="F33">
        <v>1.9E-6</v>
      </c>
      <c r="G33">
        <v>0</v>
      </c>
      <c r="H33">
        <v>0</v>
      </c>
      <c r="I33">
        <v>0</v>
      </c>
      <c r="J33">
        <v>0</v>
      </c>
      <c r="K33">
        <v>3.6600000000000002E-5</v>
      </c>
      <c r="L33">
        <v>2.5899999999999998E-7</v>
      </c>
      <c r="M33">
        <v>0</v>
      </c>
      <c r="N33">
        <v>0</v>
      </c>
      <c r="O33">
        <v>0</v>
      </c>
      <c r="P33">
        <v>0</v>
      </c>
      <c r="Q33">
        <v>7.8759000000000009E-5</v>
      </c>
    </row>
    <row r="34" spans="1:17" x14ac:dyDescent="0.15">
      <c r="A34">
        <v>33</v>
      </c>
      <c r="B34" s="186" t="s">
        <v>225</v>
      </c>
      <c r="C34">
        <v>1.0000000000000001E-5</v>
      </c>
      <c r="D34">
        <v>1.4999999999999999E-4</v>
      </c>
      <c r="E34">
        <v>2.0000000000000002E-5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2.3200000000000001E-5</v>
      </c>
      <c r="M34">
        <v>0</v>
      </c>
      <c r="N34">
        <v>0</v>
      </c>
      <c r="O34">
        <v>0</v>
      </c>
      <c r="P34">
        <v>0</v>
      </c>
      <c r="Q34">
        <v>2.0319999999999998E-4</v>
      </c>
    </row>
    <row r="35" spans="1:17" x14ac:dyDescent="0.15">
      <c r="A35">
        <v>34</v>
      </c>
      <c r="B35" s="186" t="s">
        <v>226</v>
      </c>
      <c r="C35">
        <v>6.3339100000000001E-9</v>
      </c>
      <c r="D35">
        <v>7.6914300000000006E-9</v>
      </c>
      <c r="E35">
        <v>1.25749E-7</v>
      </c>
      <c r="F35">
        <v>3.4131199999999998E-7</v>
      </c>
      <c r="G35">
        <v>4.7167400000000002E-11</v>
      </c>
      <c r="H35">
        <v>4.4921399999999998E-10</v>
      </c>
      <c r="I35">
        <v>7.27726E-10</v>
      </c>
      <c r="J35">
        <v>1.44647E-11</v>
      </c>
      <c r="K35">
        <v>7.6914300000000006E-9</v>
      </c>
      <c r="L35">
        <v>1.6251099999999999E-7</v>
      </c>
      <c r="M35">
        <v>1.13255E-7</v>
      </c>
      <c r="N35">
        <v>0</v>
      </c>
      <c r="O35">
        <v>3.3601200000000002E-9</v>
      </c>
      <c r="P35">
        <v>0</v>
      </c>
      <c r="Q35">
        <v>7.6914246210000002E-7</v>
      </c>
    </row>
    <row r="36" spans="1:17" x14ac:dyDescent="0.15">
      <c r="A36">
        <v>35</v>
      </c>
      <c r="B36" s="186" t="s">
        <v>227</v>
      </c>
      <c r="C36">
        <v>5.55177E-7</v>
      </c>
      <c r="D36">
        <v>3.9111200000000002E-7</v>
      </c>
      <c r="E36">
        <v>1.47162E-5</v>
      </c>
      <c r="F36">
        <v>3.9111200000000002E-7</v>
      </c>
      <c r="G36">
        <v>4.2303199999999999E-9</v>
      </c>
      <c r="H36">
        <v>3.0547599999999999E-9</v>
      </c>
      <c r="I36">
        <v>0</v>
      </c>
      <c r="J36">
        <v>0</v>
      </c>
      <c r="K36">
        <v>3.9111200000000002E-7</v>
      </c>
      <c r="L36">
        <v>1.7210999999999998E-5</v>
      </c>
      <c r="M36">
        <v>3.9111200000000002E-7</v>
      </c>
      <c r="N36">
        <v>0</v>
      </c>
      <c r="O36">
        <v>5.057E-6</v>
      </c>
      <c r="P36">
        <v>0</v>
      </c>
      <c r="Q36">
        <v>3.9111110080000005E-5</v>
      </c>
    </row>
    <row r="37" spans="1:17" x14ac:dyDescent="0.15">
      <c r="A37">
        <v>36</v>
      </c>
      <c r="B37" s="186" t="s">
        <v>228</v>
      </c>
      <c r="C37">
        <v>1.0000000000000001E-5</v>
      </c>
      <c r="D37">
        <v>6.9999999999999994E-5</v>
      </c>
      <c r="E37">
        <v>0</v>
      </c>
      <c r="F37">
        <v>1.3349999999999999E-6</v>
      </c>
      <c r="G37">
        <v>0</v>
      </c>
      <c r="H37">
        <v>0</v>
      </c>
      <c r="I37">
        <v>0</v>
      </c>
      <c r="J37">
        <v>0</v>
      </c>
      <c r="K37">
        <v>1.2550000000000001E-7</v>
      </c>
      <c r="L37">
        <v>0</v>
      </c>
      <c r="M37">
        <v>0</v>
      </c>
      <c r="N37">
        <v>0</v>
      </c>
      <c r="O37">
        <v>0</v>
      </c>
      <c r="P37">
        <v>0</v>
      </c>
      <c r="Q37">
        <v>8.146049999999999E-5</v>
      </c>
    </row>
    <row r="38" spans="1:17" x14ac:dyDescent="0.15">
      <c r="A38">
        <v>37</v>
      </c>
      <c r="B38" s="186" t="s">
        <v>229</v>
      </c>
      <c r="C38">
        <v>1.4999999999999999E-4</v>
      </c>
      <c r="D38">
        <v>2.6099999999999999E-3</v>
      </c>
      <c r="E38">
        <v>1.3999999999999999E-4</v>
      </c>
      <c r="F38">
        <v>4.2900000000000002E-4</v>
      </c>
      <c r="G38">
        <v>0</v>
      </c>
      <c r="H38">
        <v>0</v>
      </c>
      <c r="I38">
        <v>0</v>
      </c>
      <c r="J38">
        <v>0</v>
      </c>
      <c r="K38">
        <v>4.74E-5</v>
      </c>
      <c r="L38">
        <v>6.1800000000000001E-6</v>
      </c>
      <c r="M38">
        <v>0</v>
      </c>
      <c r="N38">
        <v>0</v>
      </c>
      <c r="O38">
        <v>0</v>
      </c>
      <c r="P38">
        <v>0</v>
      </c>
      <c r="Q38">
        <v>3.38258E-3</v>
      </c>
    </row>
    <row r="39" spans="1:17" x14ac:dyDescent="0.15">
      <c r="A39">
        <v>38</v>
      </c>
      <c r="B39" s="186" t="s">
        <v>230</v>
      </c>
      <c r="C39">
        <v>1.0000000000000001E-5</v>
      </c>
      <c r="D39">
        <v>1.0000000000000001E-5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8.2099999999999995E-7</v>
      </c>
      <c r="L39">
        <v>0</v>
      </c>
      <c r="M39">
        <v>0</v>
      </c>
      <c r="N39">
        <v>0</v>
      </c>
      <c r="O39">
        <v>0</v>
      </c>
      <c r="P39">
        <v>0</v>
      </c>
      <c r="Q39">
        <v>2.0821000000000003E-5</v>
      </c>
    </row>
    <row r="40" spans="1:17" x14ac:dyDescent="0.15">
      <c r="A40">
        <v>39</v>
      </c>
      <c r="B40" s="186" t="s">
        <v>231</v>
      </c>
      <c r="C40">
        <v>8.4000000000000003E-4</v>
      </c>
      <c r="D40">
        <v>6.4400000000000004E-3</v>
      </c>
      <c r="E40">
        <v>2.0000000000000001E-4</v>
      </c>
      <c r="F40">
        <v>8.8100000000000008E-9</v>
      </c>
      <c r="G40">
        <v>0</v>
      </c>
      <c r="H40">
        <v>2.0999999999999999E-5</v>
      </c>
      <c r="I40">
        <v>2.4600000000000002E-4</v>
      </c>
      <c r="J40">
        <v>0</v>
      </c>
      <c r="K40">
        <v>0</v>
      </c>
      <c r="L40">
        <v>0</v>
      </c>
      <c r="M40">
        <v>0</v>
      </c>
      <c r="N40">
        <v>0</v>
      </c>
      <c r="O40">
        <v>7.7400000000000004E-6</v>
      </c>
      <c r="P40">
        <v>0</v>
      </c>
      <c r="Q40">
        <v>7.7547488099999999E-3</v>
      </c>
    </row>
    <row r="41" spans="1:17" x14ac:dyDescent="0.15">
      <c r="A41">
        <v>40</v>
      </c>
      <c r="B41" s="186" t="s">
        <v>232</v>
      </c>
      <c r="C41">
        <v>9.3000000000000005E-4</v>
      </c>
      <c r="D41">
        <v>3.9100000000000003E-3</v>
      </c>
      <c r="E41">
        <v>1.1E-4</v>
      </c>
      <c r="F41">
        <v>1.3400000000000001E-6</v>
      </c>
      <c r="G41">
        <v>0</v>
      </c>
      <c r="H41">
        <v>7.2000000000000002E-5</v>
      </c>
      <c r="I41">
        <v>4.0299999999999998E-4</v>
      </c>
      <c r="J41">
        <v>0</v>
      </c>
      <c r="K41">
        <v>1.2999999999999999E-5</v>
      </c>
      <c r="L41">
        <v>8.8100000000000001E-8</v>
      </c>
      <c r="M41">
        <v>0</v>
      </c>
      <c r="N41">
        <v>0</v>
      </c>
      <c r="O41">
        <v>0</v>
      </c>
      <c r="P41">
        <v>0</v>
      </c>
      <c r="Q41">
        <v>5.4394281000000001E-3</v>
      </c>
    </row>
    <row r="42" spans="1:17" x14ac:dyDescent="0.15">
      <c r="A42">
        <v>41</v>
      </c>
      <c r="B42" s="186" t="s">
        <v>233</v>
      </c>
      <c r="C42">
        <v>1E-4</v>
      </c>
      <c r="D42">
        <v>1.4999999999999999E-4</v>
      </c>
      <c r="E42">
        <v>0</v>
      </c>
      <c r="F42">
        <v>7.34E-6</v>
      </c>
      <c r="G42">
        <v>0</v>
      </c>
      <c r="H42">
        <v>1.95E-4</v>
      </c>
      <c r="I42">
        <v>2.13E-4</v>
      </c>
      <c r="J42">
        <v>0</v>
      </c>
      <c r="K42">
        <v>4.2399999999999999E-7</v>
      </c>
      <c r="L42">
        <v>3.9999999999999998E-6</v>
      </c>
      <c r="M42">
        <v>0</v>
      </c>
      <c r="N42">
        <v>0</v>
      </c>
      <c r="O42">
        <v>0</v>
      </c>
      <c r="P42">
        <v>0</v>
      </c>
      <c r="Q42">
        <v>6.6976399999999988E-4</v>
      </c>
    </row>
    <row r="43" spans="1:17" x14ac:dyDescent="0.15">
      <c r="A43">
        <v>42</v>
      </c>
      <c r="B43" s="186" t="s">
        <v>234</v>
      </c>
      <c r="C43">
        <v>4.6999999999999999E-4</v>
      </c>
      <c r="D43">
        <v>8.8000000000000003E-4</v>
      </c>
      <c r="E43">
        <v>1.0000000000000001E-5</v>
      </c>
      <c r="F43">
        <v>3.0299999999999998E-6</v>
      </c>
      <c r="G43">
        <v>0</v>
      </c>
      <c r="H43">
        <v>9.9999999999999995E-7</v>
      </c>
      <c r="I43">
        <v>0</v>
      </c>
      <c r="J43">
        <v>0</v>
      </c>
      <c r="K43">
        <v>2.9100000000000001E-6</v>
      </c>
      <c r="L43">
        <v>0</v>
      </c>
      <c r="M43">
        <v>0</v>
      </c>
      <c r="N43">
        <v>0</v>
      </c>
      <c r="O43">
        <v>0</v>
      </c>
      <c r="P43">
        <v>0</v>
      </c>
      <c r="Q43">
        <v>1.3669400000000001E-3</v>
      </c>
    </row>
    <row r="44" spans="1:17" x14ac:dyDescent="0.15">
      <c r="A44">
        <v>43</v>
      </c>
      <c r="B44" s="186" t="s">
        <v>235</v>
      </c>
      <c r="C44">
        <v>6.1295000000000004E-6</v>
      </c>
      <c r="D44">
        <v>1.29401E-5</v>
      </c>
      <c r="E44">
        <v>0</v>
      </c>
      <c r="F44">
        <v>1.58686E-9</v>
      </c>
      <c r="G44">
        <v>0</v>
      </c>
      <c r="H44">
        <v>2.72422E-7</v>
      </c>
      <c r="I44">
        <v>0</v>
      </c>
      <c r="J44">
        <v>0</v>
      </c>
      <c r="K44">
        <v>5.7753500000000003E-9</v>
      </c>
      <c r="L44">
        <v>0</v>
      </c>
      <c r="M44">
        <v>0</v>
      </c>
      <c r="N44">
        <v>0</v>
      </c>
      <c r="O44">
        <v>0</v>
      </c>
      <c r="P44">
        <v>0</v>
      </c>
      <c r="Q44">
        <v>1.9349384210000004E-5</v>
      </c>
    </row>
    <row r="45" spans="1:17" x14ac:dyDescent="0.15">
      <c r="A45">
        <v>44</v>
      </c>
      <c r="B45" s="186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15">
      <c r="A46">
        <v>45</v>
      </c>
      <c r="B46" s="186" t="s">
        <v>237</v>
      </c>
      <c r="C46">
        <v>5.1499999999999998E-5</v>
      </c>
      <c r="D46">
        <v>5.1499999999999998E-5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1.03E-4</v>
      </c>
    </row>
    <row r="47" spans="1:17" x14ac:dyDescent="0.15">
      <c r="A47">
        <v>46</v>
      </c>
      <c r="B47" s="186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15">
      <c r="A48">
        <v>47</v>
      </c>
      <c r="B48" s="186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15">
      <c r="A49">
        <v>48</v>
      </c>
      <c r="B49" s="186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15">
      <c r="A50">
        <v>49</v>
      </c>
      <c r="B50" s="186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15">
      <c r="A51">
        <v>50</v>
      </c>
      <c r="B51" s="186" t="s">
        <v>242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15">
      <c r="A52">
        <v>51</v>
      </c>
      <c r="B52" s="186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15">
      <c r="A53">
        <v>52</v>
      </c>
      <c r="B53" s="186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15">
      <c r="A54">
        <v>53</v>
      </c>
      <c r="B54" s="186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15">
      <c r="A55">
        <v>54</v>
      </c>
      <c r="B55" s="186" t="s">
        <v>246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15">
      <c r="A56">
        <v>55</v>
      </c>
      <c r="B56" s="186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15">
      <c r="A57">
        <v>56</v>
      </c>
      <c r="B57" s="186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15">
      <c r="A58">
        <v>57</v>
      </c>
      <c r="B58" s="186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15">
      <c r="A59">
        <v>58</v>
      </c>
      <c r="B59" s="186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15">
      <c r="A60">
        <v>59</v>
      </c>
      <c r="B60" s="186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15">
      <c r="A61">
        <v>60</v>
      </c>
      <c r="B61" s="186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15">
      <c r="A62">
        <v>61</v>
      </c>
      <c r="B62" s="186" t="s">
        <v>253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15">
      <c r="A63">
        <v>62</v>
      </c>
      <c r="B63" s="186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15">
      <c r="A64">
        <v>63</v>
      </c>
      <c r="B64" s="186" t="s">
        <v>255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15">
      <c r="A65">
        <v>64</v>
      </c>
      <c r="B65" s="186" t="s">
        <v>256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15">
      <c r="A66">
        <v>65</v>
      </c>
      <c r="B66" s="186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15">
      <c r="A67">
        <v>66</v>
      </c>
      <c r="B67" s="186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15">
      <c r="A68">
        <v>67</v>
      </c>
      <c r="B68" s="186" t="s">
        <v>259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15">
      <c r="A69">
        <v>68</v>
      </c>
      <c r="B69" s="186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15">
      <c r="A70">
        <v>69</v>
      </c>
      <c r="B70" s="186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15">
      <c r="A71">
        <v>70</v>
      </c>
      <c r="B71" s="186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4"/>
  <sheetViews>
    <sheetView topLeftCell="A51" workbookViewId="0">
      <selection activeCell="E74" sqref="E74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7.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88" t="s">
        <v>193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88" t="s">
        <v>194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88" t="s">
        <v>195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88" t="s">
        <v>196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88" t="s">
        <v>197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88" t="s">
        <v>198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88" t="s">
        <v>199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88" t="s">
        <v>200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88" t="s">
        <v>201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88" t="s">
        <v>202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88" t="s">
        <v>203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88" t="s">
        <v>204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88" t="s">
        <v>205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88" t="s">
        <v>206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88" t="s">
        <v>207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88" t="s">
        <v>208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88" t="s">
        <v>209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88" t="s">
        <v>210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88" t="s">
        <v>211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88" t="s">
        <v>212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88" t="s">
        <v>213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88" t="s">
        <v>214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88" t="s">
        <v>215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88" t="s">
        <v>216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88" t="s">
        <v>217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88" t="s">
        <v>218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88" t="s">
        <v>219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88" t="s">
        <v>220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88" t="s">
        <v>221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88" t="s">
        <v>222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88" t="s">
        <v>223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88" t="s">
        <v>224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88" t="s">
        <v>225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88" t="s">
        <v>226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88" t="s">
        <v>227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88" t="s">
        <v>228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88" t="s">
        <v>229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88" t="s">
        <v>230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88" t="s">
        <v>231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88" t="s">
        <v>232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88" t="s">
        <v>233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88" t="s">
        <v>234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88" t="s">
        <v>235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88" t="s">
        <v>236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88" t="s">
        <v>237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88" t="s">
        <v>238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88" t="s">
        <v>239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88" t="s">
        <v>240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88" t="s">
        <v>241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88" t="s">
        <v>242</v>
      </c>
      <c r="F51">
        <v>0.98</v>
      </c>
      <c r="G51">
        <v>0.8</v>
      </c>
      <c r="H51">
        <v>0.8</v>
      </c>
      <c r="I51">
        <v>0.8</v>
      </c>
      <c r="J51" s="114">
        <v>0.25</v>
      </c>
      <c r="K51" s="114">
        <v>0.05</v>
      </c>
      <c r="Y51"/>
      <c r="AC51"/>
      <c r="AG51"/>
    </row>
    <row r="52" spans="4:33" ht="15" customHeight="1" x14ac:dyDescent="0.15">
      <c r="D52">
        <v>51</v>
      </c>
      <c r="E52" s="188" t="s">
        <v>243</v>
      </c>
      <c r="F52">
        <v>0.98</v>
      </c>
      <c r="G52">
        <v>0.8</v>
      </c>
      <c r="H52">
        <v>0.8</v>
      </c>
      <c r="I52">
        <v>0.8</v>
      </c>
      <c r="J52" s="114">
        <v>0.25</v>
      </c>
      <c r="K52" s="114">
        <v>0.05</v>
      </c>
      <c r="Y52"/>
      <c r="AC52"/>
      <c r="AG52"/>
    </row>
    <row r="53" spans="4:33" ht="15" customHeight="1" x14ac:dyDescent="0.15">
      <c r="D53">
        <v>52</v>
      </c>
      <c r="E53" s="188" t="s">
        <v>244</v>
      </c>
      <c r="F53">
        <v>0.98</v>
      </c>
      <c r="G53">
        <v>0.8</v>
      </c>
      <c r="H53">
        <v>0.8</v>
      </c>
      <c r="I53">
        <v>0.8</v>
      </c>
      <c r="J53" s="114">
        <v>0.25</v>
      </c>
      <c r="K53" s="114">
        <v>0.05</v>
      </c>
      <c r="Y53"/>
      <c r="AC53"/>
      <c r="AG53"/>
    </row>
    <row r="54" spans="4:33" ht="15" customHeight="1" x14ac:dyDescent="0.15">
      <c r="D54">
        <v>53</v>
      </c>
      <c r="E54" s="188" t="s">
        <v>245</v>
      </c>
      <c r="F54">
        <v>0.98</v>
      </c>
      <c r="G54">
        <v>0.8</v>
      </c>
      <c r="H54">
        <v>0.8</v>
      </c>
      <c r="I54">
        <v>0.8</v>
      </c>
      <c r="J54" s="114">
        <v>0.25</v>
      </c>
      <c r="K54" s="114">
        <v>0.05</v>
      </c>
      <c r="Y54"/>
      <c r="AC54"/>
      <c r="AG54"/>
    </row>
    <row r="55" spans="4:33" ht="15" customHeight="1" x14ac:dyDescent="0.15">
      <c r="D55">
        <v>54</v>
      </c>
      <c r="E55" s="188" t="s">
        <v>246</v>
      </c>
      <c r="F55">
        <v>0.98</v>
      </c>
      <c r="G55">
        <v>0.8</v>
      </c>
      <c r="H55">
        <v>0.8</v>
      </c>
      <c r="I55">
        <v>0.8</v>
      </c>
      <c r="J55" s="114">
        <v>0.25</v>
      </c>
      <c r="K55" s="114">
        <v>0.05</v>
      </c>
      <c r="Y55"/>
      <c r="AC55"/>
      <c r="AG55"/>
    </row>
    <row r="56" spans="4:33" ht="15" customHeight="1" x14ac:dyDescent="0.15">
      <c r="D56">
        <v>55</v>
      </c>
      <c r="E56" s="188" t="s">
        <v>247</v>
      </c>
      <c r="F56">
        <v>0.98</v>
      </c>
      <c r="G56">
        <v>0.8</v>
      </c>
      <c r="H56">
        <v>0.8</v>
      </c>
      <c r="I56">
        <v>0.8</v>
      </c>
      <c r="J56" s="114">
        <v>0.25</v>
      </c>
      <c r="K56" s="114">
        <v>0.05</v>
      </c>
      <c r="Y56"/>
      <c r="AC56"/>
      <c r="AG56"/>
    </row>
    <row r="57" spans="4:33" ht="15" customHeight="1" x14ac:dyDescent="0.15">
      <c r="D57">
        <v>56</v>
      </c>
      <c r="E57" s="188" t="s">
        <v>248</v>
      </c>
      <c r="F57">
        <v>0.98</v>
      </c>
      <c r="G57">
        <v>0.8</v>
      </c>
      <c r="H57">
        <v>0.8</v>
      </c>
      <c r="I57">
        <v>0.8</v>
      </c>
      <c r="J57" s="114">
        <v>0.25</v>
      </c>
      <c r="K57" s="114">
        <v>0.05</v>
      </c>
      <c r="Y57"/>
      <c r="AC57"/>
      <c r="AG57"/>
    </row>
    <row r="58" spans="4:33" ht="15" customHeight="1" x14ac:dyDescent="0.15">
      <c r="D58">
        <v>57</v>
      </c>
      <c r="E58" s="188" t="s">
        <v>249</v>
      </c>
      <c r="F58">
        <v>0.98</v>
      </c>
      <c r="G58">
        <v>0.8</v>
      </c>
      <c r="H58">
        <v>0.8</v>
      </c>
      <c r="I58">
        <v>0.8</v>
      </c>
      <c r="J58" s="114">
        <v>0.25</v>
      </c>
      <c r="K58" s="114">
        <v>0.05</v>
      </c>
      <c r="Y58"/>
      <c r="AC58"/>
      <c r="AG58"/>
    </row>
    <row r="59" spans="4:33" ht="15" customHeight="1" x14ac:dyDescent="0.15">
      <c r="D59">
        <v>58</v>
      </c>
      <c r="E59" s="188" t="s">
        <v>250</v>
      </c>
      <c r="F59">
        <v>0.98</v>
      </c>
      <c r="G59">
        <v>0.8</v>
      </c>
      <c r="H59">
        <v>0.8</v>
      </c>
      <c r="I59">
        <v>0.8</v>
      </c>
      <c r="J59" s="114">
        <v>0.25</v>
      </c>
      <c r="K59" s="114">
        <v>0.05</v>
      </c>
      <c r="Y59"/>
      <c r="AC59"/>
      <c r="AG59"/>
    </row>
    <row r="60" spans="4:33" ht="15" customHeight="1" x14ac:dyDescent="0.15">
      <c r="D60">
        <v>59</v>
      </c>
      <c r="E60" s="188" t="s">
        <v>251</v>
      </c>
      <c r="F60">
        <v>0.98</v>
      </c>
      <c r="G60">
        <v>0.8</v>
      </c>
      <c r="H60">
        <v>0.8</v>
      </c>
      <c r="I60">
        <v>0.8</v>
      </c>
      <c r="J60" s="114">
        <v>0.25</v>
      </c>
      <c r="K60" s="114">
        <v>0.05</v>
      </c>
      <c r="Y60"/>
      <c r="AC60"/>
      <c r="AG60"/>
    </row>
    <row r="61" spans="4:33" ht="15" customHeight="1" x14ac:dyDescent="0.15">
      <c r="D61">
        <v>60</v>
      </c>
      <c r="E61" s="188" t="s">
        <v>252</v>
      </c>
      <c r="F61">
        <v>0.98</v>
      </c>
      <c r="G61">
        <v>0.8</v>
      </c>
      <c r="H61">
        <v>0.8</v>
      </c>
      <c r="I61">
        <v>0.8</v>
      </c>
      <c r="J61" s="114">
        <v>0.25</v>
      </c>
      <c r="K61" s="114">
        <v>0.05</v>
      </c>
      <c r="Y61"/>
      <c r="AC61"/>
      <c r="AG61"/>
    </row>
    <row r="62" spans="4:33" ht="15" customHeight="1" x14ac:dyDescent="0.15">
      <c r="D62">
        <v>61</v>
      </c>
      <c r="E62" s="188" t="s">
        <v>253</v>
      </c>
      <c r="F62">
        <v>0.98</v>
      </c>
      <c r="G62">
        <v>0.8</v>
      </c>
      <c r="H62">
        <v>0.8</v>
      </c>
      <c r="I62">
        <v>0.8</v>
      </c>
      <c r="J62" s="114">
        <v>0.25</v>
      </c>
      <c r="K62" s="114">
        <v>0.05</v>
      </c>
      <c r="Y62"/>
      <c r="AC62"/>
      <c r="AG62"/>
    </row>
    <row r="63" spans="4:33" ht="15" customHeight="1" x14ac:dyDescent="0.15">
      <c r="D63">
        <v>62</v>
      </c>
      <c r="E63" s="188" t="s">
        <v>254</v>
      </c>
      <c r="F63">
        <v>0.98</v>
      </c>
      <c r="G63">
        <v>0.8</v>
      </c>
      <c r="H63">
        <v>0.8</v>
      </c>
      <c r="I63">
        <v>0.8</v>
      </c>
      <c r="J63" s="114">
        <v>0.25</v>
      </c>
      <c r="K63" s="114">
        <v>0.05</v>
      </c>
      <c r="Y63"/>
      <c r="AC63"/>
      <c r="AG63"/>
    </row>
    <row r="64" spans="4:33" ht="15" customHeight="1" x14ac:dyDescent="0.15">
      <c r="D64">
        <v>63</v>
      </c>
      <c r="E64" s="188" t="s">
        <v>255</v>
      </c>
      <c r="F64">
        <v>0.98</v>
      </c>
      <c r="G64">
        <v>0.8</v>
      </c>
      <c r="H64">
        <v>0.8</v>
      </c>
      <c r="I64">
        <v>0.8</v>
      </c>
      <c r="J64" s="114">
        <v>0.25</v>
      </c>
      <c r="K64" s="114">
        <v>0.05</v>
      </c>
      <c r="Y64"/>
      <c r="AC64"/>
      <c r="AG64"/>
    </row>
    <row r="65" spans="4:33" ht="15" customHeight="1" x14ac:dyDescent="0.15">
      <c r="D65">
        <v>64</v>
      </c>
      <c r="E65" s="188" t="s">
        <v>256</v>
      </c>
      <c r="F65">
        <v>0.98</v>
      </c>
      <c r="G65">
        <v>0.8</v>
      </c>
      <c r="H65">
        <v>0.8</v>
      </c>
      <c r="I65">
        <v>0</v>
      </c>
      <c r="J65" s="114">
        <v>0</v>
      </c>
      <c r="K65" s="114">
        <v>0</v>
      </c>
      <c r="Y65"/>
      <c r="AC65"/>
      <c r="AG65"/>
    </row>
    <row r="66" spans="4:33" ht="15" customHeight="1" x14ac:dyDescent="0.15">
      <c r="D66">
        <v>65</v>
      </c>
      <c r="E66" s="188" t="s">
        <v>257</v>
      </c>
      <c r="F66">
        <v>0.98</v>
      </c>
      <c r="G66">
        <v>0.8</v>
      </c>
      <c r="H66">
        <v>0.8</v>
      </c>
      <c r="I66">
        <v>0</v>
      </c>
      <c r="J66" s="114">
        <v>0</v>
      </c>
      <c r="K66" s="114">
        <v>0</v>
      </c>
      <c r="Y66"/>
      <c r="AC66"/>
      <c r="AG66"/>
    </row>
    <row r="67" spans="4:33" ht="15" customHeight="1" x14ac:dyDescent="0.15">
      <c r="D67">
        <v>66</v>
      </c>
      <c r="E67" s="188" t="s">
        <v>258</v>
      </c>
      <c r="F67">
        <v>0.98</v>
      </c>
      <c r="G67">
        <v>0.8</v>
      </c>
      <c r="H67">
        <v>0.8</v>
      </c>
      <c r="I67">
        <v>0</v>
      </c>
      <c r="J67" s="114">
        <v>0</v>
      </c>
      <c r="K67" s="114">
        <v>0</v>
      </c>
      <c r="Y67"/>
      <c r="AC67"/>
      <c r="AG67"/>
    </row>
    <row r="68" spans="4:33" ht="15" customHeight="1" x14ac:dyDescent="0.15">
      <c r="D68">
        <v>67</v>
      </c>
      <c r="E68" s="188" t="s">
        <v>259</v>
      </c>
      <c r="F68">
        <v>0.98</v>
      </c>
      <c r="G68">
        <v>0.8</v>
      </c>
      <c r="H68">
        <v>0.8</v>
      </c>
      <c r="I68">
        <v>0</v>
      </c>
      <c r="J68" s="114">
        <v>0</v>
      </c>
      <c r="K68" s="114">
        <v>0</v>
      </c>
      <c r="Y68"/>
      <c r="AC68"/>
      <c r="AG68"/>
    </row>
    <row r="69" spans="4:33" ht="15" customHeight="1" x14ac:dyDescent="0.15">
      <c r="D69">
        <v>68</v>
      </c>
      <c r="E69" s="188" t="s">
        <v>260</v>
      </c>
      <c r="F69">
        <v>0.98</v>
      </c>
      <c r="G69">
        <v>0.8</v>
      </c>
      <c r="H69">
        <v>0</v>
      </c>
      <c r="I69">
        <v>0</v>
      </c>
      <c r="J69" s="114">
        <v>0</v>
      </c>
      <c r="K69" s="114">
        <v>0</v>
      </c>
      <c r="Y69"/>
      <c r="AC69"/>
      <c r="AG69"/>
    </row>
    <row r="70" spans="4:33" ht="15" customHeight="1" x14ac:dyDescent="0.15">
      <c r="D70">
        <v>69</v>
      </c>
      <c r="E70" s="188" t="s">
        <v>261</v>
      </c>
      <c r="F70">
        <v>0.98</v>
      </c>
      <c r="G70">
        <v>0.8</v>
      </c>
      <c r="H70">
        <v>0</v>
      </c>
      <c r="I70">
        <v>0</v>
      </c>
      <c r="J70" s="114">
        <v>0</v>
      </c>
      <c r="K70" s="114">
        <v>0</v>
      </c>
      <c r="Y70"/>
      <c r="AC70"/>
      <c r="AG70"/>
    </row>
    <row r="71" spans="4:33" ht="15" customHeight="1" x14ac:dyDescent="0.15">
      <c r="D71">
        <v>70</v>
      </c>
      <c r="E71" s="188" t="s">
        <v>262</v>
      </c>
      <c r="F71">
        <v>0.98</v>
      </c>
      <c r="G71">
        <v>0.8</v>
      </c>
      <c r="H71">
        <v>0</v>
      </c>
      <c r="I71">
        <v>0</v>
      </c>
      <c r="J71" s="114">
        <v>0</v>
      </c>
      <c r="K71" s="114">
        <v>0</v>
      </c>
      <c r="Y71"/>
      <c r="AC71"/>
      <c r="AG71"/>
    </row>
    <row r="72" spans="4:33" ht="15" customHeight="1" x14ac:dyDescent="0.15">
      <c r="J72"/>
      <c r="K72"/>
      <c r="Y72"/>
      <c r="AC72"/>
      <c r="AG72"/>
    </row>
    <row r="73" spans="4:33" ht="15" customHeight="1" x14ac:dyDescent="0.15">
      <c r="J73"/>
      <c r="K73"/>
      <c r="Y73"/>
      <c r="AC73"/>
      <c r="AG73"/>
    </row>
    <row r="74" spans="4:33" ht="15" customHeight="1" x14ac:dyDescent="0.15">
      <c r="J74"/>
      <c r="K74"/>
      <c r="Y74"/>
      <c r="AC74"/>
      <c r="AG74"/>
    </row>
    <row r="75" spans="4:33" ht="15" customHeight="1" x14ac:dyDescent="0.15">
      <c r="J75"/>
      <c r="K75"/>
    </row>
    <row r="76" spans="4:33" ht="15" customHeight="1" x14ac:dyDescent="0.15">
      <c r="J76"/>
      <c r="K76"/>
    </row>
    <row r="77" spans="4:33" ht="15" customHeight="1" x14ac:dyDescent="0.15">
      <c r="J77"/>
      <c r="K77"/>
    </row>
    <row r="78" spans="4:33" ht="15" customHeight="1" x14ac:dyDescent="0.15">
      <c r="J78"/>
      <c r="K78"/>
    </row>
    <row r="79" spans="4:33" ht="15" customHeight="1" x14ac:dyDescent="0.15">
      <c r="J79"/>
      <c r="K79"/>
    </row>
    <row r="80" spans="4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  <c r="Y82"/>
      <c r="AC82"/>
      <c r="AG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S72"/>
  <sheetViews>
    <sheetView topLeftCell="AN1" workbookViewId="0">
      <selection activeCell="BV5" sqref="BV5"/>
    </sheetView>
  </sheetViews>
  <sheetFormatPr baseColWidth="10" defaultRowHeight="13" x14ac:dyDescent="0.15"/>
  <cols>
    <col min="1" max="1" width="27.5" style="112" bestFit="1" customWidth="1"/>
    <col min="2" max="64" width="3.83203125" style="112" customWidth="1"/>
    <col min="65" max="71" width="2.33203125" style="112" customWidth="1"/>
    <col min="72" max="16384" width="10.83203125" style="112"/>
  </cols>
  <sheetData>
    <row r="1" spans="1:71" x14ac:dyDescent="0.15">
      <c r="A1" s="63" t="s">
        <v>118</v>
      </c>
      <c r="B1" s="190" t="s">
        <v>193</v>
      </c>
      <c r="C1" s="190" t="s">
        <v>194</v>
      </c>
      <c r="D1" s="190" t="s">
        <v>195</v>
      </c>
      <c r="E1" s="190" t="s">
        <v>196</v>
      </c>
      <c r="F1" s="190" t="s">
        <v>197</v>
      </c>
      <c r="G1" s="190" t="s">
        <v>198</v>
      </c>
      <c r="H1" s="190" t="s">
        <v>199</v>
      </c>
      <c r="I1" s="190" t="s">
        <v>200</v>
      </c>
      <c r="J1" s="190" t="s">
        <v>201</v>
      </c>
      <c r="K1" s="190" t="s">
        <v>202</v>
      </c>
      <c r="L1" s="190" t="s">
        <v>203</v>
      </c>
      <c r="M1" s="190" t="s">
        <v>204</v>
      </c>
      <c r="N1" s="190" t="s">
        <v>205</v>
      </c>
      <c r="O1" s="190" t="s">
        <v>206</v>
      </c>
      <c r="P1" s="190" t="s">
        <v>207</v>
      </c>
      <c r="Q1" s="190" t="s">
        <v>208</v>
      </c>
      <c r="R1" s="190" t="s">
        <v>209</v>
      </c>
      <c r="S1" s="190" t="s">
        <v>210</v>
      </c>
      <c r="T1" s="190" t="s">
        <v>211</v>
      </c>
      <c r="U1" s="190" t="s">
        <v>212</v>
      </c>
      <c r="V1" s="190" t="s">
        <v>213</v>
      </c>
      <c r="W1" s="190" t="s">
        <v>214</v>
      </c>
      <c r="X1" s="190" t="s">
        <v>215</v>
      </c>
      <c r="Y1" s="190" t="s">
        <v>216</v>
      </c>
      <c r="Z1" s="190" t="s">
        <v>217</v>
      </c>
      <c r="AA1" s="190" t="s">
        <v>218</v>
      </c>
      <c r="AB1" s="190" t="s">
        <v>219</v>
      </c>
      <c r="AC1" s="190" t="s">
        <v>220</v>
      </c>
      <c r="AD1" s="190" t="s">
        <v>221</v>
      </c>
      <c r="AE1" s="190" t="s">
        <v>222</v>
      </c>
      <c r="AF1" s="190" t="s">
        <v>223</v>
      </c>
      <c r="AG1" s="190" t="s">
        <v>224</v>
      </c>
      <c r="AH1" s="190" t="s">
        <v>225</v>
      </c>
      <c r="AI1" s="190" t="s">
        <v>226</v>
      </c>
      <c r="AJ1" s="190" t="s">
        <v>227</v>
      </c>
      <c r="AK1" s="190" t="s">
        <v>228</v>
      </c>
      <c r="AL1" s="190" t="s">
        <v>229</v>
      </c>
      <c r="AM1" s="190" t="s">
        <v>230</v>
      </c>
      <c r="AN1" s="190" t="s">
        <v>231</v>
      </c>
      <c r="AO1" s="190" t="s">
        <v>232</v>
      </c>
      <c r="AP1" s="190" t="s">
        <v>233</v>
      </c>
      <c r="AQ1" s="190" t="s">
        <v>234</v>
      </c>
      <c r="AR1" s="190" t="s">
        <v>235</v>
      </c>
      <c r="AS1" s="190" t="s">
        <v>236</v>
      </c>
      <c r="AT1" s="190" t="s">
        <v>237</v>
      </c>
      <c r="AU1" s="190" t="s">
        <v>238</v>
      </c>
      <c r="AV1" s="190" t="s">
        <v>239</v>
      </c>
      <c r="AW1" s="190" t="s">
        <v>240</v>
      </c>
      <c r="AX1" s="190" t="s">
        <v>241</v>
      </c>
      <c r="AY1" s="190" t="s">
        <v>242</v>
      </c>
      <c r="AZ1" s="190" t="s">
        <v>243</v>
      </c>
      <c r="BA1" s="190" t="s">
        <v>244</v>
      </c>
      <c r="BB1" s="190" t="s">
        <v>245</v>
      </c>
      <c r="BC1" s="190" t="s">
        <v>246</v>
      </c>
      <c r="BD1" s="190" t="s">
        <v>247</v>
      </c>
      <c r="BE1" s="190" t="s">
        <v>248</v>
      </c>
      <c r="BF1" s="190" t="s">
        <v>249</v>
      </c>
      <c r="BG1" s="190" t="s">
        <v>250</v>
      </c>
      <c r="BH1" s="190" t="s">
        <v>251</v>
      </c>
      <c r="BI1" s="190" t="s">
        <v>252</v>
      </c>
      <c r="BJ1" s="190" t="s">
        <v>253</v>
      </c>
      <c r="BK1" s="190" t="s">
        <v>254</v>
      </c>
      <c r="BL1" s="190" t="s">
        <v>255</v>
      </c>
      <c r="BM1" s="190" t="s">
        <v>256</v>
      </c>
      <c r="BN1" s="190" t="s">
        <v>257</v>
      </c>
      <c r="BO1" s="190" t="s">
        <v>258</v>
      </c>
      <c r="BP1" s="190" t="s">
        <v>259</v>
      </c>
      <c r="BQ1" s="190" t="s">
        <v>260</v>
      </c>
      <c r="BR1" s="190" t="s">
        <v>261</v>
      </c>
      <c r="BS1" s="190" t="s">
        <v>262</v>
      </c>
    </row>
    <row r="2" spans="1:71" customFormat="1" x14ac:dyDescent="0.15">
      <c r="A2" s="189" t="s">
        <v>193</v>
      </c>
      <c r="B2" s="112">
        <v>0</v>
      </c>
      <c r="C2" s="112">
        <v>0</v>
      </c>
      <c r="D2" s="112">
        <v>0.8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  <c r="BJ2" s="112">
        <v>0</v>
      </c>
      <c r="BK2" s="112">
        <v>0</v>
      </c>
      <c r="BL2" s="112">
        <v>0</v>
      </c>
      <c r="BM2" s="112">
        <v>0</v>
      </c>
      <c r="BN2" s="112">
        <v>0</v>
      </c>
      <c r="BO2" s="112">
        <v>0</v>
      </c>
      <c r="BP2" s="112">
        <v>0</v>
      </c>
      <c r="BQ2" s="112">
        <v>0</v>
      </c>
      <c r="BR2" s="112">
        <v>0</v>
      </c>
      <c r="BS2" s="112">
        <v>0</v>
      </c>
    </row>
    <row r="3" spans="1:71" customFormat="1" x14ac:dyDescent="0.15">
      <c r="A3" s="189" t="s">
        <v>194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  <c r="BJ3" s="112">
        <v>0</v>
      </c>
      <c r="BK3" s="112">
        <v>0</v>
      </c>
      <c r="BL3" s="112">
        <v>0</v>
      </c>
      <c r="BM3" s="112">
        <v>0</v>
      </c>
      <c r="BN3" s="112">
        <v>0</v>
      </c>
      <c r="BO3" s="112">
        <v>0</v>
      </c>
      <c r="BP3" s="112">
        <v>0</v>
      </c>
      <c r="BQ3" s="112">
        <v>0</v>
      </c>
      <c r="BR3" s="112">
        <v>0</v>
      </c>
      <c r="BS3" s="112">
        <v>0</v>
      </c>
    </row>
    <row r="4" spans="1:71" customFormat="1" x14ac:dyDescent="0.15">
      <c r="A4" s="189" t="s">
        <v>195</v>
      </c>
      <c r="B4" s="112">
        <v>0</v>
      </c>
      <c r="C4" s="112">
        <v>0</v>
      </c>
      <c r="D4" s="112">
        <v>0.8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  <c r="BJ4" s="112">
        <v>0</v>
      </c>
      <c r="BK4" s="112">
        <v>0</v>
      </c>
      <c r="BL4" s="112">
        <v>0</v>
      </c>
      <c r="BM4" s="112">
        <v>0</v>
      </c>
      <c r="BN4" s="112">
        <v>0</v>
      </c>
      <c r="BO4" s="112">
        <v>0</v>
      </c>
      <c r="BP4" s="112">
        <v>0</v>
      </c>
      <c r="BQ4" s="112">
        <v>0</v>
      </c>
      <c r="BR4" s="112">
        <v>0</v>
      </c>
      <c r="BS4" s="112">
        <v>0</v>
      </c>
    </row>
    <row r="5" spans="1:71" customFormat="1" x14ac:dyDescent="0.15">
      <c r="A5" s="189" t="s">
        <v>196</v>
      </c>
      <c r="B5" s="112">
        <v>0.8</v>
      </c>
      <c r="C5" s="112">
        <v>0</v>
      </c>
      <c r="D5" s="112">
        <v>0</v>
      </c>
      <c r="E5" s="112">
        <v>0</v>
      </c>
      <c r="F5" s="112">
        <v>0</v>
      </c>
      <c r="G5" s="112">
        <v>0.8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0.8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0.8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  <c r="BF5" s="112">
        <v>0</v>
      </c>
      <c r="BG5" s="112">
        <v>0</v>
      </c>
      <c r="BH5" s="112">
        <v>0</v>
      </c>
      <c r="BI5" s="112">
        <v>0</v>
      </c>
      <c r="BJ5" s="112">
        <v>0</v>
      </c>
      <c r="BK5" s="112">
        <v>0</v>
      </c>
      <c r="BL5" s="112">
        <v>0</v>
      </c>
      <c r="BM5" s="112">
        <v>0</v>
      </c>
      <c r="BN5" s="112">
        <v>0</v>
      </c>
      <c r="BO5" s="112">
        <v>0</v>
      </c>
      <c r="BP5" s="112">
        <v>0</v>
      </c>
      <c r="BQ5" s="112">
        <v>0</v>
      </c>
      <c r="BR5" s="112">
        <v>0</v>
      </c>
      <c r="BS5" s="112">
        <v>0</v>
      </c>
    </row>
    <row r="6" spans="1:71" customFormat="1" x14ac:dyDescent="0.15">
      <c r="A6" s="189" t="s">
        <v>197</v>
      </c>
      <c r="B6" s="112">
        <v>0.8</v>
      </c>
      <c r="C6" s="112">
        <v>0</v>
      </c>
      <c r="D6" s="112">
        <v>0.8</v>
      </c>
      <c r="E6" s="112">
        <v>0.8</v>
      </c>
      <c r="F6" s="112">
        <v>0</v>
      </c>
      <c r="G6" s="112">
        <v>0.8</v>
      </c>
      <c r="H6" s="112">
        <v>0</v>
      </c>
      <c r="I6" s="112">
        <v>0.8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0.8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0.8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  <c r="BF6" s="112">
        <v>0</v>
      </c>
      <c r="BG6" s="112">
        <v>0</v>
      </c>
      <c r="BH6" s="112">
        <v>0</v>
      </c>
      <c r="BI6" s="112">
        <v>0</v>
      </c>
      <c r="BJ6" s="112">
        <v>0</v>
      </c>
      <c r="BK6" s="112">
        <v>0</v>
      </c>
      <c r="BL6" s="112">
        <v>0</v>
      </c>
      <c r="BM6" s="112">
        <v>0</v>
      </c>
      <c r="BN6" s="112">
        <v>0</v>
      </c>
      <c r="BO6" s="112">
        <v>0</v>
      </c>
      <c r="BP6" s="112">
        <v>0</v>
      </c>
      <c r="BQ6" s="112">
        <v>0</v>
      </c>
      <c r="BR6" s="112">
        <v>0</v>
      </c>
      <c r="BS6" s="112">
        <v>0</v>
      </c>
    </row>
    <row r="7" spans="1:71" customFormat="1" x14ac:dyDescent="0.15">
      <c r="A7" s="189" t="s">
        <v>198</v>
      </c>
      <c r="B7" s="112">
        <v>0.8</v>
      </c>
      <c r="C7" s="112">
        <v>0</v>
      </c>
      <c r="D7" s="112">
        <v>0.8</v>
      </c>
      <c r="E7" s="112">
        <v>0</v>
      </c>
      <c r="F7" s="112">
        <v>0</v>
      </c>
      <c r="G7" s="112">
        <v>0.8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0.8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  <c r="BF7" s="112">
        <v>0</v>
      </c>
      <c r="BG7" s="112">
        <v>0</v>
      </c>
      <c r="BH7" s="112">
        <v>0</v>
      </c>
      <c r="BI7" s="112">
        <v>0</v>
      </c>
      <c r="BJ7" s="112">
        <v>0</v>
      </c>
      <c r="BK7" s="112">
        <v>0</v>
      </c>
      <c r="BL7" s="112">
        <v>0</v>
      </c>
      <c r="BM7" s="112">
        <v>0</v>
      </c>
      <c r="BN7" s="112">
        <v>0</v>
      </c>
      <c r="BO7" s="112">
        <v>0</v>
      </c>
      <c r="BP7" s="112">
        <v>0</v>
      </c>
      <c r="BQ7" s="112">
        <v>0</v>
      </c>
      <c r="BR7" s="112">
        <v>0</v>
      </c>
      <c r="BS7" s="112">
        <v>0</v>
      </c>
    </row>
    <row r="8" spans="1:71" customFormat="1" x14ac:dyDescent="0.15">
      <c r="A8" s="189" t="s">
        <v>199</v>
      </c>
      <c r="B8" s="112">
        <v>0.8</v>
      </c>
      <c r="C8" s="112">
        <v>0.8</v>
      </c>
      <c r="D8" s="112">
        <v>0.8</v>
      </c>
      <c r="E8" s="112">
        <v>0</v>
      </c>
      <c r="F8" s="112">
        <v>0.8</v>
      </c>
      <c r="G8" s="112">
        <v>0.8</v>
      </c>
      <c r="H8" s="112">
        <v>0</v>
      </c>
      <c r="I8" s="112">
        <v>0</v>
      </c>
      <c r="J8" s="112">
        <v>0</v>
      </c>
      <c r="K8" s="112">
        <v>0.8</v>
      </c>
      <c r="L8" s="112">
        <v>0</v>
      </c>
      <c r="M8" s="112">
        <v>0.8</v>
      </c>
      <c r="N8" s="112">
        <v>0.8</v>
      </c>
      <c r="O8" s="112">
        <v>0</v>
      </c>
      <c r="P8" s="112">
        <v>0</v>
      </c>
      <c r="Q8" s="112">
        <v>0</v>
      </c>
      <c r="R8" s="112">
        <v>0.8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0.8</v>
      </c>
      <c r="AK8" s="112">
        <v>0</v>
      </c>
      <c r="AL8" s="112">
        <v>0</v>
      </c>
      <c r="AM8" s="112">
        <v>0</v>
      </c>
      <c r="AN8" s="112">
        <v>0.8</v>
      </c>
      <c r="AO8" s="112">
        <v>0.8</v>
      </c>
      <c r="AP8" s="112">
        <v>0.8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  <c r="BF8" s="112">
        <v>0</v>
      </c>
      <c r="BG8" s="112">
        <v>0</v>
      </c>
      <c r="BH8" s="112">
        <v>0</v>
      </c>
      <c r="BI8" s="112">
        <v>0</v>
      </c>
      <c r="BJ8" s="112">
        <v>0</v>
      </c>
      <c r="BK8" s="112">
        <v>0</v>
      </c>
      <c r="BL8" s="112">
        <v>0</v>
      </c>
      <c r="BM8" s="112">
        <v>0</v>
      </c>
      <c r="BN8" s="112">
        <v>0</v>
      </c>
      <c r="BO8" s="112">
        <v>0</v>
      </c>
      <c r="BP8" s="112">
        <v>0</v>
      </c>
      <c r="BQ8" s="112">
        <v>0</v>
      </c>
      <c r="BR8" s="112">
        <v>0</v>
      </c>
      <c r="BS8" s="112">
        <v>0</v>
      </c>
    </row>
    <row r="9" spans="1:71" customFormat="1" x14ac:dyDescent="0.15">
      <c r="A9" s="189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0.8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  <c r="BJ9" s="112">
        <v>0</v>
      </c>
      <c r="BK9" s="112">
        <v>0</v>
      </c>
      <c r="BL9" s="112">
        <v>0</v>
      </c>
      <c r="BM9" s="112">
        <v>0</v>
      </c>
      <c r="BN9" s="112">
        <v>0</v>
      </c>
      <c r="BO9" s="112">
        <v>0</v>
      </c>
      <c r="BP9" s="112">
        <v>0</v>
      </c>
      <c r="BQ9" s="112">
        <v>0</v>
      </c>
      <c r="BR9" s="112">
        <v>0</v>
      </c>
      <c r="BS9" s="112">
        <v>0</v>
      </c>
    </row>
    <row r="10" spans="1:71" customFormat="1" x14ac:dyDescent="0.15">
      <c r="A10" s="189" t="s">
        <v>201</v>
      </c>
      <c r="B10" s="112">
        <v>0</v>
      </c>
      <c r="C10" s="112">
        <v>0.8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0.8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  <c r="BF10" s="112">
        <v>0</v>
      </c>
      <c r="BG10" s="112">
        <v>0</v>
      </c>
      <c r="BH10" s="112">
        <v>0</v>
      </c>
      <c r="BI10" s="112">
        <v>0</v>
      </c>
      <c r="BJ10" s="112">
        <v>0</v>
      </c>
      <c r="BK10" s="112">
        <v>0</v>
      </c>
      <c r="BL10" s="112">
        <v>0</v>
      </c>
      <c r="BM10" s="112">
        <v>0</v>
      </c>
      <c r="BN10" s="112">
        <v>0</v>
      </c>
      <c r="BO10" s="112">
        <v>0</v>
      </c>
      <c r="BP10" s="112">
        <v>0</v>
      </c>
      <c r="BQ10" s="112">
        <v>0</v>
      </c>
      <c r="BR10" s="112">
        <v>0</v>
      </c>
      <c r="BS10" s="112">
        <v>0</v>
      </c>
    </row>
    <row r="11" spans="1:71" customFormat="1" x14ac:dyDescent="0.15">
      <c r="A11" s="189" t="s">
        <v>202</v>
      </c>
      <c r="B11" s="112">
        <v>0.8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0.8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  <c r="BF11" s="112">
        <v>0</v>
      </c>
      <c r="BG11" s="112">
        <v>0</v>
      </c>
      <c r="BH11" s="112">
        <v>0</v>
      </c>
      <c r="BI11" s="112">
        <v>0</v>
      </c>
      <c r="BJ11" s="112">
        <v>0</v>
      </c>
      <c r="BK11" s="112">
        <v>0</v>
      </c>
      <c r="BL11" s="112">
        <v>0</v>
      </c>
      <c r="BM11" s="112">
        <v>0</v>
      </c>
      <c r="BN11" s="112">
        <v>0</v>
      </c>
      <c r="BO11" s="112">
        <v>0</v>
      </c>
      <c r="BP11" s="112">
        <v>0</v>
      </c>
      <c r="BQ11" s="112">
        <v>0</v>
      </c>
      <c r="BR11" s="112">
        <v>0</v>
      </c>
      <c r="BS11" s="112">
        <v>0</v>
      </c>
    </row>
    <row r="12" spans="1:71" customFormat="1" x14ac:dyDescent="0.15">
      <c r="A12" s="189" t="s">
        <v>203</v>
      </c>
      <c r="B12" s="112">
        <v>0</v>
      </c>
      <c r="C12" s="112">
        <v>0.8</v>
      </c>
      <c r="D12" s="112">
        <v>0</v>
      </c>
      <c r="E12" s="112">
        <v>0</v>
      </c>
      <c r="F12" s="112">
        <v>0</v>
      </c>
      <c r="G12" s="112">
        <v>0.8</v>
      </c>
      <c r="H12" s="112">
        <v>0</v>
      </c>
      <c r="I12" s="112">
        <v>0</v>
      </c>
      <c r="J12" s="112">
        <v>0</v>
      </c>
      <c r="K12" s="112">
        <v>0.8</v>
      </c>
      <c r="L12" s="112">
        <v>0</v>
      </c>
      <c r="M12" s="112">
        <v>0.8</v>
      </c>
      <c r="N12" s="112">
        <v>0.8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0.8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  <c r="BF12" s="112">
        <v>0</v>
      </c>
      <c r="BG12" s="112">
        <v>0</v>
      </c>
      <c r="BH12" s="112">
        <v>0</v>
      </c>
      <c r="BI12" s="112">
        <v>0</v>
      </c>
      <c r="BJ12" s="112">
        <v>0</v>
      </c>
      <c r="BK12" s="112">
        <v>0</v>
      </c>
      <c r="BL12" s="112">
        <v>0</v>
      </c>
      <c r="BM12" s="112">
        <v>0</v>
      </c>
      <c r="BN12" s="112">
        <v>0</v>
      </c>
      <c r="BO12" s="112">
        <v>0</v>
      </c>
      <c r="BP12" s="112">
        <v>0</v>
      </c>
      <c r="BQ12" s="112">
        <v>0</v>
      </c>
      <c r="BR12" s="112">
        <v>0</v>
      </c>
      <c r="BS12" s="112">
        <v>0</v>
      </c>
    </row>
    <row r="13" spans="1:71" customFormat="1" x14ac:dyDescent="0.15">
      <c r="A13" s="189" t="s">
        <v>204</v>
      </c>
      <c r="B13" s="112">
        <v>0.8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0.8</v>
      </c>
      <c r="L13" s="112">
        <v>0</v>
      </c>
      <c r="M13" s="112">
        <v>0</v>
      </c>
      <c r="N13" s="112">
        <v>0.8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  <c r="BJ13" s="112">
        <v>0</v>
      </c>
      <c r="BK13" s="112">
        <v>0</v>
      </c>
      <c r="BL13" s="112">
        <v>0</v>
      </c>
      <c r="BM13" s="112">
        <v>0</v>
      </c>
      <c r="BN13" s="112">
        <v>0</v>
      </c>
      <c r="BO13" s="112">
        <v>0</v>
      </c>
      <c r="BP13" s="112">
        <v>0</v>
      </c>
      <c r="BQ13" s="112">
        <v>0</v>
      </c>
      <c r="BR13" s="112">
        <v>0</v>
      </c>
      <c r="BS13" s="112">
        <v>0</v>
      </c>
    </row>
    <row r="14" spans="1:71" customFormat="1" x14ac:dyDescent="0.15">
      <c r="A14" s="189" t="s">
        <v>205</v>
      </c>
      <c r="B14" s="112">
        <v>0.8</v>
      </c>
      <c r="C14" s="112">
        <v>0.8</v>
      </c>
      <c r="D14" s="112">
        <v>0.8</v>
      </c>
      <c r="E14" s="112">
        <v>0</v>
      </c>
      <c r="F14" s="112">
        <v>0</v>
      </c>
      <c r="G14" s="112">
        <v>0.8</v>
      </c>
      <c r="H14" s="112">
        <v>0</v>
      </c>
      <c r="I14" s="112">
        <v>0</v>
      </c>
      <c r="J14" s="112">
        <v>0</v>
      </c>
      <c r="K14" s="112">
        <v>0.8</v>
      </c>
      <c r="L14" s="112">
        <v>0</v>
      </c>
      <c r="M14" s="112">
        <v>0</v>
      </c>
      <c r="N14" s="112">
        <v>0.8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0.8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0.8</v>
      </c>
      <c r="AG14" s="112">
        <v>0.8</v>
      </c>
      <c r="AH14" s="112">
        <v>0</v>
      </c>
      <c r="AI14" s="112">
        <v>0</v>
      </c>
      <c r="AJ14" s="112">
        <v>0.8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  <c r="BF14" s="112">
        <v>0</v>
      </c>
      <c r="BG14" s="112">
        <v>0</v>
      </c>
      <c r="BH14" s="112">
        <v>0</v>
      </c>
      <c r="BI14" s="112">
        <v>0</v>
      </c>
      <c r="BJ14" s="112">
        <v>0</v>
      </c>
      <c r="BK14" s="112">
        <v>0</v>
      </c>
      <c r="BL14" s="112">
        <v>0</v>
      </c>
      <c r="BM14" s="112">
        <v>0</v>
      </c>
      <c r="BN14" s="112">
        <v>0</v>
      </c>
      <c r="BO14" s="112">
        <v>0</v>
      </c>
      <c r="BP14" s="112">
        <v>0</v>
      </c>
      <c r="BQ14" s="112">
        <v>0</v>
      </c>
      <c r="BR14" s="112">
        <v>0</v>
      </c>
      <c r="BS14" s="112">
        <v>0</v>
      </c>
    </row>
    <row r="15" spans="1:71" customFormat="1" x14ac:dyDescent="0.15">
      <c r="A15" s="189" t="s">
        <v>206</v>
      </c>
      <c r="B15" s="112">
        <v>0</v>
      </c>
      <c r="C15" s="112">
        <v>0</v>
      </c>
      <c r="D15" s="112">
        <v>0.8</v>
      </c>
      <c r="E15" s="112">
        <v>0.8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0.8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0.8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0.8</v>
      </c>
      <c r="AE15" s="112">
        <v>0.8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0.8</v>
      </c>
      <c r="AM15" s="112">
        <v>0</v>
      </c>
      <c r="AN15" s="112">
        <v>0</v>
      </c>
      <c r="AO15" s="112">
        <v>0.8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0</v>
      </c>
      <c r="BH15" s="112">
        <v>0</v>
      </c>
      <c r="BI15" s="112">
        <v>0</v>
      </c>
      <c r="BJ15" s="112">
        <v>0</v>
      </c>
      <c r="BK15" s="112">
        <v>0</v>
      </c>
      <c r="BL15" s="112">
        <v>0</v>
      </c>
      <c r="BM15" s="112">
        <v>0</v>
      </c>
      <c r="BN15" s="112">
        <v>0</v>
      </c>
      <c r="BO15" s="112">
        <v>0</v>
      </c>
      <c r="BP15" s="112">
        <v>0</v>
      </c>
      <c r="BQ15" s="112">
        <v>0</v>
      </c>
      <c r="BR15" s="112">
        <v>0</v>
      </c>
      <c r="BS15" s="112">
        <v>0</v>
      </c>
    </row>
    <row r="16" spans="1:71" customFormat="1" x14ac:dyDescent="0.15">
      <c r="A16" s="189" t="s">
        <v>207</v>
      </c>
      <c r="B16" s="112">
        <v>0</v>
      </c>
      <c r="C16" s="112">
        <v>0</v>
      </c>
      <c r="D16" s="112">
        <v>0.8</v>
      </c>
      <c r="E16" s="112">
        <v>0.8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0.8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0.8</v>
      </c>
      <c r="AE16" s="112">
        <v>0</v>
      </c>
      <c r="AF16" s="112">
        <v>0</v>
      </c>
      <c r="AG16" s="112">
        <v>0</v>
      </c>
      <c r="AH16" s="112">
        <v>0.8</v>
      </c>
      <c r="AI16" s="112">
        <v>0</v>
      </c>
      <c r="AJ16" s="112">
        <v>0</v>
      </c>
      <c r="AK16" s="112">
        <v>0</v>
      </c>
      <c r="AL16" s="112">
        <v>0.8</v>
      </c>
      <c r="AM16" s="112">
        <v>0</v>
      </c>
      <c r="AN16" s="112">
        <v>0</v>
      </c>
      <c r="AO16" s="112">
        <v>0.8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  <c r="BF16" s="112">
        <v>0</v>
      </c>
      <c r="BG16" s="112">
        <v>0</v>
      </c>
      <c r="BH16" s="112">
        <v>0</v>
      </c>
      <c r="BI16" s="112">
        <v>0</v>
      </c>
      <c r="BJ16" s="112">
        <v>0</v>
      </c>
      <c r="BK16" s="112">
        <v>0</v>
      </c>
      <c r="BL16" s="112">
        <v>0</v>
      </c>
      <c r="BM16" s="112">
        <v>0</v>
      </c>
      <c r="BN16" s="112">
        <v>0</v>
      </c>
      <c r="BO16" s="112">
        <v>0</v>
      </c>
      <c r="BP16" s="112">
        <v>0</v>
      </c>
      <c r="BQ16" s="112">
        <v>0</v>
      </c>
      <c r="BR16" s="112">
        <v>0</v>
      </c>
      <c r="BS16" s="112">
        <v>0</v>
      </c>
    </row>
    <row r="17" spans="1:71" customFormat="1" x14ac:dyDescent="0.15">
      <c r="A17" s="189" t="s">
        <v>208</v>
      </c>
      <c r="B17" s="112">
        <v>0</v>
      </c>
      <c r="C17" s="112">
        <v>0</v>
      </c>
      <c r="D17" s="112">
        <v>0.8</v>
      </c>
      <c r="E17" s="112">
        <v>0.8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0.8</v>
      </c>
      <c r="L17" s="112">
        <v>0</v>
      </c>
      <c r="M17" s="112">
        <v>0</v>
      </c>
      <c r="N17" s="112">
        <v>0.8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0.8</v>
      </c>
      <c r="W17" s="112">
        <v>0</v>
      </c>
      <c r="X17" s="112">
        <v>0</v>
      </c>
      <c r="Y17" s="112">
        <v>0</v>
      </c>
      <c r="Z17" s="112">
        <v>0.8</v>
      </c>
      <c r="AA17" s="112">
        <v>0</v>
      </c>
      <c r="AB17" s="112">
        <v>0</v>
      </c>
      <c r="AC17" s="112">
        <v>0</v>
      </c>
      <c r="AD17" s="112">
        <v>0.8</v>
      </c>
      <c r="AE17" s="112">
        <v>0.8</v>
      </c>
      <c r="AF17" s="112">
        <v>0.8</v>
      </c>
      <c r="AG17" s="112">
        <v>0.8</v>
      </c>
      <c r="AH17" s="112">
        <v>0.8</v>
      </c>
      <c r="AI17" s="112">
        <v>0</v>
      </c>
      <c r="AJ17" s="112">
        <v>0.8</v>
      </c>
      <c r="AK17" s="112">
        <v>0</v>
      </c>
      <c r="AL17" s="112">
        <v>0.8</v>
      </c>
      <c r="AM17" s="112">
        <v>0</v>
      </c>
      <c r="AN17" s="112">
        <v>0</v>
      </c>
      <c r="AO17" s="112">
        <v>0.8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  <c r="BF17" s="112">
        <v>0</v>
      </c>
      <c r="BG17" s="112">
        <v>0</v>
      </c>
      <c r="BH17" s="112">
        <v>0</v>
      </c>
      <c r="BI17" s="112">
        <v>0</v>
      </c>
      <c r="BJ17" s="112">
        <v>0</v>
      </c>
      <c r="BK17" s="112">
        <v>0</v>
      </c>
      <c r="BL17" s="112">
        <v>0</v>
      </c>
      <c r="BM17" s="112">
        <v>0</v>
      </c>
      <c r="BN17" s="112">
        <v>0</v>
      </c>
      <c r="BO17" s="112">
        <v>0</v>
      </c>
      <c r="BP17" s="112">
        <v>0</v>
      </c>
      <c r="BQ17" s="112">
        <v>0</v>
      </c>
      <c r="BR17" s="112">
        <v>0</v>
      </c>
      <c r="BS17" s="112">
        <v>0</v>
      </c>
    </row>
    <row r="18" spans="1:71" customFormat="1" x14ac:dyDescent="0.15">
      <c r="A18" s="189" t="s">
        <v>209</v>
      </c>
      <c r="B18" s="112">
        <v>0</v>
      </c>
      <c r="C18" s="112">
        <v>0</v>
      </c>
      <c r="D18" s="112">
        <v>0.8</v>
      </c>
      <c r="E18" s="112">
        <v>0.8</v>
      </c>
      <c r="F18" s="112">
        <v>0</v>
      </c>
      <c r="G18" s="112">
        <v>0.8</v>
      </c>
      <c r="H18" s="112">
        <v>0</v>
      </c>
      <c r="I18" s="112">
        <v>0</v>
      </c>
      <c r="J18" s="112">
        <v>0</v>
      </c>
      <c r="K18" s="112">
        <v>0.8</v>
      </c>
      <c r="L18" s="112">
        <v>0</v>
      </c>
      <c r="M18" s="112">
        <v>0</v>
      </c>
      <c r="N18" s="112">
        <v>0.8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0.8</v>
      </c>
      <c r="W18" s="112">
        <v>0</v>
      </c>
      <c r="X18" s="112">
        <v>0</v>
      </c>
      <c r="Y18" s="112">
        <v>0</v>
      </c>
      <c r="Z18" s="112">
        <v>0.8</v>
      </c>
      <c r="AA18" s="112">
        <v>0</v>
      </c>
      <c r="AB18" s="112">
        <v>0</v>
      </c>
      <c r="AC18" s="112">
        <v>0</v>
      </c>
      <c r="AD18" s="112">
        <v>0.8</v>
      </c>
      <c r="AE18" s="112">
        <v>0.8</v>
      </c>
      <c r="AF18" s="112">
        <v>0.8</v>
      </c>
      <c r="AG18" s="112">
        <v>0</v>
      </c>
      <c r="AH18" s="112">
        <v>0.8</v>
      </c>
      <c r="AI18" s="112">
        <v>0</v>
      </c>
      <c r="AJ18" s="112">
        <v>0</v>
      </c>
      <c r="AK18" s="112">
        <v>0</v>
      </c>
      <c r="AL18" s="112">
        <v>0.8</v>
      </c>
      <c r="AM18" s="112">
        <v>0</v>
      </c>
      <c r="AN18" s="112">
        <v>0</v>
      </c>
      <c r="AO18" s="112">
        <v>0.8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  <c r="BF18" s="112">
        <v>0</v>
      </c>
      <c r="BG18" s="112">
        <v>0</v>
      </c>
      <c r="BH18" s="112">
        <v>0</v>
      </c>
      <c r="BI18" s="112">
        <v>0</v>
      </c>
      <c r="BJ18" s="112">
        <v>0</v>
      </c>
      <c r="BK18" s="112">
        <v>0</v>
      </c>
      <c r="BL18" s="112">
        <v>0</v>
      </c>
      <c r="BM18" s="112">
        <v>0</v>
      </c>
      <c r="BN18" s="112">
        <v>0</v>
      </c>
      <c r="BO18" s="112">
        <v>0</v>
      </c>
      <c r="BP18" s="112">
        <v>0</v>
      </c>
      <c r="BQ18" s="112">
        <v>0</v>
      </c>
      <c r="BR18" s="112">
        <v>0</v>
      </c>
      <c r="BS18" s="112">
        <v>0</v>
      </c>
    </row>
    <row r="19" spans="1:71" customFormat="1" x14ac:dyDescent="0.15">
      <c r="A19" s="189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0.8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  <c r="BF19" s="112">
        <v>0</v>
      </c>
      <c r="BG19" s="112">
        <v>0</v>
      </c>
      <c r="BH19" s="112">
        <v>0</v>
      </c>
      <c r="BI19" s="112">
        <v>0</v>
      </c>
      <c r="BJ19" s="112">
        <v>0</v>
      </c>
      <c r="BK19" s="112">
        <v>0</v>
      </c>
      <c r="BL19" s="112">
        <v>0</v>
      </c>
      <c r="BM19" s="112">
        <v>0</v>
      </c>
      <c r="BN19" s="112">
        <v>0</v>
      </c>
      <c r="BO19" s="112">
        <v>0</v>
      </c>
      <c r="BP19" s="112">
        <v>0</v>
      </c>
      <c r="BQ19" s="112">
        <v>0</v>
      </c>
      <c r="BR19" s="112">
        <v>0</v>
      </c>
      <c r="BS19" s="112">
        <v>0</v>
      </c>
    </row>
    <row r="20" spans="1:71" customFormat="1" x14ac:dyDescent="0.15">
      <c r="A20" s="189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0.8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0.8</v>
      </c>
      <c r="AC20" s="112">
        <v>0</v>
      </c>
      <c r="AD20" s="112">
        <v>0.8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0.8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  <c r="BF20" s="112">
        <v>0</v>
      </c>
      <c r="BG20" s="112">
        <v>0</v>
      </c>
      <c r="BH20" s="112">
        <v>0</v>
      </c>
      <c r="BI20" s="112">
        <v>0</v>
      </c>
      <c r="BJ20" s="112">
        <v>0</v>
      </c>
      <c r="BK20" s="112">
        <v>0</v>
      </c>
      <c r="BL20" s="112">
        <v>0</v>
      </c>
      <c r="BM20" s="112">
        <v>0</v>
      </c>
      <c r="BN20" s="112">
        <v>0</v>
      </c>
      <c r="BO20" s="112">
        <v>0</v>
      </c>
      <c r="BP20" s="112">
        <v>0</v>
      </c>
      <c r="BQ20" s="112">
        <v>0</v>
      </c>
      <c r="BR20" s="112">
        <v>0</v>
      </c>
      <c r="BS20" s="112">
        <v>0</v>
      </c>
    </row>
    <row r="21" spans="1:71" customFormat="1" x14ac:dyDescent="0.15">
      <c r="A21" s="189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0.8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  <c r="BF21" s="112">
        <v>0</v>
      </c>
      <c r="BG21" s="112">
        <v>0</v>
      </c>
      <c r="BH21" s="112">
        <v>0</v>
      </c>
      <c r="BI21" s="112">
        <v>0</v>
      </c>
      <c r="BJ21" s="112">
        <v>0</v>
      </c>
      <c r="BK21" s="112">
        <v>0</v>
      </c>
      <c r="BL21" s="112">
        <v>0</v>
      </c>
      <c r="BM21" s="112">
        <v>0</v>
      </c>
      <c r="BN21" s="112">
        <v>0</v>
      </c>
      <c r="BO21" s="112">
        <v>0</v>
      </c>
      <c r="BP21" s="112">
        <v>0</v>
      </c>
      <c r="BQ21" s="112">
        <v>0</v>
      </c>
      <c r="BR21" s="112">
        <v>0</v>
      </c>
      <c r="BS21" s="112">
        <v>0</v>
      </c>
    </row>
    <row r="22" spans="1:71" customFormat="1" x14ac:dyDescent="0.15">
      <c r="A22" s="189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0.8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  <c r="BF22" s="112">
        <v>0</v>
      </c>
      <c r="BG22" s="112">
        <v>0</v>
      </c>
      <c r="BH22" s="112">
        <v>0</v>
      </c>
      <c r="BI22" s="112">
        <v>0</v>
      </c>
      <c r="BJ22" s="112">
        <v>0</v>
      </c>
      <c r="BK22" s="112">
        <v>0</v>
      </c>
      <c r="BL22" s="112">
        <v>0</v>
      </c>
      <c r="BM22" s="112">
        <v>0</v>
      </c>
      <c r="BN22" s="112">
        <v>0</v>
      </c>
      <c r="BO22" s="112">
        <v>0</v>
      </c>
      <c r="BP22" s="112">
        <v>0</v>
      </c>
      <c r="BQ22" s="112">
        <v>0</v>
      </c>
      <c r="BR22" s="112">
        <v>0</v>
      </c>
      <c r="BS22" s="112">
        <v>0</v>
      </c>
    </row>
    <row r="23" spans="1:71" customFormat="1" x14ac:dyDescent="0.15">
      <c r="A23" s="189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0.8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0.8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  <c r="BF23" s="112">
        <v>0</v>
      </c>
      <c r="BG23" s="112">
        <v>0</v>
      </c>
      <c r="BH23" s="112">
        <v>0</v>
      </c>
      <c r="BI23" s="112">
        <v>0</v>
      </c>
      <c r="BJ23" s="112">
        <v>0</v>
      </c>
      <c r="BK23" s="112">
        <v>0</v>
      </c>
      <c r="BL23" s="112">
        <v>0</v>
      </c>
      <c r="BM23" s="112">
        <v>0</v>
      </c>
      <c r="BN23" s="112">
        <v>0</v>
      </c>
      <c r="BO23" s="112">
        <v>0</v>
      </c>
      <c r="BP23" s="112">
        <v>0</v>
      </c>
      <c r="BQ23" s="112">
        <v>0</v>
      </c>
      <c r="BR23" s="112">
        <v>0</v>
      </c>
      <c r="BS23" s="112">
        <v>0</v>
      </c>
    </row>
    <row r="24" spans="1:71" customFormat="1" x14ac:dyDescent="0.15">
      <c r="A24" s="189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0.8</v>
      </c>
      <c r="J24" s="112">
        <v>0</v>
      </c>
      <c r="K24" s="112">
        <v>0.8</v>
      </c>
      <c r="L24" s="112">
        <v>0</v>
      </c>
      <c r="M24" s="112">
        <v>0</v>
      </c>
      <c r="N24" s="112">
        <v>0.8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0.8</v>
      </c>
      <c r="V24" s="112">
        <v>0.8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0.8</v>
      </c>
      <c r="AC24" s="112">
        <v>0</v>
      </c>
      <c r="AD24" s="112">
        <v>0.8</v>
      </c>
      <c r="AE24" s="112">
        <v>0</v>
      </c>
      <c r="AF24" s="112">
        <v>0.8</v>
      </c>
      <c r="AG24" s="112">
        <v>0.8</v>
      </c>
      <c r="AH24" s="112">
        <v>0</v>
      </c>
      <c r="AI24" s="112">
        <v>0</v>
      </c>
      <c r="AJ24" s="112">
        <v>0.8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  <c r="BF24" s="112">
        <v>0</v>
      </c>
      <c r="BG24" s="112">
        <v>0</v>
      </c>
      <c r="BH24" s="112">
        <v>0</v>
      </c>
      <c r="BI24" s="112">
        <v>0</v>
      </c>
      <c r="BJ24" s="112">
        <v>0</v>
      </c>
      <c r="BK24" s="112">
        <v>0</v>
      </c>
      <c r="BL24" s="112">
        <v>0</v>
      </c>
      <c r="BM24" s="112">
        <v>0</v>
      </c>
      <c r="BN24" s="112">
        <v>0</v>
      </c>
      <c r="BO24" s="112">
        <v>0</v>
      </c>
      <c r="BP24" s="112">
        <v>0</v>
      </c>
      <c r="BQ24" s="112">
        <v>0</v>
      </c>
      <c r="BR24" s="112">
        <v>0</v>
      </c>
      <c r="BS24" s="112">
        <v>0</v>
      </c>
    </row>
    <row r="25" spans="1:71" customFormat="1" x14ac:dyDescent="0.15">
      <c r="A25" s="189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0.8</v>
      </c>
      <c r="J25" s="112">
        <v>0</v>
      </c>
      <c r="K25" s="112">
        <v>0.8</v>
      </c>
      <c r="L25" s="112">
        <v>0</v>
      </c>
      <c r="M25" s="112">
        <v>0</v>
      </c>
      <c r="N25" s="112">
        <v>0.8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0.8</v>
      </c>
      <c r="AG25" s="112">
        <v>0.8</v>
      </c>
      <c r="AH25" s="112">
        <v>0</v>
      </c>
      <c r="AI25" s="112">
        <v>0</v>
      </c>
      <c r="AJ25" s="112">
        <v>0.8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  <c r="BF25" s="112">
        <v>0</v>
      </c>
      <c r="BG25" s="112">
        <v>0</v>
      </c>
      <c r="BH25" s="112">
        <v>0</v>
      </c>
      <c r="BI25" s="112">
        <v>0</v>
      </c>
      <c r="BJ25" s="112">
        <v>0</v>
      </c>
      <c r="BK25" s="112">
        <v>0</v>
      </c>
      <c r="BL25" s="112">
        <v>0</v>
      </c>
      <c r="BM25" s="112">
        <v>0</v>
      </c>
      <c r="BN25" s="112">
        <v>0</v>
      </c>
      <c r="BO25" s="112">
        <v>0</v>
      </c>
      <c r="BP25" s="112">
        <v>0</v>
      </c>
      <c r="BQ25" s="112">
        <v>0</v>
      </c>
      <c r="BR25" s="112">
        <v>0</v>
      </c>
      <c r="BS25" s="112">
        <v>0</v>
      </c>
    </row>
    <row r="26" spans="1:71" customFormat="1" x14ac:dyDescent="0.15">
      <c r="A26" s="189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0.8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  <c r="BF26" s="112">
        <v>0</v>
      </c>
      <c r="BG26" s="112">
        <v>0</v>
      </c>
      <c r="BH26" s="112">
        <v>0</v>
      </c>
      <c r="BI26" s="112">
        <v>0</v>
      </c>
      <c r="BJ26" s="112">
        <v>0</v>
      </c>
      <c r="BK26" s="112">
        <v>0</v>
      </c>
      <c r="BL26" s="112">
        <v>0</v>
      </c>
      <c r="BM26" s="112">
        <v>0</v>
      </c>
      <c r="BN26" s="112">
        <v>0</v>
      </c>
      <c r="BO26" s="112">
        <v>0</v>
      </c>
      <c r="BP26" s="112">
        <v>0</v>
      </c>
      <c r="BQ26" s="112">
        <v>0</v>
      </c>
      <c r="BR26" s="112">
        <v>0</v>
      </c>
      <c r="BS26" s="112">
        <v>0</v>
      </c>
    </row>
    <row r="27" spans="1:71" customFormat="1" x14ac:dyDescent="0.15">
      <c r="A27" s="189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0.8</v>
      </c>
      <c r="J27" s="112">
        <v>0</v>
      </c>
      <c r="K27" s="112">
        <v>0.8</v>
      </c>
      <c r="L27" s="112">
        <v>0</v>
      </c>
      <c r="M27" s="112">
        <v>0</v>
      </c>
      <c r="N27" s="112">
        <v>0.8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0.8</v>
      </c>
      <c r="V27" s="112">
        <v>0.8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0.8</v>
      </c>
      <c r="AC27" s="112">
        <v>0</v>
      </c>
      <c r="AD27" s="112">
        <v>0.8</v>
      </c>
      <c r="AE27" s="112">
        <v>0</v>
      </c>
      <c r="AF27" s="112">
        <v>0.8</v>
      </c>
      <c r="AG27" s="112">
        <v>0.8</v>
      </c>
      <c r="AH27" s="112">
        <v>0</v>
      </c>
      <c r="AI27" s="112">
        <v>0</v>
      </c>
      <c r="AJ27" s="112">
        <v>0.8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  <c r="BJ27" s="112">
        <v>0</v>
      </c>
      <c r="BK27" s="112">
        <v>0</v>
      </c>
      <c r="BL27" s="112">
        <v>0</v>
      </c>
      <c r="BM27" s="112">
        <v>0</v>
      </c>
      <c r="BN27" s="112">
        <v>0</v>
      </c>
      <c r="BO27" s="112">
        <v>0</v>
      </c>
      <c r="BP27" s="112">
        <v>0</v>
      </c>
      <c r="BQ27" s="112">
        <v>0</v>
      </c>
      <c r="BR27" s="112">
        <v>0</v>
      </c>
      <c r="BS27" s="112">
        <v>0</v>
      </c>
    </row>
    <row r="28" spans="1:71" customFormat="1" x14ac:dyDescent="0.15">
      <c r="A28" s="189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0.8</v>
      </c>
      <c r="J28" s="112">
        <v>0</v>
      </c>
      <c r="K28" s="112">
        <v>0.8</v>
      </c>
      <c r="L28" s="112">
        <v>0</v>
      </c>
      <c r="M28" s="112">
        <v>0</v>
      </c>
      <c r="N28" s="112">
        <v>0.8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0.8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0.8</v>
      </c>
      <c r="AG28" s="112">
        <v>0.8</v>
      </c>
      <c r="AH28" s="112">
        <v>0</v>
      </c>
      <c r="AI28" s="112">
        <v>0</v>
      </c>
      <c r="AJ28" s="112">
        <v>0.8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  <c r="BJ28" s="112">
        <v>0</v>
      </c>
      <c r="BK28" s="112">
        <v>0</v>
      </c>
      <c r="BL28" s="112">
        <v>0</v>
      </c>
      <c r="BM28" s="112">
        <v>0</v>
      </c>
      <c r="BN28" s="112">
        <v>0</v>
      </c>
      <c r="BO28" s="112">
        <v>0</v>
      </c>
      <c r="BP28" s="112">
        <v>0</v>
      </c>
      <c r="BQ28" s="112">
        <v>0</v>
      </c>
      <c r="BR28" s="112">
        <v>0</v>
      </c>
      <c r="BS28" s="112">
        <v>0</v>
      </c>
    </row>
    <row r="29" spans="1:71" customFormat="1" x14ac:dyDescent="0.15">
      <c r="A29" s="189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0.8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  <c r="BJ29" s="112">
        <v>0</v>
      </c>
      <c r="BK29" s="112">
        <v>0</v>
      </c>
      <c r="BL29" s="112">
        <v>0</v>
      </c>
      <c r="BM29" s="112">
        <v>0</v>
      </c>
      <c r="BN29" s="112">
        <v>0</v>
      </c>
      <c r="BO29" s="112">
        <v>0</v>
      </c>
      <c r="BP29" s="112">
        <v>0</v>
      </c>
      <c r="BQ29" s="112">
        <v>0</v>
      </c>
      <c r="BR29" s="112">
        <v>0</v>
      </c>
      <c r="BS29" s="112">
        <v>0</v>
      </c>
    </row>
    <row r="30" spans="1:71" customFormat="1" x14ac:dyDescent="0.15">
      <c r="A30" s="189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0.8</v>
      </c>
      <c r="J30" s="112">
        <v>0</v>
      </c>
      <c r="K30" s="112">
        <v>0.8</v>
      </c>
      <c r="L30" s="112">
        <v>0</v>
      </c>
      <c r="M30" s="112">
        <v>0</v>
      </c>
      <c r="N30" s="112">
        <v>0.8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0.8</v>
      </c>
      <c r="V30" s="112">
        <v>0.8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0.8</v>
      </c>
      <c r="AC30" s="112">
        <v>0</v>
      </c>
      <c r="AD30" s="112">
        <v>0</v>
      </c>
      <c r="AE30" s="112">
        <v>0</v>
      </c>
      <c r="AF30" s="112">
        <v>0.8</v>
      </c>
      <c r="AG30" s="112">
        <v>0.8</v>
      </c>
      <c r="AH30" s="112">
        <v>0</v>
      </c>
      <c r="AI30" s="112">
        <v>0</v>
      </c>
      <c r="AJ30" s="112">
        <v>0.8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  <c r="BJ30" s="112">
        <v>0</v>
      </c>
      <c r="BK30" s="112">
        <v>0</v>
      </c>
      <c r="BL30" s="112">
        <v>0</v>
      </c>
      <c r="BM30" s="112">
        <v>0</v>
      </c>
      <c r="BN30" s="112">
        <v>0</v>
      </c>
      <c r="BO30" s="112">
        <v>0</v>
      </c>
      <c r="BP30" s="112">
        <v>0</v>
      </c>
      <c r="BQ30" s="112">
        <v>0</v>
      </c>
      <c r="BR30" s="112">
        <v>0</v>
      </c>
      <c r="BS30" s="112">
        <v>0</v>
      </c>
    </row>
    <row r="31" spans="1:71" customFormat="1" x14ac:dyDescent="0.15">
      <c r="A31" s="189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0.8</v>
      </c>
      <c r="J31" s="112">
        <v>0</v>
      </c>
      <c r="K31" s="112">
        <v>0.8</v>
      </c>
      <c r="L31" s="112">
        <v>0</v>
      </c>
      <c r="M31" s="112">
        <v>0</v>
      </c>
      <c r="N31" s="112">
        <v>0.8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0.8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0.8</v>
      </c>
      <c r="AG31" s="112">
        <v>0.8</v>
      </c>
      <c r="AH31" s="112">
        <v>0</v>
      </c>
      <c r="AI31" s="112">
        <v>0</v>
      </c>
      <c r="AJ31" s="112">
        <v>0.8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  <c r="BJ31" s="112">
        <v>0</v>
      </c>
      <c r="BK31" s="112">
        <v>0</v>
      </c>
      <c r="BL31" s="112">
        <v>0</v>
      </c>
      <c r="BM31" s="112">
        <v>0</v>
      </c>
      <c r="BN31" s="112">
        <v>0</v>
      </c>
      <c r="BO31" s="112">
        <v>0</v>
      </c>
      <c r="BP31" s="112">
        <v>0</v>
      </c>
      <c r="BQ31" s="112">
        <v>0</v>
      </c>
      <c r="BR31" s="112">
        <v>0</v>
      </c>
      <c r="BS31" s="112">
        <v>0</v>
      </c>
    </row>
    <row r="32" spans="1:71" customFormat="1" x14ac:dyDescent="0.15">
      <c r="A32" s="189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0.8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  <c r="BJ32" s="112">
        <v>0</v>
      </c>
      <c r="BK32" s="112">
        <v>0</v>
      </c>
      <c r="BL32" s="112">
        <v>0</v>
      </c>
      <c r="BM32" s="112">
        <v>0</v>
      </c>
      <c r="BN32" s="112">
        <v>0</v>
      </c>
      <c r="BO32" s="112">
        <v>0</v>
      </c>
      <c r="BP32" s="112">
        <v>0</v>
      </c>
      <c r="BQ32" s="112">
        <v>0</v>
      </c>
      <c r="BR32" s="112">
        <v>0</v>
      </c>
      <c r="BS32" s="112">
        <v>0</v>
      </c>
    </row>
    <row r="33" spans="1:71" x14ac:dyDescent="0.15">
      <c r="A33" s="189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0.8</v>
      </c>
      <c r="H33" s="112">
        <v>0</v>
      </c>
      <c r="I33" s="112">
        <v>0.8</v>
      </c>
      <c r="J33" s="112">
        <v>0</v>
      </c>
      <c r="K33" s="112">
        <v>0.8</v>
      </c>
      <c r="L33" s="112">
        <v>0</v>
      </c>
      <c r="M33" s="112">
        <v>0</v>
      </c>
      <c r="N33" s="112">
        <v>0.8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0.8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0.8</v>
      </c>
      <c r="AG33" s="112">
        <v>0.8</v>
      </c>
      <c r="AH33" s="112">
        <v>0</v>
      </c>
      <c r="AI33" s="112">
        <v>0</v>
      </c>
      <c r="AJ33" s="112">
        <v>0.8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  <c r="BJ33" s="112">
        <v>0</v>
      </c>
      <c r="BK33" s="112">
        <v>0</v>
      </c>
      <c r="BL33" s="112">
        <v>0</v>
      </c>
      <c r="BM33" s="112">
        <v>0</v>
      </c>
      <c r="BN33" s="112">
        <v>0</v>
      </c>
      <c r="BO33" s="112">
        <v>0</v>
      </c>
      <c r="BP33" s="112">
        <v>0</v>
      </c>
      <c r="BQ33" s="112">
        <v>0</v>
      </c>
      <c r="BR33" s="112">
        <v>0</v>
      </c>
      <c r="BS33" s="112">
        <v>0</v>
      </c>
    </row>
    <row r="34" spans="1:71" x14ac:dyDescent="0.15">
      <c r="A34" s="189" t="s">
        <v>225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  <c r="BJ34" s="112">
        <v>0</v>
      </c>
      <c r="BK34" s="112">
        <v>0</v>
      </c>
      <c r="BL34" s="112">
        <v>0</v>
      </c>
      <c r="BM34" s="112">
        <v>0</v>
      </c>
      <c r="BN34" s="112">
        <v>0</v>
      </c>
      <c r="BO34" s="112">
        <v>0</v>
      </c>
      <c r="BP34" s="112">
        <v>0</v>
      </c>
      <c r="BQ34" s="112">
        <v>0</v>
      </c>
      <c r="BR34" s="112">
        <v>0</v>
      </c>
      <c r="BS34" s="112">
        <v>0</v>
      </c>
    </row>
    <row r="35" spans="1:71" x14ac:dyDescent="0.15">
      <c r="A35" s="189" t="s">
        <v>226</v>
      </c>
      <c r="B35" s="112">
        <v>0</v>
      </c>
      <c r="C35" s="112">
        <v>0</v>
      </c>
      <c r="D35" s="112">
        <v>0.8</v>
      </c>
      <c r="E35" s="112">
        <v>0</v>
      </c>
      <c r="F35" s="112">
        <v>0</v>
      </c>
      <c r="G35" s="112">
        <v>0.8</v>
      </c>
      <c r="H35" s="112">
        <v>0</v>
      </c>
      <c r="I35" s="112">
        <v>0</v>
      </c>
      <c r="J35" s="112">
        <v>0</v>
      </c>
      <c r="K35" s="112">
        <v>0.8</v>
      </c>
      <c r="L35" s="112">
        <v>0</v>
      </c>
      <c r="M35" s="112">
        <v>0</v>
      </c>
      <c r="N35" s="112">
        <v>0.8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0.8</v>
      </c>
      <c r="AK35" s="112">
        <v>0.8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  <c r="BJ35" s="112">
        <v>0</v>
      </c>
      <c r="BK35" s="112">
        <v>0</v>
      </c>
      <c r="BL35" s="112">
        <v>0</v>
      </c>
      <c r="BM35" s="112">
        <v>0</v>
      </c>
      <c r="BN35" s="112">
        <v>0</v>
      </c>
      <c r="BO35" s="112">
        <v>0</v>
      </c>
      <c r="BP35" s="112">
        <v>0</v>
      </c>
      <c r="BQ35" s="112">
        <v>0</v>
      </c>
      <c r="BR35" s="112">
        <v>0</v>
      </c>
      <c r="BS35" s="112">
        <v>0</v>
      </c>
    </row>
    <row r="36" spans="1:71" x14ac:dyDescent="0.15">
      <c r="A36" s="189" t="s">
        <v>227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0.8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0.8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  <c r="BF36" s="112">
        <v>0</v>
      </c>
      <c r="BG36" s="112">
        <v>0</v>
      </c>
      <c r="BH36" s="112">
        <v>0</v>
      </c>
      <c r="BI36" s="112">
        <v>0</v>
      </c>
      <c r="BJ36" s="112">
        <v>0</v>
      </c>
      <c r="BK36" s="112">
        <v>0</v>
      </c>
      <c r="BL36" s="112">
        <v>0</v>
      </c>
      <c r="BM36" s="112">
        <v>0</v>
      </c>
      <c r="BN36" s="112">
        <v>0</v>
      </c>
      <c r="BO36" s="112">
        <v>0</v>
      </c>
      <c r="BP36" s="112">
        <v>0</v>
      </c>
      <c r="BQ36" s="112">
        <v>0</v>
      </c>
      <c r="BR36" s="112">
        <v>0</v>
      </c>
      <c r="BS36" s="112">
        <v>0</v>
      </c>
    </row>
    <row r="37" spans="1:71" x14ac:dyDescent="0.15">
      <c r="A37" s="189" t="s">
        <v>228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0.8</v>
      </c>
      <c r="H37" s="112">
        <v>0</v>
      </c>
      <c r="I37" s="112">
        <v>0.8</v>
      </c>
      <c r="J37" s="112">
        <v>0</v>
      </c>
      <c r="K37" s="112">
        <v>0</v>
      </c>
      <c r="L37" s="112">
        <v>0</v>
      </c>
      <c r="M37" s="112">
        <v>0</v>
      </c>
      <c r="N37" s="112">
        <v>0.8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0.8</v>
      </c>
      <c r="V37" s="112">
        <v>0</v>
      </c>
      <c r="W37" s="112">
        <v>0</v>
      </c>
      <c r="X37" s="112">
        <v>0</v>
      </c>
      <c r="Y37" s="112">
        <v>0.8</v>
      </c>
      <c r="Z37" s="112">
        <v>0.8</v>
      </c>
      <c r="AA37" s="112">
        <v>0</v>
      </c>
      <c r="AB37" s="112">
        <v>0</v>
      </c>
      <c r="AC37" s="112">
        <v>0.8</v>
      </c>
      <c r="AD37" s="112">
        <v>0</v>
      </c>
      <c r="AE37" s="112">
        <v>0</v>
      </c>
      <c r="AF37" s="112">
        <v>0.8</v>
      </c>
      <c r="AG37" s="112">
        <v>0.8</v>
      </c>
      <c r="AH37" s="112">
        <v>0</v>
      </c>
      <c r="AI37" s="112">
        <v>0</v>
      </c>
      <c r="AJ37" s="112">
        <v>0.8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  <c r="BF37" s="112">
        <v>0</v>
      </c>
      <c r="BG37" s="112">
        <v>0</v>
      </c>
      <c r="BH37" s="112">
        <v>0</v>
      </c>
      <c r="BI37" s="112">
        <v>0</v>
      </c>
      <c r="BJ37" s="112">
        <v>0</v>
      </c>
      <c r="BK37" s="112">
        <v>0</v>
      </c>
      <c r="BL37" s="112">
        <v>0</v>
      </c>
      <c r="BM37" s="112">
        <v>0</v>
      </c>
      <c r="BN37" s="112">
        <v>0</v>
      </c>
      <c r="BO37" s="112">
        <v>0</v>
      </c>
      <c r="BP37" s="112">
        <v>0</v>
      </c>
      <c r="BQ37" s="112">
        <v>0</v>
      </c>
      <c r="BR37" s="112">
        <v>0</v>
      </c>
      <c r="BS37" s="112">
        <v>0</v>
      </c>
    </row>
    <row r="38" spans="1:71" x14ac:dyDescent="0.15">
      <c r="A38" s="189" t="s">
        <v>229</v>
      </c>
      <c r="B38" s="112">
        <v>0.8</v>
      </c>
      <c r="C38" s="112">
        <v>0.8</v>
      </c>
      <c r="D38" s="112">
        <v>0.8</v>
      </c>
      <c r="E38" s="112">
        <v>0.8</v>
      </c>
      <c r="F38" s="112">
        <v>0.8</v>
      </c>
      <c r="G38" s="112">
        <v>0.8</v>
      </c>
      <c r="H38" s="112">
        <v>0</v>
      </c>
      <c r="I38" s="112">
        <v>0.8</v>
      </c>
      <c r="J38" s="112">
        <v>0.8</v>
      </c>
      <c r="K38" s="112">
        <v>0.8</v>
      </c>
      <c r="L38" s="112">
        <v>0</v>
      </c>
      <c r="M38" s="112">
        <v>0.8</v>
      </c>
      <c r="N38" s="112">
        <v>0.8</v>
      </c>
      <c r="O38" s="112">
        <v>0</v>
      </c>
      <c r="P38" s="112">
        <v>0.8</v>
      </c>
      <c r="Q38" s="112">
        <v>0</v>
      </c>
      <c r="R38" s="112">
        <v>0.8</v>
      </c>
      <c r="S38" s="112">
        <v>0.8</v>
      </c>
      <c r="T38" s="112">
        <v>0.8</v>
      </c>
      <c r="U38" s="112">
        <v>0.8</v>
      </c>
      <c r="V38" s="112">
        <v>0.8</v>
      </c>
      <c r="W38" s="112">
        <v>0.8</v>
      </c>
      <c r="X38" s="112">
        <v>0.8</v>
      </c>
      <c r="Y38" s="112">
        <v>0.8</v>
      </c>
      <c r="Z38" s="112">
        <v>0.8</v>
      </c>
      <c r="AA38" s="112">
        <v>0</v>
      </c>
      <c r="AB38" s="112">
        <v>0.8</v>
      </c>
      <c r="AC38" s="112">
        <v>0.8</v>
      </c>
      <c r="AD38" s="112">
        <v>0.8</v>
      </c>
      <c r="AE38" s="112">
        <v>0.8</v>
      </c>
      <c r="AF38" s="112">
        <v>0.8</v>
      </c>
      <c r="AG38" s="112">
        <v>0.8</v>
      </c>
      <c r="AH38" s="112">
        <v>0.8</v>
      </c>
      <c r="AI38" s="112">
        <v>0</v>
      </c>
      <c r="AJ38" s="112">
        <v>0.8</v>
      </c>
      <c r="AK38" s="112">
        <v>0.8</v>
      </c>
      <c r="AL38" s="112">
        <v>0.8</v>
      </c>
      <c r="AM38" s="112">
        <v>0</v>
      </c>
      <c r="AN38" s="112">
        <v>0</v>
      </c>
      <c r="AO38" s="112">
        <v>0</v>
      </c>
      <c r="AP38" s="112">
        <v>0.8</v>
      </c>
      <c r="AQ38" s="112">
        <v>0</v>
      </c>
      <c r="AR38" s="112">
        <v>0</v>
      </c>
      <c r="AS38" s="112">
        <v>0</v>
      </c>
      <c r="AT38" s="112">
        <v>0</v>
      </c>
      <c r="AU38" s="112">
        <v>0.8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  <c r="BF38" s="112">
        <v>0</v>
      </c>
      <c r="BG38" s="112">
        <v>0</v>
      </c>
      <c r="BH38" s="112">
        <v>0</v>
      </c>
      <c r="BI38" s="112">
        <v>0</v>
      </c>
      <c r="BJ38" s="112">
        <v>0</v>
      </c>
      <c r="BK38" s="112">
        <v>0</v>
      </c>
      <c r="BL38" s="112">
        <v>0</v>
      </c>
      <c r="BM38" s="112">
        <v>0</v>
      </c>
      <c r="BN38" s="112">
        <v>0</v>
      </c>
      <c r="BO38" s="112">
        <v>0</v>
      </c>
      <c r="BP38" s="112">
        <v>0</v>
      </c>
      <c r="BQ38" s="112">
        <v>0</v>
      </c>
      <c r="BR38" s="112">
        <v>0</v>
      </c>
      <c r="BS38" s="112">
        <v>0</v>
      </c>
    </row>
    <row r="39" spans="1:71" x14ac:dyDescent="0.15">
      <c r="A39" s="189" t="s">
        <v>230</v>
      </c>
      <c r="B39" s="112">
        <v>0</v>
      </c>
      <c r="C39" s="112">
        <v>0</v>
      </c>
      <c r="D39" s="112">
        <v>0.8</v>
      </c>
      <c r="E39" s="112">
        <v>0</v>
      </c>
      <c r="F39" s="112">
        <v>0</v>
      </c>
      <c r="G39" s="112">
        <v>0.8</v>
      </c>
      <c r="H39" s="112">
        <v>0</v>
      </c>
      <c r="I39" s="112">
        <v>0.8</v>
      </c>
      <c r="J39" s="112">
        <v>0</v>
      </c>
      <c r="K39" s="112">
        <v>0.8</v>
      </c>
      <c r="L39" s="112">
        <v>0</v>
      </c>
      <c r="M39" s="112">
        <v>0.8</v>
      </c>
      <c r="N39" s="112">
        <v>0.8</v>
      </c>
      <c r="O39" s="112">
        <v>0.8</v>
      </c>
      <c r="P39" s="112">
        <v>0.8</v>
      </c>
      <c r="Q39" s="112">
        <v>0</v>
      </c>
      <c r="R39" s="112">
        <v>0.8</v>
      </c>
      <c r="S39" s="112">
        <v>0</v>
      </c>
      <c r="T39" s="112">
        <v>0.8</v>
      </c>
      <c r="U39" s="112">
        <v>0.8</v>
      </c>
      <c r="V39" s="112">
        <v>0.8</v>
      </c>
      <c r="W39" s="112">
        <v>0</v>
      </c>
      <c r="X39" s="112">
        <v>0.8</v>
      </c>
      <c r="Y39" s="112">
        <v>0.8</v>
      </c>
      <c r="Z39" s="112">
        <v>0.8</v>
      </c>
      <c r="AA39" s="112">
        <v>0.8</v>
      </c>
      <c r="AB39" s="112">
        <v>0.8</v>
      </c>
      <c r="AC39" s="112">
        <v>0</v>
      </c>
      <c r="AD39" s="112">
        <v>0.8</v>
      </c>
      <c r="AE39" s="112">
        <v>0.8</v>
      </c>
      <c r="AF39" s="112">
        <v>0.8</v>
      </c>
      <c r="AG39" s="112">
        <v>0.8</v>
      </c>
      <c r="AH39" s="112">
        <v>0.8</v>
      </c>
      <c r="AI39" s="112">
        <v>0.8</v>
      </c>
      <c r="AJ39" s="112">
        <v>0.8</v>
      </c>
      <c r="AK39" s="112">
        <v>0.8</v>
      </c>
      <c r="AL39" s="112">
        <v>0.8</v>
      </c>
      <c r="AM39" s="112">
        <v>0</v>
      </c>
      <c r="AN39" s="112">
        <v>0.8</v>
      </c>
      <c r="AO39" s="112">
        <v>0.8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0.8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  <c r="BF39" s="112">
        <v>0</v>
      </c>
      <c r="BG39" s="112">
        <v>0</v>
      </c>
      <c r="BH39" s="112">
        <v>0</v>
      </c>
      <c r="BI39" s="112">
        <v>0</v>
      </c>
      <c r="BJ39" s="112">
        <v>0</v>
      </c>
      <c r="BK39" s="112">
        <v>0</v>
      </c>
      <c r="BL39" s="112">
        <v>0</v>
      </c>
      <c r="BM39" s="112">
        <v>0</v>
      </c>
      <c r="BN39" s="112">
        <v>0</v>
      </c>
      <c r="BO39" s="112">
        <v>0</v>
      </c>
      <c r="BP39" s="112">
        <v>0</v>
      </c>
      <c r="BQ39" s="112">
        <v>0</v>
      </c>
      <c r="BR39" s="112">
        <v>0</v>
      </c>
      <c r="BS39" s="112">
        <v>0</v>
      </c>
    </row>
    <row r="40" spans="1:71" x14ac:dyDescent="0.15">
      <c r="A40" s="189" t="s">
        <v>231</v>
      </c>
      <c r="B40" s="112">
        <v>0.8</v>
      </c>
      <c r="C40" s="112">
        <v>0.8</v>
      </c>
      <c r="D40" s="112">
        <v>0.8</v>
      </c>
      <c r="E40" s="112">
        <v>0.8</v>
      </c>
      <c r="F40" s="112">
        <v>0.8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0.8</v>
      </c>
      <c r="N40" s="112">
        <v>0.8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0.8</v>
      </c>
      <c r="AO40" s="112">
        <v>0</v>
      </c>
      <c r="AP40" s="112">
        <v>0.8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  <c r="BF40" s="112">
        <v>0</v>
      </c>
      <c r="BG40" s="112">
        <v>0</v>
      </c>
      <c r="BH40" s="112">
        <v>0</v>
      </c>
      <c r="BI40" s="112">
        <v>0</v>
      </c>
      <c r="BJ40" s="112">
        <v>0</v>
      </c>
      <c r="BK40" s="112">
        <v>0</v>
      </c>
      <c r="BL40" s="112">
        <v>0</v>
      </c>
      <c r="BM40" s="112">
        <v>0</v>
      </c>
      <c r="BN40" s="112">
        <v>0</v>
      </c>
      <c r="BO40" s="112">
        <v>0</v>
      </c>
      <c r="BP40" s="112">
        <v>0</v>
      </c>
      <c r="BQ40" s="112">
        <v>0</v>
      </c>
      <c r="BR40" s="112">
        <v>0</v>
      </c>
      <c r="BS40" s="112">
        <v>0</v>
      </c>
    </row>
    <row r="41" spans="1:71" x14ac:dyDescent="0.15">
      <c r="A41" s="189" t="s">
        <v>232</v>
      </c>
      <c r="B41" s="112">
        <v>0.8</v>
      </c>
      <c r="C41" s="112">
        <v>0</v>
      </c>
      <c r="D41" s="112">
        <v>0.8</v>
      </c>
      <c r="E41" s="112">
        <v>0.8</v>
      </c>
      <c r="F41" s="112">
        <v>0.8</v>
      </c>
      <c r="G41" s="112">
        <v>0.8</v>
      </c>
      <c r="H41" s="112">
        <v>0</v>
      </c>
      <c r="I41" s="112">
        <v>0.8</v>
      </c>
      <c r="J41" s="112">
        <v>0</v>
      </c>
      <c r="K41" s="112">
        <v>0.8</v>
      </c>
      <c r="L41" s="112">
        <v>0</v>
      </c>
      <c r="M41" s="112">
        <v>0.8</v>
      </c>
      <c r="N41" s="112">
        <v>0.8</v>
      </c>
      <c r="O41" s="112">
        <v>0</v>
      </c>
      <c r="P41" s="112">
        <v>0</v>
      </c>
      <c r="Q41" s="112">
        <v>0</v>
      </c>
      <c r="R41" s="112">
        <v>0.8</v>
      </c>
      <c r="S41" s="112">
        <v>0</v>
      </c>
      <c r="T41" s="112">
        <v>0.8</v>
      </c>
      <c r="U41" s="112">
        <v>0.8</v>
      </c>
      <c r="V41" s="112">
        <v>0</v>
      </c>
      <c r="W41" s="112">
        <v>0</v>
      </c>
      <c r="X41" s="112">
        <v>0</v>
      </c>
      <c r="Y41" s="112">
        <v>0.8</v>
      </c>
      <c r="Z41" s="112">
        <v>0.8</v>
      </c>
      <c r="AA41" s="112">
        <v>0</v>
      </c>
      <c r="AB41" s="112">
        <v>0</v>
      </c>
      <c r="AC41" s="112">
        <v>0</v>
      </c>
      <c r="AD41" s="112">
        <v>0.8</v>
      </c>
      <c r="AE41" s="112">
        <v>0</v>
      </c>
      <c r="AF41" s="112">
        <v>0.8</v>
      </c>
      <c r="AG41" s="112">
        <v>0.8</v>
      </c>
      <c r="AH41" s="112">
        <v>0.8</v>
      </c>
      <c r="AI41" s="112">
        <v>0</v>
      </c>
      <c r="AJ41" s="112">
        <v>0.8</v>
      </c>
      <c r="AK41" s="112">
        <v>0</v>
      </c>
      <c r="AL41" s="112">
        <v>0</v>
      </c>
      <c r="AM41" s="112">
        <v>0</v>
      </c>
      <c r="AN41" s="112">
        <v>0.8</v>
      </c>
      <c r="AO41" s="112">
        <v>0.8</v>
      </c>
      <c r="AP41" s="112">
        <v>0.8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  <c r="BJ41" s="112">
        <v>0</v>
      </c>
      <c r="BK41" s="112">
        <v>0</v>
      </c>
      <c r="BL41" s="112">
        <v>0</v>
      </c>
      <c r="BM41" s="112">
        <v>0</v>
      </c>
      <c r="BN41" s="112">
        <v>0</v>
      </c>
      <c r="BO41" s="112">
        <v>0</v>
      </c>
      <c r="BP41" s="112">
        <v>0</v>
      </c>
      <c r="BQ41" s="112">
        <v>0</v>
      </c>
      <c r="BR41" s="112">
        <v>0</v>
      </c>
      <c r="BS41" s="112">
        <v>0</v>
      </c>
    </row>
    <row r="42" spans="1:71" x14ac:dyDescent="0.15">
      <c r="A42" s="189" t="s">
        <v>233</v>
      </c>
      <c r="B42" s="112">
        <v>0.8</v>
      </c>
      <c r="C42" s="112">
        <v>0.8</v>
      </c>
      <c r="D42" s="112">
        <v>0.8</v>
      </c>
      <c r="E42" s="112">
        <v>0.8</v>
      </c>
      <c r="F42" s="112">
        <v>0.8</v>
      </c>
      <c r="G42" s="112">
        <v>0.8</v>
      </c>
      <c r="H42" s="112">
        <v>0</v>
      </c>
      <c r="I42" s="112">
        <v>0.8</v>
      </c>
      <c r="J42" s="112">
        <v>0.8</v>
      </c>
      <c r="K42" s="112">
        <v>0.8</v>
      </c>
      <c r="L42" s="112">
        <v>0.8</v>
      </c>
      <c r="M42" s="112">
        <v>0.8</v>
      </c>
      <c r="N42" s="112">
        <v>0.8</v>
      </c>
      <c r="O42" s="112">
        <v>0.8</v>
      </c>
      <c r="P42" s="112">
        <v>0.8</v>
      </c>
      <c r="Q42" s="112">
        <v>0</v>
      </c>
      <c r="R42" s="112">
        <v>0.8</v>
      </c>
      <c r="S42" s="112">
        <v>0.8</v>
      </c>
      <c r="T42" s="112">
        <v>0.8</v>
      </c>
      <c r="U42" s="112">
        <v>0.8</v>
      </c>
      <c r="V42" s="112">
        <v>0.8</v>
      </c>
      <c r="W42" s="112">
        <v>0.8</v>
      </c>
      <c r="X42" s="112">
        <v>0.8</v>
      </c>
      <c r="Y42" s="112">
        <v>0.8</v>
      </c>
      <c r="Z42" s="112">
        <v>0.8</v>
      </c>
      <c r="AA42" s="112">
        <v>0.8</v>
      </c>
      <c r="AB42" s="112">
        <v>0.8</v>
      </c>
      <c r="AC42" s="112">
        <v>0.8</v>
      </c>
      <c r="AD42" s="112">
        <v>0.8</v>
      </c>
      <c r="AE42" s="112">
        <v>0.8</v>
      </c>
      <c r="AF42" s="112">
        <v>0.8</v>
      </c>
      <c r="AG42" s="112">
        <v>0.8</v>
      </c>
      <c r="AH42" s="112">
        <v>0.8</v>
      </c>
      <c r="AI42" s="112">
        <v>0</v>
      </c>
      <c r="AJ42" s="112">
        <v>0.8</v>
      </c>
      <c r="AK42" s="112">
        <v>0.8</v>
      </c>
      <c r="AL42" s="112">
        <v>0.8</v>
      </c>
      <c r="AM42" s="112">
        <v>0</v>
      </c>
      <c r="AN42" s="112">
        <v>0.8</v>
      </c>
      <c r="AO42" s="112">
        <v>0.8</v>
      </c>
      <c r="AP42" s="112">
        <v>0.8</v>
      </c>
      <c r="AQ42" s="112">
        <v>0</v>
      </c>
      <c r="AR42" s="112">
        <v>0</v>
      </c>
      <c r="AS42" s="112">
        <v>0</v>
      </c>
      <c r="AT42" s="112">
        <v>0</v>
      </c>
      <c r="AU42" s="112">
        <v>0.8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  <c r="BF42" s="112">
        <v>0</v>
      </c>
      <c r="BG42" s="112">
        <v>0</v>
      </c>
      <c r="BH42" s="112">
        <v>0</v>
      </c>
      <c r="BI42" s="112">
        <v>0</v>
      </c>
      <c r="BJ42" s="112">
        <v>0</v>
      </c>
      <c r="BK42" s="112">
        <v>0</v>
      </c>
      <c r="BL42" s="112">
        <v>0</v>
      </c>
      <c r="BM42" s="112">
        <v>0</v>
      </c>
      <c r="BN42" s="112">
        <v>0</v>
      </c>
      <c r="BO42" s="112">
        <v>0</v>
      </c>
      <c r="BP42" s="112">
        <v>0</v>
      </c>
      <c r="BQ42" s="112">
        <v>0</v>
      </c>
      <c r="BR42" s="112">
        <v>0</v>
      </c>
      <c r="BS42" s="112">
        <v>0</v>
      </c>
    </row>
    <row r="43" spans="1:71" x14ac:dyDescent="0.15">
      <c r="A43" s="189" t="s">
        <v>234</v>
      </c>
      <c r="B43" s="112">
        <v>0.8</v>
      </c>
      <c r="C43" s="112">
        <v>0.8</v>
      </c>
      <c r="D43" s="112">
        <v>0.8</v>
      </c>
      <c r="E43" s="112">
        <v>0.8</v>
      </c>
      <c r="F43" s="112">
        <v>0.8</v>
      </c>
      <c r="G43" s="112">
        <v>0.8</v>
      </c>
      <c r="H43" s="112">
        <v>0</v>
      </c>
      <c r="I43" s="112">
        <v>0.8</v>
      </c>
      <c r="J43" s="112">
        <v>0.8</v>
      </c>
      <c r="K43" s="112">
        <v>0.8</v>
      </c>
      <c r="L43" s="112">
        <v>0.8</v>
      </c>
      <c r="M43" s="112">
        <v>0.8</v>
      </c>
      <c r="N43" s="112">
        <v>0.8</v>
      </c>
      <c r="O43" s="112">
        <v>0.8</v>
      </c>
      <c r="P43" s="112">
        <v>0.8</v>
      </c>
      <c r="Q43" s="112">
        <v>0</v>
      </c>
      <c r="R43" s="112">
        <v>0.8</v>
      </c>
      <c r="S43" s="112">
        <v>0</v>
      </c>
      <c r="T43" s="112">
        <v>0.8</v>
      </c>
      <c r="U43" s="112">
        <v>0.8</v>
      </c>
      <c r="V43" s="112">
        <v>0.8</v>
      </c>
      <c r="W43" s="112">
        <v>0</v>
      </c>
      <c r="X43" s="112">
        <v>0.8</v>
      </c>
      <c r="Y43" s="112">
        <v>0.8</v>
      </c>
      <c r="Z43" s="112">
        <v>0.8</v>
      </c>
      <c r="AA43" s="112">
        <v>0</v>
      </c>
      <c r="AB43" s="112">
        <v>0.8</v>
      </c>
      <c r="AC43" s="112">
        <v>0.8</v>
      </c>
      <c r="AD43" s="112">
        <v>0.8</v>
      </c>
      <c r="AE43" s="112">
        <v>0.8</v>
      </c>
      <c r="AF43" s="112">
        <v>0.8</v>
      </c>
      <c r="AG43" s="112">
        <v>0.8</v>
      </c>
      <c r="AH43" s="112">
        <v>0.8</v>
      </c>
      <c r="AI43" s="112">
        <v>0</v>
      </c>
      <c r="AJ43" s="112">
        <v>0.8</v>
      </c>
      <c r="AK43" s="112">
        <v>0.8</v>
      </c>
      <c r="AL43" s="112">
        <v>0.8</v>
      </c>
      <c r="AM43" s="112">
        <v>0</v>
      </c>
      <c r="AN43" s="112">
        <v>0.8</v>
      </c>
      <c r="AO43" s="112">
        <v>0.8</v>
      </c>
      <c r="AP43" s="112">
        <v>0.8</v>
      </c>
      <c r="AQ43" s="112">
        <v>0</v>
      </c>
      <c r="AR43" s="112">
        <v>0</v>
      </c>
      <c r="AS43" s="112">
        <v>0</v>
      </c>
      <c r="AT43" s="112">
        <v>0</v>
      </c>
      <c r="AU43" s="112">
        <v>0.8</v>
      </c>
      <c r="AV43" s="112">
        <v>0</v>
      </c>
      <c r="AW43" s="112">
        <v>0</v>
      </c>
      <c r="AX43" s="112">
        <v>0.8</v>
      </c>
      <c r="AY43" s="112">
        <v>0</v>
      </c>
      <c r="AZ43" s="112">
        <v>0.8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  <c r="BJ43" s="112">
        <v>0</v>
      </c>
      <c r="BK43" s="112">
        <v>0</v>
      </c>
      <c r="BL43" s="112">
        <v>0</v>
      </c>
      <c r="BM43" s="112">
        <v>0</v>
      </c>
      <c r="BN43" s="112">
        <v>0</v>
      </c>
      <c r="BO43" s="112">
        <v>0</v>
      </c>
      <c r="BP43" s="112">
        <v>0</v>
      </c>
      <c r="BQ43" s="112">
        <v>0</v>
      </c>
      <c r="BR43" s="112">
        <v>0</v>
      </c>
      <c r="BS43" s="112">
        <v>0</v>
      </c>
    </row>
    <row r="44" spans="1:71" x14ac:dyDescent="0.15">
      <c r="A44" s="189" t="s">
        <v>235</v>
      </c>
      <c r="B44" s="112">
        <v>0.8</v>
      </c>
      <c r="C44" s="112">
        <v>0.8</v>
      </c>
      <c r="D44" s="112">
        <v>0.8</v>
      </c>
      <c r="E44" s="112">
        <v>0.8</v>
      </c>
      <c r="F44" s="112">
        <v>0</v>
      </c>
      <c r="G44" s="112">
        <v>0.8</v>
      </c>
      <c r="H44" s="112">
        <v>0.8</v>
      </c>
      <c r="I44" s="112">
        <v>0.8</v>
      </c>
      <c r="J44" s="112">
        <v>0.8</v>
      </c>
      <c r="K44" s="112">
        <v>0.8</v>
      </c>
      <c r="L44" s="112">
        <v>0.8</v>
      </c>
      <c r="M44" s="112">
        <v>0.8</v>
      </c>
      <c r="N44" s="112">
        <v>0.8</v>
      </c>
      <c r="O44" s="112">
        <v>0.8</v>
      </c>
      <c r="P44" s="112">
        <v>0.8</v>
      </c>
      <c r="Q44" s="112">
        <v>0.8</v>
      </c>
      <c r="R44" s="112">
        <v>0.8</v>
      </c>
      <c r="S44" s="112">
        <v>0</v>
      </c>
      <c r="T44" s="112">
        <v>0.8</v>
      </c>
      <c r="U44" s="112">
        <v>0.8</v>
      </c>
      <c r="V44" s="112">
        <v>0.8</v>
      </c>
      <c r="W44" s="112">
        <v>0</v>
      </c>
      <c r="X44" s="112">
        <v>0.8</v>
      </c>
      <c r="Y44" s="112">
        <v>0.8</v>
      </c>
      <c r="Z44" s="112">
        <v>0.8</v>
      </c>
      <c r="AA44" s="112">
        <v>0</v>
      </c>
      <c r="AB44" s="112">
        <v>0.8</v>
      </c>
      <c r="AC44" s="112">
        <v>0.8</v>
      </c>
      <c r="AD44" s="112">
        <v>0.8</v>
      </c>
      <c r="AE44" s="112">
        <v>0.8</v>
      </c>
      <c r="AF44" s="112">
        <v>0.8</v>
      </c>
      <c r="AG44" s="112">
        <v>0.8</v>
      </c>
      <c r="AH44" s="112">
        <v>0.8</v>
      </c>
      <c r="AI44" s="112">
        <v>0</v>
      </c>
      <c r="AJ44" s="112">
        <v>0.8</v>
      </c>
      <c r="AK44" s="112">
        <v>0.8</v>
      </c>
      <c r="AL44" s="112">
        <v>0.8</v>
      </c>
      <c r="AM44" s="112">
        <v>0</v>
      </c>
      <c r="AN44" s="112">
        <v>0.8</v>
      </c>
      <c r="AO44" s="112">
        <v>0.8</v>
      </c>
      <c r="AP44" s="112">
        <v>0.8</v>
      </c>
      <c r="AQ44" s="112">
        <v>0</v>
      </c>
      <c r="AR44" s="112">
        <v>0</v>
      </c>
      <c r="AS44" s="112">
        <v>0</v>
      </c>
      <c r="AT44" s="112">
        <v>0</v>
      </c>
      <c r="AU44" s="112">
        <v>0.8</v>
      </c>
      <c r="AV44" s="112">
        <v>0</v>
      </c>
      <c r="AW44" s="112">
        <v>0</v>
      </c>
      <c r="AX44" s="112">
        <v>0.8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  <c r="BJ44" s="112">
        <v>0</v>
      </c>
      <c r="BK44" s="112">
        <v>0</v>
      </c>
      <c r="BL44" s="112">
        <v>0</v>
      </c>
      <c r="BM44" s="112">
        <v>0</v>
      </c>
      <c r="BN44" s="112">
        <v>0</v>
      </c>
      <c r="BO44" s="112">
        <v>0</v>
      </c>
      <c r="BP44" s="112">
        <v>0</v>
      </c>
      <c r="BQ44" s="112">
        <v>0</v>
      </c>
      <c r="BR44" s="112">
        <v>0</v>
      </c>
      <c r="BS44" s="112">
        <v>0</v>
      </c>
    </row>
    <row r="45" spans="1:71" x14ac:dyDescent="0.15">
      <c r="A45" s="189" t="s">
        <v>236</v>
      </c>
      <c r="B45" s="112">
        <v>0</v>
      </c>
      <c r="C45" s="112">
        <v>0.8</v>
      </c>
      <c r="D45" s="112">
        <v>0.8</v>
      </c>
      <c r="E45" s="112">
        <v>0.8</v>
      </c>
      <c r="F45" s="112">
        <v>0.8</v>
      </c>
      <c r="G45" s="112">
        <v>0.8</v>
      </c>
      <c r="H45" s="112">
        <v>0.8</v>
      </c>
      <c r="I45" s="112">
        <v>0.8</v>
      </c>
      <c r="J45" s="112">
        <v>0.8</v>
      </c>
      <c r="K45" s="112">
        <v>0</v>
      </c>
      <c r="L45" s="112">
        <v>0.8</v>
      </c>
      <c r="M45" s="112">
        <v>0.8</v>
      </c>
      <c r="N45" s="112">
        <v>0.8</v>
      </c>
      <c r="O45" s="112">
        <v>0.8</v>
      </c>
      <c r="P45" s="112">
        <v>0</v>
      </c>
      <c r="Q45" s="112">
        <v>0</v>
      </c>
      <c r="R45" s="112">
        <v>0.8</v>
      </c>
      <c r="S45" s="112">
        <v>0</v>
      </c>
      <c r="T45" s="112">
        <v>0.8</v>
      </c>
      <c r="U45" s="112">
        <v>0.8</v>
      </c>
      <c r="V45" s="112">
        <v>0</v>
      </c>
      <c r="W45" s="112">
        <v>0</v>
      </c>
      <c r="X45" s="112">
        <v>0.8</v>
      </c>
      <c r="Y45" s="112">
        <v>0.8</v>
      </c>
      <c r="Z45" s="112">
        <v>0</v>
      </c>
      <c r="AA45" s="112">
        <v>0</v>
      </c>
      <c r="AB45" s="112">
        <v>0</v>
      </c>
      <c r="AC45" s="112">
        <v>0</v>
      </c>
      <c r="AD45" s="112">
        <v>0.8</v>
      </c>
      <c r="AE45" s="112">
        <v>0.8</v>
      </c>
      <c r="AF45" s="112">
        <v>0.8</v>
      </c>
      <c r="AG45" s="112">
        <v>0.8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0.8</v>
      </c>
      <c r="AO45" s="112">
        <v>0.8</v>
      </c>
      <c r="AP45" s="112">
        <v>0.8</v>
      </c>
      <c r="AQ45" s="112">
        <v>0</v>
      </c>
      <c r="AR45" s="112">
        <v>0</v>
      </c>
      <c r="AS45" s="112">
        <v>0</v>
      </c>
      <c r="AT45" s="112">
        <v>0</v>
      </c>
      <c r="AU45" s="112">
        <v>0.8</v>
      </c>
      <c r="AV45" s="112">
        <v>0</v>
      </c>
      <c r="AW45" s="112">
        <v>0</v>
      </c>
      <c r="AX45" s="112">
        <v>0.8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  <c r="BJ45" s="112">
        <v>0</v>
      </c>
      <c r="BK45" s="112">
        <v>0</v>
      </c>
      <c r="BL45" s="112">
        <v>0</v>
      </c>
      <c r="BM45" s="112">
        <v>0</v>
      </c>
      <c r="BN45" s="112">
        <v>0</v>
      </c>
      <c r="BO45" s="112">
        <v>0</v>
      </c>
      <c r="BP45" s="112">
        <v>0</v>
      </c>
      <c r="BQ45" s="112">
        <v>0</v>
      </c>
      <c r="BR45" s="112">
        <v>0</v>
      </c>
      <c r="BS45" s="112">
        <v>0</v>
      </c>
    </row>
    <row r="46" spans="1:71" x14ac:dyDescent="0.15">
      <c r="A46" s="189" t="s">
        <v>237</v>
      </c>
      <c r="B46" s="112">
        <v>0.8</v>
      </c>
      <c r="C46" s="112">
        <v>0.8</v>
      </c>
      <c r="D46" s="112">
        <v>0.8</v>
      </c>
      <c r="E46" s="112">
        <v>0</v>
      </c>
      <c r="F46" s="112">
        <v>0</v>
      </c>
      <c r="G46" s="112">
        <v>0.8</v>
      </c>
      <c r="H46" s="112">
        <v>0</v>
      </c>
      <c r="I46" s="112">
        <v>0</v>
      </c>
      <c r="J46" s="112">
        <v>0.8</v>
      </c>
      <c r="K46" s="112">
        <v>0.8</v>
      </c>
      <c r="L46" s="112">
        <v>0</v>
      </c>
      <c r="M46" s="112">
        <v>0</v>
      </c>
      <c r="N46" s="112">
        <v>0.8</v>
      </c>
      <c r="O46" s="112">
        <v>0</v>
      </c>
      <c r="P46" s="112">
        <v>0</v>
      </c>
      <c r="Q46" s="112">
        <v>0</v>
      </c>
      <c r="R46" s="112">
        <v>0.8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0.8</v>
      </c>
      <c r="AA46" s="112">
        <v>0</v>
      </c>
      <c r="AB46" s="112">
        <v>0</v>
      </c>
      <c r="AC46" s="112">
        <v>0</v>
      </c>
      <c r="AD46" s="112">
        <v>0</v>
      </c>
      <c r="AE46" s="112">
        <v>0</v>
      </c>
      <c r="AF46" s="112">
        <v>0.8</v>
      </c>
      <c r="AG46" s="112">
        <v>0</v>
      </c>
      <c r="AH46" s="112">
        <v>0.8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0.8</v>
      </c>
      <c r="AO46" s="112">
        <v>0.8</v>
      </c>
      <c r="AP46" s="112">
        <v>0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0.8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  <c r="BE46" s="112">
        <v>0</v>
      </c>
      <c r="BF46" s="112">
        <v>0</v>
      </c>
      <c r="BG46" s="112">
        <v>0</v>
      </c>
      <c r="BH46" s="112">
        <v>0</v>
      </c>
      <c r="BI46" s="112">
        <v>0</v>
      </c>
      <c r="BJ46" s="112">
        <v>0</v>
      </c>
      <c r="BK46" s="112">
        <v>0</v>
      </c>
      <c r="BL46" s="112">
        <v>0</v>
      </c>
      <c r="BM46" s="112">
        <v>0</v>
      </c>
      <c r="BN46" s="112">
        <v>0</v>
      </c>
      <c r="BO46" s="112">
        <v>0</v>
      </c>
      <c r="BP46" s="112">
        <v>0</v>
      </c>
      <c r="BQ46" s="112">
        <v>0</v>
      </c>
      <c r="BR46" s="112">
        <v>0</v>
      </c>
      <c r="BS46" s="112">
        <v>0</v>
      </c>
    </row>
    <row r="47" spans="1:71" x14ac:dyDescent="0.15">
      <c r="A47" s="189" t="s">
        <v>238</v>
      </c>
      <c r="B47" s="112">
        <v>0</v>
      </c>
      <c r="C47" s="112">
        <v>0</v>
      </c>
      <c r="D47" s="112">
        <v>0.8</v>
      </c>
      <c r="E47" s="112">
        <v>0.8</v>
      </c>
      <c r="F47" s="112">
        <v>0.8</v>
      </c>
      <c r="G47" s="112">
        <v>0.8</v>
      </c>
      <c r="H47" s="112">
        <v>0.8</v>
      </c>
      <c r="I47" s="112">
        <v>0.8</v>
      </c>
      <c r="J47" s="112">
        <v>0.8</v>
      </c>
      <c r="K47" s="112">
        <v>0.8</v>
      </c>
      <c r="L47" s="112">
        <v>0.8</v>
      </c>
      <c r="M47" s="112">
        <v>0.8</v>
      </c>
      <c r="N47" s="112">
        <v>0.8</v>
      </c>
      <c r="O47" s="112">
        <v>0.8</v>
      </c>
      <c r="P47" s="112">
        <v>0.8</v>
      </c>
      <c r="Q47" s="112">
        <v>0.8</v>
      </c>
      <c r="R47" s="112">
        <v>0.8</v>
      </c>
      <c r="S47" s="112">
        <v>0.8</v>
      </c>
      <c r="T47" s="112">
        <v>0.8</v>
      </c>
      <c r="U47" s="112">
        <v>0.8</v>
      </c>
      <c r="V47" s="112">
        <v>0.8</v>
      </c>
      <c r="W47" s="112">
        <v>0.8</v>
      </c>
      <c r="X47" s="112">
        <v>0.8</v>
      </c>
      <c r="Y47" s="112">
        <v>0.8</v>
      </c>
      <c r="Z47" s="112">
        <v>0.8</v>
      </c>
      <c r="AA47" s="112">
        <v>0.8</v>
      </c>
      <c r="AB47" s="112">
        <v>0.8</v>
      </c>
      <c r="AC47" s="112">
        <v>0</v>
      </c>
      <c r="AD47" s="112">
        <v>0.8</v>
      </c>
      <c r="AE47" s="112">
        <v>0.8</v>
      </c>
      <c r="AF47" s="112">
        <v>0.8</v>
      </c>
      <c r="AG47" s="112">
        <v>0.8</v>
      </c>
      <c r="AH47" s="112">
        <v>0</v>
      </c>
      <c r="AI47" s="112">
        <v>0.8</v>
      </c>
      <c r="AJ47" s="112">
        <v>0.8</v>
      </c>
      <c r="AK47" s="112">
        <v>0</v>
      </c>
      <c r="AL47" s="112">
        <v>0.8</v>
      </c>
      <c r="AM47" s="112">
        <v>0</v>
      </c>
      <c r="AN47" s="112">
        <v>0</v>
      </c>
      <c r="AO47" s="112">
        <v>0.8</v>
      </c>
      <c r="AP47" s="112">
        <v>0.8</v>
      </c>
      <c r="AQ47" s="112">
        <v>0</v>
      </c>
      <c r="AR47" s="112">
        <v>0.8</v>
      </c>
      <c r="AS47" s="112">
        <v>0</v>
      </c>
      <c r="AT47" s="112">
        <v>0</v>
      </c>
      <c r="AU47" s="112">
        <v>0.8</v>
      </c>
      <c r="AV47" s="112">
        <v>0</v>
      </c>
      <c r="AW47" s="112">
        <v>0</v>
      </c>
      <c r="AX47" s="112">
        <v>0.8</v>
      </c>
      <c r="AY47" s="112">
        <v>0</v>
      </c>
      <c r="AZ47" s="112">
        <v>0.8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  <c r="BF47" s="112">
        <v>0</v>
      </c>
      <c r="BG47" s="112">
        <v>0</v>
      </c>
      <c r="BH47" s="112">
        <v>0</v>
      </c>
      <c r="BI47" s="112">
        <v>0</v>
      </c>
      <c r="BJ47" s="112">
        <v>0</v>
      </c>
      <c r="BK47" s="112">
        <v>0</v>
      </c>
      <c r="BL47" s="112">
        <v>0</v>
      </c>
      <c r="BM47" s="112">
        <v>0</v>
      </c>
      <c r="BN47" s="112">
        <v>0</v>
      </c>
      <c r="BO47" s="112">
        <v>0</v>
      </c>
      <c r="BP47" s="112">
        <v>0</v>
      </c>
      <c r="BQ47" s="112">
        <v>0</v>
      </c>
      <c r="BR47" s="112">
        <v>0</v>
      </c>
      <c r="BS47" s="112">
        <v>0</v>
      </c>
    </row>
    <row r="48" spans="1:71" x14ac:dyDescent="0.15">
      <c r="A48" s="189" t="s">
        <v>239</v>
      </c>
      <c r="B48" s="112">
        <v>0</v>
      </c>
      <c r="C48" s="112">
        <v>0</v>
      </c>
      <c r="D48" s="112">
        <v>0.8</v>
      </c>
      <c r="E48" s="112">
        <v>0.8</v>
      </c>
      <c r="F48" s="112">
        <v>0.8</v>
      </c>
      <c r="G48" s="112">
        <v>0.8</v>
      </c>
      <c r="H48" s="112">
        <v>0.8</v>
      </c>
      <c r="I48" s="112">
        <v>0.8</v>
      </c>
      <c r="J48" s="112">
        <v>0.8</v>
      </c>
      <c r="K48" s="112">
        <v>0.8</v>
      </c>
      <c r="L48" s="112">
        <v>0.8</v>
      </c>
      <c r="M48" s="112">
        <v>0.8</v>
      </c>
      <c r="N48" s="112">
        <v>0.8</v>
      </c>
      <c r="O48" s="112">
        <v>0.8</v>
      </c>
      <c r="P48" s="112">
        <v>0.8</v>
      </c>
      <c r="Q48" s="112">
        <v>0.8</v>
      </c>
      <c r="R48" s="112">
        <v>0.8</v>
      </c>
      <c r="S48" s="112">
        <v>0</v>
      </c>
      <c r="T48" s="112">
        <v>0.8</v>
      </c>
      <c r="U48" s="112">
        <v>0.8</v>
      </c>
      <c r="V48" s="112">
        <v>0</v>
      </c>
      <c r="W48" s="112">
        <v>0</v>
      </c>
      <c r="X48" s="112">
        <v>0.8</v>
      </c>
      <c r="Y48" s="112">
        <v>0.8</v>
      </c>
      <c r="Z48" s="112">
        <v>0.8</v>
      </c>
      <c r="AA48" s="112">
        <v>0.8</v>
      </c>
      <c r="AB48" s="112">
        <v>0.8</v>
      </c>
      <c r="AC48" s="112">
        <v>0.8</v>
      </c>
      <c r="AD48" s="112">
        <v>0.8</v>
      </c>
      <c r="AE48" s="112">
        <v>0.8</v>
      </c>
      <c r="AF48" s="112">
        <v>0.8</v>
      </c>
      <c r="AG48" s="112">
        <v>0.8</v>
      </c>
      <c r="AH48" s="112">
        <v>0.8</v>
      </c>
      <c r="AI48" s="112">
        <v>0.8</v>
      </c>
      <c r="AJ48" s="112">
        <v>0.8</v>
      </c>
      <c r="AK48" s="112">
        <v>0.8</v>
      </c>
      <c r="AL48" s="112">
        <v>0.8</v>
      </c>
      <c r="AM48" s="112">
        <v>0</v>
      </c>
      <c r="AN48" s="112">
        <v>0.8</v>
      </c>
      <c r="AO48" s="112">
        <v>0.8</v>
      </c>
      <c r="AP48" s="112">
        <v>0.8</v>
      </c>
      <c r="AQ48" s="112">
        <v>0.8</v>
      </c>
      <c r="AR48" s="112">
        <v>0.8</v>
      </c>
      <c r="AS48" s="112">
        <v>0</v>
      </c>
      <c r="AT48" s="112">
        <v>0</v>
      </c>
      <c r="AU48" s="112">
        <v>0</v>
      </c>
      <c r="AV48" s="112">
        <v>0</v>
      </c>
      <c r="AW48" s="112">
        <v>0.8</v>
      </c>
      <c r="AX48" s="112">
        <v>0.8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  <c r="BJ48" s="112">
        <v>0</v>
      </c>
      <c r="BK48" s="112">
        <v>0</v>
      </c>
      <c r="BL48" s="112">
        <v>0</v>
      </c>
      <c r="BM48" s="112">
        <v>0</v>
      </c>
      <c r="BN48" s="112">
        <v>0</v>
      </c>
      <c r="BO48" s="112">
        <v>0</v>
      </c>
      <c r="BP48" s="112">
        <v>0</v>
      </c>
      <c r="BQ48" s="112">
        <v>0</v>
      </c>
      <c r="BR48" s="112">
        <v>0</v>
      </c>
      <c r="BS48" s="112">
        <v>0</v>
      </c>
    </row>
    <row r="49" spans="1:71" x14ac:dyDescent="0.15">
      <c r="A49" s="189" t="s">
        <v>240</v>
      </c>
      <c r="B49" s="112">
        <v>0</v>
      </c>
      <c r="C49" s="112">
        <v>0</v>
      </c>
      <c r="D49" s="112">
        <v>0</v>
      </c>
      <c r="E49" s="112">
        <v>0</v>
      </c>
      <c r="F49" s="112">
        <v>0.8</v>
      </c>
      <c r="G49" s="112">
        <v>0</v>
      </c>
      <c r="H49" s="112">
        <v>0</v>
      </c>
      <c r="I49" s="112">
        <v>0</v>
      </c>
      <c r="J49" s="112">
        <v>0</v>
      </c>
      <c r="K49" s="112">
        <v>0.8</v>
      </c>
      <c r="L49" s="112">
        <v>0</v>
      </c>
      <c r="M49" s="112">
        <v>0</v>
      </c>
      <c r="N49" s="112">
        <v>0</v>
      </c>
      <c r="O49" s="112">
        <v>0</v>
      </c>
      <c r="P49" s="112">
        <v>0.8</v>
      </c>
      <c r="Q49" s="112">
        <v>0</v>
      </c>
      <c r="R49" s="112">
        <v>0.8</v>
      </c>
      <c r="S49" s="112">
        <v>0</v>
      </c>
      <c r="T49" s="112">
        <v>0</v>
      </c>
      <c r="U49" s="112">
        <v>0</v>
      </c>
      <c r="V49" s="112">
        <v>0.8</v>
      </c>
      <c r="W49" s="112">
        <v>0.8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0.8</v>
      </c>
      <c r="AF49" s="112">
        <v>0.8</v>
      </c>
      <c r="AG49" s="112">
        <v>0</v>
      </c>
      <c r="AH49" s="112">
        <v>0.8</v>
      </c>
      <c r="AI49" s="112">
        <v>0</v>
      </c>
      <c r="AJ49" s="112">
        <v>0</v>
      </c>
      <c r="AK49" s="112">
        <v>0</v>
      </c>
      <c r="AL49" s="112">
        <v>0.8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  <c r="BJ49" s="112">
        <v>0</v>
      </c>
      <c r="BK49" s="112">
        <v>0</v>
      </c>
      <c r="BL49" s="112">
        <v>0</v>
      </c>
      <c r="BM49" s="112">
        <v>0</v>
      </c>
      <c r="BN49" s="112">
        <v>0</v>
      </c>
      <c r="BO49" s="112">
        <v>0</v>
      </c>
      <c r="BP49" s="112">
        <v>0</v>
      </c>
      <c r="BQ49" s="112">
        <v>0</v>
      </c>
      <c r="BR49" s="112">
        <v>0</v>
      </c>
      <c r="BS49" s="112">
        <v>0</v>
      </c>
    </row>
    <row r="50" spans="1:71" x14ac:dyDescent="0.15">
      <c r="A50" s="189" t="s">
        <v>241</v>
      </c>
      <c r="B50" s="112">
        <v>0</v>
      </c>
      <c r="C50" s="112">
        <v>0</v>
      </c>
      <c r="D50" s="112">
        <v>0.8</v>
      </c>
      <c r="E50" s="112">
        <v>0.8</v>
      </c>
      <c r="F50" s="112">
        <v>0.8</v>
      </c>
      <c r="G50" s="112">
        <v>0.8</v>
      </c>
      <c r="H50" s="112">
        <v>0.8</v>
      </c>
      <c r="I50" s="112">
        <v>0.8</v>
      </c>
      <c r="J50" s="112">
        <v>0</v>
      </c>
      <c r="K50" s="112">
        <v>0</v>
      </c>
      <c r="L50" s="112">
        <v>0.8</v>
      </c>
      <c r="M50" s="112">
        <v>0.8</v>
      </c>
      <c r="N50" s="112">
        <v>0.8</v>
      </c>
      <c r="O50" s="112">
        <v>0.8</v>
      </c>
      <c r="P50" s="112">
        <v>0.8</v>
      </c>
      <c r="Q50" s="112">
        <v>0</v>
      </c>
      <c r="R50" s="112">
        <v>0.8</v>
      </c>
      <c r="S50" s="112">
        <v>0.8</v>
      </c>
      <c r="T50" s="112">
        <v>0.8</v>
      </c>
      <c r="U50" s="112">
        <v>0.8</v>
      </c>
      <c r="V50" s="112">
        <v>0.8</v>
      </c>
      <c r="W50" s="112">
        <v>0</v>
      </c>
      <c r="X50" s="112">
        <v>0.8</v>
      </c>
      <c r="Y50" s="112">
        <v>0.8</v>
      </c>
      <c r="Z50" s="112">
        <v>0.8</v>
      </c>
      <c r="AA50" s="112">
        <v>0.8</v>
      </c>
      <c r="AB50" s="112">
        <v>0.8</v>
      </c>
      <c r="AC50" s="112">
        <v>0.8</v>
      </c>
      <c r="AD50" s="112">
        <v>0.8</v>
      </c>
      <c r="AE50" s="112">
        <v>0.8</v>
      </c>
      <c r="AF50" s="112">
        <v>0.8</v>
      </c>
      <c r="AG50" s="112">
        <v>0.8</v>
      </c>
      <c r="AH50" s="112">
        <v>0.8</v>
      </c>
      <c r="AI50" s="112">
        <v>0.8</v>
      </c>
      <c r="AJ50" s="112">
        <v>0.8</v>
      </c>
      <c r="AK50" s="112">
        <v>0.8</v>
      </c>
      <c r="AL50" s="112">
        <v>0.8</v>
      </c>
      <c r="AM50" s="112">
        <v>0</v>
      </c>
      <c r="AN50" s="112">
        <v>0.8</v>
      </c>
      <c r="AO50" s="112">
        <v>0.8</v>
      </c>
      <c r="AP50" s="112">
        <v>0.8</v>
      </c>
      <c r="AQ50" s="112">
        <v>0</v>
      </c>
      <c r="AR50" s="112">
        <v>0.8</v>
      </c>
      <c r="AS50" s="112">
        <v>0</v>
      </c>
      <c r="AT50" s="112">
        <v>0</v>
      </c>
      <c r="AU50" s="112">
        <v>0</v>
      </c>
      <c r="AV50" s="112">
        <v>0</v>
      </c>
      <c r="AW50" s="112">
        <v>0.8</v>
      </c>
      <c r="AX50" s="112">
        <v>0.8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  <c r="BF50" s="112">
        <v>0</v>
      </c>
      <c r="BG50" s="112">
        <v>0</v>
      </c>
      <c r="BH50" s="112">
        <v>0</v>
      </c>
      <c r="BI50" s="112">
        <v>0</v>
      </c>
      <c r="BJ50" s="112">
        <v>0</v>
      </c>
      <c r="BK50" s="112">
        <v>0</v>
      </c>
      <c r="BL50" s="112">
        <v>0</v>
      </c>
      <c r="BM50" s="112">
        <v>0</v>
      </c>
      <c r="BN50" s="112">
        <v>0</v>
      </c>
      <c r="BO50" s="112">
        <v>0</v>
      </c>
      <c r="BP50" s="112">
        <v>0</v>
      </c>
      <c r="BQ50" s="112">
        <v>0</v>
      </c>
      <c r="BR50" s="112">
        <v>0</v>
      </c>
      <c r="BS50" s="112">
        <v>0</v>
      </c>
    </row>
    <row r="51" spans="1:71" x14ac:dyDescent="0.15">
      <c r="A51" s="189" t="s">
        <v>242</v>
      </c>
      <c r="B51" s="112">
        <v>0</v>
      </c>
      <c r="C51" s="112">
        <v>0</v>
      </c>
      <c r="D51" s="112">
        <v>0</v>
      </c>
      <c r="E51" s="112">
        <v>0.8</v>
      </c>
      <c r="F51" s="112">
        <v>0.8</v>
      </c>
      <c r="G51" s="112">
        <v>0</v>
      </c>
      <c r="H51" s="112">
        <v>0</v>
      </c>
      <c r="I51" s="112">
        <v>0.8</v>
      </c>
      <c r="J51" s="112">
        <v>0</v>
      </c>
      <c r="K51" s="112">
        <v>0</v>
      </c>
      <c r="L51" s="112">
        <v>0</v>
      </c>
      <c r="M51" s="112">
        <v>0</v>
      </c>
      <c r="N51" s="112">
        <v>0.8</v>
      </c>
      <c r="O51" s="112">
        <v>0.8</v>
      </c>
      <c r="P51" s="112">
        <v>0.8</v>
      </c>
      <c r="Q51" s="112">
        <v>0.8</v>
      </c>
      <c r="R51" s="112">
        <v>0.8</v>
      </c>
      <c r="S51" s="112">
        <v>0.8</v>
      </c>
      <c r="T51" s="112">
        <v>0.8</v>
      </c>
      <c r="U51" s="112">
        <v>0.8</v>
      </c>
      <c r="V51" s="112">
        <v>0.8</v>
      </c>
      <c r="W51" s="112">
        <v>0.8</v>
      </c>
      <c r="X51" s="112">
        <v>0</v>
      </c>
      <c r="Y51" s="112">
        <v>0</v>
      </c>
      <c r="Z51" s="112">
        <v>0</v>
      </c>
      <c r="AA51" s="112">
        <v>0.8</v>
      </c>
      <c r="AB51" s="112">
        <v>0.8</v>
      </c>
      <c r="AC51" s="112">
        <v>0.8</v>
      </c>
      <c r="AD51" s="112">
        <v>0.8</v>
      </c>
      <c r="AE51" s="112">
        <v>0.8</v>
      </c>
      <c r="AF51" s="112">
        <v>0.8</v>
      </c>
      <c r="AG51" s="112">
        <v>0.8</v>
      </c>
      <c r="AH51" s="112">
        <v>0.8</v>
      </c>
      <c r="AI51" s="112">
        <v>0.8</v>
      </c>
      <c r="AJ51" s="112">
        <v>0.8</v>
      </c>
      <c r="AK51" s="112">
        <v>0.8</v>
      </c>
      <c r="AL51" s="112">
        <v>0.8</v>
      </c>
      <c r="AM51" s="112">
        <v>0</v>
      </c>
      <c r="AN51" s="112">
        <v>0</v>
      </c>
      <c r="AO51" s="112">
        <v>0</v>
      </c>
      <c r="AP51" s="112">
        <v>0</v>
      </c>
      <c r="AQ51" s="112">
        <v>0.8</v>
      </c>
      <c r="AR51" s="112">
        <v>0</v>
      </c>
      <c r="AS51" s="112">
        <v>0</v>
      </c>
      <c r="AT51" s="112">
        <v>0</v>
      </c>
      <c r="AU51" s="112">
        <v>0.8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  <c r="BD51" s="112">
        <v>0</v>
      </c>
      <c r="BE51" s="112">
        <v>0</v>
      </c>
      <c r="BF51" s="112">
        <v>0</v>
      </c>
      <c r="BG51" s="112">
        <v>0</v>
      </c>
      <c r="BH51" s="112">
        <v>0</v>
      </c>
      <c r="BI51" s="112">
        <v>0</v>
      </c>
      <c r="BJ51" s="112">
        <v>0</v>
      </c>
      <c r="BK51" s="112">
        <v>0</v>
      </c>
      <c r="BL51" s="112">
        <v>0</v>
      </c>
      <c r="BM51" s="112">
        <v>0</v>
      </c>
      <c r="BN51" s="112">
        <v>0</v>
      </c>
      <c r="BO51" s="112">
        <v>0</v>
      </c>
      <c r="BP51" s="112">
        <v>0</v>
      </c>
      <c r="BQ51" s="112">
        <v>0</v>
      </c>
      <c r="BR51" s="112">
        <v>0</v>
      </c>
      <c r="BS51" s="112">
        <v>0</v>
      </c>
    </row>
    <row r="52" spans="1:71" x14ac:dyDescent="0.15">
      <c r="A52" s="189" t="s">
        <v>243</v>
      </c>
      <c r="B52" s="112">
        <v>0</v>
      </c>
      <c r="C52" s="112">
        <v>0</v>
      </c>
      <c r="D52" s="112">
        <v>0</v>
      </c>
      <c r="E52" s="112">
        <v>0.8</v>
      </c>
      <c r="F52" s="112">
        <v>0.8</v>
      </c>
      <c r="G52" s="112">
        <v>0.8</v>
      </c>
      <c r="H52" s="112">
        <v>0.8</v>
      </c>
      <c r="I52" s="112">
        <v>0.8</v>
      </c>
      <c r="J52" s="112">
        <v>0</v>
      </c>
      <c r="K52" s="112">
        <v>0.8</v>
      </c>
      <c r="L52" s="112">
        <v>0.8</v>
      </c>
      <c r="M52" s="112">
        <v>0</v>
      </c>
      <c r="N52" s="112">
        <v>0.8</v>
      </c>
      <c r="O52" s="112">
        <v>0.8</v>
      </c>
      <c r="P52" s="112">
        <v>0.8</v>
      </c>
      <c r="Q52" s="112">
        <v>0.8</v>
      </c>
      <c r="R52" s="112">
        <v>0.8</v>
      </c>
      <c r="S52" s="112">
        <v>0.8</v>
      </c>
      <c r="T52" s="112">
        <v>0.8</v>
      </c>
      <c r="U52" s="112">
        <v>0.8</v>
      </c>
      <c r="V52" s="112">
        <v>0.8</v>
      </c>
      <c r="W52" s="112">
        <v>0</v>
      </c>
      <c r="X52" s="112">
        <v>0.8</v>
      </c>
      <c r="Y52" s="112">
        <v>0.8</v>
      </c>
      <c r="Z52" s="112">
        <v>0.8</v>
      </c>
      <c r="AA52" s="112">
        <v>0.8</v>
      </c>
      <c r="AB52" s="112">
        <v>0.8</v>
      </c>
      <c r="AC52" s="112">
        <v>0.8</v>
      </c>
      <c r="AD52" s="112">
        <v>0.8</v>
      </c>
      <c r="AE52" s="112">
        <v>0.8</v>
      </c>
      <c r="AF52" s="112">
        <v>0.8</v>
      </c>
      <c r="AG52" s="112">
        <v>0.8</v>
      </c>
      <c r="AH52" s="112">
        <v>0</v>
      </c>
      <c r="AI52" s="112">
        <v>0.8</v>
      </c>
      <c r="AJ52" s="112">
        <v>0</v>
      </c>
      <c r="AK52" s="112">
        <v>0</v>
      </c>
      <c r="AL52" s="112">
        <v>0.8</v>
      </c>
      <c r="AM52" s="112">
        <v>0</v>
      </c>
      <c r="AN52" s="112">
        <v>0</v>
      </c>
      <c r="AO52" s="112">
        <v>0.8</v>
      </c>
      <c r="AP52" s="112">
        <v>0.8</v>
      </c>
      <c r="AQ52" s="112">
        <v>0.8</v>
      </c>
      <c r="AR52" s="112">
        <v>0.8</v>
      </c>
      <c r="AS52" s="112">
        <v>0</v>
      </c>
      <c r="AT52" s="112">
        <v>0</v>
      </c>
      <c r="AU52" s="112">
        <v>0</v>
      </c>
      <c r="AV52" s="112">
        <v>0</v>
      </c>
      <c r="AW52" s="112">
        <v>0.8</v>
      </c>
      <c r="AX52" s="112">
        <v>0.8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  <c r="BJ52" s="112">
        <v>0</v>
      </c>
      <c r="BK52" s="112">
        <v>0</v>
      </c>
      <c r="BL52" s="112">
        <v>0</v>
      </c>
      <c r="BM52" s="112">
        <v>0</v>
      </c>
      <c r="BN52" s="112">
        <v>0</v>
      </c>
      <c r="BO52" s="112">
        <v>0</v>
      </c>
      <c r="BP52" s="112">
        <v>0</v>
      </c>
      <c r="BQ52" s="112">
        <v>0</v>
      </c>
      <c r="BR52" s="112">
        <v>0</v>
      </c>
      <c r="BS52" s="112">
        <v>0</v>
      </c>
    </row>
    <row r="53" spans="1:71" x14ac:dyDescent="0.15">
      <c r="A53" s="189" t="s">
        <v>244</v>
      </c>
      <c r="B53" s="112">
        <v>0</v>
      </c>
      <c r="C53" s="112">
        <v>0</v>
      </c>
      <c r="D53" s="112">
        <v>0.8</v>
      </c>
      <c r="E53" s="112">
        <v>0.8</v>
      </c>
      <c r="F53" s="112">
        <v>0.8</v>
      </c>
      <c r="G53" s="112">
        <v>0</v>
      </c>
      <c r="H53" s="112">
        <v>0</v>
      </c>
      <c r="I53" s="112">
        <v>0.8</v>
      </c>
      <c r="J53" s="112">
        <v>0.8</v>
      </c>
      <c r="K53" s="112">
        <v>0</v>
      </c>
      <c r="L53" s="112">
        <v>0</v>
      </c>
      <c r="M53" s="112">
        <v>0</v>
      </c>
      <c r="N53" s="112">
        <v>0.8</v>
      </c>
      <c r="O53" s="112">
        <v>0</v>
      </c>
      <c r="P53" s="112">
        <v>0.8</v>
      </c>
      <c r="Q53" s="112">
        <v>0.8</v>
      </c>
      <c r="R53" s="112">
        <v>0.8</v>
      </c>
      <c r="S53" s="112">
        <v>0.8</v>
      </c>
      <c r="T53" s="112">
        <v>0.8</v>
      </c>
      <c r="U53" s="112">
        <v>0.8</v>
      </c>
      <c r="V53" s="112">
        <v>0.8</v>
      </c>
      <c r="W53" s="112">
        <v>0.8</v>
      </c>
      <c r="X53" s="112">
        <v>0.8</v>
      </c>
      <c r="Y53" s="112">
        <v>0.8</v>
      </c>
      <c r="Z53" s="112">
        <v>0</v>
      </c>
      <c r="AA53" s="112">
        <v>0.8</v>
      </c>
      <c r="AB53" s="112">
        <v>0.8</v>
      </c>
      <c r="AC53" s="112">
        <v>0</v>
      </c>
      <c r="AD53" s="112">
        <v>0.8</v>
      </c>
      <c r="AE53" s="112">
        <v>0.8</v>
      </c>
      <c r="AF53" s="112">
        <v>0.8</v>
      </c>
      <c r="AG53" s="112">
        <v>0.8</v>
      </c>
      <c r="AH53" s="112">
        <v>0.8</v>
      </c>
      <c r="AI53" s="112">
        <v>0.8</v>
      </c>
      <c r="AJ53" s="112">
        <v>0</v>
      </c>
      <c r="AK53" s="112">
        <v>0.8</v>
      </c>
      <c r="AL53" s="112">
        <v>0.8</v>
      </c>
      <c r="AM53" s="112">
        <v>0.8</v>
      </c>
      <c r="AN53" s="112">
        <v>0</v>
      </c>
      <c r="AO53" s="112">
        <v>0.8</v>
      </c>
      <c r="AP53" s="112">
        <v>0.8</v>
      </c>
      <c r="AQ53" s="112">
        <v>0.8</v>
      </c>
      <c r="AR53" s="112">
        <v>0.8</v>
      </c>
      <c r="AS53" s="112">
        <v>0.8</v>
      </c>
      <c r="AT53" s="112">
        <v>0</v>
      </c>
      <c r="AU53" s="112">
        <v>0.8</v>
      </c>
      <c r="AV53" s="112">
        <v>0.8</v>
      </c>
      <c r="AW53" s="112">
        <v>0.8</v>
      </c>
      <c r="AX53" s="112">
        <v>0.8</v>
      </c>
      <c r="AY53" s="112">
        <v>0.8</v>
      </c>
      <c r="AZ53" s="112">
        <v>0.8</v>
      </c>
      <c r="BA53" s="112">
        <v>0.8</v>
      </c>
      <c r="BB53" s="112">
        <v>0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  <c r="BJ53" s="112">
        <v>0</v>
      </c>
      <c r="BK53" s="112">
        <v>0</v>
      </c>
      <c r="BL53" s="112">
        <v>0</v>
      </c>
      <c r="BM53" s="112">
        <v>0</v>
      </c>
      <c r="BN53" s="112">
        <v>0</v>
      </c>
      <c r="BO53" s="112">
        <v>0</v>
      </c>
      <c r="BP53" s="112">
        <v>0</v>
      </c>
      <c r="BQ53" s="112">
        <v>0</v>
      </c>
      <c r="BR53" s="112">
        <v>0</v>
      </c>
      <c r="BS53" s="112">
        <v>0</v>
      </c>
    </row>
    <row r="54" spans="1:71" x14ac:dyDescent="0.15">
      <c r="A54" s="189" t="s">
        <v>245</v>
      </c>
      <c r="B54" s="112">
        <v>0</v>
      </c>
      <c r="C54" s="112">
        <v>0</v>
      </c>
      <c r="D54" s="112">
        <v>0.8</v>
      </c>
      <c r="E54" s="112">
        <v>0.8</v>
      </c>
      <c r="F54" s="112">
        <v>0.8</v>
      </c>
      <c r="G54" s="112">
        <v>0</v>
      </c>
      <c r="H54" s="112">
        <v>0</v>
      </c>
      <c r="I54" s="112">
        <v>0.8</v>
      </c>
      <c r="J54" s="112">
        <v>0</v>
      </c>
      <c r="K54" s="112">
        <v>0</v>
      </c>
      <c r="L54" s="112">
        <v>0.8</v>
      </c>
      <c r="M54" s="112">
        <v>0</v>
      </c>
      <c r="N54" s="112">
        <v>0.8</v>
      </c>
      <c r="O54" s="112">
        <v>0</v>
      </c>
      <c r="P54" s="112">
        <v>0.8</v>
      </c>
      <c r="Q54" s="112">
        <v>0</v>
      </c>
      <c r="R54" s="112">
        <v>0.8</v>
      </c>
      <c r="S54" s="112">
        <v>0.8</v>
      </c>
      <c r="T54" s="112">
        <v>0.8</v>
      </c>
      <c r="U54" s="112">
        <v>0.8</v>
      </c>
      <c r="V54" s="112">
        <v>0</v>
      </c>
      <c r="W54" s="112">
        <v>0</v>
      </c>
      <c r="X54" s="112">
        <v>0.8</v>
      </c>
      <c r="Y54" s="112">
        <v>0</v>
      </c>
      <c r="Z54" s="112">
        <v>0</v>
      </c>
      <c r="AA54" s="112">
        <v>0</v>
      </c>
      <c r="AB54" s="112">
        <v>0.8</v>
      </c>
      <c r="AC54" s="112">
        <v>0</v>
      </c>
      <c r="AD54" s="112">
        <v>0.8</v>
      </c>
      <c r="AE54" s="112">
        <v>0</v>
      </c>
      <c r="AF54" s="112">
        <v>0.8</v>
      </c>
      <c r="AG54" s="112">
        <v>0.8</v>
      </c>
      <c r="AH54" s="112">
        <v>0</v>
      </c>
      <c r="AI54" s="112">
        <v>0.8</v>
      </c>
      <c r="AJ54" s="112">
        <v>0</v>
      </c>
      <c r="AK54" s="112">
        <v>0.8</v>
      </c>
      <c r="AL54" s="112">
        <v>0.8</v>
      </c>
      <c r="AM54" s="112">
        <v>0.8</v>
      </c>
      <c r="AN54" s="112">
        <v>0</v>
      </c>
      <c r="AO54" s="112">
        <v>0.8</v>
      </c>
      <c r="AP54" s="112">
        <v>0.8</v>
      </c>
      <c r="AQ54" s="112">
        <v>0.8</v>
      </c>
      <c r="AR54" s="112">
        <v>0.8</v>
      </c>
      <c r="AS54" s="112">
        <v>0.8</v>
      </c>
      <c r="AT54" s="112">
        <v>0.8</v>
      </c>
      <c r="AU54" s="112">
        <v>0.8</v>
      </c>
      <c r="AV54" s="112">
        <v>0.8</v>
      </c>
      <c r="AW54" s="112">
        <v>0.8</v>
      </c>
      <c r="AX54" s="112">
        <v>0.8</v>
      </c>
      <c r="AY54" s="112">
        <v>0.8</v>
      </c>
      <c r="AZ54" s="112">
        <v>0.8</v>
      </c>
      <c r="BA54" s="112">
        <v>0.8</v>
      </c>
      <c r="BB54" s="112">
        <v>0</v>
      </c>
      <c r="BC54" s="112">
        <v>0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  <c r="BJ54" s="112">
        <v>0</v>
      </c>
      <c r="BK54" s="112">
        <v>0</v>
      </c>
      <c r="BL54" s="112">
        <v>0</v>
      </c>
      <c r="BM54" s="112">
        <v>0</v>
      </c>
      <c r="BN54" s="112">
        <v>0</v>
      </c>
      <c r="BO54" s="112">
        <v>0</v>
      </c>
      <c r="BP54" s="112">
        <v>0</v>
      </c>
      <c r="BQ54" s="112">
        <v>0</v>
      </c>
      <c r="BR54" s="112">
        <v>0</v>
      </c>
      <c r="BS54" s="112">
        <v>0</v>
      </c>
    </row>
    <row r="55" spans="1:71" x14ac:dyDescent="0.15">
      <c r="A55" s="189" t="s">
        <v>246</v>
      </c>
      <c r="B55" s="112">
        <v>0</v>
      </c>
      <c r="C55" s="112">
        <v>0</v>
      </c>
      <c r="D55" s="112">
        <v>0</v>
      </c>
      <c r="E55" s="112">
        <v>0.8</v>
      </c>
      <c r="F55" s="112">
        <v>0.8</v>
      </c>
      <c r="G55" s="112">
        <v>0</v>
      </c>
      <c r="H55" s="112">
        <v>0</v>
      </c>
      <c r="I55" s="112">
        <v>0.8</v>
      </c>
      <c r="J55" s="112">
        <v>0</v>
      </c>
      <c r="K55" s="112">
        <v>0</v>
      </c>
      <c r="L55" s="112">
        <v>0</v>
      </c>
      <c r="M55" s="112">
        <v>0</v>
      </c>
      <c r="N55" s="112">
        <v>0.8</v>
      </c>
      <c r="O55" s="112">
        <v>0.8</v>
      </c>
      <c r="P55" s="112">
        <v>0.8</v>
      </c>
      <c r="Q55" s="112">
        <v>0.8</v>
      </c>
      <c r="R55" s="112">
        <v>0.8</v>
      </c>
      <c r="S55" s="112">
        <v>0.8</v>
      </c>
      <c r="T55" s="112">
        <v>0</v>
      </c>
      <c r="U55" s="112">
        <v>0.8</v>
      </c>
      <c r="V55" s="112">
        <v>0.8</v>
      </c>
      <c r="W55" s="112">
        <v>0.8</v>
      </c>
      <c r="X55" s="112">
        <v>0</v>
      </c>
      <c r="Y55" s="112">
        <v>0.8</v>
      </c>
      <c r="Z55" s="112">
        <v>0</v>
      </c>
      <c r="AA55" s="112">
        <v>0</v>
      </c>
      <c r="AB55" s="112">
        <v>0</v>
      </c>
      <c r="AC55" s="112">
        <v>0.8</v>
      </c>
      <c r="AD55" s="112">
        <v>0</v>
      </c>
      <c r="AE55" s="112">
        <v>0</v>
      </c>
      <c r="AF55" s="112">
        <v>0.8</v>
      </c>
      <c r="AG55" s="112">
        <v>0</v>
      </c>
      <c r="AH55" s="112">
        <v>0</v>
      </c>
      <c r="AI55" s="112">
        <v>0.8</v>
      </c>
      <c r="AJ55" s="112">
        <v>0</v>
      </c>
      <c r="AK55" s="112">
        <v>0.8</v>
      </c>
      <c r="AL55" s="112">
        <v>0.8</v>
      </c>
      <c r="AM55" s="112">
        <v>0.8</v>
      </c>
      <c r="AN55" s="112">
        <v>0</v>
      </c>
      <c r="AO55" s="112">
        <v>0.8</v>
      </c>
      <c r="AP55" s="112">
        <v>0.8</v>
      </c>
      <c r="AQ55" s="112">
        <v>0.8</v>
      </c>
      <c r="AR55" s="112">
        <v>0.8</v>
      </c>
      <c r="AS55" s="112">
        <v>0.8</v>
      </c>
      <c r="AT55" s="112">
        <v>0</v>
      </c>
      <c r="AU55" s="112">
        <v>0</v>
      </c>
      <c r="AV55" s="112">
        <v>0.8</v>
      </c>
      <c r="AW55" s="112">
        <v>0.8</v>
      </c>
      <c r="AX55" s="112">
        <v>0</v>
      </c>
      <c r="AY55" s="112">
        <v>0</v>
      </c>
      <c r="AZ55" s="112">
        <v>0</v>
      </c>
      <c r="BA55" s="112">
        <v>0.8</v>
      </c>
      <c r="BB55" s="112">
        <v>0</v>
      </c>
      <c r="BC55" s="112">
        <v>0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  <c r="BJ55" s="112">
        <v>0</v>
      </c>
      <c r="BK55" s="112">
        <v>0</v>
      </c>
      <c r="BL55" s="112">
        <v>0</v>
      </c>
      <c r="BM55" s="112">
        <v>0</v>
      </c>
      <c r="BN55" s="112">
        <v>0</v>
      </c>
      <c r="BO55" s="112">
        <v>0</v>
      </c>
      <c r="BP55" s="112">
        <v>0</v>
      </c>
      <c r="BQ55" s="112">
        <v>0</v>
      </c>
      <c r="BR55" s="112">
        <v>0</v>
      </c>
      <c r="BS55" s="112">
        <v>0</v>
      </c>
    </row>
    <row r="56" spans="1:71" x14ac:dyDescent="0.15">
      <c r="A56" s="189" t="s">
        <v>247</v>
      </c>
      <c r="B56" s="112">
        <v>0</v>
      </c>
      <c r="C56" s="112">
        <v>0</v>
      </c>
      <c r="D56" s="112">
        <v>0.8</v>
      </c>
      <c r="E56" s="112">
        <v>0.8</v>
      </c>
      <c r="F56" s="112">
        <v>0.8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0.8</v>
      </c>
      <c r="O56" s="112">
        <v>0.8</v>
      </c>
      <c r="P56" s="112">
        <v>0.8</v>
      </c>
      <c r="Q56" s="112">
        <v>0.8</v>
      </c>
      <c r="R56" s="112">
        <v>0.8</v>
      </c>
      <c r="S56" s="112">
        <v>0.8</v>
      </c>
      <c r="T56" s="112">
        <v>0.8</v>
      </c>
      <c r="U56" s="112">
        <v>0.8</v>
      </c>
      <c r="V56" s="112">
        <v>0</v>
      </c>
      <c r="W56" s="112">
        <v>0</v>
      </c>
      <c r="X56" s="112">
        <v>0.8</v>
      </c>
      <c r="Y56" s="112">
        <v>0.8</v>
      </c>
      <c r="Z56" s="112">
        <v>0</v>
      </c>
      <c r="AA56" s="112">
        <v>0.8</v>
      </c>
      <c r="AB56" s="112">
        <v>0.8</v>
      </c>
      <c r="AC56" s="112">
        <v>0</v>
      </c>
      <c r="AD56" s="112">
        <v>0.8</v>
      </c>
      <c r="AE56" s="112">
        <v>0</v>
      </c>
      <c r="AF56" s="112">
        <v>0.8</v>
      </c>
      <c r="AG56" s="112">
        <v>0.8</v>
      </c>
      <c r="AH56" s="112">
        <v>0</v>
      </c>
      <c r="AI56" s="112">
        <v>0.8</v>
      </c>
      <c r="AJ56" s="112">
        <v>0</v>
      </c>
      <c r="AK56" s="112">
        <v>0.8</v>
      </c>
      <c r="AL56" s="112">
        <v>0.8</v>
      </c>
      <c r="AM56" s="112">
        <v>0.8</v>
      </c>
      <c r="AN56" s="112">
        <v>0</v>
      </c>
      <c r="AO56" s="112">
        <v>0.8</v>
      </c>
      <c r="AP56" s="112">
        <v>0.8</v>
      </c>
      <c r="AQ56" s="112">
        <v>0.8</v>
      </c>
      <c r="AR56" s="112">
        <v>0.8</v>
      </c>
      <c r="AS56" s="112">
        <v>0.8</v>
      </c>
      <c r="AT56" s="112">
        <v>0.8</v>
      </c>
      <c r="AU56" s="112">
        <v>0.8</v>
      </c>
      <c r="AV56" s="112">
        <v>0.8</v>
      </c>
      <c r="AW56" s="112">
        <v>0.8</v>
      </c>
      <c r="AX56" s="112">
        <v>0.8</v>
      </c>
      <c r="AY56" s="112">
        <v>0</v>
      </c>
      <c r="AZ56" s="112">
        <v>0.8</v>
      </c>
      <c r="BA56" s="112">
        <v>0.8</v>
      </c>
      <c r="BB56" s="112">
        <v>0</v>
      </c>
      <c r="BC56" s="112">
        <v>0.8</v>
      </c>
      <c r="BD56" s="112">
        <v>0.8</v>
      </c>
      <c r="BE56" s="112">
        <v>0.8</v>
      </c>
      <c r="BF56" s="112">
        <v>0</v>
      </c>
      <c r="BG56" s="112">
        <v>0</v>
      </c>
      <c r="BH56" s="112">
        <v>0</v>
      </c>
      <c r="BI56" s="112">
        <v>0</v>
      </c>
      <c r="BJ56" s="112">
        <v>0</v>
      </c>
      <c r="BK56" s="112">
        <v>0</v>
      </c>
      <c r="BL56" s="112">
        <v>0</v>
      </c>
      <c r="BM56" s="112">
        <v>0</v>
      </c>
      <c r="BN56" s="112">
        <v>0</v>
      </c>
      <c r="BO56" s="112">
        <v>0</v>
      </c>
      <c r="BP56" s="112">
        <v>0</v>
      </c>
      <c r="BQ56" s="112">
        <v>0</v>
      </c>
      <c r="BR56" s="112">
        <v>0</v>
      </c>
      <c r="BS56" s="112">
        <v>0</v>
      </c>
    </row>
    <row r="57" spans="1:71" x14ac:dyDescent="0.15">
      <c r="A57" s="189" t="s">
        <v>248</v>
      </c>
      <c r="B57" s="112">
        <v>0</v>
      </c>
      <c r="C57" s="112">
        <v>0</v>
      </c>
      <c r="D57" s="112">
        <v>0.8</v>
      </c>
      <c r="E57" s="112">
        <v>0.8</v>
      </c>
      <c r="F57" s="112">
        <v>0.8</v>
      </c>
      <c r="G57" s="112">
        <v>0</v>
      </c>
      <c r="H57" s="112">
        <v>0.8</v>
      </c>
      <c r="I57" s="112">
        <v>0.8</v>
      </c>
      <c r="J57" s="112">
        <v>0.8</v>
      </c>
      <c r="K57" s="112">
        <v>0</v>
      </c>
      <c r="L57" s="112">
        <v>0.8</v>
      </c>
      <c r="M57" s="112">
        <v>0</v>
      </c>
      <c r="N57" s="112">
        <v>0</v>
      </c>
      <c r="O57" s="112">
        <v>0.8</v>
      </c>
      <c r="P57" s="112">
        <v>0.8</v>
      </c>
      <c r="Q57" s="112">
        <v>0.8</v>
      </c>
      <c r="R57" s="112">
        <v>0.8</v>
      </c>
      <c r="S57" s="112">
        <v>0.8</v>
      </c>
      <c r="T57" s="112">
        <v>0.8</v>
      </c>
      <c r="U57" s="112">
        <v>0.8</v>
      </c>
      <c r="V57" s="112">
        <v>0.8</v>
      </c>
      <c r="W57" s="112">
        <v>0.8</v>
      </c>
      <c r="X57" s="112">
        <v>0.8</v>
      </c>
      <c r="Y57" s="112">
        <v>0.8</v>
      </c>
      <c r="Z57" s="112">
        <v>0</v>
      </c>
      <c r="AA57" s="112">
        <v>0.8</v>
      </c>
      <c r="AB57" s="112">
        <v>0.8</v>
      </c>
      <c r="AC57" s="112">
        <v>0.8</v>
      </c>
      <c r="AD57" s="112">
        <v>0.8</v>
      </c>
      <c r="AE57" s="112">
        <v>0.8</v>
      </c>
      <c r="AF57" s="112">
        <v>0.8</v>
      </c>
      <c r="AG57" s="112">
        <v>0.8</v>
      </c>
      <c r="AH57" s="112">
        <v>0.8</v>
      </c>
      <c r="AI57" s="112">
        <v>0.8</v>
      </c>
      <c r="AJ57" s="112">
        <v>0.8</v>
      </c>
      <c r="AK57" s="112">
        <v>0.8</v>
      </c>
      <c r="AL57" s="112">
        <v>0.8</v>
      </c>
      <c r="AM57" s="112">
        <v>0.8</v>
      </c>
      <c r="AN57" s="112">
        <v>0</v>
      </c>
      <c r="AO57" s="112">
        <v>0.8</v>
      </c>
      <c r="AP57" s="112">
        <v>0.8</v>
      </c>
      <c r="AQ57" s="112">
        <v>0.8</v>
      </c>
      <c r="AR57" s="112">
        <v>0.8</v>
      </c>
      <c r="AS57" s="112">
        <v>0.8</v>
      </c>
      <c r="AT57" s="112">
        <v>0.8</v>
      </c>
      <c r="AU57" s="112">
        <v>0.8</v>
      </c>
      <c r="AV57" s="112">
        <v>0.8</v>
      </c>
      <c r="AW57" s="112">
        <v>0.8</v>
      </c>
      <c r="AX57" s="112">
        <v>0.8</v>
      </c>
      <c r="AY57" s="112">
        <v>0.8</v>
      </c>
      <c r="AZ57" s="112">
        <v>0.8</v>
      </c>
      <c r="BA57" s="112">
        <v>0.8</v>
      </c>
      <c r="BB57" s="112">
        <v>0</v>
      </c>
      <c r="BC57" s="112">
        <v>0.8</v>
      </c>
      <c r="BD57" s="112">
        <v>0.8</v>
      </c>
      <c r="BE57" s="112">
        <v>0.8</v>
      </c>
      <c r="BF57" s="112">
        <v>0</v>
      </c>
      <c r="BG57" s="112">
        <v>0</v>
      </c>
      <c r="BH57" s="112">
        <v>0</v>
      </c>
      <c r="BI57" s="112">
        <v>0</v>
      </c>
      <c r="BJ57" s="112">
        <v>0</v>
      </c>
      <c r="BK57" s="112">
        <v>0</v>
      </c>
      <c r="BL57" s="112">
        <v>0</v>
      </c>
      <c r="BM57" s="112">
        <v>0</v>
      </c>
      <c r="BN57" s="112">
        <v>0</v>
      </c>
      <c r="BO57" s="112">
        <v>0</v>
      </c>
      <c r="BP57" s="112">
        <v>0</v>
      </c>
      <c r="BQ57" s="112">
        <v>0</v>
      </c>
      <c r="BR57" s="112">
        <v>0</v>
      </c>
      <c r="BS57" s="112">
        <v>0</v>
      </c>
    </row>
    <row r="58" spans="1:71" x14ac:dyDescent="0.15">
      <c r="A58" s="189" t="s">
        <v>249</v>
      </c>
      <c r="B58" s="112">
        <v>0</v>
      </c>
      <c r="C58" s="112">
        <v>0</v>
      </c>
      <c r="D58" s="112">
        <v>0</v>
      </c>
      <c r="E58" s="112">
        <v>0.8</v>
      </c>
      <c r="F58" s="112">
        <v>0.8</v>
      </c>
      <c r="G58" s="112">
        <v>0</v>
      </c>
      <c r="H58" s="112">
        <v>0</v>
      </c>
      <c r="I58" s="112">
        <v>0</v>
      </c>
      <c r="J58" s="112">
        <v>0.8</v>
      </c>
      <c r="K58" s="112">
        <v>0.8</v>
      </c>
      <c r="L58" s="112">
        <v>0.8</v>
      </c>
      <c r="M58" s="112">
        <v>0</v>
      </c>
      <c r="N58" s="112">
        <v>0.8</v>
      </c>
      <c r="O58" s="112">
        <v>0</v>
      </c>
      <c r="P58" s="112">
        <v>0</v>
      </c>
      <c r="Q58" s="112">
        <v>0</v>
      </c>
      <c r="R58" s="112">
        <v>0.8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0.8</v>
      </c>
      <c r="AJ58" s="112">
        <v>0</v>
      </c>
      <c r="AK58" s="112">
        <v>0</v>
      </c>
      <c r="AL58" s="112">
        <v>0.8</v>
      </c>
      <c r="AM58" s="112">
        <v>0</v>
      </c>
      <c r="AN58" s="112">
        <v>0</v>
      </c>
      <c r="AO58" s="112">
        <v>0.8</v>
      </c>
      <c r="AP58" s="112">
        <v>0.8</v>
      </c>
      <c r="AQ58" s="112">
        <v>0.8</v>
      </c>
      <c r="AR58" s="112">
        <v>0.8</v>
      </c>
      <c r="AS58" s="112">
        <v>0.8</v>
      </c>
      <c r="AT58" s="112">
        <v>0.8</v>
      </c>
      <c r="AU58" s="112">
        <v>0</v>
      </c>
      <c r="AV58" s="112">
        <v>0</v>
      </c>
      <c r="AW58" s="112">
        <v>0.8</v>
      </c>
      <c r="AX58" s="112">
        <v>0.8</v>
      </c>
      <c r="AY58" s="112">
        <v>0</v>
      </c>
      <c r="AZ58" s="112">
        <v>0</v>
      </c>
      <c r="BA58" s="112">
        <v>0.8</v>
      </c>
      <c r="BB58" s="112">
        <v>0</v>
      </c>
      <c r="BC58" s="112">
        <v>0.8</v>
      </c>
      <c r="BD58" s="112">
        <v>0.8</v>
      </c>
      <c r="BE58" s="112">
        <v>0.8</v>
      </c>
      <c r="BF58" s="112">
        <v>0.8</v>
      </c>
      <c r="BG58" s="112">
        <v>0</v>
      </c>
      <c r="BH58" s="112">
        <v>0</v>
      </c>
      <c r="BI58" s="112">
        <v>0</v>
      </c>
      <c r="BJ58" s="112">
        <v>0</v>
      </c>
      <c r="BK58" s="112">
        <v>0</v>
      </c>
      <c r="BL58" s="112">
        <v>0</v>
      </c>
      <c r="BM58" s="112">
        <v>0</v>
      </c>
      <c r="BN58" s="112">
        <v>0</v>
      </c>
      <c r="BO58" s="112">
        <v>0</v>
      </c>
      <c r="BP58" s="112">
        <v>0</v>
      </c>
      <c r="BQ58" s="112">
        <v>0</v>
      </c>
      <c r="BR58" s="112">
        <v>0</v>
      </c>
      <c r="BS58" s="112">
        <v>0</v>
      </c>
    </row>
    <row r="59" spans="1:71" x14ac:dyDescent="0.15">
      <c r="A59" s="189" t="s">
        <v>250</v>
      </c>
      <c r="B59" s="112">
        <v>0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0.8</v>
      </c>
      <c r="I59" s="112">
        <v>0</v>
      </c>
      <c r="J59" s="112">
        <v>0.8</v>
      </c>
      <c r="K59" s="112">
        <v>0</v>
      </c>
      <c r="L59" s="112">
        <v>0.8</v>
      </c>
      <c r="M59" s="112">
        <v>0</v>
      </c>
      <c r="N59" s="112">
        <v>0</v>
      </c>
      <c r="O59" s="112">
        <v>0.8</v>
      </c>
      <c r="P59" s="112">
        <v>0</v>
      </c>
      <c r="Q59" s="112">
        <v>0.8</v>
      </c>
      <c r="R59" s="112">
        <v>0</v>
      </c>
      <c r="S59" s="112">
        <v>0.8</v>
      </c>
      <c r="T59" s="112">
        <v>0</v>
      </c>
      <c r="U59" s="112">
        <v>0</v>
      </c>
      <c r="V59" s="112">
        <v>0</v>
      </c>
      <c r="W59" s="112">
        <v>0</v>
      </c>
      <c r="X59" s="112">
        <v>0.8</v>
      </c>
      <c r="Y59" s="112">
        <v>0</v>
      </c>
      <c r="Z59" s="112">
        <v>0</v>
      </c>
      <c r="AA59" s="112">
        <v>0</v>
      </c>
      <c r="AB59" s="112">
        <v>0</v>
      </c>
      <c r="AC59" s="112">
        <v>0</v>
      </c>
      <c r="AD59" s="112">
        <v>0</v>
      </c>
      <c r="AE59" s="112">
        <v>0</v>
      </c>
      <c r="AF59" s="112">
        <v>0</v>
      </c>
      <c r="AG59" s="112">
        <v>0</v>
      </c>
      <c r="AH59" s="112">
        <v>0</v>
      </c>
      <c r="AI59" s="112">
        <v>0</v>
      </c>
      <c r="AJ59" s="112">
        <v>0</v>
      </c>
      <c r="AK59" s="112">
        <v>0</v>
      </c>
      <c r="AL59" s="112">
        <v>0</v>
      </c>
      <c r="AM59" s="112">
        <v>0</v>
      </c>
      <c r="AN59" s="112">
        <v>0</v>
      </c>
      <c r="AO59" s="112">
        <v>0.8</v>
      </c>
      <c r="AP59" s="112">
        <v>0.8</v>
      </c>
      <c r="AQ59" s="112">
        <v>0.8</v>
      </c>
      <c r="AR59" s="112">
        <v>0.8</v>
      </c>
      <c r="AS59" s="112">
        <v>0.8</v>
      </c>
      <c r="AT59" s="112">
        <v>0</v>
      </c>
      <c r="AU59" s="112">
        <v>0.8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0</v>
      </c>
      <c r="BB59" s="112">
        <v>0</v>
      </c>
      <c r="BC59" s="112">
        <v>0.8</v>
      </c>
      <c r="BD59" s="112">
        <v>0</v>
      </c>
      <c r="BE59" s="112">
        <v>0</v>
      </c>
      <c r="BF59" s="112">
        <v>0</v>
      </c>
      <c r="BG59" s="112">
        <v>0.8</v>
      </c>
      <c r="BH59" s="112">
        <v>0.8</v>
      </c>
      <c r="BI59" s="112">
        <v>0.8</v>
      </c>
      <c r="BJ59" s="112">
        <v>0.8</v>
      </c>
      <c r="BK59" s="112">
        <v>0.8</v>
      </c>
      <c r="BL59" s="112">
        <v>0</v>
      </c>
      <c r="BM59" s="112">
        <v>0</v>
      </c>
      <c r="BN59" s="112">
        <v>0</v>
      </c>
      <c r="BO59" s="112">
        <v>0</v>
      </c>
      <c r="BP59" s="112">
        <v>0</v>
      </c>
      <c r="BQ59" s="112">
        <v>0</v>
      </c>
      <c r="BR59" s="112">
        <v>0</v>
      </c>
      <c r="BS59" s="112">
        <v>0</v>
      </c>
    </row>
    <row r="60" spans="1:71" x14ac:dyDescent="0.15">
      <c r="A60" s="189" t="s">
        <v>251</v>
      </c>
      <c r="B60" s="112">
        <v>0</v>
      </c>
      <c r="C60" s="112">
        <v>0</v>
      </c>
      <c r="D60" s="112">
        <v>0</v>
      </c>
      <c r="E60" s="112">
        <v>0</v>
      </c>
      <c r="F60" s="112">
        <v>0.8</v>
      </c>
      <c r="G60" s="112">
        <v>0</v>
      </c>
      <c r="H60" s="112">
        <v>0.8</v>
      </c>
      <c r="I60" s="112">
        <v>0</v>
      </c>
      <c r="J60" s="112">
        <v>0.8</v>
      </c>
      <c r="K60" s="112">
        <v>0</v>
      </c>
      <c r="L60" s="112">
        <v>0.8</v>
      </c>
      <c r="M60" s="112">
        <v>0</v>
      </c>
      <c r="N60" s="112">
        <v>0.8</v>
      </c>
      <c r="O60" s="112">
        <v>0.8</v>
      </c>
      <c r="P60" s="112">
        <v>0</v>
      </c>
      <c r="Q60" s="112">
        <v>0</v>
      </c>
      <c r="R60" s="112">
        <v>0.8</v>
      </c>
      <c r="S60" s="112">
        <v>0</v>
      </c>
      <c r="T60" s="112">
        <v>0.8</v>
      </c>
      <c r="U60" s="112">
        <v>0</v>
      </c>
      <c r="V60" s="112">
        <v>0</v>
      </c>
      <c r="W60" s="112">
        <v>0</v>
      </c>
      <c r="X60" s="112">
        <v>0.8</v>
      </c>
      <c r="Y60" s="112">
        <v>0</v>
      </c>
      <c r="Z60" s="112">
        <v>0</v>
      </c>
      <c r="AA60" s="112">
        <v>0</v>
      </c>
      <c r="AB60" s="112">
        <v>0</v>
      </c>
      <c r="AC60" s="112">
        <v>0</v>
      </c>
      <c r="AD60" s="112">
        <v>0.8</v>
      </c>
      <c r="AE60" s="112">
        <v>0</v>
      </c>
      <c r="AF60" s="112">
        <v>0.8</v>
      </c>
      <c r="AG60" s="112">
        <v>0</v>
      </c>
      <c r="AH60" s="112">
        <v>0</v>
      </c>
      <c r="AI60" s="112">
        <v>0.8</v>
      </c>
      <c r="AJ60" s="112">
        <v>0.8</v>
      </c>
      <c r="AK60" s="112">
        <v>0.8</v>
      </c>
      <c r="AL60" s="112">
        <v>0.8</v>
      </c>
      <c r="AM60" s="112">
        <v>0.8</v>
      </c>
      <c r="AN60" s="112">
        <v>0</v>
      </c>
      <c r="AO60" s="112">
        <v>0.8</v>
      </c>
      <c r="AP60" s="112">
        <v>0.8</v>
      </c>
      <c r="AQ60" s="112">
        <v>0.8</v>
      </c>
      <c r="AR60" s="112">
        <v>0.8</v>
      </c>
      <c r="AS60" s="112">
        <v>0.8</v>
      </c>
      <c r="AT60" s="112">
        <v>0.8</v>
      </c>
      <c r="AU60" s="112">
        <v>0.8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0</v>
      </c>
      <c r="BC60" s="112">
        <v>0.8</v>
      </c>
      <c r="BD60" s="112">
        <v>0</v>
      </c>
      <c r="BE60" s="112">
        <v>0</v>
      </c>
      <c r="BF60" s="112">
        <v>0</v>
      </c>
      <c r="BG60" s="112">
        <v>0</v>
      </c>
      <c r="BH60" s="112">
        <v>0.8</v>
      </c>
      <c r="BI60" s="112">
        <v>0.8</v>
      </c>
      <c r="BJ60" s="112">
        <v>0.8</v>
      </c>
      <c r="BK60" s="112">
        <v>0.8</v>
      </c>
      <c r="BL60" s="112">
        <v>0</v>
      </c>
      <c r="BM60" s="112">
        <v>0</v>
      </c>
      <c r="BN60" s="112">
        <v>0</v>
      </c>
      <c r="BO60" s="112">
        <v>0</v>
      </c>
      <c r="BP60" s="112">
        <v>0</v>
      </c>
      <c r="BQ60" s="112">
        <v>0</v>
      </c>
      <c r="BR60" s="112">
        <v>0</v>
      </c>
      <c r="BS60" s="112">
        <v>0</v>
      </c>
    </row>
    <row r="61" spans="1:71" x14ac:dyDescent="0.15">
      <c r="A61" s="189" t="s">
        <v>252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0.8</v>
      </c>
      <c r="I61" s="112">
        <v>0</v>
      </c>
      <c r="J61" s="112">
        <v>0.8</v>
      </c>
      <c r="K61" s="112">
        <v>0</v>
      </c>
      <c r="L61" s="112">
        <v>0</v>
      </c>
      <c r="M61" s="112">
        <v>0</v>
      </c>
      <c r="N61" s="112">
        <v>0</v>
      </c>
      <c r="O61" s="112">
        <v>0.8</v>
      </c>
      <c r="P61" s="112">
        <v>0</v>
      </c>
      <c r="Q61" s="112">
        <v>0</v>
      </c>
      <c r="R61" s="112">
        <v>0.8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0</v>
      </c>
      <c r="AK61" s="112">
        <v>0</v>
      </c>
      <c r="AL61" s="112">
        <v>0</v>
      </c>
      <c r="AM61" s="112">
        <v>0.8</v>
      </c>
      <c r="AN61" s="112">
        <v>0</v>
      </c>
      <c r="AO61" s="112">
        <v>0.8</v>
      </c>
      <c r="AP61" s="112">
        <v>0.8</v>
      </c>
      <c r="AQ61" s="112">
        <v>0.8</v>
      </c>
      <c r="AR61" s="112">
        <v>0.8</v>
      </c>
      <c r="AS61" s="112">
        <v>0.8</v>
      </c>
      <c r="AT61" s="112">
        <v>0</v>
      </c>
      <c r="AU61" s="112">
        <v>0.8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0</v>
      </c>
      <c r="BE61" s="112">
        <v>0</v>
      </c>
      <c r="BF61" s="112">
        <v>0</v>
      </c>
      <c r="BG61" s="112">
        <v>0</v>
      </c>
      <c r="BH61" s="112">
        <v>0.8</v>
      </c>
      <c r="BI61" s="112">
        <v>0.8</v>
      </c>
      <c r="BJ61" s="112">
        <v>0.8</v>
      </c>
      <c r="BK61" s="112">
        <v>0.8</v>
      </c>
      <c r="BL61" s="112">
        <v>0</v>
      </c>
      <c r="BM61" s="112">
        <v>0</v>
      </c>
      <c r="BN61" s="112">
        <v>0</v>
      </c>
      <c r="BO61" s="112">
        <v>0</v>
      </c>
      <c r="BP61" s="112">
        <v>0</v>
      </c>
      <c r="BQ61" s="112">
        <v>0</v>
      </c>
      <c r="BR61" s="112">
        <v>0</v>
      </c>
      <c r="BS61" s="112">
        <v>0</v>
      </c>
    </row>
    <row r="62" spans="1:71" x14ac:dyDescent="0.15">
      <c r="A62" s="189" t="s">
        <v>253</v>
      </c>
      <c r="B62" s="112">
        <v>0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0.8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0.8</v>
      </c>
      <c r="O62" s="112">
        <v>0.8</v>
      </c>
      <c r="P62" s="112">
        <v>0</v>
      </c>
      <c r="Q62" s="112">
        <v>0</v>
      </c>
      <c r="R62" s="112">
        <v>0.8</v>
      </c>
      <c r="S62" s="112">
        <v>0</v>
      </c>
      <c r="T62" s="112">
        <v>0.8</v>
      </c>
      <c r="U62" s="112">
        <v>0.8</v>
      </c>
      <c r="V62" s="112">
        <v>0</v>
      </c>
      <c r="W62" s="112">
        <v>0</v>
      </c>
      <c r="X62" s="112">
        <v>0.8</v>
      </c>
      <c r="Y62" s="112">
        <v>0.8</v>
      </c>
      <c r="Z62" s="112">
        <v>0</v>
      </c>
      <c r="AA62" s="112">
        <v>0</v>
      </c>
      <c r="AB62" s="112">
        <v>0</v>
      </c>
      <c r="AC62" s="112">
        <v>0</v>
      </c>
      <c r="AD62" s="112">
        <v>0.8</v>
      </c>
      <c r="AE62" s="112">
        <v>0</v>
      </c>
      <c r="AF62" s="112">
        <v>0</v>
      </c>
      <c r="AG62" s="112">
        <v>0</v>
      </c>
      <c r="AH62" s="112">
        <v>0</v>
      </c>
      <c r="AI62" s="112">
        <v>0</v>
      </c>
      <c r="AJ62" s="112">
        <v>0</v>
      </c>
      <c r="AK62" s="112">
        <v>0</v>
      </c>
      <c r="AL62" s="112">
        <v>0</v>
      </c>
      <c r="AM62" s="112">
        <v>0.8</v>
      </c>
      <c r="AN62" s="112">
        <v>0</v>
      </c>
      <c r="AO62" s="112">
        <v>0.8</v>
      </c>
      <c r="AP62" s="112">
        <v>0.8</v>
      </c>
      <c r="AQ62" s="112">
        <v>0.8</v>
      </c>
      <c r="AR62" s="112">
        <v>0.8</v>
      </c>
      <c r="AS62" s="112">
        <v>0.8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0</v>
      </c>
      <c r="BC62" s="112">
        <v>0.8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0.8</v>
      </c>
      <c r="BJ62" s="112">
        <v>0.8</v>
      </c>
      <c r="BK62" s="112">
        <v>0</v>
      </c>
      <c r="BL62" s="112">
        <v>0</v>
      </c>
      <c r="BM62" s="112">
        <v>0</v>
      </c>
      <c r="BN62" s="112">
        <v>0</v>
      </c>
      <c r="BO62" s="112">
        <v>0</v>
      </c>
      <c r="BP62" s="112">
        <v>0</v>
      </c>
      <c r="BQ62" s="112">
        <v>0</v>
      </c>
      <c r="BR62" s="112">
        <v>0</v>
      </c>
      <c r="BS62" s="112">
        <v>0</v>
      </c>
    </row>
    <row r="63" spans="1:71" x14ac:dyDescent="0.15">
      <c r="A63" s="189" t="s">
        <v>254</v>
      </c>
      <c r="B63" s="112">
        <v>0</v>
      </c>
      <c r="C63" s="112">
        <v>0</v>
      </c>
      <c r="D63" s="112">
        <v>0</v>
      </c>
      <c r="E63" s="112">
        <v>0</v>
      </c>
      <c r="F63" s="112">
        <v>0</v>
      </c>
      <c r="G63" s="112">
        <v>0.8</v>
      </c>
      <c r="H63" s="112">
        <v>0.8</v>
      </c>
      <c r="I63" s="112">
        <v>0</v>
      </c>
      <c r="J63" s="112">
        <v>0</v>
      </c>
      <c r="K63" s="112">
        <v>0</v>
      </c>
      <c r="L63" s="112">
        <v>0</v>
      </c>
      <c r="M63" s="112">
        <v>0</v>
      </c>
      <c r="N63" s="112">
        <v>0</v>
      </c>
      <c r="O63" s="112">
        <v>0</v>
      </c>
      <c r="P63" s="112">
        <v>0</v>
      </c>
      <c r="Q63" s="112">
        <v>0</v>
      </c>
      <c r="R63" s="112">
        <v>0</v>
      </c>
      <c r="S63" s="112">
        <v>0</v>
      </c>
      <c r="T63" s="112">
        <v>0</v>
      </c>
      <c r="U63" s="112">
        <v>0</v>
      </c>
      <c r="V63" s="112">
        <v>0</v>
      </c>
      <c r="W63" s="112">
        <v>0</v>
      </c>
      <c r="X63" s="112">
        <v>0</v>
      </c>
      <c r="Y63" s="112">
        <v>0</v>
      </c>
      <c r="Z63" s="112">
        <v>0</v>
      </c>
      <c r="AA63" s="112">
        <v>0</v>
      </c>
      <c r="AB63" s="112">
        <v>0</v>
      </c>
      <c r="AC63" s="112">
        <v>0</v>
      </c>
      <c r="AD63" s="112">
        <v>0</v>
      </c>
      <c r="AE63" s="112">
        <v>0</v>
      </c>
      <c r="AF63" s="112">
        <v>0</v>
      </c>
      <c r="AG63" s="112">
        <v>0</v>
      </c>
      <c r="AH63" s="112">
        <v>0</v>
      </c>
      <c r="AI63" s="112">
        <v>0</v>
      </c>
      <c r="AJ63" s="112">
        <v>0</v>
      </c>
      <c r="AK63" s="112">
        <v>0</v>
      </c>
      <c r="AL63" s="112">
        <v>0</v>
      </c>
      <c r="AM63" s="112">
        <v>0</v>
      </c>
      <c r="AN63" s="112">
        <v>0</v>
      </c>
      <c r="AO63" s="112">
        <v>0</v>
      </c>
      <c r="AP63" s="112">
        <v>0</v>
      </c>
      <c r="AQ63" s="112">
        <v>0.8</v>
      </c>
      <c r="AR63" s="112">
        <v>0</v>
      </c>
      <c r="AS63" s="112">
        <v>0</v>
      </c>
      <c r="AT63" s="112">
        <v>0</v>
      </c>
      <c r="AU63" s="112">
        <v>0</v>
      </c>
      <c r="AV63" s="112">
        <v>0</v>
      </c>
      <c r="AW63" s="112">
        <v>0</v>
      </c>
      <c r="AX63" s="112">
        <v>0</v>
      </c>
      <c r="AY63" s="112">
        <v>0</v>
      </c>
      <c r="AZ63" s="112">
        <v>0</v>
      </c>
      <c r="BA63" s="112">
        <v>0</v>
      </c>
      <c r="BB63" s="112">
        <v>0</v>
      </c>
      <c r="BC63" s="112">
        <v>0.8</v>
      </c>
      <c r="BD63" s="112">
        <v>0</v>
      </c>
      <c r="BE63" s="112">
        <v>0</v>
      </c>
      <c r="BF63" s="112">
        <v>0</v>
      </c>
      <c r="BG63" s="112">
        <v>0</v>
      </c>
      <c r="BH63" s="112">
        <v>0</v>
      </c>
      <c r="BI63" s="112">
        <v>0</v>
      </c>
      <c r="BJ63" s="112">
        <v>0</v>
      </c>
      <c r="BK63" s="112">
        <v>0</v>
      </c>
      <c r="BL63" s="112">
        <v>0</v>
      </c>
      <c r="BM63" s="112">
        <v>0</v>
      </c>
      <c r="BN63" s="112">
        <v>0</v>
      </c>
      <c r="BO63" s="112">
        <v>0</v>
      </c>
      <c r="BP63" s="112">
        <v>0</v>
      </c>
      <c r="BQ63" s="112">
        <v>0</v>
      </c>
      <c r="BR63" s="112">
        <v>0</v>
      </c>
      <c r="BS63" s="112">
        <v>0</v>
      </c>
    </row>
    <row r="64" spans="1:71" x14ac:dyDescent="0.15">
      <c r="A64" s="189" t="s">
        <v>255</v>
      </c>
      <c r="B64" s="112">
        <v>0</v>
      </c>
      <c r="C64" s="112">
        <v>0</v>
      </c>
      <c r="D64" s="112">
        <v>0</v>
      </c>
      <c r="E64" s="112">
        <v>0</v>
      </c>
      <c r="F64" s="112">
        <v>0.8</v>
      </c>
      <c r="G64" s="112">
        <v>0</v>
      </c>
      <c r="H64" s="112">
        <v>0.8</v>
      </c>
      <c r="I64" s="112">
        <v>0</v>
      </c>
      <c r="J64" s="112">
        <v>0</v>
      </c>
      <c r="K64" s="112">
        <v>0</v>
      </c>
      <c r="L64" s="112">
        <v>0</v>
      </c>
      <c r="M64" s="112">
        <v>0</v>
      </c>
      <c r="N64" s="112">
        <v>0</v>
      </c>
      <c r="O64" s="112">
        <v>0</v>
      </c>
      <c r="P64" s="112">
        <v>0</v>
      </c>
      <c r="Q64" s="112">
        <v>0</v>
      </c>
      <c r="R64" s="112">
        <v>0</v>
      </c>
      <c r="S64" s="112">
        <v>0</v>
      </c>
      <c r="T64" s="112">
        <v>0</v>
      </c>
      <c r="U64" s="112">
        <v>0</v>
      </c>
      <c r="V64" s="112">
        <v>0</v>
      </c>
      <c r="W64" s="112">
        <v>0</v>
      </c>
      <c r="X64" s="112">
        <v>0</v>
      </c>
      <c r="Y64" s="112">
        <v>0</v>
      </c>
      <c r="Z64" s="112">
        <v>0</v>
      </c>
      <c r="AA64" s="112">
        <v>0</v>
      </c>
      <c r="AB64" s="112">
        <v>0</v>
      </c>
      <c r="AC64" s="112">
        <v>0</v>
      </c>
      <c r="AD64" s="112">
        <v>0</v>
      </c>
      <c r="AE64" s="112">
        <v>0</v>
      </c>
      <c r="AF64" s="112">
        <v>0</v>
      </c>
      <c r="AG64" s="112">
        <v>0</v>
      </c>
      <c r="AH64" s="112">
        <v>0</v>
      </c>
      <c r="AI64" s="112">
        <v>0.8</v>
      </c>
      <c r="AJ64" s="112">
        <v>0</v>
      </c>
      <c r="AK64" s="112">
        <v>0</v>
      </c>
      <c r="AL64" s="112">
        <v>0</v>
      </c>
      <c r="AM64" s="112">
        <v>0</v>
      </c>
      <c r="AN64" s="112">
        <v>0</v>
      </c>
      <c r="AO64" s="112">
        <v>0.8</v>
      </c>
      <c r="AP64" s="112">
        <v>0.8</v>
      </c>
      <c r="AQ64" s="112">
        <v>0.8</v>
      </c>
      <c r="AR64" s="112">
        <v>0.8</v>
      </c>
      <c r="AS64" s="112">
        <v>0.8</v>
      </c>
      <c r="AT64" s="112">
        <v>0.8</v>
      </c>
      <c r="AU64" s="112">
        <v>0</v>
      </c>
      <c r="AV64" s="112">
        <v>0</v>
      </c>
      <c r="AW64" s="112">
        <v>0</v>
      </c>
      <c r="AX64" s="112">
        <v>0</v>
      </c>
      <c r="AY64" s="112">
        <v>0</v>
      </c>
      <c r="AZ64" s="112">
        <v>0</v>
      </c>
      <c r="BA64" s="112">
        <v>0.8</v>
      </c>
      <c r="BB64" s="112">
        <v>0.8</v>
      </c>
      <c r="BC64" s="112">
        <v>0.8</v>
      </c>
      <c r="BD64" s="112">
        <v>0.8</v>
      </c>
      <c r="BE64" s="112">
        <v>0.8</v>
      </c>
      <c r="BF64" s="112">
        <v>0.8</v>
      </c>
      <c r="BG64" s="112">
        <v>0.8</v>
      </c>
      <c r="BH64" s="112">
        <v>0.8</v>
      </c>
      <c r="BI64" s="112">
        <v>0.8</v>
      </c>
      <c r="BJ64" s="112">
        <v>0.8</v>
      </c>
      <c r="BK64" s="112">
        <v>0.8</v>
      </c>
      <c r="BL64" s="112">
        <v>0</v>
      </c>
      <c r="BM64" s="112">
        <v>0</v>
      </c>
      <c r="BN64" s="112">
        <v>0</v>
      </c>
      <c r="BO64" s="112">
        <v>0</v>
      </c>
      <c r="BP64" s="112">
        <v>0</v>
      </c>
      <c r="BQ64" s="112">
        <v>0</v>
      </c>
      <c r="BR64" s="112">
        <v>0</v>
      </c>
      <c r="BS64" s="112">
        <v>0</v>
      </c>
    </row>
    <row r="65" spans="1:71" x14ac:dyDescent="0.15">
      <c r="A65" s="189" t="s">
        <v>256</v>
      </c>
      <c r="B65" s="112">
        <v>0</v>
      </c>
      <c r="C65" s="112">
        <v>0</v>
      </c>
      <c r="D65" s="112">
        <v>0.8</v>
      </c>
      <c r="E65" s="112">
        <v>0.8</v>
      </c>
      <c r="F65" s="112">
        <v>0.8</v>
      </c>
      <c r="G65" s="112">
        <v>0</v>
      </c>
      <c r="H65" s="112">
        <v>0.8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N65" s="112">
        <v>0.8</v>
      </c>
      <c r="O65" s="112">
        <v>0</v>
      </c>
      <c r="P65" s="112">
        <v>0</v>
      </c>
      <c r="Q65" s="112">
        <v>0</v>
      </c>
      <c r="R65" s="112">
        <v>0.8</v>
      </c>
      <c r="S65" s="112">
        <v>0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12">
        <v>0</v>
      </c>
      <c r="AA65" s="112">
        <v>0</v>
      </c>
      <c r="AB65" s="112">
        <v>0</v>
      </c>
      <c r="AC65" s="112">
        <v>0</v>
      </c>
      <c r="AD65" s="112">
        <v>0</v>
      </c>
      <c r="AE65" s="112">
        <v>0</v>
      </c>
      <c r="AF65" s="112">
        <v>0</v>
      </c>
      <c r="AG65" s="112">
        <v>0</v>
      </c>
      <c r="AH65" s="112">
        <v>0</v>
      </c>
      <c r="AI65" s="112">
        <v>0</v>
      </c>
      <c r="AJ65" s="112">
        <v>0</v>
      </c>
      <c r="AK65" s="112">
        <v>0.8</v>
      </c>
      <c r="AL65" s="112">
        <v>0.8</v>
      </c>
      <c r="AM65" s="112">
        <v>0.8</v>
      </c>
      <c r="AN65" s="112">
        <v>0</v>
      </c>
      <c r="AO65" s="112">
        <v>0.8</v>
      </c>
      <c r="AP65" s="112">
        <v>0.8</v>
      </c>
      <c r="AQ65" s="112">
        <v>0.8</v>
      </c>
      <c r="AR65" s="112">
        <v>0.8</v>
      </c>
      <c r="AS65" s="112">
        <v>0.8</v>
      </c>
      <c r="AT65" s="112">
        <v>0.8</v>
      </c>
      <c r="AU65" s="112">
        <v>0</v>
      </c>
      <c r="AV65" s="112">
        <v>0.8</v>
      </c>
      <c r="AW65" s="112">
        <v>0.8</v>
      </c>
      <c r="AX65" s="112">
        <v>0.8</v>
      </c>
      <c r="AY65" s="112">
        <v>0</v>
      </c>
      <c r="AZ65" s="112">
        <v>0</v>
      </c>
      <c r="BA65" s="112">
        <v>0.8</v>
      </c>
      <c r="BB65" s="112">
        <v>0</v>
      </c>
      <c r="BC65" s="112">
        <v>0</v>
      </c>
      <c r="BD65" s="112">
        <v>0</v>
      </c>
      <c r="BE65" s="112">
        <v>0.8</v>
      </c>
      <c r="BF65" s="112">
        <v>0</v>
      </c>
      <c r="BG65" s="112">
        <v>0</v>
      </c>
      <c r="BH65" s="112">
        <v>0</v>
      </c>
      <c r="BI65" s="112">
        <v>0</v>
      </c>
      <c r="BJ65" s="112">
        <v>0</v>
      </c>
      <c r="BK65" s="112">
        <v>0</v>
      </c>
      <c r="BL65" s="112">
        <v>0</v>
      </c>
      <c r="BM65" s="112">
        <v>0</v>
      </c>
      <c r="BN65" s="112">
        <v>0</v>
      </c>
      <c r="BO65" s="112">
        <v>0</v>
      </c>
      <c r="BP65" s="112">
        <v>0</v>
      </c>
      <c r="BQ65" s="112">
        <v>0</v>
      </c>
      <c r="BR65" s="112">
        <v>0</v>
      </c>
      <c r="BS65" s="112">
        <v>0</v>
      </c>
    </row>
    <row r="66" spans="1:71" x14ac:dyDescent="0.15">
      <c r="A66" s="189" t="s">
        <v>257</v>
      </c>
      <c r="B66" s="112">
        <v>0</v>
      </c>
      <c r="C66" s="112">
        <v>0</v>
      </c>
      <c r="D66" s="112">
        <v>0</v>
      </c>
      <c r="E66" s="112">
        <v>0</v>
      </c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N66" s="112">
        <v>0</v>
      </c>
      <c r="O66" s="112">
        <v>0</v>
      </c>
      <c r="P66" s="112">
        <v>0</v>
      </c>
      <c r="Q66" s="112">
        <v>0</v>
      </c>
      <c r="R66" s="112">
        <v>0</v>
      </c>
      <c r="S66" s="112">
        <v>0</v>
      </c>
      <c r="T66" s="112">
        <v>0</v>
      </c>
      <c r="U66" s="112">
        <v>0</v>
      </c>
      <c r="V66" s="112">
        <v>0</v>
      </c>
      <c r="W66" s="112">
        <v>0</v>
      </c>
      <c r="X66" s="112">
        <v>0</v>
      </c>
      <c r="Y66" s="112">
        <v>0</v>
      </c>
      <c r="Z66" s="112">
        <v>0</v>
      </c>
      <c r="AA66" s="112">
        <v>0</v>
      </c>
      <c r="AB66" s="112">
        <v>0</v>
      </c>
      <c r="AC66" s="112">
        <v>0</v>
      </c>
      <c r="AD66" s="112">
        <v>0</v>
      </c>
      <c r="AE66" s="112">
        <v>0</v>
      </c>
      <c r="AF66" s="112">
        <v>0</v>
      </c>
      <c r="AG66" s="112">
        <v>0</v>
      </c>
      <c r="AH66" s="112">
        <v>0</v>
      </c>
      <c r="AI66" s="112">
        <v>0</v>
      </c>
      <c r="AJ66" s="112">
        <v>0</v>
      </c>
      <c r="AK66" s="112">
        <v>0</v>
      </c>
      <c r="AL66" s="112">
        <v>0</v>
      </c>
      <c r="AM66" s="112">
        <v>0.8</v>
      </c>
      <c r="AN66" s="112">
        <v>0</v>
      </c>
      <c r="AO66" s="112">
        <v>0</v>
      </c>
      <c r="AP66" s="112">
        <v>0.8</v>
      </c>
      <c r="AQ66" s="112">
        <v>0.8</v>
      </c>
      <c r="AR66" s="112">
        <v>0.8</v>
      </c>
      <c r="AS66" s="112">
        <v>0.8</v>
      </c>
      <c r="AT66" s="112">
        <v>0.8</v>
      </c>
      <c r="AU66" s="112">
        <v>0</v>
      </c>
      <c r="AV66" s="112">
        <v>0.8</v>
      </c>
      <c r="AW66" s="112">
        <v>0</v>
      </c>
      <c r="AX66" s="112">
        <v>0</v>
      </c>
      <c r="AY66" s="112">
        <v>0</v>
      </c>
      <c r="AZ66" s="112">
        <v>0</v>
      </c>
      <c r="BA66" s="112">
        <v>0.8</v>
      </c>
      <c r="BB66" s="112">
        <v>0.8</v>
      </c>
      <c r="BC66" s="112">
        <v>0.8</v>
      </c>
      <c r="BD66" s="112">
        <v>0.8</v>
      </c>
      <c r="BE66" s="112">
        <v>0.8</v>
      </c>
      <c r="BF66" s="112">
        <v>0.8</v>
      </c>
      <c r="BG66" s="112">
        <v>0.8</v>
      </c>
      <c r="BH66" s="112">
        <v>0.8</v>
      </c>
      <c r="BI66" s="112">
        <v>0</v>
      </c>
      <c r="BJ66" s="112">
        <v>0.8</v>
      </c>
      <c r="BK66" s="112">
        <v>0</v>
      </c>
      <c r="BL66" s="112">
        <v>0.8</v>
      </c>
      <c r="BM66" s="112">
        <v>0</v>
      </c>
      <c r="BN66" s="112">
        <v>0</v>
      </c>
      <c r="BO66" s="112">
        <v>0</v>
      </c>
      <c r="BP66" s="112">
        <v>0</v>
      </c>
      <c r="BQ66" s="112">
        <v>0</v>
      </c>
      <c r="BR66" s="112">
        <v>0</v>
      </c>
      <c r="BS66" s="112">
        <v>0</v>
      </c>
    </row>
    <row r="67" spans="1:71" x14ac:dyDescent="0.15">
      <c r="A67" s="189" t="s">
        <v>258</v>
      </c>
      <c r="B67" s="112">
        <v>0</v>
      </c>
      <c r="C67" s="112">
        <v>0</v>
      </c>
      <c r="D67" s="112">
        <v>0</v>
      </c>
      <c r="E67" s="112">
        <v>0</v>
      </c>
      <c r="F67" s="112">
        <v>0.8</v>
      </c>
      <c r="G67" s="112">
        <v>0</v>
      </c>
      <c r="H67" s="112">
        <v>0.8</v>
      </c>
      <c r="I67" s="112">
        <v>0</v>
      </c>
      <c r="J67" s="112">
        <v>0</v>
      </c>
      <c r="K67" s="112">
        <v>0</v>
      </c>
      <c r="L67" s="112">
        <v>0</v>
      </c>
      <c r="M67" s="112">
        <v>0</v>
      </c>
      <c r="N67" s="112">
        <v>0</v>
      </c>
      <c r="O67" s="112">
        <v>0</v>
      </c>
      <c r="P67" s="112">
        <v>0</v>
      </c>
      <c r="Q67" s="112">
        <v>0</v>
      </c>
      <c r="R67" s="112">
        <v>0</v>
      </c>
      <c r="S67" s="112">
        <v>0</v>
      </c>
      <c r="T67" s="112">
        <v>0</v>
      </c>
      <c r="U67" s="112">
        <v>0</v>
      </c>
      <c r="V67" s="112">
        <v>0</v>
      </c>
      <c r="W67" s="112">
        <v>0</v>
      </c>
      <c r="X67" s="112">
        <v>0</v>
      </c>
      <c r="Y67" s="112">
        <v>0</v>
      </c>
      <c r="Z67" s="112">
        <v>0</v>
      </c>
      <c r="AA67" s="112">
        <v>0</v>
      </c>
      <c r="AB67" s="112">
        <v>0</v>
      </c>
      <c r="AC67" s="112">
        <v>0</v>
      </c>
      <c r="AD67" s="112">
        <v>0</v>
      </c>
      <c r="AE67" s="112">
        <v>0</v>
      </c>
      <c r="AF67" s="112">
        <v>0</v>
      </c>
      <c r="AG67" s="112">
        <v>0</v>
      </c>
      <c r="AH67" s="112">
        <v>0</v>
      </c>
      <c r="AI67" s="112">
        <v>0</v>
      </c>
      <c r="AJ67" s="112">
        <v>0</v>
      </c>
      <c r="AK67" s="112">
        <v>0</v>
      </c>
      <c r="AL67" s="112">
        <v>0</v>
      </c>
      <c r="AM67" s="112">
        <v>0.8</v>
      </c>
      <c r="AN67" s="112">
        <v>0</v>
      </c>
      <c r="AO67" s="112">
        <v>0</v>
      </c>
      <c r="AP67" s="112">
        <v>0.8</v>
      </c>
      <c r="AQ67" s="112">
        <v>0.8</v>
      </c>
      <c r="AR67" s="112">
        <v>0.8</v>
      </c>
      <c r="AS67" s="112">
        <v>0.8</v>
      </c>
      <c r="AT67" s="112">
        <v>0.8</v>
      </c>
      <c r="AU67" s="112">
        <v>0</v>
      </c>
      <c r="AV67" s="112">
        <v>0</v>
      </c>
      <c r="AW67" s="112">
        <v>0</v>
      </c>
      <c r="AX67" s="112">
        <v>0</v>
      </c>
      <c r="AY67" s="112">
        <v>0</v>
      </c>
      <c r="AZ67" s="112">
        <v>0</v>
      </c>
      <c r="BA67" s="112">
        <v>0.8</v>
      </c>
      <c r="BB67" s="112">
        <v>0.8</v>
      </c>
      <c r="BC67" s="112">
        <v>0.8</v>
      </c>
      <c r="BD67" s="112">
        <v>0.8</v>
      </c>
      <c r="BE67" s="112">
        <v>0.8</v>
      </c>
      <c r="BF67" s="112">
        <v>0</v>
      </c>
      <c r="BG67" s="112">
        <v>0.8</v>
      </c>
      <c r="BH67" s="112">
        <v>0.8</v>
      </c>
      <c r="BI67" s="112">
        <v>0.8</v>
      </c>
      <c r="BJ67" s="112">
        <v>0.8</v>
      </c>
      <c r="BK67" s="112">
        <v>0.8</v>
      </c>
      <c r="BL67" s="112">
        <v>0.8</v>
      </c>
      <c r="BM67" s="112">
        <v>0</v>
      </c>
      <c r="BN67" s="112">
        <v>0</v>
      </c>
      <c r="BO67" s="112">
        <v>0</v>
      </c>
      <c r="BP67" s="112">
        <v>0</v>
      </c>
      <c r="BQ67" s="112">
        <v>0</v>
      </c>
      <c r="BR67" s="112">
        <v>0</v>
      </c>
      <c r="BS67" s="112">
        <v>0</v>
      </c>
    </row>
    <row r="68" spans="1:71" x14ac:dyDescent="0.15">
      <c r="A68" s="189" t="s">
        <v>259</v>
      </c>
      <c r="B68" s="112">
        <v>0</v>
      </c>
      <c r="C68" s="112">
        <v>0</v>
      </c>
      <c r="D68" s="112">
        <v>0.8</v>
      </c>
      <c r="E68" s="112">
        <v>0.8</v>
      </c>
      <c r="F68" s="112">
        <v>0</v>
      </c>
      <c r="G68" s="112">
        <v>0</v>
      </c>
      <c r="H68" s="112">
        <v>0.8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12">
        <v>0.8</v>
      </c>
      <c r="O68" s="112">
        <v>0</v>
      </c>
      <c r="P68" s="112">
        <v>0</v>
      </c>
      <c r="Q68" s="112">
        <v>0</v>
      </c>
      <c r="R68" s="112">
        <v>0</v>
      </c>
      <c r="S68" s="112">
        <v>0</v>
      </c>
      <c r="T68" s="112">
        <v>0</v>
      </c>
      <c r="U68" s="112">
        <v>0</v>
      </c>
      <c r="V68" s="112">
        <v>0</v>
      </c>
      <c r="W68" s="112">
        <v>0</v>
      </c>
      <c r="X68" s="112">
        <v>0</v>
      </c>
      <c r="Y68" s="112">
        <v>0</v>
      </c>
      <c r="Z68" s="112">
        <v>0</v>
      </c>
      <c r="AA68" s="112">
        <v>0</v>
      </c>
      <c r="AB68" s="112">
        <v>0</v>
      </c>
      <c r="AC68" s="112">
        <v>0</v>
      </c>
      <c r="AD68" s="112">
        <v>0</v>
      </c>
      <c r="AE68" s="112">
        <v>0</v>
      </c>
      <c r="AF68" s="112">
        <v>0</v>
      </c>
      <c r="AG68" s="112">
        <v>0</v>
      </c>
      <c r="AH68" s="112">
        <v>0</v>
      </c>
      <c r="AI68" s="112">
        <v>0</v>
      </c>
      <c r="AJ68" s="112">
        <v>0</v>
      </c>
      <c r="AK68" s="112">
        <v>0</v>
      </c>
      <c r="AL68" s="112">
        <v>0.8</v>
      </c>
      <c r="AM68" s="112">
        <v>0.8</v>
      </c>
      <c r="AN68" s="112">
        <v>0</v>
      </c>
      <c r="AO68" s="112">
        <v>0.8</v>
      </c>
      <c r="AP68" s="112">
        <v>0.8</v>
      </c>
      <c r="AQ68" s="112">
        <v>0.8</v>
      </c>
      <c r="AR68" s="112">
        <v>0.8</v>
      </c>
      <c r="AS68" s="112">
        <v>0.8</v>
      </c>
      <c r="AT68" s="112">
        <v>0</v>
      </c>
      <c r="AU68" s="112">
        <v>0</v>
      </c>
      <c r="AV68" s="112">
        <v>0</v>
      </c>
      <c r="AW68" s="112">
        <v>0</v>
      </c>
      <c r="AX68" s="112">
        <v>0</v>
      </c>
      <c r="AY68" s="112">
        <v>0</v>
      </c>
      <c r="AZ68" s="112">
        <v>0</v>
      </c>
      <c r="BA68" s="112">
        <v>0.8</v>
      </c>
      <c r="BB68" s="112">
        <v>0</v>
      </c>
      <c r="BC68" s="112">
        <v>0</v>
      </c>
      <c r="BD68" s="112">
        <v>0</v>
      </c>
      <c r="BE68" s="112">
        <v>0.8</v>
      </c>
      <c r="BF68" s="112">
        <v>0</v>
      </c>
      <c r="BG68" s="112">
        <v>0</v>
      </c>
      <c r="BH68" s="112">
        <v>0</v>
      </c>
      <c r="BI68" s="112">
        <v>0</v>
      </c>
      <c r="BJ68" s="112">
        <v>0</v>
      </c>
      <c r="BK68" s="112">
        <v>0</v>
      </c>
      <c r="BL68" s="112">
        <v>0</v>
      </c>
      <c r="BM68" s="112">
        <v>0</v>
      </c>
      <c r="BN68" s="112">
        <v>0</v>
      </c>
      <c r="BO68" s="112">
        <v>0</v>
      </c>
      <c r="BP68" s="112">
        <v>0</v>
      </c>
      <c r="BQ68" s="112">
        <v>0</v>
      </c>
      <c r="BR68" s="112">
        <v>0</v>
      </c>
      <c r="BS68" s="112">
        <v>0</v>
      </c>
    </row>
    <row r="69" spans="1:71" x14ac:dyDescent="0.15">
      <c r="A69" s="189" t="s">
        <v>260</v>
      </c>
      <c r="B69" s="112">
        <v>0</v>
      </c>
      <c r="C69" s="112">
        <v>0</v>
      </c>
      <c r="D69" s="112">
        <v>0</v>
      </c>
      <c r="E69" s="112">
        <v>0</v>
      </c>
      <c r="F69" s="112">
        <v>0</v>
      </c>
      <c r="G69" s="112">
        <v>0</v>
      </c>
      <c r="H69" s="112">
        <v>0.8</v>
      </c>
      <c r="I69" s="112">
        <v>0</v>
      </c>
      <c r="J69" s="112">
        <v>0</v>
      </c>
      <c r="K69" s="112">
        <v>0</v>
      </c>
      <c r="L69" s="112">
        <v>0</v>
      </c>
      <c r="M69" s="112">
        <v>0</v>
      </c>
      <c r="N69" s="112">
        <v>0.8</v>
      </c>
      <c r="O69" s="112">
        <v>0</v>
      </c>
      <c r="P69" s="112">
        <v>0</v>
      </c>
      <c r="Q69" s="112">
        <v>0</v>
      </c>
      <c r="R69" s="112">
        <v>0</v>
      </c>
      <c r="S69" s="112">
        <v>0</v>
      </c>
      <c r="T69" s="112">
        <v>0</v>
      </c>
      <c r="U69" s="112">
        <v>0</v>
      </c>
      <c r="V69" s="112">
        <v>0</v>
      </c>
      <c r="W69" s="112">
        <v>0</v>
      </c>
      <c r="X69" s="112">
        <v>0</v>
      </c>
      <c r="Y69" s="112">
        <v>0</v>
      </c>
      <c r="Z69" s="112">
        <v>0</v>
      </c>
      <c r="AA69" s="112">
        <v>0</v>
      </c>
      <c r="AB69" s="112">
        <v>0</v>
      </c>
      <c r="AC69" s="112">
        <v>0</v>
      </c>
      <c r="AD69" s="112">
        <v>0</v>
      </c>
      <c r="AE69" s="112">
        <v>0</v>
      </c>
      <c r="AF69" s="112">
        <v>0</v>
      </c>
      <c r="AG69" s="112">
        <v>0</v>
      </c>
      <c r="AH69" s="112">
        <v>0</v>
      </c>
      <c r="AI69" s="112">
        <v>0</v>
      </c>
      <c r="AJ69" s="112">
        <v>0</v>
      </c>
      <c r="AK69" s="112">
        <v>0</v>
      </c>
      <c r="AL69" s="112">
        <v>0</v>
      </c>
      <c r="AM69" s="112">
        <v>0</v>
      </c>
      <c r="AN69" s="112">
        <v>0</v>
      </c>
      <c r="AO69" s="112">
        <v>0</v>
      </c>
      <c r="AP69" s="112">
        <v>0</v>
      </c>
      <c r="AQ69" s="112">
        <v>0</v>
      </c>
      <c r="AR69" s="112">
        <v>0.8</v>
      </c>
      <c r="AS69" s="112">
        <v>0.8</v>
      </c>
      <c r="AT69" s="112">
        <v>0.8</v>
      </c>
      <c r="AU69" s="112">
        <v>0</v>
      </c>
      <c r="AV69" s="112">
        <v>0</v>
      </c>
      <c r="AW69" s="112">
        <v>0</v>
      </c>
      <c r="AX69" s="112">
        <v>0</v>
      </c>
      <c r="AY69" s="112">
        <v>0</v>
      </c>
      <c r="AZ69" s="112">
        <v>0</v>
      </c>
      <c r="BA69" s="112">
        <v>0.8</v>
      </c>
      <c r="BB69" s="112">
        <v>0.8</v>
      </c>
      <c r="BC69" s="112">
        <v>0.8</v>
      </c>
      <c r="BD69" s="112">
        <v>0.8</v>
      </c>
      <c r="BE69" s="112">
        <v>0.8</v>
      </c>
      <c r="BF69" s="112">
        <v>0</v>
      </c>
      <c r="BG69" s="112">
        <v>0.8</v>
      </c>
      <c r="BH69" s="112">
        <v>0.8</v>
      </c>
      <c r="BI69" s="112">
        <v>0.8</v>
      </c>
      <c r="BJ69" s="112">
        <v>0.8</v>
      </c>
      <c r="BK69" s="112">
        <v>0.8</v>
      </c>
      <c r="BL69" s="112">
        <v>0.8</v>
      </c>
      <c r="BM69" s="112">
        <v>0</v>
      </c>
      <c r="BN69" s="112">
        <v>0</v>
      </c>
      <c r="BO69" s="112">
        <v>0</v>
      </c>
      <c r="BP69" s="112">
        <v>0</v>
      </c>
      <c r="BQ69" s="112">
        <v>0</v>
      </c>
      <c r="BR69" s="112">
        <v>0</v>
      </c>
      <c r="BS69" s="112">
        <v>0</v>
      </c>
    </row>
    <row r="70" spans="1:71" x14ac:dyDescent="0.15">
      <c r="A70" s="189" t="s">
        <v>261</v>
      </c>
      <c r="B70" s="112">
        <v>0</v>
      </c>
      <c r="C70" s="112">
        <v>0</v>
      </c>
      <c r="D70" s="112">
        <v>0.8</v>
      </c>
      <c r="E70" s="112">
        <v>0</v>
      </c>
      <c r="F70" s="112">
        <v>0.8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12">
        <v>0</v>
      </c>
      <c r="O70" s="112">
        <v>0.8</v>
      </c>
      <c r="P70" s="112">
        <v>0</v>
      </c>
      <c r="Q70" s="112">
        <v>0</v>
      </c>
      <c r="R70" s="112">
        <v>0.8</v>
      </c>
      <c r="S70" s="112">
        <v>0.8</v>
      </c>
      <c r="T70" s="112">
        <v>0</v>
      </c>
      <c r="U70" s="112">
        <v>0</v>
      </c>
      <c r="V70" s="112">
        <v>0</v>
      </c>
      <c r="W70" s="112">
        <v>0</v>
      </c>
      <c r="X70" s="112">
        <v>0</v>
      </c>
      <c r="Y70" s="112">
        <v>0</v>
      </c>
      <c r="Z70" s="112">
        <v>0</v>
      </c>
      <c r="AA70" s="112">
        <v>0</v>
      </c>
      <c r="AB70" s="112">
        <v>0</v>
      </c>
      <c r="AC70" s="112">
        <v>0</v>
      </c>
      <c r="AD70" s="112">
        <v>0</v>
      </c>
      <c r="AE70" s="112">
        <v>0</v>
      </c>
      <c r="AF70" s="112">
        <v>0</v>
      </c>
      <c r="AG70" s="112">
        <v>0</v>
      </c>
      <c r="AH70" s="112">
        <v>0</v>
      </c>
      <c r="AI70" s="112">
        <v>0</v>
      </c>
      <c r="AJ70" s="112">
        <v>0</v>
      </c>
      <c r="AK70" s="112">
        <v>0</v>
      </c>
      <c r="AL70" s="112">
        <v>0.8</v>
      </c>
      <c r="AM70" s="112">
        <v>0</v>
      </c>
      <c r="AN70" s="112">
        <v>0</v>
      </c>
      <c r="AO70" s="112">
        <v>0.8</v>
      </c>
      <c r="AP70" s="112">
        <v>0.8</v>
      </c>
      <c r="AQ70" s="112">
        <v>0.8</v>
      </c>
      <c r="AR70" s="112">
        <v>0</v>
      </c>
      <c r="AS70" s="112">
        <v>0</v>
      </c>
      <c r="AT70" s="112">
        <v>0.8</v>
      </c>
      <c r="AU70" s="112">
        <v>0</v>
      </c>
      <c r="AV70" s="112">
        <v>0.8</v>
      </c>
      <c r="AW70" s="112">
        <v>0</v>
      </c>
      <c r="AX70" s="112">
        <v>0.8</v>
      </c>
      <c r="AY70" s="112">
        <v>0</v>
      </c>
      <c r="AZ70" s="112">
        <v>0</v>
      </c>
      <c r="BA70" s="112">
        <v>0.8</v>
      </c>
      <c r="BB70" s="112">
        <v>0.8</v>
      </c>
      <c r="BC70" s="112">
        <v>0.8</v>
      </c>
      <c r="BD70" s="112">
        <v>0.8</v>
      </c>
      <c r="BE70" s="112">
        <v>0.8</v>
      </c>
      <c r="BF70" s="112">
        <v>0.8</v>
      </c>
      <c r="BG70" s="112">
        <v>0</v>
      </c>
      <c r="BH70" s="112">
        <v>0</v>
      </c>
      <c r="BI70" s="112">
        <v>0</v>
      </c>
      <c r="BJ70" s="112">
        <v>0</v>
      </c>
      <c r="BK70" s="112">
        <v>0</v>
      </c>
      <c r="BL70" s="112">
        <v>0.8</v>
      </c>
      <c r="BM70" s="112">
        <v>0</v>
      </c>
      <c r="BN70" s="112">
        <v>0</v>
      </c>
      <c r="BO70" s="112">
        <v>0</v>
      </c>
      <c r="BP70" s="112">
        <v>0</v>
      </c>
      <c r="BQ70" s="112">
        <v>0</v>
      </c>
      <c r="BR70" s="112">
        <v>0</v>
      </c>
      <c r="BS70" s="112">
        <v>0</v>
      </c>
    </row>
    <row r="71" spans="1:71" x14ac:dyDescent="0.15">
      <c r="A71" s="189" t="s">
        <v>262</v>
      </c>
      <c r="B71" s="112">
        <v>0</v>
      </c>
      <c r="C71" s="112">
        <v>0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N71" s="112">
        <v>0</v>
      </c>
      <c r="O71" s="112">
        <v>0</v>
      </c>
      <c r="P71" s="112">
        <v>0</v>
      </c>
      <c r="Q71" s="112">
        <v>0</v>
      </c>
      <c r="R71" s="112">
        <v>0</v>
      </c>
      <c r="S71" s="112">
        <v>0</v>
      </c>
      <c r="T71" s="112">
        <v>0</v>
      </c>
      <c r="U71" s="112">
        <v>0</v>
      </c>
      <c r="V71" s="112">
        <v>0</v>
      </c>
      <c r="W71" s="112">
        <v>0</v>
      </c>
      <c r="X71" s="112">
        <v>0</v>
      </c>
      <c r="Y71" s="112">
        <v>0</v>
      </c>
      <c r="Z71" s="112">
        <v>0</v>
      </c>
      <c r="AA71" s="112">
        <v>0</v>
      </c>
      <c r="AB71" s="112">
        <v>0</v>
      </c>
      <c r="AC71" s="112">
        <v>0</v>
      </c>
      <c r="AD71" s="112">
        <v>0</v>
      </c>
      <c r="AE71" s="112">
        <v>0</v>
      </c>
      <c r="AF71" s="112">
        <v>0</v>
      </c>
      <c r="AG71" s="112">
        <v>0</v>
      </c>
      <c r="AH71" s="112">
        <v>0</v>
      </c>
      <c r="AI71" s="112">
        <v>0</v>
      </c>
      <c r="AJ71" s="112">
        <v>0</v>
      </c>
      <c r="AK71" s="112">
        <v>0</v>
      </c>
      <c r="AL71" s="112">
        <v>0</v>
      </c>
      <c r="AM71" s="112">
        <v>0</v>
      </c>
      <c r="AN71" s="112">
        <v>0</v>
      </c>
      <c r="AO71" s="112">
        <v>0</v>
      </c>
      <c r="AP71" s="112">
        <v>0</v>
      </c>
      <c r="AQ71" s="112">
        <v>0</v>
      </c>
      <c r="AR71" s="112">
        <v>0</v>
      </c>
      <c r="AS71" s="112">
        <v>0</v>
      </c>
      <c r="AT71" s="112">
        <v>0</v>
      </c>
      <c r="AU71" s="112">
        <v>0.8</v>
      </c>
      <c r="AV71" s="112">
        <v>0</v>
      </c>
      <c r="AW71" s="112">
        <v>0</v>
      </c>
      <c r="AX71" s="112">
        <v>0.8</v>
      </c>
      <c r="AY71" s="112">
        <v>0</v>
      </c>
      <c r="AZ71" s="112">
        <v>0.8</v>
      </c>
      <c r="BA71" s="112">
        <v>0.8</v>
      </c>
      <c r="BB71" s="112">
        <v>0</v>
      </c>
      <c r="BC71" s="112">
        <v>0.8</v>
      </c>
      <c r="BD71" s="112">
        <v>0</v>
      </c>
      <c r="BE71" s="112">
        <v>0.8</v>
      </c>
      <c r="BF71" s="112">
        <v>0</v>
      </c>
      <c r="BG71" s="112">
        <v>0</v>
      </c>
      <c r="BH71" s="112">
        <v>0</v>
      </c>
      <c r="BI71" s="112">
        <v>0</v>
      </c>
      <c r="BJ71" s="112">
        <v>0</v>
      </c>
      <c r="BK71" s="112">
        <v>0</v>
      </c>
      <c r="BL71" s="112">
        <v>0.8</v>
      </c>
      <c r="BM71" s="112">
        <v>0</v>
      </c>
      <c r="BN71" s="112">
        <v>0</v>
      </c>
      <c r="BO71" s="112">
        <v>0</v>
      </c>
      <c r="BP71" s="112">
        <v>0</v>
      </c>
      <c r="BQ71" s="112">
        <v>0</v>
      </c>
      <c r="BR71" s="112">
        <v>0</v>
      </c>
      <c r="BS71" s="112">
        <v>0</v>
      </c>
    </row>
    <row r="72" spans="1:71" x14ac:dyDescent="0.15">
      <c r="A72" s="189" t="s">
        <v>277</v>
      </c>
      <c r="B72" s="112">
        <v>0</v>
      </c>
      <c r="C72" s="112">
        <v>0</v>
      </c>
      <c r="D72" s="112">
        <v>0</v>
      </c>
      <c r="E72" s="112">
        <v>0</v>
      </c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N72" s="112">
        <v>0</v>
      </c>
      <c r="O72" s="112">
        <v>0</v>
      </c>
      <c r="P72" s="112">
        <v>0</v>
      </c>
      <c r="Q72" s="112">
        <v>0</v>
      </c>
      <c r="R72" s="112">
        <v>0</v>
      </c>
      <c r="S72" s="112">
        <v>0</v>
      </c>
      <c r="T72" s="112">
        <v>0</v>
      </c>
      <c r="U72" s="112">
        <v>0</v>
      </c>
      <c r="V72" s="112">
        <v>0</v>
      </c>
      <c r="W72" s="112">
        <v>0</v>
      </c>
      <c r="X72" s="112">
        <v>0</v>
      </c>
      <c r="Y72" s="112">
        <v>0</v>
      </c>
      <c r="Z72" s="112">
        <v>0</v>
      </c>
      <c r="AA72" s="112">
        <v>0</v>
      </c>
      <c r="AB72" s="112">
        <v>0</v>
      </c>
      <c r="AC72" s="112">
        <v>0</v>
      </c>
      <c r="AD72" s="112">
        <v>0</v>
      </c>
      <c r="AE72" s="112">
        <v>0</v>
      </c>
      <c r="AF72" s="112">
        <v>0</v>
      </c>
      <c r="AG72" s="112">
        <v>0</v>
      </c>
      <c r="AH72" s="112">
        <v>0</v>
      </c>
      <c r="AI72" s="112">
        <v>0</v>
      </c>
      <c r="AJ72" s="112">
        <v>0</v>
      </c>
      <c r="AK72" s="112">
        <v>0</v>
      </c>
      <c r="AL72" s="112">
        <v>0</v>
      </c>
      <c r="AM72" s="112">
        <v>0</v>
      </c>
      <c r="AN72" s="112">
        <v>0</v>
      </c>
      <c r="AO72" s="112">
        <v>0</v>
      </c>
      <c r="AP72" s="112">
        <v>0</v>
      </c>
      <c r="AQ72" s="112">
        <v>0</v>
      </c>
      <c r="AR72" s="112">
        <v>0</v>
      </c>
      <c r="AS72" s="112">
        <v>0</v>
      </c>
      <c r="AT72" s="112">
        <v>0</v>
      </c>
      <c r="AU72" s="112">
        <v>0</v>
      </c>
      <c r="AV72" s="112">
        <v>0</v>
      </c>
      <c r="AW72" s="112">
        <v>0</v>
      </c>
      <c r="AX72" s="112">
        <v>0</v>
      </c>
      <c r="AY72" s="112">
        <v>0</v>
      </c>
      <c r="AZ72" s="112">
        <v>0</v>
      </c>
      <c r="BA72" s="112">
        <v>0</v>
      </c>
      <c r="BB72" s="112">
        <v>0</v>
      </c>
      <c r="BC72" s="112">
        <v>0</v>
      </c>
      <c r="BD72" s="112">
        <v>0</v>
      </c>
      <c r="BE72" s="112">
        <v>0</v>
      </c>
      <c r="BF72" s="112">
        <v>0</v>
      </c>
      <c r="BG72" s="112">
        <v>0</v>
      </c>
      <c r="BH72" s="112">
        <v>0</v>
      </c>
      <c r="BI72" s="112">
        <v>0</v>
      </c>
      <c r="BJ72" s="112">
        <v>0</v>
      </c>
      <c r="BK72" s="112">
        <v>0</v>
      </c>
      <c r="BL72" s="112">
        <v>0</v>
      </c>
      <c r="BM72" s="112">
        <v>0</v>
      </c>
      <c r="BN72" s="112">
        <v>0</v>
      </c>
      <c r="BO72" s="112">
        <v>0</v>
      </c>
      <c r="BP72" s="112">
        <v>0</v>
      </c>
      <c r="BQ72" s="112">
        <v>0</v>
      </c>
      <c r="BR72" s="112">
        <v>0</v>
      </c>
      <c r="BS7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S72"/>
  <sheetViews>
    <sheetView topLeftCell="Y1" workbookViewId="0">
      <selection activeCell="BV5" sqref="BV5"/>
    </sheetView>
  </sheetViews>
  <sheetFormatPr baseColWidth="10" defaultRowHeight="13" x14ac:dyDescent="0.15"/>
  <cols>
    <col min="1" max="1" width="27.5" style="112" bestFit="1" customWidth="1"/>
    <col min="2" max="71" width="2.33203125" style="112" customWidth="1"/>
    <col min="72" max="16384" width="10.83203125" style="112"/>
  </cols>
  <sheetData>
    <row r="1" spans="1:71" x14ac:dyDescent="0.15">
      <c r="A1" s="63" t="s">
        <v>139</v>
      </c>
      <c r="B1" s="192" t="s">
        <v>193</v>
      </c>
      <c r="C1" s="192" t="s">
        <v>194</v>
      </c>
      <c r="D1" s="192" t="s">
        <v>195</v>
      </c>
      <c r="E1" s="192" t="s">
        <v>196</v>
      </c>
      <c r="F1" s="192" t="s">
        <v>197</v>
      </c>
      <c r="G1" s="192" t="s">
        <v>198</v>
      </c>
      <c r="H1" s="192" t="s">
        <v>199</v>
      </c>
      <c r="I1" s="192" t="s">
        <v>200</v>
      </c>
      <c r="J1" s="192" t="s">
        <v>201</v>
      </c>
      <c r="K1" s="192" t="s">
        <v>202</v>
      </c>
      <c r="L1" s="192" t="s">
        <v>203</v>
      </c>
      <c r="M1" s="192" t="s">
        <v>204</v>
      </c>
      <c r="N1" s="192" t="s">
        <v>205</v>
      </c>
      <c r="O1" s="192" t="s">
        <v>206</v>
      </c>
      <c r="P1" s="192" t="s">
        <v>207</v>
      </c>
      <c r="Q1" s="192" t="s">
        <v>208</v>
      </c>
      <c r="R1" s="192" t="s">
        <v>209</v>
      </c>
      <c r="S1" s="192" t="s">
        <v>210</v>
      </c>
      <c r="T1" s="192" t="s">
        <v>211</v>
      </c>
      <c r="U1" s="192" t="s">
        <v>212</v>
      </c>
      <c r="V1" s="192" t="s">
        <v>213</v>
      </c>
      <c r="W1" s="192" t="s">
        <v>214</v>
      </c>
      <c r="X1" s="192" t="s">
        <v>215</v>
      </c>
      <c r="Y1" s="192" t="s">
        <v>216</v>
      </c>
      <c r="Z1" s="192" t="s">
        <v>217</v>
      </c>
      <c r="AA1" s="192" t="s">
        <v>218</v>
      </c>
      <c r="AB1" s="192" t="s">
        <v>219</v>
      </c>
      <c r="AC1" s="192" t="s">
        <v>220</v>
      </c>
      <c r="AD1" s="192" t="s">
        <v>221</v>
      </c>
      <c r="AE1" s="192" t="s">
        <v>222</v>
      </c>
      <c r="AF1" s="192" t="s">
        <v>223</v>
      </c>
      <c r="AG1" s="192" t="s">
        <v>224</v>
      </c>
      <c r="AH1" s="192" t="s">
        <v>225</v>
      </c>
      <c r="AI1" s="192" t="s">
        <v>226</v>
      </c>
      <c r="AJ1" s="192" t="s">
        <v>227</v>
      </c>
      <c r="AK1" s="192" t="s">
        <v>228</v>
      </c>
      <c r="AL1" s="192" t="s">
        <v>229</v>
      </c>
      <c r="AM1" s="192" t="s">
        <v>230</v>
      </c>
      <c r="AN1" s="192" t="s">
        <v>231</v>
      </c>
      <c r="AO1" s="192" t="s">
        <v>232</v>
      </c>
      <c r="AP1" s="192" t="s">
        <v>233</v>
      </c>
      <c r="AQ1" s="192" t="s">
        <v>234</v>
      </c>
      <c r="AR1" s="192" t="s">
        <v>235</v>
      </c>
      <c r="AS1" s="192" t="s">
        <v>236</v>
      </c>
      <c r="AT1" s="192" t="s">
        <v>237</v>
      </c>
      <c r="AU1" s="192" t="s">
        <v>238</v>
      </c>
      <c r="AV1" s="192" t="s">
        <v>239</v>
      </c>
      <c r="AW1" s="192" t="s">
        <v>240</v>
      </c>
      <c r="AX1" s="192" t="s">
        <v>241</v>
      </c>
      <c r="AY1" s="192" t="s">
        <v>242</v>
      </c>
      <c r="AZ1" s="192" t="s">
        <v>243</v>
      </c>
      <c r="BA1" s="192" t="s">
        <v>244</v>
      </c>
      <c r="BB1" s="192" t="s">
        <v>245</v>
      </c>
      <c r="BC1" s="192" t="s">
        <v>246</v>
      </c>
      <c r="BD1" s="192" t="s">
        <v>247</v>
      </c>
      <c r="BE1" s="192" t="s">
        <v>248</v>
      </c>
      <c r="BF1" s="192" t="s">
        <v>249</v>
      </c>
      <c r="BG1" s="192" t="s">
        <v>250</v>
      </c>
      <c r="BH1" s="192" t="s">
        <v>251</v>
      </c>
      <c r="BI1" s="192" t="s">
        <v>252</v>
      </c>
      <c r="BJ1" s="192" t="s">
        <v>253</v>
      </c>
      <c r="BK1" s="192" t="s">
        <v>254</v>
      </c>
      <c r="BL1" s="192" t="s">
        <v>255</v>
      </c>
      <c r="BM1" s="192" t="s">
        <v>256</v>
      </c>
      <c r="BN1" s="192" t="s">
        <v>257</v>
      </c>
      <c r="BO1" s="192" t="s">
        <v>258</v>
      </c>
      <c r="BP1" s="192" t="s">
        <v>259</v>
      </c>
      <c r="BQ1" s="192" t="s">
        <v>260</v>
      </c>
      <c r="BR1" s="192" t="s">
        <v>261</v>
      </c>
      <c r="BS1" s="192" t="s">
        <v>262</v>
      </c>
    </row>
    <row r="2" spans="1:71" customFormat="1" x14ac:dyDescent="0.15">
      <c r="A2" s="191" t="s">
        <v>193</v>
      </c>
      <c r="B2" s="112">
        <v>0</v>
      </c>
      <c r="C2" s="112">
        <v>0</v>
      </c>
      <c r="D2" s="112">
        <v>1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  <c r="BJ2" s="112">
        <v>0</v>
      </c>
      <c r="BK2" s="112">
        <v>0</v>
      </c>
      <c r="BL2" s="112">
        <v>0</v>
      </c>
      <c r="BM2" s="112">
        <v>0</v>
      </c>
      <c r="BN2" s="112">
        <v>0</v>
      </c>
      <c r="BO2" s="112">
        <v>0</v>
      </c>
      <c r="BP2" s="112">
        <v>0</v>
      </c>
      <c r="BQ2" s="112">
        <v>0</v>
      </c>
      <c r="BR2" s="112">
        <v>0</v>
      </c>
      <c r="BS2" s="112">
        <v>0</v>
      </c>
    </row>
    <row r="3" spans="1:71" customFormat="1" x14ac:dyDescent="0.15">
      <c r="A3" s="191" t="s">
        <v>194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  <c r="BJ3" s="112">
        <v>0</v>
      </c>
      <c r="BK3" s="112">
        <v>0</v>
      </c>
      <c r="BL3" s="112">
        <v>0</v>
      </c>
      <c r="BM3" s="112">
        <v>0</v>
      </c>
      <c r="BN3" s="112">
        <v>0</v>
      </c>
      <c r="BO3" s="112">
        <v>0</v>
      </c>
      <c r="BP3" s="112">
        <v>0</v>
      </c>
      <c r="BQ3" s="112">
        <v>0</v>
      </c>
      <c r="BR3" s="112">
        <v>0</v>
      </c>
      <c r="BS3" s="112">
        <v>0</v>
      </c>
    </row>
    <row r="4" spans="1:71" customFormat="1" x14ac:dyDescent="0.15">
      <c r="A4" s="191" t="s">
        <v>195</v>
      </c>
      <c r="B4" s="112">
        <v>0</v>
      </c>
      <c r="C4" s="112">
        <v>0</v>
      </c>
      <c r="D4" s="112">
        <v>1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  <c r="BJ4" s="112">
        <v>0</v>
      </c>
      <c r="BK4" s="112">
        <v>0</v>
      </c>
      <c r="BL4" s="112">
        <v>0</v>
      </c>
      <c r="BM4" s="112">
        <v>0</v>
      </c>
      <c r="BN4" s="112">
        <v>0</v>
      </c>
      <c r="BO4" s="112">
        <v>0</v>
      </c>
      <c r="BP4" s="112">
        <v>0</v>
      </c>
      <c r="BQ4" s="112">
        <v>0</v>
      </c>
      <c r="BR4" s="112">
        <v>0</v>
      </c>
      <c r="BS4" s="112">
        <v>0</v>
      </c>
    </row>
    <row r="5" spans="1:71" customFormat="1" x14ac:dyDescent="0.15">
      <c r="A5" s="191" t="s">
        <v>196</v>
      </c>
      <c r="B5" s="112">
        <v>1</v>
      </c>
      <c r="C5" s="112">
        <v>0</v>
      </c>
      <c r="D5" s="112">
        <v>0</v>
      </c>
      <c r="E5" s="112">
        <v>0</v>
      </c>
      <c r="F5" s="112">
        <v>0</v>
      </c>
      <c r="G5" s="112">
        <v>1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1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1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  <c r="BF5" s="112">
        <v>0</v>
      </c>
      <c r="BG5" s="112">
        <v>0</v>
      </c>
      <c r="BH5" s="112">
        <v>0</v>
      </c>
      <c r="BI5" s="112">
        <v>0</v>
      </c>
      <c r="BJ5" s="112">
        <v>0</v>
      </c>
      <c r="BK5" s="112">
        <v>0</v>
      </c>
      <c r="BL5" s="112">
        <v>0</v>
      </c>
      <c r="BM5" s="112">
        <v>0</v>
      </c>
      <c r="BN5" s="112">
        <v>0</v>
      </c>
      <c r="BO5" s="112">
        <v>0</v>
      </c>
      <c r="BP5" s="112">
        <v>0</v>
      </c>
      <c r="BQ5" s="112">
        <v>0</v>
      </c>
      <c r="BR5" s="112">
        <v>0</v>
      </c>
      <c r="BS5" s="112">
        <v>0</v>
      </c>
    </row>
    <row r="6" spans="1:71" customFormat="1" x14ac:dyDescent="0.15">
      <c r="A6" s="191" t="s">
        <v>197</v>
      </c>
      <c r="B6" s="112">
        <v>1</v>
      </c>
      <c r="C6" s="112">
        <v>0</v>
      </c>
      <c r="D6" s="112">
        <v>1</v>
      </c>
      <c r="E6" s="112">
        <v>1</v>
      </c>
      <c r="F6" s="112">
        <v>0</v>
      </c>
      <c r="G6" s="112">
        <v>1</v>
      </c>
      <c r="H6" s="112">
        <v>0</v>
      </c>
      <c r="I6" s="112">
        <v>1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1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1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  <c r="BF6" s="112">
        <v>0</v>
      </c>
      <c r="BG6" s="112">
        <v>0</v>
      </c>
      <c r="BH6" s="112">
        <v>0</v>
      </c>
      <c r="BI6" s="112">
        <v>0</v>
      </c>
      <c r="BJ6" s="112">
        <v>0</v>
      </c>
      <c r="BK6" s="112">
        <v>0</v>
      </c>
      <c r="BL6" s="112">
        <v>0</v>
      </c>
      <c r="BM6" s="112">
        <v>0</v>
      </c>
      <c r="BN6" s="112">
        <v>0</v>
      </c>
      <c r="BO6" s="112">
        <v>0</v>
      </c>
      <c r="BP6" s="112">
        <v>0</v>
      </c>
      <c r="BQ6" s="112">
        <v>0</v>
      </c>
      <c r="BR6" s="112">
        <v>0</v>
      </c>
      <c r="BS6" s="112">
        <v>0</v>
      </c>
    </row>
    <row r="7" spans="1:71" customFormat="1" x14ac:dyDescent="0.15">
      <c r="A7" s="191" t="s">
        <v>198</v>
      </c>
      <c r="B7" s="112">
        <v>1</v>
      </c>
      <c r="C7" s="112">
        <v>0</v>
      </c>
      <c r="D7" s="112">
        <v>1</v>
      </c>
      <c r="E7" s="112">
        <v>0</v>
      </c>
      <c r="F7" s="112">
        <v>0</v>
      </c>
      <c r="G7" s="112">
        <v>1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1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  <c r="BF7" s="112">
        <v>0</v>
      </c>
      <c r="BG7" s="112">
        <v>0</v>
      </c>
      <c r="BH7" s="112">
        <v>0</v>
      </c>
      <c r="BI7" s="112">
        <v>0</v>
      </c>
      <c r="BJ7" s="112">
        <v>0</v>
      </c>
      <c r="BK7" s="112">
        <v>0</v>
      </c>
      <c r="BL7" s="112">
        <v>0</v>
      </c>
      <c r="BM7" s="112">
        <v>0</v>
      </c>
      <c r="BN7" s="112">
        <v>0</v>
      </c>
      <c r="BO7" s="112">
        <v>0</v>
      </c>
      <c r="BP7" s="112">
        <v>0</v>
      </c>
      <c r="BQ7" s="112">
        <v>0</v>
      </c>
      <c r="BR7" s="112">
        <v>0</v>
      </c>
      <c r="BS7" s="112">
        <v>0</v>
      </c>
    </row>
    <row r="8" spans="1:71" customFormat="1" x14ac:dyDescent="0.15">
      <c r="A8" s="191" t="s">
        <v>199</v>
      </c>
      <c r="B8" s="112">
        <v>1</v>
      </c>
      <c r="C8" s="112">
        <v>1</v>
      </c>
      <c r="D8" s="112">
        <v>1</v>
      </c>
      <c r="E8" s="112">
        <v>0</v>
      </c>
      <c r="F8" s="112">
        <v>1</v>
      </c>
      <c r="G8" s="112">
        <v>1</v>
      </c>
      <c r="H8" s="112">
        <v>0</v>
      </c>
      <c r="I8" s="112">
        <v>0</v>
      </c>
      <c r="J8" s="112">
        <v>0</v>
      </c>
      <c r="K8" s="112">
        <v>1</v>
      </c>
      <c r="L8" s="112">
        <v>0</v>
      </c>
      <c r="M8" s="112">
        <v>1</v>
      </c>
      <c r="N8" s="112">
        <v>1</v>
      </c>
      <c r="O8" s="112">
        <v>0</v>
      </c>
      <c r="P8" s="112">
        <v>0</v>
      </c>
      <c r="Q8" s="112">
        <v>0</v>
      </c>
      <c r="R8" s="112">
        <v>1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1</v>
      </c>
      <c r="AK8" s="112">
        <v>0</v>
      </c>
      <c r="AL8" s="112">
        <v>0</v>
      </c>
      <c r="AM8" s="112">
        <v>0</v>
      </c>
      <c r="AN8" s="112">
        <v>1</v>
      </c>
      <c r="AO8" s="112">
        <v>1</v>
      </c>
      <c r="AP8" s="112">
        <v>1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  <c r="BF8" s="112">
        <v>0</v>
      </c>
      <c r="BG8" s="112">
        <v>0</v>
      </c>
      <c r="BH8" s="112">
        <v>0</v>
      </c>
      <c r="BI8" s="112">
        <v>0</v>
      </c>
      <c r="BJ8" s="112">
        <v>0</v>
      </c>
      <c r="BK8" s="112">
        <v>0</v>
      </c>
      <c r="BL8" s="112">
        <v>0</v>
      </c>
      <c r="BM8" s="112">
        <v>0</v>
      </c>
      <c r="BN8" s="112">
        <v>0</v>
      </c>
      <c r="BO8" s="112">
        <v>0</v>
      </c>
      <c r="BP8" s="112">
        <v>0</v>
      </c>
      <c r="BQ8" s="112">
        <v>0</v>
      </c>
      <c r="BR8" s="112">
        <v>0</v>
      </c>
      <c r="BS8" s="112">
        <v>0</v>
      </c>
    </row>
    <row r="9" spans="1:71" customFormat="1" x14ac:dyDescent="0.15">
      <c r="A9" s="191" t="s">
        <v>200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1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  <c r="BJ9" s="112">
        <v>0</v>
      </c>
      <c r="BK9" s="112">
        <v>0</v>
      </c>
      <c r="BL9" s="112">
        <v>0</v>
      </c>
      <c r="BM9" s="112">
        <v>0</v>
      </c>
      <c r="BN9" s="112">
        <v>0</v>
      </c>
      <c r="BO9" s="112">
        <v>0</v>
      </c>
      <c r="BP9" s="112">
        <v>0</v>
      </c>
      <c r="BQ9" s="112">
        <v>0</v>
      </c>
      <c r="BR9" s="112">
        <v>0</v>
      </c>
      <c r="BS9" s="112">
        <v>0</v>
      </c>
    </row>
    <row r="10" spans="1:71" customFormat="1" x14ac:dyDescent="0.15">
      <c r="A10" s="191" t="s">
        <v>201</v>
      </c>
      <c r="B10" s="112">
        <v>0</v>
      </c>
      <c r="C10" s="112">
        <v>1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1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  <c r="BF10" s="112">
        <v>0</v>
      </c>
      <c r="BG10" s="112">
        <v>0</v>
      </c>
      <c r="BH10" s="112">
        <v>0</v>
      </c>
      <c r="BI10" s="112">
        <v>0</v>
      </c>
      <c r="BJ10" s="112">
        <v>0</v>
      </c>
      <c r="BK10" s="112">
        <v>0</v>
      </c>
      <c r="BL10" s="112">
        <v>0</v>
      </c>
      <c r="BM10" s="112">
        <v>0</v>
      </c>
      <c r="BN10" s="112">
        <v>0</v>
      </c>
      <c r="BO10" s="112">
        <v>0</v>
      </c>
      <c r="BP10" s="112">
        <v>0</v>
      </c>
      <c r="BQ10" s="112">
        <v>0</v>
      </c>
      <c r="BR10" s="112">
        <v>0</v>
      </c>
      <c r="BS10" s="112">
        <v>0</v>
      </c>
    </row>
    <row r="11" spans="1:71" customFormat="1" x14ac:dyDescent="0.15">
      <c r="A11" s="191" t="s">
        <v>202</v>
      </c>
      <c r="B11" s="112">
        <v>1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1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  <c r="BF11" s="112">
        <v>0</v>
      </c>
      <c r="BG11" s="112">
        <v>0</v>
      </c>
      <c r="BH11" s="112">
        <v>0</v>
      </c>
      <c r="BI11" s="112">
        <v>0</v>
      </c>
      <c r="BJ11" s="112">
        <v>0</v>
      </c>
      <c r="BK11" s="112">
        <v>0</v>
      </c>
      <c r="BL11" s="112">
        <v>0</v>
      </c>
      <c r="BM11" s="112">
        <v>0</v>
      </c>
      <c r="BN11" s="112">
        <v>0</v>
      </c>
      <c r="BO11" s="112">
        <v>0</v>
      </c>
      <c r="BP11" s="112">
        <v>0</v>
      </c>
      <c r="BQ11" s="112">
        <v>0</v>
      </c>
      <c r="BR11" s="112">
        <v>0</v>
      </c>
      <c r="BS11" s="112">
        <v>0</v>
      </c>
    </row>
    <row r="12" spans="1:71" customFormat="1" x14ac:dyDescent="0.15">
      <c r="A12" s="191" t="s">
        <v>203</v>
      </c>
      <c r="B12" s="112">
        <v>0</v>
      </c>
      <c r="C12" s="112">
        <v>1</v>
      </c>
      <c r="D12" s="112">
        <v>0</v>
      </c>
      <c r="E12" s="112">
        <v>0</v>
      </c>
      <c r="F12" s="112">
        <v>0</v>
      </c>
      <c r="G12" s="112">
        <v>1</v>
      </c>
      <c r="H12" s="112">
        <v>0</v>
      </c>
      <c r="I12" s="112">
        <v>0</v>
      </c>
      <c r="J12" s="112">
        <v>0</v>
      </c>
      <c r="K12" s="112">
        <v>1</v>
      </c>
      <c r="L12" s="112">
        <v>0</v>
      </c>
      <c r="M12" s="112">
        <v>1</v>
      </c>
      <c r="N12" s="112">
        <v>1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1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  <c r="BF12" s="112">
        <v>0</v>
      </c>
      <c r="BG12" s="112">
        <v>0</v>
      </c>
      <c r="BH12" s="112">
        <v>0</v>
      </c>
      <c r="BI12" s="112">
        <v>0</v>
      </c>
      <c r="BJ12" s="112">
        <v>0</v>
      </c>
      <c r="BK12" s="112">
        <v>0</v>
      </c>
      <c r="BL12" s="112">
        <v>0</v>
      </c>
      <c r="BM12" s="112">
        <v>0</v>
      </c>
      <c r="BN12" s="112">
        <v>0</v>
      </c>
      <c r="BO12" s="112">
        <v>0</v>
      </c>
      <c r="BP12" s="112">
        <v>0</v>
      </c>
      <c r="BQ12" s="112">
        <v>0</v>
      </c>
      <c r="BR12" s="112">
        <v>0</v>
      </c>
      <c r="BS12" s="112">
        <v>0</v>
      </c>
    </row>
    <row r="13" spans="1:71" customFormat="1" x14ac:dyDescent="0.15">
      <c r="A13" s="191" t="s">
        <v>204</v>
      </c>
      <c r="B13" s="112">
        <v>1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1</v>
      </c>
      <c r="L13" s="112">
        <v>0</v>
      </c>
      <c r="M13" s="112">
        <v>0</v>
      </c>
      <c r="N13" s="112">
        <v>1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  <c r="BJ13" s="112">
        <v>0</v>
      </c>
      <c r="BK13" s="112">
        <v>0</v>
      </c>
      <c r="BL13" s="112">
        <v>0</v>
      </c>
      <c r="BM13" s="112">
        <v>0</v>
      </c>
      <c r="BN13" s="112">
        <v>0</v>
      </c>
      <c r="BO13" s="112">
        <v>0</v>
      </c>
      <c r="BP13" s="112">
        <v>0</v>
      </c>
      <c r="BQ13" s="112">
        <v>0</v>
      </c>
      <c r="BR13" s="112">
        <v>0</v>
      </c>
      <c r="BS13" s="112">
        <v>0</v>
      </c>
    </row>
    <row r="14" spans="1:71" customFormat="1" x14ac:dyDescent="0.15">
      <c r="A14" s="191" t="s">
        <v>205</v>
      </c>
      <c r="B14" s="112">
        <v>1</v>
      </c>
      <c r="C14" s="112">
        <v>1</v>
      </c>
      <c r="D14" s="112">
        <v>1</v>
      </c>
      <c r="E14" s="112">
        <v>0</v>
      </c>
      <c r="F14" s="112">
        <v>0</v>
      </c>
      <c r="G14" s="112">
        <v>1</v>
      </c>
      <c r="H14" s="112">
        <v>0</v>
      </c>
      <c r="I14" s="112">
        <v>0</v>
      </c>
      <c r="J14" s="112">
        <v>0</v>
      </c>
      <c r="K14" s="112">
        <v>1</v>
      </c>
      <c r="L14" s="112">
        <v>0</v>
      </c>
      <c r="M14" s="112">
        <v>0</v>
      </c>
      <c r="N14" s="112">
        <v>1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1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1</v>
      </c>
      <c r="AG14" s="112">
        <v>1</v>
      </c>
      <c r="AH14" s="112">
        <v>0</v>
      </c>
      <c r="AI14" s="112">
        <v>0</v>
      </c>
      <c r="AJ14" s="112">
        <v>1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  <c r="BF14" s="112">
        <v>0</v>
      </c>
      <c r="BG14" s="112">
        <v>0</v>
      </c>
      <c r="BH14" s="112">
        <v>0</v>
      </c>
      <c r="BI14" s="112">
        <v>0</v>
      </c>
      <c r="BJ14" s="112">
        <v>0</v>
      </c>
      <c r="BK14" s="112">
        <v>0</v>
      </c>
      <c r="BL14" s="112">
        <v>0</v>
      </c>
      <c r="BM14" s="112">
        <v>0</v>
      </c>
      <c r="BN14" s="112">
        <v>0</v>
      </c>
      <c r="BO14" s="112">
        <v>0</v>
      </c>
      <c r="BP14" s="112">
        <v>0</v>
      </c>
      <c r="BQ14" s="112">
        <v>0</v>
      </c>
      <c r="BR14" s="112">
        <v>0</v>
      </c>
      <c r="BS14" s="112">
        <v>0</v>
      </c>
    </row>
    <row r="15" spans="1:71" customFormat="1" x14ac:dyDescent="0.15">
      <c r="A15" s="191" t="s">
        <v>206</v>
      </c>
      <c r="B15" s="112">
        <v>0</v>
      </c>
      <c r="C15" s="112">
        <v>0</v>
      </c>
      <c r="D15" s="112">
        <v>1</v>
      </c>
      <c r="E15" s="112">
        <v>1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1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1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1</v>
      </c>
      <c r="AE15" s="112">
        <v>1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1</v>
      </c>
      <c r="AM15" s="112">
        <v>0</v>
      </c>
      <c r="AN15" s="112">
        <v>0</v>
      </c>
      <c r="AO15" s="112">
        <v>1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0</v>
      </c>
      <c r="BH15" s="112">
        <v>0</v>
      </c>
      <c r="BI15" s="112">
        <v>0</v>
      </c>
      <c r="BJ15" s="112">
        <v>0</v>
      </c>
      <c r="BK15" s="112">
        <v>0</v>
      </c>
      <c r="BL15" s="112">
        <v>0</v>
      </c>
      <c r="BM15" s="112">
        <v>0</v>
      </c>
      <c r="BN15" s="112">
        <v>0</v>
      </c>
      <c r="BO15" s="112">
        <v>0</v>
      </c>
      <c r="BP15" s="112">
        <v>0</v>
      </c>
      <c r="BQ15" s="112">
        <v>0</v>
      </c>
      <c r="BR15" s="112">
        <v>0</v>
      </c>
      <c r="BS15" s="112">
        <v>0</v>
      </c>
    </row>
    <row r="16" spans="1:71" customFormat="1" x14ac:dyDescent="0.15">
      <c r="A16" s="191" t="s">
        <v>207</v>
      </c>
      <c r="B16" s="112">
        <v>0</v>
      </c>
      <c r="C16" s="112">
        <v>0</v>
      </c>
      <c r="D16" s="112">
        <v>1</v>
      </c>
      <c r="E16" s="112">
        <v>1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1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1</v>
      </c>
      <c r="AE16" s="112">
        <v>0</v>
      </c>
      <c r="AF16" s="112">
        <v>0</v>
      </c>
      <c r="AG16" s="112">
        <v>0</v>
      </c>
      <c r="AH16" s="112">
        <v>1</v>
      </c>
      <c r="AI16" s="112">
        <v>0</v>
      </c>
      <c r="AJ16" s="112">
        <v>0</v>
      </c>
      <c r="AK16" s="112">
        <v>0</v>
      </c>
      <c r="AL16" s="112">
        <v>1</v>
      </c>
      <c r="AM16" s="112">
        <v>0</v>
      </c>
      <c r="AN16" s="112">
        <v>0</v>
      </c>
      <c r="AO16" s="112">
        <v>1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  <c r="BF16" s="112">
        <v>0</v>
      </c>
      <c r="BG16" s="112">
        <v>0</v>
      </c>
      <c r="BH16" s="112">
        <v>0</v>
      </c>
      <c r="BI16" s="112">
        <v>0</v>
      </c>
      <c r="BJ16" s="112">
        <v>0</v>
      </c>
      <c r="BK16" s="112">
        <v>0</v>
      </c>
      <c r="BL16" s="112">
        <v>0</v>
      </c>
      <c r="BM16" s="112">
        <v>0</v>
      </c>
      <c r="BN16" s="112">
        <v>0</v>
      </c>
      <c r="BO16" s="112">
        <v>0</v>
      </c>
      <c r="BP16" s="112">
        <v>0</v>
      </c>
      <c r="BQ16" s="112">
        <v>0</v>
      </c>
      <c r="BR16" s="112">
        <v>0</v>
      </c>
      <c r="BS16" s="112">
        <v>0</v>
      </c>
    </row>
    <row r="17" spans="1:71" customFormat="1" x14ac:dyDescent="0.15">
      <c r="A17" s="191" t="s">
        <v>208</v>
      </c>
      <c r="B17" s="112">
        <v>0</v>
      </c>
      <c r="C17" s="112">
        <v>0</v>
      </c>
      <c r="D17" s="112">
        <v>1</v>
      </c>
      <c r="E17" s="112">
        <v>1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1</v>
      </c>
      <c r="L17" s="112">
        <v>0</v>
      </c>
      <c r="M17" s="112">
        <v>0</v>
      </c>
      <c r="N17" s="112">
        <v>1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1</v>
      </c>
      <c r="W17" s="112">
        <v>0</v>
      </c>
      <c r="X17" s="112">
        <v>0</v>
      </c>
      <c r="Y17" s="112">
        <v>0</v>
      </c>
      <c r="Z17" s="112">
        <v>1</v>
      </c>
      <c r="AA17" s="112">
        <v>0</v>
      </c>
      <c r="AB17" s="112">
        <v>0</v>
      </c>
      <c r="AC17" s="112">
        <v>0</v>
      </c>
      <c r="AD17" s="112">
        <v>1</v>
      </c>
      <c r="AE17" s="112">
        <v>1</v>
      </c>
      <c r="AF17" s="112">
        <v>1</v>
      </c>
      <c r="AG17" s="112">
        <v>1</v>
      </c>
      <c r="AH17" s="112">
        <v>1</v>
      </c>
      <c r="AI17" s="112">
        <v>0</v>
      </c>
      <c r="AJ17" s="112">
        <v>1</v>
      </c>
      <c r="AK17" s="112">
        <v>0</v>
      </c>
      <c r="AL17" s="112">
        <v>1</v>
      </c>
      <c r="AM17" s="112">
        <v>0</v>
      </c>
      <c r="AN17" s="112">
        <v>0</v>
      </c>
      <c r="AO17" s="112">
        <v>1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  <c r="BF17" s="112">
        <v>0</v>
      </c>
      <c r="BG17" s="112">
        <v>0</v>
      </c>
      <c r="BH17" s="112">
        <v>0</v>
      </c>
      <c r="BI17" s="112">
        <v>0</v>
      </c>
      <c r="BJ17" s="112">
        <v>0</v>
      </c>
      <c r="BK17" s="112">
        <v>0</v>
      </c>
      <c r="BL17" s="112">
        <v>0</v>
      </c>
      <c r="BM17" s="112">
        <v>0</v>
      </c>
      <c r="BN17" s="112">
        <v>0</v>
      </c>
      <c r="BO17" s="112">
        <v>0</v>
      </c>
      <c r="BP17" s="112">
        <v>0</v>
      </c>
      <c r="BQ17" s="112">
        <v>0</v>
      </c>
      <c r="BR17" s="112">
        <v>0</v>
      </c>
      <c r="BS17" s="112">
        <v>0</v>
      </c>
    </row>
    <row r="18" spans="1:71" customFormat="1" x14ac:dyDescent="0.15">
      <c r="A18" s="191" t="s">
        <v>209</v>
      </c>
      <c r="B18" s="112">
        <v>0</v>
      </c>
      <c r="C18" s="112">
        <v>0</v>
      </c>
      <c r="D18" s="112">
        <v>1</v>
      </c>
      <c r="E18" s="112">
        <v>1</v>
      </c>
      <c r="F18" s="112">
        <v>0</v>
      </c>
      <c r="G18" s="112">
        <v>1</v>
      </c>
      <c r="H18" s="112">
        <v>0</v>
      </c>
      <c r="I18" s="112">
        <v>0</v>
      </c>
      <c r="J18" s="112">
        <v>0</v>
      </c>
      <c r="K18" s="112">
        <v>1</v>
      </c>
      <c r="L18" s="112">
        <v>0</v>
      </c>
      <c r="M18" s="112">
        <v>0</v>
      </c>
      <c r="N18" s="112">
        <v>1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1</v>
      </c>
      <c r="W18" s="112">
        <v>0</v>
      </c>
      <c r="X18" s="112">
        <v>0</v>
      </c>
      <c r="Y18" s="112">
        <v>0</v>
      </c>
      <c r="Z18" s="112">
        <v>1</v>
      </c>
      <c r="AA18" s="112">
        <v>0</v>
      </c>
      <c r="AB18" s="112">
        <v>0</v>
      </c>
      <c r="AC18" s="112">
        <v>0</v>
      </c>
      <c r="AD18" s="112">
        <v>1</v>
      </c>
      <c r="AE18" s="112">
        <v>1</v>
      </c>
      <c r="AF18" s="112">
        <v>1</v>
      </c>
      <c r="AG18" s="112">
        <v>0</v>
      </c>
      <c r="AH18" s="112">
        <v>1</v>
      </c>
      <c r="AI18" s="112">
        <v>0</v>
      </c>
      <c r="AJ18" s="112">
        <v>0</v>
      </c>
      <c r="AK18" s="112">
        <v>0</v>
      </c>
      <c r="AL18" s="112">
        <v>1</v>
      </c>
      <c r="AM18" s="112">
        <v>0</v>
      </c>
      <c r="AN18" s="112">
        <v>0</v>
      </c>
      <c r="AO18" s="112">
        <v>1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  <c r="BF18" s="112">
        <v>0</v>
      </c>
      <c r="BG18" s="112">
        <v>0</v>
      </c>
      <c r="BH18" s="112">
        <v>0</v>
      </c>
      <c r="BI18" s="112">
        <v>0</v>
      </c>
      <c r="BJ18" s="112">
        <v>0</v>
      </c>
      <c r="BK18" s="112">
        <v>0</v>
      </c>
      <c r="BL18" s="112">
        <v>0</v>
      </c>
      <c r="BM18" s="112">
        <v>0</v>
      </c>
      <c r="BN18" s="112">
        <v>0</v>
      </c>
      <c r="BO18" s="112">
        <v>0</v>
      </c>
      <c r="BP18" s="112">
        <v>0</v>
      </c>
      <c r="BQ18" s="112">
        <v>0</v>
      </c>
      <c r="BR18" s="112">
        <v>0</v>
      </c>
      <c r="BS18" s="112">
        <v>0</v>
      </c>
    </row>
    <row r="19" spans="1:71" customFormat="1" x14ac:dyDescent="0.15">
      <c r="A19" s="191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1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  <c r="BF19" s="112">
        <v>0</v>
      </c>
      <c r="BG19" s="112">
        <v>0</v>
      </c>
      <c r="BH19" s="112">
        <v>0</v>
      </c>
      <c r="BI19" s="112">
        <v>0</v>
      </c>
      <c r="BJ19" s="112">
        <v>0</v>
      </c>
      <c r="BK19" s="112">
        <v>0</v>
      </c>
      <c r="BL19" s="112">
        <v>0</v>
      </c>
      <c r="BM19" s="112">
        <v>0</v>
      </c>
      <c r="BN19" s="112">
        <v>0</v>
      </c>
      <c r="BO19" s="112">
        <v>0</v>
      </c>
      <c r="BP19" s="112">
        <v>0</v>
      </c>
      <c r="BQ19" s="112">
        <v>0</v>
      </c>
      <c r="BR19" s="112">
        <v>0</v>
      </c>
      <c r="BS19" s="112">
        <v>0</v>
      </c>
    </row>
    <row r="20" spans="1:71" customFormat="1" x14ac:dyDescent="0.15">
      <c r="A20" s="191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1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1</v>
      </c>
      <c r="AC20" s="112">
        <v>0</v>
      </c>
      <c r="AD20" s="112">
        <v>1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1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  <c r="BF20" s="112">
        <v>0</v>
      </c>
      <c r="BG20" s="112">
        <v>0</v>
      </c>
      <c r="BH20" s="112">
        <v>0</v>
      </c>
      <c r="BI20" s="112">
        <v>0</v>
      </c>
      <c r="BJ20" s="112">
        <v>0</v>
      </c>
      <c r="BK20" s="112">
        <v>0</v>
      </c>
      <c r="BL20" s="112">
        <v>0</v>
      </c>
      <c r="BM20" s="112">
        <v>0</v>
      </c>
      <c r="BN20" s="112">
        <v>0</v>
      </c>
      <c r="BO20" s="112">
        <v>0</v>
      </c>
      <c r="BP20" s="112">
        <v>0</v>
      </c>
      <c r="BQ20" s="112">
        <v>0</v>
      </c>
      <c r="BR20" s="112">
        <v>0</v>
      </c>
      <c r="BS20" s="112">
        <v>0</v>
      </c>
    </row>
    <row r="21" spans="1:71" customFormat="1" x14ac:dyDescent="0.15">
      <c r="A21" s="191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1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  <c r="BF21" s="112">
        <v>0</v>
      </c>
      <c r="BG21" s="112">
        <v>0</v>
      </c>
      <c r="BH21" s="112">
        <v>0</v>
      </c>
      <c r="BI21" s="112">
        <v>0</v>
      </c>
      <c r="BJ21" s="112">
        <v>0</v>
      </c>
      <c r="BK21" s="112">
        <v>0</v>
      </c>
      <c r="BL21" s="112">
        <v>0</v>
      </c>
      <c r="BM21" s="112">
        <v>0</v>
      </c>
      <c r="BN21" s="112">
        <v>0</v>
      </c>
      <c r="BO21" s="112">
        <v>0</v>
      </c>
      <c r="BP21" s="112">
        <v>0</v>
      </c>
      <c r="BQ21" s="112">
        <v>0</v>
      </c>
      <c r="BR21" s="112">
        <v>0</v>
      </c>
      <c r="BS21" s="112">
        <v>0</v>
      </c>
    </row>
    <row r="22" spans="1:71" customFormat="1" x14ac:dyDescent="0.15">
      <c r="A22" s="191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1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  <c r="BF22" s="112">
        <v>0</v>
      </c>
      <c r="BG22" s="112">
        <v>0</v>
      </c>
      <c r="BH22" s="112">
        <v>0</v>
      </c>
      <c r="BI22" s="112">
        <v>0</v>
      </c>
      <c r="BJ22" s="112">
        <v>0</v>
      </c>
      <c r="BK22" s="112">
        <v>0</v>
      </c>
      <c r="BL22" s="112">
        <v>0</v>
      </c>
      <c r="BM22" s="112">
        <v>0</v>
      </c>
      <c r="BN22" s="112">
        <v>0</v>
      </c>
      <c r="BO22" s="112">
        <v>0</v>
      </c>
      <c r="BP22" s="112">
        <v>0</v>
      </c>
      <c r="BQ22" s="112">
        <v>0</v>
      </c>
      <c r="BR22" s="112">
        <v>0</v>
      </c>
      <c r="BS22" s="112">
        <v>0</v>
      </c>
    </row>
    <row r="23" spans="1:71" customFormat="1" x14ac:dyDescent="0.15">
      <c r="A23" s="191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1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1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  <c r="BF23" s="112">
        <v>0</v>
      </c>
      <c r="BG23" s="112">
        <v>0</v>
      </c>
      <c r="BH23" s="112">
        <v>0</v>
      </c>
      <c r="BI23" s="112">
        <v>0</v>
      </c>
      <c r="BJ23" s="112">
        <v>0</v>
      </c>
      <c r="BK23" s="112">
        <v>0</v>
      </c>
      <c r="BL23" s="112">
        <v>0</v>
      </c>
      <c r="BM23" s="112">
        <v>0</v>
      </c>
      <c r="BN23" s="112">
        <v>0</v>
      </c>
      <c r="BO23" s="112">
        <v>0</v>
      </c>
      <c r="BP23" s="112">
        <v>0</v>
      </c>
      <c r="BQ23" s="112">
        <v>0</v>
      </c>
      <c r="BR23" s="112">
        <v>0</v>
      </c>
      <c r="BS23" s="112">
        <v>0</v>
      </c>
    </row>
    <row r="24" spans="1:71" customFormat="1" x14ac:dyDescent="0.15">
      <c r="A24" s="191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1</v>
      </c>
      <c r="J24" s="112">
        <v>0</v>
      </c>
      <c r="K24" s="112">
        <v>1</v>
      </c>
      <c r="L24" s="112">
        <v>0</v>
      </c>
      <c r="M24" s="112">
        <v>0</v>
      </c>
      <c r="N24" s="112">
        <v>1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1</v>
      </c>
      <c r="V24" s="112">
        <v>1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1</v>
      </c>
      <c r="AC24" s="112">
        <v>0</v>
      </c>
      <c r="AD24" s="112">
        <v>1</v>
      </c>
      <c r="AE24" s="112">
        <v>0</v>
      </c>
      <c r="AF24" s="112">
        <v>1</v>
      </c>
      <c r="AG24" s="112">
        <v>1</v>
      </c>
      <c r="AH24" s="112">
        <v>0</v>
      </c>
      <c r="AI24" s="112">
        <v>0</v>
      </c>
      <c r="AJ24" s="112">
        <v>1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  <c r="BF24" s="112">
        <v>0</v>
      </c>
      <c r="BG24" s="112">
        <v>0</v>
      </c>
      <c r="BH24" s="112">
        <v>0</v>
      </c>
      <c r="BI24" s="112">
        <v>0</v>
      </c>
      <c r="BJ24" s="112">
        <v>0</v>
      </c>
      <c r="BK24" s="112">
        <v>0</v>
      </c>
      <c r="BL24" s="112">
        <v>0</v>
      </c>
      <c r="BM24" s="112">
        <v>0</v>
      </c>
      <c r="BN24" s="112">
        <v>0</v>
      </c>
      <c r="BO24" s="112">
        <v>0</v>
      </c>
      <c r="BP24" s="112">
        <v>0</v>
      </c>
      <c r="BQ24" s="112">
        <v>0</v>
      </c>
      <c r="BR24" s="112">
        <v>0</v>
      </c>
      <c r="BS24" s="112">
        <v>0</v>
      </c>
    </row>
    <row r="25" spans="1:71" customFormat="1" x14ac:dyDescent="0.15">
      <c r="A25" s="191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1</v>
      </c>
      <c r="J25" s="112">
        <v>0</v>
      </c>
      <c r="K25" s="112">
        <v>1</v>
      </c>
      <c r="L25" s="112">
        <v>0</v>
      </c>
      <c r="M25" s="112">
        <v>0</v>
      </c>
      <c r="N25" s="112">
        <v>1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1</v>
      </c>
      <c r="AG25" s="112">
        <v>1</v>
      </c>
      <c r="AH25" s="112">
        <v>0</v>
      </c>
      <c r="AI25" s="112">
        <v>0</v>
      </c>
      <c r="AJ25" s="112">
        <v>1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  <c r="BF25" s="112">
        <v>0</v>
      </c>
      <c r="BG25" s="112">
        <v>0</v>
      </c>
      <c r="BH25" s="112">
        <v>0</v>
      </c>
      <c r="BI25" s="112">
        <v>0</v>
      </c>
      <c r="BJ25" s="112">
        <v>0</v>
      </c>
      <c r="BK25" s="112">
        <v>0</v>
      </c>
      <c r="BL25" s="112">
        <v>0</v>
      </c>
      <c r="BM25" s="112">
        <v>0</v>
      </c>
      <c r="BN25" s="112">
        <v>0</v>
      </c>
      <c r="BO25" s="112">
        <v>0</v>
      </c>
      <c r="BP25" s="112">
        <v>0</v>
      </c>
      <c r="BQ25" s="112">
        <v>0</v>
      </c>
      <c r="BR25" s="112">
        <v>0</v>
      </c>
      <c r="BS25" s="112">
        <v>0</v>
      </c>
    </row>
    <row r="26" spans="1:71" customFormat="1" x14ac:dyDescent="0.15">
      <c r="A26" s="191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1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  <c r="BF26" s="112">
        <v>0</v>
      </c>
      <c r="BG26" s="112">
        <v>0</v>
      </c>
      <c r="BH26" s="112">
        <v>0</v>
      </c>
      <c r="BI26" s="112">
        <v>0</v>
      </c>
      <c r="BJ26" s="112">
        <v>0</v>
      </c>
      <c r="BK26" s="112">
        <v>0</v>
      </c>
      <c r="BL26" s="112">
        <v>0</v>
      </c>
      <c r="BM26" s="112">
        <v>0</v>
      </c>
      <c r="BN26" s="112">
        <v>0</v>
      </c>
      <c r="BO26" s="112">
        <v>0</v>
      </c>
      <c r="BP26" s="112">
        <v>0</v>
      </c>
      <c r="BQ26" s="112">
        <v>0</v>
      </c>
      <c r="BR26" s="112">
        <v>0</v>
      </c>
      <c r="BS26" s="112">
        <v>0</v>
      </c>
    </row>
    <row r="27" spans="1:71" customFormat="1" x14ac:dyDescent="0.15">
      <c r="A27" s="191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1</v>
      </c>
      <c r="J27" s="112">
        <v>0</v>
      </c>
      <c r="K27" s="112">
        <v>1</v>
      </c>
      <c r="L27" s="112">
        <v>0</v>
      </c>
      <c r="M27" s="112">
        <v>0</v>
      </c>
      <c r="N27" s="112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1</v>
      </c>
      <c r="V27" s="112">
        <v>1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1</v>
      </c>
      <c r="AC27" s="112">
        <v>0</v>
      </c>
      <c r="AD27" s="112">
        <v>1</v>
      </c>
      <c r="AE27" s="112">
        <v>0</v>
      </c>
      <c r="AF27" s="112">
        <v>1</v>
      </c>
      <c r="AG27" s="112">
        <v>1</v>
      </c>
      <c r="AH27" s="112">
        <v>0</v>
      </c>
      <c r="AI27" s="112">
        <v>0</v>
      </c>
      <c r="AJ27" s="112">
        <v>1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  <c r="BJ27" s="112">
        <v>0</v>
      </c>
      <c r="BK27" s="112">
        <v>0</v>
      </c>
      <c r="BL27" s="112">
        <v>0</v>
      </c>
      <c r="BM27" s="112">
        <v>0</v>
      </c>
      <c r="BN27" s="112">
        <v>0</v>
      </c>
      <c r="BO27" s="112">
        <v>0</v>
      </c>
      <c r="BP27" s="112">
        <v>0</v>
      </c>
      <c r="BQ27" s="112">
        <v>0</v>
      </c>
      <c r="BR27" s="112">
        <v>0</v>
      </c>
      <c r="BS27" s="112">
        <v>0</v>
      </c>
    </row>
    <row r="28" spans="1:71" customFormat="1" x14ac:dyDescent="0.15">
      <c r="A28" s="191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1</v>
      </c>
      <c r="J28" s="112">
        <v>0</v>
      </c>
      <c r="K28" s="112">
        <v>1</v>
      </c>
      <c r="L28" s="112">
        <v>0</v>
      </c>
      <c r="M28" s="112">
        <v>0</v>
      </c>
      <c r="N28" s="112">
        <v>1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1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1</v>
      </c>
      <c r="AG28" s="112">
        <v>1</v>
      </c>
      <c r="AH28" s="112">
        <v>0</v>
      </c>
      <c r="AI28" s="112">
        <v>0</v>
      </c>
      <c r="AJ28" s="112">
        <v>1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  <c r="BJ28" s="112">
        <v>0</v>
      </c>
      <c r="BK28" s="112">
        <v>0</v>
      </c>
      <c r="BL28" s="112">
        <v>0</v>
      </c>
      <c r="BM28" s="112">
        <v>0</v>
      </c>
      <c r="BN28" s="112">
        <v>0</v>
      </c>
      <c r="BO28" s="112">
        <v>0</v>
      </c>
      <c r="BP28" s="112">
        <v>0</v>
      </c>
      <c r="BQ28" s="112">
        <v>0</v>
      </c>
      <c r="BR28" s="112">
        <v>0</v>
      </c>
      <c r="BS28" s="112">
        <v>0</v>
      </c>
    </row>
    <row r="29" spans="1:71" customFormat="1" x14ac:dyDescent="0.15">
      <c r="A29" s="191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1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  <c r="BJ29" s="112">
        <v>0</v>
      </c>
      <c r="BK29" s="112">
        <v>0</v>
      </c>
      <c r="BL29" s="112">
        <v>0</v>
      </c>
      <c r="BM29" s="112">
        <v>0</v>
      </c>
      <c r="BN29" s="112">
        <v>0</v>
      </c>
      <c r="BO29" s="112">
        <v>0</v>
      </c>
      <c r="BP29" s="112">
        <v>0</v>
      </c>
      <c r="BQ29" s="112">
        <v>0</v>
      </c>
      <c r="BR29" s="112">
        <v>0</v>
      </c>
      <c r="BS29" s="112">
        <v>0</v>
      </c>
    </row>
    <row r="30" spans="1:71" customFormat="1" x14ac:dyDescent="0.15">
      <c r="A30" s="191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1</v>
      </c>
      <c r="J30" s="112">
        <v>0</v>
      </c>
      <c r="K30" s="112">
        <v>1</v>
      </c>
      <c r="L30" s="112">
        <v>0</v>
      </c>
      <c r="M30" s="112">
        <v>0</v>
      </c>
      <c r="N30" s="112">
        <v>1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1</v>
      </c>
      <c r="V30" s="112">
        <v>1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1</v>
      </c>
      <c r="AC30" s="112">
        <v>0</v>
      </c>
      <c r="AD30" s="112">
        <v>0</v>
      </c>
      <c r="AE30" s="112">
        <v>0</v>
      </c>
      <c r="AF30" s="112">
        <v>1</v>
      </c>
      <c r="AG30" s="112">
        <v>1</v>
      </c>
      <c r="AH30" s="112">
        <v>0</v>
      </c>
      <c r="AI30" s="112">
        <v>0</v>
      </c>
      <c r="AJ30" s="112">
        <v>1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  <c r="BJ30" s="112">
        <v>0</v>
      </c>
      <c r="BK30" s="112">
        <v>0</v>
      </c>
      <c r="BL30" s="112">
        <v>0</v>
      </c>
      <c r="BM30" s="112">
        <v>0</v>
      </c>
      <c r="BN30" s="112">
        <v>0</v>
      </c>
      <c r="BO30" s="112">
        <v>0</v>
      </c>
      <c r="BP30" s="112">
        <v>0</v>
      </c>
      <c r="BQ30" s="112">
        <v>0</v>
      </c>
      <c r="BR30" s="112">
        <v>0</v>
      </c>
      <c r="BS30" s="112">
        <v>0</v>
      </c>
    </row>
    <row r="31" spans="1:71" customFormat="1" x14ac:dyDescent="0.15">
      <c r="A31" s="191" t="s">
        <v>222</v>
      </c>
      <c r="B31" s="112">
        <v>0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1</v>
      </c>
      <c r="J31" s="112">
        <v>0</v>
      </c>
      <c r="K31" s="112">
        <v>1</v>
      </c>
      <c r="L31" s="112">
        <v>0</v>
      </c>
      <c r="M31" s="112">
        <v>0</v>
      </c>
      <c r="N31" s="112">
        <v>1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1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1</v>
      </c>
      <c r="AG31" s="112">
        <v>1</v>
      </c>
      <c r="AH31" s="112">
        <v>0</v>
      </c>
      <c r="AI31" s="112">
        <v>0</v>
      </c>
      <c r="AJ31" s="112">
        <v>1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  <c r="BJ31" s="112">
        <v>0</v>
      </c>
      <c r="BK31" s="112">
        <v>0</v>
      </c>
      <c r="BL31" s="112">
        <v>0</v>
      </c>
      <c r="BM31" s="112">
        <v>0</v>
      </c>
      <c r="BN31" s="112">
        <v>0</v>
      </c>
      <c r="BO31" s="112">
        <v>0</v>
      </c>
      <c r="BP31" s="112">
        <v>0</v>
      </c>
      <c r="BQ31" s="112">
        <v>0</v>
      </c>
      <c r="BR31" s="112">
        <v>0</v>
      </c>
      <c r="BS31" s="112">
        <v>0</v>
      </c>
    </row>
    <row r="32" spans="1:71" x14ac:dyDescent="0.15">
      <c r="A32" s="191" t="s">
        <v>223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1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  <c r="BJ32" s="112">
        <v>0</v>
      </c>
      <c r="BK32" s="112">
        <v>0</v>
      </c>
      <c r="BL32" s="112">
        <v>0</v>
      </c>
      <c r="BM32" s="112">
        <v>0</v>
      </c>
      <c r="BN32" s="112">
        <v>0</v>
      </c>
      <c r="BO32" s="112">
        <v>0</v>
      </c>
      <c r="BP32" s="112">
        <v>0</v>
      </c>
      <c r="BQ32" s="112">
        <v>0</v>
      </c>
      <c r="BR32" s="112">
        <v>0</v>
      </c>
      <c r="BS32" s="112">
        <v>0</v>
      </c>
    </row>
    <row r="33" spans="1:71" x14ac:dyDescent="0.15">
      <c r="A33" s="191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1</v>
      </c>
      <c r="H33" s="112">
        <v>0</v>
      </c>
      <c r="I33" s="112">
        <v>1</v>
      </c>
      <c r="J33" s="112">
        <v>0</v>
      </c>
      <c r="K33" s="112">
        <v>1</v>
      </c>
      <c r="L33" s="112">
        <v>0</v>
      </c>
      <c r="M33" s="112">
        <v>0</v>
      </c>
      <c r="N33" s="112">
        <v>1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1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1</v>
      </c>
      <c r="AG33" s="112">
        <v>1</v>
      </c>
      <c r="AH33" s="112">
        <v>0</v>
      </c>
      <c r="AI33" s="112">
        <v>0</v>
      </c>
      <c r="AJ33" s="112">
        <v>1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  <c r="BJ33" s="112">
        <v>0</v>
      </c>
      <c r="BK33" s="112">
        <v>0</v>
      </c>
      <c r="BL33" s="112">
        <v>0</v>
      </c>
      <c r="BM33" s="112">
        <v>0</v>
      </c>
      <c r="BN33" s="112">
        <v>0</v>
      </c>
      <c r="BO33" s="112">
        <v>0</v>
      </c>
      <c r="BP33" s="112">
        <v>0</v>
      </c>
      <c r="BQ33" s="112">
        <v>0</v>
      </c>
      <c r="BR33" s="112">
        <v>0</v>
      </c>
      <c r="BS33" s="112">
        <v>0</v>
      </c>
    </row>
    <row r="34" spans="1:71" x14ac:dyDescent="0.15">
      <c r="A34" s="191" t="s">
        <v>225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  <c r="BJ34" s="112">
        <v>0</v>
      </c>
      <c r="BK34" s="112">
        <v>0</v>
      </c>
      <c r="BL34" s="112">
        <v>0</v>
      </c>
      <c r="BM34" s="112">
        <v>0</v>
      </c>
      <c r="BN34" s="112">
        <v>0</v>
      </c>
      <c r="BO34" s="112">
        <v>0</v>
      </c>
      <c r="BP34" s="112">
        <v>0</v>
      </c>
      <c r="BQ34" s="112">
        <v>0</v>
      </c>
      <c r="BR34" s="112">
        <v>0</v>
      </c>
      <c r="BS34" s="112">
        <v>0</v>
      </c>
    </row>
    <row r="35" spans="1:71" x14ac:dyDescent="0.15">
      <c r="A35" s="191" t="s">
        <v>226</v>
      </c>
      <c r="B35" s="112">
        <v>0</v>
      </c>
      <c r="C35" s="112">
        <v>0</v>
      </c>
      <c r="D35" s="112">
        <v>1</v>
      </c>
      <c r="E35" s="112">
        <v>0</v>
      </c>
      <c r="F35" s="112">
        <v>0</v>
      </c>
      <c r="G35" s="112">
        <v>1</v>
      </c>
      <c r="H35" s="112">
        <v>0</v>
      </c>
      <c r="I35" s="112">
        <v>0</v>
      </c>
      <c r="J35" s="112">
        <v>0</v>
      </c>
      <c r="K35" s="112">
        <v>1</v>
      </c>
      <c r="L35" s="112">
        <v>0</v>
      </c>
      <c r="M35" s="112">
        <v>0</v>
      </c>
      <c r="N35" s="112">
        <v>1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1</v>
      </c>
      <c r="AK35" s="112">
        <v>1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  <c r="BJ35" s="112">
        <v>0</v>
      </c>
      <c r="BK35" s="112">
        <v>0</v>
      </c>
      <c r="BL35" s="112">
        <v>0</v>
      </c>
      <c r="BM35" s="112">
        <v>0</v>
      </c>
      <c r="BN35" s="112">
        <v>0</v>
      </c>
      <c r="BO35" s="112">
        <v>0</v>
      </c>
      <c r="BP35" s="112">
        <v>0</v>
      </c>
      <c r="BQ35" s="112">
        <v>0</v>
      </c>
      <c r="BR35" s="112">
        <v>0</v>
      </c>
      <c r="BS35" s="112">
        <v>0</v>
      </c>
    </row>
    <row r="36" spans="1:71" x14ac:dyDescent="0.15">
      <c r="A36" s="191" t="s">
        <v>227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1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1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  <c r="BF36" s="112">
        <v>0</v>
      </c>
      <c r="BG36" s="112">
        <v>0</v>
      </c>
      <c r="BH36" s="112">
        <v>0</v>
      </c>
      <c r="BI36" s="112">
        <v>0</v>
      </c>
      <c r="BJ36" s="112">
        <v>0</v>
      </c>
      <c r="BK36" s="112">
        <v>0</v>
      </c>
      <c r="BL36" s="112">
        <v>0</v>
      </c>
      <c r="BM36" s="112">
        <v>0</v>
      </c>
      <c r="BN36" s="112">
        <v>0</v>
      </c>
      <c r="BO36" s="112">
        <v>0</v>
      </c>
      <c r="BP36" s="112">
        <v>0</v>
      </c>
      <c r="BQ36" s="112">
        <v>0</v>
      </c>
      <c r="BR36" s="112">
        <v>0</v>
      </c>
      <c r="BS36" s="112">
        <v>0</v>
      </c>
    </row>
    <row r="37" spans="1:71" x14ac:dyDescent="0.15">
      <c r="A37" s="191" t="s">
        <v>228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1</v>
      </c>
      <c r="H37" s="112">
        <v>0</v>
      </c>
      <c r="I37" s="112">
        <v>1</v>
      </c>
      <c r="J37" s="112">
        <v>0</v>
      </c>
      <c r="K37" s="112">
        <v>0</v>
      </c>
      <c r="L37" s="112">
        <v>0</v>
      </c>
      <c r="M37" s="112">
        <v>0</v>
      </c>
      <c r="N37" s="112">
        <v>1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1</v>
      </c>
      <c r="V37" s="112">
        <v>0</v>
      </c>
      <c r="W37" s="112">
        <v>0</v>
      </c>
      <c r="X37" s="112">
        <v>0</v>
      </c>
      <c r="Y37" s="112">
        <v>1</v>
      </c>
      <c r="Z37" s="112">
        <v>1</v>
      </c>
      <c r="AA37" s="112">
        <v>0</v>
      </c>
      <c r="AB37" s="112">
        <v>0</v>
      </c>
      <c r="AC37" s="112">
        <v>1</v>
      </c>
      <c r="AD37" s="112">
        <v>0</v>
      </c>
      <c r="AE37" s="112">
        <v>0</v>
      </c>
      <c r="AF37" s="112">
        <v>1</v>
      </c>
      <c r="AG37" s="112">
        <v>1</v>
      </c>
      <c r="AH37" s="112">
        <v>0</v>
      </c>
      <c r="AI37" s="112">
        <v>0</v>
      </c>
      <c r="AJ37" s="112">
        <v>1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  <c r="BF37" s="112">
        <v>0</v>
      </c>
      <c r="BG37" s="112">
        <v>0</v>
      </c>
      <c r="BH37" s="112">
        <v>0</v>
      </c>
      <c r="BI37" s="112">
        <v>0</v>
      </c>
      <c r="BJ37" s="112">
        <v>0</v>
      </c>
      <c r="BK37" s="112">
        <v>0</v>
      </c>
      <c r="BL37" s="112">
        <v>0</v>
      </c>
      <c r="BM37" s="112">
        <v>0</v>
      </c>
      <c r="BN37" s="112">
        <v>0</v>
      </c>
      <c r="BO37" s="112">
        <v>0</v>
      </c>
      <c r="BP37" s="112">
        <v>0</v>
      </c>
      <c r="BQ37" s="112">
        <v>0</v>
      </c>
      <c r="BR37" s="112">
        <v>0</v>
      </c>
      <c r="BS37" s="112">
        <v>0</v>
      </c>
    </row>
    <row r="38" spans="1:71" x14ac:dyDescent="0.15">
      <c r="A38" s="191" t="s">
        <v>229</v>
      </c>
      <c r="B38" s="112">
        <v>1</v>
      </c>
      <c r="C38" s="112">
        <v>1</v>
      </c>
      <c r="D38" s="112">
        <v>1</v>
      </c>
      <c r="E38" s="112">
        <v>1</v>
      </c>
      <c r="F38" s="112">
        <v>1</v>
      </c>
      <c r="G38" s="112">
        <v>1</v>
      </c>
      <c r="H38" s="112">
        <v>0</v>
      </c>
      <c r="I38" s="112">
        <v>1</v>
      </c>
      <c r="J38" s="112">
        <v>1</v>
      </c>
      <c r="K38" s="112">
        <v>1</v>
      </c>
      <c r="L38" s="112">
        <v>0</v>
      </c>
      <c r="M38" s="112">
        <v>1</v>
      </c>
      <c r="N38" s="112">
        <v>1</v>
      </c>
      <c r="O38" s="112">
        <v>0</v>
      </c>
      <c r="P38" s="112">
        <v>1</v>
      </c>
      <c r="Q38" s="112">
        <v>0</v>
      </c>
      <c r="R38" s="112">
        <v>1</v>
      </c>
      <c r="S38" s="112">
        <v>1</v>
      </c>
      <c r="T38" s="112">
        <v>1</v>
      </c>
      <c r="U38" s="112">
        <v>1</v>
      </c>
      <c r="V38" s="112">
        <v>1</v>
      </c>
      <c r="W38" s="112">
        <v>1</v>
      </c>
      <c r="X38" s="112">
        <v>1</v>
      </c>
      <c r="Y38" s="112">
        <v>1</v>
      </c>
      <c r="Z38" s="112">
        <v>1</v>
      </c>
      <c r="AA38" s="112">
        <v>0</v>
      </c>
      <c r="AB38" s="112">
        <v>1</v>
      </c>
      <c r="AC38" s="112">
        <v>1</v>
      </c>
      <c r="AD38" s="112">
        <v>1</v>
      </c>
      <c r="AE38" s="112">
        <v>1</v>
      </c>
      <c r="AF38" s="112">
        <v>1</v>
      </c>
      <c r="AG38" s="112">
        <v>1</v>
      </c>
      <c r="AH38" s="112">
        <v>1</v>
      </c>
      <c r="AI38" s="112">
        <v>0</v>
      </c>
      <c r="AJ38" s="112">
        <v>1</v>
      </c>
      <c r="AK38" s="112">
        <v>1</v>
      </c>
      <c r="AL38" s="112">
        <v>1</v>
      </c>
      <c r="AM38" s="112">
        <v>0</v>
      </c>
      <c r="AN38" s="112">
        <v>0</v>
      </c>
      <c r="AO38" s="112">
        <v>0</v>
      </c>
      <c r="AP38" s="112">
        <v>1</v>
      </c>
      <c r="AQ38" s="112">
        <v>0</v>
      </c>
      <c r="AR38" s="112">
        <v>0</v>
      </c>
      <c r="AS38" s="112">
        <v>0</v>
      </c>
      <c r="AT38" s="112">
        <v>0</v>
      </c>
      <c r="AU38" s="112">
        <v>1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  <c r="BF38" s="112">
        <v>0</v>
      </c>
      <c r="BG38" s="112">
        <v>0</v>
      </c>
      <c r="BH38" s="112">
        <v>0</v>
      </c>
      <c r="BI38" s="112">
        <v>0</v>
      </c>
      <c r="BJ38" s="112">
        <v>0</v>
      </c>
      <c r="BK38" s="112">
        <v>0</v>
      </c>
      <c r="BL38" s="112">
        <v>0</v>
      </c>
      <c r="BM38" s="112">
        <v>0</v>
      </c>
      <c r="BN38" s="112">
        <v>0</v>
      </c>
      <c r="BO38" s="112">
        <v>0</v>
      </c>
      <c r="BP38" s="112">
        <v>0</v>
      </c>
      <c r="BQ38" s="112">
        <v>0</v>
      </c>
      <c r="BR38" s="112">
        <v>0</v>
      </c>
      <c r="BS38" s="112">
        <v>0</v>
      </c>
    </row>
    <row r="39" spans="1:71" x14ac:dyDescent="0.15">
      <c r="A39" s="191" t="s">
        <v>230</v>
      </c>
      <c r="B39" s="112">
        <v>0</v>
      </c>
      <c r="C39" s="112">
        <v>0</v>
      </c>
      <c r="D39" s="112">
        <v>1</v>
      </c>
      <c r="E39" s="112">
        <v>0</v>
      </c>
      <c r="F39" s="112">
        <v>0</v>
      </c>
      <c r="G39" s="112">
        <v>1</v>
      </c>
      <c r="H39" s="112">
        <v>0</v>
      </c>
      <c r="I39" s="112">
        <v>1</v>
      </c>
      <c r="J39" s="112">
        <v>0</v>
      </c>
      <c r="K39" s="112">
        <v>1</v>
      </c>
      <c r="L39" s="112">
        <v>0</v>
      </c>
      <c r="M39" s="112">
        <v>1</v>
      </c>
      <c r="N39" s="112">
        <v>1</v>
      </c>
      <c r="O39" s="112">
        <v>1</v>
      </c>
      <c r="P39" s="112">
        <v>1</v>
      </c>
      <c r="Q39" s="112">
        <v>0</v>
      </c>
      <c r="R39" s="112">
        <v>1</v>
      </c>
      <c r="S39" s="112">
        <v>0</v>
      </c>
      <c r="T39" s="112">
        <v>1</v>
      </c>
      <c r="U39" s="112">
        <v>1</v>
      </c>
      <c r="V39" s="112">
        <v>1</v>
      </c>
      <c r="W39" s="112">
        <v>0</v>
      </c>
      <c r="X39" s="112">
        <v>1</v>
      </c>
      <c r="Y39" s="112">
        <v>1</v>
      </c>
      <c r="Z39" s="112">
        <v>1</v>
      </c>
      <c r="AA39" s="112">
        <v>1</v>
      </c>
      <c r="AB39" s="112">
        <v>1</v>
      </c>
      <c r="AC39" s="112">
        <v>0</v>
      </c>
      <c r="AD39" s="112">
        <v>1</v>
      </c>
      <c r="AE39" s="112">
        <v>1</v>
      </c>
      <c r="AF39" s="112">
        <v>1</v>
      </c>
      <c r="AG39" s="112">
        <v>1</v>
      </c>
      <c r="AH39" s="112">
        <v>1</v>
      </c>
      <c r="AI39" s="112">
        <v>1</v>
      </c>
      <c r="AJ39" s="112">
        <v>1</v>
      </c>
      <c r="AK39" s="112">
        <v>1</v>
      </c>
      <c r="AL39" s="112">
        <v>1</v>
      </c>
      <c r="AM39" s="112">
        <v>0</v>
      </c>
      <c r="AN39" s="112">
        <v>1</v>
      </c>
      <c r="AO39" s="112">
        <v>1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1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  <c r="BF39" s="112">
        <v>0</v>
      </c>
      <c r="BG39" s="112">
        <v>0</v>
      </c>
      <c r="BH39" s="112">
        <v>0</v>
      </c>
      <c r="BI39" s="112">
        <v>0</v>
      </c>
      <c r="BJ39" s="112">
        <v>0</v>
      </c>
      <c r="BK39" s="112">
        <v>0</v>
      </c>
      <c r="BL39" s="112">
        <v>0</v>
      </c>
      <c r="BM39" s="112">
        <v>0</v>
      </c>
      <c r="BN39" s="112">
        <v>0</v>
      </c>
      <c r="BO39" s="112">
        <v>0</v>
      </c>
      <c r="BP39" s="112">
        <v>0</v>
      </c>
      <c r="BQ39" s="112">
        <v>0</v>
      </c>
      <c r="BR39" s="112">
        <v>0</v>
      </c>
      <c r="BS39" s="112">
        <v>0</v>
      </c>
    </row>
    <row r="40" spans="1:71" x14ac:dyDescent="0.15">
      <c r="A40" s="191" t="s">
        <v>231</v>
      </c>
      <c r="B40" s="112">
        <v>1</v>
      </c>
      <c r="C40" s="112">
        <v>1</v>
      </c>
      <c r="D40" s="112">
        <v>1</v>
      </c>
      <c r="E40" s="112">
        <v>1</v>
      </c>
      <c r="F40" s="112">
        <v>1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1</v>
      </c>
      <c r="N40" s="112">
        <v>1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1</v>
      </c>
      <c r="AO40" s="112">
        <v>0</v>
      </c>
      <c r="AP40" s="112">
        <v>1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  <c r="BF40" s="112">
        <v>0</v>
      </c>
      <c r="BG40" s="112">
        <v>0</v>
      </c>
      <c r="BH40" s="112">
        <v>0</v>
      </c>
      <c r="BI40" s="112">
        <v>0</v>
      </c>
      <c r="BJ40" s="112">
        <v>0</v>
      </c>
      <c r="BK40" s="112">
        <v>0</v>
      </c>
      <c r="BL40" s="112">
        <v>0</v>
      </c>
      <c r="BM40" s="112">
        <v>0</v>
      </c>
      <c r="BN40" s="112">
        <v>0</v>
      </c>
      <c r="BO40" s="112">
        <v>0</v>
      </c>
      <c r="BP40" s="112">
        <v>0</v>
      </c>
      <c r="BQ40" s="112">
        <v>0</v>
      </c>
      <c r="BR40" s="112">
        <v>0</v>
      </c>
      <c r="BS40" s="112">
        <v>0</v>
      </c>
    </row>
    <row r="41" spans="1:71" x14ac:dyDescent="0.15">
      <c r="A41" s="191" t="s">
        <v>232</v>
      </c>
      <c r="B41" s="112">
        <v>1</v>
      </c>
      <c r="C41" s="112">
        <v>0</v>
      </c>
      <c r="D41" s="112">
        <v>1</v>
      </c>
      <c r="E41" s="112">
        <v>1</v>
      </c>
      <c r="F41" s="112">
        <v>1</v>
      </c>
      <c r="G41" s="112">
        <v>1</v>
      </c>
      <c r="H41" s="112">
        <v>0</v>
      </c>
      <c r="I41" s="112">
        <v>1</v>
      </c>
      <c r="J41" s="112">
        <v>0</v>
      </c>
      <c r="K41" s="112">
        <v>1</v>
      </c>
      <c r="L41" s="112">
        <v>0</v>
      </c>
      <c r="M41" s="112">
        <v>1</v>
      </c>
      <c r="N41" s="112">
        <v>1</v>
      </c>
      <c r="O41" s="112">
        <v>0</v>
      </c>
      <c r="P41" s="112">
        <v>0</v>
      </c>
      <c r="Q41" s="112">
        <v>0</v>
      </c>
      <c r="R41" s="112">
        <v>1</v>
      </c>
      <c r="S41" s="112">
        <v>0</v>
      </c>
      <c r="T41" s="112">
        <v>1</v>
      </c>
      <c r="U41" s="112">
        <v>1</v>
      </c>
      <c r="V41" s="112">
        <v>0</v>
      </c>
      <c r="W41" s="112">
        <v>0</v>
      </c>
      <c r="X41" s="112">
        <v>0</v>
      </c>
      <c r="Y41" s="112">
        <v>1</v>
      </c>
      <c r="Z41" s="112">
        <v>1</v>
      </c>
      <c r="AA41" s="112">
        <v>0</v>
      </c>
      <c r="AB41" s="112">
        <v>0</v>
      </c>
      <c r="AC41" s="112">
        <v>0</v>
      </c>
      <c r="AD41" s="112">
        <v>1</v>
      </c>
      <c r="AE41" s="112">
        <v>0</v>
      </c>
      <c r="AF41" s="112">
        <v>1</v>
      </c>
      <c r="AG41" s="112">
        <v>1</v>
      </c>
      <c r="AH41" s="112">
        <v>1</v>
      </c>
      <c r="AI41" s="112">
        <v>0</v>
      </c>
      <c r="AJ41" s="112">
        <v>1</v>
      </c>
      <c r="AK41" s="112">
        <v>0</v>
      </c>
      <c r="AL41" s="112">
        <v>0</v>
      </c>
      <c r="AM41" s="112">
        <v>0</v>
      </c>
      <c r="AN41" s="112">
        <v>1</v>
      </c>
      <c r="AO41" s="112">
        <v>1</v>
      </c>
      <c r="AP41" s="112">
        <v>1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  <c r="BJ41" s="112">
        <v>0</v>
      </c>
      <c r="BK41" s="112">
        <v>0</v>
      </c>
      <c r="BL41" s="112">
        <v>0</v>
      </c>
      <c r="BM41" s="112">
        <v>0</v>
      </c>
      <c r="BN41" s="112">
        <v>0</v>
      </c>
      <c r="BO41" s="112">
        <v>0</v>
      </c>
      <c r="BP41" s="112">
        <v>0</v>
      </c>
      <c r="BQ41" s="112">
        <v>0</v>
      </c>
      <c r="BR41" s="112">
        <v>0</v>
      </c>
      <c r="BS41" s="112">
        <v>0</v>
      </c>
    </row>
    <row r="42" spans="1:71" x14ac:dyDescent="0.15">
      <c r="A42" s="191" t="s">
        <v>233</v>
      </c>
      <c r="B42" s="112">
        <v>1</v>
      </c>
      <c r="C42" s="112">
        <v>1</v>
      </c>
      <c r="D42" s="112">
        <v>1</v>
      </c>
      <c r="E42" s="112">
        <v>1</v>
      </c>
      <c r="F42" s="112">
        <v>1</v>
      </c>
      <c r="G42" s="112">
        <v>1</v>
      </c>
      <c r="H42" s="112">
        <v>0</v>
      </c>
      <c r="I42" s="112">
        <v>1</v>
      </c>
      <c r="J42" s="112">
        <v>1</v>
      </c>
      <c r="K42" s="112">
        <v>1</v>
      </c>
      <c r="L42" s="112">
        <v>1</v>
      </c>
      <c r="M42" s="112">
        <v>1</v>
      </c>
      <c r="N42" s="112">
        <v>1</v>
      </c>
      <c r="O42" s="112">
        <v>1</v>
      </c>
      <c r="P42" s="112">
        <v>1</v>
      </c>
      <c r="Q42" s="112">
        <v>0</v>
      </c>
      <c r="R42" s="112">
        <v>1</v>
      </c>
      <c r="S42" s="112">
        <v>1</v>
      </c>
      <c r="T42" s="112">
        <v>1</v>
      </c>
      <c r="U42" s="112">
        <v>1</v>
      </c>
      <c r="V42" s="112">
        <v>1</v>
      </c>
      <c r="W42" s="112">
        <v>1</v>
      </c>
      <c r="X42" s="112">
        <v>1</v>
      </c>
      <c r="Y42" s="112">
        <v>1</v>
      </c>
      <c r="Z42" s="112">
        <v>1</v>
      </c>
      <c r="AA42" s="112">
        <v>1</v>
      </c>
      <c r="AB42" s="112">
        <v>1</v>
      </c>
      <c r="AC42" s="112">
        <v>1</v>
      </c>
      <c r="AD42" s="112">
        <v>1</v>
      </c>
      <c r="AE42" s="112">
        <v>1</v>
      </c>
      <c r="AF42" s="112">
        <v>1</v>
      </c>
      <c r="AG42" s="112">
        <v>1</v>
      </c>
      <c r="AH42" s="112">
        <v>1</v>
      </c>
      <c r="AI42" s="112">
        <v>0</v>
      </c>
      <c r="AJ42" s="112">
        <v>1</v>
      </c>
      <c r="AK42" s="112">
        <v>1</v>
      </c>
      <c r="AL42" s="112">
        <v>1</v>
      </c>
      <c r="AM42" s="112">
        <v>0</v>
      </c>
      <c r="AN42" s="112">
        <v>1</v>
      </c>
      <c r="AO42" s="112">
        <v>1</v>
      </c>
      <c r="AP42" s="112">
        <v>1</v>
      </c>
      <c r="AQ42" s="112">
        <v>0</v>
      </c>
      <c r="AR42" s="112">
        <v>0</v>
      </c>
      <c r="AS42" s="112">
        <v>0</v>
      </c>
      <c r="AT42" s="112">
        <v>0</v>
      </c>
      <c r="AU42" s="112">
        <v>1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  <c r="BF42" s="112">
        <v>0</v>
      </c>
      <c r="BG42" s="112">
        <v>0</v>
      </c>
      <c r="BH42" s="112">
        <v>0</v>
      </c>
      <c r="BI42" s="112">
        <v>0</v>
      </c>
      <c r="BJ42" s="112">
        <v>0</v>
      </c>
      <c r="BK42" s="112">
        <v>0</v>
      </c>
      <c r="BL42" s="112">
        <v>0</v>
      </c>
      <c r="BM42" s="112">
        <v>0</v>
      </c>
      <c r="BN42" s="112">
        <v>0</v>
      </c>
      <c r="BO42" s="112">
        <v>0</v>
      </c>
      <c r="BP42" s="112">
        <v>0</v>
      </c>
      <c r="BQ42" s="112">
        <v>0</v>
      </c>
      <c r="BR42" s="112">
        <v>0</v>
      </c>
      <c r="BS42" s="112">
        <v>0</v>
      </c>
    </row>
    <row r="43" spans="1:71" x14ac:dyDescent="0.15">
      <c r="A43" s="191" t="s">
        <v>234</v>
      </c>
      <c r="B43" s="112">
        <v>1</v>
      </c>
      <c r="C43" s="112">
        <v>1</v>
      </c>
      <c r="D43" s="112">
        <v>1</v>
      </c>
      <c r="E43" s="112">
        <v>1</v>
      </c>
      <c r="F43" s="112">
        <v>1</v>
      </c>
      <c r="G43" s="112">
        <v>1</v>
      </c>
      <c r="H43" s="112">
        <v>0</v>
      </c>
      <c r="I43" s="112">
        <v>1</v>
      </c>
      <c r="J43" s="112">
        <v>1</v>
      </c>
      <c r="K43" s="112">
        <v>1</v>
      </c>
      <c r="L43" s="112">
        <v>1</v>
      </c>
      <c r="M43" s="112">
        <v>1</v>
      </c>
      <c r="N43" s="112">
        <v>1</v>
      </c>
      <c r="O43" s="112">
        <v>1</v>
      </c>
      <c r="P43" s="112">
        <v>1</v>
      </c>
      <c r="Q43" s="112">
        <v>0</v>
      </c>
      <c r="R43" s="112">
        <v>1</v>
      </c>
      <c r="S43" s="112">
        <v>0</v>
      </c>
      <c r="T43" s="112">
        <v>1</v>
      </c>
      <c r="U43" s="112">
        <v>1</v>
      </c>
      <c r="V43" s="112">
        <v>1</v>
      </c>
      <c r="W43" s="112">
        <v>0</v>
      </c>
      <c r="X43" s="112">
        <v>1</v>
      </c>
      <c r="Y43" s="112">
        <v>1</v>
      </c>
      <c r="Z43" s="112">
        <v>1</v>
      </c>
      <c r="AA43" s="112">
        <v>0</v>
      </c>
      <c r="AB43" s="112">
        <v>1</v>
      </c>
      <c r="AC43" s="112">
        <v>1</v>
      </c>
      <c r="AD43" s="112">
        <v>1</v>
      </c>
      <c r="AE43" s="112">
        <v>1</v>
      </c>
      <c r="AF43" s="112">
        <v>1</v>
      </c>
      <c r="AG43" s="112">
        <v>1</v>
      </c>
      <c r="AH43" s="112">
        <v>1</v>
      </c>
      <c r="AI43" s="112">
        <v>0</v>
      </c>
      <c r="AJ43" s="112">
        <v>1</v>
      </c>
      <c r="AK43" s="112">
        <v>1</v>
      </c>
      <c r="AL43" s="112">
        <v>1</v>
      </c>
      <c r="AM43" s="112">
        <v>0</v>
      </c>
      <c r="AN43" s="112">
        <v>1</v>
      </c>
      <c r="AO43" s="112">
        <v>1</v>
      </c>
      <c r="AP43" s="112">
        <v>1</v>
      </c>
      <c r="AQ43" s="112">
        <v>0</v>
      </c>
      <c r="AR43" s="112">
        <v>0</v>
      </c>
      <c r="AS43" s="112">
        <v>0</v>
      </c>
      <c r="AT43" s="112">
        <v>0</v>
      </c>
      <c r="AU43" s="112">
        <v>1</v>
      </c>
      <c r="AV43" s="112">
        <v>0</v>
      </c>
      <c r="AW43" s="112">
        <v>0</v>
      </c>
      <c r="AX43" s="112">
        <v>1</v>
      </c>
      <c r="AY43" s="112">
        <v>0</v>
      </c>
      <c r="AZ43" s="112">
        <v>1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  <c r="BJ43" s="112">
        <v>0</v>
      </c>
      <c r="BK43" s="112">
        <v>0</v>
      </c>
      <c r="BL43" s="112">
        <v>0</v>
      </c>
      <c r="BM43" s="112">
        <v>0</v>
      </c>
      <c r="BN43" s="112">
        <v>0</v>
      </c>
      <c r="BO43" s="112">
        <v>0</v>
      </c>
      <c r="BP43" s="112">
        <v>0</v>
      </c>
      <c r="BQ43" s="112">
        <v>0</v>
      </c>
      <c r="BR43" s="112">
        <v>0</v>
      </c>
      <c r="BS43" s="112">
        <v>0</v>
      </c>
    </row>
    <row r="44" spans="1:71" x14ac:dyDescent="0.15">
      <c r="A44" s="191" t="s">
        <v>235</v>
      </c>
      <c r="B44" s="112">
        <v>1</v>
      </c>
      <c r="C44" s="112">
        <v>1</v>
      </c>
      <c r="D44" s="112">
        <v>1</v>
      </c>
      <c r="E44" s="112">
        <v>1</v>
      </c>
      <c r="F44" s="112">
        <v>0</v>
      </c>
      <c r="G44" s="112">
        <v>1</v>
      </c>
      <c r="H44" s="112">
        <v>1</v>
      </c>
      <c r="I44" s="112">
        <v>1</v>
      </c>
      <c r="J44" s="112">
        <v>1</v>
      </c>
      <c r="K44" s="112">
        <v>1</v>
      </c>
      <c r="L44" s="112">
        <v>1</v>
      </c>
      <c r="M44" s="112">
        <v>1</v>
      </c>
      <c r="N44" s="112">
        <v>1</v>
      </c>
      <c r="O44" s="112">
        <v>1</v>
      </c>
      <c r="P44" s="112">
        <v>1</v>
      </c>
      <c r="Q44" s="112">
        <v>1</v>
      </c>
      <c r="R44" s="112">
        <v>1</v>
      </c>
      <c r="S44" s="112">
        <v>0</v>
      </c>
      <c r="T44" s="112">
        <v>1</v>
      </c>
      <c r="U44" s="112">
        <v>1</v>
      </c>
      <c r="V44" s="112">
        <v>1</v>
      </c>
      <c r="W44" s="112">
        <v>0</v>
      </c>
      <c r="X44" s="112">
        <v>1</v>
      </c>
      <c r="Y44" s="112">
        <v>1</v>
      </c>
      <c r="Z44" s="112">
        <v>1</v>
      </c>
      <c r="AA44" s="112">
        <v>0</v>
      </c>
      <c r="AB44" s="112">
        <v>1</v>
      </c>
      <c r="AC44" s="112">
        <v>1</v>
      </c>
      <c r="AD44" s="112">
        <v>1</v>
      </c>
      <c r="AE44" s="112">
        <v>1</v>
      </c>
      <c r="AF44" s="112">
        <v>1</v>
      </c>
      <c r="AG44" s="112">
        <v>1</v>
      </c>
      <c r="AH44" s="112">
        <v>1</v>
      </c>
      <c r="AI44" s="112">
        <v>0</v>
      </c>
      <c r="AJ44" s="112">
        <v>1</v>
      </c>
      <c r="AK44" s="112">
        <v>1</v>
      </c>
      <c r="AL44" s="112">
        <v>1</v>
      </c>
      <c r="AM44" s="112">
        <v>0</v>
      </c>
      <c r="AN44" s="112">
        <v>1</v>
      </c>
      <c r="AO44" s="112">
        <v>1</v>
      </c>
      <c r="AP44" s="112">
        <v>1</v>
      </c>
      <c r="AQ44" s="112">
        <v>0</v>
      </c>
      <c r="AR44" s="112">
        <v>0</v>
      </c>
      <c r="AS44" s="112">
        <v>0</v>
      </c>
      <c r="AT44" s="112">
        <v>0</v>
      </c>
      <c r="AU44" s="112">
        <v>1</v>
      </c>
      <c r="AV44" s="112">
        <v>0</v>
      </c>
      <c r="AW44" s="112">
        <v>0</v>
      </c>
      <c r="AX44" s="112">
        <v>1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  <c r="BJ44" s="112">
        <v>0</v>
      </c>
      <c r="BK44" s="112">
        <v>0</v>
      </c>
      <c r="BL44" s="112">
        <v>0</v>
      </c>
      <c r="BM44" s="112">
        <v>0</v>
      </c>
      <c r="BN44" s="112">
        <v>0</v>
      </c>
      <c r="BO44" s="112">
        <v>0</v>
      </c>
      <c r="BP44" s="112">
        <v>0</v>
      </c>
      <c r="BQ44" s="112">
        <v>0</v>
      </c>
      <c r="BR44" s="112">
        <v>0</v>
      </c>
      <c r="BS44" s="112">
        <v>0</v>
      </c>
    </row>
    <row r="45" spans="1:71" x14ac:dyDescent="0.15">
      <c r="A45" s="191" t="s">
        <v>236</v>
      </c>
      <c r="B45" s="112">
        <v>0</v>
      </c>
      <c r="C45" s="112">
        <v>1</v>
      </c>
      <c r="D45" s="112">
        <v>1</v>
      </c>
      <c r="E45" s="112">
        <v>1</v>
      </c>
      <c r="F45" s="112">
        <v>1</v>
      </c>
      <c r="G45" s="112">
        <v>1</v>
      </c>
      <c r="H45" s="112">
        <v>1</v>
      </c>
      <c r="I45" s="112">
        <v>1</v>
      </c>
      <c r="J45" s="112">
        <v>1</v>
      </c>
      <c r="K45" s="112">
        <v>0</v>
      </c>
      <c r="L45" s="112">
        <v>1</v>
      </c>
      <c r="M45" s="112">
        <v>1</v>
      </c>
      <c r="N45" s="112">
        <v>1</v>
      </c>
      <c r="O45" s="112">
        <v>1</v>
      </c>
      <c r="P45" s="112">
        <v>0</v>
      </c>
      <c r="Q45" s="112">
        <v>0</v>
      </c>
      <c r="R45" s="112">
        <v>1</v>
      </c>
      <c r="S45" s="112">
        <v>0</v>
      </c>
      <c r="T45" s="112">
        <v>1</v>
      </c>
      <c r="U45" s="112">
        <v>1</v>
      </c>
      <c r="V45" s="112">
        <v>0</v>
      </c>
      <c r="W45" s="112">
        <v>0</v>
      </c>
      <c r="X45" s="112">
        <v>1</v>
      </c>
      <c r="Y45" s="112">
        <v>1</v>
      </c>
      <c r="Z45" s="112">
        <v>0</v>
      </c>
      <c r="AA45" s="112">
        <v>0</v>
      </c>
      <c r="AB45" s="112">
        <v>0</v>
      </c>
      <c r="AC45" s="112">
        <v>0</v>
      </c>
      <c r="AD45" s="112">
        <v>1</v>
      </c>
      <c r="AE45" s="112">
        <v>1</v>
      </c>
      <c r="AF45" s="112">
        <v>1</v>
      </c>
      <c r="AG45" s="112">
        <v>1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1</v>
      </c>
      <c r="AO45" s="112">
        <v>1</v>
      </c>
      <c r="AP45" s="112">
        <v>1</v>
      </c>
      <c r="AQ45" s="112">
        <v>0</v>
      </c>
      <c r="AR45" s="112">
        <v>0</v>
      </c>
      <c r="AS45" s="112">
        <v>0</v>
      </c>
      <c r="AT45" s="112">
        <v>0</v>
      </c>
      <c r="AU45" s="112">
        <v>1</v>
      </c>
      <c r="AV45" s="112">
        <v>0</v>
      </c>
      <c r="AW45" s="112">
        <v>0</v>
      </c>
      <c r="AX45" s="112">
        <v>1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  <c r="BJ45" s="112">
        <v>0</v>
      </c>
      <c r="BK45" s="112">
        <v>0</v>
      </c>
      <c r="BL45" s="112">
        <v>0</v>
      </c>
      <c r="BM45" s="112">
        <v>0</v>
      </c>
      <c r="BN45" s="112">
        <v>0</v>
      </c>
      <c r="BO45" s="112">
        <v>0</v>
      </c>
      <c r="BP45" s="112">
        <v>0</v>
      </c>
      <c r="BQ45" s="112">
        <v>0</v>
      </c>
      <c r="BR45" s="112">
        <v>0</v>
      </c>
      <c r="BS45" s="112">
        <v>0</v>
      </c>
    </row>
    <row r="46" spans="1:71" x14ac:dyDescent="0.15">
      <c r="A46" s="191" t="s">
        <v>237</v>
      </c>
      <c r="B46" s="112">
        <v>1</v>
      </c>
      <c r="C46" s="112">
        <v>1</v>
      </c>
      <c r="D46" s="112">
        <v>1</v>
      </c>
      <c r="E46" s="112">
        <v>0</v>
      </c>
      <c r="F46" s="112">
        <v>0</v>
      </c>
      <c r="G46" s="112">
        <v>1</v>
      </c>
      <c r="H46" s="112">
        <v>0</v>
      </c>
      <c r="I46" s="112">
        <v>0</v>
      </c>
      <c r="J46" s="112">
        <v>1</v>
      </c>
      <c r="K46" s="112">
        <v>1</v>
      </c>
      <c r="L46" s="112">
        <v>0</v>
      </c>
      <c r="M46" s="112">
        <v>0</v>
      </c>
      <c r="N46" s="112">
        <v>1</v>
      </c>
      <c r="O46" s="112">
        <v>0</v>
      </c>
      <c r="P46" s="112">
        <v>0</v>
      </c>
      <c r="Q46" s="112">
        <v>0</v>
      </c>
      <c r="R46" s="112">
        <v>1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112">
        <v>0</v>
      </c>
      <c r="Z46" s="112">
        <v>1</v>
      </c>
      <c r="AA46" s="112">
        <v>0</v>
      </c>
      <c r="AB46" s="112">
        <v>0</v>
      </c>
      <c r="AC46" s="112">
        <v>0</v>
      </c>
      <c r="AD46" s="112">
        <v>0</v>
      </c>
      <c r="AE46" s="112">
        <v>0</v>
      </c>
      <c r="AF46" s="112">
        <v>1</v>
      </c>
      <c r="AG46" s="112">
        <v>0</v>
      </c>
      <c r="AH46" s="112">
        <v>1</v>
      </c>
      <c r="AI46" s="112">
        <v>0</v>
      </c>
      <c r="AJ46" s="112">
        <v>0</v>
      </c>
      <c r="AK46" s="112">
        <v>0</v>
      </c>
      <c r="AL46" s="112">
        <v>0</v>
      </c>
      <c r="AM46" s="112">
        <v>0</v>
      </c>
      <c r="AN46" s="112">
        <v>1</v>
      </c>
      <c r="AO46" s="112">
        <v>1</v>
      </c>
      <c r="AP46" s="112">
        <v>0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1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  <c r="BE46" s="112">
        <v>0</v>
      </c>
      <c r="BF46" s="112">
        <v>0</v>
      </c>
      <c r="BG46" s="112">
        <v>0</v>
      </c>
      <c r="BH46" s="112">
        <v>0</v>
      </c>
      <c r="BI46" s="112">
        <v>0</v>
      </c>
      <c r="BJ46" s="112">
        <v>0</v>
      </c>
      <c r="BK46" s="112">
        <v>0</v>
      </c>
      <c r="BL46" s="112">
        <v>0</v>
      </c>
      <c r="BM46" s="112">
        <v>0</v>
      </c>
      <c r="BN46" s="112">
        <v>0</v>
      </c>
      <c r="BO46" s="112">
        <v>0</v>
      </c>
      <c r="BP46" s="112">
        <v>0</v>
      </c>
      <c r="BQ46" s="112">
        <v>0</v>
      </c>
      <c r="BR46" s="112">
        <v>0</v>
      </c>
      <c r="BS46" s="112">
        <v>0</v>
      </c>
    </row>
    <row r="47" spans="1:71" x14ac:dyDescent="0.15">
      <c r="A47" s="191" t="s">
        <v>238</v>
      </c>
      <c r="B47" s="112">
        <v>0</v>
      </c>
      <c r="C47" s="112">
        <v>0</v>
      </c>
      <c r="D47" s="112">
        <v>1</v>
      </c>
      <c r="E47" s="112">
        <v>1</v>
      </c>
      <c r="F47" s="112">
        <v>1</v>
      </c>
      <c r="G47" s="112">
        <v>1</v>
      </c>
      <c r="H47" s="112">
        <v>1</v>
      </c>
      <c r="I47" s="112">
        <v>1</v>
      </c>
      <c r="J47" s="112">
        <v>1</v>
      </c>
      <c r="K47" s="112">
        <v>1</v>
      </c>
      <c r="L47" s="112">
        <v>1</v>
      </c>
      <c r="M47" s="112">
        <v>1</v>
      </c>
      <c r="N47" s="112">
        <v>1</v>
      </c>
      <c r="O47" s="112">
        <v>1</v>
      </c>
      <c r="P47" s="112">
        <v>1</v>
      </c>
      <c r="Q47" s="112">
        <v>1</v>
      </c>
      <c r="R47" s="112">
        <v>1</v>
      </c>
      <c r="S47" s="112">
        <v>1</v>
      </c>
      <c r="T47" s="112">
        <v>1</v>
      </c>
      <c r="U47" s="112">
        <v>1</v>
      </c>
      <c r="V47" s="112">
        <v>1</v>
      </c>
      <c r="W47" s="112">
        <v>1</v>
      </c>
      <c r="X47" s="112">
        <v>1</v>
      </c>
      <c r="Y47" s="112">
        <v>1</v>
      </c>
      <c r="Z47" s="112">
        <v>1</v>
      </c>
      <c r="AA47" s="112">
        <v>1</v>
      </c>
      <c r="AB47" s="112">
        <v>1</v>
      </c>
      <c r="AC47" s="112">
        <v>0</v>
      </c>
      <c r="AD47" s="112">
        <v>1</v>
      </c>
      <c r="AE47" s="112">
        <v>1</v>
      </c>
      <c r="AF47" s="112">
        <v>1</v>
      </c>
      <c r="AG47" s="112">
        <v>1</v>
      </c>
      <c r="AH47" s="112">
        <v>0</v>
      </c>
      <c r="AI47" s="112">
        <v>1</v>
      </c>
      <c r="AJ47" s="112">
        <v>1</v>
      </c>
      <c r="AK47" s="112">
        <v>0</v>
      </c>
      <c r="AL47" s="112">
        <v>1</v>
      </c>
      <c r="AM47" s="112">
        <v>0</v>
      </c>
      <c r="AN47" s="112">
        <v>0</v>
      </c>
      <c r="AO47" s="112">
        <v>1</v>
      </c>
      <c r="AP47" s="112">
        <v>1</v>
      </c>
      <c r="AQ47" s="112">
        <v>0</v>
      </c>
      <c r="AR47" s="112">
        <v>1</v>
      </c>
      <c r="AS47" s="112">
        <v>0</v>
      </c>
      <c r="AT47" s="112">
        <v>0</v>
      </c>
      <c r="AU47" s="112">
        <v>1</v>
      </c>
      <c r="AV47" s="112">
        <v>0</v>
      </c>
      <c r="AW47" s="112">
        <v>0</v>
      </c>
      <c r="AX47" s="112">
        <v>1</v>
      </c>
      <c r="AY47" s="112">
        <v>0</v>
      </c>
      <c r="AZ47" s="112">
        <v>1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  <c r="BF47" s="112">
        <v>0</v>
      </c>
      <c r="BG47" s="112">
        <v>0</v>
      </c>
      <c r="BH47" s="112">
        <v>0</v>
      </c>
      <c r="BI47" s="112">
        <v>0</v>
      </c>
      <c r="BJ47" s="112">
        <v>0</v>
      </c>
      <c r="BK47" s="112">
        <v>0</v>
      </c>
      <c r="BL47" s="112">
        <v>0</v>
      </c>
      <c r="BM47" s="112">
        <v>0</v>
      </c>
      <c r="BN47" s="112">
        <v>0</v>
      </c>
      <c r="BO47" s="112">
        <v>0</v>
      </c>
      <c r="BP47" s="112">
        <v>0</v>
      </c>
      <c r="BQ47" s="112">
        <v>0</v>
      </c>
      <c r="BR47" s="112">
        <v>0</v>
      </c>
      <c r="BS47" s="112">
        <v>0</v>
      </c>
    </row>
    <row r="48" spans="1:71" x14ac:dyDescent="0.15">
      <c r="A48" s="191" t="s">
        <v>239</v>
      </c>
      <c r="B48" s="112">
        <v>0</v>
      </c>
      <c r="C48" s="112">
        <v>0</v>
      </c>
      <c r="D48" s="112">
        <v>1</v>
      </c>
      <c r="E48" s="112">
        <v>1</v>
      </c>
      <c r="F48" s="112">
        <v>1</v>
      </c>
      <c r="G48" s="112">
        <v>1</v>
      </c>
      <c r="H48" s="112">
        <v>1</v>
      </c>
      <c r="I48" s="112">
        <v>1</v>
      </c>
      <c r="J48" s="112">
        <v>1</v>
      </c>
      <c r="K48" s="112">
        <v>1</v>
      </c>
      <c r="L48" s="112">
        <v>1</v>
      </c>
      <c r="M48" s="112">
        <v>1</v>
      </c>
      <c r="N48" s="112">
        <v>1</v>
      </c>
      <c r="O48" s="112">
        <v>1</v>
      </c>
      <c r="P48" s="112">
        <v>1</v>
      </c>
      <c r="Q48" s="112">
        <v>1</v>
      </c>
      <c r="R48" s="112">
        <v>1</v>
      </c>
      <c r="S48" s="112">
        <v>0</v>
      </c>
      <c r="T48" s="112">
        <v>1</v>
      </c>
      <c r="U48" s="112">
        <v>1</v>
      </c>
      <c r="V48" s="112">
        <v>0</v>
      </c>
      <c r="W48" s="112">
        <v>0</v>
      </c>
      <c r="X48" s="112">
        <v>1</v>
      </c>
      <c r="Y48" s="112">
        <v>1</v>
      </c>
      <c r="Z48" s="112">
        <v>1</v>
      </c>
      <c r="AA48" s="112">
        <v>1</v>
      </c>
      <c r="AB48" s="112">
        <v>1</v>
      </c>
      <c r="AC48" s="112">
        <v>1</v>
      </c>
      <c r="AD48" s="112">
        <v>1</v>
      </c>
      <c r="AE48" s="112">
        <v>1</v>
      </c>
      <c r="AF48" s="112">
        <v>1</v>
      </c>
      <c r="AG48" s="112">
        <v>1</v>
      </c>
      <c r="AH48" s="112">
        <v>1</v>
      </c>
      <c r="AI48" s="112">
        <v>1</v>
      </c>
      <c r="AJ48" s="112">
        <v>1</v>
      </c>
      <c r="AK48" s="112">
        <v>1</v>
      </c>
      <c r="AL48" s="112">
        <v>1</v>
      </c>
      <c r="AM48" s="112">
        <v>0</v>
      </c>
      <c r="AN48" s="112">
        <v>1</v>
      </c>
      <c r="AO48" s="112">
        <v>1</v>
      </c>
      <c r="AP48" s="112">
        <v>1</v>
      </c>
      <c r="AQ48" s="112">
        <v>1</v>
      </c>
      <c r="AR48" s="112">
        <v>1</v>
      </c>
      <c r="AS48" s="112">
        <v>0</v>
      </c>
      <c r="AT48" s="112">
        <v>0</v>
      </c>
      <c r="AU48" s="112">
        <v>0</v>
      </c>
      <c r="AV48" s="112">
        <v>0</v>
      </c>
      <c r="AW48" s="112">
        <v>1</v>
      </c>
      <c r="AX48" s="112">
        <v>1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  <c r="BJ48" s="112">
        <v>0</v>
      </c>
      <c r="BK48" s="112">
        <v>0</v>
      </c>
      <c r="BL48" s="112">
        <v>0</v>
      </c>
      <c r="BM48" s="112">
        <v>0</v>
      </c>
      <c r="BN48" s="112">
        <v>0</v>
      </c>
      <c r="BO48" s="112">
        <v>0</v>
      </c>
      <c r="BP48" s="112">
        <v>0</v>
      </c>
      <c r="BQ48" s="112">
        <v>0</v>
      </c>
      <c r="BR48" s="112">
        <v>0</v>
      </c>
      <c r="BS48" s="112">
        <v>0</v>
      </c>
    </row>
    <row r="49" spans="1:71" x14ac:dyDescent="0.15">
      <c r="A49" s="191" t="s">
        <v>240</v>
      </c>
      <c r="B49" s="112">
        <v>0</v>
      </c>
      <c r="C49" s="112">
        <v>0</v>
      </c>
      <c r="D49" s="112">
        <v>0</v>
      </c>
      <c r="E49" s="112">
        <v>0</v>
      </c>
      <c r="F49" s="112">
        <v>1</v>
      </c>
      <c r="G49" s="112">
        <v>0</v>
      </c>
      <c r="H49" s="112">
        <v>0</v>
      </c>
      <c r="I49" s="112">
        <v>0</v>
      </c>
      <c r="J49" s="112">
        <v>0</v>
      </c>
      <c r="K49" s="112">
        <v>1</v>
      </c>
      <c r="L49" s="112">
        <v>0</v>
      </c>
      <c r="M49" s="112">
        <v>0</v>
      </c>
      <c r="N49" s="112">
        <v>0</v>
      </c>
      <c r="O49" s="112">
        <v>0</v>
      </c>
      <c r="P49" s="112">
        <v>1</v>
      </c>
      <c r="Q49" s="112">
        <v>0</v>
      </c>
      <c r="R49" s="112">
        <v>1</v>
      </c>
      <c r="S49" s="112">
        <v>0</v>
      </c>
      <c r="T49" s="112">
        <v>0</v>
      </c>
      <c r="U49" s="112">
        <v>0</v>
      </c>
      <c r="V49" s="112">
        <v>1</v>
      </c>
      <c r="W49" s="112">
        <v>1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1</v>
      </c>
      <c r="AF49" s="112">
        <v>1</v>
      </c>
      <c r="AG49" s="112">
        <v>0</v>
      </c>
      <c r="AH49" s="112">
        <v>1</v>
      </c>
      <c r="AI49" s="112">
        <v>0</v>
      </c>
      <c r="AJ49" s="112">
        <v>0</v>
      </c>
      <c r="AK49" s="112">
        <v>0</v>
      </c>
      <c r="AL49" s="112">
        <v>1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  <c r="BJ49" s="112">
        <v>0</v>
      </c>
      <c r="BK49" s="112">
        <v>0</v>
      </c>
      <c r="BL49" s="112">
        <v>0</v>
      </c>
      <c r="BM49" s="112">
        <v>0</v>
      </c>
      <c r="BN49" s="112">
        <v>0</v>
      </c>
      <c r="BO49" s="112">
        <v>0</v>
      </c>
      <c r="BP49" s="112">
        <v>0</v>
      </c>
      <c r="BQ49" s="112">
        <v>0</v>
      </c>
      <c r="BR49" s="112">
        <v>0</v>
      </c>
      <c r="BS49" s="112">
        <v>0</v>
      </c>
    </row>
    <row r="50" spans="1:71" x14ac:dyDescent="0.15">
      <c r="A50" s="191" t="s">
        <v>241</v>
      </c>
      <c r="B50" s="112">
        <v>0</v>
      </c>
      <c r="C50" s="112">
        <v>0</v>
      </c>
      <c r="D50" s="112">
        <v>1</v>
      </c>
      <c r="E50" s="112">
        <v>1</v>
      </c>
      <c r="F50" s="112">
        <v>1</v>
      </c>
      <c r="G50" s="112">
        <v>1</v>
      </c>
      <c r="H50" s="112">
        <v>1</v>
      </c>
      <c r="I50" s="112">
        <v>1</v>
      </c>
      <c r="J50" s="112">
        <v>0</v>
      </c>
      <c r="K50" s="112">
        <v>0</v>
      </c>
      <c r="L50" s="112">
        <v>1</v>
      </c>
      <c r="M50" s="112">
        <v>1</v>
      </c>
      <c r="N50" s="112">
        <v>1</v>
      </c>
      <c r="O50" s="112">
        <v>1</v>
      </c>
      <c r="P50" s="112">
        <v>1</v>
      </c>
      <c r="Q50" s="112">
        <v>0</v>
      </c>
      <c r="R50" s="112">
        <v>1</v>
      </c>
      <c r="S50" s="112">
        <v>1</v>
      </c>
      <c r="T50" s="112">
        <v>1</v>
      </c>
      <c r="U50" s="112">
        <v>1</v>
      </c>
      <c r="V50" s="112">
        <v>1</v>
      </c>
      <c r="W50" s="112">
        <v>0</v>
      </c>
      <c r="X50" s="112">
        <v>1</v>
      </c>
      <c r="Y50" s="112">
        <v>1</v>
      </c>
      <c r="Z50" s="112">
        <v>1</v>
      </c>
      <c r="AA50" s="112">
        <v>1</v>
      </c>
      <c r="AB50" s="112">
        <v>1</v>
      </c>
      <c r="AC50" s="112">
        <v>1</v>
      </c>
      <c r="AD50" s="112">
        <v>1</v>
      </c>
      <c r="AE50" s="112">
        <v>1</v>
      </c>
      <c r="AF50" s="112">
        <v>1</v>
      </c>
      <c r="AG50" s="112">
        <v>1</v>
      </c>
      <c r="AH50" s="112">
        <v>1</v>
      </c>
      <c r="AI50" s="112">
        <v>1</v>
      </c>
      <c r="AJ50" s="112">
        <v>1</v>
      </c>
      <c r="AK50" s="112">
        <v>1</v>
      </c>
      <c r="AL50" s="112">
        <v>1</v>
      </c>
      <c r="AM50" s="112">
        <v>0</v>
      </c>
      <c r="AN50" s="112">
        <v>1</v>
      </c>
      <c r="AO50" s="112">
        <v>1</v>
      </c>
      <c r="AP50" s="112">
        <v>1</v>
      </c>
      <c r="AQ50" s="112">
        <v>0</v>
      </c>
      <c r="AR50" s="112">
        <v>1</v>
      </c>
      <c r="AS50" s="112">
        <v>0</v>
      </c>
      <c r="AT50" s="112">
        <v>0</v>
      </c>
      <c r="AU50" s="112">
        <v>0</v>
      </c>
      <c r="AV50" s="112">
        <v>0</v>
      </c>
      <c r="AW50" s="112">
        <v>1</v>
      </c>
      <c r="AX50" s="112">
        <v>1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  <c r="BF50" s="112">
        <v>0</v>
      </c>
      <c r="BG50" s="112">
        <v>0</v>
      </c>
      <c r="BH50" s="112">
        <v>0</v>
      </c>
      <c r="BI50" s="112">
        <v>0</v>
      </c>
      <c r="BJ50" s="112">
        <v>0</v>
      </c>
      <c r="BK50" s="112">
        <v>0</v>
      </c>
      <c r="BL50" s="112">
        <v>0</v>
      </c>
      <c r="BM50" s="112">
        <v>0</v>
      </c>
      <c r="BN50" s="112">
        <v>0</v>
      </c>
      <c r="BO50" s="112">
        <v>0</v>
      </c>
      <c r="BP50" s="112">
        <v>0</v>
      </c>
      <c r="BQ50" s="112">
        <v>0</v>
      </c>
      <c r="BR50" s="112">
        <v>0</v>
      </c>
      <c r="BS50" s="112">
        <v>0</v>
      </c>
    </row>
    <row r="51" spans="1:71" x14ac:dyDescent="0.15">
      <c r="A51" s="191" t="s">
        <v>242</v>
      </c>
      <c r="B51" s="112">
        <v>0</v>
      </c>
      <c r="C51" s="112">
        <v>0</v>
      </c>
      <c r="D51" s="112">
        <v>0</v>
      </c>
      <c r="E51" s="112">
        <v>1</v>
      </c>
      <c r="F51" s="112">
        <v>1</v>
      </c>
      <c r="G51" s="112">
        <v>0</v>
      </c>
      <c r="H51" s="112">
        <v>0</v>
      </c>
      <c r="I51" s="112">
        <v>1</v>
      </c>
      <c r="J51" s="112">
        <v>0</v>
      </c>
      <c r="K51" s="112">
        <v>0</v>
      </c>
      <c r="L51" s="112">
        <v>0</v>
      </c>
      <c r="M51" s="112">
        <v>0</v>
      </c>
      <c r="N51" s="112">
        <v>1</v>
      </c>
      <c r="O51" s="112">
        <v>1</v>
      </c>
      <c r="P51" s="112">
        <v>1</v>
      </c>
      <c r="Q51" s="112">
        <v>1</v>
      </c>
      <c r="R51" s="112">
        <v>1</v>
      </c>
      <c r="S51" s="112">
        <v>1</v>
      </c>
      <c r="T51" s="112">
        <v>1</v>
      </c>
      <c r="U51" s="112">
        <v>1</v>
      </c>
      <c r="V51" s="112">
        <v>1</v>
      </c>
      <c r="W51" s="112">
        <v>1</v>
      </c>
      <c r="X51" s="112">
        <v>0</v>
      </c>
      <c r="Y51" s="112">
        <v>0</v>
      </c>
      <c r="Z51" s="112">
        <v>0</v>
      </c>
      <c r="AA51" s="112">
        <v>1</v>
      </c>
      <c r="AB51" s="112">
        <v>1</v>
      </c>
      <c r="AC51" s="112">
        <v>1</v>
      </c>
      <c r="AD51" s="112">
        <v>1</v>
      </c>
      <c r="AE51" s="112">
        <v>1</v>
      </c>
      <c r="AF51" s="112">
        <v>1</v>
      </c>
      <c r="AG51" s="112">
        <v>1</v>
      </c>
      <c r="AH51" s="112">
        <v>1</v>
      </c>
      <c r="AI51" s="112">
        <v>1</v>
      </c>
      <c r="AJ51" s="112">
        <v>1</v>
      </c>
      <c r="AK51" s="112">
        <v>1</v>
      </c>
      <c r="AL51" s="112">
        <v>1</v>
      </c>
      <c r="AM51" s="112">
        <v>0</v>
      </c>
      <c r="AN51" s="112">
        <v>0</v>
      </c>
      <c r="AO51" s="112">
        <v>0</v>
      </c>
      <c r="AP51" s="112">
        <v>0</v>
      </c>
      <c r="AQ51" s="112">
        <v>1</v>
      </c>
      <c r="AR51" s="112">
        <v>0</v>
      </c>
      <c r="AS51" s="112">
        <v>0</v>
      </c>
      <c r="AT51" s="112">
        <v>0</v>
      </c>
      <c r="AU51" s="112">
        <v>1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  <c r="BD51" s="112">
        <v>0</v>
      </c>
      <c r="BE51" s="112">
        <v>0</v>
      </c>
      <c r="BF51" s="112">
        <v>0</v>
      </c>
      <c r="BG51" s="112">
        <v>0</v>
      </c>
      <c r="BH51" s="112">
        <v>0</v>
      </c>
      <c r="BI51" s="112">
        <v>0</v>
      </c>
      <c r="BJ51" s="112">
        <v>0</v>
      </c>
      <c r="BK51" s="112">
        <v>0</v>
      </c>
      <c r="BL51" s="112">
        <v>0</v>
      </c>
      <c r="BM51" s="112">
        <v>0</v>
      </c>
      <c r="BN51" s="112">
        <v>0</v>
      </c>
      <c r="BO51" s="112">
        <v>0</v>
      </c>
      <c r="BP51" s="112">
        <v>0</v>
      </c>
      <c r="BQ51" s="112">
        <v>0</v>
      </c>
      <c r="BR51" s="112">
        <v>0</v>
      </c>
      <c r="BS51" s="112">
        <v>0</v>
      </c>
    </row>
    <row r="52" spans="1:71" x14ac:dyDescent="0.15">
      <c r="A52" s="191" t="s">
        <v>243</v>
      </c>
      <c r="B52" s="112">
        <v>0</v>
      </c>
      <c r="C52" s="112">
        <v>0</v>
      </c>
      <c r="D52" s="112">
        <v>0</v>
      </c>
      <c r="E52" s="112">
        <v>1</v>
      </c>
      <c r="F52" s="112">
        <v>1</v>
      </c>
      <c r="G52" s="112">
        <v>1</v>
      </c>
      <c r="H52" s="112">
        <v>1</v>
      </c>
      <c r="I52" s="112">
        <v>1</v>
      </c>
      <c r="J52" s="112">
        <v>0</v>
      </c>
      <c r="K52" s="112">
        <v>1</v>
      </c>
      <c r="L52" s="112">
        <v>1</v>
      </c>
      <c r="M52" s="112">
        <v>0</v>
      </c>
      <c r="N52" s="112">
        <v>1</v>
      </c>
      <c r="O52" s="112">
        <v>1</v>
      </c>
      <c r="P52" s="112">
        <v>1</v>
      </c>
      <c r="Q52" s="112">
        <v>1</v>
      </c>
      <c r="R52" s="112">
        <v>1</v>
      </c>
      <c r="S52" s="112">
        <v>1</v>
      </c>
      <c r="T52" s="112">
        <v>1</v>
      </c>
      <c r="U52" s="112">
        <v>1</v>
      </c>
      <c r="V52" s="112">
        <v>1</v>
      </c>
      <c r="W52" s="112">
        <v>0</v>
      </c>
      <c r="X52" s="112">
        <v>1</v>
      </c>
      <c r="Y52" s="112">
        <v>1</v>
      </c>
      <c r="Z52" s="112">
        <v>1</v>
      </c>
      <c r="AA52" s="112">
        <v>1</v>
      </c>
      <c r="AB52" s="112">
        <v>1</v>
      </c>
      <c r="AC52" s="112">
        <v>1</v>
      </c>
      <c r="AD52" s="112">
        <v>1</v>
      </c>
      <c r="AE52" s="112">
        <v>1</v>
      </c>
      <c r="AF52" s="112">
        <v>1</v>
      </c>
      <c r="AG52" s="112">
        <v>1</v>
      </c>
      <c r="AH52" s="112">
        <v>0</v>
      </c>
      <c r="AI52" s="112">
        <v>1</v>
      </c>
      <c r="AJ52" s="112">
        <v>0</v>
      </c>
      <c r="AK52" s="112">
        <v>0</v>
      </c>
      <c r="AL52" s="112">
        <v>1</v>
      </c>
      <c r="AM52" s="112">
        <v>0</v>
      </c>
      <c r="AN52" s="112">
        <v>0</v>
      </c>
      <c r="AO52" s="112">
        <v>1</v>
      </c>
      <c r="AP52" s="112">
        <v>1</v>
      </c>
      <c r="AQ52" s="112">
        <v>1</v>
      </c>
      <c r="AR52" s="112">
        <v>1</v>
      </c>
      <c r="AS52" s="112">
        <v>0</v>
      </c>
      <c r="AT52" s="112">
        <v>0</v>
      </c>
      <c r="AU52" s="112">
        <v>0</v>
      </c>
      <c r="AV52" s="112">
        <v>0</v>
      </c>
      <c r="AW52" s="112">
        <v>1</v>
      </c>
      <c r="AX52" s="112">
        <v>1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  <c r="BJ52" s="112">
        <v>0</v>
      </c>
      <c r="BK52" s="112">
        <v>0</v>
      </c>
      <c r="BL52" s="112">
        <v>0</v>
      </c>
      <c r="BM52" s="112">
        <v>0</v>
      </c>
      <c r="BN52" s="112">
        <v>0</v>
      </c>
      <c r="BO52" s="112">
        <v>0</v>
      </c>
      <c r="BP52" s="112">
        <v>0</v>
      </c>
      <c r="BQ52" s="112">
        <v>0</v>
      </c>
      <c r="BR52" s="112">
        <v>0</v>
      </c>
      <c r="BS52" s="112">
        <v>0</v>
      </c>
    </row>
    <row r="53" spans="1:71" x14ac:dyDescent="0.15">
      <c r="A53" s="191" t="s">
        <v>244</v>
      </c>
      <c r="B53" s="112">
        <v>0</v>
      </c>
      <c r="C53" s="112">
        <v>0</v>
      </c>
      <c r="D53" s="112">
        <v>1</v>
      </c>
      <c r="E53" s="112">
        <v>1</v>
      </c>
      <c r="F53" s="112">
        <v>1</v>
      </c>
      <c r="G53" s="112">
        <v>0</v>
      </c>
      <c r="H53" s="112">
        <v>0</v>
      </c>
      <c r="I53" s="112">
        <v>1</v>
      </c>
      <c r="J53" s="112">
        <v>1</v>
      </c>
      <c r="K53" s="112">
        <v>0</v>
      </c>
      <c r="L53" s="112">
        <v>0</v>
      </c>
      <c r="M53" s="112">
        <v>0</v>
      </c>
      <c r="N53" s="112">
        <v>1</v>
      </c>
      <c r="O53" s="112">
        <v>0</v>
      </c>
      <c r="P53" s="112">
        <v>1</v>
      </c>
      <c r="Q53" s="112">
        <v>1</v>
      </c>
      <c r="R53" s="112">
        <v>1</v>
      </c>
      <c r="S53" s="112">
        <v>1</v>
      </c>
      <c r="T53" s="112">
        <v>1</v>
      </c>
      <c r="U53" s="112">
        <v>1</v>
      </c>
      <c r="V53" s="112">
        <v>1</v>
      </c>
      <c r="W53" s="112">
        <v>1</v>
      </c>
      <c r="X53" s="112">
        <v>1</v>
      </c>
      <c r="Y53" s="112">
        <v>1</v>
      </c>
      <c r="Z53" s="112">
        <v>0</v>
      </c>
      <c r="AA53" s="112">
        <v>1</v>
      </c>
      <c r="AB53" s="112">
        <v>1</v>
      </c>
      <c r="AC53" s="112">
        <v>0</v>
      </c>
      <c r="AD53" s="112">
        <v>1</v>
      </c>
      <c r="AE53" s="112">
        <v>1</v>
      </c>
      <c r="AF53" s="112">
        <v>1</v>
      </c>
      <c r="AG53" s="112">
        <v>1</v>
      </c>
      <c r="AH53" s="112">
        <v>1</v>
      </c>
      <c r="AI53" s="112">
        <v>1</v>
      </c>
      <c r="AJ53" s="112">
        <v>0</v>
      </c>
      <c r="AK53" s="112">
        <v>1</v>
      </c>
      <c r="AL53" s="112">
        <v>1</v>
      </c>
      <c r="AM53" s="112">
        <v>1</v>
      </c>
      <c r="AN53" s="112">
        <v>0</v>
      </c>
      <c r="AO53" s="112">
        <v>1</v>
      </c>
      <c r="AP53" s="112">
        <v>1</v>
      </c>
      <c r="AQ53" s="112">
        <v>1</v>
      </c>
      <c r="AR53" s="112">
        <v>1</v>
      </c>
      <c r="AS53" s="112">
        <v>1</v>
      </c>
      <c r="AT53" s="112">
        <v>0</v>
      </c>
      <c r="AU53" s="112">
        <v>1</v>
      </c>
      <c r="AV53" s="112">
        <v>1</v>
      </c>
      <c r="AW53" s="112">
        <v>1</v>
      </c>
      <c r="AX53" s="112">
        <v>1</v>
      </c>
      <c r="AY53" s="112">
        <v>1</v>
      </c>
      <c r="AZ53" s="112">
        <v>1</v>
      </c>
      <c r="BA53" s="112">
        <v>1</v>
      </c>
      <c r="BB53" s="112">
        <v>0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  <c r="BJ53" s="112">
        <v>0</v>
      </c>
      <c r="BK53" s="112">
        <v>0</v>
      </c>
      <c r="BL53" s="112">
        <v>0</v>
      </c>
      <c r="BM53" s="112">
        <v>0</v>
      </c>
      <c r="BN53" s="112">
        <v>0</v>
      </c>
      <c r="BO53" s="112">
        <v>0</v>
      </c>
      <c r="BP53" s="112">
        <v>0</v>
      </c>
      <c r="BQ53" s="112">
        <v>0</v>
      </c>
      <c r="BR53" s="112">
        <v>0</v>
      </c>
      <c r="BS53" s="112">
        <v>0</v>
      </c>
    </row>
    <row r="54" spans="1:71" x14ac:dyDescent="0.15">
      <c r="A54" s="191" t="s">
        <v>245</v>
      </c>
      <c r="B54" s="112">
        <v>0</v>
      </c>
      <c r="C54" s="112">
        <v>0</v>
      </c>
      <c r="D54" s="112">
        <v>1</v>
      </c>
      <c r="E54" s="112">
        <v>1</v>
      </c>
      <c r="F54" s="112">
        <v>1</v>
      </c>
      <c r="G54" s="112">
        <v>0</v>
      </c>
      <c r="H54" s="112">
        <v>0</v>
      </c>
      <c r="I54" s="112">
        <v>1</v>
      </c>
      <c r="J54" s="112">
        <v>0</v>
      </c>
      <c r="K54" s="112">
        <v>0</v>
      </c>
      <c r="L54" s="112">
        <v>1</v>
      </c>
      <c r="M54" s="112">
        <v>0</v>
      </c>
      <c r="N54" s="112">
        <v>1</v>
      </c>
      <c r="O54" s="112">
        <v>0</v>
      </c>
      <c r="P54" s="112">
        <v>1</v>
      </c>
      <c r="Q54" s="112">
        <v>0</v>
      </c>
      <c r="R54" s="112">
        <v>1</v>
      </c>
      <c r="S54" s="112">
        <v>1</v>
      </c>
      <c r="T54" s="112">
        <v>1</v>
      </c>
      <c r="U54" s="112">
        <v>1</v>
      </c>
      <c r="V54" s="112">
        <v>0</v>
      </c>
      <c r="W54" s="112">
        <v>0</v>
      </c>
      <c r="X54" s="112">
        <v>1</v>
      </c>
      <c r="Y54" s="112">
        <v>0</v>
      </c>
      <c r="Z54" s="112">
        <v>0</v>
      </c>
      <c r="AA54" s="112">
        <v>0</v>
      </c>
      <c r="AB54" s="112">
        <v>1</v>
      </c>
      <c r="AC54" s="112">
        <v>0</v>
      </c>
      <c r="AD54" s="112">
        <v>1</v>
      </c>
      <c r="AE54" s="112">
        <v>0</v>
      </c>
      <c r="AF54" s="112">
        <v>1</v>
      </c>
      <c r="AG54" s="112">
        <v>1</v>
      </c>
      <c r="AH54" s="112">
        <v>0</v>
      </c>
      <c r="AI54" s="112">
        <v>1</v>
      </c>
      <c r="AJ54" s="112">
        <v>0</v>
      </c>
      <c r="AK54" s="112">
        <v>1</v>
      </c>
      <c r="AL54" s="112">
        <v>1</v>
      </c>
      <c r="AM54" s="112">
        <v>1</v>
      </c>
      <c r="AN54" s="112">
        <v>0</v>
      </c>
      <c r="AO54" s="112">
        <v>1</v>
      </c>
      <c r="AP54" s="112">
        <v>1</v>
      </c>
      <c r="AQ54" s="112">
        <v>1</v>
      </c>
      <c r="AR54" s="112">
        <v>1</v>
      </c>
      <c r="AS54" s="112">
        <v>1</v>
      </c>
      <c r="AT54" s="112">
        <v>1</v>
      </c>
      <c r="AU54" s="112">
        <v>1</v>
      </c>
      <c r="AV54" s="112">
        <v>1</v>
      </c>
      <c r="AW54" s="112">
        <v>1</v>
      </c>
      <c r="AX54" s="112">
        <v>1</v>
      </c>
      <c r="AY54" s="112">
        <v>1</v>
      </c>
      <c r="AZ54" s="112">
        <v>1</v>
      </c>
      <c r="BA54" s="112">
        <v>1</v>
      </c>
      <c r="BB54" s="112">
        <v>0</v>
      </c>
      <c r="BC54" s="112">
        <v>0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  <c r="BJ54" s="112">
        <v>0</v>
      </c>
      <c r="BK54" s="112">
        <v>0</v>
      </c>
      <c r="BL54" s="112">
        <v>0</v>
      </c>
      <c r="BM54" s="112">
        <v>0</v>
      </c>
      <c r="BN54" s="112">
        <v>0</v>
      </c>
      <c r="BO54" s="112">
        <v>0</v>
      </c>
      <c r="BP54" s="112">
        <v>0</v>
      </c>
      <c r="BQ54" s="112">
        <v>0</v>
      </c>
      <c r="BR54" s="112">
        <v>0</v>
      </c>
      <c r="BS54" s="112">
        <v>0</v>
      </c>
    </row>
    <row r="55" spans="1:71" x14ac:dyDescent="0.15">
      <c r="A55" s="191" t="s">
        <v>246</v>
      </c>
      <c r="B55" s="112">
        <v>0</v>
      </c>
      <c r="C55" s="112">
        <v>0</v>
      </c>
      <c r="D55" s="112">
        <v>0</v>
      </c>
      <c r="E55" s="112">
        <v>1</v>
      </c>
      <c r="F55" s="112">
        <v>1</v>
      </c>
      <c r="G55" s="112">
        <v>0</v>
      </c>
      <c r="H55" s="112">
        <v>0</v>
      </c>
      <c r="I55" s="112">
        <v>1</v>
      </c>
      <c r="J55" s="112">
        <v>0</v>
      </c>
      <c r="K55" s="112">
        <v>0</v>
      </c>
      <c r="L55" s="112">
        <v>0</v>
      </c>
      <c r="M55" s="112">
        <v>0</v>
      </c>
      <c r="N55" s="112">
        <v>1</v>
      </c>
      <c r="O55" s="112">
        <v>1</v>
      </c>
      <c r="P55" s="112">
        <v>1</v>
      </c>
      <c r="Q55" s="112">
        <v>1</v>
      </c>
      <c r="R55" s="112">
        <v>1</v>
      </c>
      <c r="S55" s="112">
        <v>1</v>
      </c>
      <c r="T55" s="112">
        <v>0</v>
      </c>
      <c r="U55" s="112">
        <v>1</v>
      </c>
      <c r="V55" s="112">
        <v>1</v>
      </c>
      <c r="W55" s="112">
        <v>1</v>
      </c>
      <c r="X55" s="112">
        <v>0</v>
      </c>
      <c r="Y55" s="112">
        <v>1</v>
      </c>
      <c r="Z55" s="112">
        <v>0</v>
      </c>
      <c r="AA55" s="112">
        <v>0</v>
      </c>
      <c r="AB55" s="112">
        <v>0</v>
      </c>
      <c r="AC55" s="112">
        <v>1</v>
      </c>
      <c r="AD55" s="112">
        <v>0</v>
      </c>
      <c r="AE55" s="112">
        <v>0</v>
      </c>
      <c r="AF55" s="112">
        <v>1</v>
      </c>
      <c r="AG55" s="112">
        <v>0</v>
      </c>
      <c r="AH55" s="112">
        <v>0</v>
      </c>
      <c r="AI55" s="112">
        <v>1</v>
      </c>
      <c r="AJ55" s="112">
        <v>0</v>
      </c>
      <c r="AK55" s="112">
        <v>1</v>
      </c>
      <c r="AL55" s="112">
        <v>1</v>
      </c>
      <c r="AM55" s="112">
        <v>1</v>
      </c>
      <c r="AN55" s="112">
        <v>0</v>
      </c>
      <c r="AO55" s="112">
        <v>1</v>
      </c>
      <c r="AP55" s="112">
        <v>1</v>
      </c>
      <c r="AQ55" s="112">
        <v>1</v>
      </c>
      <c r="AR55" s="112">
        <v>1</v>
      </c>
      <c r="AS55" s="112">
        <v>1</v>
      </c>
      <c r="AT55" s="112">
        <v>0</v>
      </c>
      <c r="AU55" s="112">
        <v>0</v>
      </c>
      <c r="AV55" s="112">
        <v>1</v>
      </c>
      <c r="AW55" s="112">
        <v>1</v>
      </c>
      <c r="AX55" s="112">
        <v>0</v>
      </c>
      <c r="AY55" s="112">
        <v>0</v>
      </c>
      <c r="AZ55" s="112">
        <v>0</v>
      </c>
      <c r="BA55" s="112">
        <v>1</v>
      </c>
      <c r="BB55" s="112">
        <v>0</v>
      </c>
      <c r="BC55" s="112">
        <v>0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  <c r="BJ55" s="112">
        <v>0</v>
      </c>
      <c r="BK55" s="112">
        <v>0</v>
      </c>
      <c r="BL55" s="112">
        <v>0</v>
      </c>
      <c r="BM55" s="112">
        <v>0</v>
      </c>
      <c r="BN55" s="112">
        <v>0</v>
      </c>
      <c r="BO55" s="112">
        <v>0</v>
      </c>
      <c r="BP55" s="112">
        <v>0</v>
      </c>
      <c r="BQ55" s="112">
        <v>0</v>
      </c>
      <c r="BR55" s="112">
        <v>0</v>
      </c>
      <c r="BS55" s="112">
        <v>0</v>
      </c>
    </row>
    <row r="56" spans="1:71" x14ac:dyDescent="0.15">
      <c r="A56" s="191" t="s">
        <v>247</v>
      </c>
      <c r="B56" s="112">
        <v>0</v>
      </c>
      <c r="C56" s="112">
        <v>0</v>
      </c>
      <c r="D56" s="112">
        <v>1</v>
      </c>
      <c r="E56" s="112">
        <v>1</v>
      </c>
      <c r="F56" s="112">
        <v>1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1</v>
      </c>
      <c r="O56" s="112">
        <v>1</v>
      </c>
      <c r="P56" s="112">
        <v>1</v>
      </c>
      <c r="Q56" s="112">
        <v>1</v>
      </c>
      <c r="R56" s="112">
        <v>1</v>
      </c>
      <c r="S56" s="112">
        <v>1</v>
      </c>
      <c r="T56" s="112">
        <v>1</v>
      </c>
      <c r="U56" s="112">
        <v>1</v>
      </c>
      <c r="V56" s="112">
        <v>0</v>
      </c>
      <c r="W56" s="112">
        <v>0</v>
      </c>
      <c r="X56" s="112">
        <v>1</v>
      </c>
      <c r="Y56" s="112">
        <v>1</v>
      </c>
      <c r="Z56" s="112">
        <v>0</v>
      </c>
      <c r="AA56" s="112">
        <v>1</v>
      </c>
      <c r="AB56" s="112">
        <v>1</v>
      </c>
      <c r="AC56" s="112">
        <v>0</v>
      </c>
      <c r="AD56" s="112">
        <v>1</v>
      </c>
      <c r="AE56" s="112">
        <v>0</v>
      </c>
      <c r="AF56" s="112">
        <v>1</v>
      </c>
      <c r="AG56" s="112">
        <v>1</v>
      </c>
      <c r="AH56" s="112">
        <v>0</v>
      </c>
      <c r="AI56" s="112">
        <v>1</v>
      </c>
      <c r="AJ56" s="112">
        <v>0</v>
      </c>
      <c r="AK56" s="112">
        <v>1</v>
      </c>
      <c r="AL56" s="112">
        <v>1</v>
      </c>
      <c r="AM56" s="112">
        <v>1</v>
      </c>
      <c r="AN56" s="112">
        <v>0</v>
      </c>
      <c r="AO56" s="112">
        <v>1</v>
      </c>
      <c r="AP56" s="112">
        <v>1</v>
      </c>
      <c r="AQ56" s="112">
        <v>1</v>
      </c>
      <c r="AR56" s="112">
        <v>1</v>
      </c>
      <c r="AS56" s="112">
        <v>1</v>
      </c>
      <c r="AT56" s="112">
        <v>1</v>
      </c>
      <c r="AU56" s="112">
        <v>1</v>
      </c>
      <c r="AV56" s="112">
        <v>1</v>
      </c>
      <c r="AW56" s="112">
        <v>1</v>
      </c>
      <c r="AX56" s="112">
        <v>1</v>
      </c>
      <c r="AY56" s="112">
        <v>0</v>
      </c>
      <c r="AZ56" s="112">
        <v>1</v>
      </c>
      <c r="BA56" s="112">
        <v>1</v>
      </c>
      <c r="BB56" s="112">
        <v>0</v>
      </c>
      <c r="BC56" s="112">
        <v>1</v>
      </c>
      <c r="BD56" s="112">
        <v>1</v>
      </c>
      <c r="BE56" s="112">
        <v>1</v>
      </c>
      <c r="BF56" s="112">
        <v>0</v>
      </c>
      <c r="BG56" s="112">
        <v>0</v>
      </c>
      <c r="BH56" s="112">
        <v>0</v>
      </c>
      <c r="BI56" s="112">
        <v>0</v>
      </c>
      <c r="BJ56" s="112">
        <v>0</v>
      </c>
      <c r="BK56" s="112">
        <v>0</v>
      </c>
      <c r="BL56" s="112">
        <v>0</v>
      </c>
      <c r="BM56" s="112">
        <v>0</v>
      </c>
      <c r="BN56" s="112">
        <v>0</v>
      </c>
      <c r="BO56" s="112">
        <v>0</v>
      </c>
      <c r="BP56" s="112">
        <v>0</v>
      </c>
      <c r="BQ56" s="112">
        <v>0</v>
      </c>
      <c r="BR56" s="112">
        <v>0</v>
      </c>
      <c r="BS56" s="112">
        <v>0</v>
      </c>
    </row>
    <row r="57" spans="1:71" x14ac:dyDescent="0.15">
      <c r="A57" s="191" t="s">
        <v>248</v>
      </c>
      <c r="B57" s="112">
        <v>0</v>
      </c>
      <c r="C57" s="112">
        <v>0</v>
      </c>
      <c r="D57" s="112">
        <v>1</v>
      </c>
      <c r="E57" s="112">
        <v>1</v>
      </c>
      <c r="F57" s="112">
        <v>1</v>
      </c>
      <c r="G57" s="112">
        <v>0</v>
      </c>
      <c r="H57" s="112">
        <v>1</v>
      </c>
      <c r="I57" s="112">
        <v>1</v>
      </c>
      <c r="J57" s="112">
        <v>1</v>
      </c>
      <c r="K57" s="112">
        <v>0</v>
      </c>
      <c r="L57" s="112">
        <v>1</v>
      </c>
      <c r="M57" s="112">
        <v>0</v>
      </c>
      <c r="N57" s="112">
        <v>0</v>
      </c>
      <c r="O57" s="112">
        <v>1</v>
      </c>
      <c r="P57" s="112">
        <v>1</v>
      </c>
      <c r="Q57" s="112">
        <v>1</v>
      </c>
      <c r="R57" s="112">
        <v>1</v>
      </c>
      <c r="S57" s="112">
        <v>1</v>
      </c>
      <c r="T57" s="112">
        <v>1</v>
      </c>
      <c r="U57" s="112">
        <v>1</v>
      </c>
      <c r="V57" s="112">
        <v>1</v>
      </c>
      <c r="W57" s="112">
        <v>1</v>
      </c>
      <c r="X57" s="112">
        <v>1</v>
      </c>
      <c r="Y57" s="112">
        <v>1</v>
      </c>
      <c r="Z57" s="112">
        <v>0</v>
      </c>
      <c r="AA57" s="112">
        <v>1</v>
      </c>
      <c r="AB57" s="112">
        <v>1</v>
      </c>
      <c r="AC57" s="112">
        <v>1</v>
      </c>
      <c r="AD57" s="112">
        <v>1</v>
      </c>
      <c r="AE57" s="112">
        <v>1</v>
      </c>
      <c r="AF57" s="112">
        <v>1</v>
      </c>
      <c r="AG57" s="112">
        <v>1</v>
      </c>
      <c r="AH57" s="112">
        <v>1</v>
      </c>
      <c r="AI57" s="112">
        <v>1</v>
      </c>
      <c r="AJ57" s="112">
        <v>1</v>
      </c>
      <c r="AK57" s="112">
        <v>1</v>
      </c>
      <c r="AL57" s="112">
        <v>1</v>
      </c>
      <c r="AM57" s="112">
        <v>1</v>
      </c>
      <c r="AN57" s="112">
        <v>0</v>
      </c>
      <c r="AO57" s="112">
        <v>1</v>
      </c>
      <c r="AP57" s="112">
        <v>1</v>
      </c>
      <c r="AQ57" s="112">
        <v>1</v>
      </c>
      <c r="AR57" s="112">
        <v>1</v>
      </c>
      <c r="AS57" s="112">
        <v>1</v>
      </c>
      <c r="AT57" s="112">
        <v>1</v>
      </c>
      <c r="AU57" s="112">
        <v>1</v>
      </c>
      <c r="AV57" s="112">
        <v>1</v>
      </c>
      <c r="AW57" s="112">
        <v>1</v>
      </c>
      <c r="AX57" s="112">
        <v>1</v>
      </c>
      <c r="AY57" s="112">
        <v>1</v>
      </c>
      <c r="AZ57" s="112">
        <v>1</v>
      </c>
      <c r="BA57" s="112">
        <v>1</v>
      </c>
      <c r="BB57" s="112">
        <v>0</v>
      </c>
      <c r="BC57" s="112">
        <v>1</v>
      </c>
      <c r="BD57" s="112">
        <v>1</v>
      </c>
      <c r="BE57" s="112">
        <v>1</v>
      </c>
      <c r="BF57" s="112">
        <v>0</v>
      </c>
      <c r="BG57" s="112">
        <v>0</v>
      </c>
      <c r="BH57" s="112">
        <v>0</v>
      </c>
      <c r="BI57" s="112">
        <v>0</v>
      </c>
      <c r="BJ57" s="112">
        <v>0</v>
      </c>
      <c r="BK57" s="112">
        <v>0</v>
      </c>
      <c r="BL57" s="112">
        <v>0</v>
      </c>
      <c r="BM57" s="112">
        <v>0</v>
      </c>
      <c r="BN57" s="112">
        <v>0</v>
      </c>
      <c r="BO57" s="112">
        <v>0</v>
      </c>
      <c r="BP57" s="112">
        <v>0</v>
      </c>
      <c r="BQ57" s="112">
        <v>0</v>
      </c>
      <c r="BR57" s="112">
        <v>0</v>
      </c>
      <c r="BS57" s="112">
        <v>0</v>
      </c>
    </row>
    <row r="58" spans="1:71" x14ac:dyDescent="0.15">
      <c r="A58" s="191" t="s">
        <v>249</v>
      </c>
      <c r="B58" s="112">
        <v>0</v>
      </c>
      <c r="C58" s="112">
        <v>0</v>
      </c>
      <c r="D58" s="112">
        <v>0</v>
      </c>
      <c r="E58" s="112">
        <v>1</v>
      </c>
      <c r="F58" s="112">
        <v>1</v>
      </c>
      <c r="G58" s="112">
        <v>0</v>
      </c>
      <c r="H58" s="112">
        <v>0</v>
      </c>
      <c r="I58" s="112">
        <v>0</v>
      </c>
      <c r="J58" s="112">
        <v>1</v>
      </c>
      <c r="K58" s="112">
        <v>1</v>
      </c>
      <c r="L58" s="112">
        <v>1</v>
      </c>
      <c r="M58" s="112">
        <v>0</v>
      </c>
      <c r="N58" s="112">
        <v>1</v>
      </c>
      <c r="O58" s="112">
        <v>0</v>
      </c>
      <c r="P58" s="112">
        <v>0</v>
      </c>
      <c r="Q58" s="112">
        <v>0</v>
      </c>
      <c r="R58" s="112">
        <v>1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1</v>
      </c>
      <c r="AJ58" s="112">
        <v>0</v>
      </c>
      <c r="AK58" s="112">
        <v>0</v>
      </c>
      <c r="AL58" s="112">
        <v>1</v>
      </c>
      <c r="AM58" s="112">
        <v>0</v>
      </c>
      <c r="AN58" s="112">
        <v>0</v>
      </c>
      <c r="AO58" s="112">
        <v>1</v>
      </c>
      <c r="AP58" s="112">
        <v>1</v>
      </c>
      <c r="AQ58" s="112">
        <v>1</v>
      </c>
      <c r="AR58" s="112">
        <v>1</v>
      </c>
      <c r="AS58" s="112">
        <v>1</v>
      </c>
      <c r="AT58" s="112">
        <v>1</v>
      </c>
      <c r="AU58" s="112">
        <v>0</v>
      </c>
      <c r="AV58" s="112">
        <v>0</v>
      </c>
      <c r="AW58" s="112">
        <v>1</v>
      </c>
      <c r="AX58" s="112">
        <v>1</v>
      </c>
      <c r="AY58" s="112">
        <v>0</v>
      </c>
      <c r="AZ58" s="112">
        <v>0</v>
      </c>
      <c r="BA58" s="112">
        <v>1</v>
      </c>
      <c r="BB58" s="112">
        <v>0</v>
      </c>
      <c r="BC58" s="112">
        <v>1</v>
      </c>
      <c r="BD58" s="112">
        <v>1</v>
      </c>
      <c r="BE58" s="112">
        <v>1</v>
      </c>
      <c r="BF58" s="112">
        <v>1</v>
      </c>
      <c r="BG58" s="112">
        <v>0</v>
      </c>
      <c r="BH58" s="112">
        <v>0</v>
      </c>
      <c r="BI58" s="112">
        <v>0</v>
      </c>
      <c r="BJ58" s="112">
        <v>0</v>
      </c>
      <c r="BK58" s="112">
        <v>0</v>
      </c>
      <c r="BL58" s="112">
        <v>0</v>
      </c>
      <c r="BM58" s="112">
        <v>0</v>
      </c>
      <c r="BN58" s="112">
        <v>0</v>
      </c>
      <c r="BO58" s="112">
        <v>0</v>
      </c>
      <c r="BP58" s="112">
        <v>0</v>
      </c>
      <c r="BQ58" s="112">
        <v>0</v>
      </c>
      <c r="BR58" s="112">
        <v>0</v>
      </c>
      <c r="BS58" s="112">
        <v>0</v>
      </c>
    </row>
    <row r="59" spans="1:71" x14ac:dyDescent="0.15">
      <c r="A59" s="191" t="s">
        <v>250</v>
      </c>
      <c r="B59" s="112">
        <v>0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1</v>
      </c>
      <c r="I59" s="112">
        <v>0</v>
      </c>
      <c r="J59" s="112">
        <v>1</v>
      </c>
      <c r="K59" s="112">
        <v>0</v>
      </c>
      <c r="L59" s="112">
        <v>1</v>
      </c>
      <c r="M59" s="112">
        <v>0</v>
      </c>
      <c r="N59" s="112">
        <v>0</v>
      </c>
      <c r="O59" s="112">
        <v>1</v>
      </c>
      <c r="P59" s="112">
        <v>0</v>
      </c>
      <c r="Q59" s="112">
        <v>1</v>
      </c>
      <c r="R59" s="112">
        <v>0</v>
      </c>
      <c r="S59" s="112">
        <v>1</v>
      </c>
      <c r="T59" s="112">
        <v>0</v>
      </c>
      <c r="U59" s="112">
        <v>0</v>
      </c>
      <c r="V59" s="112">
        <v>0</v>
      </c>
      <c r="W59" s="112">
        <v>0</v>
      </c>
      <c r="X59" s="112">
        <v>1</v>
      </c>
      <c r="Y59" s="112">
        <v>0</v>
      </c>
      <c r="Z59" s="112">
        <v>0</v>
      </c>
      <c r="AA59" s="112">
        <v>0</v>
      </c>
      <c r="AB59" s="112">
        <v>0</v>
      </c>
      <c r="AC59" s="112">
        <v>0</v>
      </c>
      <c r="AD59" s="112">
        <v>0</v>
      </c>
      <c r="AE59" s="112">
        <v>0</v>
      </c>
      <c r="AF59" s="112">
        <v>0</v>
      </c>
      <c r="AG59" s="112">
        <v>0</v>
      </c>
      <c r="AH59" s="112">
        <v>0</v>
      </c>
      <c r="AI59" s="112">
        <v>0</v>
      </c>
      <c r="AJ59" s="112">
        <v>0</v>
      </c>
      <c r="AK59" s="112">
        <v>0</v>
      </c>
      <c r="AL59" s="112">
        <v>0</v>
      </c>
      <c r="AM59" s="112">
        <v>0</v>
      </c>
      <c r="AN59" s="112">
        <v>0</v>
      </c>
      <c r="AO59" s="112">
        <v>1</v>
      </c>
      <c r="AP59" s="112">
        <v>1</v>
      </c>
      <c r="AQ59" s="112">
        <v>1</v>
      </c>
      <c r="AR59" s="112">
        <v>1</v>
      </c>
      <c r="AS59" s="112">
        <v>1</v>
      </c>
      <c r="AT59" s="112">
        <v>0</v>
      </c>
      <c r="AU59" s="112">
        <v>1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0</v>
      </c>
      <c r="BB59" s="112">
        <v>0</v>
      </c>
      <c r="BC59" s="112">
        <v>1</v>
      </c>
      <c r="BD59" s="112">
        <v>0</v>
      </c>
      <c r="BE59" s="112">
        <v>0</v>
      </c>
      <c r="BF59" s="112">
        <v>0</v>
      </c>
      <c r="BG59" s="112">
        <v>1</v>
      </c>
      <c r="BH59" s="112">
        <v>1</v>
      </c>
      <c r="BI59" s="112">
        <v>1</v>
      </c>
      <c r="BJ59" s="112">
        <v>1</v>
      </c>
      <c r="BK59" s="112">
        <v>1</v>
      </c>
      <c r="BL59" s="112">
        <v>0</v>
      </c>
      <c r="BM59" s="112">
        <v>0</v>
      </c>
      <c r="BN59" s="112">
        <v>0</v>
      </c>
      <c r="BO59" s="112">
        <v>0</v>
      </c>
      <c r="BP59" s="112">
        <v>0</v>
      </c>
      <c r="BQ59" s="112">
        <v>0</v>
      </c>
      <c r="BR59" s="112">
        <v>0</v>
      </c>
      <c r="BS59" s="112">
        <v>0</v>
      </c>
    </row>
    <row r="60" spans="1:71" x14ac:dyDescent="0.15">
      <c r="A60" s="191" t="s">
        <v>251</v>
      </c>
      <c r="B60" s="112">
        <v>0</v>
      </c>
      <c r="C60" s="112">
        <v>0</v>
      </c>
      <c r="D60" s="112">
        <v>0</v>
      </c>
      <c r="E60" s="112">
        <v>0</v>
      </c>
      <c r="F60" s="112">
        <v>1</v>
      </c>
      <c r="G60" s="112">
        <v>0</v>
      </c>
      <c r="H60" s="112">
        <v>1</v>
      </c>
      <c r="I60" s="112">
        <v>0</v>
      </c>
      <c r="J60" s="112">
        <v>1</v>
      </c>
      <c r="K60" s="112">
        <v>0</v>
      </c>
      <c r="L60" s="112">
        <v>1</v>
      </c>
      <c r="M60" s="112">
        <v>0</v>
      </c>
      <c r="N60" s="112">
        <v>1</v>
      </c>
      <c r="O60" s="112">
        <v>1</v>
      </c>
      <c r="P60" s="112">
        <v>0</v>
      </c>
      <c r="Q60" s="112">
        <v>0</v>
      </c>
      <c r="R60" s="112">
        <v>1</v>
      </c>
      <c r="S60" s="112">
        <v>0</v>
      </c>
      <c r="T60" s="112">
        <v>1</v>
      </c>
      <c r="U60" s="112">
        <v>0</v>
      </c>
      <c r="V60" s="112">
        <v>0</v>
      </c>
      <c r="W60" s="112">
        <v>0</v>
      </c>
      <c r="X60" s="112">
        <v>1</v>
      </c>
      <c r="Y60" s="112">
        <v>0</v>
      </c>
      <c r="Z60" s="112">
        <v>0</v>
      </c>
      <c r="AA60" s="112">
        <v>0</v>
      </c>
      <c r="AB60" s="112">
        <v>0</v>
      </c>
      <c r="AC60" s="112">
        <v>0</v>
      </c>
      <c r="AD60" s="112">
        <v>1</v>
      </c>
      <c r="AE60" s="112">
        <v>0</v>
      </c>
      <c r="AF60" s="112">
        <v>1</v>
      </c>
      <c r="AG60" s="112">
        <v>0</v>
      </c>
      <c r="AH60" s="112">
        <v>0</v>
      </c>
      <c r="AI60" s="112">
        <v>1</v>
      </c>
      <c r="AJ60" s="112">
        <v>1</v>
      </c>
      <c r="AK60" s="112">
        <v>1</v>
      </c>
      <c r="AL60" s="112">
        <v>1</v>
      </c>
      <c r="AM60" s="112">
        <v>1</v>
      </c>
      <c r="AN60" s="112">
        <v>0</v>
      </c>
      <c r="AO60" s="112">
        <v>1</v>
      </c>
      <c r="AP60" s="112">
        <v>1</v>
      </c>
      <c r="AQ60" s="112">
        <v>1</v>
      </c>
      <c r="AR60" s="112">
        <v>1</v>
      </c>
      <c r="AS60" s="112">
        <v>1</v>
      </c>
      <c r="AT60" s="112">
        <v>1</v>
      </c>
      <c r="AU60" s="112">
        <v>1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0</v>
      </c>
      <c r="BC60" s="112">
        <v>1</v>
      </c>
      <c r="BD60" s="112">
        <v>0</v>
      </c>
      <c r="BE60" s="112">
        <v>0</v>
      </c>
      <c r="BF60" s="112">
        <v>0</v>
      </c>
      <c r="BG60" s="112">
        <v>0</v>
      </c>
      <c r="BH60" s="112">
        <v>1</v>
      </c>
      <c r="BI60" s="112">
        <v>1</v>
      </c>
      <c r="BJ60" s="112">
        <v>1</v>
      </c>
      <c r="BK60" s="112">
        <v>1</v>
      </c>
      <c r="BL60" s="112">
        <v>0</v>
      </c>
      <c r="BM60" s="112">
        <v>0</v>
      </c>
      <c r="BN60" s="112">
        <v>0</v>
      </c>
      <c r="BO60" s="112">
        <v>0</v>
      </c>
      <c r="BP60" s="112">
        <v>0</v>
      </c>
      <c r="BQ60" s="112">
        <v>0</v>
      </c>
      <c r="BR60" s="112">
        <v>0</v>
      </c>
      <c r="BS60" s="112">
        <v>0</v>
      </c>
    </row>
    <row r="61" spans="1:71" x14ac:dyDescent="0.15">
      <c r="A61" s="191" t="s">
        <v>252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1</v>
      </c>
      <c r="I61" s="112">
        <v>0</v>
      </c>
      <c r="J61" s="112">
        <v>1</v>
      </c>
      <c r="K61" s="112">
        <v>0</v>
      </c>
      <c r="L61" s="112">
        <v>0</v>
      </c>
      <c r="M61" s="112">
        <v>0</v>
      </c>
      <c r="N61" s="112">
        <v>0</v>
      </c>
      <c r="O61" s="112">
        <v>1</v>
      </c>
      <c r="P61" s="112">
        <v>0</v>
      </c>
      <c r="Q61" s="112">
        <v>0</v>
      </c>
      <c r="R61" s="112">
        <v>1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0</v>
      </c>
      <c r="AK61" s="112">
        <v>0</v>
      </c>
      <c r="AL61" s="112">
        <v>0</v>
      </c>
      <c r="AM61" s="112">
        <v>1</v>
      </c>
      <c r="AN61" s="112">
        <v>0</v>
      </c>
      <c r="AO61" s="112">
        <v>1</v>
      </c>
      <c r="AP61" s="112">
        <v>1</v>
      </c>
      <c r="AQ61" s="112">
        <v>1</v>
      </c>
      <c r="AR61" s="112">
        <v>1</v>
      </c>
      <c r="AS61" s="112">
        <v>1</v>
      </c>
      <c r="AT61" s="112">
        <v>0</v>
      </c>
      <c r="AU61" s="112">
        <v>1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0</v>
      </c>
      <c r="BE61" s="112">
        <v>0</v>
      </c>
      <c r="BF61" s="112">
        <v>0</v>
      </c>
      <c r="BG61" s="112">
        <v>0</v>
      </c>
      <c r="BH61" s="112">
        <v>1</v>
      </c>
      <c r="BI61" s="112">
        <v>1</v>
      </c>
      <c r="BJ61" s="112">
        <v>1</v>
      </c>
      <c r="BK61" s="112">
        <v>1</v>
      </c>
      <c r="BL61" s="112">
        <v>0</v>
      </c>
      <c r="BM61" s="112">
        <v>0</v>
      </c>
      <c r="BN61" s="112">
        <v>0</v>
      </c>
      <c r="BO61" s="112">
        <v>0</v>
      </c>
      <c r="BP61" s="112">
        <v>0</v>
      </c>
      <c r="BQ61" s="112">
        <v>0</v>
      </c>
      <c r="BR61" s="112">
        <v>0</v>
      </c>
      <c r="BS61" s="112">
        <v>0</v>
      </c>
    </row>
    <row r="62" spans="1:71" x14ac:dyDescent="0.15">
      <c r="A62" s="191" t="s">
        <v>253</v>
      </c>
      <c r="B62" s="112">
        <v>0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1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1</v>
      </c>
      <c r="O62" s="112">
        <v>1</v>
      </c>
      <c r="P62" s="112">
        <v>0</v>
      </c>
      <c r="Q62" s="112">
        <v>0</v>
      </c>
      <c r="R62" s="112">
        <v>1</v>
      </c>
      <c r="S62" s="112">
        <v>0</v>
      </c>
      <c r="T62" s="112">
        <v>1</v>
      </c>
      <c r="U62" s="112">
        <v>1</v>
      </c>
      <c r="V62" s="112">
        <v>0</v>
      </c>
      <c r="W62" s="112">
        <v>0</v>
      </c>
      <c r="X62" s="112">
        <v>1</v>
      </c>
      <c r="Y62" s="112">
        <v>1</v>
      </c>
      <c r="Z62" s="112">
        <v>0</v>
      </c>
      <c r="AA62" s="112">
        <v>0</v>
      </c>
      <c r="AB62" s="112">
        <v>0</v>
      </c>
      <c r="AC62" s="112">
        <v>0</v>
      </c>
      <c r="AD62" s="112">
        <v>1</v>
      </c>
      <c r="AE62" s="112">
        <v>0</v>
      </c>
      <c r="AF62" s="112">
        <v>0</v>
      </c>
      <c r="AG62" s="112">
        <v>0</v>
      </c>
      <c r="AH62" s="112">
        <v>0</v>
      </c>
      <c r="AI62" s="112">
        <v>0</v>
      </c>
      <c r="AJ62" s="112">
        <v>0</v>
      </c>
      <c r="AK62" s="112">
        <v>0</v>
      </c>
      <c r="AL62" s="112">
        <v>0</v>
      </c>
      <c r="AM62" s="112">
        <v>1</v>
      </c>
      <c r="AN62" s="112">
        <v>0</v>
      </c>
      <c r="AO62" s="112">
        <v>1</v>
      </c>
      <c r="AP62" s="112">
        <v>1</v>
      </c>
      <c r="AQ62" s="112">
        <v>1</v>
      </c>
      <c r="AR62" s="112">
        <v>1</v>
      </c>
      <c r="AS62" s="112">
        <v>1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0</v>
      </c>
      <c r="BC62" s="112">
        <v>1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1</v>
      </c>
      <c r="BJ62" s="112">
        <v>1</v>
      </c>
      <c r="BK62" s="112">
        <v>0</v>
      </c>
      <c r="BL62" s="112">
        <v>0</v>
      </c>
      <c r="BM62" s="112">
        <v>0</v>
      </c>
      <c r="BN62" s="112">
        <v>0</v>
      </c>
      <c r="BO62" s="112">
        <v>0</v>
      </c>
      <c r="BP62" s="112">
        <v>0</v>
      </c>
      <c r="BQ62" s="112">
        <v>0</v>
      </c>
      <c r="BR62" s="112">
        <v>0</v>
      </c>
      <c r="BS62" s="112">
        <v>0</v>
      </c>
    </row>
    <row r="63" spans="1:71" x14ac:dyDescent="0.15">
      <c r="A63" s="191" t="s">
        <v>254</v>
      </c>
      <c r="B63" s="112">
        <v>0</v>
      </c>
      <c r="C63" s="112">
        <v>0</v>
      </c>
      <c r="D63" s="112">
        <v>0</v>
      </c>
      <c r="E63" s="112">
        <v>0</v>
      </c>
      <c r="F63" s="112">
        <v>0</v>
      </c>
      <c r="G63" s="112">
        <v>1</v>
      </c>
      <c r="H63" s="112">
        <v>1</v>
      </c>
      <c r="I63" s="112">
        <v>0</v>
      </c>
      <c r="J63" s="112">
        <v>0</v>
      </c>
      <c r="K63" s="112">
        <v>0</v>
      </c>
      <c r="L63" s="112">
        <v>0</v>
      </c>
      <c r="M63" s="112">
        <v>0</v>
      </c>
      <c r="N63" s="112">
        <v>0</v>
      </c>
      <c r="O63" s="112">
        <v>0</v>
      </c>
      <c r="P63" s="112">
        <v>0</v>
      </c>
      <c r="Q63" s="112">
        <v>0</v>
      </c>
      <c r="R63" s="112">
        <v>0</v>
      </c>
      <c r="S63" s="112">
        <v>0</v>
      </c>
      <c r="T63" s="112">
        <v>0</v>
      </c>
      <c r="U63" s="112">
        <v>0</v>
      </c>
      <c r="V63" s="112">
        <v>0</v>
      </c>
      <c r="W63" s="112">
        <v>0</v>
      </c>
      <c r="X63" s="112">
        <v>0</v>
      </c>
      <c r="Y63" s="112">
        <v>0</v>
      </c>
      <c r="Z63" s="112">
        <v>0</v>
      </c>
      <c r="AA63" s="112">
        <v>0</v>
      </c>
      <c r="AB63" s="112">
        <v>0</v>
      </c>
      <c r="AC63" s="112">
        <v>0</v>
      </c>
      <c r="AD63" s="112">
        <v>0</v>
      </c>
      <c r="AE63" s="112">
        <v>0</v>
      </c>
      <c r="AF63" s="112">
        <v>0</v>
      </c>
      <c r="AG63" s="112">
        <v>0</v>
      </c>
      <c r="AH63" s="112">
        <v>0</v>
      </c>
      <c r="AI63" s="112">
        <v>0</v>
      </c>
      <c r="AJ63" s="112">
        <v>0</v>
      </c>
      <c r="AK63" s="112">
        <v>0</v>
      </c>
      <c r="AL63" s="112">
        <v>0</v>
      </c>
      <c r="AM63" s="112">
        <v>0</v>
      </c>
      <c r="AN63" s="112">
        <v>0</v>
      </c>
      <c r="AO63" s="112">
        <v>0</v>
      </c>
      <c r="AP63" s="112">
        <v>0</v>
      </c>
      <c r="AQ63" s="112">
        <v>1</v>
      </c>
      <c r="AR63" s="112">
        <v>0</v>
      </c>
      <c r="AS63" s="112">
        <v>0</v>
      </c>
      <c r="AT63" s="112">
        <v>0</v>
      </c>
      <c r="AU63" s="112">
        <v>0</v>
      </c>
      <c r="AV63" s="112">
        <v>0</v>
      </c>
      <c r="AW63" s="112">
        <v>0</v>
      </c>
      <c r="AX63" s="112">
        <v>0</v>
      </c>
      <c r="AY63" s="112">
        <v>0</v>
      </c>
      <c r="AZ63" s="112">
        <v>0</v>
      </c>
      <c r="BA63" s="112">
        <v>0</v>
      </c>
      <c r="BB63" s="112">
        <v>0</v>
      </c>
      <c r="BC63" s="112">
        <v>1</v>
      </c>
      <c r="BD63" s="112">
        <v>0</v>
      </c>
      <c r="BE63" s="112">
        <v>0</v>
      </c>
      <c r="BF63" s="112">
        <v>0</v>
      </c>
      <c r="BG63" s="112">
        <v>0</v>
      </c>
      <c r="BH63" s="112">
        <v>0</v>
      </c>
      <c r="BI63" s="112">
        <v>0</v>
      </c>
      <c r="BJ63" s="112">
        <v>0</v>
      </c>
      <c r="BK63" s="112">
        <v>0</v>
      </c>
      <c r="BL63" s="112">
        <v>0</v>
      </c>
      <c r="BM63" s="112">
        <v>0</v>
      </c>
      <c r="BN63" s="112">
        <v>0</v>
      </c>
      <c r="BO63" s="112">
        <v>0</v>
      </c>
      <c r="BP63" s="112">
        <v>0</v>
      </c>
      <c r="BQ63" s="112">
        <v>0</v>
      </c>
      <c r="BR63" s="112">
        <v>0</v>
      </c>
      <c r="BS63" s="112">
        <v>0</v>
      </c>
    </row>
    <row r="64" spans="1:71" x14ac:dyDescent="0.15">
      <c r="A64" s="191" t="s">
        <v>255</v>
      </c>
      <c r="B64" s="112">
        <v>0</v>
      </c>
      <c r="C64" s="112">
        <v>0</v>
      </c>
      <c r="D64" s="112">
        <v>0</v>
      </c>
      <c r="E64" s="112">
        <v>0</v>
      </c>
      <c r="F64" s="112">
        <v>1</v>
      </c>
      <c r="G64" s="112">
        <v>0</v>
      </c>
      <c r="H64" s="112">
        <v>1</v>
      </c>
      <c r="I64" s="112">
        <v>0</v>
      </c>
      <c r="J64" s="112">
        <v>0</v>
      </c>
      <c r="K64" s="112">
        <v>0</v>
      </c>
      <c r="L64" s="112">
        <v>0</v>
      </c>
      <c r="M64" s="112">
        <v>0</v>
      </c>
      <c r="N64" s="112">
        <v>0</v>
      </c>
      <c r="O64" s="112">
        <v>0</v>
      </c>
      <c r="P64" s="112">
        <v>0</v>
      </c>
      <c r="Q64" s="112">
        <v>0</v>
      </c>
      <c r="R64" s="112">
        <v>0</v>
      </c>
      <c r="S64" s="112">
        <v>0</v>
      </c>
      <c r="T64" s="112">
        <v>0</v>
      </c>
      <c r="U64" s="112">
        <v>0</v>
      </c>
      <c r="V64" s="112">
        <v>0</v>
      </c>
      <c r="W64" s="112">
        <v>0</v>
      </c>
      <c r="X64" s="112">
        <v>0</v>
      </c>
      <c r="Y64" s="112">
        <v>0</v>
      </c>
      <c r="Z64" s="112">
        <v>0</v>
      </c>
      <c r="AA64" s="112">
        <v>0</v>
      </c>
      <c r="AB64" s="112">
        <v>0</v>
      </c>
      <c r="AC64" s="112">
        <v>0</v>
      </c>
      <c r="AD64" s="112">
        <v>0</v>
      </c>
      <c r="AE64" s="112">
        <v>0</v>
      </c>
      <c r="AF64" s="112">
        <v>0</v>
      </c>
      <c r="AG64" s="112">
        <v>0</v>
      </c>
      <c r="AH64" s="112">
        <v>0</v>
      </c>
      <c r="AI64" s="112">
        <v>1</v>
      </c>
      <c r="AJ64" s="112">
        <v>0</v>
      </c>
      <c r="AK64" s="112">
        <v>0</v>
      </c>
      <c r="AL64" s="112">
        <v>0</v>
      </c>
      <c r="AM64" s="112">
        <v>0</v>
      </c>
      <c r="AN64" s="112">
        <v>0</v>
      </c>
      <c r="AO64" s="112">
        <v>1</v>
      </c>
      <c r="AP64" s="112">
        <v>1</v>
      </c>
      <c r="AQ64" s="112">
        <v>1</v>
      </c>
      <c r="AR64" s="112">
        <v>1</v>
      </c>
      <c r="AS64" s="112">
        <v>1</v>
      </c>
      <c r="AT64" s="112">
        <v>1</v>
      </c>
      <c r="AU64" s="112">
        <v>0</v>
      </c>
      <c r="AV64" s="112">
        <v>0</v>
      </c>
      <c r="AW64" s="112">
        <v>0</v>
      </c>
      <c r="AX64" s="112">
        <v>0</v>
      </c>
      <c r="AY64" s="112">
        <v>0</v>
      </c>
      <c r="AZ64" s="112">
        <v>0</v>
      </c>
      <c r="BA64" s="112">
        <v>1</v>
      </c>
      <c r="BB64" s="112">
        <v>1</v>
      </c>
      <c r="BC64" s="112">
        <v>1</v>
      </c>
      <c r="BD64" s="112">
        <v>1</v>
      </c>
      <c r="BE64" s="112">
        <v>1</v>
      </c>
      <c r="BF64" s="112">
        <v>1</v>
      </c>
      <c r="BG64" s="112">
        <v>1</v>
      </c>
      <c r="BH64" s="112">
        <v>1</v>
      </c>
      <c r="BI64" s="112">
        <v>1</v>
      </c>
      <c r="BJ64" s="112">
        <v>1</v>
      </c>
      <c r="BK64" s="112">
        <v>1</v>
      </c>
      <c r="BL64" s="112">
        <v>0</v>
      </c>
      <c r="BM64" s="112">
        <v>0</v>
      </c>
      <c r="BN64" s="112">
        <v>0</v>
      </c>
      <c r="BO64" s="112">
        <v>0</v>
      </c>
      <c r="BP64" s="112">
        <v>0</v>
      </c>
      <c r="BQ64" s="112">
        <v>0</v>
      </c>
      <c r="BR64" s="112">
        <v>0</v>
      </c>
      <c r="BS64" s="112">
        <v>0</v>
      </c>
    </row>
    <row r="65" spans="1:71" x14ac:dyDescent="0.15">
      <c r="A65" s="191" t="s">
        <v>256</v>
      </c>
      <c r="B65" s="112">
        <v>0</v>
      </c>
      <c r="C65" s="112">
        <v>0</v>
      </c>
      <c r="D65" s="112">
        <v>1</v>
      </c>
      <c r="E65" s="112">
        <v>1</v>
      </c>
      <c r="F65" s="112">
        <v>1</v>
      </c>
      <c r="G65" s="112">
        <v>0</v>
      </c>
      <c r="H65" s="112">
        <v>1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N65" s="112">
        <v>1</v>
      </c>
      <c r="O65" s="112">
        <v>0</v>
      </c>
      <c r="P65" s="112">
        <v>0</v>
      </c>
      <c r="Q65" s="112">
        <v>0</v>
      </c>
      <c r="R65" s="112">
        <v>1</v>
      </c>
      <c r="S65" s="112">
        <v>0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12">
        <v>0</v>
      </c>
      <c r="AA65" s="112">
        <v>0</v>
      </c>
      <c r="AB65" s="112">
        <v>0</v>
      </c>
      <c r="AC65" s="112">
        <v>0</v>
      </c>
      <c r="AD65" s="112">
        <v>0</v>
      </c>
      <c r="AE65" s="112">
        <v>0</v>
      </c>
      <c r="AF65" s="112">
        <v>0</v>
      </c>
      <c r="AG65" s="112">
        <v>0</v>
      </c>
      <c r="AH65" s="112">
        <v>0</v>
      </c>
      <c r="AI65" s="112">
        <v>0</v>
      </c>
      <c r="AJ65" s="112">
        <v>0</v>
      </c>
      <c r="AK65" s="112">
        <v>1</v>
      </c>
      <c r="AL65" s="112">
        <v>1</v>
      </c>
      <c r="AM65" s="112">
        <v>1</v>
      </c>
      <c r="AN65" s="112">
        <v>0</v>
      </c>
      <c r="AO65" s="112">
        <v>1</v>
      </c>
      <c r="AP65" s="112">
        <v>1</v>
      </c>
      <c r="AQ65" s="112">
        <v>1</v>
      </c>
      <c r="AR65" s="112">
        <v>1</v>
      </c>
      <c r="AS65" s="112">
        <v>1</v>
      </c>
      <c r="AT65" s="112">
        <v>1</v>
      </c>
      <c r="AU65" s="112">
        <v>0</v>
      </c>
      <c r="AV65" s="112">
        <v>1</v>
      </c>
      <c r="AW65" s="112">
        <v>1</v>
      </c>
      <c r="AX65" s="112">
        <v>1</v>
      </c>
      <c r="AY65" s="112">
        <v>0</v>
      </c>
      <c r="AZ65" s="112">
        <v>0</v>
      </c>
      <c r="BA65" s="112">
        <v>1</v>
      </c>
      <c r="BB65" s="112">
        <v>0</v>
      </c>
      <c r="BC65" s="112">
        <v>0</v>
      </c>
      <c r="BD65" s="112">
        <v>0</v>
      </c>
      <c r="BE65" s="112">
        <v>1</v>
      </c>
      <c r="BF65" s="112">
        <v>0</v>
      </c>
      <c r="BG65" s="112">
        <v>0</v>
      </c>
      <c r="BH65" s="112">
        <v>0</v>
      </c>
      <c r="BI65" s="112">
        <v>0</v>
      </c>
      <c r="BJ65" s="112">
        <v>0</v>
      </c>
      <c r="BK65" s="112">
        <v>0</v>
      </c>
      <c r="BL65" s="112">
        <v>0</v>
      </c>
      <c r="BM65" s="112">
        <v>0</v>
      </c>
      <c r="BN65" s="112">
        <v>0</v>
      </c>
      <c r="BO65" s="112">
        <v>0</v>
      </c>
      <c r="BP65" s="112">
        <v>0</v>
      </c>
      <c r="BQ65" s="112">
        <v>0</v>
      </c>
      <c r="BR65" s="112">
        <v>0</v>
      </c>
      <c r="BS65" s="112">
        <v>0</v>
      </c>
    </row>
    <row r="66" spans="1:71" x14ac:dyDescent="0.15">
      <c r="A66" s="191" t="s">
        <v>257</v>
      </c>
      <c r="B66" s="112">
        <v>0</v>
      </c>
      <c r="C66" s="112">
        <v>0</v>
      </c>
      <c r="D66" s="112">
        <v>0</v>
      </c>
      <c r="E66" s="112">
        <v>0</v>
      </c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N66" s="112">
        <v>0</v>
      </c>
      <c r="O66" s="112">
        <v>0</v>
      </c>
      <c r="P66" s="112">
        <v>0</v>
      </c>
      <c r="Q66" s="112">
        <v>0</v>
      </c>
      <c r="R66" s="112">
        <v>0</v>
      </c>
      <c r="S66" s="112">
        <v>0</v>
      </c>
      <c r="T66" s="112">
        <v>0</v>
      </c>
      <c r="U66" s="112">
        <v>0</v>
      </c>
      <c r="V66" s="112">
        <v>0</v>
      </c>
      <c r="W66" s="112">
        <v>0</v>
      </c>
      <c r="X66" s="112">
        <v>0</v>
      </c>
      <c r="Y66" s="112">
        <v>0</v>
      </c>
      <c r="Z66" s="112">
        <v>0</v>
      </c>
      <c r="AA66" s="112">
        <v>0</v>
      </c>
      <c r="AB66" s="112">
        <v>0</v>
      </c>
      <c r="AC66" s="112">
        <v>0</v>
      </c>
      <c r="AD66" s="112">
        <v>0</v>
      </c>
      <c r="AE66" s="112">
        <v>0</v>
      </c>
      <c r="AF66" s="112">
        <v>0</v>
      </c>
      <c r="AG66" s="112">
        <v>0</v>
      </c>
      <c r="AH66" s="112">
        <v>0</v>
      </c>
      <c r="AI66" s="112">
        <v>0</v>
      </c>
      <c r="AJ66" s="112">
        <v>0</v>
      </c>
      <c r="AK66" s="112">
        <v>0</v>
      </c>
      <c r="AL66" s="112">
        <v>0</v>
      </c>
      <c r="AM66" s="112">
        <v>1</v>
      </c>
      <c r="AN66" s="112">
        <v>0</v>
      </c>
      <c r="AO66" s="112">
        <v>0</v>
      </c>
      <c r="AP66" s="112">
        <v>1</v>
      </c>
      <c r="AQ66" s="112">
        <v>1</v>
      </c>
      <c r="AR66" s="112">
        <v>1</v>
      </c>
      <c r="AS66" s="112">
        <v>1</v>
      </c>
      <c r="AT66" s="112">
        <v>1</v>
      </c>
      <c r="AU66" s="112">
        <v>0</v>
      </c>
      <c r="AV66" s="112">
        <v>1</v>
      </c>
      <c r="AW66" s="112">
        <v>0</v>
      </c>
      <c r="AX66" s="112">
        <v>0</v>
      </c>
      <c r="AY66" s="112">
        <v>0</v>
      </c>
      <c r="AZ66" s="112">
        <v>0</v>
      </c>
      <c r="BA66" s="112">
        <v>1</v>
      </c>
      <c r="BB66" s="112">
        <v>1</v>
      </c>
      <c r="BC66" s="112">
        <v>1</v>
      </c>
      <c r="BD66" s="112">
        <v>1</v>
      </c>
      <c r="BE66" s="112">
        <v>1</v>
      </c>
      <c r="BF66" s="112">
        <v>1</v>
      </c>
      <c r="BG66" s="112">
        <v>1</v>
      </c>
      <c r="BH66" s="112">
        <v>1</v>
      </c>
      <c r="BI66" s="112">
        <v>0</v>
      </c>
      <c r="BJ66" s="112">
        <v>1</v>
      </c>
      <c r="BK66" s="112">
        <v>0</v>
      </c>
      <c r="BL66" s="112">
        <v>1</v>
      </c>
      <c r="BM66" s="112">
        <v>0</v>
      </c>
      <c r="BN66" s="112">
        <v>0</v>
      </c>
      <c r="BO66" s="112">
        <v>0</v>
      </c>
      <c r="BP66" s="112">
        <v>0</v>
      </c>
      <c r="BQ66" s="112">
        <v>0</v>
      </c>
      <c r="BR66" s="112">
        <v>0</v>
      </c>
      <c r="BS66" s="112">
        <v>0</v>
      </c>
    </row>
    <row r="67" spans="1:71" x14ac:dyDescent="0.15">
      <c r="A67" s="191" t="s">
        <v>258</v>
      </c>
      <c r="B67" s="112">
        <v>0</v>
      </c>
      <c r="C67" s="112">
        <v>0</v>
      </c>
      <c r="D67" s="112">
        <v>0</v>
      </c>
      <c r="E67" s="112">
        <v>0</v>
      </c>
      <c r="F67" s="112">
        <v>1</v>
      </c>
      <c r="G67" s="112">
        <v>0</v>
      </c>
      <c r="H67" s="112">
        <v>1</v>
      </c>
      <c r="I67" s="112">
        <v>0</v>
      </c>
      <c r="J67" s="112">
        <v>0</v>
      </c>
      <c r="K67" s="112">
        <v>0</v>
      </c>
      <c r="L67" s="112">
        <v>0</v>
      </c>
      <c r="M67" s="112">
        <v>0</v>
      </c>
      <c r="N67" s="112">
        <v>0</v>
      </c>
      <c r="O67" s="112">
        <v>0</v>
      </c>
      <c r="P67" s="112">
        <v>0</v>
      </c>
      <c r="Q67" s="112">
        <v>0</v>
      </c>
      <c r="R67" s="112">
        <v>0</v>
      </c>
      <c r="S67" s="112">
        <v>0</v>
      </c>
      <c r="T67" s="112">
        <v>0</v>
      </c>
      <c r="U67" s="112">
        <v>0</v>
      </c>
      <c r="V67" s="112">
        <v>0</v>
      </c>
      <c r="W67" s="112">
        <v>0</v>
      </c>
      <c r="X67" s="112">
        <v>0</v>
      </c>
      <c r="Y67" s="112">
        <v>0</v>
      </c>
      <c r="Z67" s="112">
        <v>0</v>
      </c>
      <c r="AA67" s="112">
        <v>0</v>
      </c>
      <c r="AB67" s="112">
        <v>0</v>
      </c>
      <c r="AC67" s="112">
        <v>0</v>
      </c>
      <c r="AD67" s="112">
        <v>0</v>
      </c>
      <c r="AE67" s="112">
        <v>0</v>
      </c>
      <c r="AF67" s="112">
        <v>0</v>
      </c>
      <c r="AG67" s="112">
        <v>0</v>
      </c>
      <c r="AH67" s="112">
        <v>0</v>
      </c>
      <c r="AI67" s="112">
        <v>0</v>
      </c>
      <c r="AJ67" s="112">
        <v>0</v>
      </c>
      <c r="AK67" s="112">
        <v>0</v>
      </c>
      <c r="AL67" s="112">
        <v>0</v>
      </c>
      <c r="AM67" s="112">
        <v>1</v>
      </c>
      <c r="AN67" s="112">
        <v>0</v>
      </c>
      <c r="AO67" s="112">
        <v>0</v>
      </c>
      <c r="AP67" s="112">
        <v>1</v>
      </c>
      <c r="AQ67" s="112">
        <v>1</v>
      </c>
      <c r="AR67" s="112">
        <v>1</v>
      </c>
      <c r="AS67" s="112">
        <v>1</v>
      </c>
      <c r="AT67" s="112">
        <v>1</v>
      </c>
      <c r="AU67" s="112">
        <v>0</v>
      </c>
      <c r="AV67" s="112">
        <v>0</v>
      </c>
      <c r="AW67" s="112">
        <v>0</v>
      </c>
      <c r="AX67" s="112">
        <v>0</v>
      </c>
      <c r="AY67" s="112">
        <v>0</v>
      </c>
      <c r="AZ67" s="112">
        <v>0</v>
      </c>
      <c r="BA67" s="112">
        <v>1</v>
      </c>
      <c r="BB67" s="112">
        <v>1</v>
      </c>
      <c r="BC67" s="112">
        <v>1</v>
      </c>
      <c r="BD67" s="112">
        <v>1</v>
      </c>
      <c r="BE67" s="112">
        <v>1</v>
      </c>
      <c r="BF67" s="112">
        <v>0</v>
      </c>
      <c r="BG67" s="112">
        <v>1</v>
      </c>
      <c r="BH67" s="112">
        <v>1</v>
      </c>
      <c r="BI67" s="112">
        <v>1</v>
      </c>
      <c r="BJ67" s="112">
        <v>1</v>
      </c>
      <c r="BK67" s="112">
        <v>1</v>
      </c>
      <c r="BL67" s="112">
        <v>1</v>
      </c>
      <c r="BM67" s="112">
        <v>0</v>
      </c>
      <c r="BN67" s="112">
        <v>0</v>
      </c>
      <c r="BO67" s="112">
        <v>0</v>
      </c>
      <c r="BP67" s="112">
        <v>0</v>
      </c>
      <c r="BQ67" s="112">
        <v>0</v>
      </c>
      <c r="BR67" s="112">
        <v>0</v>
      </c>
      <c r="BS67" s="112">
        <v>0</v>
      </c>
    </row>
    <row r="68" spans="1:71" x14ac:dyDescent="0.15">
      <c r="A68" s="191" t="s">
        <v>259</v>
      </c>
      <c r="B68" s="112">
        <v>0</v>
      </c>
      <c r="C68" s="112">
        <v>0</v>
      </c>
      <c r="D68" s="112">
        <v>1</v>
      </c>
      <c r="E68" s="112">
        <v>1</v>
      </c>
      <c r="F68" s="112">
        <v>0</v>
      </c>
      <c r="G68" s="112">
        <v>0</v>
      </c>
      <c r="H68" s="112">
        <v>1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12">
        <v>1</v>
      </c>
      <c r="O68" s="112">
        <v>0</v>
      </c>
      <c r="P68" s="112">
        <v>0</v>
      </c>
      <c r="Q68" s="112">
        <v>0</v>
      </c>
      <c r="R68" s="112">
        <v>0</v>
      </c>
      <c r="S68" s="112">
        <v>0</v>
      </c>
      <c r="T68" s="112">
        <v>0</v>
      </c>
      <c r="U68" s="112">
        <v>0</v>
      </c>
      <c r="V68" s="112">
        <v>0</v>
      </c>
      <c r="W68" s="112">
        <v>0</v>
      </c>
      <c r="X68" s="112">
        <v>0</v>
      </c>
      <c r="Y68" s="112">
        <v>0</v>
      </c>
      <c r="Z68" s="112">
        <v>0</v>
      </c>
      <c r="AA68" s="112">
        <v>0</v>
      </c>
      <c r="AB68" s="112">
        <v>0</v>
      </c>
      <c r="AC68" s="112">
        <v>0</v>
      </c>
      <c r="AD68" s="112">
        <v>0</v>
      </c>
      <c r="AE68" s="112">
        <v>0</v>
      </c>
      <c r="AF68" s="112">
        <v>0</v>
      </c>
      <c r="AG68" s="112">
        <v>0</v>
      </c>
      <c r="AH68" s="112">
        <v>0</v>
      </c>
      <c r="AI68" s="112">
        <v>0</v>
      </c>
      <c r="AJ68" s="112">
        <v>0</v>
      </c>
      <c r="AK68" s="112">
        <v>0</v>
      </c>
      <c r="AL68" s="112">
        <v>1</v>
      </c>
      <c r="AM68" s="112">
        <v>1</v>
      </c>
      <c r="AN68" s="112">
        <v>0</v>
      </c>
      <c r="AO68" s="112">
        <v>1</v>
      </c>
      <c r="AP68" s="112">
        <v>1</v>
      </c>
      <c r="AQ68" s="112">
        <v>1</v>
      </c>
      <c r="AR68" s="112">
        <v>1</v>
      </c>
      <c r="AS68" s="112">
        <v>1</v>
      </c>
      <c r="AT68" s="112">
        <v>0</v>
      </c>
      <c r="AU68" s="112">
        <v>0</v>
      </c>
      <c r="AV68" s="112">
        <v>0</v>
      </c>
      <c r="AW68" s="112">
        <v>0</v>
      </c>
      <c r="AX68" s="112">
        <v>0</v>
      </c>
      <c r="AY68" s="112">
        <v>0</v>
      </c>
      <c r="AZ68" s="112">
        <v>0</v>
      </c>
      <c r="BA68" s="112">
        <v>1</v>
      </c>
      <c r="BB68" s="112">
        <v>0</v>
      </c>
      <c r="BC68" s="112">
        <v>0</v>
      </c>
      <c r="BD68" s="112">
        <v>0</v>
      </c>
      <c r="BE68" s="112">
        <v>1</v>
      </c>
      <c r="BF68" s="112">
        <v>0</v>
      </c>
      <c r="BG68" s="112">
        <v>0</v>
      </c>
      <c r="BH68" s="112">
        <v>0</v>
      </c>
      <c r="BI68" s="112">
        <v>0</v>
      </c>
      <c r="BJ68" s="112">
        <v>0</v>
      </c>
      <c r="BK68" s="112">
        <v>0</v>
      </c>
      <c r="BL68" s="112">
        <v>0</v>
      </c>
      <c r="BM68" s="112">
        <v>0</v>
      </c>
      <c r="BN68" s="112">
        <v>0</v>
      </c>
      <c r="BO68" s="112">
        <v>0</v>
      </c>
      <c r="BP68" s="112">
        <v>0</v>
      </c>
      <c r="BQ68" s="112">
        <v>0</v>
      </c>
      <c r="BR68" s="112">
        <v>0</v>
      </c>
      <c r="BS68" s="112">
        <v>0</v>
      </c>
    </row>
    <row r="69" spans="1:71" x14ac:dyDescent="0.15">
      <c r="A69" s="191" t="s">
        <v>260</v>
      </c>
      <c r="B69" s="112">
        <v>0</v>
      </c>
      <c r="C69" s="112">
        <v>0</v>
      </c>
      <c r="D69" s="112">
        <v>0</v>
      </c>
      <c r="E69" s="112">
        <v>0</v>
      </c>
      <c r="F69" s="112">
        <v>0</v>
      </c>
      <c r="G69" s="112">
        <v>0</v>
      </c>
      <c r="H69" s="112">
        <v>1</v>
      </c>
      <c r="I69" s="112">
        <v>0</v>
      </c>
      <c r="J69" s="112">
        <v>0</v>
      </c>
      <c r="K69" s="112">
        <v>0</v>
      </c>
      <c r="L69" s="112">
        <v>0</v>
      </c>
      <c r="M69" s="112">
        <v>0</v>
      </c>
      <c r="N69" s="112">
        <v>1</v>
      </c>
      <c r="O69" s="112">
        <v>0</v>
      </c>
      <c r="P69" s="112">
        <v>0</v>
      </c>
      <c r="Q69" s="112">
        <v>0</v>
      </c>
      <c r="R69" s="112">
        <v>0</v>
      </c>
      <c r="S69" s="112">
        <v>0</v>
      </c>
      <c r="T69" s="112">
        <v>0</v>
      </c>
      <c r="U69" s="112">
        <v>0</v>
      </c>
      <c r="V69" s="112">
        <v>0</v>
      </c>
      <c r="W69" s="112">
        <v>0</v>
      </c>
      <c r="X69" s="112">
        <v>0</v>
      </c>
      <c r="Y69" s="112">
        <v>0</v>
      </c>
      <c r="Z69" s="112">
        <v>0</v>
      </c>
      <c r="AA69" s="112">
        <v>0</v>
      </c>
      <c r="AB69" s="112">
        <v>0</v>
      </c>
      <c r="AC69" s="112">
        <v>0</v>
      </c>
      <c r="AD69" s="112">
        <v>0</v>
      </c>
      <c r="AE69" s="112">
        <v>0</v>
      </c>
      <c r="AF69" s="112">
        <v>0</v>
      </c>
      <c r="AG69" s="112">
        <v>0</v>
      </c>
      <c r="AH69" s="112">
        <v>0</v>
      </c>
      <c r="AI69" s="112">
        <v>0</v>
      </c>
      <c r="AJ69" s="112">
        <v>0</v>
      </c>
      <c r="AK69" s="112">
        <v>0</v>
      </c>
      <c r="AL69" s="112">
        <v>0</v>
      </c>
      <c r="AM69" s="112">
        <v>0</v>
      </c>
      <c r="AN69" s="112">
        <v>0</v>
      </c>
      <c r="AO69" s="112">
        <v>0</v>
      </c>
      <c r="AP69" s="112">
        <v>0</v>
      </c>
      <c r="AQ69" s="112">
        <v>0</v>
      </c>
      <c r="AR69" s="112">
        <v>1</v>
      </c>
      <c r="AS69" s="112">
        <v>1</v>
      </c>
      <c r="AT69" s="112">
        <v>1</v>
      </c>
      <c r="AU69" s="112">
        <v>0</v>
      </c>
      <c r="AV69" s="112">
        <v>0</v>
      </c>
      <c r="AW69" s="112">
        <v>0</v>
      </c>
      <c r="AX69" s="112">
        <v>0</v>
      </c>
      <c r="AY69" s="112">
        <v>0</v>
      </c>
      <c r="AZ69" s="112">
        <v>0</v>
      </c>
      <c r="BA69" s="112">
        <v>1</v>
      </c>
      <c r="BB69" s="112">
        <v>1</v>
      </c>
      <c r="BC69" s="112">
        <v>1</v>
      </c>
      <c r="BD69" s="112">
        <v>1</v>
      </c>
      <c r="BE69" s="112">
        <v>1</v>
      </c>
      <c r="BF69" s="112">
        <v>0</v>
      </c>
      <c r="BG69" s="112">
        <v>1</v>
      </c>
      <c r="BH69" s="112">
        <v>1</v>
      </c>
      <c r="BI69" s="112">
        <v>1</v>
      </c>
      <c r="BJ69" s="112">
        <v>1</v>
      </c>
      <c r="BK69" s="112">
        <v>1</v>
      </c>
      <c r="BL69" s="112">
        <v>1</v>
      </c>
      <c r="BM69" s="112">
        <v>0</v>
      </c>
      <c r="BN69" s="112">
        <v>0</v>
      </c>
      <c r="BO69" s="112">
        <v>0</v>
      </c>
      <c r="BP69" s="112">
        <v>0</v>
      </c>
      <c r="BQ69" s="112">
        <v>0</v>
      </c>
      <c r="BR69" s="112">
        <v>0</v>
      </c>
      <c r="BS69" s="112">
        <v>0</v>
      </c>
    </row>
    <row r="70" spans="1:71" x14ac:dyDescent="0.15">
      <c r="A70" s="191" t="s">
        <v>261</v>
      </c>
      <c r="B70" s="112">
        <v>0</v>
      </c>
      <c r="C70" s="112">
        <v>0</v>
      </c>
      <c r="D70" s="112">
        <v>1</v>
      </c>
      <c r="E70" s="112">
        <v>0</v>
      </c>
      <c r="F70" s="112">
        <v>1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12">
        <v>0</v>
      </c>
      <c r="O70" s="112">
        <v>1</v>
      </c>
      <c r="P70" s="112">
        <v>0</v>
      </c>
      <c r="Q70" s="112">
        <v>0</v>
      </c>
      <c r="R70" s="112">
        <v>1</v>
      </c>
      <c r="S70" s="112">
        <v>1</v>
      </c>
      <c r="T70" s="112">
        <v>0</v>
      </c>
      <c r="U70" s="112">
        <v>0</v>
      </c>
      <c r="V70" s="112">
        <v>0</v>
      </c>
      <c r="W70" s="112">
        <v>0</v>
      </c>
      <c r="X70" s="112">
        <v>0</v>
      </c>
      <c r="Y70" s="112">
        <v>0</v>
      </c>
      <c r="Z70" s="112">
        <v>0</v>
      </c>
      <c r="AA70" s="112">
        <v>0</v>
      </c>
      <c r="AB70" s="112">
        <v>0</v>
      </c>
      <c r="AC70" s="112">
        <v>0</v>
      </c>
      <c r="AD70" s="112">
        <v>0</v>
      </c>
      <c r="AE70" s="112">
        <v>0</v>
      </c>
      <c r="AF70" s="112">
        <v>0</v>
      </c>
      <c r="AG70" s="112">
        <v>0</v>
      </c>
      <c r="AH70" s="112">
        <v>0</v>
      </c>
      <c r="AI70" s="112">
        <v>0</v>
      </c>
      <c r="AJ70" s="112">
        <v>0</v>
      </c>
      <c r="AK70" s="112">
        <v>0</v>
      </c>
      <c r="AL70" s="112">
        <v>1</v>
      </c>
      <c r="AM70" s="112">
        <v>0</v>
      </c>
      <c r="AN70" s="112">
        <v>0</v>
      </c>
      <c r="AO70" s="112">
        <v>1</v>
      </c>
      <c r="AP70" s="112">
        <v>1</v>
      </c>
      <c r="AQ70" s="112">
        <v>1</v>
      </c>
      <c r="AR70" s="112">
        <v>0</v>
      </c>
      <c r="AS70" s="112">
        <v>0</v>
      </c>
      <c r="AT70" s="112">
        <v>1</v>
      </c>
      <c r="AU70" s="112">
        <v>0</v>
      </c>
      <c r="AV70" s="112">
        <v>1</v>
      </c>
      <c r="AW70" s="112">
        <v>0</v>
      </c>
      <c r="AX70" s="112">
        <v>1</v>
      </c>
      <c r="AY70" s="112">
        <v>0</v>
      </c>
      <c r="AZ70" s="112">
        <v>0</v>
      </c>
      <c r="BA70" s="112">
        <v>1</v>
      </c>
      <c r="BB70" s="112">
        <v>1</v>
      </c>
      <c r="BC70" s="112">
        <v>1</v>
      </c>
      <c r="BD70" s="112">
        <v>1</v>
      </c>
      <c r="BE70" s="112">
        <v>1</v>
      </c>
      <c r="BF70" s="112">
        <v>1</v>
      </c>
      <c r="BG70" s="112">
        <v>0</v>
      </c>
      <c r="BH70" s="112">
        <v>0</v>
      </c>
      <c r="BI70" s="112">
        <v>0</v>
      </c>
      <c r="BJ70" s="112">
        <v>0</v>
      </c>
      <c r="BK70" s="112">
        <v>0</v>
      </c>
      <c r="BL70" s="112">
        <v>1</v>
      </c>
      <c r="BM70" s="112">
        <v>0</v>
      </c>
      <c r="BN70" s="112">
        <v>0</v>
      </c>
      <c r="BO70" s="112">
        <v>0</v>
      </c>
      <c r="BP70" s="112">
        <v>0</v>
      </c>
      <c r="BQ70" s="112">
        <v>0</v>
      </c>
      <c r="BR70" s="112">
        <v>0</v>
      </c>
      <c r="BS70" s="112">
        <v>0</v>
      </c>
    </row>
    <row r="71" spans="1:71" x14ac:dyDescent="0.15">
      <c r="A71" s="191" t="s">
        <v>262</v>
      </c>
      <c r="B71" s="112">
        <v>0</v>
      </c>
      <c r="C71" s="112">
        <v>0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N71" s="112">
        <v>0</v>
      </c>
      <c r="O71" s="112">
        <v>0</v>
      </c>
      <c r="P71" s="112">
        <v>0</v>
      </c>
      <c r="Q71" s="112">
        <v>0</v>
      </c>
      <c r="R71" s="112">
        <v>0</v>
      </c>
      <c r="S71" s="112">
        <v>0</v>
      </c>
      <c r="T71" s="112">
        <v>0</v>
      </c>
      <c r="U71" s="112">
        <v>0</v>
      </c>
      <c r="V71" s="112">
        <v>0</v>
      </c>
      <c r="W71" s="112">
        <v>0</v>
      </c>
      <c r="X71" s="112">
        <v>0</v>
      </c>
      <c r="Y71" s="112">
        <v>0</v>
      </c>
      <c r="Z71" s="112">
        <v>0</v>
      </c>
      <c r="AA71" s="112">
        <v>0</v>
      </c>
      <c r="AB71" s="112">
        <v>0</v>
      </c>
      <c r="AC71" s="112">
        <v>0</v>
      </c>
      <c r="AD71" s="112">
        <v>0</v>
      </c>
      <c r="AE71" s="112">
        <v>0</v>
      </c>
      <c r="AF71" s="112">
        <v>0</v>
      </c>
      <c r="AG71" s="112">
        <v>0</v>
      </c>
      <c r="AH71" s="112">
        <v>0</v>
      </c>
      <c r="AI71" s="112">
        <v>0</v>
      </c>
      <c r="AJ71" s="112">
        <v>0</v>
      </c>
      <c r="AK71" s="112">
        <v>0</v>
      </c>
      <c r="AL71" s="112">
        <v>0</v>
      </c>
      <c r="AM71" s="112">
        <v>0</v>
      </c>
      <c r="AN71" s="112">
        <v>0</v>
      </c>
      <c r="AO71" s="112">
        <v>0</v>
      </c>
      <c r="AP71" s="112">
        <v>0</v>
      </c>
      <c r="AQ71" s="112">
        <v>0</v>
      </c>
      <c r="AR71" s="112">
        <v>0</v>
      </c>
      <c r="AS71" s="112">
        <v>0</v>
      </c>
      <c r="AT71" s="112">
        <v>0</v>
      </c>
      <c r="AU71" s="112">
        <v>1</v>
      </c>
      <c r="AV71" s="112">
        <v>0</v>
      </c>
      <c r="AW71" s="112">
        <v>0</v>
      </c>
      <c r="AX71" s="112">
        <v>1</v>
      </c>
      <c r="AY71" s="112">
        <v>0</v>
      </c>
      <c r="AZ71" s="112">
        <v>1</v>
      </c>
      <c r="BA71" s="112">
        <v>1</v>
      </c>
      <c r="BB71" s="112">
        <v>0</v>
      </c>
      <c r="BC71" s="112">
        <v>1</v>
      </c>
      <c r="BD71" s="112">
        <v>0</v>
      </c>
      <c r="BE71" s="112">
        <v>1</v>
      </c>
      <c r="BF71" s="112">
        <v>0</v>
      </c>
      <c r="BG71" s="112">
        <v>0</v>
      </c>
      <c r="BH71" s="112">
        <v>0</v>
      </c>
      <c r="BI71" s="112">
        <v>0</v>
      </c>
      <c r="BJ71" s="112">
        <v>0</v>
      </c>
      <c r="BK71" s="112">
        <v>0</v>
      </c>
      <c r="BL71" s="112">
        <v>1</v>
      </c>
      <c r="BM71" s="112">
        <v>0</v>
      </c>
      <c r="BN71" s="112">
        <v>0</v>
      </c>
      <c r="BO71" s="112">
        <v>0</v>
      </c>
      <c r="BP71" s="112">
        <v>0</v>
      </c>
      <c r="BQ71" s="112">
        <v>0</v>
      </c>
      <c r="BR71" s="112">
        <v>0</v>
      </c>
      <c r="BS71" s="112">
        <v>0</v>
      </c>
    </row>
    <row r="72" spans="1:71" x14ac:dyDescent="0.15">
      <c r="A72" s="191" t="s">
        <v>277</v>
      </c>
      <c r="B72" s="112">
        <v>0</v>
      </c>
      <c r="C72" s="112">
        <v>0</v>
      </c>
      <c r="D72" s="112">
        <v>0</v>
      </c>
      <c r="E72" s="112">
        <v>0</v>
      </c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N72" s="112">
        <v>0</v>
      </c>
      <c r="O72" s="112">
        <v>0</v>
      </c>
      <c r="P72" s="112">
        <v>0</v>
      </c>
      <c r="Q72" s="112">
        <v>0</v>
      </c>
      <c r="R72" s="112">
        <v>0</v>
      </c>
      <c r="S72" s="112">
        <v>0</v>
      </c>
      <c r="T72" s="112">
        <v>0</v>
      </c>
      <c r="U72" s="112">
        <v>0</v>
      </c>
      <c r="V72" s="112">
        <v>0</v>
      </c>
      <c r="W72" s="112">
        <v>0</v>
      </c>
      <c r="X72" s="112">
        <v>0</v>
      </c>
      <c r="Y72" s="112">
        <v>0</v>
      </c>
      <c r="Z72" s="112">
        <v>0</v>
      </c>
      <c r="AA72" s="112">
        <v>0</v>
      </c>
      <c r="AB72" s="112">
        <v>0</v>
      </c>
      <c r="AC72" s="112">
        <v>0</v>
      </c>
      <c r="AD72" s="112">
        <v>0</v>
      </c>
      <c r="AE72" s="112">
        <v>0</v>
      </c>
      <c r="AF72" s="112">
        <v>0</v>
      </c>
      <c r="AG72" s="112">
        <v>0</v>
      </c>
      <c r="AH72" s="112">
        <v>0</v>
      </c>
      <c r="AI72" s="112">
        <v>0</v>
      </c>
      <c r="AJ72" s="112">
        <v>0</v>
      </c>
      <c r="AK72" s="112">
        <v>0</v>
      </c>
      <c r="AL72" s="112">
        <v>0</v>
      </c>
      <c r="AM72" s="112">
        <v>0</v>
      </c>
      <c r="AN72" s="112">
        <v>0</v>
      </c>
      <c r="AO72" s="112">
        <v>0</v>
      </c>
      <c r="AP72" s="112">
        <v>0</v>
      </c>
      <c r="AQ72" s="112">
        <v>0</v>
      </c>
      <c r="AR72" s="112">
        <v>0</v>
      </c>
      <c r="AS72" s="112">
        <v>0</v>
      </c>
      <c r="AT72" s="112">
        <v>0</v>
      </c>
      <c r="AU72" s="112">
        <v>0</v>
      </c>
      <c r="AV72" s="112">
        <v>0</v>
      </c>
      <c r="AW72" s="112">
        <v>0</v>
      </c>
      <c r="AX72" s="112">
        <v>0</v>
      </c>
      <c r="AY72" s="112">
        <v>0</v>
      </c>
      <c r="AZ72" s="112">
        <v>0</v>
      </c>
      <c r="BA72" s="112">
        <v>0</v>
      </c>
      <c r="BB72" s="112">
        <v>0</v>
      </c>
      <c r="BC72" s="112">
        <v>0</v>
      </c>
      <c r="BD72" s="112">
        <v>0</v>
      </c>
      <c r="BE72" s="112">
        <v>0</v>
      </c>
      <c r="BF72" s="112">
        <v>0</v>
      </c>
      <c r="BG72" s="112">
        <v>0</v>
      </c>
      <c r="BH72" s="112">
        <v>0</v>
      </c>
      <c r="BI72" s="112">
        <v>0</v>
      </c>
      <c r="BJ72" s="112">
        <v>0</v>
      </c>
      <c r="BK72" s="112">
        <v>0</v>
      </c>
      <c r="BL72" s="112">
        <v>0</v>
      </c>
      <c r="BM72" s="112">
        <v>0</v>
      </c>
      <c r="BN72" s="112">
        <v>0</v>
      </c>
      <c r="BO72" s="112">
        <v>0</v>
      </c>
      <c r="BP72" s="112">
        <v>0</v>
      </c>
      <c r="BQ72" s="112">
        <v>0</v>
      </c>
      <c r="BR72" s="112">
        <v>0</v>
      </c>
      <c r="BS72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P184"/>
  <sheetViews>
    <sheetView topLeftCell="A52" workbookViewId="0">
      <selection activeCell="B74" sqref="B74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4" width="3.83203125" bestFit="1" customWidth="1"/>
    <col min="5" max="16" width="3.83203125" customWidth="1"/>
  </cols>
  <sheetData>
    <row r="1" spans="1:16" ht="112" x14ac:dyDescent="0.15">
      <c r="A1" s="5" t="s">
        <v>83</v>
      </c>
      <c r="B1" s="3" t="s">
        <v>0</v>
      </c>
      <c r="C1" s="194" t="s">
        <v>263</v>
      </c>
      <c r="D1" s="194" t="s">
        <v>264</v>
      </c>
      <c r="E1" s="194" t="s">
        <v>265</v>
      </c>
      <c r="F1" s="194" t="s">
        <v>266</v>
      </c>
      <c r="G1" s="194" t="s">
        <v>267</v>
      </c>
      <c r="H1" s="194" t="s">
        <v>268</v>
      </c>
      <c r="I1" s="194" t="s">
        <v>269</v>
      </c>
      <c r="J1" s="194" t="s">
        <v>270</v>
      </c>
      <c r="K1" s="194" t="s">
        <v>271</v>
      </c>
      <c r="L1" s="194" t="s">
        <v>272</v>
      </c>
      <c r="M1" s="194" t="s">
        <v>273</v>
      </c>
      <c r="N1" s="194" t="s">
        <v>274</v>
      </c>
      <c r="O1" s="194" t="s">
        <v>275</v>
      </c>
      <c r="P1" s="194" t="s">
        <v>276</v>
      </c>
    </row>
    <row r="2" spans="1:16" x14ac:dyDescent="0.15">
      <c r="A2">
        <v>1</v>
      </c>
      <c r="B2" s="193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>
        <v>2</v>
      </c>
      <c r="B3" s="193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15">
      <c r="A4">
        <v>3</v>
      </c>
      <c r="B4" s="193" t="s">
        <v>195</v>
      </c>
      <c r="C4">
        <v>0.8</v>
      </c>
      <c r="D4">
        <v>0.8</v>
      </c>
      <c r="E4">
        <v>0.8</v>
      </c>
      <c r="F4">
        <v>0.8</v>
      </c>
      <c r="G4">
        <v>0.8</v>
      </c>
      <c r="H4">
        <v>0.8</v>
      </c>
      <c r="I4">
        <v>0.8</v>
      </c>
      <c r="J4">
        <v>0.8</v>
      </c>
      <c r="K4">
        <v>0.8</v>
      </c>
      <c r="L4">
        <v>0.8</v>
      </c>
      <c r="M4">
        <v>0.8</v>
      </c>
      <c r="N4">
        <v>0</v>
      </c>
      <c r="O4">
        <v>0.8</v>
      </c>
      <c r="P4">
        <v>0</v>
      </c>
    </row>
    <row r="5" spans="1:16" x14ac:dyDescent="0.15">
      <c r="A5">
        <v>4</v>
      </c>
      <c r="B5" s="193" t="s">
        <v>196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</v>
      </c>
      <c r="J5">
        <v>0.8</v>
      </c>
      <c r="K5">
        <v>0.8</v>
      </c>
      <c r="L5">
        <v>0.8</v>
      </c>
      <c r="M5">
        <v>0</v>
      </c>
      <c r="N5">
        <v>0</v>
      </c>
      <c r="O5">
        <v>0.8</v>
      </c>
      <c r="P5">
        <v>0</v>
      </c>
    </row>
    <row r="6" spans="1:16" x14ac:dyDescent="0.15">
      <c r="A6">
        <v>5</v>
      </c>
      <c r="B6" s="193" t="s">
        <v>197</v>
      </c>
      <c r="C6">
        <v>0.8</v>
      </c>
      <c r="D6">
        <v>0.8</v>
      </c>
      <c r="E6">
        <v>0.8</v>
      </c>
      <c r="F6">
        <v>0</v>
      </c>
      <c r="G6">
        <v>0.8</v>
      </c>
      <c r="H6">
        <v>0.8</v>
      </c>
      <c r="I6">
        <v>0.8</v>
      </c>
      <c r="J6">
        <v>0.8</v>
      </c>
      <c r="K6">
        <v>0.8</v>
      </c>
      <c r="L6">
        <v>0.8</v>
      </c>
      <c r="M6">
        <v>0.8</v>
      </c>
      <c r="N6">
        <v>0</v>
      </c>
      <c r="O6">
        <v>0.8</v>
      </c>
      <c r="P6">
        <v>0</v>
      </c>
    </row>
    <row r="7" spans="1:16" x14ac:dyDescent="0.15">
      <c r="A7">
        <v>6</v>
      </c>
      <c r="B7" s="193" t="s">
        <v>198</v>
      </c>
      <c r="C7">
        <v>0.8</v>
      </c>
      <c r="D7">
        <v>0.8</v>
      </c>
      <c r="E7">
        <v>0.8</v>
      </c>
      <c r="F7">
        <v>0.8</v>
      </c>
      <c r="G7">
        <v>0</v>
      </c>
      <c r="H7">
        <v>0.8</v>
      </c>
      <c r="I7">
        <v>0</v>
      </c>
      <c r="J7">
        <v>0</v>
      </c>
      <c r="K7">
        <v>0.8</v>
      </c>
      <c r="L7">
        <v>0</v>
      </c>
      <c r="M7">
        <v>0</v>
      </c>
      <c r="N7">
        <v>0</v>
      </c>
      <c r="O7">
        <v>0.8</v>
      </c>
      <c r="P7">
        <v>0.8</v>
      </c>
    </row>
    <row r="8" spans="1:16" x14ac:dyDescent="0.15">
      <c r="A8">
        <v>7</v>
      </c>
      <c r="B8" s="193" t="s">
        <v>199</v>
      </c>
      <c r="C8">
        <v>0.8</v>
      </c>
      <c r="D8">
        <v>0</v>
      </c>
      <c r="E8">
        <v>0.8</v>
      </c>
      <c r="F8">
        <v>0</v>
      </c>
      <c r="G8">
        <v>0.8</v>
      </c>
      <c r="H8">
        <v>0.8</v>
      </c>
      <c r="I8">
        <v>0.8</v>
      </c>
      <c r="J8">
        <v>0.8</v>
      </c>
      <c r="K8">
        <v>0.8</v>
      </c>
      <c r="L8">
        <v>0.8</v>
      </c>
      <c r="M8">
        <v>0.8</v>
      </c>
      <c r="N8">
        <v>0</v>
      </c>
      <c r="O8">
        <v>0.8</v>
      </c>
      <c r="P8">
        <v>0</v>
      </c>
    </row>
    <row r="9" spans="1:16" x14ac:dyDescent="0.15">
      <c r="A9">
        <v>8</v>
      </c>
      <c r="B9" s="193" t="s">
        <v>200</v>
      </c>
      <c r="C9">
        <v>0.8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0.8</v>
      </c>
      <c r="K9">
        <v>0</v>
      </c>
      <c r="L9">
        <v>0</v>
      </c>
      <c r="M9">
        <v>0.8</v>
      </c>
      <c r="N9">
        <v>0</v>
      </c>
      <c r="O9">
        <v>0.8</v>
      </c>
      <c r="P9">
        <v>0.8</v>
      </c>
    </row>
    <row r="10" spans="1:16" x14ac:dyDescent="0.15">
      <c r="A10">
        <v>9</v>
      </c>
      <c r="B10" s="193" t="s">
        <v>201</v>
      </c>
      <c r="C10">
        <v>0.8</v>
      </c>
      <c r="D10">
        <v>0.8</v>
      </c>
      <c r="E10">
        <v>0.8</v>
      </c>
      <c r="F10">
        <v>0.8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15">
      <c r="A11">
        <v>10</v>
      </c>
      <c r="B11" s="193" t="s">
        <v>202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</v>
      </c>
      <c r="L11">
        <v>0.8</v>
      </c>
      <c r="M11">
        <v>0</v>
      </c>
      <c r="N11">
        <v>0</v>
      </c>
      <c r="O11">
        <v>0.8</v>
      </c>
      <c r="P11">
        <v>0.8</v>
      </c>
    </row>
    <row r="12" spans="1:16" x14ac:dyDescent="0.15">
      <c r="A12">
        <v>11</v>
      </c>
      <c r="B12" s="193" t="s">
        <v>203</v>
      </c>
      <c r="C12">
        <v>0.8</v>
      </c>
      <c r="D12">
        <v>0.8</v>
      </c>
      <c r="E12">
        <v>0.8</v>
      </c>
      <c r="F12">
        <v>0.8</v>
      </c>
      <c r="G12">
        <v>0</v>
      </c>
      <c r="H12">
        <v>0.8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0.8</v>
      </c>
      <c r="P12">
        <v>0</v>
      </c>
    </row>
    <row r="13" spans="1:16" x14ac:dyDescent="0.15">
      <c r="A13">
        <v>12</v>
      </c>
      <c r="B13" s="193" t="s">
        <v>204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0.8</v>
      </c>
      <c r="K13">
        <v>0</v>
      </c>
      <c r="L13">
        <v>0.8</v>
      </c>
      <c r="M13">
        <v>0.8</v>
      </c>
      <c r="N13">
        <v>0</v>
      </c>
      <c r="O13">
        <v>0.8</v>
      </c>
      <c r="P13">
        <v>0</v>
      </c>
    </row>
    <row r="14" spans="1:16" x14ac:dyDescent="0.15">
      <c r="A14">
        <v>13</v>
      </c>
      <c r="B14" s="193" t="s">
        <v>205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0.8</v>
      </c>
      <c r="I14">
        <v>0.8</v>
      </c>
      <c r="J14">
        <v>0.8</v>
      </c>
      <c r="K14">
        <v>0.8</v>
      </c>
      <c r="L14">
        <v>0.8</v>
      </c>
      <c r="M14">
        <v>0.8</v>
      </c>
      <c r="N14">
        <v>0</v>
      </c>
      <c r="O14">
        <v>0.8</v>
      </c>
      <c r="P14">
        <v>0.8</v>
      </c>
    </row>
    <row r="15" spans="1:16" x14ac:dyDescent="0.15">
      <c r="A15">
        <v>14</v>
      </c>
      <c r="B15" s="193" t="s">
        <v>206</v>
      </c>
      <c r="C15">
        <v>0</v>
      </c>
      <c r="D15">
        <v>0.8</v>
      </c>
      <c r="E15">
        <v>0.8</v>
      </c>
      <c r="F15">
        <v>0.8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15">
      <c r="A16">
        <v>15</v>
      </c>
      <c r="B16" s="193" t="s">
        <v>207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</v>
      </c>
      <c r="K16">
        <v>0.8</v>
      </c>
      <c r="L16">
        <v>0.8</v>
      </c>
      <c r="M16">
        <v>0.8</v>
      </c>
      <c r="N16">
        <v>0</v>
      </c>
      <c r="O16">
        <v>0</v>
      </c>
      <c r="P16">
        <v>0</v>
      </c>
    </row>
    <row r="17" spans="1:16" x14ac:dyDescent="0.15">
      <c r="A17">
        <v>16</v>
      </c>
      <c r="B17" s="193" t="s">
        <v>208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</v>
      </c>
      <c r="I17">
        <v>0.8</v>
      </c>
      <c r="J17">
        <v>0</v>
      </c>
      <c r="K17">
        <v>0.8</v>
      </c>
      <c r="L17">
        <v>0.8</v>
      </c>
      <c r="M17">
        <v>0.8</v>
      </c>
      <c r="N17">
        <v>0</v>
      </c>
      <c r="O17">
        <v>0</v>
      </c>
      <c r="P17">
        <v>0</v>
      </c>
    </row>
    <row r="18" spans="1:16" x14ac:dyDescent="0.15">
      <c r="A18">
        <v>17</v>
      </c>
      <c r="B18" s="193" t="s">
        <v>209</v>
      </c>
      <c r="C18">
        <v>0.8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0.8</v>
      </c>
      <c r="J18">
        <v>0.8</v>
      </c>
      <c r="K18">
        <v>0.8</v>
      </c>
      <c r="L18">
        <v>0.8</v>
      </c>
      <c r="M18">
        <v>0.8</v>
      </c>
      <c r="N18">
        <v>0</v>
      </c>
      <c r="O18">
        <v>0</v>
      </c>
      <c r="P18">
        <v>0</v>
      </c>
    </row>
    <row r="19" spans="1:16" x14ac:dyDescent="0.15">
      <c r="A19">
        <v>18</v>
      </c>
      <c r="B19" s="193" t="s">
        <v>210</v>
      </c>
      <c r="C19">
        <v>0</v>
      </c>
      <c r="D19">
        <v>0.8</v>
      </c>
      <c r="E19">
        <v>0.8</v>
      </c>
      <c r="F19">
        <v>0.8</v>
      </c>
      <c r="G19">
        <v>0</v>
      </c>
      <c r="H19">
        <v>0</v>
      </c>
      <c r="I19">
        <v>0</v>
      </c>
      <c r="J19">
        <v>0</v>
      </c>
      <c r="K19">
        <v>0.8</v>
      </c>
      <c r="L19">
        <v>0.8</v>
      </c>
      <c r="M19">
        <v>0</v>
      </c>
      <c r="N19">
        <v>0</v>
      </c>
      <c r="O19">
        <v>0</v>
      </c>
      <c r="P19">
        <v>0</v>
      </c>
    </row>
    <row r="20" spans="1:16" x14ac:dyDescent="0.15">
      <c r="A20">
        <v>19</v>
      </c>
      <c r="B20" s="193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15">
      <c r="A21">
        <v>20</v>
      </c>
      <c r="B21" s="193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15">
      <c r="A22">
        <v>21</v>
      </c>
      <c r="B22" s="193" t="s">
        <v>213</v>
      </c>
      <c r="C22">
        <v>0</v>
      </c>
      <c r="D22">
        <v>0.8</v>
      </c>
      <c r="E22">
        <v>0.8</v>
      </c>
      <c r="F22">
        <v>0.8</v>
      </c>
      <c r="G22">
        <v>0</v>
      </c>
      <c r="H22">
        <v>0</v>
      </c>
      <c r="I22">
        <v>0</v>
      </c>
      <c r="J22">
        <v>0</v>
      </c>
      <c r="K22">
        <v>0.8</v>
      </c>
      <c r="L22">
        <v>0.8</v>
      </c>
      <c r="M22">
        <v>0.8</v>
      </c>
      <c r="N22">
        <v>0</v>
      </c>
      <c r="O22">
        <v>0</v>
      </c>
      <c r="P22">
        <v>0</v>
      </c>
    </row>
    <row r="23" spans="1:16" x14ac:dyDescent="0.15">
      <c r="A23">
        <v>22</v>
      </c>
      <c r="B23" s="193" t="s">
        <v>214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0.8</v>
      </c>
      <c r="I23">
        <v>0</v>
      </c>
      <c r="J23">
        <v>0</v>
      </c>
      <c r="K23">
        <v>0.8</v>
      </c>
      <c r="L23">
        <v>0.8</v>
      </c>
      <c r="M23">
        <v>0.8</v>
      </c>
      <c r="N23">
        <v>0</v>
      </c>
      <c r="O23">
        <v>0</v>
      </c>
      <c r="P23">
        <v>0</v>
      </c>
    </row>
    <row r="24" spans="1:16" x14ac:dyDescent="0.15">
      <c r="A24">
        <v>23</v>
      </c>
      <c r="B24" s="193" t="s">
        <v>215</v>
      </c>
      <c r="C24">
        <v>0</v>
      </c>
      <c r="D24">
        <v>0.8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15">
      <c r="A25">
        <v>24</v>
      </c>
      <c r="B25" s="193" t="s">
        <v>216</v>
      </c>
      <c r="C25">
        <v>0.8</v>
      </c>
      <c r="D25">
        <v>0.8</v>
      </c>
      <c r="E25">
        <v>0.8</v>
      </c>
      <c r="F25">
        <v>0.8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15">
      <c r="A26">
        <v>25</v>
      </c>
      <c r="B26" s="193" t="s">
        <v>217</v>
      </c>
      <c r="C26">
        <v>0.8</v>
      </c>
      <c r="D26">
        <v>0.8</v>
      </c>
      <c r="E26">
        <v>0.8</v>
      </c>
      <c r="F26">
        <v>0.8</v>
      </c>
      <c r="G26">
        <v>0.8</v>
      </c>
      <c r="H26">
        <v>0</v>
      </c>
      <c r="I26">
        <v>0</v>
      </c>
      <c r="J26">
        <v>0.8</v>
      </c>
      <c r="K26">
        <v>0.8</v>
      </c>
      <c r="L26">
        <v>0.8</v>
      </c>
      <c r="M26">
        <v>0.8</v>
      </c>
      <c r="N26">
        <v>0</v>
      </c>
      <c r="O26">
        <v>0</v>
      </c>
      <c r="P26">
        <v>0</v>
      </c>
    </row>
    <row r="27" spans="1:16" x14ac:dyDescent="0.15">
      <c r="A27">
        <v>26</v>
      </c>
      <c r="B27" s="193" t="s">
        <v>218</v>
      </c>
      <c r="C27">
        <v>0</v>
      </c>
      <c r="D27">
        <v>0</v>
      </c>
      <c r="E27">
        <v>0</v>
      </c>
      <c r="F27">
        <v>0.8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15">
      <c r="A28">
        <v>27</v>
      </c>
      <c r="B28" s="193" t="s">
        <v>219</v>
      </c>
      <c r="C28">
        <v>0</v>
      </c>
      <c r="D28">
        <v>0.8</v>
      </c>
      <c r="E28">
        <v>0.8</v>
      </c>
      <c r="F28">
        <v>0.8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15">
      <c r="A29">
        <v>28</v>
      </c>
      <c r="B29" s="193" t="s">
        <v>220</v>
      </c>
      <c r="C29">
        <v>0</v>
      </c>
      <c r="D29">
        <v>0.8</v>
      </c>
      <c r="E29">
        <v>0.8</v>
      </c>
      <c r="F29">
        <v>0.8</v>
      </c>
      <c r="G29">
        <v>0</v>
      </c>
      <c r="H29">
        <v>0.8</v>
      </c>
      <c r="I29">
        <v>0</v>
      </c>
      <c r="J29">
        <v>0</v>
      </c>
      <c r="K29">
        <v>0.8</v>
      </c>
      <c r="L29">
        <v>0.8</v>
      </c>
      <c r="M29">
        <v>0.8</v>
      </c>
      <c r="N29">
        <v>0</v>
      </c>
      <c r="O29">
        <v>0</v>
      </c>
      <c r="P29">
        <v>0</v>
      </c>
    </row>
    <row r="30" spans="1:16" x14ac:dyDescent="0.15">
      <c r="A30">
        <v>29</v>
      </c>
      <c r="B30" s="193" t="s">
        <v>221</v>
      </c>
      <c r="C30">
        <v>0</v>
      </c>
      <c r="D30">
        <v>0.8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15">
      <c r="A31">
        <v>30</v>
      </c>
      <c r="B31" s="193" t="s">
        <v>222</v>
      </c>
      <c r="C31">
        <v>0</v>
      </c>
      <c r="D31">
        <v>0.8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15">
      <c r="A32">
        <v>31</v>
      </c>
      <c r="B32" s="193" t="s">
        <v>223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</v>
      </c>
      <c r="I32">
        <v>0.8</v>
      </c>
      <c r="J32">
        <v>0.8</v>
      </c>
      <c r="K32">
        <v>0.8</v>
      </c>
      <c r="L32">
        <v>0.8</v>
      </c>
      <c r="M32">
        <v>0.8</v>
      </c>
      <c r="N32">
        <v>0</v>
      </c>
      <c r="O32">
        <v>0</v>
      </c>
      <c r="P32">
        <v>0</v>
      </c>
    </row>
    <row r="33" spans="1:16" x14ac:dyDescent="0.15">
      <c r="A33">
        <v>32</v>
      </c>
      <c r="B33" s="193" t="s">
        <v>224</v>
      </c>
      <c r="C33">
        <v>0</v>
      </c>
      <c r="D33">
        <v>0.8</v>
      </c>
      <c r="E33">
        <v>0.8</v>
      </c>
      <c r="F33">
        <v>0.8</v>
      </c>
      <c r="G33">
        <v>0</v>
      </c>
      <c r="H33">
        <v>0.8</v>
      </c>
      <c r="I33">
        <v>0.8</v>
      </c>
      <c r="J33">
        <v>0</v>
      </c>
      <c r="K33">
        <v>0.8</v>
      </c>
      <c r="L33">
        <v>0.8</v>
      </c>
      <c r="M33">
        <v>0.8</v>
      </c>
      <c r="N33">
        <v>0</v>
      </c>
      <c r="O33">
        <v>0</v>
      </c>
      <c r="P33">
        <v>0</v>
      </c>
    </row>
    <row r="34" spans="1:16" x14ac:dyDescent="0.15">
      <c r="A34">
        <v>33</v>
      </c>
      <c r="B34" s="193" t="s">
        <v>225</v>
      </c>
      <c r="C34">
        <v>0.8</v>
      </c>
      <c r="D34">
        <v>0.8</v>
      </c>
      <c r="E34">
        <v>0.8</v>
      </c>
      <c r="F34">
        <v>0.8</v>
      </c>
      <c r="G34">
        <v>0</v>
      </c>
      <c r="H34">
        <v>0</v>
      </c>
      <c r="I34">
        <v>0</v>
      </c>
      <c r="J34">
        <v>0</v>
      </c>
      <c r="K34">
        <v>0</v>
      </c>
      <c r="L34">
        <v>0.8</v>
      </c>
      <c r="M34">
        <v>0</v>
      </c>
      <c r="N34">
        <v>0</v>
      </c>
      <c r="O34">
        <v>0</v>
      </c>
      <c r="P34">
        <v>0</v>
      </c>
    </row>
    <row r="35" spans="1:16" x14ac:dyDescent="0.15">
      <c r="A35">
        <v>34</v>
      </c>
      <c r="B35" s="193" t="s">
        <v>226</v>
      </c>
      <c r="C35">
        <v>0.8</v>
      </c>
      <c r="D35">
        <v>0.8</v>
      </c>
      <c r="E35">
        <v>0.8</v>
      </c>
      <c r="F35">
        <v>0.8</v>
      </c>
      <c r="G35">
        <v>0.8</v>
      </c>
      <c r="H35">
        <v>0.8</v>
      </c>
      <c r="I35">
        <v>0.8</v>
      </c>
      <c r="J35">
        <v>0.8</v>
      </c>
      <c r="K35">
        <v>0.8</v>
      </c>
      <c r="L35">
        <v>0.8</v>
      </c>
      <c r="M35">
        <v>0.8</v>
      </c>
      <c r="N35">
        <v>0</v>
      </c>
      <c r="O35">
        <v>0.8</v>
      </c>
      <c r="P35">
        <v>0</v>
      </c>
    </row>
    <row r="36" spans="1:16" x14ac:dyDescent="0.15">
      <c r="A36">
        <v>35</v>
      </c>
      <c r="B36" s="193" t="s">
        <v>227</v>
      </c>
      <c r="C36">
        <v>0.8</v>
      </c>
      <c r="D36">
        <v>0.8</v>
      </c>
      <c r="E36">
        <v>0.8</v>
      </c>
      <c r="F36">
        <v>0.8</v>
      </c>
      <c r="G36">
        <v>0.8</v>
      </c>
      <c r="H36">
        <v>0.8</v>
      </c>
      <c r="I36">
        <v>0</v>
      </c>
      <c r="J36">
        <v>0</v>
      </c>
      <c r="K36">
        <v>0.8</v>
      </c>
      <c r="L36">
        <v>0.8</v>
      </c>
      <c r="M36">
        <v>0.8</v>
      </c>
      <c r="N36">
        <v>0</v>
      </c>
      <c r="O36">
        <v>0.8</v>
      </c>
      <c r="P36">
        <v>0</v>
      </c>
    </row>
    <row r="37" spans="1:16" x14ac:dyDescent="0.15">
      <c r="A37">
        <v>36</v>
      </c>
      <c r="B37" s="193" t="s">
        <v>228</v>
      </c>
      <c r="C37">
        <v>0.8</v>
      </c>
      <c r="D37">
        <v>0.8</v>
      </c>
      <c r="E37">
        <v>0.8</v>
      </c>
      <c r="F37">
        <v>0.8</v>
      </c>
      <c r="G37">
        <v>0.8</v>
      </c>
      <c r="H37">
        <v>0</v>
      </c>
      <c r="I37">
        <v>0.8</v>
      </c>
      <c r="J37">
        <v>0.8</v>
      </c>
      <c r="K37">
        <v>0.8</v>
      </c>
      <c r="L37">
        <v>0.8</v>
      </c>
      <c r="M37">
        <v>0.8</v>
      </c>
      <c r="N37">
        <v>0</v>
      </c>
      <c r="O37">
        <v>0</v>
      </c>
      <c r="P37">
        <v>0</v>
      </c>
    </row>
    <row r="38" spans="1:16" x14ac:dyDescent="0.15">
      <c r="A38">
        <v>37</v>
      </c>
      <c r="B38" s="193" t="s">
        <v>229</v>
      </c>
      <c r="C38">
        <v>0.8</v>
      </c>
      <c r="D38">
        <v>0.8</v>
      </c>
      <c r="E38">
        <v>0.8</v>
      </c>
      <c r="F38">
        <v>0.8</v>
      </c>
      <c r="G38">
        <v>0.8</v>
      </c>
      <c r="H38">
        <v>0.8</v>
      </c>
      <c r="I38">
        <v>0.8</v>
      </c>
      <c r="J38">
        <v>0.8</v>
      </c>
      <c r="K38">
        <v>0.8</v>
      </c>
      <c r="L38">
        <v>0.8</v>
      </c>
      <c r="M38">
        <v>0.8</v>
      </c>
      <c r="N38">
        <v>0</v>
      </c>
      <c r="O38">
        <v>0.8</v>
      </c>
      <c r="P38">
        <v>0</v>
      </c>
    </row>
    <row r="39" spans="1:16" x14ac:dyDescent="0.15">
      <c r="A39">
        <v>38</v>
      </c>
      <c r="B39" s="193" t="s">
        <v>230</v>
      </c>
      <c r="C39">
        <v>0.8</v>
      </c>
      <c r="D39">
        <v>0.8</v>
      </c>
      <c r="E39">
        <v>0</v>
      </c>
      <c r="F39">
        <v>0</v>
      </c>
      <c r="G39">
        <v>0.8</v>
      </c>
      <c r="H39">
        <v>0</v>
      </c>
      <c r="I39">
        <v>0.8</v>
      </c>
      <c r="J39">
        <v>0.8</v>
      </c>
      <c r="K39">
        <v>0.8</v>
      </c>
      <c r="L39">
        <v>0</v>
      </c>
      <c r="M39">
        <v>0.8</v>
      </c>
      <c r="N39">
        <v>0</v>
      </c>
      <c r="O39">
        <v>0.8</v>
      </c>
      <c r="P39">
        <v>0</v>
      </c>
    </row>
    <row r="40" spans="1:16" x14ac:dyDescent="0.15">
      <c r="A40">
        <v>39</v>
      </c>
      <c r="B40" s="193" t="s">
        <v>231</v>
      </c>
      <c r="C40">
        <v>0.8</v>
      </c>
      <c r="D40">
        <v>0.8</v>
      </c>
      <c r="E40">
        <v>0.8</v>
      </c>
      <c r="F40">
        <v>0.8</v>
      </c>
      <c r="G40">
        <v>0.8</v>
      </c>
      <c r="H40">
        <v>0.8</v>
      </c>
      <c r="I40">
        <v>0.8</v>
      </c>
      <c r="J40">
        <v>0.8</v>
      </c>
      <c r="K40">
        <v>0.8</v>
      </c>
      <c r="L40">
        <v>0</v>
      </c>
      <c r="M40">
        <v>0.8</v>
      </c>
      <c r="N40">
        <v>0</v>
      </c>
      <c r="O40">
        <v>0.8</v>
      </c>
      <c r="P40">
        <v>0</v>
      </c>
    </row>
    <row r="41" spans="1:16" x14ac:dyDescent="0.15">
      <c r="A41">
        <v>40</v>
      </c>
      <c r="B41" s="193" t="s">
        <v>232</v>
      </c>
      <c r="C41">
        <v>0.8</v>
      </c>
      <c r="D41">
        <v>0.8</v>
      </c>
      <c r="E41">
        <v>0.8</v>
      </c>
      <c r="F41">
        <v>0.8</v>
      </c>
      <c r="G41">
        <v>0.8</v>
      </c>
      <c r="H41">
        <v>0.8</v>
      </c>
      <c r="I41">
        <v>0.8</v>
      </c>
      <c r="J41">
        <v>0.8</v>
      </c>
      <c r="K41">
        <v>0.8</v>
      </c>
      <c r="L41">
        <v>0.8</v>
      </c>
      <c r="M41">
        <v>0.8</v>
      </c>
      <c r="N41">
        <v>0</v>
      </c>
      <c r="O41">
        <v>0.8</v>
      </c>
      <c r="P41">
        <v>0</v>
      </c>
    </row>
    <row r="42" spans="1:16" x14ac:dyDescent="0.15">
      <c r="A42">
        <v>41</v>
      </c>
      <c r="B42" s="193" t="s">
        <v>233</v>
      </c>
      <c r="C42">
        <v>0.8</v>
      </c>
      <c r="D42">
        <v>0.8</v>
      </c>
      <c r="E42">
        <v>0.8</v>
      </c>
      <c r="F42">
        <v>0.8</v>
      </c>
      <c r="G42">
        <v>0.8</v>
      </c>
      <c r="H42">
        <v>0.8</v>
      </c>
      <c r="I42">
        <v>0.8</v>
      </c>
      <c r="J42">
        <v>0.8</v>
      </c>
      <c r="K42">
        <v>0.8</v>
      </c>
      <c r="L42">
        <v>0.8</v>
      </c>
      <c r="M42">
        <v>0.8</v>
      </c>
      <c r="N42">
        <v>0</v>
      </c>
      <c r="O42">
        <v>0.8</v>
      </c>
      <c r="P42">
        <v>0</v>
      </c>
    </row>
    <row r="43" spans="1:16" x14ac:dyDescent="0.15">
      <c r="A43">
        <v>42</v>
      </c>
      <c r="B43" s="193" t="s">
        <v>234</v>
      </c>
      <c r="C43">
        <v>0.8</v>
      </c>
      <c r="D43">
        <v>0.8</v>
      </c>
      <c r="E43">
        <v>0.8</v>
      </c>
      <c r="F43">
        <v>0.8</v>
      </c>
      <c r="G43">
        <v>0.8</v>
      </c>
      <c r="H43">
        <v>0.8</v>
      </c>
      <c r="I43">
        <v>0.8</v>
      </c>
      <c r="J43">
        <v>0.8</v>
      </c>
      <c r="K43">
        <v>0.8</v>
      </c>
      <c r="L43">
        <v>0</v>
      </c>
      <c r="M43">
        <v>0.8</v>
      </c>
      <c r="N43">
        <v>0</v>
      </c>
      <c r="O43">
        <v>0.8</v>
      </c>
      <c r="P43">
        <v>0</v>
      </c>
    </row>
    <row r="44" spans="1:16" x14ac:dyDescent="0.15">
      <c r="A44">
        <v>43</v>
      </c>
      <c r="B44" s="193" t="s">
        <v>235</v>
      </c>
      <c r="C44">
        <v>0.8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0.8</v>
      </c>
      <c r="J44">
        <v>0.8</v>
      </c>
      <c r="K44">
        <v>0.8</v>
      </c>
      <c r="L44">
        <v>0.8</v>
      </c>
      <c r="M44">
        <v>0.8</v>
      </c>
      <c r="N44">
        <v>0</v>
      </c>
      <c r="O44">
        <v>0.8</v>
      </c>
      <c r="P44">
        <v>0</v>
      </c>
    </row>
    <row r="45" spans="1:16" x14ac:dyDescent="0.15">
      <c r="A45">
        <v>44</v>
      </c>
      <c r="B45" s="193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0.8</v>
      </c>
      <c r="J45">
        <v>0.8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x14ac:dyDescent="0.15">
      <c r="A46">
        <v>45</v>
      </c>
      <c r="B46" s="193" t="s">
        <v>237</v>
      </c>
      <c r="C46">
        <v>0.8</v>
      </c>
      <c r="D46">
        <v>0.8</v>
      </c>
      <c r="E46">
        <v>0</v>
      </c>
      <c r="F46">
        <v>0</v>
      </c>
      <c r="G46">
        <v>0.8</v>
      </c>
      <c r="H46">
        <v>0.8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x14ac:dyDescent="0.15">
      <c r="A47">
        <v>46</v>
      </c>
      <c r="B47" s="193" t="s">
        <v>238</v>
      </c>
      <c r="C47">
        <v>0</v>
      </c>
      <c r="D47">
        <v>0</v>
      </c>
      <c r="E47">
        <v>0</v>
      </c>
      <c r="F47">
        <v>0</v>
      </c>
      <c r="G47">
        <v>0.8</v>
      </c>
      <c r="H47">
        <v>0</v>
      </c>
      <c r="I47">
        <v>0.8</v>
      </c>
      <c r="J47">
        <v>0.8</v>
      </c>
      <c r="K47">
        <v>0</v>
      </c>
      <c r="L47">
        <v>0</v>
      </c>
      <c r="M47">
        <v>0.8</v>
      </c>
      <c r="N47">
        <v>0</v>
      </c>
      <c r="O47">
        <v>0.8</v>
      </c>
      <c r="P47">
        <v>0</v>
      </c>
    </row>
    <row r="48" spans="1:16" x14ac:dyDescent="0.15">
      <c r="A48">
        <v>47</v>
      </c>
      <c r="B48" s="193" t="s">
        <v>239</v>
      </c>
      <c r="C48">
        <v>0</v>
      </c>
      <c r="D48">
        <v>0</v>
      </c>
      <c r="E48">
        <v>0</v>
      </c>
      <c r="F48">
        <v>0</v>
      </c>
      <c r="G48">
        <v>0.8</v>
      </c>
      <c r="H48">
        <v>0</v>
      </c>
      <c r="I48">
        <v>0.8</v>
      </c>
      <c r="J48">
        <v>0.8</v>
      </c>
      <c r="K48">
        <v>0</v>
      </c>
      <c r="L48">
        <v>0</v>
      </c>
      <c r="M48">
        <v>0</v>
      </c>
      <c r="N48">
        <v>0.8</v>
      </c>
      <c r="O48">
        <v>0</v>
      </c>
      <c r="P48">
        <v>0</v>
      </c>
    </row>
    <row r="49" spans="1:16" x14ac:dyDescent="0.15">
      <c r="A49">
        <v>48</v>
      </c>
      <c r="B49" s="193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0.8</v>
      </c>
      <c r="J49">
        <v>0</v>
      </c>
      <c r="K49">
        <v>0.8</v>
      </c>
      <c r="L49">
        <v>0</v>
      </c>
      <c r="M49">
        <v>0</v>
      </c>
      <c r="N49">
        <v>0.8</v>
      </c>
      <c r="O49">
        <v>0</v>
      </c>
      <c r="P49">
        <v>0</v>
      </c>
    </row>
    <row r="50" spans="1:16" x14ac:dyDescent="0.15">
      <c r="A50">
        <v>49</v>
      </c>
      <c r="B50" s="193" t="s">
        <v>241</v>
      </c>
      <c r="C50">
        <v>0</v>
      </c>
      <c r="D50">
        <v>0</v>
      </c>
      <c r="E50">
        <v>0</v>
      </c>
      <c r="F50">
        <v>0</v>
      </c>
      <c r="G50">
        <v>0.8</v>
      </c>
      <c r="H50">
        <v>0.8</v>
      </c>
      <c r="I50">
        <v>0.8</v>
      </c>
      <c r="J50">
        <v>0.8</v>
      </c>
      <c r="K50">
        <v>0.8</v>
      </c>
      <c r="L50">
        <v>0</v>
      </c>
      <c r="M50">
        <v>0</v>
      </c>
      <c r="N50">
        <v>0.8</v>
      </c>
      <c r="O50">
        <v>0.8</v>
      </c>
      <c r="P50">
        <v>0</v>
      </c>
    </row>
    <row r="51" spans="1:16" x14ac:dyDescent="0.15">
      <c r="A51">
        <v>50</v>
      </c>
      <c r="B51" s="193" t="s">
        <v>242</v>
      </c>
      <c r="C51">
        <v>0</v>
      </c>
      <c r="D51">
        <v>0</v>
      </c>
      <c r="E51">
        <v>0</v>
      </c>
      <c r="F51">
        <v>0</v>
      </c>
      <c r="G51">
        <v>0.8</v>
      </c>
      <c r="H51">
        <v>0</v>
      </c>
      <c r="I51">
        <v>0.8</v>
      </c>
      <c r="J51">
        <v>0.8</v>
      </c>
      <c r="K51">
        <v>0</v>
      </c>
      <c r="L51">
        <v>0</v>
      </c>
      <c r="M51">
        <v>0.8</v>
      </c>
      <c r="N51">
        <v>0</v>
      </c>
      <c r="O51">
        <v>0.8</v>
      </c>
      <c r="P51">
        <v>0</v>
      </c>
    </row>
    <row r="52" spans="1:16" x14ac:dyDescent="0.15">
      <c r="A52">
        <v>51</v>
      </c>
      <c r="B52" s="193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15">
      <c r="A53">
        <v>52</v>
      </c>
      <c r="B53" s="193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0.8</v>
      </c>
      <c r="J53">
        <v>0.8</v>
      </c>
      <c r="K53">
        <v>0</v>
      </c>
      <c r="L53">
        <v>0</v>
      </c>
      <c r="M53">
        <v>0.8</v>
      </c>
      <c r="N53">
        <v>0</v>
      </c>
      <c r="O53">
        <v>0</v>
      </c>
      <c r="P53">
        <v>0</v>
      </c>
    </row>
    <row r="54" spans="1:16" x14ac:dyDescent="0.15">
      <c r="A54">
        <v>53</v>
      </c>
      <c r="B54" s="193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0.8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15">
      <c r="A55">
        <v>54</v>
      </c>
      <c r="B55" s="193" t="s">
        <v>246</v>
      </c>
      <c r="C55">
        <v>0</v>
      </c>
      <c r="D55">
        <v>0</v>
      </c>
      <c r="E55">
        <v>0</v>
      </c>
      <c r="F55">
        <v>0</v>
      </c>
      <c r="G55">
        <v>0.8</v>
      </c>
      <c r="H55">
        <v>0</v>
      </c>
      <c r="I55">
        <v>0.8</v>
      </c>
      <c r="J55">
        <v>0</v>
      </c>
      <c r="K55">
        <v>0</v>
      </c>
      <c r="L55">
        <v>0</v>
      </c>
      <c r="M55">
        <v>0.8</v>
      </c>
      <c r="N55">
        <v>0</v>
      </c>
      <c r="O55">
        <v>0</v>
      </c>
      <c r="P55">
        <v>0</v>
      </c>
    </row>
    <row r="56" spans="1:16" x14ac:dyDescent="0.15">
      <c r="A56">
        <v>55</v>
      </c>
      <c r="B56" s="193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</row>
    <row r="57" spans="1:16" x14ac:dyDescent="0.15">
      <c r="A57">
        <v>56</v>
      </c>
      <c r="B57" s="193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0.8</v>
      </c>
      <c r="J57">
        <v>0.8</v>
      </c>
      <c r="K57">
        <v>0</v>
      </c>
      <c r="L57">
        <v>0</v>
      </c>
      <c r="M57">
        <v>0</v>
      </c>
      <c r="N57">
        <v>0.8</v>
      </c>
      <c r="O57">
        <v>0</v>
      </c>
      <c r="P57">
        <v>0</v>
      </c>
    </row>
    <row r="58" spans="1:16" x14ac:dyDescent="0.15">
      <c r="A58">
        <v>57</v>
      </c>
      <c r="B58" s="193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x14ac:dyDescent="0.15">
      <c r="A59">
        <v>58</v>
      </c>
      <c r="B59" s="193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15">
      <c r="A60">
        <v>59</v>
      </c>
      <c r="B60" s="193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</row>
    <row r="61" spans="1:16" x14ac:dyDescent="0.15">
      <c r="A61">
        <v>60</v>
      </c>
      <c r="B61" s="193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</row>
    <row r="62" spans="1:16" x14ac:dyDescent="0.15">
      <c r="A62">
        <v>61</v>
      </c>
      <c r="B62" s="193" t="s">
        <v>253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15">
      <c r="A63">
        <v>62</v>
      </c>
      <c r="B63" s="193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0.8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1:16" x14ac:dyDescent="0.15">
      <c r="A64">
        <v>63</v>
      </c>
      <c r="B64" s="193" t="s">
        <v>255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15">
      <c r="A65">
        <v>64</v>
      </c>
      <c r="B65" s="193" t="s">
        <v>256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15">
      <c r="A66">
        <v>65</v>
      </c>
      <c r="B66" s="193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15">
      <c r="A67">
        <v>66</v>
      </c>
      <c r="B67" s="193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</row>
    <row r="68" spans="1:16" x14ac:dyDescent="0.15">
      <c r="A68">
        <v>67</v>
      </c>
      <c r="B68" s="193" t="s">
        <v>259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15">
      <c r="A69">
        <v>68</v>
      </c>
      <c r="B69" s="193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</row>
    <row r="70" spans="1:16" x14ac:dyDescent="0.15">
      <c r="A70">
        <v>69</v>
      </c>
      <c r="B70" s="193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15">
      <c r="A71">
        <v>70</v>
      </c>
      <c r="B71" s="193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</row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P71"/>
  <sheetViews>
    <sheetView topLeftCell="A54" workbookViewId="0">
      <selection activeCell="B76" sqref="B76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4" width="3.83203125" bestFit="1" customWidth="1"/>
    <col min="5" max="16" width="3.83203125" customWidth="1"/>
  </cols>
  <sheetData>
    <row r="1" spans="1:16" ht="112" x14ac:dyDescent="0.15">
      <c r="A1" s="5" t="s">
        <v>82</v>
      </c>
      <c r="B1" s="3" t="s">
        <v>0</v>
      </c>
      <c r="C1" s="196" t="s">
        <v>263</v>
      </c>
      <c r="D1" s="196" t="s">
        <v>264</v>
      </c>
      <c r="E1" s="196" t="s">
        <v>265</v>
      </c>
      <c r="F1" s="196" t="s">
        <v>266</v>
      </c>
      <c r="G1" s="196" t="s">
        <v>267</v>
      </c>
      <c r="H1" s="196" t="s">
        <v>268</v>
      </c>
      <c r="I1" s="196" t="s">
        <v>269</v>
      </c>
      <c r="J1" s="196" t="s">
        <v>270</v>
      </c>
      <c r="K1" s="196" t="s">
        <v>271</v>
      </c>
      <c r="L1" s="196" t="s">
        <v>272</v>
      </c>
      <c r="M1" s="196" t="s">
        <v>273</v>
      </c>
      <c r="N1" s="196" t="s">
        <v>274</v>
      </c>
      <c r="O1" s="196" t="s">
        <v>275</v>
      </c>
      <c r="P1" s="196" t="s">
        <v>276</v>
      </c>
    </row>
    <row r="2" spans="1:16" x14ac:dyDescent="0.15">
      <c r="A2">
        <v>1</v>
      </c>
      <c r="B2" s="19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>
        <v>2</v>
      </c>
      <c r="B3" s="19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15">
      <c r="A4">
        <v>3</v>
      </c>
      <c r="B4" s="195" t="s">
        <v>195</v>
      </c>
      <c r="C4">
        <v>0.8</v>
      </c>
      <c r="D4">
        <v>0.8</v>
      </c>
      <c r="E4">
        <v>0.8</v>
      </c>
      <c r="F4">
        <v>0.8</v>
      </c>
      <c r="G4">
        <v>0.8</v>
      </c>
      <c r="H4">
        <v>0.8</v>
      </c>
      <c r="I4">
        <v>0.8</v>
      </c>
      <c r="J4">
        <v>0.8</v>
      </c>
      <c r="K4">
        <v>0.8</v>
      </c>
      <c r="L4">
        <v>0.8</v>
      </c>
      <c r="M4">
        <v>0.8</v>
      </c>
      <c r="N4">
        <v>0</v>
      </c>
      <c r="O4">
        <v>0.8</v>
      </c>
      <c r="P4">
        <v>0</v>
      </c>
    </row>
    <row r="5" spans="1:16" x14ac:dyDescent="0.15">
      <c r="A5">
        <v>4</v>
      </c>
      <c r="B5" s="195" t="s">
        <v>196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</v>
      </c>
      <c r="J5">
        <v>0.8</v>
      </c>
      <c r="K5">
        <v>0.8</v>
      </c>
      <c r="L5">
        <v>0.8</v>
      </c>
      <c r="M5">
        <v>0</v>
      </c>
      <c r="N5">
        <v>0</v>
      </c>
      <c r="O5">
        <v>0.8</v>
      </c>
      <c r="P5">
        <v>0</v>
      </c>
    </row>
    <row r="6" spans="1:16" x14ac:dyDescent="0.15">
      <c r="A6">
        <v>5</v>
      </c>
      <c r="B6" s="195" t="s">
        <v>197</v>
      </c>
      <c r="C6">
        <v>0.8</v>
      </c>
      <c r="D6">
        <v>0.8</v>
      </c>
      <c r="E6">
        <v>0.8</v>
      </c>
      <c r="F6">
        <v>0</v>
      </c>
      <c r="G6">
        <v>0.8</v>
      </c>
      <c r="H6">
        <v>0.8</v>
      </c>
      <c r="I6">
        <v>0.8</v>
      </c>
      <c r="J6">
        <v>0.8</v>
      </c>
      <c r="K6">
        <v>0.8</v>
      </c>
      <c r="L6">
        <v>0.8</v>
      </c>
      <c r="M6">
        <v>0.8</v>
      </c>
      <c r="N6">
        <v>0</v>
      </c>
      <c r="O6">
        <v>0.8</v>
      </c>
      <c r="P6">
        <v>0</v>
      </c>
    </row>
    <row r="7" spans="1:16" x14ac:dyDescent="0.15">
      <c r="A7">
        <v>6</v>
      </c>
      <c r="B7" s="195" t="s">
        <v>198</v>
      </c>
      <c r="C7">
        <v>0.8</v>
      </c>
      <c r="D7">
        <v>0.8</v>
      </c>
      <c r="E7">
        <v>0.8</v>
      </c>
      <c r="F7">
        <v>0.8</v>
      </c>
      <c r="G7">
        <v>0</v>
      </c>
      <c r="H7">
        <v>0.8</v>
      </c>
      <c r="I7">
        <v>0</v>
      </c>
      <c r="J7">
        <v>0</v>
      </c>
      <c r="K7">
        <v>0.8</v>
      </c>
      <c r="L7">
        <v>0</v>
      </c>
      <c r="M7">
        <v>0</v>
      </c>
      <c r="N7">
        <v>0</v>
      </c>
      <c r="O7">
        <v>0.8</v>
      </c>
      <c r="P7">
        <v>0.8</v>
      </c>
    </row>
    <row r="8" spans="1:16" x14ac:dyDescent="0.15">
      <c r="A8">
        <v>7</v>
      </c>
      <c r="B8" s="195" t="s">
        <v>199</v>
      </c>
      <c r="C8">
        <v>0.8</v>
      </c>
      <c r="D8">
        <v>0</v>
      </c>
      <c r="E8">
        <v>0.8</v>
      </c>
      <c r="F8">
        <v>0</v>
      </c>
      <c r="G8">
        <v>0.8</v>
      </c>
      <c r="H8">
        <v>0.8</v>
      </c>
      <c r="I8">
        <v>0.8</v>
      </c>
      <c r="J8">
        <v>0.8</v>
      </c>
      <c r="K8">
        <v>0.8</v>
      </c>
      <c r="L8">
        <v>0.8</v>
      </c>
      <c r="M8">
        <v>0.8</v>
      </c>
      <c r="N8">
        <v>0</v>
      </c>
      <c r="O8">
        <v>0.8</v>
      </c>
      <c r="P8">
        <v>0</v>
      </c>
    </row>
    <row r="9" spans="1:16" x14ac:dyDescent="0.15">
      <c r="A9">
        <v>8</v>
      </c>
      <c r="B9" s="195" t="s">
        <v>200</v>
      </c>
      <c r="C9">
        <v>0.8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0.8</v>
      </c>
      <c r="K9">
        <v>0</v>
      </c>
      <c r="L9">
        <v>0</v>
      </c>
      <c r="M9">
        <v>0.8</v>
      </c>
      <c r="N9">
        <v>0</v>
      </c>
      <c r="O9">
        <v>0.8</v>
      </c>
      <c r="P9">
        <v>0.8</v>
      </c>
    </row>
    <row r="10" spans="1:16" x14ac:dyDescent="0.15">
      <c r="A10">
        <v>9</v>
      </c>
      <c r="B10" s="195" t="s">
        <v>201</v>
      </c>
      <c r="C10">
        <v>0.8</v>
      </c>
      <c r="D10">
        <v>0.8</v>
      </c>
      <c r="E10">
        <v>0.8</v>
      </c>
      <c r="F10">
        <v>0.8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15">
      <c r="A11">
        <v>10</v>
      </c>
      <c r="B11" s="195" t="s">
        <v>202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</v>
      </c>
      <c r="L11">
        <v>0.8</v>
      </c>
      <c r="M11">
        <v>0</v>
      </c>
      <c r="N11">
        <v>0</v>
      </c>
      <c r="O11">
        <v>0.8</v>
      </c>
      <c r="P11">
        <v>0.8</v>
      </c>
    </row>
    <row r="12" spans="1:16" x14ac:dyDescent="0.15">
      <c r="A12">
        <v>11</v>
      </c>
      <c r="B12" s="195" t="s">
        <v>203</v>
      </c>
      <c r="C12">
        <v>0.8</v>
      </c>
      <c r="D12">
        <v>0.8</v>
      </c>
      <c r="E12">
        <v>0.8</v>
      </c>
      <c r="F12">
        <v>0.8</v>
      </c>
      <c r="G12">
        <v>0</v>
      </c>
      <c r="H12">
        <v>0.8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0.8</v>
      </c>
      <c r="P12">
        <v>0</v>
      </c>
    </row>
    <row r="13" spans="1:16" x14ac:dyDescent="0.15">
      <c r="A13">
        <v>12</v>
      </c>
      <c r="B13" s="195" t="s">
        <v>204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0.8</v>
      </c>
      <c r="K13">
        <v>0</v>
      </c>
      <c r="L13">
        <v>0.8</v>
      </c>
      <c r="M13">
        <v>0.8</v>
      </c>
      <c r="N13">
        <v>0</v>
      </c>
      <c r="O13">
        <v>0.8</v>
      </c>
      <c r="P13">
        <v>0</v>
      </c>
    </row>
    <row r="14" spans="1:16" x14ac:dyDescent="0.15">
      <c r="A14">
        <v>13</v>
      </c>
      <c r="B14" s="195" t="s">
        <v>205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0.8</v>
      </c>
      <c r="I14">
        <v>0.8</v>
      </c>
      <c r="J14">
        <v>0.8</v>
      </c>
      <c r="K14">
        <v>0.8</v>
      </c>
      <c r="L14">
        <v>0.8</v>
      </c>
      <c r="M14">
        <v>0.8</v>
      </c>
      <c r="N14">
        <v>0</v>
      </c>
      <c r="O14">
        <v>0.8</v>
      </c>
      <c r="P14">
        <v>0.8</v>
      </c>
    </row>
    <row r="15" spans="1:16" x14ac:dyDescent="0.15">
      <c r="A15">
        <v>14</v>
      </c>
      <c r="B15" s="195" t="s">
        <v>206</v>
      </c>
      <c r="C15">
        <v>0</v>
      </c>
      <c r="D15">
        <v>0.8</v>
      </c>
      <c r="E15">
        <v>0.8</v>
      </c>
      <c r="F15">
        <v>0.8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15">
      <c r="A16">
        <v>15</v>
      </c>
      <c r="B16" s="195" t="s">
        <v>207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</v>
      </c>
      <c r="K16">
        <v>0.8</v>
      </c>
      <c r="L16">
        <v>0.8</v>
      </c>
      <c r="M16">
        <v>0.8</v>
      </c>
      <c r="N16">
        <v>0</v>
      </c>
      <c r="O16">
        <v>0</v>
      </c>
      <c r="P16">
        <v>0</v>
      </c>
    </row>
    <row r="17" spans="1:16" x14ac:dyDescent="0.15">
      <c r="A17">
        <v>16</v>
      </c>
      <c r="B17" s="195" t="s">
        <v>208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</v>
      </c>
      <c r="I17">
        <v>0.8</v>
      </c>
      <c r="J17">
        <v>0</v>
      </c>
      <c r="K17">
        <v>0.8</v>
      </c>
      <c r="L17">
        <v>0.8</v>
      </c>
      <c r="M17">
        <v>0.8</v>
      </c>
      <c r="N17">
        <v>0</v>
      </c>
      <c r="O17">
        <v>0</v>
      </c>
      <c r="P17">
        <v>0</v>
      </c>
    </row>
    <row r="18" spans="1:16" x14ac:dyDescent="0.15">
      <c r="A18">
        <v>17</v>
      </c>
      <c r="B18" s="195" t="s">
        <v>209</v>
      </c>
      <c r="C18">
        <v>0.8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0.8</v>
      </c>
      <c r="J18">
        <v>0.8</v>
      </c>
      <c r="K18">
        <v>0.8</v>
      </c>
      <c r="L18">
        <v>0.8</v>
      </c>
      <c r="M18">
        <v>0.8</v>
      </c>
      <c r="N18">
        <v>0</v>
      </c>
      <c r="O18">
        <v>0</v>
      </c>
      <c r="P18">
        <v>0</v>
      </c>
    </row>
    <row r="19" spans="1:16" x14ac:dyDescent="0.15">
      <c r="A19">
        <v>18</v>
      </c>
      <c r="B19" s="195" t="s">
        <v>210</v>
      </c>
      <c r="C19">
        <v>0</v>
      </c>
      <c r="D19">
        <v>0.8</v>
      </c>
      <c r="E19">
        <v>0.8</v>
      </c>
      <c r="F19">
        <v>0.8</v>
      </c>
      <c r="G19">
        <v>0</v>
      </c>
      <c r="H19">
        <v>0</v>
      </c>
      <c r="I19">
        <v>0</v>
      </c>
      <c r="J19">
        <v>0</v>
      </c>
      <c r="K19">
        <v>0.8</v>
      </c>
      <c r="L19">
        <v>0.8</v>
      </c>
      <c r="M19">
        <v>0</v>
      </c>
      <c r="N19">
        <v>0</v>
      </c>
      <c r="O19">
        <v>0</v>
      </c>
      <c r="P19">
        <v>0</v>
      </c>
    </row>
    <row r="20" spans="1:16" x14ac:dyDescent="0.15">
      <c r="A20">
        <v>19</v>
      </c>
      <c r="B20" s="195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15">
      <c r="A21">
        <v>20</v>
      </c>
      <c r="B21" s="195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15">
      <c r="A22">
        <v>21</v>
      </c>
      <c r="B22" s="195" t="s">
        <v>213</v>
      </c>
      <c r="C22">
        <v>0</v>
      </c>
      <c r="D22">
        <v>0.8</v>
      </c>
      <c r="E22">
        <v>0.8</v>
      </c>
      <c r="F22">
        <v>0.8</v>
      </c>
      <c r="G22">
        <v>0</v>
      </c>
      <c r="H22">
        <v>0</v>
      </c>
      <c r="I22">
        <v>0</v>
      </c>
      <c r="J22">
        <v>0</v>
      </c>
      <c r="K22">
        <v>0.8</v>
      </c>
      <c r="L22">
        <v>0.8</v>
      </c>
      <c r="M22">
        <v>0.8</v>
      </c>
      <c r="N22">
        <v>0</v>
      </c>
      <c r="O22">
        <v>0</v>
      </c>
      <c r="P22">
        <v>0</v>
      </c>
    </row>
    <row r="23" spans="1:16" x14ac:dyDescent="0.15">
      <c r="A23">
        <v>22</v>
      </c>
      <c r="B23" s="195" t="s">
        <v>214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0.8</v>
      </c>
      <c r="I23">
        <v>0</v>
      </c>
      <c r="J23">
        <v>0</v>
      </c>
      <c r="K23">
        <v>0.8</v>
      </c>
      <c r="L23">
        <v>0.8</v>
      </c>
      <c r="M23">
        <v>0.8</v>
      </c>
      <c r="N23">
        <v>0</v>
      </c>
      <c r="O23">
        <v>0</v>
      </c>
      <c r="P23">
        <v>0</v>
      </c>
    </row>
    <row r="24" spans="1:16" x14ac:dyDescent="0.15">
      <c r="A24">
        <v>23</v>
      </c>
      <c r="B24" s="195" t="s">
        <v>215</v>
      </c>
      <c r="C24">
        <v>0</v>
      </c>
      <c r="D24">
        <v>0.8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15">
      <c r="A25">
        <v>24</v>
      </c>
      <c r="B25" s="195" t="s">
        <v>216</v>
      </c>
      <c r="C25">
        <v>0.8</v>
      </c>
      <c r="D25">
        <v>0.8</v>
      </c>
      <c r="E25">
        <v>0.8</v>
      </c>
      <c r="F25">
        <v>0.8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15">
      <c r="A26">
        <v>25</v>
      </c>
      <c r="B26" s="195" t="s">
        <v>217</v>
      </c>
      <c r="C26">
        <v>0.8</v>
      </c>
      <c r="D26">
        <v>0.8</v>
      </c>
      <c r="E26">
        <v>0.8</v>
      </c>
      <c r="F26">
        <v>0.8</v>
      </c>
      <c r="G26">
        <v>0.8</v>
      </c>
      <c r="H26">
        <v>0</v>
      </c>
      <c r="I26">
        <v>0</v>
      </c>
      <c r="J26">
        <v>0.8</v>
      </c>
      <c r="K26">
        <v>0.8</v>
      </c>
      <c r="L26">
        <v>0.8</v>
      </c>
      <c r="M26">
        <v>0.8</v>
      </c>
      <c r="N26">
        <v>0</v>
      </c>
      <c r="O26">
        <v>0</v>
      </c>
      <c r="P26">
        <v>0</v>
      </c>
    </row>
    <row r="27" spans="1:16" x14ac:dyDescent="0.15">
      <c r="A27">
        <v>26</v>
      </c>
      <c r="B27" s="195" t="s">
        <v>218</v>
      </c>
      <c r="C27">
        <v>0</v>
      </c>
      <c r="D27">
        <v>0</v>
      </c>
      <c r="E27">
        <v>0</v>
      </c>
      <c r="F27">
        <v>0.8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15">
      <c r="A28">
        <v>27</v>
      </c>
      <c r="B28" s="195" t="s">
        <v>219</v>
      </c>
      <c r="C28">
        <v>0</v>
      </c>
      <c r="D28">
        <v>0.8</v>
      </c>
      <c r="E28">
        <v>0.8</v>
      </c>
      <c r="F28">
        <v>0.8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15">
      <c r="A29">
        <v>28</v>
      </c>
      <c r="B29" s="195" t="s">
        <v>220</v>
      </c>
      <c r="C29">
        <v>0</v>
      </c>
      <c r="D29">
        <v>0.8</v>
      </c>
      <c r="E29">
        <v>0.8</v>
      </c>
      <c r="F29">
        <v>0.8</v>
      </c>
      <c r="G29">
        <v>0</v>
      </c>
      <c r="H29">
        <v>0.8</v>
      </c>
      <c r="I29">
        <v>0</v>
      </c>
      <c r="J29">
        <v>0</v>
      </c>
      <c r="K29">
        <v>0.8</v>
      </c>
      <c r="L29">
        <v>0.8</v>
      </c>
      <c r="M29">
        <v>0.8</v>
      </c>
      <c r="N29">
        <v>0</v>
      </c>
      <c r="O29">
        <v>0</v>
      </c>
      <c r="P29">
        <v>0</v>
      </c>
    </row>
    <row r="30" spans="1:16" x14ac:dyDescent="0.15">
      <c r="A30">
        <v>29</v>
      </c>
      <c r="B30" s="195" t="s">
        <v>221</v>
      </c>
      <c r="C30">
        <v>0</v>
      </c>
      <c r="D30">
        <v>0.8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15">
      <c r="A31">
        <v>30</v>
      </c>
      <c r="B31" s="195" t="s">
        <v>222</v>
      </c>
      <c r="C31">
        <v>0</v>
      </c>
      <c r="D31">
        <v>0.8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15">
      <c r="A32">
        <v>31</v>
      </c>
      <c r="B32" s="195" t="s">
        <v>223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</v>
      </c>
      <c r="I32">
        <v>0.8</v>
      </c>
      <c r="J32">
        <v>0.8</v>
      </c>
      <c r="K32">
        <v>0.8</v>
      </c>
      <c r="L32">
        <v>0.8</v>
      </c>
      <c r="M32">
        <v>0.8</v>
      </c>
      <c r="N32">
        <v>0</v>
      </c>
      <c r="O32">
        <v>0</v>
      </c>
      <c r="P32">
        <v>0</v>
      </c>
    </row>
    <row r="33" spans="1:16" x14ac:dyDescent="0.15">
      <c r="A33">
        <v>32</v>
      </c>
      <c r="B33" s="195" t="s">
        <v>224</v>
      </c>
      <c r="C33">
        <v>0</v>
      </c>
      <c r="D33">
        <v>0.8</v>
      </c>
      <c r="E33">
        <v>0.8</v>
      </c>
      <c r="F33">
        <v>0.8</v>
      </c>
      <c r="G33">
        <v>0</v>
      </c>
      <c r="H33">
        <v>0.8</v>
      </c>
      <c r="I33">
        <v>0.8</v>
      </c>
      <c r="J33">
        <v>0</v>
      </c>
      <c r="K33">
        <v>0.8</v>
      </c>
      <c r="L33">
        <v>0.8</v>
      </c>
      <c r="M33">
        <v>0.8</v>
      </c>
      <c r="N33">
        <v>0</v>
      </c>
      <c r="O33">
        <v>0</v>
      </c>
      <c r="P33">
        <v>0</v>
      </c>
    </row>
    <row r="34" spans="1:16" x14ac:dyDescent="0.15">
      <c r="A34">
        <v>33</v>
      </c>
      <c r="B34" s="195" t="s">
        <v>225</v>
      </c>
      <c r="C34">
        <v>0.8</v>
      </c>
      <c r="D34">
        <v>0.8</v>
      </c>
      <c r="E34">
        <v>0.8</v>
      </c>
      <c r="F34">
        <v>0.8</v>
      </c>
      <c r="G34">
        <v>0</v>
      </c>
      <c r="H34">
        <v>0</v>
      </c>
      <c r="I34">
        <v>0</v>
      </c>
      <c r="J34">
        <v>0</v>
      </c>
      <c r="K34">
        <v>0</v>
      </c>
      <c r="L34">
        <v>0.8</v>
      </c>
      <c r="M34">
        <v>0</v>
      </c>
      <c r="N34">
        <v>0</v>
      </c>
      <c r="O34">
        <v>0</v>
      </c>
      <c r="P34">
        <v>0</v>
      </c>
    </row>
    <row r="35" spans="1:16" x14ac:dyDescent="0.15">
      <c r="A35">
        <v>34</v>
      </c>
      <c r="B35" s="195" t="s">
        <v>226</v>
      </c>
      <c r="C35">
        <v>0.8</v>
      </c>
      <c r="D35">
        <v>0.8</v>
      </c>
      <c r="E35">
        <v>0.8</v>
      </c>
      <c r="F35">
        <v>0.8</v>
      </c>
      <c r="G35">
        <v>0.8</v>
      </c>
      <c r="H35">
        <v>0.8</v>
      </c>
      <c r="I35">
        <v>0.8</v>
      </c>
      <c r="J35">
        <v>0.8</v>
      </c>
      <c r="K35">
        <v>0.8</v>
      </c>
      <c r="L35">
        <v>0.8</v>
      </c>
      <c r="M35">
        <v>0.8</v>
      </c>
      <c r="N35">
        <v>0</v>
      </c>
      <c r="O35">
        <v>0.8</v>
      </c>
      <c r="P35">
        <v>0</v>
      </c>
    </row>
    <row r="36" spans="1:16" x14ac:dyDescent="0.15">
      <c r="A36">
        <v>35</v>
      </c>
      <c r="B36" s="195" t="s">
        <v>227</v>
      </c>
      <c r="C36">
        <v>0.8</v>
      </c>
      <c r="D36">
        <v>0.8</v>
      </c>
      <c r="E36">
        <v>0.8</v>
      </c>
      <c r="F36">
        <v>0.8</v>
      </c>
      <c r="G36">
        <v>0.8</v>
      </c>
      <c r="H36">
        <v>0.8</v>
      </c>
      <c r="I36">
        <v>0</v>
      </c>
      <c r="J36">
        <v>0</v>
      </c>
      <c r="K36">
        <v>0.8</v>
      </c>
      <c r="L36">
        <v>0.8</v>
      </c>
      <c r="M36">
        <v>0.8</v>
      </c>
      <c r="N36">
        <v>0</v>
      </c>
      <c r="O36">
        <v>0.8</v>
      </c>
      <c r="P36">
        <v>0</v>
      </c>
    </row>
    <row r="37" spans="1:16" x14ac:dyDescent="0.15">
      <c r="A37">
        <v>36</v>
      </c>
      <c r="B37" s="195" t="s">
        <v>228</v>
      </c>
      <c r="C37">
        <v>0.8</v>
      </c>
      <c r="D37">
        <v>0.8</v>
      </c>
      <c r="E37">
        <v>0.8</v>
      </c>
      <c r="F37">
        <v>0.8</v>
      </c>
      <c r="G37">
        <v>0.8</v>
      </c>
      <c r="H37">
        <v>0</v>
      </c>
      <c r="I37">
        <v>0.8</v>
      </c>
      <c r="J37">
        <v>0.8</v>
      </c>
      <c r="K37">
        <v>0.8</v>
      </c>
      <c r="L37">
        <v>0.8</v>
      </c>
      <c r="M37">
        <v>0.8</v>
      </c>
      <c r="N37">
        <v>0</v>
      </c>
      <c r="O37">
        <v>0</v>
      </c>
      <c r="P37">
        <v>0</v>
      </c>
    </row>
    <row r="38" spans="1:16" x14ac:dyDescent="0.15">
      <c r="A38">
        <v>37</v>
      </c>
      <c r="B38" s="195" t="s">
        <v>229</v>
      </c>
      <c r="C38">
        <v>0.8</v>
      </c>
      <c r="D38">
        <v>0.8</v>
      </c>
      <c r="E38">
        <v>0.8</v>
      </c>
      <c r="F38">
        <v>0.8</v>
      </c>
      <c r="G38">
        <v>0.8</v>
      </c>
      <c r="H38">
        <v>0.8</v>
      </c>
      <c r="I38">
        <v>0.8</v>
      </c>
      <c r="J38">
        <v>0.8</v>
      </c>
      <c r="K38">
        <v>0.8</v>
      </c>
      <c r="L38">
        <v>0.8</v>
      </c>
      <c r="M38">
        <v>0.8</v>
      </c>
      <c r="N38">
        <v>0</v>
      </c>
      <c r="O38">
        <v>0.8</v>
      </c>
      <c r="P38">
        <v>0</v>
      </c>
    </row>
    <row r="39" spans="1:16" x14ac:dyDescent="0.15">
      <c r="A39">
        <v>38</v>
      </c>
      <c r="B39" s="195" t="s">
        <v>230</v>
      </c>
      <c r="C39">
        <v>0.8</v>
      </c>
      <c r="D39">
        <v>0.8</v>
      </c>
      <c r="E39">
        <v>0</v>
      </c>
      <c r="F39">
        <v>0</v>
      </c>
      <c r="G39">
        <v>0.8</v>
      </c>
      <c r="H39">
        <v>0</v>
      </c>
      <c r="I39">
        <v>0.8</v>
      </c>
      <c r="J39">
        <v>0.8</v>
      </c>
      <c r="K39">
        <v>0.8</v>
      </c>
      <c r="L39">
        <v>0</v>
      </c>
      <c r="M39">
        <v>0.8</v>
      </c>
      <c r="N39">
        <v>0</v>
      </c>
      <c r="O39">
        <v>0.8</v>
      </c>
      <c r="P39">
        <v>0</v>
      </c>
    </row>
    <row r="40" spans="1:16" x14ac:dyDescent="0.15">
      <c r="A40">
        <v>39</v>
      </c>
      <c r="B40" s="195" t="s">
        <v>231</v>
      </c>
      <c r="C40">
        <v>0.8</v>
      </c>
      <c r="D40">
        <v>0.8</v>
      </c>
      <c r="E40">
        <v>0.8</v>
      </c>
      <c r="F40">
        <v>0.8</v>
      </c>
      <c r="G40">
        <v>0.8</v>
      </c>
      <c r="H40">
        <v>0.8</v>
      </c>
      <c r="I40">
        <v>0.8</v>
      </c>
      <c r="J40">
        <v>0.8</v>
      </c>
      <c r="K40">
        <v>0.8</v>
      </c>
      <c r="L40">
        <v>0</v>
      </c>
      <c r="M40">
        <v>0.8</v>
      </c>
      <c r="N40">
        <v>0</v>
      </c>
      <c r="O40">
        <v>0.8</v>
      </c>
      <c r="P40">
        <v>0</v>
      </c>
    </row>
    <row r="41" spans="1:16" x14ac:dyDescent="0.15">
      <c r="A41">
        <v>40</v>
      </c>
      <c r="B41" s="195" t="s">
        <v>232</v>
      </c>
      <c r="C41">
        <v>0.8</v>
      </c>
      <c r="D41">
        <v>0.8</v>
      </c>
      <c r="E41">
        <v>0.8</v>
      </c>
      <c r="F41">
        <v>0.8</v>
      </c>
      <c r="G41">
        <v>0.8</v>
      </c>
      <c r="H41">
        <v>0.8</v>
      </c>
      <c r="I41">
        <v>0.8</v>
      </c>
      <c r="J41">
        <v>0.8</v>
      </c>
      <c r="K41">
        <v>0.8</v>
      </c>
      <c r="L41">
        <v>0.8</v>
      </c>
      <c r="M41">
        <v>0.8</v>
      </c>
      <c r="N41">
        <v>0</v>
      </c>
      <c r="O41">
        <v>0.8</v>
      </c>
      <c r="P41">
        <v>0</v>
      </c>
    </row>
    <row r="42" spans="1:16" x14ac:dyDescent="0.15">
      <c r="A42">
        <v>41</v>
      </c>
      <c r="B42" s="195" t="s">
        <v>233</v>
      </c>
      <c r="C42">
        <v>0.8</v>
      </c>
      <c r="D42">
        <v>0.8</v>
      </c>
      <c r="E42">
        <v>0.8</v>
      </c>
      <c r="F42">
        <v>0.8</v>
      </c>
      <c r="G42">
        <v>0.8</v>
      </c>
      <c r="H42">
        <v>0.8</v>
      </c>
      <c r="I42">
        <v>0.8</v>
      </c>
      <c r="J42">
        <v>0.8</v>
      </c>
      <c r="K42">
        <v>0.8</v>
      </c>
      <c r="L42">
        <v>0.8</v>
      </c>
      <c r="M42">
        <v>0.8</v>
      </c>
      <c r="N42">
        <v>0</v>
      </c>
      <c r="O42">
        <v>0.8</v>
      </c>
      <c r="P42">
        <v>0</v>
      </c>
    </row>
    <row r="43" spans="1:16" x14ac:dyDescent="0.15">
      <c r="A43">
        <v>42</v>
      </c>
      <c r="B43" s="195" t="s">
        <v>234</v>
      </c>
      <c r="C43">
        <v>0.8</v>
      </c>
      <c r="D43">
        <v>0.8</v>
      </c>
      <c r="E43">
        <v>0.8</v>
      </c>
      <c r="F43">
        <v>0.8</v>
      </c>
      <c r="G43">
        <v>0.8</v>
      </c>
      <c r="H43">
        <v>0.8</v>
      </c>
      <c r="I43">
        <v>0.8</v>
      </c>
      <c r="J43">
        <v>0.8</v>
      </c>
      <c r="K43">
        <v>0.8</v>
      </c>
      <c r="L43">
        <v>0</v>
      </c>
      <c r="M43">
        <v>0.8</v>
      </c>
      <c r="N43">
        <v>0</v>
      </c>
      <c r="O43">
        <v>0.8</v>
      </c>
      <c r="P43">
        <v>0</v>
      </c>
    </row>
    <row r="44" spans="1:16" x14ac:dyDescent="0.15">
      <c r="A44">
        <v>43</v>
      </c>
      <c r="B44" s="195" t="s">
        <v>235</v>
      </c>
      <c r="C44">
        <v>0.8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0.8</v>
      </c>
      <c r="J44">
        <v>0.8</v>
      </c>
      <c r="K44">
        <v>0.8</v>
      </c>
      <c r="L44">
        <v>0.8</v>
      </c>
      <c r="M44">
        <v>0.8</v>
      </c>
      <c r="N44">
        <v>0</v>
      </c>
      <c r="O44">
        <v>0.8</v>
      </c>
      <c r="P44">
        <v>0</v>
      </c>
    </row>
    <row r="45" spans="1:16" x14ac:dyDescent="0.15">
      <c r="A45">
        <v>44</v>
      </c>
      <c r="B45" s="195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0.8</v>
      </c>
      <c r="J45">
        <v>0.8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 x14ac:dyDescent="0.15">
      <c r="A46">
        <v>45</v>
      </c>
      <c r="B46" s="195" t="s">
        <v>237</v>
      </c>
      <c r="C46">
        <v>0.8</v>
      </c>
      <c r="D46">
        <v>0.8</v>
      </c>
      <c r="E46">
        <v>0</v>
      </c>
      <c r="F46">
        <v>0</v>
      </c>
      <c r="G46">
        <v>0.8</v>
      </c>
      <c r="H46">
        <v>0.8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 x14ac:dyDescent="0.15">
      <c r="A47">
        <v>46</v>
      </c>
      <c r="B47" s="195" t="s">
        <v>238</v>
      </c>
      <c r="C47">
        <v>0</v>
      </c>
      <c r="D47">
        <v>0</v>
      </c>
      <c r="E47">
        <v>0</v>
      </c>
      <c r="F47">
        <v>0</v>
      </c>
      <c r="G47">
        <v>0.8</v>
      </c>
      <c r="H47">
        <v>0</v>
      </c>
      <c r="I47">
        <v>0.8</v>
      </c>
      <c r="J47">
        <v>0.8</v>
      </c>
      <c r="K47">
        <v>0</v>
      </c>
      <c r="L47">
        <v>0</v>
      </c>
      <c r="M47">
        <v>0.8</v>
      </c>
      <c r="N47">
        <v>0</v>
      </c>
      <c r="O47">
        <v>0.8</v>
      </c>
      <c r="P47">
        <v>0</v>
      </c>
    </row>
    <row r="48" spans="1:16" x14ac:dyDescent="0.15">
      <c r="A48">
        <v>47</v>
      </c>
      <c r="B48" s="195" t="s">
        <v>239</v>
      </c>
      <c r="C48">
        <v>0</v>
      </c>
      <c r="D48">
        <v>0</v>
      </c>
      <c r="E48">
        <v>0</v>
      </c>
      <c r="F48">
        <v>0</v>
      </c>
      <c r="G48">
        <v>0.8</v>
      </c>
      <c r="H48">
        <v>0</v>
      </c>
      <c r="I48">
        <v>0.8</v>
      </c>
      <c r="J48">
        <v>0.8</v>
      </c>
      <c r="K48">
        <v>0</v>
      </c>
      <c r="L48">
        <v>0</v>
      </c>
      <c r="M48">
        <v>0</v>
      </c>
      <c r="N48">
        <v>0.8</v>
      </c>
      <c r="O48">
        <v>0</v>
      </c>
      <c r="P48">
        <v>0</v>
      </c>
    </row>
    <row r="49" spans="1:16" x14ac:dyDescent="0.15">
      <c r="A49">
        <v>48</v>
      </c>
      <c r="B49" s="195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0.8</v>
      </c>
      <c r="J49">
        <v>0</v>
      </c>
      <c r="K49">
        <v>0.8</v>
      </c>
      <c r="L49">
        <v>0</v>
      </c>
      <c r="M49">
        <v>0</v>
      </c>
      <c r="N49">
        <v>0.8</v>
      </c>
      <c r="O49">
        <v>0</v>
      </c>
      <c r="P49">
        <v>0</v>
      </c>
    </row>
    <row r="50" spans="1:16" x14ac:dyDescent="0.15">
      <c r="A50">
        <v>49</v>
      </c>
      <c r="B50" s="195" t="s">
        <v>241</v>
      </c>
      <c r="C50">
        <v>0</v>
      </c>
      <c r="D50">
        <v>0</v>
      </c>
      <c r="E50">
        <v>0</v>
      </c>
      <c r="F50">
        <v>0</v>
      </c>
      <c r="G50">
        <v>0.8</v>
      </c>
      <c r="H50">
        <v>0.8</v>
      </c>
      <c r="I50">
        <v>0.8</v>
      </c>
      <c r="J50">
        <v>0.8</v>
      </c>
      <c r="K50">
        <v>0.8</v>
      </c>
      <c r="L50">
        <v>0</v>
      </c>
      <c r="M50">
        <v>0</v>
      </c>
      <c r="N50">
        <v>0.8</v>
      </c>
      <c r="O50">
        <v>0.8</v>
      </c>
      <c r="P50">
        <v>0</v>
      </c>
    </row>
    <row r="51" spans="1:16" x14ac:dyDescent="0.15">
      <c r="A51">
        <v>50</v>
      </c>
      <c r="B51" s="195" t="s">
        <v>242</v>
      </c>
      <c r="C51">
        <v>0</v>
      </c>
      <c r="D51">
        <v>0</v>
      </c>
      <c r="E51">
        <v>0</v>
      </c>
      <c r="F51">
        <v>0</v>
      </c>
      <c r="G51">
        <v>0.8</v>
      </c>
      <c r="H51">
        <v>0</v>
      </c>
      <c r="I51">
        <v>0.8</v>
      </c>
      <c r="J51">
        <v>0.8</v>
      </c>
      <c r="K51">
        <v>0</v>
      </c>
      <c r="L51">
        <v>0</v>
      </c>
      <c r="M51">
        <v>0.8</v>
      </c>
      <c r="N51">
        <v>0</v>
      </c>
      <c r="O51">
        <v>0.8</v>
      </c>
      <c r="P51">
        <v>0</v>
      </c>
    </row>
    <row r="52" spans="1:16" x14ac:dyDescent="0.15">
      <c r="A52">
        <v>51</v>
      </c>
      <c r="B52" s="195" t="s">
        <v>243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15">
      <c r="A53">
        <v>52</v>
      </c>
      <c r="B53" s="195" t="s">
        <v>244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0.8</v>
      </c>
      <c r="J53">
        <v>0.8</v>
      </c>
      <c r="K53">
        <v>0</v>
      </c>
      <c r="L53">
        <v>0</v>
      </c>
      <c r="M53">
        <v>0.8</v>
      </c>
      <c r="N53">
        <v>0</v>
      </c>
      <c r="O53">
        <v>0</v>
      </c>
      <c r="P53">
        <v>0</v>
      </c>
    </row>
    <row r="54" spans="1:16" x14ac:dyDescent="0.15">
      <c r="A54">
        <v>53</v>
      </c>
      <c r="B54" s="195" t="s">
        <v>245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0.8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15">
      <c r="A55">
        <v>54</v>
      </c>
      <c r="B55" s="195" t="s">
        <v>246</v>
      </c>
      <c r="C55">
        <v>0</v>
      </c>
      <c r="D55">
        <v>0</v>
      </c>
      <c r="E55">
        <v>0</v>
      </c>
      <c r="F55">
        <v>0</v>
      </c>
      <c r="G55">
        <v>0.8</v>
      </c>
      <c r="H55">
        <v>0</v>
      </c>
      <c r="I55">
        <v>0.8</v>
      </c>
      <c r="J55">
        <v>0</v>
      </c>
      <c r="K55">
        <v>0</v>
      </c>
      <c r="L55">
        <v>0</v>
      </c>
      <c r="M55">
        <v>0.8</v>
      </c>
      <c r="N55">
        <v>0</v>
      </c>
      <c r="O55">
        <v>0</v>
      </c>
      <c r="P55">
        <v>0</v>
      </c>
    </row>
    <row r="56" spans="1:16" x14ac:dyDescent="0.15">
      <c r="A56">
        <v>55</v>
      </c>
      <c r="B56" s="195" t="s">
        <v>247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</row>
    <row r="57" spans="1:16" x14ac:dyDescent="0.15">
      <c r="A57">
        <v>56</v>
      </c>
      <c r="B57" s="195" t="s">
        <v>248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0.8</v>
      </c>
      <c r="J57">
        <v>0.8</v>
      </c>
      <c r="K57">
        <v>0</v>
      </c>
      <c r="L57">
        <v>0</v>
      </c>
      <c r="M57">
        <v>0</v>
      </c>
      <c r="N57">
        <v>0.8</v>
      </c>
      <c r="O57">
        <v>0</v>
      </c>
      <c r="P57">
        <v>0</v>
      </c>
    </row>
    <row r="58" spans="1:16" x14ac:dyDescent="0.15">
      <c r="A58">
        <v>57</v>
      </c>
      <c r="B58" s="195" t="s">
        <v>249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 x14ac:dyDescent="0.15">
      <c r="A59">
        <v>58</v>
      </c>
      <c r="B59" s="195" t="s">
        <v>250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15">
      <c r="A60">
        <v>59</v>
      </c>
      <c r="B60" s="195" t="s">
        <v>251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</row>
    <row r="61" spans="1:16" x14ac:dyDescent="0.15">
      <c r="A61">
        <v>60</v>
      </c>
      <c r="B61" s="195" t="s">
        <v>252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</row>
    <row r="62" spans="1:16" x14ac:dyDescent="0.15">
      <c r="A62">
        <v>61</v>
      </c>
      <c r="B62" s="195" t="s">
        <v>253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15">
      <c r="A63">
        <v>62</v>
      </c>
      <c r="B63" s="195" t="s">
        <v>254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0.8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</row>
    <row r="64" spans="1:16" x14ac:dyDescent="0.15">
      <c r="A64">
        <v>63</v>
      </c>
      <c r="B64" s="195" t="s">
        <v>255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15">
      <c r="A65">
        <v>64</v>
      </c>
      <c r="B65" s="195" t="s">
        <v>256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15">
      <c r="A66">
        <v>65</v>
      </c>
      <c r="B66" s="195" t="s">
        <v>257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15">
      <c r="A67">
        <v>66</v>
      </c>
      <c r="B67" s="195" t="s">
        <v>258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</row>
    <row r="68" spans="1:16" x14ac:dyDescent="0.15">
      <c r="A68">
        <v>67</v>
      </c>
      <c r="B68" s="195" t="s">
        <v>259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15">
      <c r="A69">
        <v>68</v>
      </c>
      <c r="B69" s="195" t="s">
        <v>260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</row>
    <row r="70" spans="1:16" x14ac:dyDescent="0.15">
      <c r="A70">
        <v>69</v>
      </c>
      <c r="B70" s="195" t="s">
        <v>261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15">
      <c r="A71">
        <v>70</v>
      </c>
      <c r="B71" s="195" t="s">
        <v>262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0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9">
        <v>1</v>
      </c>
      <c r="B2" s="149" t="s">
        <v>193</v>
      </c>
      <c r="C2" s="8">
        <v>4.2191481590270996</v>
      </c>
      <c r="D2" s="9">
        <v>1.7000000923871994E-2</v>
      </c>
      <c r="E2" s="9">
        <v>7.9999998211860657E-2</v>
      </c>
      <c r="F2" s="9">
        <v>14.597599983215332</v>
      </c>
      <c r="G2" s="9">
        <v>0.60034787654876709</v>
      </c>
      <c r="H2" s="9">
        <v>5.4803527891635895E-3</v>
      </c>
      <c r="I2">
        <v>0</v>
      </c>
      <c r="J2"/>
    </row>
    <row r="3" spans="1:10" ht="15" customHeight="1" x14ac:dyDescent="0.15">
      <c r="A3" s="150">
        <v>2</v>
      </c>
      <c r="B3" s="150" t="s">
        <v>194</v>
      </c>
      <c r="C3" s="8">
        <v>4.2858161926269531</v>
      </c>
      <c r="D3" s="9">
        <v>4.9939998425543308E-3</v>
      </c>
      <c r="E3" s="9">
        <v>0.30000001192092896</v>
      </c>
      <c r="F3" s="9">
        <v>31</v>
      </c>
      <c r="G3" s="7">
        <v>0</v>
      </c>
      <c r="H3" s="9">
        <v>9.677419438958168E-3</v>
      </c>
      <c r="I3">
        <v>0</v>
      </c>
      <c r="J3"/>
    </row>
    <row r="4" spans="1:10" ht="15" customHeight="1" x14ac:dyDescent="0.15">
      <c r="A4" s="151">
        <v>3</v>
      </c>
      <c r="B4" s="151" t="s">
        <v>195</v>
      </c>
      <c r="C4" s="8">
        <v>4.3719544410705566</v>
      </c>
      <c r="D4" s="9">
        <v>9.0000003576278687E-2</v>
      </c>
      <c r="E4" s="9">
        <v>0.15000000596046448</v>
      </c>
      <c r="F4" s="9">
        <v>3</v>
      </c>
      <c r="G4" s="9">
        <v>0.40001335740089417</v>
      </c>
      <c r="H4" s="9">
        <v>5.000000074505806E-2</v>
      </c>
      <c r="I4">
        <v>4.8572104424238205E-3</v>
      </c>
      <c r="J4"/>
    </row>
    <row r="5" spans="1:10" ht="15" customHeight="1" x14ac:dyDescent="0.15">
      <c r="A5" s="152">
        <v>4</v>
      </c>
      <c r="B5" s="152" t="s">
        <v>196</v>
      </c>
      <c r="C5" s="8">
        <v>4.1464524269104004</v>
      </c>
      <c r="D5" s="9">
        <v>0.10787060111761093</v>
      </c>
      <c r="E5" s="9">
        <v>0.30000001192092896</v>
      </c>
      <c r="F5" s="9">
        <v>4.6517000198364258</v>
      </c>
      <c r="G5" s="9">
        <v>8.9116424322128296E-2</v>
      </c>
      <c r="H5" s="9">
        <v>6.4492553472518921E-2</v>
      </c>
      <c r="I5">
        <v>7.8706018393859267E-4</v>
      </c>
      <c r="J5"/>
    </row>
    <row r="6" spans="1:10" ht="15" customHeight="1" x14ac:dyDescent="0.15">
      <c r="A6" s="153">
        <v>5</v>
      </c>
      <c r="B6" s="153" t="s">
        <v>197</v>
      </c>
      <c r="C6" s="8">
        <v>3.4470992088317871</v>
      </c>
      <c r="D6" s="9">
        <v>0.23899999260902405</v>
      </c>
      <c r="E6" s="9">
        <v>0.5</v>
      </c>
      <c r="F6" s="9">
        <v>6.2143001556396484</v>
      </c>
      <c r="G6" s="9">
        <v>0.76656264066696167</v>
      </c>
      <c r="H6" s="9">
        <v>8.0459579825401306E-2</v>
      </c>
      <c r="I6">
        <v>7.9360539093613625E-3</v>
      </c>
      <c r="J6"/>
    </row>
    <row r="7" spans="1:10" ht="15" customHeight="1" x14ac:dyDescent="0.15">
      <c r="A7" s="154">
        <v>6</v>
      </c>
      <c r="B7" s="154" t="s">
        <v>198</v>
      </c>
      <c r="C7" s="8">
        <v>4.3946280479431152</v>
      </c>
      <c r="D7" s="9">
        <v>4.6460364013910294E-2</v>
      </c>
      <c r="E7" s="9">
        <v>0.34000000357627869</v>
      </c>
      <c r="F7" s="9">
        <v>6.1526999473571777</v>
      </c>
      <c r="G7" s="9">
        <v>0.61755907535552979</v>
      </c>
      <c r="H7" s="9">
        <v>5.5260293185710907E-2</v>
      </c>
      <c r="I7">
        <v>1.7188650090247393E-3</v>
      </c>
      <c r="J7"/>
    </row>
    <row r="8" spans="1:10" ht="15" customHeight="1" x14ac:dyDescent="0.15">
      <c r="A8" s="155">
        <v>7</v>
      </c>
      <c r="B8" s="155" t="s">
        <v>199</v>
      </c>
      <c r="C8" s="8">
        <v>3.4008288383483887</v>
      </c>
      <c r="D8" s="9">
        <v>0.40000000596046448</v>
      </c>
      <c r="E8" s="9">
        <v>1.7359999418258667</v>
      </c>
      <c r="F8" s="9">
        <v>8.7084999084472656</v>
      </c>
      <c r="G8" s="9">
        <v>0.69532948732376099</v>
      </c>
      <c r="H8" s="9">
        <v>0.19934546947479248</v>
      </c>
      <c r="I8">
        <v>2.4433990474790335E-3</v>
      </c>
      <c r="J8"/>
    </row>
    <row r="9" spans="1:10" ht="15" customHeight="1" x14ac:dyDescent="0.15">
      <c r="A9" s="156">
        <v>8</v>
      </c>
      <c r="B9" s="156" t="s">
        <v>200</v>
      </c>
      <c r="C9" s="8">
        <v>4.1165690422058105</v>
      </c>
      <c r="D9" s="9">
        <v>3.6430001258850098E-2</v>
      </c>
      <c r="E9" s="9">
        <v>0.5</v>
      </c>
      <c r="F9" s="9">
        <v>4.0520000457763672</v>
      </c>
      <c r="G9" s="9">
        <v>2.682766318321228E-2</v>
      </c>
      <c r="H9" s="9">
        <v>0.12339585274457932</v>
      </c>
      <c r="I9">
        <v>3.6430015461519361E-4</v>
      </c>
      <c r="J9"/>
    </row>
    <row r="10" spans="1:10" ht="15" customHeight="1" x14ac:dyDescent="0.15">
      <c r="A10" s="157">
        <v>9</v>
      </c>
      <c r="B10" s="157" t="s">
        <v>201</v>
      </c>
      <c r="C10" s="8">
        <v>3.9705555438995361</v>
      </c>
      <c r="D10" s="9">
        <v>4.6159021439962089E-4</v>
      </c>
      <c r="E10" s="9">
        <v>2</v>
      </c>
      <c r="F10" s="9">
        <v>31.683290481567383</v>
      </c>
      <c r="G10" s="9">
        <v>0.18435941636562347</v>
      </c>
      <c r="H10" s="9">
        <v>6.3124753534793854E-2</v>
      </c>
      <c r="I10">
        <v>2.1401438061730005E-6</v>
      </c>
      <c r="J10"/>
    </row>
    <row r="11" spans="1:10" ht="15" customHeight="1" x14ac:dyDescent="0.15">
      <c r="A11" s="158">
        <v>10</v>
      </c>
      <c r="B11" s="158" t="s">
        <v>202</v>
      </c>
      <c r="C11" s="8">
        <v>4.2829809188842773</v>
      </c>
      <c r="D11" s="9">
        <v>7.9714998602867126E-2</v>
      </c>
      <c r="E11" s="9">
        <v>0.40000000596046448</v>
      </c>
      <c r="F11" s="9">
        <v>5.9442000389099121</v>
      </c>
      <c r="G11" s="9">
        <v>0.50372493267059326</v>
      </c>
      <c r="H11" s="9">
        <v>6.7292489111423492E-2</v>
      </c>
      <c r="I11">
        <v>5.5401916615664959E-3</v>
      </c>
      <c r="J11"/>
    </row>
    <row r="12" spans="1:10" ht="15" customHeight="1" x14ac:dyDescent="0.15">
      <c r="A12" s="159">
        <v>11</v>
      </c>
      <c r="B12" s="159" t="s">
        <v>203</v>
      </c>
      <c r="C12" s="8">
        <v>3.8808712959289551</v>
      </c>
      <c r="D12" s="9">
        <v>2.0707803778350353E-3</v>
      </c>
      <c r="E12" s="9">
        <v>2</v>
      </c>
      <c r="F12" s="9">
        <v>27.883085250854492</v>
      </c>
      <c r="G12" s="9">
        <v>0.75343477725982666</v>
      </c>
      <c r="H12" s="9">
        <v>7.1728073060512543E-2</v>
      </c>
      <c r="I12">
        <v>2.91979881694715E-6</v>
      </c>
      <c r="J12"/>
    </row>
    <row r="13" spans="1:10" ht="15" customHeight="1" x14ac:dyDescent="0.15">
      <c r="A13" s="160">
        <v>12</v>
      </c>
      <c r="B13" s="160" t="s">
        <v>204</v>
      </c>
      <c r="C13" s="8">
        <v>4.1174111366271973</v>
      </c>
      <c r="D13" s="9">
        <v>0.17302599549293518</v>
      </c>
      <c r="E13" s="9">
        <v>0.40000000596046448</v>
      </c>
      <c r="F13" s="9">
        <v>6.9984002113342285</v>
      </c>
      <c r="G13" s="9">
        <v>0.51582276821136475</v>
      </c>
      <c r="H13" s="9">
        <v>5.7155922055244446E-2</v>
      </c>
      <c r="I13">
        <v>6.4711729064583778E-3</v>
      </c>
      <c r="J13"/>
    </row>
    <row r="14" spans="1:10" ht="15" customHeight="1" x14ac:dyDescent="0.15">
      <c r="A14" s="161">
        <v>13</v>
      </c>
      <c r="B14" s="161" t="s">
        <v>205</v>
      </c>
      <c r="C14" s="8">
        <v>4.172917366027832</v>
      </c>
      <c r="D14" s="9">
        <v>0.18095700442790985</v>
      </c>
      <c r="E14" s="9">
        <v>0.5</v>
      </c>
      <c r="F14" s="9">
        <v>5.2368001937866211</v>
      </c>
      <c r="G14" s="9">
        <v>0.99569737911224365</v>
      </c>
      <c r="H14" s="9">
        <v>9.5478154718875885E-2</v>
      </c>
      <c r="I14">
        <v>1.8095708219334483E-3</v>
      </c>
      <c r="J14"/>
    </row>
    <row r="15" spans="1:10" ht="15" customHeight="1" x14ac:dyDescent="0.15">
      <c r="A15" s="162">
        <v>14</v>
      </c>
      <c r="B15" s="162" t="s">
        <v>206</v>
      </c>
      <c r="C15" s="8">
        <v>3.89363694190979</v>
      </c>
      <c r="D15" s="9">
        <v>2.2587037528865039E-4</v>
      </c>
      <c r="E15" s="9">
        <v>2</v>
      </c>
      <c r="F15" s="9">
        <v>32.627300262451172</v>
      </c>
      <c r="G15" s="9">
        <v>0.76825964450836182</v>
      </c>
      <c r="H15" s="9">
        <v>6.129835918545723E-2</v>
      </c>
      <c r="I15">
        <v>2.2587030343856895E-6</v>
      </c>
      <c r="J15"/>
    </row>
    <row r="16" spans="1:10" ht="15" customHeight="1" x14ac:dyDescent="0.15">
      <c r="A16" s="163">
        <v>15</v>
      </c>
      <c r="B16" s="163" t="s">
        <v>207</v>
      </c>
      <c r="C16" s="8">
        <v>4.103184700012207</v>
      </c>
      <c r="D16" s="9">
        <v>0.10339999943971634</v>
      </c>
      <c r="E16" s="9">
        <v>0.25</v>
      </c>
      <c r="F16" s="9">
        <v>5.2600002288818359</v>
      </c>
      <c r="G16" s="9">
        <v>0.5019526481628418</v>
      </c>
      <c r="H16" s="9">
        <v>4.7528516501188278E-2</v>
      </c>
      <c r="I16">
        <v>3.9416081272065639E-3</v>
      </c>
      <c r="J16"/>
    </row>
    <row r="17" spans="1:10" ht="15" customHeight="1" x14ac:dyDescent="0.15">
      <c r="A17" s="164">
        <v>16</v>
      </c>
      <c r="B17" s="164" t="s">
        <v>208</v>
      </c>
      <c r="C17" s="8">
        <v>3.7358329296112061</v>
      </c>
      <c r="D17" s="9">
        <v>1.6674000769853592E-2</v>
      </c>
      <c r="E17" s="9">
        <v>0.40000000596046448</v>
      </c>
      <c r="F17" s="9">
        <v>6.2883000373840332</v>
      </c>
      <c r="G17" s="9">
        <v>0.97497391700744629</v>
      </c>
      <c r="H17" s="9">
        <v>6.3610196113586426E-2</v>
      </c>
      <c r="I17">
        <v>1.5006570902187377E-4</v>
      </c>
      <c r="J17"/>
    </row>
    <row r="18" spans="1:10" ht="15" customHeight="1" x14ac:dyDescent="0.15">
      <c r="A18" s="165">
        <v>17</v>
      </c>
      <c r="B18" s="165" t="s">
        <v>209</v>
      </c>
      <c r="C18" s="8">
        <v>3.8473830223083496</v>
      </c>
      <c r="D18" s="9">
        <v>0.24160000681877136</v>
      </c>
      <c r="E18" s="9">
        <v>0.60000002384185791</v>
      </c>
      <c r="F18" s="9">
        <v>5.7740001678466797</v>
      </c>
      <c r="G18" s="9">
        <v>0.14698134362697601</v>
      </c>
      <c r="H18" s="9">
        <v>0.10391409695148468</v>
      </c>
      <c r="I18">
        <v>2.416000934317708E-3</v>
      </c>
      <c r="J18"/>
    </row>
    <row r="19" spans="1:10" ht="15" customHeight="1" x14ac:dyDescent="0.15">
      <c r="A19" s="166">
        <v>18</v>
      </c>
      <c r="B19" s="166" t="s">
        <v>210</v>
      </c>
      <c r="C19" s="8">
        <v>3.538083553314209</v>
      </c>
      <c r="D19" s="9">
        <v>1.0400000028312206E-2</v>
      </c>
      <c r="E19" s="9">
        <v>0.30000001192092896</v>
      </c>
      <c r="F19" s="9">
        <v>3.1396999359130859</v>
      </c>
      <c r="G19" s="9">
        <v>6.3712455332279205E-2</v>
      </c>
      <c r="H19" s="9">
        <v>9.5550537109375E-2</v>
      </c>
      <c r="I19">
        <v>3.7500027247006074E-5</v>
      </c>
      <c r="J19"/>
    </row>
    <row r="20" spans="1:10" ht="15" customHeight="1" x14ac:dyDescent="0.15">
      <c r="A20" s="167">
        <v>19</v>
      </c>
      <c r="B20" s="167" t="s">
        <v>211</v>
      </c>
      <c r="C20" s="8">
        <v>3.8424370288848877</v>
      </c>
      <c r="D20" s="9">
        <v>3.9790826122043654E-5</v>
      </c>
      <c r="E20" s="9">
        <v>6</v>
      </c>
      <c r="F20" s="9">
        <v>84.463829040527344</v>
      </c>
      <c r="G20" s="9">
        <v>0.44635474681854248</v>
      </c>
      <c r="H20" s="9">
        <v>7.103632390499115E-2</v>
      </c>
      <c r="I20">
        <v>0</v>
      </c>
      <c r="J20"/>
    </row>
    <row r="21" spans="1:10" ht="15" customHeight="1" x14ac:dyDescent="0.15">
      <c r="A21" s="168">
        <v>20</v>
      </c>
      <c r="B21" s="168" t="s">
        <v>212</v>
      </c>
      <c r="C21" s="8">
        <v>3.999251127243042</v>
      </c>
      <c r="D21" s="9">
        <v>1.5027339395601302E-4</v>
      </c>
      <c r="E21" s="9">
        <v>0.80000001192092896</v>
      </c>
      <c r="F21" s="9">
        <v>19.381622314453125</v>
      </c>
      <c r="G21" s="9">
        <v>0.35360261797904968</v>
      </c>
      <c r="H21" s="9">
        <v>4.1276216506958008E-2</v>
      </c>
      <c r="I21">
        <v>0</v>
      </c>
      <c r="J21"/>
    </row>
    <row r="22" spans="1:10" ht="15" customHeight="1" x14ac:dyDescent="0.15">
      <c r="A22" s="169">
        <v>21</v>
      </c>
      <c r="B22" s="169" t="s">
        <v>213</v>
      </c>
      <c r="C22" s="8">
        <v>4.1903266906738281</v>
      </c>
      <c r="D22" s="9">
        <v>7.1814000606536865E-2</v>
      </c>
      <c r="E22" s="9">
        <v>7.9999998211860657E-2</v>
      </c>
      <c r="F22" s="9">
        <v>3.1203000545501709</v>
      </c>
      <c r="G22" s="9">
        <v>0.12037071585655212</v>
      </c>
      <c r="H22" s="9">
        <v>2.5638559833168983E-2</v>
      </c>
      <c r="I22">
        <v>6.8664812715724111E-4</v>
      </c>
      <c r="J22"/>
    </row>
    <row r="23" spans="1:10" ht="15" customHeight="1" x14ac:dyDescent="0.15">
      <c r="A23" s="170">
        <v>22</v>
      </c>
      <c r="B23" s="170" t="s">
        <v>214</v>
      </c>
      <c r="C23" s="8">
        <v>4.1361608505249023</v>
      </c>
      <c r="D23" s="9">
        <v>3.1573999673128128E-2</v>
      </c>
      <c r="E23" s="9">
        <v>0.20000000298023224</v>
      </c>
      <c r="F23" s="9">
        <v>4.320000171661377</v>
      </c>
      <c r="G23" s="9">
        <v>0.14275585114955902</v>
      </c>
      <c r="H23" s="9">
        <v>4.6296294778585434E-2</v>
      </c>
      <c r="I23">
        <v>8.5406895959749818E-4</v>
      </c>
      <c r="J23"/>
    </row>
    <row r="24" spans="1:10" ht="15" customHeight="1" x14ac:dyDescent="0.15">
      <c r="A24" s="171">
        <v>23</v>
      </c>
      <c r="B24" s="171" t="s">
        <v>215</v>
      </c>
      <c r="C24" s="8">
        <v>3.8330740928649902</v>
      </c>
      <c r="D24" s="9">
        <v>3.9364414988085628E-4</v>
      </c>
      <c r="E24" s="9">
        <v>3</v>
      </c>
      <c r="F24" s="9">
        <v>29.475807189941406</v>
      </c>
      <c r="G24" s="9">
        <v>0.52447777986526489</v>
      </c>
      <c r="H24" s="9">
        <v>0.10177838057279587</v>
      </c>
      <c r="I24">
        <v>5.6955000218295027E-6</v>
      </c>
      <c r="J24"/>
    </row>
    <row r="25" spans="1:10" ht="15" customHeight="1" x14ac:dyDescent="0.15">
      <c r="A25" s="172">
        <v>24</v>
      </c>
      <c r="B25" s="172" t="s">
        <v>216</v>
      </c>
      <c r="C25" s="8">
        <v>4.0601162910461426</v>
      </c>
      <c r="D25" s="9">
        <v>3.6194503773003817E-3</v>
      </c>
      <c r="E25" s="9">
        <v>0.89999997615814209</v>
      </c>
      <c r="F25" s="9">
        <v>9.65313720703125</v>
      </c>
      <c r="G25" s="9">
        <v>0.14256522059440613</v>
      </c>
      <c r="H25" s="9">
        <v>9.3233935534954071E-2</v>
      </c>
      <c r="I25">
        <v>8.0382604210171849E-5</v>
      </c>
      <c r="J25"/>
    </row>
    <row r="26" spans="1:10" ht="15" customHeight="1" x14ac:dyDescent="0.15">
      <c r="A26" s="173">
        <v>25</v>
      </c>
      <c r="B26" s="173" t="s">
        <v>217</v>
      </c>
      <c r="C26" s="8">
        <v>4.1925702095031738</v>
      </c>
      <c r="D26" s="9">
        <v>0.13459999859333038</v>
      </c>
      <c r="E26" s="9">
        <v>0.15000000596046448</v>
      </c>
      <c r="F26" s="9">
        <v>3.0360000133514404</v>
      </c>
      <c r="G26" s="9">
        <v>0.17510861158370972</v>
      </c>
      <c r="H26" s="9">
        <v>4.9407117068767548E-2</v>
      </c>
      <c r="I26">
        <v>3.5305467899888754E-3</v>
      </c>
      <c r="J26"/>
    </row>
    <row r="27" spans="1:10" ht="15" customHeight="1" x14ac:dyDescent="0.15">
      <c r="A27" s="174">
        <v>26</v>
      </c>
      <c r="B27" s="174" t="s">
        <v>218</v>
      </c>
      <c r="C27" s="8">
        <v>3.6449060440063477</v>
      </c>
      <c r="D27" s="9">
        <v>1.7008626600727439E-3</v>
      </c>
      <c r="E27" s="9">
        <v>2</v>
      </c>
      <c r="F27" s="9">
        <v>22.46259880065918</v>
      </c>
      <c r="G27" s="9">
        <v>0.18146170675754547</v>
      </c>
      <c r="H27" s="9">
        <v>8.9036889374256134E-2</v>
      </c>
      <c r="I27">
        <v>3.6055801047041314E-6</v>
      </c>
      <c r="J27"/>
    </row>
    <row r="28" spans="1:10" ht="15" customHeight="1" x14ac:dyDescent="0.15">
      <c r="A28" s="175">
        <v>27</v>
      </c>
      <c r="B28" s="175" t="s">
        <v>219</v>
      </c>
      <c r="C28" s="8">
        <v>3.8455166816711426</v>
      </c>
      <c r="D28" s="9">
        <v>2.3069024085998535E-2</v>
      </c>
      <c r="E28" s="9">
        <v>0.80000001192092896</v>
      </c>
      <c r="F28" s="9">
        <v>7.9319252967834473</v>
      </c>
      <c r="G28" s="9">
        <v>4.6443898230791092E-2</v>
      </c>
      <c r="H28" s="9">
        <v>0.10085824131965637</v>
      </c>
      <c r="I28">
        <v>2.6771589182317257E-4</v>
      </c>
      <c r="J28"/>
    </row>
    <row r="29" spans="1:10" ht="15" customHeight="1" x14ac:dyDescent="0.15">
      <c r="A29" s="176">
        <v>28</v>
      </c>
      <c r="B29" s="176" t="s">
        <v>220</v>
      </c>
      <c r="C29" s="8">
        <v>4.1321344375610352</v>
      </c>
      <c r="D29" s="9">
        <v>0.3255000114440918</v>
      </c>
      <c r="E29" s="9">
        <v>0.25</v>
      </c>
      <c r="F29" s="9">
        <v>3.0564000606536865</v>
      </c>
      <c r="G29" s="9">
        <v>0.40469607710838318</v>
      </c>
      <c r="H29" s="9">
        <v>8.1795573234558105E-2</v>
      </c>
      <c r="I29">
        <v>3.2927248626947403E-2</v>
      </c>
      <c r="J29"/>
    </row>
    <row r="30" spans="1:10" ht="15" customHeight="1" x14ac:dyDescent="0.15">
      <c r="A30" s="177">
        <v>29</v>
      </c>
      <c r="B30" s="177" t="s">
        <v>221</v>
      </c>
      <c r="C30" s="8">
        <v>3.8018465042114258</v>
      </c>
      <c r="D30" s="9">
        <v>3.2674544490873814E-4</v>
      </c>
      <c r="E30" s="9">
        <v>2</v>
      </c>
      <c r="F30" s="9">
        <v>19.255731582641602</v>
      </c>
      <c r="G30" s="9">
        <v>0.32451444864273071</v>
      </c>
      <c r="H30" s="9">
        <v>0.10386517643928528</v>
      </c>
      <c r="I30">
        <v>4.8400000451920278E-8</v>
      </c>
      <c r="J30"/>
    </row>
    <row r="31" spans="1:10" ht="15" customHeight="1" x14ac:dyDescent="0.15">
      <c r="A31" s="178">
        <v>30</v>
      </c>
      <c r="B31" s="178" t="s">
        <v>222</v>
      </c>
      <c r="C31" s="8">
        <v>4.0623378753662109</v>
      </c>
      <c r="D31" s="9">
        <v>4.65799355879426E-3</v>
      </c>
      <c r="E31" s="9">
        <v>0.80000001192092896</v>
      </c>
      <c r="F31" s="9">
        <v>6.6785454750061035</v>
      </c>
      <c r="G31" s="9">
        <v>0.15823832154273987</v>
      </c>
      <c r="H31" s="9">
        <v>0.11978656053543091</v>
      </c>
      <c r="I31">
        <v>2.4199999870688771E-7</v>
      </c>
      <c r="J31"/>
    </row>
    <row r="32" spans="1:10" ht="15" customHeight="1" x14ac:dyDescent="0.15">
      <c r="A32" s="205">
        <v>31</v>
      </c>
      <c r="B32" s="205" t="s">
        <v>223</v>
      </c>
      <c r="C32" s="8">
        <v>4.1418628692626953</v>
      </c>
      <c r="D32" s="9">
        <v>5.7068001478910446E-2</v>
      </c>
      <c r="E32" s="9">
        <v>0.30000001192092896</v>
      </c>
      <c r="F32" s="9">
        <v>2.5176000595092773</v>
      </c>
      <c r="G32" s="9">
        <v>8.1061802804470062E-2</v>
      </c>
      <c r="H32" s="9">
        <v>0.11916110664606094</v>
      </c>
      <c r="I32">
        <v>1.3829144882038236E-3</v>
      </c>
      <c r="J32"/>
    </row>
    <row r="33" spans="1:10" ht="15" customHeight="1" x14ac:dyDescent="0.15">
      <c r="A33" s="206">
        <v>32</v>
      </c>
      <c r="B33" s="206" t="s">
        <v>224</v>
      </c>
      <c r="C33" s="8">
        <v>4.1120381355285645</v>
      </c>
      <c r="D33" s="9">
        <v>5.2200000733137131E-2</v>
      </c>
      <c r="E33" s="9">
        <v>0.25</v>
      </c>
      <c r="F33" s="9">
        <v>2.9672999382019043</v>
      </c>
      <c r="G33" s="9">
        <v>0.12127998471260071</v>
      </c>
      <c r="H33" s="9">
        <v>8.4251679480075836E-2</v>
      </c>
      <c r="I33">
        <v>9.8839122802019119E-4</v>
      </c>
      <c r="J33"/>
    </row>
    <row r="34" spans="1:10" ht="15" customHeight="1" x14ac:dyDescent="0.15">
      <c r="A34" s="207">
        <v>33</v>
      </c>
      <c r="B34" s="207" t="s">
        <v>225</v>
      </c>
      <c r="C34" s="8">
        <v>4.1784133911132812</v>
      </c>
      <c r="D34" s="9">
        <v>5.2499999292194843E-3</v>
      </c>
      <c r="E34" s="9">
        <v>0.125</v>
      </c>
      <c r="F34" s="9">
        <v>2.5199999809265137</v>
      </c>
      <c r="G34" s="9">
        <v>0.30969828367233276</v>
      </c>
      <c r="H34" s="9">
        <v>4.96031753718853E-2</v>
      </c>
      <c r="I34">
        <v>2.0323949865996838E-4</v>
      </c>
      <c r="J34"/>
    </row>
    <row r="35" spans="1:10" ht="15" customHeight="1" x14ac:dyDescent="0.15">
      <c r="A35" s="208">
        <v>34</v>
      </c>
      <c r="B35" s="208" t="s">
        <v>226</v>
      </c>
      <c r="C35" s="8">
        <v>3.3661262989044189</v>
      </c>
      <c r="D35" s="9">
        <v>1.7829999327659607E-2</v>
      </c>
      <c r="E35" s="9">
        <v>0.5</v>
      </c>
      <c r="F35" s="9">
        <v>5.4953999519348145</v>
      </c>
      <c r="G35" s="9">
        <v>0.28050342202186584</v>
      </c>
      <c r="H35" s="9">
        <v>9.0985186398029327E-2</v>
      </c>
      <c r="I35">
        <v>1.7830001524998806E-5</v>
      </c>
      <c r="J35"/>
    </row>
    <row r="36" spans="1:10" ht="15" customHeight="1" x14ac:dyDescent="0.15">
      <c r="A36" s="209">
        <v>35</v>
      </c>
      <c r="B36" s="209" t="s">
        <v>227</v>
      </c>
      <c r="C36" s="8">
        <v>4.2452392578125</v>
      </c>
      <c r="D36" s="9">
        <v>2.5224000215530396E-2</v>
      </c>
      <c r="E36" s="9">
        <v>0.25</v>
      </c>
      <c r="F36" s="9">
        <v>5.809999942779541</v>
      </c>
      <c r="G36" s="9">
        <v>0.14690978825092316</v>
      </c>
      <c r="H36" s="9">
        <v>4.3029259890317917E-2</v>
      </c>
      <c r="I36">
        <v>2.5223990087397397E-4</v>
      </c>
      <c r="J36"/>
    </row>
    <row r="37" spans="1:10" ht="15" customHeight="1" x14ac:dyDescent="0.15">
      <c r="A37" s="210">
        <v>36</v>
      </c>
      <c r="B37" s="210" t="s">
        <v>228</v>
      </c>
      <c r="C37" s="8">
        <v>3.7581510543823242</v>
      </c>
      <c r="D37" s="9">
        <v>1.9999999552965164E-2</v>
      </c>
      <c r="E37" s="9">
        <v>1</v>
      </c>
      <c r="F37" s="9">
        <v>4.7470998764038086</v>
      </c>
      <c r="G37" s="9">
        <v>0.73653304576873779</v>
      </c>
      <c r="H37" s="9">
        <v>0.21065492928028107</v>
      </c>
      <c r="I37">
        <v>4.5722961658611894E-4</v>
      </c>
      <c r="J37"/>
    </row>
    <row r="38" spans="1:10" ht="15" customHeight="1" x14ac:dyDescent="0.15">
      <c r="A38" s="211">
        <v>37</v>
      </c>
      <c r="B38" s="211" t="s">
        <v>229</v>
      </c>
      <c r="C38" s="8">
        <v>3.5859346389770508</v>
      </c>
      <c r="D38" s="9">
        <v>1.3500000238418579</v>
      </c>
      <c r="E38" s="9">
        <v>1.3200000524520874</v>
      </c>
      <c r="F38" s="9">
        <v>4.8913998603820801</v>
      </c>
      <c r="G38" s="9">
        <v>0.67982292175292969</v>
      </c>
      <c r="H38" s="9">
        <v>0.26986140012741089</v>
      </c>
      <c r="I38">
        <v>9.33802779763937E-3</v>
      </c>
      <c r="J38"/>
    </row>
    <row r="39" spans="1:10" ht="15" customHeight="1" x14ac:dyDescent="0.15">
      <c r="A39" s="212">
        <v>38</v>
      </c>
      <c r="B39" s="212" t="s">
        <v>230</v>
      </c>
      <c r="C39" s="8">
        <v>2.9121713638305664</v>
      </c>
      <c r="D39" s="9">
        <v>0.59399998188018799</v>
      </c>
      <c r="E39" s="9">
        <v>1.9800000190734863</v>
      </c>
      <c r="F39" s="9">
        <v>8.2601003646850586</v>
      </c>
      <c r="G39" s="9">
        <v>0.76027917861938477</v>
      </c>
      <c r="H39" s="9">
        <v>0.23970653116703033</v>
      </c>
      <c r="I39">
        <v>2.7288340788800269E-5</v>
      </c>
      <c r="J39"/>
    </row>
    <row r="40" spans="1:10" ht="15" customHeight="1" x14ac:dyDescent="0.15">
      <c r="A40" s="213">
        <v>39</v>
      </c>
      <c r="B40" s="213" t="s">
        <v>231</v>
      </c>
      <c r="C40" s="8">
        <v>4.130760669708252</v>
      </c>
      <c r="D40" s="9">
        <v>0.20800000429153442</v>
      </c>
      <c r="E40" s="9">
        <v>0.70999997854232788</v>
      </c>
      <c r="F40" s="9">
        <v>4.4004998207092285</v>
      </c>
      <c r="G40" s="9">
        <v>0.69115442037582397</v>
      </c>
      <c r="H40" s="9">
        <v>0.16134530305862427</v>
      </c>
      <c r="I40">
        <v>2.1536778658628464E-2</v>
      </c>
      <c r="J40"/>
    </row>
    <row r="41" spans="1:10" ht="15" customHeight="1" x14ac:dyDescent="0.15">
      <c r="A41" s="214">
        <v>40</v>
      </c>
      <c r="B41" s="214" t="s">
        <v>232</v>
      </c>
      <c r="C41" s="8">
        <v>3.56551194190979</v>
      </c>
      <c r="D41" s="9">
        <v>0.76679998636245728</v>
      </c>
      <c r="E41" s="9">
        <v>0.92000001668930054</v>
      </c>
      <c r="F41" s="9">
        <v>5.6630997657775879</v>
      </c>
      <c r="G41" s="9">
        <v>0.73838520050048828</v>
      </c>
      <c r="H41" s="9">
        <v>0.16245520114898682</v>
      </c>
      <c r="I41">
        <v>3.0020406469702721E-2</v>
      </c>
      <c r="J41"/>
    </row>
    <row r="42" spans="1:10" ht="15" customHeight="1" x14ac:dyDescent="0.15">
      <c r="A42" s="215">
        <v>41</v>
      </c>
      <c r="B42" s="215" t="s">
        <v>233</v>
      </c>
      <c r="C42" s="8">
        <v>3.4304502010345459</v>
      </c>
      <c r="D42" s="9">
        <v>0.76800000667572021</v>
      </c>
      <c r="E42" s="9">
        <v>1.7599999904632568</v>
      </c>
      <c r="F42" s="9">
        <v>7.6076998710632324</v>
      </c>
      <c r="G42" s="9">
        <v>0.92815101146697998</v>
      </c>
      <c r="H42" s="9">
        <v>0.2313445657491684</v>
      </c>
      <c r="I42">
        <v>4.65736398473382E-3</v>
      </c>
      <c r="J42"/>
    </row>
    <row r="43" spans="1:10" ht="15" customHeight="1" x14ac:dyDescent="0.15">
      <c r="A43" s="216">
        <v>42</v>
      </c>
      <c r="B43" s="216" t="s">
        <v>234</v>
      </c>
      <c r="C43" s="8">
        <v>2.9255073070526123</v>
      </c>
      <c r="D43" s="9">
        <v>0.93333333730697632</v>
      </c>
      <c r="E43" s="9">
        <v>1.9800000190734863</v>
      </c>
      <c r="F43" s="9">
        <v>10.391599655151367</v>
      </c>
      <c r="G43" s="9">
        <v>0.98271995782852173</v>
      </c>
      <c r="H43" s="9">
        <v>0.19053852558135986</v>
      </c>
      <c r="I43">
        <v>7.3274662718176842E-3</v>
      </c>
      <c r="J43"/>
    </row>
    <row r="44" spans="1:10" ht="15" customHeight="1" x14ac:dyDescent="0.15">
      <c r="A44" s="217">
        <v>43</v>
      </c>
      <c r="B44" s="217" t="s">
        <v>235</v>
      </c>
      <c r="C44" s="8">
        <v>3.1143753528594971</v>
      </c>
      <c r="D44" s="9">
        <v>1.7000000476837158</v>
      </c>
      <c r="E44" s="9">
        <v>2.309999942779541</v>
      </c>
      <c r="F44" s="9">
        <v>10.620699882507324</v>
      </c>
      <c r="G44" s="9">
        <v>0.75177288055419922</v>
      </c>
      <c r="H44" s="9">
        <v>0.21749979257583618</v>
      </c>
      <c r="I44">
        <v>3.391718864440918E-2</v>
      </c>
      <c r="J44"/>
    </row>
    <row r="45" spans="1:10" ht="15" customHeight="1" x14ac:dyDescent="0.15">
      <c r="A45" s="218">
        <v>44</v>
      </c>
      <c r="B45" s="218" t="s">
        <v>236</v>
      </c>
      <c r="C45" s="8">
        <v>2.8254518508911133</v>
      </c>
      <c r="D45" s="9">
        <v>0.77765697240829468</v>
      </c>
      <c r="E45" s="9">
        <v>2.6700000762939453</v>
      </c>
      <c r="F45" s="9">
        <v>13.811599731445312</v>
      </c>
      <c r="G45" s="9">
        <v>0.94999998807907104</v>
      </c>
      <c r="H45" s="9">
        <v>0.1933157742023468</v>
      </c>
      <c r="I45">
        <v>9.9353397672530264E-5</v>
      </c>
      <c r="J45"/>
    </row>
    <row r="46" spans="1:10" ht="15" customHeight="1" x14ac:dyDescent="0.15">
      <c r="A46" s="219">
        <v>45</v>
      </c>
      <c r="B46" s="219" t="s">
        <v>237</v>
      </c>
      <c r="C46" s="8">
        <v>2.0638084411621094</v>
      </c>
      <c r="D46" s="9">
        <v>0.1867000013589859</v>
      </c>
      <c r="E46" s="9">
        <v>1.2000000476837158</v>
      </c>
      <c r="F46" s="9">
        <v>11.029999732971191</v>
      </c>
      <c r="G46" s="9">
        <v>0.72139126062393188</v>
      </c>
      <c r="H46" s="9">
        <v>0.108794204890728</v>
      </c>
      <c r="I46">
        <v>7.9103000462055206E-2</v>
      </c>
      <c r="J46"/>
    </row>
    <row r="47" spans="1:10" ht="15" customHeight="1" x14ac:dyDescent="0.15">
      <c r="A47" s="220">
        <v>46</v>
      </c>
      <c r="B47" s="220" t="s">
        <v>238</v>
      </c>
      <c r="C47" s="8">
        <v>3.2711613178253174</v>
      </c>
      <c r="D47" s="9">
        <v>0.32039999961853027</v>
      </c>
      <c r="E47" s="9">
        <v>2.6730000972747803</v>
      </c>
      <c r="F47" s="9">
        <v>16.643999099731445</v>
      </c>
      <c r="G47" s="9">
        <v>0.93353849649429321</v>
      </c>
      <c r="H47" s="9">
        <v>0.16059842705726624</v>
      </c>
      <c r="I47">
        <v>1.1815834295703098E-4</v>
      </c>
      <c r="J47"/>
    </row>
    <row r="48" spans="1:10" ht="15" customHeight="1" x14ac:dyDescent="0.15">
      <c r="A48" s="221">
        <v>47</v>
      </c>
      <c r="B48" s="221" t="s">
        <v>239</v>
      </c>
      <c r="C48" s="8">
        <v>2.8460025787353516</v>
      </c>
      <c r="D48" s="9">
        <v>0.68300002813339233</v>
      </c>
      <c r="E48" s="9">
        <v>3.6600000858306885</v>
      </c>
      <c r="F48" s="9">
        <v>19.200000762939453</v>
      </c>
      <c r="G48" s="9">
        <v>0.58975327014923096</v>
      </c>
      <c r="H48" s="9">
        <v>0.19062499701976776</v>
      </c>
      <c r="I48">
        <v>2.0739220082759857E-2</v>
      </c>
      <c r="J48"/>
    </row>
    <row r="49" spans="1:10" ht="15" customHeight="1" x14ac:dyDescent="0.15">
      <c r="A49" s="222">
        <v>48</v>
      </c>
      <c r="B49" s="222" t="s">
        <v>240</v>
      </c>
      <c r="C49" s="8">
        <v>3.3237705230712891</v>
      </c>
      <c r="D49" s="9">
        <v>7.0000000298023224E-2</v>
      </c>
      <c r="E49" s="9">
        <v>0.89999997615814209</v>
      </c>
      <c r="F49" s="9">
        <v>8.1999998092651367</v>
      </c>
      <c r="G49" s="9">
        <v>0.3264654278755188</v>
      </c>
      <c r="H49" s="9">
        <v>0.10975609719753265</v>
      </c>
      <c r="I49">
        <v>3.9742630906403065E-3</v>
      </c>
      <c r="J49"/>
    </row>
    <row r="50" spans="1:10" ht="15" customHeight="1" x14ac:dyDescent="0.15">
      <c r="A50" s="223">
        <v>49</v>
      </c>
      <c r="B50" s="223" t="s">
        <v>241</v>
      </c>
      <c r="C50" s="8">
        <v>3.2829265594482422</v>
      </c>
      <c r="D50" s="9">
        <v>0.88999998569488525</v>
      </c>
      <c r="E50" s="9">
        <v>1.690000057220459</v>
      </c>
      <c r="F50" s="9">
        <v>9.3500003814697266</v>
      </c>
      <c r="G50" s="9">
        <v>0.84171491861343384</v>
      </c>
      <c r="H50" s="9">
        <v>0.18074865639209747</v>
      </c>
      <c r="I50">
        <v>2.0547695457935333E-2</v>
      </c>
      <c r="J50"/>
    </row>
    <row r="51" spans="1:10" ht="15" customHeight="1" x14ac:dyDescent="0.15">
      <c r="A51" s="224">
        <v>50</v>
      </c>
      <c r="B51" s="224" t="s">
        <v>242</v>
      </c>
      <c r="C51" s="8">
        <v>3.3132901191711426</v>
      </c>
      <c r="D51" s="9">
        <v>0.12753072381019592</v>
      </c>
      <c r="E51" s="9">
        <v>3.0999999046325684</v>
      </c>
      <c r="F51" s="9">
        <v>11.972000122070312</v>
      </c>
      <c r="G51" s="9">
        <v>0.90000003576278687</v>
      </c>
      <c r="H51" s="9">
        <v>0.25893750786781311</v>
      </c>
      <c r="I51">
        <v>2.4249100533779711E-5</v>
      </c>
      <c r="J51"/>
    </row>
    <row r="52" spans="1:10" ht="15" customHeight="1" x14ac:dyDescent="0.15">
      <c r="A52" s="225">
        <v>51</v>
      </c>
      <c r="B52" s="225" t="s">
        <v>243</v>
      </c>
      <c r="C52" s="8">
        <v>3.2192351818084717</v>
      </c>
      <c r="D52" s="9">
        <v>0.99400001764297485</v>
      </c>
      <c r="E52" s="9">
        <v>1.5</v>
      </c>
      <c r="F52" s="9">
        <v>11.14799976348877</v>
      </c>
      <c r="G52" s="9">
        <v>0.76001274585723877</v>
      </c>
      <c r="H52" s="9">
        <v>0.13455328345298767</v>
      </c>
      <c r="I52">
        <v>0</v>
      </c>
      <c r="J52"/>
    </row>
    <row r="53" spans="1:10" ht="15" customHeight="1" x14ac:dyDescent="0.15">
      <c r="A53" s="226">
        <v>52</v>
      </c>
      <c r="B53" s="226" t="s">
        <v>244</v>
      </c>
      <c r="C53" s="8">
        <v>2.5327279567718506</v>
      </c>
      <c r="D53" s="9">
        <v>19.246000289916992</v>
      </c>
      <c r="E53" s="9">
        <v>2.5968000888824463</v>
      </c>
      <c r="F53" s="9">
        <v>9.8859996795654297</v>
      </c>
      <c r="G53" s="9">
        <v>0.19710417091846466</v>
      </c>
      <c r="H53" s="9">
        <v>0.26267451047897339</v>
      </c>
      <c r="I53">
        <v>3.2532999757677317E-3</v>
      </c>
      <c r="J53"/>
    </row>
    <row r="54" spans="1:10" ht="15" customHeight="1" x14ac:dyDescent="0.15">
      <c r="A54" s="227">
        <v>53</v>
      </c>
      <c r="B54" s="227" t="s">
        <v>245</v>
      </c>
      <c r="C54" s="8">
        <v>2.1010181903839111</v>
      </c>
      <c r="D54" s="9">
        <v>48.597999572753906</v>
      </c>
      <c r="E54" s="9">
        <v>5.3498001098632812</v>
      </c>
      <c r="F54" s="9">
        <v>16.899999618530273</v>
      </c>
      <c r="G54" s="9">
        <v>0.12896433472633362</v>
      </c>
      <c r="H54" s="9">
        <v>0.31655621528625488</v>
      </c>
      <c r="I54">
        <v>8.8099995991797186E-6</v>
      </c>
      <c r="J54"/>
    </row>
    <row r="55" spans="1:10" ht="15" customHeight="1" x14ac:dyDescent="0.15">
      <c r="A55" s="228">
        <v>54</v>
      </c>
      <c r="B55" s="228" t="s">
        <v>246</v>
      </c>
      <c r="C55" s="8">
        <v>2.1161453723907471</v>
      </c>
      <c r="D55" s="9">
        <v>21.899999618530273</v>
      </c>
      <c r="E55" s="9">
        <v>1.6207000017166138</v>
      </c>
      <c r="F55" s="9">
        <v>9</v>
      </c>
      <c r="G55" s="9">
        <v>0.78552776575088501</v>
      </c>
      <c r="H55" s="9">
        <v>0.18007777631282806</v>
      </c>
      <c r="I55">
        <v>6.2179997257771902E-6</v>
      </c>
      <c r="J55"/>
    </row>
    <row r="56" spans="1:10" ht="15" customHeight="1" x14ac:dyDescent="0.15">
      <c r="A56" s="229">
        <v>55</v>
      </c>
      <c r="B56" s="229" t="s">
        <v>247</v>
      </c>
      <c r="C56" s="8">
        <v>2.2923016548156738</v>
      </c>
      <c r="D56" s="9">
        <v>19.031999588012695</v>
      </c>
      <c r="E56" s="9">
        <v>4.0234999656677246</v>
      </c>
      <c r="F56" s="9">
        <v>24.200000762939453</v>
      </c>
      <c r="G56" s="9">
        <v>0.49751007556915283</v>
      </c>
      <c r="H56" s="9">
        <v>0.16626031696796417</v>
      </c>
      <c r="I56">
        <v>0</v>
      </c>
      <c r="J56"/>
    </row>
    <row r="57" spans="1:10" ht="15" customHeight="1" x14ac:dyDescent="0.15">
      <c r="A57" s="230">
        <v>56</v>
      </c>
      <c r="B57" s="230" t="s">
        <v>248</v>
      </c>
      <c r="C57" s="8">
        <v>2.3362658023834229</v>
      </c>
      <c r="D57" s="9">
        <v>12.406999588012695</v>
      </c>
      <c r="E57" s="9">
        <v>4.762700080871582</v>
      </c>
      <c r="F57" s="9">
        <v>27.139999389648438</v>
      </c>
      <c r="G57" s="9">
        <v>0.56350642442703247</v>
      </c>
      <c r="H57" s="9">
        <v>0.17548637092113495</v>
      </c>
      <c r="I57">
        <v>1.4877801295369864E-3</v>
      </c>
      <c r="J57"/>
    </row>
    <row r="58" spans="1:10" ht="15" customHeight="1" x14ac:dyDescent="0.15">
      <c r="A58" s="231">
        <v>57</v>
      </c>
      <c r="B58" s="231" t="s">
        <v>249</v>
      </c>
      <c r="C58" s="8">
        <v>2.1601600646972656</v>
      </c>
      <c r="D58" s="9">
        <v>13</v>
      </c>
      <c r="E58" s="9">
        <v>6.2030000686645508</v>
      </c>
      <c r="F58" s="9">
        <v>25</v>
      </c>
      <c r="G58" s="9">
        <v>0.96223253011703491</v>
      </c>
      <c r="H58" s="9">
        <v>0.2481200098991394</v>
      </c>
      <c r="I58">
        <v>0</v>
      </c>
      <c r="J58"/>
    </row>
    <row r="59" spans="1:10" ht="15" customHeight="1" x14ac:dyDescent="0.15">
      <c r="A59" s="232">
        <v>58</v>
      </c>
      <c r="B59" s="232" t="s">
        <v>250</v>
      </c>
      <c r="C59" s="8">
        <v>2.1111109256744385</v>
      </c>
      <c r="D59" s="9">
        <v>8.3000001907348633</v>
      </c>
      <c r="E59" s="9">
        <v>10.600000381469727</v>
      </c>
      <c r="F59" s="9">
        <v>57.669998168945312</v>
      </c>
      <c r="G59" s="9">
        <v>0.89390802383422852</v>
      </c>
      <c r="H59" s="9">
        <v>0.18380442261695862</v>
      </c>
      <c r="I59">
        <v>0</v>
      </c>
      <c r="J59"/>
    </row>
    <row r="60" spans="1:10" ht="15" customHeight="1" x14ac:dyDescent="0.15">
      <c r="A60" s="233">
        <v>59</v>
      </c>
      <c r="B60" s="233" t="s">
        <v>251</v>
      </c>
      <c r="C60" s="8">
        <v>2.3028936386108398</v>
      </c>
      <c r="D60" s="9">
        <v>6.6999998092651367</v>
      </c>
      <c r="E60" s="9">
        <v>10.600000381469727</v>
      </c>
      <c r="F60" s="9">
        <v>57.669998168945312</v>
      </c>
      <c r="G60" s="9">
        <v>0.96552479267120361</v>
      </c>
      <c r="H60" s="9">
        <v>0.18380442261695862</v>
      </c>
      <c r="I60">
        <v>0</v>
      </c>
      <c r="J60"/>
    </row>
    <row r="61" spans="1:10" ht="15" customHeight="1" x14ac:dyDescent="0.15">
      <c r="A61" s="234">
        <v>60</v>
      </c>
      <c r="B61" s="234" t="s">
        <v>252</v>
      </c>
      <c r="C61" s="8">
        <v>3.1225380897521973</v>
      </c>
      <c r="D61" s="9">
        <v>10.800000190734863</v>
      </c>
      <c r="E61" s="9">
        <v>8.6999998092651367</v>
      </c>
      <c r="F61" s="9">
        <v>34.799999237060547</v>
      </c>
      <c r="G61" s="9">
        <v>0.70122849941253662</v>
      </c>
      <c r="H61" s="9">
        <v>0.25</v>
      </c>
      <c r="I61">
        <v>0</v>
      </c>
      <c r="J61"/>
    </row>
    <row r="62" spans="1:10" ht="15" customHeight="1" x14ac:dyDescent="0.15">
      <c r="A62" s="235">
        <v>61</v>
      </c>
      <c r="B62" s="235" t="s">
        <v>253</v>
      </c>
      <c r="C62" s="8">
        <v>2.6901595592498779</v>
      </c>
      <c r="D62" s="9">
        <v>0.18999999761581421</v>
      </c>
      <c r="E62" s="9">
        <v>50.450000762939453</v>
      </c>
      <c r="F62" s="9">
        <v>132.1300048828125</v>
      </c>
      <c r="G62" s="9">
        <v>0.95410102605819702</v>
      </c>
      <c r="H62" s="9">
        <v>0.3818209171295166</v>
      </c>
      <c r="I62">
        <v>0</v>
      </c>
      <c r="J62"/>
    </row>
    <row r="63" spans="1:10" ht="15" customHeight="1" x14ac:dyDescent="0.15">
      <c r="A63" s="236">
        <v>62</v>
      </c>
      <c r="B63" s="236" t="s">
        <v>254</v>
      </c>
      <c r="C63" s="8">
        <v>3.3407647609710693</v>
      </c>
      <c r="D63" s="9">
        <v>0.22100000083446503</v>
      </c>
      <c r="E63" s="9">
        <v>20.075000762939453</v>
      </c>
      <c r="F63" s="9">
        <v>80</v>
      </c>
      <c r="G63" s="9">
        <v>5.2872709929943085E-2</v>
      </c>
      <c r="H63" s="9">
        <v>0.25093752145767212</v>
      </c>
      <c r="I63">
        <v>1.4400000218302011E-3</v>
      </c>
      <c r="J63"/>
    </row>
    <row r="64" spans="1:10" ht="15" customHeight="1" x14ac:dyDescent="0.15">
      <c r="A64" s="237">
        <v>63</v>
      </c>
      <c r="B64" s="237" t="s">
        <v>255</v>
      </c>
      <c r="C64" s="8">
        <v>2</v>
      </c>
      <c r="D64" s="9">
        <v>60</v>
      </c>
      <c r="E64" s="9">
        <v>100</v>
      </c>
      <c r="F64" s="9">
        <v>200</v>
      </c>
      <c r="G64" s="9">
        <v>0.1077539399266243</v>
      </c>
      <c r="H64" s="9">
        <v>0.5</v>
      </c>
      <c r="I64">
        <v>0</v>
      </c>
      <c r="J64"/>
    </row>
    <row r="65" spans="1:10" ht="15" customHeight="1" x14ac:dyDescent="0.15">
      <c r="A65" s="238">
        <v>64</v>
      </c>
      <c r="B65" s="238" t="s">
        <v>256</v>
      </c>
      <c r="C65" s="8">
        <v>1</v>
      </c>
      <c r="D65" s="9">
        <v>36.049999237060547</v>
      </c>
      <c r="E65" s="9">
        <v>4</v>
      </c>
      <c r="F65" s="10"/>
      <c r="G65" s="9">
        <v>0.64744412899017334</v>
      </c>
      <c r="H65" s="10"/>
      <c r="I65">
        <v>0</v>
      </c>
      <c r="J65"/>
    </row>
    <row r="66" spans="1:10" ht="15" customHeight="1" x14ac:dyDescent="0.15">
      <c r="A66" s="239">
        <v>65</v>
      </c>
      <c r="B66" s="239" t="s">
        <v>257</v>
      </c>
      <c r="C66" s="8">
        <v>1</v>
      </c>
      <c r="D66" s="9">
        <v>29.780000686645508</v>
      </c>
      <c r="E66" s="9">
        <v>23.729999542236328</v>
      </c>
      <c r="F66" s="10"/>
      <c r="G66" s="9">
        <v>0.71534836292266846</v>
      </c>
      <c r="H66" s="10"/>
      <c r="I66">
        <v>0</v>
      </c>
      <c r="J66"/>
    </row>
    <row r="67" spans="1:10" ht="15" customHeight="1" x14ac:dyDescent="0.15">
      <c r="A67" s="240">
        <v>66</v>
      </c>
      <c r="B67" s="240" t="s">
        <v>258</v>
      </c>
      <c r="C67" s="8">
        <v>1</v>
      </c>
      <c r="D67" s="9">
        <v>13.130000114440918</v>
      </c>
      <c r="E67" s="9">
        <v>182.1300048828125</v>
      </c>
      <c r="F67" s="10"/>
      <c r="G67" s="9">
        <v>0.40890389680862427</v>
      </c>
      <c r="H67" s="10"/>
      <c r="I67">
        <v>0</v>
      </c>
      <c r="J67"/>
    </row>
    <row r="68" spans="1:10" ht="15" customHeight="1" x14ac:dyDescent="0.15">
      <c r="A68" s="241">
        <v>67</v>
      </c>
      <c r="B68" s="241" t="s">
        <v>259</v>
      </c>
      <c r="C68" s="8">
        <v>1</v>
      </c>
      <c r="D68" s="9">
        <v>175.6199951171875</v>
      </c>
      <c r="E68" s="9">
        <v>9</v>
      </c>
      <c r="F68" s="10"/>
      <c r="G68" s="9">
        <v>1.6676289960741997E-2</v>
      </c>
      <c r="H68" s="10"/>
      <c r="I68">
        <v>0</v>
      </c>
      <c r="J68"/>
    </row>
    <row r="69" spans="1:10" ht="15" customHeight="1" x14ac:dyDescent="0.15">
      <c r="A69" s="242">
        <v>68</v>
      </c>
      <c r="B69" s="242" t="s">
        <v>260</v>
      </c>
      <c r="C69" s="8">
        <v>1</v>
      </c>
      <c r="D69" s="9">
        <v>125</v>
      </c>
      <c r="E69" s="10"/>
      <c r="F69" s="10"/>
      <c r="G69" s="9">
        <v>0.93174928426742554</v>
      </c>
      <c r="H69" s="10"/>
      <c r="I69">
        <v>0</v>
      </c>
      <c r="J69"/>
    </row>
    <row r="70" spans="1:10" ht="15" customHeight="1" x14ac:dyDescent="0.15">
      <c r="A70" s="243">
        <v>69</v>
      </c>
      <c r="B70" s="243" t="s">
        <v>261</v>
      </c>
      <c r="C70" s="8">
        <v>1</v>
      </c>
      <c r="D70" s="9">
        <v>350</v>
      </c>
      <c r="E70" s="10"/>
      <c r="F70" s="10"/>
      <c r="G70" s="9">
        <v>0.96102970838546753</v>
      </c>
      <c r="H70" s="10"/>
      <c r="I70">
        <v>0</v>
      </c>
      <c r="J70"/>
    </row>
    <row r="71" spans="1:10" ht="15" customHeight="1" x14ac:dyDescent="0.15">
      <c r="A71" s="244">
        <v>70</v>
      </c>
      <c r="B71" s="244" t="s">
        <v>262</v>
      </c>
      <c r="C71" s="8">
        <v>1</v>
      </c>
      <c r="D71" s="9">
        <v>1.0000000474974513E-3</v>
      </c>
      <c r="E71" s="10"/>
      <c r="F71" s="10"/>
      <c r="G71" s="7">
        <v>0.937633216381073</v>
      </c>
      <c r="H71" s="10"/>
      <c r="I71">
        <v>0</v>
      </c>
      <c r="J71"/>
    </row>
    <row r="72" spans="1:10" ht="15" customHeight="1" x14ac:dyDescent="0.15">
      <c r="A72" s="245">
        <v>71</v>
      </c>
      <c r="B72" s="245" t="s">
        <v>263</v>
      </c>
      <c r="C72" s="8">
        <v>1</v>
      </c>
      <c r="D72" s="10"/>
      <c r="E72" s="10"/>
      <c r="F72" s="10"/>
      <c r="G72" s="7">
        <v>0</v>
      </c>
      <c r="H72" s="10"/>
      <c r="I72">
        <v>0</v>
      </c>
      <c r="J72"/>
    </row>
    <row r="73" spans="1:10" ht="15" customHeight="1" x14ac:dyDescent="0.15">
      <c r="A73" s="246">
        <v>72</v>
      </c>
      <c r="B73" s="246" t="s">
        <v>264</v>
      </c>
      <c r="C73" s="8">
        <v>4.5703921318054199</v>
      </c>
      <c r="D73" s="10"/>
      <c r="E73" s="10"/>
      <c r="F73" s="10"/>
      <c r="G73" s="10"/>
      <c r="H73" s="10"/>
      <c r="I73">
        <v>1.7734726890921593E-2</v>
      </c>
      <c r="J73"/>
    </row>
    <row r="74" spans="1:10" ht="15" customHeight="1" x14ac:dyDescent="0.15">
      <c r="A74" s="247">
        <v>73</v>
      </c>
      <c r="B74" s="247" t="s">
        <v>265</v>
      </c>
      <c r="C74" s="8">
        <v>4.7331523895263672</v>
      </c>
      <c r="D74" s="10"/>
      <c r="E74" s="10"/>
      <c r="F74" s="10"/>
      <c r="G74" s="10"/>
      <c r="H74" s="10"/>
      <c r="I74">
        <v>6.6839344799518585E-2</v>
      </c>
      <c r="J74"/>
    </row>
    <row r="75" spans="1:10" ht="15" customHeight="1" x14ac:dyDescent="0.15">
      <c r="A75" s="248">
        <v>74</v>
      </c>
      <c r="B75" s="248" t="s">
        <v>266</v>
      </c>
      <c r="C75" s="8">
        <v>4.9048762321472168</v>
      </c>
      <c r="D75" s="10"/>
      <c r="E75" s="10"/>
      <c r="F75" s="10"/>
      <c r="G75" s="10"/>
      <c r="H75" s="10"/>
      <c r="I75">
        <v>6.3849445432424545E-3</v>
      </c>
      <c r="J75"/>
    </row>
    <row r="76" spans="1:10" ht="15" customHeight="1" x14ac:dyDescent="0.15">
      <c r="A76" s="249">
        <v>75</v>
      </c>
      <c r="B76" s="249" t="s">
        <v>267</v>
      </c>
      <c r="C76" s="8">
        <v>4.8385787010192871</v>
      </c>
      <c r="D76" s="10"/>
      <c r="E76" s="10"/>
      <c r="F76" s="10"/>
      <c r="G76" s="10"/>
      <c r="H76" s="10"/>
      <c r="I76">
        <v>4.4172485359013081E-3</v>
      </c>
      <c r="J76"/>
    </row>
    <row r="77" spans="1:10" ht="15" customHeight="1" x14ac:dyDescent="0.15">
      <c r="A77" s="250">
        <v>76</v>
      </c>
      <c r="B77" s="250" t="s">
        <v>268</v>
      </c>
      <c r="C77" s="8">
        <v>4.1800680160522461</v>
      </c>
      <c r="D77" s="10"/>
      <c r="E77" s="10"/>
      <c r="F77" s="10"/>
      <c r="G77" s="10"/>
      <c r="H77" s="10"/>
      <c r="I77">
        <v>3.7250171881169081E-3</v>
      </c>
      <c r="J77"/>
    </row>
    <row r="78" spans="1:10" ht="15" customHeight="1" x14ac:dyDescent="0.15">
      <c r="A78" s="251">
        <v>77</v>
      </c>
      <c r="B78" s="251" t="s">
        <v>269</v>
      </c>
      <c r="C78" s="8">
        <v>3.3328356742858887</v>
      </c>
      <c r="D78" s="10"/>
      <c r="E78" s="10"/>
      <c r="F78" s="10"/>
      <c r="G78" s="10"/>
      <c r="H78" s="10"/>
      <c r="I78">
        <v>8.9673072099685669E-2</v>
      </c>
      <c r="J78"/>
    </row>
    <row r="79" spans="1:10" ht="15" customHeight="1" x14ac:dyDescent="0.15">
      <c r="A79" s="252">
        <v>78</v>
      </c>
      <c r="B79" s="252" t="s">
        <v>270</v>
      </c>
      <c r="C79" s="8">
        <v>3.9114346504211426</v>
      </c>
      <c r="D79" s="10"/>
      <c r="E79" s="10"/>
      <c r="F79" s="10"/>
      <c r="G79" s="10"/>
      <c r="H79" s="10"/>
      <c r="I79">
        <v>3.3157661557197571E-2</v>
      </c>
      <c r="J79"/>
    </row>
    <row r="80" spans="1:10" ht="15" customHeight="1" x14ac:dyDescent="0.15">
      <c r="A80" s="253">
        <v>79</v>
      </c>
      <c r="B80" s="253" t="s">
        <v>271</v>
      </c>
      <c r="C80" s="8">
        <v>4.1452136039733887</v>
      </c>
      <c r="D80" s="10"/>
      <c r="E80" s="10"/>
      <c r="F80" s="10"/>
      <c r="G80" s="10"/>
      <c r="H80" s="10"/>
      <c r="I80">
        <v>2.8788631781935692E-2</v>
      </c>
      <c r="J80"/>
    </row>
    <row r="81" spans="1:10" ht="15" customHeight="1" x14ac:dyDescent="0.15">
      <c r="A81" s="254">
        <v>80</v>
      </c>
      <c r="B81" s="254" t="s">
        <v>272</v>
      </c>
      <c r="C81" s="8">
        <v>5.0825037956237793</v>
      </c>
      <c r="D81" s="10"/>
      <c r="E81" s="10"/>
      <c r="F81" s="10"/>
      <c r="G81" s="10"/>
      <c r="H81" s="10"/>
      <c r="I81">
        <v>1.6058124601840973E-2</v>
      </c>
      <c r="J81"/>
    </row>
    <row r="82" spans="1:10" ht="15" customHeight="1" x14ac:dyDescent="0.15">
      <c r="A82" s="255">
        <v>81</v>
      </c>
      <c r="B82" s="255" t="s">
        <v>273</v>
      </c>
      <c r="C82" s="8">
        <v>5.1606683731079102</v>
      </c>
      <c r="D82" s="10"/>
      <c r="E82" s="10"/>
      <c r="F82" s="10"/>
      <c r="G82" s="10"/>
      <c r="H82" s="10"/>
      <c r="I82">
        <v>5.5614132434129715E-3</v>
      </c>
      <c r="J82"/>
    </row>
    <row r="83" spans="1:10" ht="15" customHeight="1" x14ac:dyDescent="0.15">
      <c r="A83" s="256">
        <v>82</v>
      </c>
      <c r="B83" s="256" t="s">
        <v>274</v>
      </c>
      <c r="C83" s="8">
        <v>5.1162939071655273</v>
      </c>
      <c r="D83" s="10"/>
      <c r="E83" s="10"/>
      <c r="F83" s="10"/>
      <c r="G83" s="10"/>
      <c r="H83" s="10"/>
      <c r="I83">
        <v>1.7789516597986221E-2</v>
      </c>
      <c r="J83"/>
    </row>
    <row r="84" spans="1:10" ht="15" customHeight="1" x14ac:dyDescent="0.15">
      <c r="A84" s="257">
        <v>83</v>
      </c>
      <c r="B84" s="257" t="s">
        <v>275</v>
      </c>
      <c r="C84" s="8">
        <v>4.2829380035400391</v>
      </c>
      <c r="D84" s="10"/>
      <c r="E84" s="10"/>
      <c r="F84" s="10"/>
      <c r="G84" s="10"/>
      <c r="H84" s="10"/>
      <c r="I84">
        <v>2.4645201861858368E-2</v>
      </c>
      <c r="J84"/>
    </row>
    <row r="85" spans="1:10" ht="15" customHeight="1" x14ac:dyDescent="0.15">
      <c r="A85" s="258">
        <v>84</v>
      </c>
      <c r="B85" s="258" t="s">
        <v>276</v>
      </c>
      <c r="C85" s="8">
        <v>5.1191549301147461</v>
      </c>
      <c r="D85" s="10"/>
      <c r="E85" s="10"/>
      <c r="F85" s="10"/>
      <c r="G85" s="10"/>
      <c r="H85" s="10"/>
      <c r="I85">
        <v>1.6889218240976334E-3</v>
      </c>
      <c r="J85"/>
    </row>
    <row r="86" spans="1:10" ht="15" customHeight="1" x14ac:dyDescent="0.15">
      <c r="A86" s="259">
        <v>85</v>
      </c>
      <c r="B86" s="259"/>
      <c r="C86" s="8">
        <v>5.3861885070800781</v>
      </c>
      <c r="D86" s="10"/>
      <c r="E86" s="10"/>
      <c r="F86" s="10"/>
      <c r="G86" s="10"/>
      <c r="H86" s="10"/>
      <c r="I86">
        <v>1.3011031551286578E-3</v>
      </c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53" activePane="bottomRight" state="frozen"/>
      <selection pane="topRight" activeCell="D1" sqref="D1"/>
      <selection pane="bottomLeft" activeCell="A2" sqref="A2"/>
      <selection pane="bottomRight" activeCell="A70" sqref="A70:XFD70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281</v>
      </c>
      <c r="E1" t="s">
        <v>282</v>
      </c>
      <c r="F1" t="s">
        <v>283</v>
      </c>
      <c r="G1" t="s">
        <v>284</v>
      </c>
      <c r="H1" t="s">
        <v>285</v>
      </c>
      <c r="I1" t="s">
        <v>286</v>
      </c>
      <c r="J1" t="s">
        <v>287</v>
      </c>
      <c r="K1" t="s">
        <v>288</v>
      </c>
      <c r="L1" t="s">
        <v>289</v>
      </c>
      <c r="M1" t="s">
        <v>290</v>
      </c>
      <c r="N1" t="s">
        <v>291</v>
      </c>
      <c r="O1" t="s">
        <v>292</v>
      </c>
      <c r="P1" t="s">
        <v>293</v>
      </c>
      <c r="Q1" t="s">
        <v>294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205</v>
      </c>
      <c r="AE1" t="s">
        <v>206</v>
      </c>
      <c r="AF1" t="s">
        <v>207</v>
      </c>
      <c r="AG1" t="s">
        <v>208</v>
      </c>
      <c r="AH1" t="s">
        <v>209</v>
      </c>
      <c r="AI1" t="s">
        <v>210</v>
      </c>
      <c r="AJ1" t="s">
        <v>211</v>
      </c>
      <c r="AK1" t="s">
        <v>212</v>
      </c>
      <c r="AL1" t="s">
        <v>213</v>
      </c>
      <c r="AM1" t="s">
        <v>214</v>
      </c>
      <c r="AN1" t="s">
        <v>215</v>
      </c>
      <c r="AO1" t="s">
        <v>216</v>
      </c>
      <c r="AP1" t="s">
        <v>217</v>
      </c>
      <c r="AQ1" t="s">
        <v>218</v>
      </c>
      <c r="AR1" t="s">
        <v>219</v>
      </c>
      <c r="AS1" t="s">
        <v>220</v>
      </c>
      <c r="AT1" t="s">
        <v>221</v>
      </c>
      <c r="AU1" t="s">
        <v>222</v>
      </c>
      <c r="AV1" t="s">
        <v>223</v>
      </c>
      <c r="AW1" t="s">
        <v>224</v>
      </c>
      <c r="AX1" t="s">
        <v>225</v>
      </c>
      <c r="AY1" t="s">
        <v>226</v>
      </c>
      <c r="AZ1" t="s">
        <v>227</v>
      </c>
      <c r="BA1" t="s">
        <v>228</v>
      </c>
      <c r="BB1" t="s">
        <v>229</v>
      </c>
      <c r="BC1" t="s">
        <v>230</v>
      </c>
      <c r="BD1" t="s">
        <v>231</v>
      </c>
      <c r="BE1" t="s">
        <v>232</v>
      </c>
      <c r="BF1" t="s">
        <v>233</v>
      </c>
      <c r="BG1" t="s">
        <v>234</v>
      </c>
      <c r="BH1" t="s">
        <v>235</v>
      </c>
      <c r="BI1" t="s">
        <v>236</v>
      </c>
      <c r="BJ1" t="s">
        <v>237</v>
      </c>
      <c r="BK1" t="s">
        <v>238</v>
      </c>
      <c r="BL1" t="s">
        <v>239</v>
      </c>
      <c r="BM1" t="s">
        <v>240</v>
      </c>
      <c r="BN1" t="s">
        <v>241</v>
      </c>
      <c r="BO1" t="s">
        <v>242</v>
      </c>
      <c r="BP1" t="s">
        <v>243</v>
      </c>
      <c r="BQ1" t="s">
        <v>244</v>
      </c>
      <c r="BR1" t="s">
        <v>245</v>
      </c>
      <c r="BS1" t="s">
        <v>246</v>
      </c>
      <c r="BT1" t="s">
        <v>247</v>
      </c>
      <c r="BU1" t="s">
        <v>248</v>
      </c>
      <c r="BV1" t="s">
        <v>249</v>
      </c>
      <c r="BW1" t="s">
        <v>250</v>
      </c>
      <c r="BX1" t="s">
        <v>251</v>
      </c>
      <c r="BY1" t="s">
        <v>252</v>
      </c>
      <c r="BZ1" t="s">
        <v>253</v>
      </c>
      <c r="CA1" t="s">
        <v>254</v>
      </c>
      <c r="CB1" t="s">
        <v>255</v>
      </c>
      <c r="CC1" t="s">
        <v>256</v>
      </c>
      <c r="CD1" t="s">
        <v>257</v>
      </c>
      <c r="CE1" t="s">
        <v>258</v>
      </c>
      <c r="CF1" t="s">
        <v>259</v>
      </c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7.9999998211860657E-2</v>
      </c>
      <c r="C2">
        <v>3.1972169876098633E-2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 s="285">
        <v>4.8027828335762024E-2</v>
      </c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0.30000001192092896</v>
      </c>
      <c r="C3">
        <v>0.30000001192092896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0.15000000596046448</v>
      </c>
      <c r="C4">
        <v>8.9997999370098114E-2</v>
      </c>
      <c r="D4" s="18">
        <v>1.8722220556810498E-3</v>
      </c>
      <c r="E4" s="78">
        <v>2.132222056388855E-2</v>
      </c>
      <c r="F4" s="16">
        <v>2.4027777835726738E-3</v>
      </c>
      <c r="G4" s="12">
        <v>6.927777430973947E-4</v>
      </c>
      <c r="H4" s="11">
        <v>1.2722221072181128E-6</v>
      </c>
      <c r="I4" s="263">
        <v>8.4503889083862305E-3</v>
      </c>
      <c r="J4" s="11">
        <v>1.1833332536070884E-7</v>
      </c>
      <c r="K4" s="11">
        <v>1.2833332220907323E-5</v>
      </c>
      <c r="L4" s="25">
        <v>4.7949445433914661E-3</v>
      </c>
      <c r="M4" s="74">
        <v>1.4249999076128006E-2</v>
      </c>
      <c r="N4" s="11">
        <v>1.6666666624587378E-6</v>
      </c>
      <c r="O4"/>
      <c r="P4" s="14">
        <v>1.6777777636889368E-4</v>
      </c>
      <c r="Q4"/>
      <c r="R4"/>
      <c r="S4"/>
      <c r="T4" s="66">
        <v>6.033001933246851E-3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0.30000001192092896</v>
      </c>
      <c r="C5">
        <v>0.27326509356498718</v>
      </c>
      <c r="D5" s="14">
        <v>6.3199794385582209E-4</v>
      </c>
      <c r="E5" s="18">
        <v>3.5115499049425125E-3</v>
      </c>
      <c r="F5" s="14">
        <v>3.7058474845252931E-4</v>
      </c>
      <c r="G5" s="11">
        <v>2.5360013751196675E-5</v>
      </c>
      <c r="H5" s="11">
        <v>6.0896204558957834E-6</v>
      </c>
      <c r="I5" s="23">
        <v>1.7527667805552483E-3</v>
      </c>
      <c r="J5"/>
      <c r="K5" s="11">
        <v>4.4069561226933729E-6</v>
      </c>
      <c r="L5" s="11">
        <v>4.5333603338804096E-5</v>
      </c>
      <c r="M5" s="12">
        <v>9.4749632989987731E-4</v>
      </c>
      <c r="N5"/>
      <c r="O5"/>
      <c r="P5" s="11">
        <v>7.5118612130609108E-7</v>
      </c>
      <c r="Q5"/>
      <c r="R5" s="16">
        <v>4.5973761007189751E-3</v>
      </c>
      <c r="S5"/>
      <c r="T5"/>
      <c r="U5"/>
      <c r="V5"/>
      <c r="W5" s="19">
        <v>5.3398255258798599E-3</v>
      </c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 s="17">
        <v>4.1565429419279099E-3</v>
      </c>
      <c r="AM5"/>
      <c r="AN5"/>
      <c r="AO5"/>
      <c r="AP5"/>
      <c r="AQ5"/>
      <c r="AR5"/>
      <c r="AS5"/>
      <c r="AT5"/>
      <c r="AU5"/>
      <c r="AV5" s="19">
        <v>5.3448472172021866E-3</v>
      </c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0.5</v>
      </c>
      <c r="C6">
        <v>0.11671867966651917</v>
      </c>
      <c r="D6" s="260">
        <v>1.6694560647010803E-2</v>
      </c>
      <c r="E6" s="146">
        <v>1.5002092346549034E-2</v>
      </c>
      <c r="F6" s="11">
        <v>2.9623432783409953E-4</v>
      </c>
      <c r="G6"/>
      <c r="H6" s="11">
        <v>2.2887030354468152E-5</v>
      </c>
      <c r="I6" s="14">
        <v>5.4548116168007255E-4</v>
      </c>
      <c r="J6" s="11">
        <v>3.3221758712898009E-6</v>
      </c>
      <c r="K6" s="11">
        <v>1.4309622929431498E-4</v>
      </c>
      <c r="L6" s="11">
        <v>2.4393306375714019E-5</v>
      </c>
      <c r="M6" s="11">
        <v>4.7280336730182171E-4</v>
      </c>
      <c r="N6" s="11">
        <v>3.7196652868942692E-8</v>
      </c>
      <c r="O6"/>
      <c r="P6" s="11">
        <v>3.3472804261691635E-7</v>
      </c>
      <c r="Q6"/>
      <c r="R6" s="12">
        <v>2.0749862305819988E-3</v>
      </c>
      <c r="S6"/>
      <c r="T6" s="271">
        <v>0.17606773972511292</v>
      </c>
      <c r="U6" s="14">
        <v>1.4485245337709785E-3</v>
      </c>
      <c r="V6"/>
      <c r="W6" s="11">
        <v>3.6151266158412909E-6</v>
      </c>
      <c r="X6"/>
      <c r="Y6" s="23">
        <v>2.4718288332223892E-3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 s="299">
        <v>0.15657927095890045</v>
      </c>
      <c r="AQ6"/>
      <c r="AR6"/>
      <c r="AS6"/>
      <c r="AT6"/>
      <c r="AU6"/>
      <c r="AV6" s="266">
        <v>1.1430090293288231E-2</v>
      </c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0.34000000357627869</v>
      </c>
      <c r="C7">
        <v>0.13002991676330566</v>
      </c>
      <c r="D7" s="11">
        <v>1.076186090358533E-4</v>
      </c>
      <c r="E7" s="15">
        <v>3.282367717474699E-3</v>
      </c>
      <c r="F7" s="19">
        <v>5.9620714746415615E-3</v>
      </c>
      <c r="G7" s="11">
        <v>2.3008859716355801E-4</v>
      </c>
      <c r="H7"/>
      <c r="I7" s="11">
        <v>7.5333031418267637E-5</v>
      </c>
      <c r="J7"/>
      <c r="K7"/>
      <c r="L7" s="11">
        <v>2.194343542214483E-4</v>
      </c>
      <c r="M7"/>
      <c r="N7"/>
      <c r="O7"/>
      <c r="P7" s="14">
        <v>7.5289979577064514E-4</v>
      </c>
      <c r="Q7" s="75">
        <v>2.6366561651229858E-2</v>
      </c>
      <c r="R7" s="288">
        <v>7.4718579649925232E-2</v>
      </c>
      <c r="S7"/>
      <c r="T7" s="28">
        <v>1.1686740443110466E-2</v>
      </c>
      <c r="U7"/>
      <c r="V7"/>
      <c r="W7" s="282">
        <v>2.4795768782496452E-2</v>
      </c>
      <c r="X7"/>
      <c r="Y7"/>
      <c r="Z7"/>
      <c r="AA7"/>
      <c r="AB7"/>
      <c r="AC7"/>
      <c r="AD7" s="111">
        <v>6.1772629618644714E-2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1.7359999418258667</v>
      </c>
      <c r="C8">
        <v>0.52890801429748535</v>
      </c>
      <c r="D8" s="11">
        <v>7.0999999479681719E-7</v>
      </c>
      <c r="E8"/>
      <c r="F8" s="11">
        <v>4.5249998947838321E-5</v>
      </c>
      <c r="G8"/>
      <c r="H8" s="11">
        <v>7.7249997048056684E-6</v>
      </c>
      <c r="I8" s="11">
        <v>2.7249998311162926E-6</v>
      </c>
      <c r="J8" s="12">
        <v>5.9750000946223736E-3</v>
      </c>
      <c r="K8" s="11">
        <v>7.099999493220821E-5</v>
      </c>
      <c r="L8" s="11">
        <v>1.2149998838140164E-6</v>
      </c>
      <c r="M8" s="11">
        <v>1.199999957179898E-7</v>
      </c>
      <c r="N8" s="11">
        <v>5.7749997495193384E-7</v>
      </c>
      <c r="O8"/>
      <c r="P8" s="11">
        <v>4.1749999581952579E-6</v>
      </c>
      <c r="Q8"/>
      <c r="R8" s="29">
        <v>8.2446977496147156E-2</v>
      </c>
      <c r="S8" s="21">
        <v>3.3865559846162796E-2</v>
      </c>
      <c r="T8" s="16">
        <v>2.7827223762869835E-2</v>
      </c>
      <c r="U8"/>
      <c r="V8" s="12">
        <v>7.427634671330452E-3</v>
      </c>
      <c r="W8" s="304">
        <v>0.26856473088264465</v>
      </c>
      <c r="X8"/>
      <c r="Y8"/>
      <c r="Z8"/>
      <c r="AA8" s="292">
        <v>0.15577445924282074</v>
      </c>
      <c r="AB8"/>
      <c r="AC8" s="29">
        <v>8.168146014213562E-2</v>
      </c>
      <c r="AD8" s="308">
        <v>0.49746304750442505</v>
      </c>
      <c r="AE8"/>
      <c r="AF8"/>
      <c r="AG8"/>
      <c r="AH8" s="14">
        <v>3.3183074556291103E-3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 s="23">
        <v>8.7951002642512321E-3</v>
      </c>
      <c r="BA8"/>
      <c r="BB8"/>
      <c r="BC8"/>
      <c r="BD8" s="14">
        <v>2.192255575209856E-3</v>
      </c>
      <c r="BE8" s="11">
        <v>9.7723782528191805E-4</v>
      </c>
      <c r="BF8" s="19">
        <v>3.0649427324533463E-2</v>
      </c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0.5</v>
      </c>
      <c r="C9">
        <v>0.48658615350723267</v>
      </c>
      <c r="D9" s="14">
        <v>1.0614314815029502E-3</v>
      </c>
      <c r="E9" s="12">
        <v>1.5349255409091711E-3</v>
      </c>
      <c r="F9" s="11">
        <v>9.9999888334423304E-5</v>
      </c>
      <c r="G9" s="15">
        <v>4.8900055699050426E-3</v>
      </c>
      <c r="H9" s="11">
        <v>8.1648422565194778E-6</v>
      </c>
      <c r="I9" s="14">
        <v>9.9999888334423304E-4</v>
      </c>
      <c r="J9" s="11">
        <v>1.3832242302669329E-6</v>
      </c>
      <c r="K9" s="11">
        <v>1.0902470421569888E-5</v>
      </c>
      <c r="L9"/>
      <c r="M9"/>
      <c r="N9" s="11">
        <v>2.1997061594447587E-6</v>
      </c>
      <c r="O9"/>
      <c r="P9" s="14">
        <v>1.2909936485812068E-3</v>
      </c>
      <c r="Q9" s="11">
        <v>9.9999888334423304E-5</v>
      </c>
      <c r="R9"/>
      <c r="S9"/>
      <c r="T9"/>
      <c r="U9"/>
      <c r="V9"/>
      <c r="W9"/>
      <c r="X9"/>
      <c r="Y9"/>
      <c r="Z9"/>
      <c r="AA9"/>
      <c r="AB9"/>
      <c r="AC9"/>
      <c r="AD9" s="23">
        <v>3.4138276241719723E-3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2</v>
      </c>
      <c r="C10">
        <v>1.6312811374664307</v>
      </c>
      <c r="D10" s="11">
        <v>1.8422011053189635E-3</v>
      </c>
      <c r="E10" s="14">
        <v>2.3027567658573389E-3</v>
      </c>
      <c r="F10" s="11">
        <v>4.6055135317146778E-4</v>
      </c>
      <c r="G10" s="11">
        <v>3.0949096981203184E-5</v>
      </c>
      <c r="H10"/>
      <c r="I10"/>
      <c r="J10"/>
      <c r="K10"/>
      <c r="L10"/>
      <c r="M10"/>
      <c r="N10"/>
      <c r="O10"/>
      <c r="P10"/>
      <c r="Q10"/>
      <c r="R10"/>
      <c r="S10" s="279">
        <v>0.34936743974685669</v>
      </c>
      <c r="T10"/>
      <c r="U10"/>
      <c r="V10"/>
      <c r="W10"/>
      <c r="X10"/>
      <c r="Y10"/>
      <c r="Z10"/>
      <c r="AA10"/>
      <c r="AB10"/>
      <c r="AC10"/>
      <c r="AD10" s="22">
        <v>1.4714962802827358E-2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0.40000000596046448</v>
      </c>
      <c r="C11">
        <v>0.19851003587245941</v>
      </c>
      <c r="D11" s="19">
        <v>6.949997041374445E-3</v>
      </c>
      <c r="E11" s="15">
        <v>3.8288389332592487E-3</v>
      </c>
      <c r="F11" s="14">
        <v>6.949997041374445E-4</v>
      </c>
      <c r="G11" s="14">
        <v>6.949997041374445E-4</v>
      </c>
      <c r="H11" s="11">
        <v>2.552778460085392E-5</v>
      </c>
      <c r="I11" s="262">
        <v>4.3047443032264709E-2</v>
      </c>
      <c r="J11" s="14">
        <v>6.1395746888592839E-4</v>
      </c>
      <c r="K11" s="11">
        <v>1.0878918146772776E-5</v>
      </c>
      <c r="L11"/>
      <c r="M11" s="11">
        <v>1.6156849596882239E-5</v>
      </c>
      <c r="N11"/>
      <c r="O11"/>
      <c r="P11" s="25">
        <v>1.2922192923724651E-2</v>
      </c>
      <c r="Q11" s="14">
        <v>6.949997041374445E-4</v>
      </c>
      <c r="R11" s="291">
        <v>8.3985991775989532E-2</v>
      </c>
      <c r="S11"/>
      <c r="T11"/>
      <c r="U11"/>
      <c r="V11"/>
      <c r="W11"/>
      <c r="X11"/>
      <c r="Y11"/>
      <c r="Z11"/>
      <c r="AA11"/>
      <c r="AB11"/>
      <c r="AC11"/>
      <c r="AD11" s="140">
        <v>4.8003993928432465E-2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</v>
      </c>
      <c r="C12">
        <v>0.49313044548034668</v>
      </c>
      <c r="D12" s="11">
        <v>1.4099998224992305E-5</v>
      </c>
      <c r="E12" s="11">
        <v>2.2120018547866493E-4</v>
      </c>
      <c r="F12" s="11">
        <v>4.2772668530233204E-4</v>
      </c>
      <c r="G12" s="11">
        <v>1.4099998224992305E-5</v>
      </c>
      <c r="H12"/>
      <c r="I12" s="11">
        <v>4.7775468556210399E-4</v>
      </c>
      <c r="J12"/>
      <c r="K12"/>
      <c r="L12"/>
      <c r="M12"/>
      <c r="N12"/>
      <c r="O12"/>
      <c r="P12" s="11">
        <v>2.5511783314868808E-4</v>
      </c>
      <c r="Q12"/>
      <c r="R12"/>
      <c r="S12" s="278">
        <v>7.7876240015029907E-2</v>
      </c>
      <c r="T12"/>
      <c r="U12"/>
      <c r="V12"/>
      <c r="W12" s="270">
        <v>0.13615976274013519</v>
      </c>
      <c r="X12"/>
      <c r="Y12"/>
      <c r="Z12"/>
      <c r="AA12" s="281">
        <v>0.22914694249629974</v>
      </c>
      <c r="AB12"/>
      <c r="AC12" s="286">
        <v>0.5837826132774353</v>
      </c>
      <c r="AD12" s="266">
        <v>4.6198021620512009E-2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 s="141">
        <v>0.43229600787162781</v>
      </c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0.40000000596046448</v>
      </c>
      <c r="C13">
        <v>0.19367089867591858</v>
      </c>
      <c r="D13" s="11">
        <v>3.7399923894554377E-4</v>
      </c>
      <c r="E13" s="15">
        <v>3.970051184296608E-3</v>
      </c>
      <c r="F13" s="11">
        <v>3.7399923894554377E-4</v>
      </c>
      <c r="G13" s="11">
        <v>3.7399923894554377E-4</v>
      </c>
      <c r="H13" s="11">
        <v>7.4965311796404421E-5</v>
      </c>
      <c r="I13" s="264">
        <v>3.1799226999282837E-2</v>
      </c>
      <c r="J13" s="11">
        <v>1.4070411680222605E-6</v>
      </c>
      <c r="K13" s="11">
        <v>5.0457339966669679E-5</v>
      </c>
      <c r="L13"/>
      <c r="M13" s="11">
        <v>3.1716188004793366E-6</v>
      </c>
      <c r="N13" s="11">
        <v>4.728586645796895E-6</v>
      </c>
      <c r="O13"/>
      <c r="P13" s="11">
        <v>3.7399923894554377E-4</v>
      </c>
      <c r="Q13"/>
      <c r="R13" s="79">
        <v>8.8707923889160156E-2</v>
      </c>
      <c r="S13"/>
      <c r="T13"/>
      <c r="U13"/>
      <c r="V13"/>
      <c r="W13"/>
      <c r="X13"/>
      <c r="Y13"/>
      <c r="Z13"/>
      <c r="AA13" s="68">
        <v>2.4931248277425766E-2</v>
      </c>
      <c r="AB13"/>
      <c r="AC13"/>
      <c r="AD13" s="272">
        <v>5.5289927870035172E-2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0.5</v>
      </c>
      <c r="C14">
        <v>2.1513104438781738E-3</v>
      </c>
      <c r="D14" s="23">
        <v>3.0067805200815201E-3</v>
      </c>
      <c r="E14" s="22">
        <v>3.7706580478698015E-3</v>
      </c>
      <c r="F14" s="12">
        <v>1.9503445364534855E-3</v>
      </c>
      <c r="G14" s="11">
        <v>3.9656988519709557E-5</v>
      </c>
      <c r="H14" s="11">
        <v>1.8907475168816745E-4</v>
      </c>
      <c r="I14" s="11">
        <v>6.0514761571539566E-5</v>
      </c>
      <c r="J14" s="11">
        <v>8.2347742136335E-6</v>
      </c>
      <c r="K14" s="14">
        <v>5.471791373565793E-4</v>
      </c>
      <c r="L14" s="11">
        <v>3.8965663406997919E-5</v>
      </c>
      <c r="M14" s="11">
        <v>2.020772808464244E-4</v>
      </c>
      <c r="N14" s="11">
        <v>2.9146756332920631E-6</v>
      </c>
      <c r="O14"/>
      <c r="P14" s="11">
        <v>8.9336353994440287E-5</v>
      </c>
      <c r="Q14" s="11">
        <v>9.4266593805514276E-5</v>
      </c>
      <c r="R14" s="292">
        <v>4.5219074934720993E-2</v>
      </c>
      <c r="S14" s="12">
        <v>1.7823525704443455E-3</v>
      </c>
      <c r="T14" s="298">
        <v>0.16803069412708282</v>
      </c>
      <c r="U14"/>
      <c r="V14"/>
      <c r="W14" s="297">
        <v>0.16233976185321808</v>
      </c>
      <c r="X14"/>
      <c r="Y14"/>
      <c r="Z14"/>
      <c r="AA14" s="264">
        <v>3.9730928838253021E-2</v>
      </c>
      <c r="AB14"/>
      <c r="AC14"/>
      <c r="AD14" s="293">
        <v>4.7580011188983917E-2</v>
      </c>
      <c r="AE14"/>
      <c r="AF14"/>
      <c r="AG14"/>
      <c r="AH14"/>
      <c r="AI14"/>
      <c r="AJ14"/>
      <c r="AK14"/>
      <c r="AL14"/>
      <c r="AM14"/>
      <c r="AN14"/>
      <c r="AO14"/>
      <c r="AP14" s="12">
        <v>1.7275197897106409E-3</v>
      </c>
      <c r="AQ14"/>
      <c r="AR14"/>
      <c r="AS14"/>
      <c r="AT14"/>
      <c r="AU14"/>
      <c r="AV14" s="14">
        <v>7.9454522347077727E-4</v>
      </c>
      <c r="AW14" s="15">
        <v>4.4427011162042618E-3</v>
      </c>
      <c r="AX14"/>
      <c r="AY14"/>
      <c r="AZ14" s="260">
        <v>1.6201086342334747E-2</v>
      </c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2</v>
      </c>
      <c r="C15">
        <v>0.46348071098327637</v>
      </c>
      <c r="D15"/>
      <c r="E15" s="14">
        <v>4.6189324930310249E-3</v>
      </c>
      <c r="F15" s="14">
        <v>2.3094706702977419E-3</v>
      </c>
      <c r="G15" s="14">
        <v>3.0715935863554478E-3</v>
      </c>
      <c r="H15"/>
      <c r="I15"/>
      <c r="J15"/>
      <c r="K15"/>
      <c r="L15"/>
      <c r="M15"/>
      <c r="N15"/>
      <c r="O15"/>
      <c r="P15"/>
      <c r="Q15"/>
      <c r="R15"/>
      <c r="S15"/>
      <c r="T15" s="140">
        <v>0.24039018154144287</v>
      </c>
      <c r="U15" s="29">
        <v>9.551769495010376E-2</v>
      </c>
      <c r="V15"/>
      <c r="W15"/>
      <c r="X15"/>
      <c r="Y15"/>
      <c r="Z15"/>
      <c r="AA15" s="277">
        <v>0.42462083697319031</v>
      </c>
      <c r="AB15"/>
      <c r="AC15"/>
      <c r="AD15"/>
      <c r="AE15"/>
      <c r="AF15"/>
      <c r="AG15"/>
      <c r="AH15"/>
      <c r="AI15"/>
      <c r="AJ15"/>
      <c r="AK15"/>
      <c r="AL15" s="270">
        <v>0.13878814876079559</v>
      </c>
      <c r="AM15"/>
      <c r="AN15"/>
      <c r="AO15"/>
      <c r="AP15"/>
      <c r="AQ15"/>
      <c r="AR15"/>
      <c r="AS15"/>
      <c r="AT15" s="18">
        <v>2.3384945467114449E-2</v>
      </c>
      <c r="AU15" s="272">
        <v>0.27521061897277832</v>
      </c>
      <c r="AV15"/>
      <c r="AW15"/>
      <c r="AX15"/>
      <c r="AY15"/>
      <c r="AZ15"/>
      <c r="BA15"/>
      <c r="BB15" s="273">
        <v>0.29195860028266907</v>
      </c>
      <c r="BC15"/>
      <c r="BD15"/>
      <c r="BE15" s="19">
        <v>3.6648362874984741E-2</v>
      </c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0.25</v>
      </c>
      <c r="C16">
        <v>0.12451183795928955</v>
      </c>
      <c r="D16" s="11">
        <v>4.9018082791008055E-5</v>
      </c>
      <c r="E16" s="77">
        <v>1.6018964350223541E-2</v>
      </c>
      <c r="F16" s="20">
        <v>1.1021043173968792E-2</v>
      </c>
      <c r="G16" s="18">
        <v>2.8955822344869375E-3</v>
      </c>
      <c r="H16" s="11">
        <v>3.7804738894919865E-8</v>
      </c>
      <c r="I16" s="11">
        <v>3.2037910386861768E-6</v>
      </c>
      <c r="J16" s="11">
        <v>7.496866601286456E-5</v>
      </c>
      <c r="K16"/>
      <c r="L16" s="25">
        <v>7.7948258258402348E-3</v>
      </c>
      <c r="M16" s="14">
        <v>2.4656348978169262E-4</v>
      </c>
      <c r="N16" s="11">
        <v>1.5794681530678645E-5</v>
      </c>
      <c r="O16"/>
      <c r="P16"/>
      <c r="Q16"/>
      <c r="R16"/>
      <c r="S16"/>
      <c r="T16" s="65">
        <v>5.2511626854538918E-3</v>
      </c>
      <c r="U16" s="11">
        <v>2.0865199621766806E-4</v>
      </c>
      <c r="V16"/>
      <c r="W16"/>
      <c r="X16"/>
      <c r="Y16"/>
      <c r="Z16"/>
      <c r="AA16" s="110">
        <v>7.416728138923645E-2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s="11">
        <v>5.1082846766803414E-5</v>
      </c>
      <c r="AU16"/>
      <c r="AV16"/>
      <c r="AW16"/>
      <c r="AX16" s="14">
        <v>5.1179883303120732E-4</v>
      </c>
      <c r="AY16"/>
      <c r="AZ16"/>
      <c r="BA16"/>
      <c r="BB16" s="26">
        <v>6.3776406459510326E-3</v>
      </c>
      <c r="BC16"/>
      <c r="BD16"/>
      <c r="BE16" s="12">
        <v>8.0055900616571307E-4</v>
      </c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0.40000000596046448</v>
      </c>
      <c r="C17">
        <v>1.0010433383285999E-2</v>
      </c>
      <c r="D17"/>
      <c r="E17" s="14">
        <v>6.2812352553009987E-4</v>
      </c>
      <c r="F17" s="14">
        <v>8.9040095917880535E-4</v>
      </c>
      <c r="G17" s="12">
        <v>1.3534789904952049E-3</v>
      </c>
      <c r="H17"/>
      <c r="I17"/>
      <c r="J17" s="11">
        <v>2.2234951757127419E-5</v>
      </c>
      <c r="K17"/>
      <c r="L17" s="16">
        <v>6.0403686948120594E-3</v>
      </c>
      <c r="M17" s="11">
        <v>6.183271761983633E-5</v>
      </c>
      <c r="N17" s="11">
        <v>3.5415496313362382E-6</v>
      </c>
      <c r="O17"/>
      <c r="P17"/>
      <c r="Q17"/>
      <c r="R17"/>
      <c r="S17"/>
      <c r="T17" s="283">
        <v>3.2563883811235428E-2</v>
      </c>
      <c r="U17" s="12">
        <v>1.2939076405018568E-3</v>
      </c>
      <c r="V17"/>
      <c r="W17"/>
      <c r="X17"/>
      <c r="Y17"/>
      <c r="Z17"/>
      <c r="AA17" s="282">
        <v>2.8969679027795792E-2</v>
      </c>
      <c r="AB17"/>
      <c r="AC17"/>
      <c r="AD17" s="278">
        <v>1.6064813360571861E-2</v>
      </c>
      <c r="AE17"/>
      <c r="AF17"/>
      <c r="AG17"/>
      <c r="AH17"/>
      <c r="AI17"/>
      <c r="AJ17"/>
      <c r="AK17"/>
      <c r="AL17" s="24">
        <v>1.1293921619653702E-2</v>
      </c>
      <c r="AM17"/>
      <c r="AN17"/>
      <c r="AO17"/>
      <c r="AP17" s="68">
        <v>2.4706076830625534E-2</v>
      </c>
      <c r="AQ17"/>
      <c r="AR17"/>
      <c r="AS17"/>
      <c r="AT17" s="11">
        <v>3.1677857623435557E-4</v>
      </c>
      <c r="AU17" s="284">
        <v>3.9144784212112427E-2</v>
      </c>
      <c r="AV17" s="141">
        <v>8.6229152977466583E-2</v>
      </c>
      <c r="AW17" s="260">
        <v>1.3597742654383183E-2</v>
      </c>
      <c r="AX17" s="22">
        <v>3.1738034449517727E-3</v>
      </c>
      <c r="AY17"/>
      <c r="AZ17" s="287">
        <v>7.9121090471744537E-2</v>
      </c>
      <c r="BA17"/>
      <c r="BB17" s="284">
        <v>3.9549477398395538E-2</v>
      </c>
      <c r="BC17"/>
      <c r="BD17"/>
      <c r="BE17" s="18">
        <v>4.9644834361970425E-3</v>
      </c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0.60000002384185791</v>
      </c>
      <c r="C18">
        <v>0.51181119680404663</v>
      </c>
      <c r="D18" s="14">
        <v>1.6538091003894806E-3</v>
      </c>
      <c r="E18" s="18">
        <v>7.487855851650238E-3</v>
      </c>
      <c r="F18" s="11">
        <v>3.4710223553702235E-4</v>
      </c>
      <c r="G18" s="11">
        <v>1.0813865083036944E-4</v>
      </c>
      <c r="H18" s="11">
        <v>2.6096603278347175E-7</v>
      </c>
      <c r="I18" s="11">
        <v>5.8845195383128157E-8</v>
      </c>
      <c r="J18" s="11">
        <v>8.4464445535559207E-6</v>
      </c>
      <c r="K18" s="11">
        <v>1.1717879999650904E-7</v>
      </c>
      <c r="L18" s="11">
        <v>3.5085441777482629E-4</v>
      </c>
      <c r="M18" s="11">
        <v>4.0935883589554578E-5</v>
      </c>
      <c r="N18" s="11">
        <v>2.4220405521191424E-6</v>
      </c>
      <c r="O18"/>
      <c r="P18"/>
      <c r="Q18"/>
      <c r="R18"/>
      <c r="S18"/>
      <c r="T18" s="12">
        <v>2.2473931312561035E-3</v>
      </c>
      <c r="U18" s="11">
        <v>8.9298904640600085E-5</v>
      </c>
      <c r="V18"/>
      <c r="W18" s="11">
        <v>1.0013421842813841E-6</v>
      </c>
      <c r="X18"/>
      <c r="Y18"/>
      <c r="Z18"/>
      <c r="AA18" s="269">
        <v>3.1742122024297714E-2</v>
      </c>
      <c r="AB18"/>
      <c r="AC18"/>
      <c r="AD18" s="17">
        <v>7.9193674027919769E-3</v>
      </c>
      <c r="AE18"/>
      <c r="AF18"/>
      <c r="AG18"/>
      <c r="AH18"/>
      <c r="AI18"/>
      <c r="AJ18"/>
      <c r="AK18"/>
      <c r="AL18" s="278">
        <v>2.3197885602712631E-2</v>
      </c>
      <c r="AM18"/>
      <c r="AN18"/>
      <c r="AO18"/>
      <c r="AP18" s="23">
        <v>3.4005320630967617E-3</v>
      </c>
      <c r="AQ18"/>
      <c r="AR18"/>
      <c r="AS18"/>
      <c r="AT18" s="11">
        <v>2.1862442736164667E-5</v>
      </c>
      <c r="AU18" s="12">
        <v>2.7015733066946268E-3</v>
      </c>
      <c r="AV18" s="23">
        <v>3.5766090732067823E-3</v>
      </c>
      <c r="AW18"/>
      <c r="AX18" s="11">
        <v>2.1903973538428545E-4</v>
      </c>
      <c r="AY18"/>
      <c r="AZ18"/>
      <c r="BA18"/>
      <c r="BB18" s="12">
        <v>2.7295034378767014E-3</v>
      </c>
      <c r="BC18"/>
      <c r="BD18"/>
      <c r="BE18" s="11">
        <v>3.4262333065271378E-4</v>
      </c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0.30000001192092896</v>
      </c>
      <c r="C19">
        <v>0.28088626265525818</v>
      </c>
      <c r="D19"/>
      <c r="E19" s="11">
        <v>2.5637948056100868E-5</v>
      </c>
      <c r="F19" s="12">
        <v>1.2315079802647233E-3</v>
      </c>
      <c r="G19" s="11">
        <v>3.6057772376807407E-5</v>
      </c>
      <c r="H19"/>
      <c r="I19"/>
      <c r="J19"/>
      <c r="K19"/>
      <c r="L19" s="11">
        <v>3.6057772376807407E-5</v>
      </c>
      <c r="M19" s="22">
        <v>2.2765102330595255E-3</v>
      </c>
      <c r="N19"/>
      <c r="O19"/>
      <c r="P19"/>
      <c r="Q19"/>
      <c r="R19"/>
      <c r="S19"/>
      <c r="T19"/>
      <c r="U19"/>
      <c r="V19"/>
      <c r="W19" s="69">
        <v>1.5507966279983521E-2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6</v>
      </c>
      <c r="C20">
        <v>3.3218715190887451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 s="274">
        <v>2.1972880363464355</v>
      </c>
      <c r="AM20"/>
      <c r="AN20"/>
      <c r="AO20"/>
      <c r="AP20"/>
      <c r="AQ20"/>
      <c r="AR20" s="24">
        <v>0.161100834608078</v>
      </c>
      <c r="AS20"/>
      <c r="AT20" s="269">
        <v>0.31605556607246399</v>
      </c>
      <c r="AU20"/>
      <c r="AV20"/>
      <c r="AW20"/>
      <c r="AX20"/>
      <c r="AY20"/>
      <c r="AZ20" s="11">
        <v>3.6838895175606012E-3</v>
      </c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0.80000001192092896</v>
      </c>
      <c r="C21">
        <v>0.51711791753768921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 s="271">
        <v>0.28288209438323975</v>
      </c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7.9999998211860657E-2</v>
      </c>
      <c r="C22">
        <v>7.037033885717392E-2</v>
      </c>
      <c r="D22"/>
      <c r="E22" s="14">
        <v>9.5614821475464851E-5</v>
      </c>
      <c r="F22" s="14">
        <v>9.5614821475464851E-5</v>
      </c>
      <c r="G22" s="27">
        <v>6.1619500629603863E-3</v>
      </c>
      <c r="H22"/>
      <c r="I22"/>
      <c r="J22"/>
      <c r="K22"/>
      <c r="L22" s="14">
        <v>9.5614821475464851E-5</v>
      </c>
      <c r="M22" s="13">
        <v>3.0170704703778028E-3</v>
      </c>
      <c r="N22" s="14">
        <v>9.5614821475464851E-5</v>
      </c>
      <c r="O22"/>
      <c r="P22"/>
      <c r="Q22"/>
      <c r="R22"/>
      <c r="S22"/>
      <c r="T22"/>
      <c r="U22"/>
      <c r="V22"/>
      <c r="W22" s="11">
        <v>6.8177323555573821E-5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0.20000000298023224</v>
      </c>
      <c r="C23">
        <v>0.17144882678985596</v>
      </c>
      <c r="D23"/>
      <c r="E23" s="146">
        <v>5.8909226208925247E-3</v>
      </c>
      <c r="F23" s="12">
        <v>8.6780259152874351E-4</v>
      </c>
      <c r="G23" s="11">
        <v>1.292519154958427E-4</v>
      </c>
      <c r="H23"/>
      <c r="I23" s="11">
        <v>1.3492113794200122E-4</v>
      </c>
      <c r="J23"/>
      <c r="K23"/>
      <c r="L23" s="266">
        <v>4.7083045355975628E-3</v>
      </c>
      <c r="M23" s="27">
        <v>1.5302844345569611E-2</v>
      </c>
      <c r="N23" s="11">
        <v>1.5709127183072269E-5</v>
      </c>
      <c r="O23"/>
      <c r="P23"/>
      <c r="Q23"/>
      <c r="R23"/>
      <c r="S23"/>
      <c r="T23"/>
      <c r="U23"/>
      <c r="V23"/>
      <c r="W23" s="11">
        <v>1.5506702766288072E-4</v>
      </c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 s="23">
        <v>1.3463499490171671E-3</v>
      </c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3</v>
      </c>
      <c r="C24">
        <v>1.4265666007995605</v>
      </c>
      <c r="D24"/>
      <c r="E24" s="14">
        <v>6.2364954501390457E-3</v>
      </c>
      <c r="F24"/>
      <c r="G24" s="14">
        <v>8.2321558147668839E-3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12">
        <v>1.4257259666919708E-2</v>
      </c>
      <c r="Z24"/>
      <c r="AA24" s="280">
        <v>0.47486883401870728</v>
      </c>
      <c r="AB24"/>
      <c r="AC24"/>
      <c r="AD24" s="11">
        <v>1.4338563196361065E-3</v>
      </c>
      <c r="AE24"/>
      <c r="AF24"/>
      <c r="AG24"/>
      <c r="AH24"/>
      <c r="AI24"/>
      <c r="AJ24"/>
      <c r="AK24" s="23">
        <v>1.4814465306699276E-2</v>
      </c>
      <c r="AL24" s="276">
        <v>0.22210900485515594</v>
      </c>
      <c r="AM24"/>
      <c r="AN24"/>
      <c r="AO24"/>
      <c r="AP24"/>
      <c r="AQ24"/>
      <c r="AR24" s="140">
        <v>0.35872635245323181</v>
      </c>
      <c r="AS24"/>
      <c r="AT24" s="15">
        <v>3.1947921961545944E-2</v>
      </c>
      <c r="AU24"/>
      <c r="AV24" s="19">
        <v>5.1134999841451645E-2</v>
      </c>
      <c r="AW24" s="74">
        <v>0.28168192505836487</v>
      </c>
      <c r="AX24"/>
      <c r="AY24"/>
      <c r="AZ24" s="28">
        <v>0.10799004882574081</v>
      </c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0.89999997615814209</v>
      </c>
      <c r="C25">
        <v>0.77169126272201538</v>
      </c>
      <c r="D25" s="11">
        <v>6.6221656743437052E-4</v>
      </c>
      <c r="E25" s="21">
        <v>1.7659090459346771E-2</v>
      </c>
      <c r="F25" s="14">
        <v>2.4281255900859833E-3</v>
      </c>
      <c r="G25" s="14">
        <v>1.4590779319405556E-3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14">
        <v>1.5505908522754908E-3</v>
      </c>
      <c r="Z25"/>
      <c r="AA25" s="263">
        <v>5.1645778119564056E-2</v>
      </c>
      <c r="AB25"/>
      <c r="AC25"/>
      <c r="AD25" s="11">
        <v>1.5594334399793297E-4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18">
        <v>1.0367926210165024E-2</v>
      </c>
      <c r="AW25" s="260">
        <v>3.0635161325335503E-2</v>
      </c>
      <c r="AX25"/>
      <c r="AY25"/>
      <c r="AZ25" s="17">
        <v>1.1744780465960503E-2</v>
      </c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0.15000000596046448</v>
      </c>
      <c r="C26">
        <v>0.12373371422290802</v>
      </c>
      <c r="D26" s="23">
        <v>7.4294203659519553E-4</v>
      </c>
      <c r="E26" s="139">
        <v>1.9487369805574417E-2</v>
      </c>
      <c r="F26" s="21">
        <v>2.9747399967163801E-3</v>
      </c>
      <c r="G26" s="12">
        <v>4.7204087604768574E-4</v>
      </c>
      <c r="H26" s="11">
        <v>7.3997028948724619E-7</v>
      </c>
      <c r="I26"/>
      <c r="J26"/>
      <c r="K26" s="11">
        <v>2.280832234191621E-7</v>
      </c>
      <c r="L26" s="15">
        <v>1.54036411549896E-3</v>
      </c>
      <c r="M26" s="23">
        <v>9.6260529244318604E-4</v>
      </c>
      <c r="N26" s="11">
        <v>4.8885587602853775E-5</v>
      </c>
      <c r="O26"/>
      <c r="P26"/>
      <c r="Q26"/>
      <c r="R26"/>
      <c r="S26"/>
      <c r="T26"/>
      <c r="U26"/>
      <c r="V26"/>
      <c r="W26" s="11">
        <v>3.637508416431956E-5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2</v>
      </c>
      <c r="C27">
        <v>1.6370766162872314</v>
      </c>
      <c r="D27"/>
      <c r="E27"/>
      <c r="F27"/>
      <c r="G27" s="14">
        <v>2.1198538597673178E-3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14">
        <v>3.29967075958848E-3</v>
      </c>
      <c r="Z27"/>
      <c r="AA27" s="64">
        <v>0.10990266501903534</v>
      </c>
      <c r="AB27"/>
      <c r="AC27"/>
      <c r="AD27" s="11">
        <v>3.3184877247549593E-4</v>
      </c>
      <c r="AE27"/>
      <c r="AF27"/>
      <c r="AG27"/>
      <c r="AH27"/>
      <c r="AI27"/>
      <c r="AJ27"/>
      <c r="AK27" s="14">
        <v>3.4286293666809797E-3</v>
      </c>
      <c r="AL27" s="26">
        <v>5.1404450088739395E-2</v>
      </c>
      <c r="AM27"/>
      <c r="AN27"/>
      <c r="AO27"/>
      <c r="AP27"/>
      <c r="AQ27"/>
      <c r="AR27" s="66">
        <v>8.3022892475128174E-2</v>
      </c>
      <c r="AS27"/>
      <c r="AT27" s="12">
        <v>7.3939613066613674E-3</v>
      </c>
      <c r="AU27"/>
      <c r="AV27" s="23">
        <v>1.1834578588604927E-2</v>
      </c>
      <c r="AW27" s="260">
        <v>6.5191887319087982E-2</v>
      </c>
      <c r="AX27"/>
      <c r="AY27"/>
      <c r="AZ27" s="18">
        <v>2.4992994964122772E-2</v>
      </c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0.80000001192092896</v>
      </c>
      <c r="C28">
        <v>0.76284492015838623</v>
      </c>
      <c r="D28"/>
      <c r="E28" s="22">
        <v>6.3124476000666618E-3</v>
      </c>
      <c r="F28" s="11">
        <v>6.7141547333449125E-4</v>
      </c>
      <c r="G28" s="23">
        <v>4.6211318112909794E-3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11">
        <v>2.4328236759174615E-4</v>
      </c>
      <c r="Z28"/>
      <c r="AA28" s="15">
        <v>8.1030447036027908E-3</v>
      </c>
      <c r="AB28"/>
      <c r="AC28"/>
      <c r="AD28" s="11">
        <v>2.4466971808578819E-5</v>
      </c>
      <c r="AE28"/>
      <c r="AF28"/>
      <c r="AG28"/>
      <c r="AH28"/>
      <c r="AI28"/>
      <c r="AJ28"/>
      <c r="AK28"/>
      <c r="AL28"/>
      <c r="AM28"/>
      <c r="AN28"/>
      <c r="AO28"/>
      <c r="AP28" s="18">
        <v>8.9033739641308784E-3</v>
      </c>
      <c r="AQ28"/>
      <c r="AR28"/>
      <c r="AS28"/>
      <c r="AT28"/>
      <c r="AU28"/>
      <c r="AV28" s="14">
        <v>1.6266918973997235E-3</v>
      </c>
      <c r="AW28" s="23">
        <v>4.8065511509776115E-3</v>
      </c>
      <c r="AX28"/>
      <c r="AY28"/>
      <c r="AZ28" s="14">
        <v>1.8427156610414386E-3</v>
      </c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0.25</v>
      </c>
      <c r="C29">
        <v>0.14882597327232361</v>
      </c>
      <c r="D29"/>
      <c r="E29" s="15">
        <v>2.6305189821869135E-3</v>
      </c>
      <c r="F29" s="14">
        <v>3.8277968997135758E-4</v>
      </c>
      <c r="G29" s="12">
        <v>1.0646205628290772E-3</v>
      </c>
      <c r="H29"/>
      <c r="I29" s="11">
        <v>2.436623617541045E-4</v>
      </c>
      <c r="J29"/>
      <c r="K29"/>
      <c r="L29" s="267">
        <v>3.8461960852146149E-2</v>
      </c>
      <c r="M29" s="26">
        <v>6.5715271048247814E-3</v>
      </c>
      <c r="N29" s="268">
        <v>5.1803909242153168E-2</v>
      </c>
      <c r="O29"/>
      <c r="P29"/>
      <c r="Q29"/>
      <c r="R29"/>
      <c r="S29"/>
      <c r="T29"/>
      <c r="U29"/>
      <c r="V29"/>
      <c r="W29" s="11">
        <v>1.5041739970911294E-5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2</v>
      </c>
      <c r="C30">
        <v>1.3509711027145386</v>
      </c>
      <c r="D30"/>
      <c r="E30" s="11">
        <v>1.4812753943260759E-4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22">
        <v>1.7176328226923943E-2</v>
      </c>
      <c r="Z30"/>
      <c r="AA30" s="13">
        <v>7.4842765927314758E-2</v>
      </c>
      <c r="AB30"/>
      <c r="AC30"/>
      <c r="AD30" s="11">
        <v>1.7274278216063976E-3</v>
      </c>
      <c r="AE30"/>
      <c r="AF30"/>
      <c r="AG30"/>
      <c r="AH30"/>
      <c r="AI30"/>
      <c r="AJ30"/>
      <c r="AK30" s="11">
        <v>1.7847617855295539E-3</v>
      </c>
      <c r="AL30" s="275">
        <v>0.2675841748714447</v>
      </c>
      <c r="AM30"/>
      <c r="AN30"/>
      <c r="AO30"/>
      <c r="AP30"/>
      <c r="AQ30"/>
      <c r="AR30" s="66">
        <v>8.4162399172782898E-2</v>
      </c>
      <c r="AS30"/>
      <c r="AT30"/>
      <c r="AU30"/>
      <c r="AV30" s="25">
        <v>6.1604510992765427E-2</v>
      </c>
      <c r="AW30" s="24">
        <v>5.4754599928855896E-2</v>
      </c>
      <c r="AX30"/>
      <c r="AY30"/>
      <c r="AZ30" s="20">
        <v>8.5243850946426392E-2</v>
      </c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0.80000001192092896</v>
      </c>
      <c r="C31">
        <v>0.67340934276580811</v>
      </c>
      <c r="D31"/>
      <c r="E31" s="11">
        <v>5.1953698857687414E-5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 s="14">
        <v>1.2048721546307206E-3</v>
      </c>
      <c r="Z31"/>
      <c r="AA31" s="69">
        <v>4.0130868554115295E-2</v>
      </c>
      <c r="AB31"/>
      <c r="AC31"/>
      <c r="AD31" s="11">
        <v>1.2117431469960138E-4</v>
      </c>
      <c r="AE31"/>
      <c r="AF31"/>
      <c r="AG31"/>
      <c r="AH31"/>
      <c r="AI31"/>
      <c r="AJ31"/>
      <c r="AK31"/>
      <c r="AL31"/>
      <c r="AM31"/>
      <c r="AN31"/>
      <c r="AO31"/>
      <c r="AP31" s="64">
        <v>4.4094555079936981E-2</v>
      </c>
      <c r="AQ31"/>
      <c r="AR31"/>
      <c r="AS31"/>
      <c r="AT31"/>
      <c r="AU31"/>
      <c r="AV31" s="15">
        <v>8.0563006922602654E-3</v>
      </c>
      <c r="AW31" s="146">
        <v>2.3804765194654465E-2</v>
      </c>
      <c r="AX31"/>
      <c r="AY31"/>
      <c r="AZ31" s="18">
        <v>9.1261724010109901E-3</v>
      </c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0.30000001192092896</v>
      </c>
      <c r="C32">
        <v>0.27568146586418152</v>
      </c>
      <c r="D32" s="12">
        <v>1.1049911845475435E-3</v>
      </c>
      <c r="E32" s="11">
        <v>2.4232809664681554E-4</v>
      </c>
      <c r="F32" s="11">
        <v>2.4232809664681554E-4</v>
      </c>
      <c r="G32" s="65">
        <v>6.4881597645580769E-3</v>
      </c>
      <c r="H32" s="11">
        <v>2.7514299745234894E-6</v>
      </c>
      <c r="I32"/>
      <c r="J32" s="11">
        <v>2.4232809664681554E-4</v>
      </c>
      <c r="K32" s="11">
        <v>1.6152187527040951E-5</v>
      </c>
      <c r="L32" s="11">
        <v>2.4232809664681554E-4</v>
      </c>
      <c r="M32" s="65">
        <v>6.6165239550173283E-3</v>
      </c>
      <c r="N32" s="146">
        <v>9.0348562225699425E-3</v>
      </c>
      <c r="O32"/>
      <c r="P32"/>
      <c r="Q32"/>
      <c r="R32"/>
      <c r="S32"/>
      <c r="T32"/>
      <c r="U32"/>
      <c r="V32"/>
      <c r="W32" s="11">
        <v>8.5793901234865189E-5</v>
      </c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0.25</v>
      </c>
      <c r="C33">
        <v>0.21968001127243042</v>
      </c>
      <c r="D33"/>
      <c r="E33" s="18">
        <v>3.0076629482209682E-3</v>
      </c>
      <c r="F33" s="15">
        <v>2.6819922495633364E-3</v>
      </c>
      <c r="G33" s="14">
        <v>7.2988501051440835E-4</v>
      </c>
      <c r="H33"/>
      <c r="I33" s="11">
        <v>2.4521070827177027E-6</v>
      </c>
      <c r="J33" s="11">
        <v>6.0344824248659279E-8</v>
      </c>
      <c r="K33"/>
      <c r="L33" s="266">
        <v>6.0459771193563938E-3</v>
      </c>
      <c r="M33" s="26">
        <v>6.4609004184603691E-3</v>
      </c>
      <c r="N33" s="11">
        <v>5.7662832659843843E-6</v>
      </c>
      <c r="O33"/>
      <c r="P33"/>
      <c r="Q33"/>
      <c r="R33"/>
      <c r="S33"/>
      <c r="T33"/>
      <c r="U33"/>
      <c r="V33"/>
      <c r="W33" s="11">
        <v>9.3794755230192095E-5</v>
      </c>
      <c r="X33"/>
      <c r="Y33" s="11">
        <v>1.0751507215900347E-4</v>
      </c>
      <c r="Z33"/>
      <c r="AA33" s="17">
        <v>3.5810216795653105E-3</v>
      </c>
      <c r="AB33"/>
      <c r="AC33"/>
      <c r="AD33" s="11">
        <v>1.0812818800332025E-5</v>
      </c>
      <c r="AE33"/>
      <c r="AF33"/>
      <c r="AG33"/>
      <c r="AH33"/>
      <c r="AI33"/>
      <c r="AJ33"/>
      <c r="AK33"/>
      <c r="AL33"/>
      <c r="AM33"/>
      <c r="AN33"/>
      <c r="AO33"/>
      <c r="AP33" s="16">
        <v>3.9347154088318348E-3</v>
      </c>
      <c r="AQ33"/>
      <c r="AR33"/>
      <c r="AS33"/>
      <c r="AT33"/>
      <c r="AU33"/>
      <c r="AV33" s="14">
        <v>7.1889261016622186E-4</v>
      </c>
      <c r="AW33" s="22">
        <v>2.1241847425699234E-3</v>
      </c>
      <c r="AX33"/>
      <c r="AY33"/>
      <c r="AZ33" s="12">
        <v>8.1436114851385355E-4</v>
      </c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0.125</v>
      </c>
      <c r="C34">
        <v>8.6287714540958405E-2</v>
      </c>
      <c r="D34" s="16">
        <v>1.9047618843615055E-3</v>
      </c>
      <c r="E34" s="261">
        <v>2.8571430593729019E-2</v>
      </c>
      <c r="F34" s="25">
        <v>3.809523768723011E-3</v>
      </c>
      <c r="G34" s="11">
        <v>7.5238099270791281E-6</v>
      </c>
      <c r="H34"/>
      <c r="I34"/>
      <c r="J34"/>
      <c r="K34"/>
      <c r="L34"/>
      <c r="M34" s="28">
        <v>4.4190478511154652E-3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0.5</v>
      </c>
      <c r="C35">
        <v>0.35974830389022827</v>
      </c>
      <c r="D35" s="11">
        <v>8.2350479715387337E-6</v>
      </c>
      <c r="E35" s="11">
        <v>9.9999688245588914E-6</v>
      </c>
      <c r="F35" s="11">
        <v>1.6349238285329193E-4</v>
      </c>
      <c r="G35" s="11">
        <v>4.4375672587193549E-4</v>
      </c>
      <c r="H35" s="11">
        <v>6.1324591626998881E-8</v>
      </c>
      <c r="I35" s="11">
        <v>5.8404287983648828E-7</v>
      </c>
      <c r="J35" s="11">
        <v>9.4615404577780282E-7</v>
      </c>
      <c r="K35" s="11">
        <v>1.8806266766091539E-8</v>
      </c>
      <c r="L35" s="11">
        <v>9.9999688245588914E-6</v>
      </c>
      <c r="M35" s="11">
        <v>2.1128890512045473E-4</v>
      </c>
      <c r="N35" s="11">
        <v>1.4724818174727261E-4</v>
      </c>
      <c r="O35"/>
      <c r="P35" s="11">
        <v>4.3686550270649604E-6</v>
      </c>
      <c r="Q35"/>
      <c r="R35"/>
      <c r="S35"/>
      <c r="T35" s="25">
        <v>1.522631011903286E-2</v>
      </c>
      <c r="U35"/>
      <c r="V35"/>
      <c r="W35" s="77">
        <v>3.2073758542537689E-2</v>
      </c>
      <c r="X35"/>
      <c r="Y35"/>
      <c r="Z35"/>
      <c r="AA35" s="64">
        <v>2.7680911123752594E-2</v>
      </c>
      <c r="AB35"/>
      <c r="AC35"/>
      <c r="AD35" s="262">
        <v>5.3654488176107407E-2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16">
        <v>8.2212574779987335E-3</v>
      </c>
      <c r="BA35" s="12">
        <v>2.394980750977993E-3</v>
      </c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0.25</v>
      </c>
      <c r="C36">
        <v>0.21327255666255951</v>
      </c>
      <c r="D36" s="11">
        <v>1.4194881077855825E-4</v>
      </c>
      <c r="E36" s="11">
        <v>1.0000008478527889E-4</v>
      </c>
      <c r="F36" s="16">
        <v>3.7626663688570261E-3</v>
      </c>
      <c r="G36" s="11">
        <v>1.0000008478527889E-4</v>
      </c>
      <c r="H36" s="11">
        <v>1.0816135045388364E-6</v>
      </c>
      <c r="I36" s="11">
        <v>7.8104426393110771E-7</v>
      </c>
      <c r="J36"/>
      <c r="K36"/>
      <c r="L36" s="11">
        <v>1.0000008478527889E-4</v>
      </c>
      <c r="M36" s="19">
        <v>4.4005350209772587E-3</v>
      </c>
      <c r="N36" s="11">
        <v>1.0000008478527889E-4</v>
      </c>
      <c r="O36"/>
      <c r="P36" s="23">
        <v>1.2929828371852636E-3</v>
      </c>
      <c r="Q36"/>
      <c r="R36"/>
      <c r="S36"/>
      <c r="T36"/>
      <c r="U36"/>
      <c r="V36"/>
      <c r="W36" s="25">
        <v>7.764170877635479E-3</v>
      </c>
      <c r="X36"/>
      <c r="Y36"/>
      <c r="Z36"/>
      <c r="AA36"/>
      <c r="AB36"/>
      <c r="AC36"/>
      <c r="AD36" s="27">
        <v>1.8963281065225601E-2</v>
      </c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1</v>
      </c>
      <c r="C37">
        <v>0.26346695423126221</v>
      </c>
      <c r="D37" s="14">
        <v>1.1975499801337719E-3</v>
      </c>
      <c r="E37" s="12">
        <v>4.197550006210804E-3</v>
      </c>
      <c r="F37" s="11">
        <v>6.9755001459270716E-4</v>
      </c>
      <c r="G37" s="18">
        <v>1.1925100348889828E-2</v>
      </c>
      <c r="H37" s="11">
        <v>3.1499999749939889E-5</v>
      </c>
      <c r="I37"/>
      <c r="J37" s="11">
        <v>8.3499999163905159E-6</v>
      </c>
      <c r="K37" s="11">
        <v>3.9999999899009708E-6</v>
      </c>
      <c r="L37" s="11">
        <v>8.7377498857676983E-4</v>
      </c>
      <c r="M37" s="11">
        <v>1.102499936678214E-6</v>
      </c>
      <c r="N37" s="12">
        <v>3.9250003173947334E-3</v>
      </c>
      <c r="O37"/>
      <c r="P37"/>
      <c r="Q37"/>
      <c r="R37"/>
      <c r="S37"/>
      <c r="T37"/>
      <c r="U37"/>
      <c r="V37"/>
      <c r="W37" s="17">
        <v>1.4097848907113075E-2</v>
      </c>
      <c r="X37"/>
      <c r="Y37" s="69">
        <v>5.1765967160463333E-2</v>
      </c>
      <c r="Z37"/>
      <c r="AA37"/>
      <c r="AB37"/>
      <c r="AC37"/>
      <c r="AD37" s="17">
        <v>1.3393235392868519E-2</v>
      </c>
      <c r="AE37"/>
      <c r="AF37"/>
      <c r="AG37"/>
      <c r="AH37"/>
      <c r="AI37"/>
      <c r="AJ37"/>
      <c r="AK37" s="11">
        <v>2.9158138204365969E-4</v>
      </c>
      <c r="AL37"/>
      <c r="AM37"/>
      <c r="AN37"/>
      <c r="AO37" s="22">
        <v>6.9861337542533875E-3</v>
      </c>
      <c r="AP37" s="289">
        <v>0.22593134641647339</v>
      </c>
      <c r="AQ37"/>
      <c r="AR37"/>
      <c r="AS37" s="290">
        <v>0.24890373647212982</v>
      </c>
      <c r="AT37"/>
      <c r="AU37"/>
      <c r="AV37" s="77">
        <v>6.4844116568565369E-2</v>
      </c>
      <c r="AW37" s="23">
        <v>6.8358792923390865E-3</v>
      </c>
      <c r="AX37"/>
      <c r="AY37"/>
      <c r="AZ37" s="264">
        <v>8.062174916267395E-2</v>
      </c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1.3200000524520874</v>
      </c>
      <c r="C38">
        <v>0.42263376712799072</v>
      </c>
      <c r="D38" s="11">
        <v>2.3481482639908791E-4</v>
      </c>
      <c r="E38" s="12">
        <v>4.0814816020429134E-3</v>
      </c>
      <c r="F38" s="11">
        <v>3.7851851084269583E-4</v>
      </c>
      <c r="G38" s="11">
        <v>1.1844444088637829E-3</v>
      </c>
      <c r="H38" s="11">
        <v>3.9555554394610226E-5</v>
      </c>
      <c r="I38" s="11">
        <v>1.9777776572027506E-7</v>
      </c>
      <c r="J38" s="11">
        <v>1.5407407772727311E-5</v>
      </c>
      <c r="K38" s="11">
        <v>2.3629629140486941E-5</v>
      </c>
      <c r="L38" s="11">
        <v>7.6029630145058036E-4</v>
      </c>
      <c r="M38" s="11">
        <v>7.1096292231231928E-5</v>
      </c>
      <c r="N38" s="11">
        <v>1.2666666589211673E-4</v>
      </c>
      <c r="O38"/>
      <c r="P38" s="11">
        <v>9.4814811291143997E-7</v>
      </c>
      <c r="Q38"/>
      <c r="R38" s="14">
        <v>2.2040961775928736E-3</v>
      </c>
      <c r="S38" s="14">
        <v>1.3140075607225299E-3</v>
      </c>
      <c r="T38" s="12">
        <v>4.8264013603329659E-3</v>
      </c>
      <c r="U38" s="11">
        <v>1.1149672791361809E-3</v>
      </c>
      <c r="V38" s="14">
        <v>2.2007806692272425E-3</v>
      </c>
      <c r="W38" s="14">
        <v>1.4933596830815077E-3</v>
      </c>
      <c r="X38"/>
      <c r="Y38" s="14">
        <v>3.2820389606058598E-3</v>
      </c>
      <c r="Z38" s="11">
        <v>1.1916350922547281E-4</v>
      </c>
      <c r="AA38" s="14">
        <v>2.485290402546525E-3</v>
      </c>
      <c r="AB38"/>
      <c r="AC38" s="17">
        <v>1.7030974850058556E-2</v>
      </c>
      <c r="AD38" s="14">
        <v>2.1259102504700422E-3</v>
      </c>
      <c r="AE38"/>
      <c r="AF38" s="15">
        <v>1.2453218922019005E-2</v>
      </c>
      <c r="AG38"/>
      <c r="AH38" s="71">
        <v>9.3150906264781952E-2</v>
      </c>
      <c r="AI38" s="11">
        <v>1.185961184091866E-3</v>
      </c>
      <c r="AJ38" s="11">
        <v>1.1959105177083984E-4</v>
      </c>
      <c r="AK38" s="11">
        <v>3.887751663569361E-4</v>
      </c>
      <c r="AL38" s="26">
        <v>3.3710688352584839E-2</v>
      </c>
      <c r="AM38" s="21">
        <v>2.6248572394251823E-2</v>
      </c>
      <c r="AN38" s="11">
        <v>2.3227150086313486E-4</v>
      </c>
      <c r="AO38" s="11">
        <v>1.2419791892170906E-3</v>
      </c>
      <c r="AP38" s="25">
        <v>4.1078425943851471E-2</v>
      </c>
      <c r="AQ38"/>
      <c r="AR38" s="65">
        <v>2.9033055528998375E-2</v>
      </c>
      <c r="AS38" s="304">
        <v>0.20502293109893799</v>
      </c>
      <c r="AT38" s="11">
        <v>2.2357527632266283E-4</v>
      </c>
      <c r="AU38" s="11">
        <v>6.6536269150674343E-4</v>
      </c>
      <c r="AV38" s="19">
        <v>2.4282589554786682E-2</v>
      </c>
      <c r="AW38" s="15">
        <v>1.3431652449071407E-2</v>
      </c>
      <c r="AX38" s="11">
        <v>1.0485999519005418E-3</v>
      </c>
      <c r="AY38"/>
      <c r="AZ38" s="16">
        <v>2.1933460608124733E-2</v>
      </c>
      <c r="BA38" s="11">
        <v>7.022189674898982E-4</v>
      </c>
      <c r="BB38" s="312">
        <v>0.31245121359825134</v>
      </c>
      <c r="BC38"/>
      <c r="BD38"/>
      <c r="BE38"/>
      <c r="BF38" s="266">
        <v>3.1829994171857834E-2</v>
      </c>
      <c r="BG38"/>
      <c r="BH38"/>
      <c r="BI38"/>
      <c r="BJ38"/>
      <c r="BK38" s="14">
        <v>1.8172262934967875E-3</v>
      </c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1.9800000190734863</v>
      </c>
      <c r="C39">
        <v>0.47464722394943237</v>
      </c>
      <c r="D39" s="11">
        <v>1.6835016140248626E-5</v>
      </c>
      <c r="E39" s="11">
        <v>2.3804714146535844E-5</v>
      </c>
      <c r="F39"/>
      <c r="G39"/>
      <c r="H39" s="11">
        <v>8.9898994914960895E-9</v>
      </c>
      <c r="I39"/>
      <c r="J39" s="11">
        <v>2.0707070689240936E-6</v>
      </c>
      <c r="K39" s="11">
        <v>1.7508418181932939E-7</v>
      </c>
      <c r="L39" s="11">
        <v>1.6919192376008141E-6</v>
      </c>
      <c r="M39"/>
      <c r="N39" s="11">
        <v>1.2811448186766938E-6</v>
      </c>
      <c r="O39"/>
      <c r="P39" s="11">
        <v>7.2390577088299324E-8</v>
      </c>
      <c r="Q39"/>
      <c r="R39"/>
      <c r="S39"/>
      <c r="T39" s="11">
        <v>2.0567052706610411E-4</v>
      </c>
      <c r="U39"/>
      <c r="V39"/>
      <c r="W39" s="11">
        <v>9.6971419407054782E-4</v>
      </c>
      <c r="X39"/>
      <c r="Y39" s="14">
        <v>2.7350329328328371E-3</v>
      </c>
      <c r="Z39"/>
      <c r="AA39" s="21">
        <v>3.9538707584142685E-2</v>
      </c>
      <c r="AB39"/>
      <c r="AC39" s="23">
        <v>1.0185989551246166E-2</v>
      </c>
      <c r="AD39" s="14">
        <v>4.831614438444376E-3</v>
      </c>
      <c r="AE39" s="11">
        <v>2.790572470985353E-4</v>
      </c>
      <c r="AF39" s="12">
        <v>9.156450629234314E-3</v>
      </c>
      <c r="AG39"/>
      <c r="AH39" s="66">
        <v>8.223898708820343E-2</v>
      </c>
      <c r="AI39"/>
      <c r="AJ39" s="11">
        <v>9.0599292889237404E-5</v>
      </c>
      <c r="AK39" s="11">
        <v>2.4543885956518352E-5</v>
      </c>
      <c r="AL39" s="17">
        <v>2.6796452701091766E-2</v>
      </c>
      <c r="AM39"/>
      <c r="AN39" s="11">
        <v>1.702933332126122E-5</v>
      </c>
      <c r="AO39" s="11">
        <v>1.8817868549376726E-3</v>
      </c>
      <c r="AP39" s="278">
        <v>7.7454268932342529E-2</v>
      </c>
      <c r="AQ39" s="14">
        <v>2.0577446557581425E-3</v>
      </c>
      <c r="AR39" s="14">
        <v>2.7781203389167786E-3</v>
      </c>
      <c r="AS39"/>
      <c r="AT39" s="11">
        <v>1.6937525651883334E-4</v>
      </c>
      <c r="AU39" s="11">
        <v>1.5121879987418652E-3</v>
      </c>
      <c r="AV39" s="18">
        <v>2.3769443854689598E-2</v>
      </c>
      <c r="AW39" s="260">
        <v>6.5375298261642456E-2</v>
      </c>
      <c r="AX39" s="11">
        <v>1.1136363027617335E-3</v>
      </c>
      <c r="AY39" s="11">
        <v>1.5316519466068712E-6</v>
      </c>
      <c r="AZ39" s="18">
        <v>2.4924388155341148E-2</v>
      </c>
      <c r="BA39" s="11">
        <v>6.3901999965310097E-4</v>
      </c>
      <c r="BB39" s="314">
        <v>0.89903616905212402</v>
      </c>
      <c r="BC39"/>
      <c r="BD39" s="11">
        <v>2.7708860579878092E-4</v>
      </c>
      <c r="BE39" s="14">
        <v>2.787131117656827E-3</v>
      </c>
      <c r="BF39"/>
      <c r="BG39"/>
      <c r="BH39"/>
      <c r="BI39"/>
      <c r="BJ39"/>
      <c r="BK39" s="281">
        <v>0.22445976734161377</v>
      </c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0.70999997854232788</v>
      </c>
      <c r="C40">
        <v>0.21928036212921143</v>
      </c>
      <c r="D40" s="17">
        <v>9.6634607762098312E-3</v>
      </c>
      <c r="E40" s="262">
        <v>7.6490379869937897E-2</v>
      </c>
      <c r="F40" s="23">
        <v>4.2548072524368763E-3</v>
      </c>
      <c r="G40" s="11">
        <v>9.3798071532091853E-8</v>
      </c>
      <c r="H40" s="23">
        <v>4.0480769239366055E-3</v>
      </c>
      <c r="I40" s="12">
        <v>3.3798075746744871E-3</v>
      </c>
      <c r="J40" s="14">
        <v>1.2923077447339892E-3</v>
      </c>
      <c r="K40" s="23">
        <v>3.4951921552419662E-3</v>
      </c>
      <c r="L40" s="11">
        <v>5.2403843255888205E-6</v>
      </c>
      <c r="M40"/>
      <c r="N40" s="11">
        <v>1.0240384654025547E-5</v>
      </c>
      <c r="O40"/>
      <c r="P40" s="14">
        <v>9.0259616263210773E-4</v>
      </c>
      <c r="Q40"/>
      <c r="R40" s="21">
        <v>1.4305432327091694E-2</v>
      </c>
      <c r="S40" s="78">
        <v>0.1007903516292572</v>
      </c>
      <c r="T40" s="17">
        <v>9.1495681554079056E-3</v>
      </c>
      <c r="U40" s="24">
        <v>1.9297508522868156E-2</v>
      </c>
      <c r="V40" s="295">
        <v>7.8561514616012573E-2</v>
      </c>
      <c r="W40"/>
      <c r="X40"/>
      <c r="Y40"/>
      <c r="Z40"/>
      <c r="AA40"/>
      <c r="AB40"/>
      <c r="AC40" s="66">
        <v>2.9088834300637245E-2</v>
      </c>
      <c r="AD40" s="21">
        <v>1.3797974213957787E-2</v>
      </c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 s="23">
        <v>4.3037985451519489E-3</v>
      </c>
      <c r="BE40"/>
      <c r="BF40" s="296">
        <v>0.11788241565227509</v>
      </c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0.92000001668930054</v>
      </c>
      <c r="C41">
        <v>0.24068562686443329</v>
      </c>
      <c r="D41" s="22">
        <v>7.746479008346796E-3</v>
      </c>
      <c r="E41" s="146">
        <v>2.766040712594986E-2</v>
      </c>
      <c r="F41" s="14">
        <v>1.5258216299116611E-3</v>
      </c>
      <c r="G41" s="11">
        <v>1.8309860024601221E-5</v>
      </c>
      <c r="H41" s="11">
        <v>5.3077726624906063E-4</v>
      </c>
      <c r="I41" s="11">
        <v>6.4032344380393624E-4</v>
      </c>
      <c r="J41" s="11">
        <v>6.0824205866083503E-4</v>
      </c>
      <c r="K41" s="11">
        <v>2.2300471027847379E-4</v>
      </c>
      <c r="L41" s="11">
        <v>2.0552946807583794E-5</v>
      </c>
      <c r="M41" s="11">
        <v>1.3081638599032885E-6</v>
      </c>
      <c r="N41" s="11">
        <v>1.4606155673391186E-5</v>
      </c>
      <c r="O41"/>
      <c r="P41" s="11">
        <v>1.6040689661167562E-4</v>
      </c>
      <c r="Q41"/>
      <c r="R41" s="22">
        <v>6.4674192108213902E-3</v>
      </c>
      <c r="S41"/>
      <c r="T41" s="67">
        <v>5.4169565439224243E-2</v>
      </c>
      <c r="U41" s="28">
        <v>3.2061852514743805E-2</v>
      </c>
      <c r="V41" s="12">
        <v>3.8746139034628868E-3</v>
      </c>
      <c r="W41" s="23">
        <v>4.8827151767909527E-3</v>
      </c>
      <c r="X41"/>
      <c r="Y41" s="22">
        <v>7.1264943107962608E-3</v>
      </c>
      <c r="Z41"/>
      <c r="AA41" s="302">
        <v>9.8136469721794128E-2</v>
      </c>
      <c r="AB41"/>
      <c r="AC41" s="276">
        <v>6.9436892867088318E-2</v>
      </c>
      <c r="AD41" s="13">
        <v>3.4932799637317657E-2</v>
      </c>
      <c r="AE41"/>
      <c r="AF41"/>
      <c r="AG41"/>
      <c r="AH41" s="24">
        <v>2.5482501834630966E-2</v>
      </c>
      <c r="AI41"/>
      <c r="AJ41" s="11">
        <v>8.3341772551648319E-5</v>
      </c>
      <c r="AK41" s="11">
        <v>2.2815444026491605E-5</v>
      </c>
      <c r="AL41"/>
      <c r="AM41"/>
      <c r="AN41"/>
      <c r="AO41" s="11">
        <v>4.5553821109933779E-5</v>
      </c>
      <c r="AP41" s="12">
        <v>4.2910557240247726E-3</v>
      </c>
      <c r="AQ41"/>
      <c r="AR41"/>
      <c r="AS41"/>
      <c r="AT41" s="11">
        <v>1.5580732724629343E-4</v>
      </c>
      <c r="AU41"/>
      <c r="AV41" s="11">
        <v>3.7500920007005334E-4</v>
      </c>
      <c r="AW41" s="11">
        <v>4.8131628318515141E-6</v>
      </c>
      <c r="AX41" s="11">
        <v>1.207746536238119E-4</v>
      </c>
      <c r="AY41"/>
      <c r="AZ41" s="16">
        <v>1.3572686351835728E-2</v>
      </c>
      <c r="BA41"/>
      <c r="BB41"/>
      <c r="BC41"/>
      <c r="BD41" s="305">
        <v>0.17290936410427094</v>
      </c>
      <c r="BE41" s="269">
        <v>4.7978781163692474E-2</v>
      </c>
      <c r="BF41" s="270">
        <v>6.4032845199108124E-2</v>
      </c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1.7599999904632568</v>
      </c>
      <c r="C42">
        <v>0.12645421922206879</v>
      </c>
      <c r="D42" s="11">
        <v>1.1822916567325592E-3</v>
      </c>
      <c r="E42" s="14">
        <v>2.0703126210719347E-3</v>
      </c>
      <c r="F42" s="11">
        <v>3.0989581136964262E-4</v>
      </c>
      <c r="G42" s="11">
        <v>5.5513018742203712E-4</v>
      </c>
      <c r="H42" s="11">
        <v>7.6041667489334941E-4</v>
      </c>
      <c r="I42" s="11">
        <v>2.5625000125728548E-4</v>
      </c>
      <c r="J42" s="11">
        <v>3.0273437732830644E-4</v>
      </c>
      <c r="K42" s="11">
        <v>9.492187382420525E-5</v>
      </c>
      <c r="L42" s="11">
        <v>3.9117710548453033E-4</v>
      </c>
      <c r="M42" s="11">
        <v>5.833333489135839E-5</v>
      </c>
      <c r="N42" s="11">
        <v>1.4453125004365575E-5</v>
      </c>
      <c r="O42"/>
      <c r="P42" s="11">
        <v>6.8359375291038305E-5</v>
      </c>
      <c r="Q42"/>
      <c r="R42" s="26">
        <v>4.4878322631120682E-2</v>
      </c>
      <c r="S42" s="260">
        <v>5.8164440095424652E-2</v>
      </c>
      <c r="T42" s="22">
        <v>1.3432856649160385E-2</v>
      </c>
      <c r="U42" s="25">
        <v>5.4877296090126038E-2</v>
      </c>
      <c r="V42" s="69">
        <v>9.0911149978637695E-2</v>
      </c>
      <c r="W42" s="22">
        <v>1.3875244185328484E-2</v>
      </c>
      <c r="X42"/>
      <c r="Y42" s="17">
        <v>2.326914481818676E-2</v>
      </c>
      <c r="Z42" s="14">
        <v>2.4945628829300404E-3</v>
      </c>
      <c r="AA42" s="266">
        <v>4.1190363466739655E-2</v>
      </c>
      <c r="AB42" s="11">
        <v>3.7613700260408223E-4</v>
      </c>
      <c r="AC42" s="109">
        <v>0.11659775674343109</v>
      </c>
      <c r="AD42" s="269">
        <v>9.3423791229724884E-2</v>
      </c>
      <c r="AE42" s="11">
        <v>6.3768948893994093E-4</v>
      </c>
      <c r="AF42" s="13">
        <v>6.5033674240112305E-2</v>
      </c>
      <c r="AG42"/>
      <c r="AH42" s="20">
        <v>7.632804661989212E-2</v>
      </c>
      <c r="AI42" s="14">
        <v>2.0846975967288017E-3</v>
      </c>
      <c r="AJ42" s="11">
        <v>7.138674845919013E-4</v>
      </c>
      <c r="AK42" s="11">
        <v>2.7297786436975002E-4</v>
      </c>
      <c r="AL42" s="25">
        <v>5.6629907339811325E-2</v>
      </c>
      <c r="AM42" s="26">
        <v>4.6140067279338837E-2</v>
      </c>
      <c r="AN42" s="11">
        <v>8.1809167750179768E-4</v>
      </c>
      <c r="AO42" s="14">
        <v>2.5925103109329939E-3</v>
      </c>
      <c r="AP42" s="24">
        <v>4.7122515738010406E-2</v>
      </c>
      <c r="AQ42" s="12">
        <v>6.5153543837368488E-3</v>
      </c>
      <c r="AR42" s="12">
        <v>8.5852695629000664E-3</v>
      </c>
      <c r="AS42" s="65">
        <v>3.8891199976205826E-2</v>
      </c>
      <c r="AT42" s="11">
        <v>5.0762947648763657E-4</v>
      </c>
      <c r="AU42" s="11">
        <v>1.2505229096859694E-3</v>
      </c>
      <c r="AV42" s="15">
        <v>1.5763215720653534E-2</v>
      </c>
      <c r="AW42" s="21">
        <v>3.4893136471509933E-2</v>
      </c>
      <c r="AX42" s="11">
        <v>8.6132809519767761E-4</v>
      </c>
      <c r="AY42"/>
      <c r="AZ42" s="18">
        <v>2.1758709102869034E-2</v>
      </c>
      <c r="BA42" s="23">
        <v>1.1985368095338345E-2</v>
      </c>
      <c r="BB42" s="266">
        <v>4.2975787073373795E-2</v>
      </c>
      <c r="BC42"/>
      <c r="BD42" s="306">
        <v>0.21312008798122406</v>
      </c>
      <c r="BE42" s="309">
        <v>0.33532670140266418</v>
      </c>
      <c r="BF42" s="266">
        <v>3.9987921714782715E-2</v>
      </c>
      <c r="BG42"/>
      <c r="BH42"/>
      <c r="BI42"/>
      <c r="BJ42"/>
      <c r="BK42" s="14">
        <v>3.1943430658429861E-3</v>
      </c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1.9800000190734863</v>
      </c>
      <c r="C43">
        <v>3.4214485436677933E-2</v>
      </c>
      <c r="D43" s="14">
        <v>2.6249999646097422E-3</v>
      </c>
      <c r="E43" s="14">
        <v>4.9178572371602058E-3</v>
      </c>
      <c r="F43" s="11">
        <v>5.4749998525949195E-5</v>
      </c>
      <c r="G43" s="11">
        <v>1.3371428394748364E-5</v>
      </c>
      <c r="H43" s="11">
        <v>6.7178567405790091E-5</v>
      </c>
      <c r="I43" s="11">
        <v>1.1536071724549402E-6</v>
      </c>
      <c r="J43" s="11">
        <v>1.1571428331080824E-4</v>
      </c>
      <c r="K43" s="11">
        <v>1.6071428035502322E-5</v>
      </c>
      <c r="L43" s="11">
        <v>4.2535712054814212E-6</v>
      </c>
      <c r="M43"/>
      <c r="N43" s="11">
        <v>2.6249999791616574E-5</v>
      </c>
      <c r="O43"/>
      <c r="P43" s="11">
        <v>9.2571426648646593E-6</v>
      </c>
      <c r="Q43"/>
      <c r="R43" s="28">
        <v>7.0934504270553589E-2</v>
      </c>
      <c r="S43" s="22">
        <v>1.710556261241436E-2</v>
      </c>
      <c r="T43" s="23">
        <v>1.0180691257119179E-2</v>
      </c>
      <c r="U43" s="21">
        <v>3.8705289363861084E-2</v>
      </c>
      <c r="V43" s="14">
        <v>3.1832719687372446E-3</v>
      </c>
      <c r="W43" s="14">
        <v>4.0114992298185825E-3</v>
      </c>
      <c r="X43"/>
      <c r="Y43" s="11">
        <v>6.3296471489593387E-4</v>
      </c>
      <c r="Z43" s="11">
        <v>7.8346137888729572E-4</v>
      </c>
      <c r="AA43" s="14">
        <v>2.05416907556355E-3</v>
      </c>
      <c r="AB43" s="11">
        <v>1.8570420797914267E-4</v>
      </c>
      <c r="AC43" s="266">
        <v>4.5378580689430237E-2</v>
      </c>
      <c r="AD43" s="24">
        <v>5.5349588394165039E-2</v>
      </c>
      <c r="AE43" s="11">
        <v>7.6690909918397665E-4</v>
      </c>
      <c r="AF43" s="18">
        <v>2.3659350350499153E-2</v>
      </c>
      <c r="AG43"/>
      <c r="AH43" s="269">
        <v>0.1031830683350563</v>
      </c>
      <c r="AI43"/>
      <c r="AJ43" s="11">
        <v>7.3516461998224258E-4</v>
      </c>
      <c r="AK43" s="11">
        <v>4.0925524081103504E-4</v>
      </c>
      <c r="AL43" s="15">
        <v>1.7774617299437523E-2</v>
      </c>
      <c r="AM43"/>
      <c r="AN43" s="14">
        <v>2.4388507008552551E-3</v>
      </c>
      <c r="AO43" s="23">
        <v>9.8055377602577209E-3</v>
      </c>
      <c r="AP43" s="28">
        <v>7.0420153439044952E-2</v>
      </c>
      <c r="AQ43"/>
      <c r="AR43" s="11">
        <v>3.9246949017979205E-4</v>
      </c>
      <c r="AS43" s="14">
        <v>5.3336513228714466E-3</v>
      </c>
      <c r="AT43" s="14">
        <v>2.0346350502222776E-3</v>
      </c>
      <c r="AU43" s="14">
        <v>3.8629190530627966E-3</v>
      </c>
      <c r="AV43" s="22">
        <v>1.5712935477495193E-2</v>
      </c>
      <c r="AW43" s="23">
        <v>1.2739905156195164E-2</v>
      </c>
      <c r="AX43" s="11">
        <v>1.24739995226264E-3</v>
      </c>
      <c r="AY43"/>
      <c r="AZ43" s="17">
        <v>2.5914136320352554E-2</v>
      </c>
      <c r="BA43" s="12">
        <v>8.0321384593844414E-3</v>
      </c>
      <c r="BB43" s="14">
        <v>3.6777453497052193E-3</v>
      </c>
      <c r="BC43"/>
      <c r="BD43" s="71">
        <v>0.140097975730896</v>
      </c>
      <c r="BE43" s="315">
        <v>0.90661382675170898</v>
      </c>
      <c r="BF43" s="146">
        <v>5.9175282716751099E-2</v>
      </c>
      <c r="BG43"/>
      <c r="BH43"/>
      <c r="BI43"/>
      <c r="BJ43"/>
      <c r="BK43" s="282">
        <v>0.14285260438919067</v>
      </c>
      <c r="BL43"/>
      <c r="BM43"/>
      <c r="BN43" s="19">
        <v>3.5648956894874573E-2</v>
      </c>
      <c r="BO43"/>
      <c r="BP43" s="303">
        <v>9.6899949014186859E-2</v>
      </c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2.309999942779541</v>
      </c>
      <c r="C44">
        <v>0.57340461015701294</v>
      </c>
      <c r="D44" s="11">
        <v>3.6055880627827719E-6</v>
      </c>
      <c r="E44" s="11">
        <v>1.4276118017733097E-3</v>
      </c>
      <c r="F44" s="11">
        <v>1.8187177192885429E-4</v>
      </c>
      <c r="G44" s="11">
        <v>1.3000158105569426E-6</v>
      </c>
      <c r="H44" s="11">
        <v>4.0011762757785618E-4</v>
      </c>
      <c r="I44" s="11">
        <v>7.6546122727449983E-5</v>
      </c>
      <c r="J44" s="11">
        <v>1.6939999768510461E-3</v>
      </c>
      <c r="K44" s="22">
        <v>1.6100000590085983E-2</v>
      </c>
      <c r="L44" s="11">
        <v>1.4760926205781288E-5</v>
      </c>
      <c r="M44" s="11">
        <v>1.2367235058263759E-6</v>
      </c>
      <c r="N44" s="11">
        <v>9.3949411166249774E-6</v>
      </c>
      <c r="O44"/>
      <c r="P44" s="11">
        <v>4.0843115129973739E-5</v>
      </c>
      <c r="Q44"/>
      <c r="R44" s="18">
        <v>2.6254678145051003E-2</v>
      </c>
      <c r="S44" s="15">
        <v>2.3146210238337517E-2</v>
      </c>
      <c r="T44" s="65">
        <v>5.1103074103593826E-2</v>
      </c>
      <c r="U44" s="147">
        <v>0.1401907354593277</v>
      </c>
      <c r="V44"/>
      <c r="W44" s="18">
        <v>2.62592863291502E-2</v>
      </c>
      <c r="X44" s="19">
        <v>4.0956683456897736E-2</v>
      </c>
      <c r="Y44" s="14">
        <v>2.7800803072750568E-3</v>
      </c>
      <c r="Z44" s="11">
        <v>2.1076647099107504E-3</v>
      </c>
      <c r="AA44" s="64">
        <v>0.12574732303619385</v>
      </c>
      <c r="AB44" s="12">
        <v>8.5302563384175301E-3</v>
      </c>
      <c r="AC44" s="280">
        <v>0.3651641309261322</v>
      </c>
      <c r="AD44" s="77">
        <v>0.14968910813331604</v>
      </c>
      <c r="AE44" s="11">
        <v>6.5151654416695237E-4</v>
      </c>
      <c r="AF44" s="146">
        <v>6.9129236042499542E-2</v>
      </c>
      <c r="AG44" s="14">
        <v>5.8860187418758869E-3</v>
      </c>
      <c r="AH44" s="22">
        <v>1.8883176147937775E-2</v>
      </c>
      <c r="AI44"/>
      <c r="AJ44" s="11">
        <v>3.9570568333147094E-6</v>
      </c>
      <c r="AK44" s="11">
        <v>2.0925249555148184E-4</v>
      </c>
      <c r="AL44" s="23">
        <v>1.3319188728928566E-2</v>
      </c>
      <c r="AM44"/>
      <c r="AN44" s="11">
        <v>1.571248285472393E-4</v>
      </c>
      <c r="AO44" s="14">
        <v>4.8286509700119495E-3</v>
      </c>
      <c r="AP44" s="28">
        <v>8.1915207207202911E-2</v>
      </c>
      <c r="AQ44"/>
      <c r="AR44" s="11">
        <v>1.2928406940773129E-3</v>
      </c>
      <c r="AS44" s="109">
        <v>0.15461315214633942</v>
      </c>
      <c r="AT44" s="11">
        <v>7.3977130341518205E-6</v>
      </c>
      <c r="AU44" s="14">
        <v>3.0166814103722572E-3</v>
      </c>
      <c r="AV44" s="23">
        <v>1.2855488806962967E-2</v>
      </c>
      <c r="AW44" s="22">
        <v>1.9822347909212112E-2</v>
      </c>
      <c r="AX44" s="11">
        <v>5.447646981338039E-5</v>
      </c>
      <c r="AY44"/>
      <c r="AZ44" s="22">
        <v>1.7848879098892212E-2</v>
      </c>
      <c r="BA44" s="11">
        <v>5.5764452554285526E-5</v>
      </c>
      <c r="BB44" s="66">
        <v>9.3191735446453094E-2</v>
      </c>
      <c r="BC44"/>
      <c r="BD44" s="303">
        <v>0.11295434087514877</v>
      </c>
      <c r="BE44" s="15">
        <v>2.4346405640244484E-2</v>
      </c>
      <c r="BF44" s="15">
        <v>2.1670948714017868E-2</v>
      </c>
      <c r="BG44"/>
      <c r="BH44"/>
      <c r="BI44"/>
      <c r="BJ44"/>
      <c r="BK44" s="260">
        <v>7.8428879380226135E-2</v>
      </c>
      <c r="BL44"/>
      <c r="BM44"/>
      <c r="BN44" s="22">
        <v>1.9571974873542786E-2</v>
      </c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2.6700000762939453</v>
      </c>
      <c r="C45">
        <v>0.13350003957748413</v>
      </c>
      <c r="D45"/>
      <c r="E45"/>
      <c r="F45"/>
      <c r="G45"/>
      <c r="H45"/>
      <c r="I45"/>
      <c r="J45" s="11">
        <v>6.8667809216549358E-8</v>
      </c>
      <c r="K45" s="11">
        <v>1.2769126624334604E-4</v>
      </c>
      <c r="L45"/>
      <c r="M45"/>
      <c r="N45"/>
      <c r="O45"/>
      <c r="P45"/>
      <c r="Q45"/>
      <c r="R45"/>
      <c r="S45" s="12">
        <v>1.2857086956501007E-2</v>
      </c>
      <c r="T45" s="15">
        <v>2.4472367018461227E-2</v>
      </c>
      <c r="U45" s="14">
        <v>3.8711307570338249E-3</v>
      </c>
      <c r="V45" s="12">
        <v>1.1461560614407063E-2</v>
      </c>
      <c r="W45" s="11">
        <v>9.2587448307313025E-5</v>
      </c>
      <c r="X45" s="288">
        <v>0.58644449710845947</v>
      </c>
      <c r="Y45" s="22">
        <v>1.9371729344129562E-2</v>
      </c>
      <c r="Z45" s="14">
        <v>3.1217948999255896E-3</v>
      </c>
      <c r="AA45"/>
      <c r="AB45" s="18">
        <v>3.2094672322273254E-2</v>
      </c>
      <c r="AC45" s="139">
        <v>0.34389343857765198</v>
      </c>
      <c r="AD45" s="276">
        <v>0.20051966607570648</v>
      </c>
      <c r="AE45" s="11">
        <v>1.8408679170534015E-4</v>
      </c>
      <c r="AF45"/>
      <c r="AG45"/>
      <c r="AH45" s="266">
        <v>6.1022080481052399E-2</v>
      </c>
      <c r="AI45"/>
      <c r="AJ45" s="11">
        <v>2.1625848603434861E-5</v>
      </c>
      <c r="AK45" s="11">
        <v>1.4248045044951141E-4</v>
      </c>
      <c r="AL45"/>
      <c r="AM45"/>
      <c r="AN45" s="11">
        <v>1.6576806083321571E-3</v>
      </c>
      <c r="AO45" s="14">
        <v>3.4137554466724396E-3</v>
      </c>
      <c r="AP45"/>
      <c r="AQ45"/>
      <c r="AR45"/>
      <c r="AS45"/>
      <c r="AT45" s="11">
        <v>4.0429495129501447E-5</v>
      </c>
      <c r="AU45" s="11">
        <v>1.0751242516562343E-3</v>
      </c>
      <c r="AV45" s="11">
        <v>1.848868269007653E-4</v>
      </c>
      <c r="AW45" s="11">
        <v>1.033795066177845E-3</v>
      </c>
      <c r="AX45"/>
      <c r="AY45"/>
      <c r="AZ45"/>
      <c r="BA45"/>
      <c r="BB45"/>
      <c r="BC45"/>
      <c r="BD45" s="292">
        <v>0.23986929655075073</v>
      </c>
      <c r="BE45" s="67">
        <v>0.15966767072677612</v>
      </c>
      <c r="BF45" s="313">
        <v>0.61562371253967285</v>
      </c>
      <c r="BG45"/>
      <c r="BH45"/>
      <c r="BI45"/>
      <c r="BJ45"/>
      <c r="BK45" s="77">
        <v>0.17144975066184998</v>
      </c>
      <c r="BL45"/>
      <c r="BM45"/>
      <c r="BN45" s="16">
        <v>4.2785394936800003E-2</v>
      </c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>
        <v>1.2000000476837158</v>
      </c>
      <c r="C46">
        <v>0.33433049917221069</v>
      </c>
      <c r="D46" s="11">
        <v>2.7584360213950276E-4</v>
      </c>
      <c r="E46" s="11">
        <v>2.7584360213950276E-4</v>
      </c>
      <c r="F46"/>
      <c r="G46"/>
      <c r="H46" s="12">
        <v>5.3561865352094173E-3</v>
      </c>
      <c r="I46" s="265">
        <v>0.41778254508972168</v>
      </c>
      <c r="J46"/>
      <c r="K46"/>
      <c r="L46"/>
      <c r="M46"/>
      <c r="N46"/>
      <c r="O46"/>
      <c r="P46"/>
      <c r="Q46"/>
      <c r="R46" s="262">
        <v>0.13002339005470276</v>
      </c>
      <c r="S46" s="28">
        <v>4.2324386537075043E-2</v>
      </c>
      <c r="T46" s="18">
        <v>1.4541247859597206E-2</v>
      </c>
      <c r="U46"/>
      <c r="V46"/>
      <c r="W46" s="23">
        <v>7.7130445279181004E-3</v>
      </c>
      <c r="X46"/>
      <c r="Y46"/>
      <c r="Z46" s="11">
        <v>6.2665727455168962E-4</v>
      </c>
      <c r="AA46" s="266">
        <v>2.8239775449037552E-2</v>
      </c>
      <c r="AB46"/>
      <c r="AC46"/>
      <c r="AD46" s="260">
        <v>4.0992382913827896E-2</v>
      </c>
      <c r="AE46"/>
      <c r="AF46"/>
      <c r="AG46"/>
      <c r="AH46" s="25">
        <v>3.7378489971160889E-2</v>
      </c>
      <c r="AI46"/>
      <c r="AJ46"/>
      <c r="AK46"/>
      <c r="AL46"/>
      <c r="AM46"/>
      <c r="AN46"/>
      <c r="AO46"/>
      <c r="AP46" s="21">
        <v>2.4202607572078705E-2</v>
      </c>
      <c r="AQ46"/>
      <c r="AR46"/>
      <c r="AS46"/>
      <c r="AT46"/>
      <c r="AU46"/>
      <c r="AV46" s="15">
        <v>1.0781463235616684E-2</v>
      </c>
      <c r="AW46"/>
      <c r="AX46" s="11">
        <v>1.0629352182149887E-3</v>
      </c>
      <c r="AY46"/>
      <c r="AZ46"/>
      <c r="BA46"/>
      <c r="BB46"/>
      <c r="BC46"/>
      <c r="BD46" s="294">
        <v>5.3874213248491287E-2</v>
      </c>
      <c r="BE46" s="12">
        <v>5.6653250940144062E-3</v>
      </c>
      <c r="BF46"/>
      <c r="BG46"/>
      <c r="BH46"/>
      <c r="BI46"/>
      <c r="BJ46"/>
      <c r="BK46"/>
      <c r="BL46"/>
      <c r="BM46"/>
      <c r="BN46" s="13">
        <v>4.4553238898515701E-2</v>
      </c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>
        <v>2.6730000972747803</v>
      </c>
      <c r="C47">
        <v>0.17765159904956818</v>
      </c>
      <c r="D47"/>
      <c r="E47"/>
      <c r="F47"/>
      <c r="G47"/>
      <c r="H47" s="11">
        <v>7.8963796568132238E-7</v>
      </c>
      <c r="I47"/>
      <c r="J47" s="11">
        <v>3.5892633604817092E-4</v>
      </c>
      <c r="K47" s="11">
        <v>4.4943822103959974E-6</v>
      </c>
      <c r="L47"/>
      <c r="M47"/>
      <c r="N47" s="11">
        <v>1.6666666269316011E-8</v>
      </c>
      <c r="O47"/>
      <c r="P47" s="11">
        <v>4.5568040150101297E-6</v>
      </c>
      <c r="Q47"/>
      <c r="R47"/>
      <c r="S47"/>
      <c r="T47" s="14">
        <v>6.7871282808482647E-3</v>
      </c>
      <c r="U47" s="23">
        <v>1.7225617542862892E-2</v>
      </c>
      <c r="V47" s="11">
        <v>8.3456566790118814E-4</v>
      </c>
      <c r="W47" s="301">
        <v>0.229217529296875</v>
      </c>
      <c r="X47" s="12">
        <v>9.224841371178627E-3</v>
      </c>
      <c r="Y47" s="17">
        <v>3.5079102963209152E-2</v>
      </c>
      <c r="Z47" s="14">
        <v>6.1620562337338924E-3</v>
      </c>
      <c r="AA47" s="21">
        <v>5.0862681120634079E-2</v>
      </c>
      <c r="AB47" s="12">
        <v>1.1720824986696243E-2</v>
      </c>
      <c r="AC47" s="68">
        <v>0.16995725035667419</v>
      </c>
      <c r="AD47" s="300">
        <v>0.22393716871738434</v>
      </c>
      <c r="AE47" s="11">
        <v>2.398638054728508E-3</v>
      </c>
      <c r="AF47" s="264">
        <v>0.21565926074981689</v>
      </c>
      <c r="AG47" s="18">
        <v>3.1230438500642776E-2</v>
      </c>
      <c r="AH47" s="80">
        <v>0.44868424534797668</v>
      </c>
      <c r="AI47" s="11">
        <v>2.0396032778080553E-4</v>
      </c>
      <c r="AJ47" s="11">
        <v>5.0389485295454506E-6</v>
      </c>
      <c r="AK47" s="11">
        <v>9.0914421889465302E-5</v>
      </c>
      <c r="AL47" s="21">
        <v>5.17779141664505E-2</v>
      </c>
      <c r="AM47" s="18">
        <v>3.3987592905759811E-2</v>
      </c>
      <c r="AN47" s="11">
        <v>9.0617785463109612E-4</v>
      </c>
      <c r="AO47" s="14">
        <v>6.432301364839077E-3</v>
      </c>
      <c r="AP47" s="12">
        <v>1.282098051160574E-2</v>
      </c>
      <c r="AQ47" s="11">
        <v>1.0967894922941923E-4</v>
      </c>
      <c r="AR47" s="11">
        <v>2.0578927069436759E-4</v>
      </c>
      <c r="AS47"/>
      <c r="AT47" s="11">
        <v>9.4203069238574244E-6</v>
      </c>
      <c r="AU47" s="12">
        <v>1.0476727969944477E-2</v>
      </c>
      <c r="AV47" s="12">
        <v>1.2161040678620338E-2</v>
      </c>
      <c r="AW47" s="14">
        <v>4.0166741237044334E-3</v>
      </c>
      <c r="AX47"/>
      <c r="AY47" s="14">
        <v>3.0535412952303886E-3</v>
      </c>
      <c r="AZ47" s="12">
        <v>1.1437655426561832E-2</v>
      </c>
      <c r="BA47"/>
      <c r="BB47" s="148">
        <v>0.67988663911819458</v>
      </c>
      <c r="BC47"/>
      <c r="BD47"/>
      <c r="BE47" s="23">
        <v>1.4066139236092567E-2</v>
      </c>
      <c r="BF47" s="22">
        <v>1.9131977111101151E-2</v>
      </c>
      <c r="BG47"/>
      <c r="BH47" s="23">
        <v>1.7529558390378952E-2</v>
      </c>
      <c r="BI47"/>
      <c r="BJ47"/>
      <c r="BK47" s="25">
        <v>8.3226658403873444E-2</v>
      </c>
      <c r="BL47"/>
      <c r="BM47"/>
      <c r="BN47" s="14">
        <v>3.8942368701100349E-3</v>
      </c>
      <c r="BO47"/>
      <c r="BP47" s="26">
        <v>7.0568002760410309E-2</v>
      </c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239</v>
      </c>
      <c r="B48">
        <v>3.6600000858306885</v>
      </c>
      <c r="C48">
        <v>1.5015031099319458</v>
      </c>
      <c r="D48"/>
      <c r="E48"/>
      <c r="F48"/>
      <c r="G48"/>
      <c r="H48" s="11">
        <v>1.3689604202227201E-5</v>
      </c>
      <c r="I48"/>
      <c r="J48" s="22">
        <v>3.03074661642313E-2</v>
      </c>
      <c r="K48" s="11">
        <v>3.9092237784643658E-6</v>
      </c>
      <c r="L48"/>
      <c r="M48"/>
      <c r="N48"/>
      <c r="O48" s="11">
        <v>3.9824302803026512E-5</v>
      </c>
      <c r="P48"/>
      <c r="Q48"/>
      <c r="R48"/>
      <c r="S48"/>
      <c r="T48" s="11">
        <v>3.8993681664578617E-4</v>
      </c>
      <c r="U48" s="12">
        <v>1.3222889974713326E-2</v>
      </c>
      <c r="V48" s="29">
        <v>0.17400020360946655</v>
      </c>
      <c r="W48" s="11">
        <v>2.1083825267851353E-3</v>
      </c>
      <c r="X48" s="24">
        <v>0.10194195806980133</v>
      </c>
      <c r="Y48" s="23">
        <v>1.9699443131685257E-2</v>
      </c>
      <c r="Z48" s="11">
        <v>1.0706157190725207E-3</v>
      </c>
      <c r="AA48" s="12">
        <v>1.4035315252840519E-2</v>
      </c>
      <c r="AB48" s="14">
        <v>9.6432054415345192E-3</v>
      </c>
      <c r="AC48" s="11">
        <v>1.1870629386976361E-3</v>
      </c>
      <c r="AD48" s="15">
        <v>3.9218839257955551E-2</v>
      </c>
      <c r="AE48" s="11">
        <v>9.2664972180500627E-4</v>
      </c>
      <c r="AF48" s="26">
        <v>9.4794496893882751E-2</v>
      </c>
      <c r="AG48" s="18">
        <v>4.6085149049758911E-2</v>
      </c>
      <c r="AH48" s="147">
        <v>0.22069838643074036</v>
      </c>
      <c r="AI48"/>
      <c r="AJ48" s="11">
        <v>8.913516066968441E-4</v>
      </c>
      <c r="AK48" s="11">
        <v>1.8784159328788519E-4</v>
      </c>
      <c r="AL48"/>
      <c r="AM48"/>
      <c r="AN48" s="14">
        <v>4.8460741527378559E-3</v>
      </c>
      <c r="AO48" s="11">
        <v>2.6594358496367931E-3</v>
      </c>
      <c r="AP48" s="11">
        <v>1.9246111332904547E-4</v>
      </c>
      <c r="AQ48" s="12">
        <v>1.2247609905898571E-2</v>
      </c>
      <c r="AR48" s="23">
        <v>2.0406885072588921E-2</v>
      </c>
      <c r="AS48" s="17">
        <v>4.9562092870473862E-2</v>
      </c>
      <c r="AT48" s="11">
        <v>1.6479676123708487E-3</v>
      </c>
      <c r="AU48" s="14">
        <v>7.9181352630257607E-3</v>
      </c>
      <c r="AV48" s="11">
        <v>1.688292482867837E-3</v>
      </c>
      <c r="AW48" s="11">
        <v>8.0115845776163042E-5</v>
      </c>
      <c r="AX48" s="11">
        <v>1.2784479185938835E-3</v>
      </c>
      <c r="AY48" s="11">
        <v>1.4324371004477143E-3</v>
      </c>
      <c r="AZ48" s="11">
        <v>1.2877158587798476E-3</v>
      </c>
      <c r="BA48" s="23">
        <v>2.2230032831430435E-2</v>
      </c>
      <c r="BB48" s="300">
        <v>0.30927467346191406</v>
      </c>
      <c r="BC48"/>
      <c r="BD48" s="266">
        <v>8.5548564791679382E-2</v>
      </c>
      <c r="BE48" s="147">
        <v>0.22219513356685638</v>
      </c>
      <c r="BF48" s="301">
        <v>0.31412297487258911</v>
      </c>
      <c r="BG48" s="18">
        <v>4.2592313140630722E-2</v>
      </c>
      <c r="BH48" s="11">
        <v>7.9579697921872139E-4</v>
      </c>
      <c r="BI48"/>
      <c r="BJ48"/>
      <c r="BK48"/>
      <c r="BL48"/>
      <c r="BM48" s="22">
        <v>3.026958554983139E-2</v>
      </c>
      <c r="BN48" s="71">
        <v>0.25575384497642517</v>
      </c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240</v>
      </c>
      <c r="B49">
        <v>0.89999997615814209</v>
      </c>
      <c r="C49">
        <v>0.60618108510971069</v>
      </c>
      <c r="D49"/>
      <c r="E49"/>
      <c r="F49"/>
      <c r="G49"/>
      <c r="H49"/>
      <c r="I49"/>
      <c r="J49" s="11">
        <v>1.9714285735972226E-4</v>
      </c>
      <c r="K49"/>
      <c r="L49" s="11">
        <v>6.6142856667283922E-6</v>
      </c>
      <c r="M49"/>
      <c r="N49"/>
      <c r="O49" s="68">
        <v>5.657142773270607E-2</v>
      </c>
      <c r="P49"/>
      <c r="Q49"/>
      <c r="R49"/>
      <c r="S49"/>
      <c r="T49"/>
      <c r="U49"/>
      <c r="V49" s="22">
        <v>7.2154165245592594E-3</v>
      </c>
      <c r="W49"/>
      <c r="X49"/>
      <c r="Y49"/>
      <c r="Z49"/>
      <c r="AA49" s="16">
        <v>1.3694459572434425E-2</v>
      </c>
      <c r="AB49"/>
      <c r="AC49"/>
      <c r="AD49"/>
      <c r="AE49"/>
      <c r="AF49" s="24">
        <v>2.401692233979702E-2</v>
      </c>
      <c r="AG49"/>
      <c r="AH49" s="14">
        <v>2.19326326623559E-3</v>
      </c>
      <c r="AI49"/>
      <c r="AJ49"/>
      <c r="AK49"/>
      <c r="AL49" s="75">
        <v>7.0457950234413147E-2</v>
      </c>
      <c r="AM49" s="278">
        <v>3.504616767168045E-2</v>
      </c>
      <c r="AN49"/>
      <c r="AO49"/>
      <c r="AP49"/>
      <c r="AQ49"/>
      <c r="AR49"/>
      <c r="AS49"/>
      <c r="AT49"/>
      <c r="AU49" s="17">
        <v>1.1943968944251537E-2</v>
      </c>
      <c r="AV49" s="21">
        <v>1.8526889383792877E-2</v>
      </c>
      <c r="AW49"/>
      <c r="AX49" s="12">
        <v>3.9689997211098671E-3</v>
      </c>
      <c r="AY49"/>
      <c r="AZ49"/>
      <c r="BA49"/>
      <c r="BB49" s="64">
        <v>4.9979627132415771E-2</v>
      </c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241</v>
      </c>
      <c r="B50">
        <v>1.690000057220459</v>
      </c>
      <c r="C50">
        <v>0.26750180125236511</v>
      </c>
      <c r="D50"/>
      <c r="E50"/>
      <c r="F50"/>
      <c r="G50"/>
      <c r="H50" s="11">
        <v>2.9213482775958255E-5</v>
      </c>
      <c r="I50" s="11">
        <v>1.8314607075353706E-7</v>
      </c>
      <c r="J50" s="11">
        <v>2.0449439034564421E-5</v>
      </c>
      <c r="K50" s="11">
        <v>2.4606742954347283E-6</v>
      </c>
      <c r="L50" s="11">
        <v>2.7528091095518903E-7</v>
      </c>
      <c r="M50"/>
      <c r="N50"/>
      <c r="O50" s="17">
        <v>2.3033708333969116E-2</v>
      </c>
      <c r="P50" s="11">
        <v>1.00898876098654E-6</v>
      </c>
      <c r="Q50"/>
      <c r="R50"/>
      <c r="S50"/>
      <c r="T50" s="11">
        <v>1.2201577192172408E-3</v>
      </c>
      <c r="U50" s="27">
        <v>0.1296619176864624</v>
      </c>
      <c r="V50" s="20">
        <v>7.3441781103610992E-2</v>
      </c>
      <c r="W50" s="14">
        <v>1.9416072173044086E-3</v>
      </c>
      <c r="X50" s="14">
        <v>3.7121025379747152E-3</v>
      </c>
      <c r="Y50" s="25">
        <v>5.3268607705831528E-2</v>
      </c>
      <c r="Z50"/>
      <c r="AA50"/>
      <c r="AB50" s="14">
        <v>1.6877986490726471E-3</v>
      </c>
      <c r="AC50" s="15">
        <v>1.4956237748265266E-2</v>
      </c>
      <c r="AD50" s="12">
        <v>7.5242891907691956E-3</v>
      </c>
      <c r="AE50" s="11">
        <v>6.0953630600124598E-4</v>
      </c>
      <c r="AF50" s="68">
        <v>0.105757936835289</v>
      </c>
      <c r="AG50"/>
      <c r="AH50" s="28">
        <v>5.8024019002914429E-2</v>
      </c>
      <c r="AI50" s="11">
        <v>1.2849500635638833E-3</v>
      </c>
      <c r="AJ50" s="11">
        <v>5.290896660881117E-5</v>
      </c>
      <c r="AK50" s="11">
        <v>1.9984789832960814E-4</v>
      </c>
      <c r="AL50" s="22">
        <v>1.284652017056942E-2</v>
      </c>
      <c r="AM50"/>
      <c r="AN50" s="11">
        <v>3.262240206822753E-4</v>
      </c>
      <c r="AO50" s="14">
        <v>3.5323151387274265E-3</v>
      </c>
      <c r="AP50" s="23">
        <v>1.0615773499011993E-2</v>
      </c>
      <c r="AQ50" s="11">
        <v>1.2016999535262585E-3</v>
      </c>
      <c r="AR50" s="12">
        <v>6.7910458892583847E-3</v>
      </c>
      <c r="AS50" s="109">
        <v>0.1129855141043663</v>
      </c>
      <c r="AT50" s="11">
        <v>9.8913238616660237E-5</v>
      </c>
      <c r="AU50" s="14">
        <v>2.7169648092240095E-3</v>
      </c>
      <c r="AV50" s="14">
        <v>4.5395237393677235E-3</v>
      </c>
      <c r="AW50" s="11">
        <v>1.8029962666332722E-4</v>
      </c>
      <c r="AX50" s="12">
        <v>6.64473045617342E-3</v>
      </c>
      <c r="AY50" s="11">
        <v>1.0992748429998755E-3</v>
      </c>
      <c r="AZ50" s="11">
        <v>2.1411293346318416E-5</v>
      </c>
      <c r="BA50" s="18">
        <v>1.8552398309111595E-2</v>
      </c>
      <c r="BB50" s="75">
        <v>0.13350501656532288</v>
      </c>
      <c r="BC50"/>
      <c r="BD50" s="26">
        <v>4.3151106685400009E-2</v>
      </c>
      <c r="BE50" s="281">
        <v>0.1911846399307251</v>
      </c>
      <c r="BF50" s="266">
        <v>4.1393950581550598E-2</v>
      </c>
      <c r="BG50"/>
      <c r="BH50" s="28">
        <v>6.1070717871189117E-2</v>
      </c>
      <c r="BI50"/>
      <c r="BJ50"/>
      <c r="BK50"/>
      <c r="BL50"/>
      <c r="BM50" s="14">
        <v>3.8780125323683023E-3</v>
      </c>
      <c r="BN50" s="310">
        <v>0.28973129391670227</v>
      </c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242</v>
      </c>
      <c r="B51">
        <v>3.0999999046325684</v>
      </c>
      <c r="C51">
        <v>0.30999988317489624</v>
      </c>
      <c r="D51"/>
      <c r="E51"/>
      <c r="F51"/>
      <c r="G51"/>
      <c r="H51" s="11">
        <v>7.739311627119605E-7</v>
      </c>
      <c r="I51"/>
      <c r="J51" s="11">
        <v>2.7522779419086874E-5</v>
      </c>
      <c r="K51" s="11">
        <v>3.5599265402197489E-7</v>
      </c>
      <c r="L51"/>
      <c r="M51"/>
      <c r="N51" s="11">
        <v>1.5525669732596725E-4</v>
      </c>
      <c r="O51"/>
      <c r="P51" s="11">
        <v>6.2337921917787753E-6</v>
      </c>
      <c r="Q51"/>
      <c r="R51"/>
      <c r="S51"/>
      <c r="T51"/>
      <c r="U51" s="14">
        <v>3.9342301897704601E-3</v>
      </c>
      <c r="V51" s="11">
        <v>2.0967093296349049E-3</v>
      </c>
      <c r="W51"/>
      <c r="X51"/>
      <c r="Y51" s="12">
        <v>1.1580877006053925E-2</v>
      </c>
      <c r="Z51"/>
      <c r="AA51"/>
      <c r="AB51"/>
      <c r="AC51"/>
      <c r="AD51" s="17">
        <v>4.5008428394794464E-2</v>
      </c>
      <c r="AE51" s="11">
        <v>1.1816048208856955E-4</v>
      </c>
      <c r="AF51" s="17">
        <v>4.3941948562860489E-2</v>
      </c>
      <c r="AG51" s="17">
        <v>4.484877735376358E-2</v>
      </c>
      <c r="AH51" s="264">
        <v>0.2517150342464447</v>
      </c>
      <c r="AI51" s="11">
        <v>5.1241682376712561E-4</v>
      </c>
      <c r="AJ51" s="11">
        <v>1.2659531421377324E-5</v>
      </c>
      <c r="AK51" s="11">
        <v>2.0554391085170209E-4</v>
      </c>
      <c r="AL51" s="18">
        <v>3.8673479110002518E-2</v>
      </c>
      <c r="AM51" s="24">
        <v>8.5388243198394775E-2</v>
      </c>
      <c r="AN51"/>
      <c r="AO51"/>
      <c r="AP51"/>
      <c r="AQ51" s="11">
        <v>2.7555035194382071E-4</v>
      </c>
      <c r="AR51" s="22">
        <v>2.5850581005215645E-2</v>
      </c>
      <c r="AS51" s="29">
        <v>0.14833040535449982</v>
      </c>
      <c r="AT51" s="11">
        <v>2.3666974811931141E-5</v>
      </c>
      <c r="AU51" s="14">
        <v>6.3121798448264599E-3</v>
      </c>
      <c r="AV51" s="18">
        <v>3.3934827893972397E-2</v>
      </c>
      <c r="AW51" s="23">
        <v>1.7615621909499168E-2</v>
      </c>
      <c r="AX51" s="14">
        <v>6.4318617805838585E-3</v>
      </c>
      <c r="AY51" s="14">
        <v>7.6715205796062946E-3</v>
      </c>
      <c r="AZ51" s="14">
        <v>8.0458661541342735E-3</v>
      </c>
      <c r="BA51" s="12">
        <v>1.1905455961823463E-2</v>
      </c>
      <c r="BB51" s="307">
        <v>1.4493001699447632</v>
      </c>
      <c r="BC51"/>
      <c r="BD51"/>
      <c r="BE51"/>
      <c r="BF51"/>
      <c r="BG51" s="11">
        <v>2.4331330787390471E-3</v>
      </c>
      <c r="BH51"/>
      <c r="BI51"/>
      <c r="BJ51"/>
      <c r="BK51" s="279">
        <v>0.54364258050918579</v>
      </c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243</v>
      </c>
      <c r="B52">
        <v>1.5</v>
      </c>
      <c r="C52">
        <v>0.35998088121414185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14">
        <v>3.0285832472145557E-3</v>
      </c>
      <c r="V52" s="29">
        <v>7.0241212844848633E-2</v>
      </c>
      <c r="W52" s="14">
        <v>2.3179484996944666E-3</v>
      </c>
      <c r="X52" s="283">
        <v>0.12258162349462509</v>
      </c>
      <c r="Y52" s="12">
        <v>5.7947481982409954E-3</v>
      </c>
      <c r="Z52"/>
      <c r="AA52" s="11">
        <v>4.725552280433476E-4</v>
      </c>
      <c r="AB52" s="11">
        <v>2.2086886019678786E-5</v>
      </c>
      <c r="AC52"/>
      <c r="AD52" s="22">
        <v>1.2511644512414932E-2</v>
      </c>
      <c r="AE52" s="11">
        <v>6.4430217025801539E-4</v>
      </c>
      <c r="AF52" s="25">
        <v>4.6251650899648666E-2</v>
      </c>
      <c r="AG52" s="14">
        <v>2.8832214884459972E-3</v>
      </c>
      <c r="AH52" s="260">
        <v>5.0548955798149109E-2</v>
      </c>
      <c r="AI52" s="14">
        <v>2.3043043911457062E-3</v>
      </c>
      <c r="AJ52" s="11">
        <v>1.3535204743675422E-5</v>
      </c>
      <c r="AK52" s="11">
        <v>1.6720460553187877E-4</v>
      </c>
      <c r="AL52" s="12">
        <v>4.9618273042142391E-3</v>
      </c>
      <c r="AM52"/>
      <c r="AN52" s="11">
        <v>2.9209192143753171E-4</v>
      </c>
      <c r="AO52" s="11">
        <v>1.2299531372264028E-3</v>
      </c>
      <c r="AP52" s="11">
        <v>4.1326388600282371E-4</v>
      </c>
      <c r="AQ52" s="11">
        <v>3.074195992667228E-4</v>
      </c>
      <c r="AR52" s="17">
        <v>1.9899865612387657E-2</v>
      </c>
      <c r="AS52" s="69">
        <v>7.7225267887115479E-2</v>
      </c>
      <c r="AT52" s="11">
        <v>2.5304045266238973E-5</v>
      </c>
      <c r="AU52" s="14">
        <v>1.7791815334931016E-3</v>
      </c>
      <c r="AV52" s="14">
        <v>4.3538562022149563E-3</v>
      </c>
      <c r="AW52" s="12">
        <v>6.1506829224526882E-3</v>
      </c>
      <c r="AX52"/>
      <c r="AY52" s="11">
        <v>1.379343681037426E-3</v>
      </c>
      <c r="AZ52"/>
      <c r="BA52"/>
      <c r="BB52" s="78">
        <v>0.21250966191291809</v>
      </c>
      <c r="BC52"/>
      <c r="BD52"/>
      <c r="BE52" s="18">
        <v>1.850610040128231E-2</v>
      </c>
      <c r="BF52" s="109">
        <v>9.867018461227417E-2</v>
      </c>
      <c r="BG52" s="21">
        <v>2.9266148805618286E-2</v>
      </c>
      <c r="BH52" s="13">
        <v>5.4681025445461273E-2</v>
      </c>
      <c r="BI52"/>
      <c r="BJ52"/>
      <c r="BK52"/>
      <c r="BL52"/>
      <c r="BM52" s="17">
        <v>2.0798921585083008E-2</v>
      </c>
      <c r="BN52" s="311">
        <v>0.26778557896614075</v>
      </c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244</v>
      </c>
      <c r="B53">
        <v>2.5968000888824463</v>
      </c>
      <c r="C53">
        <v>2.0849599838256836</v>
      </c>
      <c r="D53"/>
      <c r="E53"/>
      <c r="F53"/>
      <c r="G53"/>
      <c r="H53"/>
      <c r="I53"/>
      <c r="J53" s="11">
        <v>1.6055283776950091E-4</v>
      </c>
      <c r="K53" s="11">
        <v>5.7674319577927236E-6</v>
      </c>
      <c r="L53"/>
      <c r="M53"/>
      <c r="N53" s="11">
        <v>2.7174478418601211E-6</v>
      </c>
      <c r="O53"/>
      <c r="P53"/>
      <c r="Q53"/>
      <c r="R53"/>
      <c r="S53"/>
      <c r="T53" s="11">
        <v>4.6549976673304627E-7</v>
      </c>
      <c r="U53" s="11">
        <v>3.649742211564444E-6</v>
      </c>
      <c r="V53" s="14">
        <v>7.1011362597346306E-3</v>
      </c>
      <c r="W53"/>
      <c r="X53"/>
      <c r="Y53" s="11">
        <v>3.9136857958510518E-4</v>
      </c>
      <c r="Z53" s="9">
        <v>1.7477195246584643E-9</v>
      </c>
      <c r="AA53"/>
      <c r="AB53"/>
      <c r="AC53"/>
      <c r="AD53" s="11">
        <v>4.4736237032338977E-4</v>
      </c>
      <c r="AE53"/>
      <c r="AF53" s="11">
        <v>2.9117471422068775E-4</v>
      </c>
      <c r="AG53" s="11">
        <v>3.7163871456868947E-4</v>
      </c>
      <c r="AH53" s="11">
        <v>1.0877945460379124E-3</v>
      </c>
      <c r="AI53" s="11">
        <v>1.2919699656777084E-4</v>
      </c>
      <c r="AJ53" s="11">
        <v>6.4662497578638067E-9</v>
      </c>
      <c r="AK53" s="11">
        <v>1.5135083231143653E-7</v>
      </c>
      <c r="AL53" s="11">
        <v>2.5626397109590471E-4</v>
      </c>
      <c r="AM53" s="11">
        <v>8.851882885210216E-4</v>
      </c>
      <c r="AN53" s="11">
        <v>4.2903732122567817E-8</v>
      </c>
      <c r="AO53" s="11">
        <v>3.6299144994700328E-5</v>
      </c>
      <c r="AP53"/>
      <c r="AQ53" s="11">
        <v>6.5493979128916635E-9</v>
      </c>
      <c r="AR53" s="11">
        <v>2.8549169655889273E-5</v>
      </c>
      <c r="AS53"/>
      <c r="AT53" s="11">
        <v>1.2088644751884203E-8</v>
      </c>
      <c r="AU53" s="11">
        <v>4.8286428864230402E-6</v>
      </c>
      <c r="AV53" s="11">
        <v>2.5474632275290787E-4</v>
      </c>
      <c r="AW53" s="11">
        <v>7.5205702160019428E-5</v>
      </c>
      <c r="AX53" s="11">
        <v>2.1997297153575346E-5</v>
      </c>
      <c r="AY53" s="11">
        <v>1.546905841678381E-3</v>
      </c>
      <c r="AZ53"/>
      <c r="BA53" s="11">
        <v>8.3820319559890777E-5</v>
      </c>
      <c r="BB53" s="22">
        <v>1.817818358540535E-2</v>
      </c>
      <c r="BC53" s="11">
        <v>1.2753382325172424E-3</v>
      </c>
      <c r="BD53"/>
      <c r="BE53" s="14">
        <v>7.4073444120585918E-3</v>
      </c>
      <c r="BF53" s="14">
        <v>6.6885370761156082E-3</v>
      </c>
      <c r="BG53" s="21">
        <v>5.1895227283239365E-2</v>
      </c>
      <c r="BH53" s="14">
        <v>7.5309760868549347E-3</v>
      </c>
      <c r="BI53" s="14">
        <v>3.3711756113916636E-3</v>
      </c>
      <c r="BJ53"/>
      <c r="BK53" s="11">
        <v>1.6626305878162384E-3</v>
      </c>
      <c r="BL53" s="278">
        <v>0.10415549576282501</v>
      </c>
      <c r="BM53" s="23">
        <v>1.3457388617098331E-2</v>
      </c>
      <c r="BN53" s="24">
        <v>7.3473721742630005E-2</v>
      </c>
      <c r="BO53" s="17">
        <v>3.6409132182598114E-2</v>
      </c>
      <c r="BP53" s="146">
        <v>7.4288129806518555E-2</v>
      </c>
      <c r="BQ53" s="13">
        <v>9.8860003054141998E-2</v>
      </c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245</v>
      </c>
      <c r="B54">
        <v>5.3498001098632812</v>
      </c>
      <c r="C54">
        <v>4.6598668098449707</v>
      </c>
      <c r="D54"/>
      <c r="E54"/>
      <c r="F54"/>
      <c r="G54"/>
      <c r="H54"/>
      <c r="I54"/>
      <c r="J54" s="11">
        <v>1.8128316980892123E-7</v>
      </c>
      <c r="K54"/>
      <c r="L54"/>
      <c r="M54"/>
      <c r="N54"/>
      <c r="O54"/>
      <c r="P54"/>
      <c r="Q54"/>
      <c r="R54"/>
      <c r="S54"/>
      <c r="T54" s="11">
        <v>5.3126115062696044E-7</v>
      </c>
      <c r="U54" s="11">
        <v>2.168080982301035E-6</v>
      </c>
      <c r="V54" s="11">
        <v>3.1790363136678934E-3</v>
      </c>
      <c r="W54"/>
      <c r="X54"/>
      <c r="Y54" s="11">
        <v>9.1171503299847245E-5</v>
      </c>
      <c r="Z54"/>
      <c r="AA54"/>
      <c r="AB54" s="11">
        <v>1.1888278095284477E-6</v>
      </c>
      <c r="AC54"/>
      <c r="AD54" s="11">
        <v>4.9212906105822185E-7</v>
      </c>
      <c r="AE54"/>
      <c r="AF54" s="11">
        <v>3.4593696909723803E-5</v>
      </c>
      <c r="AG54"/>
      <c r="AH54" s="11">
        <v>2.8719555120915174E-4</v>
      </c>
      <c r="AI54" s="11">
        <v>1.3446826869767392E-6</v>
      </c>
      <c r="AJ54" s="9">
        <v>2.3531616655247944E-9</v>
      </c>
      <c r="AK54" s="11">
        <v>7.7998221215125341E-9</v>
      </c>
      <c r="AL54"/>
      <c r="AM54"/>
      <c r="AN54" s="11">
        <v>1.6035041738859945E-8</v>
      </c>
      <c r="AO54"/>
      <c r="AP54"/>
      <c r="AQ54"/>
      <c r="AR54" s="11">
        <v>9.7986821856466122E-7</v>
      </c>
      <c r="AS54"/>
      <c r="AT54" s="9">
        <v>4.3992325338138016E-9</v>
      </c>
      <c r="AU54"/>
      <c r="AV54" s="11">
        <v>1.9260012322774855E-6</v>
      </c>
      <c r="AW54" s="11">
        <v>9.9387762020342052E-6</v>
      </c>
      <c r="AX54"/>
      <c r="AY54" s="11">
        <v>5.3200573893263936E-4</v>
      </c>
      <c r="AZ54"/>
      <c r="BA54" s="11">
        <v>3.9052825741237029E-5</v>
      </c>
      <c r="BB54" s="11">
        <v>3.6674186121672392E-3</v>
      </c>
      <c r="BC54" s="11">
        <v>2.0202613086439669E-4</v>
      </c>
      <c r="BD54"/>
      <c r="BE54" s="14">
        <v>9.746757335960865E-3</v>
      </c>
      <c r="BF54" s="11">
        <v>4.0363050065934658E-3</v>
      </c>
      <c r="BG54" s="14">
        <v>1.1572848074138165E-2</v>
      </c>
      <c r="BH54" s="11">
        <v>3.7243360566208139E-5</v>
      </c>
      <c r="BI54" s="11">
        <v>1.3350682565942407E-3</v>
      </c>
      <c r="BJ54" s="11">
        <v>7.6236410677665845E-6</v>
      </c>
      <c r="BK54" s="11">
        <v>3.2922124955803156E-4</v>
      </c>
      <c r="BL54" s="23">
        <v>3.6395411938428879E-2</v>
      </c>
      <c r="BM54" s="11">
        <v>1.5362068079411983E-3</v>
      </c>
      <c r="BN54" s="22">
        <v>4.3817255645990372E-2</v>
      </c>
      <c r="BO54" s="14">
        <v>1.5110012143850327E-2</v>
      </c>
      <c r="BP54" s="23">
        <v>2.9419921338558197E-2</v>
      </c>
      <c r="BQ54" s="284">
        <v>0.52853822708129883</v>
      </c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246</v>
      </c>
      <c r="B55">
        <v>1.6207000017166138</v>
      </c>
      <c r="C55">
        <v>0.34759515523910522</v>
      </c>
      <c r="D55"/>
      <c r="E55"/>
      <c r="F55"/>
      <c r="G55"/>
      <c r="H55" s="11">
        <v>8.1735160861740042E-9</v>
      </c>
      <c r="I55"/>
      <c r="J55" s="11">
        <v>2.3059359932631196E-7</v>
      </c>
      <c r="K55"/>
      <c r="L55"/>
      <c r="M55"/>
      <c r="N55" s="11">
        <v>4.5159818995443857E-8</v>
      </c>
      <c r="O55"/>
      <c r="P55"/>
      <c r="Q55"/>
      <c r="R55"/>
      <c r="S55"/>
      <c r="T55"/>
      <c r="U55" s="11">
        <v>2.0161052816547453E-5</v>
      </c>
      <c r="V55" s="11">
        <v>1.3566456618718803E-4</v>
      </c>
      <c r="W55"/>
      <c r="X55"/>
      <c r="Y55" s="11">
        <v>7.418308814521879E-5</v>
      </c>
      <c r="Z55"/>
      <c r="AA55"/>
      <c r="AB55"/>
      <c r="AC55"/>
      <c r="AD55" s="11">
        <v>6.1156322317401646E-7</v>
      </c>
      <c r="AE55" s="11">
        <v>1.0321293757442618E-6</v>
      </c>
      <c r="AF55" s="11">
        <v>2.4843501159921288E-4</v>
      </c>
      <c r="AG55" s="11">
        <v>1.3981200754642487E-4</v>
      </c>
      <c r="AH55" s="11">
        <v>6.3731189584359527E-5</v>
      </c>
      <c r="AI55" s="11">
        <v>4.6251498133642599E-5</v>
      </c>
      <c r="AJ55"/>
      <c r="AK55" s="11">
        <v>1.5977059675265082E-8</v>
      </c>
      <c r="AL55" s="11">
        <v>2.2520807397086173E-4</v>
      </c>
      <c r="AM55" s="11">
        <v>1.1201971210539341E-4</v>
      </c>
      <c r="AN55"/>
      <c r="AO55" s="11">
        <v>3.8280180092442606E-7</v>
      </c>
      <c r="AP55"/>
      <c r="AQ55"/>
      <c r="AR55"/>
      <c r="AS55" s="11">
        <v>6.3646616581536364E-6</v>
      </c>
      <c r="AT55"/>
      <c r="AU55"/>
      <c r="AV55" s="11">
        <v>5.9218371461611241E-5</v>
      </c>
      <c r="AW55"/>
      <c r="AX55"/>
      <c r="AY55" s="11">
        <v>2.4147961812559515E-4</v>
      </c>
      <c r="AZ55"/>
      <c r="BA55" s="11">
        <v>4.7663885197835043E-5</v>
      </c>
      <c r="BB55" s="14">
        <v>3.3156122080981731E-3</v>
      </c>
      <c r="BC55" s="266">
        <v>3.7882488220930099E-2</v>
      </c>
      <c r="BD55"/>
      <c r="BE55" s="12">
        <v>5.6697116233408451E-3</v>
      </c>
      <c r="BF55" s="11">
        <v>8.3971029380336404E-4</v>
      </c>
      <c r="BG55" s="64">
        <v>8.8112935423851013E-2</v>
      </c>
      <c r="BH55" s="23">
        <v>1.0754765942692757E-2</v>
      </c>
      <c r="BI55" s="11">
        <v>4.9377203686162829E-4</v>
      </c>
      <c r="BJ55"/>
      <c r="BK55"/>
      <c r="BL55" s="18">
        <v>1.9144197925925255E-2</v>
      </c>
      <c r="BM55" s="14">
        <v>2.1004537120461464E-3</v>
      </c>
      <c r="BN55"/>
      <c r="BO55"/>
      <c r="BP55"/>
      <c r="BQ55" s="318">
        <v>1.1033687591552734</v>
      </c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247</v>
      </c>
      <c r="B56">
        <v>4.0234999656677246</v>
      </c>
      <c r="C56">
        <v>2.0217680931091309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1">
        <v>2.9955799618619494E-8</v>
      </c>
      <c r="U56" s="11">
        <v>3.1635264167562127E-4</v>
      </c>
      <c r="V56" s="12">
        <v>1.7406079918146133E-2</v>
      </c>
      <c r="W56"/>
      <c r="X56"/>
      <c r="Y56"/>
      <c r="Z56"/>
      <c r="AA56"/>
      <c r="AB56"/>
      <c r="AC56"/>
      <c r="AD56" s="11">
        <v>3.6191409890307114E-5</v>
      </c>
      <c r="AE56" s="11">
        <v>1.1876646794917178E-6</v>
      </c>
      <c r="AF56" s="11">
        <v>8.8334621977992356E-5</v>
      </c>
      <c r="AG56" s="11">
        <v>1.6088077973108739E-4</v>
      </c>
      <c r="AH56" s="11">
        <v>1.1000259546563029E-3</v>
      </c>
      <c r="AI56" s="11">
        <v>7.433814462274313E-4</v>
      </c>
      <c r="AJ56" s="11">
        <v>3.3578434255332468E-8</v>
      </c>
      <c r="AK56" s="11">
        <v>1.5305265321785555E-7</v>
      </c>
      <c r="AL56"/>
      <c r="AM56"/>
      <c r="AN56" s="9">
        <v>1.7696178966630782E-9</v>
      </c>
      <c r="AO56" s="11">
        <v>3.670730166049907E-6</v>
      </c>
      <c r="AP56"/>
      <c r="AQ56" s="11">
        <v>7.8272307746374281E-7</v>
      </c>
      <c r="AR56" s="11">
        <v>5.8798946156457532E-6</v>
      </c>
      <c r="AS56"/>
      <c r="AT56" s="11">
        <v>6.2774830666967318E-8</v>
      </c>
      <c r="AU56"/>
      <c r="AV56" s="11">
        <v>6.9653106038458645E-6</v>
      </c>
      <c r="AW56" s="11">
        <v>3.3809963497333229E-5</v>
      </c>
      <c r="AX56"/>
      <c r="AY56" s="11">
        <v>1.9553746096789837E-4</v>
      </c>
      <c r="AZ56"/>
      <c r="BA56" s="11">
        <v>5.2852102089673281E-4</v>
      </c>
      <c r="BB56" s="22">
        <v>3.0140498653054237E-2</v>
      </c>
      <c r="BC56" s="18">
        <v>4.5138750225305557E-2</v>
      </c>
      <c r="BD56"/>
      <c r="BE56" s="12">
        <v>1.908903568983078E-2</v>
      </c>
      <c r="BF56" s="16">
        <v>6.3772454857826233E-2</v>
      </c>
      <c r="BG56" s="17">
        <v>5.5535763502120972E-2</v>
      </c>
      <c r="BH56" s="14">
        <v>1.0471527464687824E-2</v>
      </c>
      <c r="BI56" s="14">
        <v>9.6590649336576462E-3</v>
      </c>
      <c r="BJ56" s="11">
        <v>6.488961516879499E-4</v>
      </c>
      <c r="BK56" s="14">
        <v>6.1648604460060596E-3</v>
      </c>
      <c r="BL56" s="28">
        <v>0.14181233942508698</v>
      </c>
      <c r="BM56" s="11">
        <v>1.5117432922124863E-3</v>
      </c>
      <c r="BN56" s="19">
        <v>7.211458683013916E-2</v>
      </c>
      <c r="BO56"/>
      <c r="BP56" s="21">
        <v>7.5123444199562073E-2</v>
      </c>
      <c r="BQ56" s="306">
        <v>0.4898608922958374</v>
      </c>
      <c r="BR56"/>
      <c r="BS56" s="14">
        <v>1.03552071377635E-2</v>
      </c>
      <c r="BT56" s="147">
        <v>0.24199999868869781</v>
      </c>
      <c r="BU56" s="317">
        <v>0.70770484209060669</v>
      </c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248</v>
      </c>
      <c r="B57">
        <v>4.762700080871582</v>
      </c>
      <c r="C57">
        <v>2.078887939453125</v>
      </c>
      <c r="D57"/>
      <c r="E57"/>
      <c r="F57"/>
      <c r="G57"/>
      <c r="H57"/>
      <c r="I57"/>
      <c r="J57" s="11">
        <v>1.0639156243996695E-4</v>
      </c>
      <c r="K57" s="11">
        <v>7.8826474236848298E-7</v>
      </c>
      <c r="L57"/>
      <c r="M57"/>
      <c r="N57"/>
      <c r="O57" s="11">
        <v>1.2734746633213945E-5</v>
      </c>
      <c r="P57"/>
      <c r="Q57"/>
      <c r="R57"/>
      <c r="S57"/>
      <c r="T57" s="11">
        <v>1.1597251614148263E-5</v>
      </c>
      <c r="U57" s="11">
        <v>3.6395722418092191E-4</v>
      </c>
      <c r="V57" s="23">
        <v>2.3946592584252357E-2</v>
      </c>
      <c r="W57"/>
      <c r="X57" s="12">
        <v>1.877167820930481E-2</v>
      </c>
      <c r="Y57" s="11">
        <v>2.6188595802523196E-4</v>
      </c>
      <c r="Z57" s="11">
        <v>6.3651896198280156E-5</v>
      </c>
      <c r="AA57"/>
      <c r="AB57" s="11">
        <v>9.7788968034251411E-9</v>
      </c>
      <c r="AC57"/>
      <c r="AD57"/>
      <c r="AE57" s="11">
        <v>1.5789330063853413E-4</v>
      </c>
      <c r="AF57" s="11">
        <v>2.9380884952843189E-3</v>
      </c>
      <c r="AG57" s="11">
        <v>2.5369678623974323E-3</v>
      </c>
      <c r="AH57" s="22">
        <v>3.7797980010509491E-2</v>
      </c>
      <c r="AI57" s="11">
        <v>6.5312022343277931E-4</v>
      </c>
      <c r="AJ57" s="11">
        <v>9.2172922450117767E-5</v>
      </c>
      <c r="AK57" s="11">
        <v>5.9928468544967473E-5</v>
      </c>
      <c r="AL57" s="11">
        <v>1.6623652772977948E-3</v>
      </c>
      <c r="AM57" s="11">
        <v>1.7575970850884914E-3</v>
      </c>
      <c r="AN57" s="11">
        <v>2.0873920584563166E-4</v>
      </c>
      <c r="AO57" s="11">
        <v>7.320040458580479E-5</v>
      </c>
      <c r="AP57"/>
      <c r="AQ57" s="11">
        <v>1.7856203485280275E-3</v>
      </c>
      <c r="AR57" s="14">
        <v>7.1595823392271996E-3</v>
      </c>
      <c r="AS57" s="12">
        <v>1.4925798401236534E-2</v>
      </c>
      <c r="AT57" s="11">
        <v>1.7079671670217067E-4</v>
      </c>
      <c r="AU57" s="11">
        <v>2.1994909911882132E-4</v>
      </c>
      <c r="AV57" s="11">
        <v>1.0452826973050833E-3</v>
      </c>
      <c r="AW57" s="11">
        <v>8.4197457181289792E-4</v>
      </c>
      <c r="AX57" s="11">
        <v>3.8388006942113861E-5</v>
      </c>
      <c r="AY57" s="11">
        <v>2.2496187593787909E-3</v>
      </c>
      <c r="AZ57" s="11">
        <v>1.5359113376689493E-6</v>
      </c>
      <c r="BA57" s="11">
        <v>2.3327807430177927E-3</v>
      </c>
      <c r="BB57" s="29">
        <v>0.22665113210678101</v>
      </c>
      <c r="BC57" s="18">
        <v>6.0536958277225494E-2</v>
      </c>
      <c r="BD57"/>
      <c r="BE57" s="65">
        <v>0.1056378111243248</v>
      </c>
      <c r="BF57" s="20">
        <v>0.20800209045410156</v>
      </c>
      <c r="BG57" s="26">
        <v>0.12348694354295731</v>
      </c>
      <c r="BH57" s="14">
        <v>1.0221933946013451E-2</v>
      </c>
      <c r="BI57" s="266">
        <v>0.11417607963085175</v>
      </c>
      <c r="BJ57" s="11">
        <v>4.3133524741278961E-5</v>
      </c>
      <c r="BK57" s="19">
        <v>7.9952336847782135E-2</v>
      </c>
      <c r="BL57" s="24">
        <v>0.12777617573738098</v>
      </c>
      <c r="BM57" s="11">
        <v>4.0315878577530384E-3</v>
      </c>
      <c r="BN57" s="17">
        <v>6.5702646970748901E-2</v>
      </c>
      <c r="BO57" s="14">
        <v>7.3951301164925098E-3</v>
      </c>
      <c r="BP57" s="284">
        <v>0.46273595094680786</v>
      </c>
      <c r="BQ57" s="77">
        <v>0.3067074716091156</v>
      </c>
      <c r="BR57"/>
      <c r="BS57" s="12">
        <v>1.5884606167674065E-2</v>
      </c>
      <c r="BT57" s="75">
        <v>0.37122142314910889</v>
      </c>
      <c r="BU57" s="263">
        <v>0.27139997482299805</v>
      </c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249</v>
      </c>
      <c r="B58">
        <v>6.2030000686645508</v>
      </c>
      <c r="C58">
        <v>0.23427161574363708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 s="11">
        <v>1.9297509368243482E-8</v>
      </c>
      <c r="V58" s="14">
        <v>9.9416030570864677E-3</v>
      </c>
      <c r="W58"/>
      <c r="X58"/>
      <c r="Y58"/>
      <c r="Z58" s="9">
        <v>3.8248986200528634E-9</v>
      </c>
      <c r="AA58" s="11">
        <v>5.1617568885831133E-8</v>
      </c>
      <c r="AB58" s="11">
        <v>6.2218845187089755E-8</v>
      </c>
      <c r="AC58"/>
      <c r="AD58" s="11">
        <v>7.0645648520439863E-5</v>
      </c>
      <c r="AE58"/>
      <c r="AF58"/>
      <c r="AG58"/>
      <c r="AH58" s="11">
        <v>2.0398879314598162E-6</v>
      </c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 s="11">
        <v>7.5258058132021688E-6</v>
      </c>
      <c r="AZ58"/>
      <c r="BA58"/>
      <c r="BB58" s="11">
        <v>1.2186612002551556E-4</v>
      </c>
      <c r="BC58"/>
      <c r="BD58"/>
      <c r="BE58" s="11">
        <v>7.0750247687101364E-4</v>
      </c>
      <c r="BF58" s="11">
        <v>4.0127175452653319E-5</v>
      </c>
      <c r="BG58" s="11">
        <v>1.3426408258965239E-5</v>
      </c>
      <c r="BH58" s="11">
        <v>1.3922713696956635E-4</v>
      </c>
      <c r="BI58" s="11">
        <v>3.8263533497229218E-6</v>
      </c>
      <c r="BJ58" s="11">
        <v>5.066580683887878E-7</v>
      </c>
      <c r="BK58"/>
      <c r="BL58"/>
      <c r="BM58" s="11">
        <v>2.2131921723484993E-3</v>
      </c>
      <c r="BN58" s="19">
        <v>0.10557575523853302</v>
      </c>
      <c r="BO58"/>
      <c r="BP58"/>
      <c r="BQ58" s="282">
        <v>0.45371118187904358</v>
      </c>
      <c r="BR58"/>
      <c r="BS58" s="14">
        <v>1.5160023234784603E-2</v>
      </c>
      <c r="BT58" s="321">
        <v>3.5428800582885742</v>
      </c>
      <c r="BU58" s="286">
        <v>1.813139796257019</v>
      </c>
      <c r="BV58" s="12">
        <v>2.5000002235174179E-2</v>
      </c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250</v>
      </c>
      <c r="B59">
        <v>10.600000381469727</v>
      </c>
      <c r="C59">
        <v>1.1245750188827515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 s="23">
        <v>6.543201208114624E-2</v>
      </c>
      <c r="Y59"/>
      <c r="Z59" s="11">
        <v>8.8100066932383925E-5</v>
      </c>
      <c r="AA59"/>
      <c r="AB59" s="11">
        <v>3.5500084049999714E-4</v>
      </c>
      <c r="AC59"/>
      <c r="AD59"/>
      <c r="AE59" s="11">
        <v>8.1699890870368108E-6</v>
      </c>
      <c r="AF59"/>
      <c r="AG59" s="11">
        <v>2.9512120818253607E-6</v>
      </c>
      <c r="AH59"/>
      <c r="AI59" s="11">
        <v>7.8733601185376756E-6</v>
      </c>
      <c r="AJ59"/>
      <c r="AK59"/>
      <c r="AL59"/>
      <c r="AM59"/>
      <c r="AN59" s="11">
        <v>1.358649001304002E-6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 s="11">
        <v>8.3110217019566335E-6</v>
      </c>
      <c r="BF59" s="11">
        <v>2.6587452157400548E-4</v>
      </c>
      <c r="BG59" s="11">
        <v>4.9068396037910134E-5</v>
      </c>
      <c r="BH59" s="66">
        <v>0.43656978011131287</v>
      </c>
      <c r="BI59" s="11">
        <v>2.4754038895480335E-4</v>
      </c>
      <c r="BJ59"/>
      <c r="BK59" s="28">
        <v>0.38103204965591431</v>
      </c>
      <c r="BL59"/>
      <c r="BM59"/>
      <c r="BN59"/>
      <c r="BO59"/>
      <c r="BP59"/>
      <c r="BQ59"/>
      <c r="BR59"/>
      <c r="BS59" s="18">
        <v>0.118723064661026</v>
      </c>
      <c r="BT59"/>
      <c r="BU59"/>
      <c r="BV59"/>
      <c r="BW59" s="64">
        <v>0.57669997215270996</v>
      </c>
      <c r="BX59" s="317">
        <v>1.8680931329727173</v>
      </c>
      <c r="BY59" s="142">
        <v>4.8456506729125977</v>
      </c>
      <c r="BZ59" s="71">
        <v>0.75616562366485596</v>
      </c>
      <c r="CA59" s="278">
        <v>0.42602407932281494</v>
      </c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251</v>
      </c>
      <c r="B60">
        <v>10.600000381469727</v>
      </c>
      <c r="C60">
        <v>0.36543720960617065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1">
        <v>8.8688166215433739E-6</v>
      </c>
      <c r="W60"/>
      <c r="X60" s="15">
        <v>9.8204351961612701E-2</v>
      </c>
      <c r="Y60"/>
      <c r="Z60" s="11">
        <v>1.0913889855146408E-4</v>
      </c>
      <c r="AA60"/>
      <c r="AB60" s="11">
        <v>4.3977715540677309E-4</v>
      </c>
      <c r="AC60"/>
      <c r="AD60" s="11">
        <v>5.7114008814096451E-4</v>
      </c>
      <c r="AE60" s="11">
        <v>3.3736766908987192E-6</v>
      </c>
      <c r="AF60"/>
      <c r="AG60"/>
      <c r="AH60" s="11">
        <v>4.1663079173304141E-4</v>
      </c>
      <c r="AI60"/>
      <c r="AJ60" s="9">
        <v>1.1044322123510142E-9</v>
      </c>
      <c r="AK60"/>
      <c r="AL60"/>
      <c r="AM60"/>
      <c r="AN60" s="9">
        <v>7.8001631820256989E-9</v>
      </c>
      <c r="AO60"/>
      <c r="AP60"/>
      <c r="AQ60"/>
      <c r="AR60"/>
      <c r="AS60"/>
      <c r="AT60" s="9">
        <v>2.0647348275559807E-9</v>
      </c>
      <c r="AU60"/>
      <c r="AV60" s="11">
        <v>8.3906570580438711E-7</v>
      </c>
      <c r="AW60"/>
      <c r="AX60"/>
      <c r="AY60" s="11">
        <v>7.4546314863255247E-6</v>
      </c>
      <c r="AZ60" s="11">
        <v>7.4386427877470851E-4</v>
      </c>
      <c r="BA60" s="11">
        <v>2.9743041807250847E-8</v>
      </c>
      <c r="BB60" s="23">
        <v>6.3941828906536102E-2</v>
      </c>
      <c r="BC60" s="17">
        <v>0.15459789335727692</v>
      </c>
      <c r="BD60"/>
      <c r="BE60" s="14">
        <v>2.8828088194131851E-2</v>
      </c>
      <c r="BF60" s="22">
        <v>7.7858701348304749E-2</v>
      </c>
      <c r="BG60" s="18">
        <v>0.12157245725393295</v>
      </c>
      <c r="BH60" s="262">
        <v>1.1492536067962646</v>
      </c>
      <c r="BI60" s="269">
        <v>0.56327599287033081</v>
      </c>
      <c r="BJ60" s="11">
        <v>1.5360437100753188E-3</v>
      </c>
      <c r="BK60" s="14">
        <v>1.2735916301608086E-2</v>
      </c>
      <c r="BL60"/>
      <c r="BM60"/>
      <c r="BN60"/>
      <c r="BO60"/>
      <c r="BP60"/>
      <c r="BQ60"/>
      <c r="BR60"/>
      <c r="BS60" s="14">
        <v>2.9414970427751541E-2</v>
      </c>
      <c r="BT60"/>
      <c r="BU60"/>
      <c r="BV60"/>
      <c r="BW60"/>
      <c r="BX60" s="64">
        <v>0.57855129241943359</v>
      </c>
      <c r="BY60" s="319">
        <v>5.8906192779541016</v>
      </c>
      <c r="BZ60" s="71">
        <v>0.7493939995765686</v>
      </c>
      <c r="CA60" s="109">
        <v>0.71247762441635132</v>
      </c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252</v>
      </c>
      <c r="B61">
        <v>8.6999998092651367</v>
      </c>
      <c r="C61">
        <v>2.5993120670318604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 s="23">
        <v>5.8344315737485886E-2</v>
      </c>
      <c r="Y61"/>
      <c r="Z61" s="11">
        <v>6.7706532718148082E-5</v>
      </c>
      <c r="AA61"/>
      <c r="AB61"/>
      <c r="AC61"/>
      <c r="AD61"/>
      <c r="AE61" s="11">
        <v>3.4882152704085456E-6</v>
      </c>
      <c r="AF61"/>
      <c r="AG61"/>
      <c r="AH61" s="11">
        <v>6.332400516839698E-6</v>
      </c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 s="11">
        <v>1.9999762298539281E-4</v>
      </c>
      <c r="BD61"/>
      <c r="BE61" s="11">
        <v>4.2581168236210942E-4</v>
      </c>
      <c r="BF61" s="11">
        <v>1.1351639404892921E-3</v>
      </c>
      <c r="BG61" s="11">
        <v>1.6161416169779841E-6</v>
      </c>
      <c r="BH61" s="16">
        <v>0.13923744857311249</v>
      </c>
      <c r="BI61" s="22">
        <v>6.0075584799051285E-2</v>
      </c>
      <c r="BJ61"/>
      <c r="BK61" s="14">
        <v>1.4814343303442001E-2</v>
      </c>
      <c r="BL61"/>
      <c r="BM61"/>
      <c r="BN61"/>
      <c r="BO61"/>
      <c r="BP61"/>
      <c r="BQ61"/>
      <c r="BR61"/>
      <c r="BS61"/>
      <c r="BT61"/>
      <c r="BU61"/>
      <c r="BV61"/>
      <c r="BW61"/>
      <c r="BX61" s="283">
        <v>0.71783208847045898</v>
      </c>
      <c r="BY61" s="323">
        <v>4.5244522094726562</v>
      </c>
      <c r="BZ61" s="15">
        <v>9.2980377376079559E-2</v>
      </c>
      <c r="CA61" s="263">
        <v>0.49111112952232361</v>
      </c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253</v>
      </c>
      <c r="B62">
        <v>50.450000762939453</v>
      </c>
      <c r="C62">
        <v>2.3156032562255859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 s="65">
        <v>1.0810409784317017</v>
      </c>
      <c r="Y62"/>
      <c r="Z62"/>
      <c r="AA62"/>
      <c r="AB62"/>
      <c r="AC62"/>
      <c r="AD62" s="11">
        <v>2.0140202715992928E-2</v>
      </c>
      <c r="AE62" s="11">
        <v>3.9655501495872159E-6</v>
      </c>
      <c r="AF62"/>
      <c r="AG62"/>
      <c r="AH62" s="11">
        <v>1.1018785880878568E-4</v>
      </c>
      <c r="AI62"/>
      <c r="AJ62" s="11">
        <v>3.5405249946052209E-5</v>
      </c>
      <c r="AK62" s="11">
        <v>8.4405137386056595E-6</v>
      </c>
      <c r="AL62"/>
      <c r="AM62"/>
      <c r="AN62" s="11">
        <v>1.8337224901188165E-4</v>
      </c>
      <c r="AO62" s="11">
        <v>1.8384562281426042E-4</v>
      </c>
      <c r="AP62"/>
      <c r="AQ62"/>
      <c r="AR62"/>
      <c r="AS62"/>
      <c r="AT62" s="11">
        <v>6.6190070356242359E-5</v>
      </c>
      <c r="AU62"/>
      <c r="AV62"/>
      <c r="AW62"/>
      <c r="AX62"/>
      <c r="AY62"/>
      <c r="AZ62"/>
      <c r="BA62"/>
      <c r="BB62"/>
      <c r="BC62" s="14">
        <v>0.10334806144237518</v>
      </c>
      <c r="BD62"/>
      <c r="BE62" s="14">
        <v>7.2612099349498749E-2</v>
      </c>
      <c r="BF62" s="11">
        <v>1.3227648101747036E-2</v>
      </c>
      <c r="BG62" s="11">
        <v>1.6841897740960121E-3</v>
      </c>
      <c r="BH62" s="143">
        <v>5.0538692474365234</v>
      </c>
      <c r="BI62" s="16">
        <v>0.79679214954376221</v>
      </c>
      <c r="BJ62"/>
      <c r="BK62"/>
      <c r="BL62"/>
      <c r="BM62"/>
      <c r="BN62"/>
      <c r="BO62"/>
      <c r="BP62"/>
      <c r="BQ62"/>
      <c r="BR62"/>
      <c r="BS62" s="14">
        <v>0.10372646152973175</v>
      </c>
      <c r="BT62"/>
      <c r="BU62"/>
      <c r="BV62"/>
      <c r="BW62"/>
      <c r="BX62"/>
      <c r="BY62" s="316">
        <v>39.566062927246094</v>
      </c>
      <c r="BZ62" s="26">
        <v>1.3213001489639282</v>
      </c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254</v>
      </c>
      <c r="B63">
        <v>20.075000762939453</v>
      </c>
      <c r="C63">
        <v>19.013580322265625</v>
      </c>
      <c r="D63"/>
      <c r="E63"/>
      <c r="F63"/>
      <c r="G63"/>
      <c r="H63"/>
      <c r="I63"/>
      <c r="J63" s="11">
        <v>6.515837274491787E-3</v>
      </c>
      <c r="K63"/>
      <c r="L63"/>
      <c r="M63"/>
      <c r="N63"/>
      <c r="O63"/>
      <c r="P63"/>
      <c r="Q63"/>
      <c r="R63"/>
      <c r="S63"/>
      <c r="T63"/>
      <c r="U63"/>
      <c r="V63"/>
      <c r="W63" s="11">
        <v>1.1976320593021228E-6</v>
      </c>
      <c r="X63" s="14">
        <v>3.1505145132541656E-2</v>
      </c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 s="23">
        <v>0.13163144886493683</v>
      </c>
      <c r="BH63"/>
      <c r="BI63"/>
      <c r="BJ63"/>
      <c r="BK63"/>
      <c r="BL63"/>
      <c r="BM63"/>
      <c r="BN63"/>
      <c r="BO63"/>
      <c r="BP63"/>
      <c r="BQ63"/>
      <c r="BR63"/>
      <c r="BS63" s="294">
        <v>0.89176607131958008</v>
      </c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255</v>
      </c>
      <c r="B64">
        <v>100</v>
      </c>
      <c r="C64">
        <v>89.224609375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9">
        <v>2.1540138561704225E-8</v>
      </c>
      <c r="W64"/>
      <c r="X64" s="11">
        <v>2.3208791390061378E-4</v>
      </c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 s="9">
        <v>4.5702254425350475E-8</v>
      </c>
      <c r="AZ64"/>
      <c r="BA64"/>
      <c r="BB64"/>
      <c r="BC64"/>
      <c r="BD64"/>
      <c r="BE64" s="11">
        <v>2.2993831953499466E-4</v>
      </c>
      <c r="BF64" s="11">
        <v>1.0216476221103221E-4</v>
      </c>
      <c r="BG64" s="11">
        <v>1.6161418170668185E-4</v>
      </c>
      <c r="BH64" s="11">
        <v>1.207843073643744E-3</v>
      </c>
      <c r="BI64" s="11">
        <v>1.0813606650117435E-6</v>
      </c>
      <c r="BJ64" s="11">
        <v>1.6816888237372041E-3</v>
      </c>
      <c r="BK64"/>
      <c r="BL64"/>
      <c r="BM64"/>
      <c r="BN64"/>
      <c r="BO64"/>
      <c r="BP64"/>
      <c r="BQ64" s="12">
        <v>0.32028102874755859</v>
      </c>
      <c r="BR64" s="17">
        <v>1.3827787637710571</v>
      </c>
      <c r="BS64" s="12">
        <v>0.33832114934921265</v>
      </c>
      <c r="BT64" s="18">
        <v>1.1514360904693604</v>
      </c>
      <c r="BU64" s="15">
        <v>1.0662988424301147</v>
      </c>
      <c r="BV64" s="22">
        <v>0.86124998331069946</v>
      </c>
      <c r="BW64" s="22">
        <v>0.79776835441589355</v>
      </c>
      <c r="BX64" s="17">
        <v>1.3050190210342407</v>
      </c>
      <c r="BY64" s="28">
        <v>3.4893968105316162</v>
      </c>
      <c r="BZ64" s="11">
        <v>2.0920582115650177E-2</v>
      </c>
      <c r="CA64" s="11">
        <v>3.8306664675474167E-2</v>
      </c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256</v>
      </c>
      <c r="B65">
        <v>4</v>
      </c>
      <c r="C65">
        <v>1.4102234840393066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 s="11">
        <v>7.5307934821466915E-6</v>
      </c>
      <c r="U65" s="11">
        <v>1.3917760043113958E-5</v>
      </c>
      <c r="V65" s="11">
        <v>2.1015778202126967E-6</v>
      </c>
      <c r="W65"/>
      <c r="X65" s="11">
        <v>1.0622608242556453E-3</v>
      </c>
      <c r="Y65"/>
      <c r="Z65"/>
      <c r="AA65"/>
      <c r="AB65"/>
      <c r="AC65"/>
      <c r="AD65" s="11">
        <v>1.3799251064483542E-5</v>
      </c>
      <c r="AE65"/>
      <c r="AF65"/>
      <c r="AG65"/>
      <c r="AH65" s="11">
        <v>5.8074051594303455E-6</v>
      </c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 s="11">
        <v>1.5793808927355713E-7</v>
      </c>
      <c r="BB65" s="11">
        <v>2.0141999702900648E-3</v>
      </c>
      <c r="BC65" s="15">
        <v>3.7175197154283524E-2</v>
      </c>
      <c r="BD65"/>
      <c r="BE65" s="11">
        <v>2.5513264699839056E-4</v>
      </c>
      <c r="BF65" s="11">
        <v>3.400768619030714E-4</v>
      </c>
      <c r="BG65" s="15">
        <v>3.6043774336576462E-2</v>
      </c>
      <c r="BH65" s="11">
        <v>1.5077098505571485E-3</v>
      </c>
      <c r="BI65" s="11">
        <v>2.4026907049119473E-3</v>
      </c>
      <c r="BJ65" s="11">
        <v>3.4257397055625916E-4</v>
      </c>
      <c r="BK65"/>
      <c r="BL65" s="17">
        <v>5.1244243979454041E-2</v>
      </c>
      <c r="BM65" s="11">
        <v>1.1644929181784391E-3</v>
      </c>
      <c r="BN65" s="11">
        <v>2.5381137675140053E-5</v>
      </c>
      <c r="BO65"/>
      <c r="BP65"/>
      <c r="BQ65" s="322">
        <v>1.3352924585342407</v>
      </c>
      <c r="BR65"/>
      <c r="BS65"/>
      <c r="BT65"/>
      <c r="BU65" s="320">
        <v>1.1208631992340088</v>
      </c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257</v>
      </c>
      <c r="B66">
        <v>23.729999542236328</v>
      </c>
      <c r="C66">
        <v>6.7547831535339355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 s="11">
        <v>9.8905956838279963E-4</v>
      </c>
      <c r="BD66"/>
      <c r="BE66"/>
      <c r="BF66" s="11">
        <v>2.0583897821779829E-6</v>
      </c>
      <c r="BG66" s="11">
        <v>6.8379398435354233E-3</v>
      </c>
      <c r="BH66" s="11">
        <v>1.3992808817420155E-5</v>
      </c>
      <c r="BI66" s="11">
        <v>3.6311641906650038E-6</v>
      </c>
      <c r="BJ66" s="11">
        <v>3.4573720768094063E-3</v>
      </c>
      <c r="BK66"/>
      <c r="BL66" s="14">
        <v>6.2033411115407944E-2</v>
      </c>
      <c r="BM66"/>
      <c r="BN66"/>
      <c r="BO66"/>
      <c r="BP66"/>
      <c r="BQ66" s="24">
        <v>0.63251602649688721</v>
      </c>
      <c r="BR66" s="296">
        <v>3.9705126285552979</v>
      </c>
      <c r="BS66" s="65">
        <v>0.52942991256713867</v>
      </c>
      <c r="BT66" s="108">
        <v>2.9385201930999756</v>
      </c>
      <c r="BU66" s="13">
        <v>0.90456932783126831</v>
      </c>
      <c r="BV66" s="272">
        <v>3.2740094661712646</v>
      </c>
      <c r="BW66" s="24">
        <v>0.64292943477630615</v>
      </c>
      <c r="BX66" s="283">
        <v>1.9524648189544678</v>
      </c>
      <c r="BY66"/>
      <c r="BZ66" s="14">
        <v>4.2150266468524933E-2</v>
      </c>
      <c r="CA66"/>
      <c r="CB66" s="300">
        <v>2.0147750377655029</v>
      </c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258</v>
      </c>
      <c r="B67">
        <v>182.1300048828125</v>
      </c>
      <c r="C67">
        <v>107.65633392333984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1">
        <v>4.978155717253685E-3</v>
      </c>
      <c r="W67"/>
      <c r="X67" s="11">
        <v>6.8936999887228012E-3</v>
      </c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 s="11">
        <v>3.7387912743724883E-4</v>
      </c>
      <c r="BD67"/>
      <c r="BE67"/>
      <c r="BF67" s="11">
        <v>3.926301360479556E-6</v>
      </c>
      <c r="BG67" s="11">
        <v>5.6866520026233047E-5</v>
      </c>
      <c r="BH67" s="11">
        <v>1.3784865848720074E-2</v>
      </c>
      <c r="BI67" s="11">
        <v>8.3181597292423248E-2</v>
      </c>
      <c r="BJ67" s="11">
        <v>7.2110989131033421E-3</v>
      </c>
      <c r="BK67"/>
      <c r="BL67"/>
      <c r="BM67"/>
      <c r="BN67"/>
      <c r="BO67"/>
      <c r="BP67"/>
      <c r="BQ67" s="14">
        <v>0.40574619174003601</v>
      </c>
      <c r="BR67" s="324">
        <v>18.886480331420898</v>
      </c>
      <c r="BS67" s="24">
        <v>5.0583443641662598</v>
      </c>
      <c r="BT67" s="12">
        <v>0.701560378074646</v>
      </c>
      <c r="BU67" s="17">
        <v>2.5645542144775391</v>
      </c>
      <c r="BV67"/>
      <c r="BW67" s="325">
        <v>29.164417266845703</v>
      </c>
      <c r="BX67" s="147">
        <v>11.070906639099121</v>
      </c>
      <c r="BY67" s="22">
        <v>1.4857614040374756</v>
      </c>
      <c r="BZ67" s="14">
        <v>0.38240212202072144</v>
      </c>
      <c r="CA67" s="11">
        <v>6.7326731979846954E-2</v>
      </c>
      <c r="CB67" s="26">
        <v>4.5696878433227539</v>
      </c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259</v>
      </c>
      <c r="B68">
        <v>9</v>
      </c>
      <c r="C68">
        <v>8.8499135971069336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 s="11">
        <v>1.4855775987143716E-7</v>
      </c>
      <c r="U68" s="11">
        <v>3.7140183849260211E-5</v>
      </c>
      <c r="V68"/>
      <c r="W68"/>
      <c r="X68" s="11">
        <v>1.2666910188272595E-3</v>
      </c>
      <c r="Y68"/>
      <c r="Z68"/>
      <c r="AA68"/>
      <c r="AB68"/>
      <c r="AC68"/>
      <c r="AD68" s="11">
        <v>5.1749620979535393E-6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 s="11">
        <v>5.6380958994850516E-6</v>
      </c>
      <c r="BC68" s="11">
        <v>1.2299136642468511E-6</v>
      </c>
      <c r="BD68"/>
      <c r="BE68" s="11">
        <v>1.4140381608740427E-5</v>
      </c>
      <c r="BF68" s="11">
        <v>9.0751063908101059E-7</v>
      </c>
      <c r="BG68" s="11">
        <v>1.6564487013965845E-3</v>
      </c>
      <c r="BH68" s="11">
        <v>3.0949173378758132E-4</v>
      </c>
      <c r="BI68" s="11">
        <v>2.2166602775541833E-6</v>
      </c>
      <c r="BJ68"/>
      <c r="BK68"/>
      <c r="BL68"/>
      <c r="BM68"/>
      <c r="BN68"/>
      <c r="BO68"/>
      <c r="BP68"/>
      <c r="BQ68" s="23">
        <v>5.0919599831104279E-2</v>
      </c>
      <c r="BR68"/>
      <c r="BS68"/>
      <c r="BT68"/>
      <c r="BU68" s="15">
        <v>9.586777538061142E-2</v>
      </c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260</v>
      </c>
      <c r="B69"/>
      <c r="C69">
        <v>0.93174928426742554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 s="9">
        <v>0.11836481839418411</v>
      </c>
      <c r="Y69"/>
      <c r="Z69"/>
      <c r="AA69"/>
      <c r="AB69"/>
      <c r="AC69"/>
      <c r="AD69" s="9">
        <v>7.3662784416228533E-5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 s="9">
        <v>3.0799996852874756</v>
      </c>
      <c r="BI69" s="9">
        <v>3.2440822124481201</v>
      </c>
      <c r="BJ69" s="9">
        <v>0.41186019778251648</v>
      </c>
      <c r="BK69"/>
      <c r="BL69"/>
      <c r="BM69"/>
      <c r="BN69"/>
      <c r="BO69"/>
      <c r="BP69"/>
      <c r="BQ69" s="9">
        <v>3.2345213890075684</v>
      </c>
      <c r="BR69" s="9">
        <v>289.15133666992188</v>
      </c>
      <c r="BS69" s="9">
        <v>55.970802307128906</v>
      </c>
      <c r="BT69" s="9">
        <v>46.057441711425781</v>
      </c>
      <c r="BU69" s="9">
        <v>74.0797119140625</v>
      </c>
      <c r="BV69"/>
      <c r="BW69" s="9">
        <v>23.933050155639648</v>
      </c>
      <c r="BX69" s="9">
        <v>77.448356628417969</v>
      </c>
      <c r="BY69" s="9">
        <v>10.900449752807617</v>
      </c>
      <c r="BZ69" s="9">
        <v>5.020939826965332</v>
      </c>
      <c r="CA69" s="9">
        <v>0.88400000333786011</v>
      </c>
      <c r="CB69" s="9">
        <v>6000</v>
      </c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261</v>
      </c>
      <c r="B70"/>
      <c r="C70">
        <v>0.96102970838546753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 s="9">
        <v>4.0722761696088128E-6</v>
      </c>
      <c r="U70"/>
      <c r="V70" s="9">
        <v>5.9421076439321041E-3</v>
      </c>
      <c r="W70"/>
      <c r="X70"/>
      <c r="Y70"/>
      <c r="Z70"/>
      <c r="AA70"/>
      <c r="AB70"/>
      <c r="AC70"/>
      <c r="AD70"/>
      <c r="AE70" s="9">
        <v>1.5070599147293251E-5</v>
      </c>
      <c r="AF70"/>
      <c r="AG70"/>
      <c r="AH70" s="9">
        <v>1.3133657921571285E-4</v>
      </c>
      <c r="AI70" s="9">
        <v>4.5744222916255239E-6</v>
      </c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 s="9">
        <v>1.3202163390815258E-2</v>
      </c>
      <c r="BC70"/>
      <c r="BD70"/>
      <c r="BE70" s="9">
        <v>2.7599932625889778E-2</v>
      </c>
      <c r="BF70" s="9">
        <v>6.1253465712070465E-2</v>
      </c>
      <c r="BG70" s="9">
        <v>0.91150391101837158</v>
      </c>
      <c r="BH70"/>
      <c r="BI70"/>
      <c r="BJ70" s="9">
        <v>1.3129938840866089</v>
      </c>
      <c r="BK70"/>
      <c r="BL70" s="9">
        <v>0.94202017784118652</v>
      </c>
      <c r="BM70"/>
      <c r="BN70" s="9">
        <v>1.2477134587243199E-3</v>
      </c>
      <c r="BO70"/>
      <c r="BP70"/>
      <c r="BQ70" s="9">
        <v>11.986753463745117</v>
      </c>
      <c r="BR70" s="9">
        <v>82.966728210449219</v>
      </c>
      <c r="BS70" s="9">
        <v>34.686130523681641</v>
      </c>
      <c r="BT70" s="9">
        <v>193.44123840332031</v>
      </c>
      <c r="BU70" s="9">
        <v>23.570817947387695</v>
      </c>
      <c r="BV70" s="9">
        <v>175.5</v>
      </c>
      <c r="BW70"/>
      <c r="BX70"/>
      <c r="BY70"/>
      <c r="BZ70"/>
      <c r="CA70"/>
      <c r="CB70" s="9">
        <v>5796</v>
      </c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262</v>
      </c>
      <c r="B71"/>
      <c r="C71">
        <v>0.937633216381073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 s="9">
        <v>0.13332909345626831</v>
      </c>
      <c r="BL71"/>
      <c r="BM71"/>
      <c r="BN71" s="9">
        <v>0.40758636593818665</v>
      </c>
      <c r="BO71"/>
      <c r="BP71" s="9">
        <v>0.93764966726303101</v>
      </c>
      <c r="BQ71" s="9">
        <v>3.8053193092346191</v>
      </c>
      <c r="BR71"/>
      <c r="BS71" s="9">
        <v>1.970802903175354</v>
      </c>
      <c r="BT71"/>
      <c r="BU71" s="9">
        <v>16.836297988891602</v>
      </c>
      <c r="BV71"/>
      <c r="BW71"/>
      <c r="BX71"/>
      <c r="BY71"/>
      <c r="BZ71"/>
      <c r="CA71"/>
      <c r="CB71" s="9">
        <v>84</v>
      </c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263</v>
      </c>
      <c r="B72"/>
      <c r="C72">
        <v>0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58" workbookViewId="0">
      <selection activeCell="D72" sqref="D72:H74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7.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7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7" t="s">
        <v>193</v>
      </c>
      <c r="E5">
        <v>4</v>
      </c>
      <c r="F5">
        <v>3.16</v>
      </c>
      <c r="G5">
        <v>4</v>
      </c>
      <c r="H5" s="198" t="s">
        <v>193</v>
      </c>
      <c r="J5" s="57"/>
      <c r="K5" s="58"/>
    </row>
    <row r="6" spans="1:12" ht="14" thickBot="1" x14ac:dyDescent="0.2">
      <c r="A6" s="41" t="s">
        <v>121</v>
      </c>
      <c r="D6" s="197" t="s">
        <v>194</v>
      </c>
      <c r="E6">
        <v>5</v>
      </c>
      <c r="F6">
        <v>3.16</v>
      </c>
      <c r="G6">
        <v>5</v>
      </c>
      <c r="H6" s="198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7" t="s">
        <v>195</v>
      </c>
      <c r="E7">
        <v>6</v>
      </c>
      <c r="F7">
        <v>3.14</v>
      </c>
      <c r="G7">
        <v>6</v>
      </c>
      <c r="H7" s="198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7" t="s">
        <v>196</v>
      </c>
      <c r="E8">
        <v>7</v>
      </c>
      <c r="F8">
        <v>3.14</v>
      </c>
      <c r="G8">
        <v>7</v>
      </c>
      <c r="H8" s="198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7" t="s">
        <v>197</v>
      </c>
      <c r="E9">
        <v>8</v>
      </c>
      <c r="F9">
        <v>3.24</v>
      </c>
      <c r="G9">
        <v>8</v>
      </c>
      <c r="H9" s="198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7" t="s">
        <v>198</v>
      </c>
      <c r="E10">
        <v>9</v>
      </c>
      <c r="F10">
        <v>3.14</v>
      </c>
      <c r="G10">
        <v>9</v>
      </c>
      <c r="H10" s="198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7" t="s">
        <v>199</v>
      </c>
      <c r="E11">
        <v>10</v>
      </c>
      <c r="F11">
        <v>3.14</v>
      </c>
      <c r="G11">
        <v>10</v>
      </c>
      <c r="H11" s="198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7" t="s">
        <v>200</v>
      </c>
      <c r="E12">
        <v>11</v>
      </c>
      <c r="F12">
        <v>3.14</v>
      </c>
      <c r="G12">
        <v>11</v>
      </c>
      <c r="H12" s="198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7" t="s">
        <v>201</v>
      </c>
      <c r="E13">
        <v>12</v>
      </c>
      <c r="F13">
        <v>3.14</v>
      </c>
      <c r="G13">
        <v>12</v>
      </c>
      <c r="H13" s="198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7" t="s">
        <v>202</v>
      </c>
      <c r="E14">
        <v>13</v>
      </c>
      <c r="F14">
        <v>3.14</v>
      </c>
      <c r="G14">
        <v>13</v>
      </c>
      <c r="H14" s="198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7" t="s">
        <v>203</v>
      </c>
      <c r="E15">
        <v>14</v>
      </c>
      <c r="F15">
        <v>3.14</v>
      </c>
      <c r="G15">
        <v>14</v>
      </c>
      <c r="H15" s="198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7" t="s">
        <v>204</v>
      </c>
      <c r="E16">
        <v>15</v>
      </c>
      <c r="F16">
        <v>3.14</v>
      </c>
      <c r="G16">
        <v>15</v>
      </c>
      <c r="H16" s="198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7" t="s">
        <v>205</v>
      </c>
      <c r="E17">
        <v>16</v>
      </c>
      <c r="F17">
        <v>3.14</v>
      </c>
      <c r="G17">
        <v>16</v>
      </c>
      <c r="H17" s="198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7" t="s">
        <v>206</v>
      </c>
      <c r="E18">
        <v>17</v>
      </c>
      <c r="F18">
        <v>3.24</v>
      </c>
      <c r="G18">
        <v>17</v>
      </c>
      <c r="H18" s="198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7" t="s">
        <v>207</v>
      </c>
      <c r="E19">
        <v>18</v>
      </c>
      <c r="F19">
        <v>3.24</v>
      </c>
      <c r="G19">
        <v>18</v>
      </c>
      <c r="H19" s="198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7" t="s">
        <v>208</v>
      </c>
      <c r="E20">
        <v>19</v>
      </c>
      <c r="F20">
        <v>3.24</v>
      </c>
      <c r="G20">
        <v>19</v>
      </c>
      <c r="H20" s="198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7" t="s">
        <v>209</v>
      </c>
      <c r="E21">
        <v>20</v>
      </c>
      <c r="F21">
        <v>3.24</v>
      </c>
      <c r="G21">
        <v>20</v>
      </c>
      <c r="H21" s="198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7" t="s">
        <v>210</v>
      </c>
      <c r="E22">
        <v>21</v>
      </c>
      <c r="F22">
        <v>3.24</v>
      </c>
      <c r="G22">
        <v>21</v>
      </c>
      <c r="H22" s="198" t="s">
        <v>210</v>
      </c>
    </row>
    <row r="23" spans="1:12" x14ac:dyDescent="0.15">
      <c r="A23" s="36" t="s">
        <v>129</v>
      </c>
      <c r="B23" s="44">
        <v>4</v>
      </c>
      <c r="C23" s="38"/>
      <c r="D23" s="197" t="s">
        <v>211</v>
      </c>
      <c r="E23">
        <v>22</v>
      </c>
      <c r="F23">
        <v>3.24</v>
      </c>
      <c r="G23">
        <v>22</v>
      </c>
      <c r="H23" s="198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97" t="s">
        <v>212</v>
      </c>
      <c r="E24">
        <v>23</v>
      </c>
      <c r="F24">
        <v>3.24</v>
      </c>
      <c r="G24">
        <v>23</v>
      </c>
      <c r="H24" s="198" t="s">
        <v>212</v>
      </c>
    </row>
    <row r="25" spans="1:12" x14ac:dyDescent="0.15">
      <c r="A25" s="36" t="s">
        <v>70</v>
      </c>
      <c r="B25" s="44">
        <v>4.2</v>
      </c>
      <c r="C25" s="38"/>
      <c r="D25" s="197" t="s">
        <v>213</v>
      </c>
      <c r="E25">
        <v>24</v>
      </c>
      <c r="F25">
        <v>3.24</v>
      </c>
      <c r="G25">
        <v>24</v>
      </c>
      <c r="H25" s="198" t="s">
        <v>213</v>
      </c>
    </row>
    <row r="26" spans="1:12" x14ac:dyDescent="0.15">
      <c r="A26" s="36" t="s">
        <v>123</v>
      </c>
      <c r="B26" s="44">
        <v>4.3</v>
      </c>
      <c r="C26" s="38"/>
      <c r="D26" s="197" t="s">
        <v>214</v>
      </c>
      <c r="E26">
        <v>25</v>
      </c>
      <c r="F26">
        <v>3.24</v>
      </c>
      <c r="G26">
        <v>25</v>
      </c>
      <c r="H26" s="198" t="s">
        <v>214</v>
      </c>
    </row>
    <row r="27" spans="1:12" x14ac:dyDescent="0.15">
      <c r="A27" s="36" t="s">
        <v>125</v>
      </c>
      <c r="B27" s="44">
        <v>6.1</v>
      </c>
      <c r="D27" s="197" t="s">
        <v>215</v>
      </c>
      <c r="E27">
        <v>26</v>
      </c>
      <c r="F27">
        <v>3</v>
      </c>
      <c r="G27">
        <v>26</v>
      </c>
      <c r="H27" s="198" t="s">
        <v>215</v>
      </c>
    </row>
    <row r="28" spans="1:12" x14ac:dyDescent="0.15">
      <c r="A28" s="36" t="s">
        <v>124</v>
      </c>
      <c r="B28" s="44">
        <v>6.2</v>
      </c>
      <c r="D28" s="197" t="s">
        <v>216</v>
      </c>
      <c r="E28">
        <v>27</v>
      </c>
      <c r="F28">
        <v>3</v>
      </c>
      <c r="G28">
        <v>27</v>
      </c>
      <c r="H28" s="198" t="s">
        <v>216</v>
      </c>
    </row>
    <row r="29" spans="1:12" x14ac:dyDescent="0.15">
      <c r="A29" s="36" t="s">
        <v>44</v>
      </c>
      <c r="B29" s="44">
        <v>5</v>
      </c>
      <c r="D29" s="197" t="s">
        <v>217</v>
      </c>
      <c r="E29">
        <v>28</v>
      </c>
      <c r="F29">
        <v>3</v>
      </c>
      <c r="G29">
        <v>28</v>
      </c>
      <c r="H29" s="198" t="s">
        <v>217</v>
      </c>
    </row>
    <row r="30" spans="1:12" x14ac:dyDescent="0.15">
      <c r="A30" s="36" t="s">
        <v>73</v>
      </c>
      <c r="B30" s="44">
        <v>7</v>
      </c>
      <c r="D30" s="197" t="s">
        <v>218</v>
      </c>
      <c r="E30">
        <v>29</v>
      </c>
      <c r="F30">
        <v>3.24</v>
      </c>
      <c r="G30">
        <v>29</v>
      </c>
      <c r="H30" s="198" t="s">
        <v>218</v>
      </c>
    </row>
    <row r="31" spans="1:12" x14ac:dyDescent="0.15">
      <c r="A31" s="36" t="s">
        <v>169</v>
      </c>
      <c r="B31" s="44">
        <v>3.14</v>
      </c>
      <c r="D31" s="197" t="s">
        <v>219</v>
      </c>
      <c r="E31">
        <v>30</v>
      </c>
      <c r="F31">
        <v>3.24</v>
      </c>
      <c r="G31">
        <v>30</v>
      </c>
      <c r="H31" s="198" t="s">
        <v>219</v>
      </c>
    </row>
    <row r="32" spans="1:12" ht="12" customHeight="1" thickBot="1" x14ac:dyDescent="0.2">
      <c r="A32" s="42" t="s">
        <v>170</v>
      </c>
      <c r="B32" s="45">
        <v>9</v>
      </c>
      <c r="D32" s="197" t="s">
        <v>220</v>
      </c>
      <c r="E32">
        <v>31</v>
      </c>
      <c r="F32">
        <v>3.24</v>
      </c>
      <c r="G32">
        <v>31</v>
      </c>
      <c r="H32" s="198" t="s">
        <v>220</v>
      </c>
    </row>
    <row r="33" spans="4:8" customFormat="1" ht="12" customHeight="1" x14ac:dyDescent="0.15">
      <c r="D33" s="197" t="s">
        <v>221</v>
      </c>
      <c r="E33">
        <v>32</v>
      </c>
      <c r="F33">
        <v>3.24</v>
      </c>
      <c r="G33">
        <v>32</v>
      </c>
      <c r="H33" s="198" t="s">
        <v>221</v>
      </c>
    </row>
    <row r="34" spans="4:8" customFormat="1" ht="12" customHeight="1" x14ac:dyDescent="0.15">
      <c r="D34" s="197" t="s">
        <v>222</v>
      </c>
      <c r="E34">
        <v>33</v>
      </c>
      <c r="F34">
        <v>3.24</v>
      </c>
      <c r="G34">
        <v>33</v>
      </c>
      <c r="H34" s="198" t="s">
        <v>222</v>
      </c>
    </row>
    <row r="35" spans="4:8" customFormat="1" x14ac:dyDescent="0.15">
      <c r="D35" s="197" t="s">
        <v>223</v>
      </c>
      <c r="E35">
        <v>34</v>
      </c>
      <c r="F35">
        <v>3.24</v>
      </c>
      <c r="G35">
        <v>34</v>
      </c>
      <c r="H35" s="198" t="s">
        <v>223</v>
      </c>
    </row>
    <row r="36" spans="4:8" customFormat="1" x14ac:dyDescent="0.15">
      <c r="D36" s="197" t="s">
        <v>224</v>
      </c>
      <c r="E36">
        <v>35</v>
      </c>
      <c r="F36">
        <v>3.24</v>
      </c>
      <c r="G36">
        <v>35</v>
      </c>
      <c r="H36" s="198" t="s">
        <v>224</v>
      </c>
    </row>
    <row r="37" spans="4:8" customFormat="1" ht="12" customHeight="1" x14ac:dyDescent="0.15">
      <c r="D37" s="197" t="s">
        <v>225</v>
      </c>
      <c r="E37">
        <v>36</v>
      </c>
      <c r="F37">
        <v>3.24</v>
      </c>
      <c r="G37">
        <v>36</v>
      </c>
      <c r="H37" s="198" t="s">
        <v>225</v>
      </c>
    </row>
    <row r="38" spans="4:8" customFormat="1" x14ac:dyDescent="0.15">
      <c r="D38" s="197" t="s">
        <v>226</v>
      </c>
      <c r="E38">
        <v>37</v>
      </c>
      <c r="F38">
        <v>3.24</v>
      </c>
      <c r="G38">
        <v>37</v>
      </c>
      <c r="H38" s="198" t="s">
        <v>226</v>
      </c>
    </row>
    <row r="39" spans="4:8" customFormat="1" x14ac:dyDescent="0.15">
      <c r="D39" s="197" t="s">
        <v>227</v>
      </c>
      <c r="E39">
        <v>38</v>
      </c>
      <c r="F39">
        <v>3.14</v>
      </c>
      <c r="G39">
        <v>38</v>
      </c>
      <c r="H39" s="198" t="s">
        <v>227</v>
      </c>
    </row>
    <row r="40" spans="4:8" customFormat="1" x14ac:dyDescent="0.15">
      <c r="D40" s="197" t="s">
        <v>228</v>
      </c>
      <c r="E40">
        <v>39</v>
      </c>
      <c r="F40">
        <v>3.24</v>
      </c>
      <c r="G40">
        <v>39</v>
      </c>
      <c r="H40" s="198" t="s">
        <v>228</v>
      </c>
    </row>
    <row r="41" spans="4:8" customFormat="1" x14ac:dyDescent="0.15">
      <c r="D41" s="197" t="s">
        <v>229</v>
      </c>
      <c r="E41">
        <v>40</v>
      </c>
      <c r="F41">
        <v>3.24</v>
      </c>
      <c r="G41">
        <v>40</v>
      </c>
      <c r="H41" s="198" t="s">
        <v>229</v>
      </c>
    </row>
    <row r="42" spans="4:8" customFormat="1" x14ac:dyDescent="0.15">
      <c r="D42" s="197" t="s">
        <v>230</v>
      </c>
      <c r="E42">
        <v>41</v>
      </c>
      <c r="F42">
        <v>3.24</v>
      </c>
      <c r="G42">
        <v>41</v>
      </c>
      <c r="H42" s="198" t="s">
        <v>230</v>
      </c>
    </row>
    <row r="43" spans="4:8" customFormat="1" x14ac:dyDescent="0.15">
      <c r="D43" s="197" t="s">
        <v>231</v>
      </c>
      <c r="E43">
        <v>42</v>
      </c>
      <c r="F43">
        <v>3</v>
      </c>
      <c r="G43">
        <v>42</v>
      </c>
      <c r="H43" s="198" t="s">
        <v>231</v>
      </c>
    </row>
    <row r="44" spans="4:8" customFormat="1" x14ac:dyDescent="0.15">
      <c r="D44" s="197" t="s">
        <v>232</v>
      </c>
      <c r="E44">
        <v>43</v>
      </c>
      <c r="F44">
        <v>3.14</v>
      </c>
      <c r="G44">
        <v>43</v>
      </c>
      <c r="H44" s="198" t="s">
        <v>232</v>
      </c>
    </row>
    <row r="45" spans="4:8" customFormat="1" x14ac:dyDescent="0.15">
      <c r="D45" s="197" t="s">
        <v>233</v>
      </c>
      <c r="E45">
        <v>44</v>
      </c>
      <c r="F45">
        <v>3.2</v>
      </c>
      <c r="G45">
        <v>44</v>
      </c>
      <c r="H45" s="198" t="s">
        <v>233</v>
      </c>
    </row>
    <row r="46" spans="4:8" customFormat="1" x14ac:dyDescent="0.15">
      <c r="D46" s="197" t="s">
        <v>234</v>
      </c>
      <c r="E46">
        <v>45</v>
      </c>
      <c r="F46">
        <v>3.2</v>
      </c>
      <c r="G46">
        <v>45</v>
      </c>
      <c r="H46" s="198" t="s">
        <v>234</v>
      </c>
    </row>
    <row r="47" spans="4:8" customFormat="1" x14ac:dyDescent="0.15">
      <c r="D47" s="197" t="s">
        <v>235</v>
      </c>
      <c r="E47">
        <v>46</v>
      </c>
      <c r="F47">
        <v>3.14</v>
      </c>
      <c r="G47">
        <v>46</v>
      </c>
      <c r="H47" s="198" t="s">
        <v>235</v>
      </c>
    </row>
    <row r="48" spans="4:8" customFormat="1" x14ac:dyDescent="0.15">
      <c r="D48" s="197" t="s">
        <v>236</v>
      </c>
      <c r="E48">
        <v>47</v>
      </c>
      <c r="F48">
        <v>3.14</v>
      </c>
      <c r="G48">
        <v>47</v>
      </c>
      <c r="H48" s="198" t="s">
        <v>236</v>
      </c>
    </row>
    <row r="49" spans="4:8" customFormat="1" x14ac:dyDescent="0.15">
      <c r="D49" s="197" t="s">
        <v>237</v>
      </c>
      <c r="E49">
        <v>48</v>
      </c>
      <c r="F49">
        <v>3.14</v>
      </c>
      <c r="G49">
        <v>48</v>
      </c>
      <c r="H49" s="198" t="s">
        <v>237</v>
      </c>
    </row>
    <row r="50" spans="4:8" customFormat="1" ht="12" customHeight="1" x14ac:dyDescent="0.15">
      <c r="D50" s="197" t="s">
        <v>238</v>
      </c>
      <c r="E50">
        <v>49</v>
      </c>
      <c r="F50">
        <v>3.13</v>
      </c>
      <c r="G50">
        <v>49</v>
      </c>
      <c r="H50" s="198" t="s">
        <v>238</v>
      </c>
    </row>
    <row r="51" spans="4:8" customFormat="1" x14ac:dyDescent="0.15">
      <c r="D51" s="197" t="s">
        <v>239</v>
      </c>
      <c r="E51">
        <v>50</v>
      </c>
      <c r="F51">
        <v>3.02</v>
      </c>
      <c r="G51">
        <v>50</v>
      </c>
      <c r="H51" s="198" t="s">
        <v>239</v>
      </c>
    </row>
    <row r="52" spans="4:8" customFormat="1" ht="12" customHeight="1" x14ac:dyDescent="0.15">
      <c r="D52" s="197" t="s">
        <v>240</v>
      </c>
      <c r="E52">
        <v>51</v>
      </c>
      <c r="F52">
        <v>3.21</v>
      </c>
      <c r="G52">
        <v>51</v>
      </c>
      <c r="H52" s="198" t="s">
        <v>240</v>
      </c>
    </row>
    <row r="53" spans="4:8" customFormat="1" x14ac:dyDescent="0.15">
      <c r="D53" s="197" t="s">
        <v>241</v>
      </c>
      <c r="E53">
        <v>52</v>
      </c>
      <c r="F53">
        <v>3.21</v>
      </c>
      <c r="G53">
        <v>52</v>
      </c>
      <c r="H53" s="198" t="s">
        <v>241</v>
      </c>
    </row>
    <row r="54" spans="4:8" customFormat="1" ht="12" customHeight="1" x14ac:dyDescent="0.15">
      <c r="D54" s="197" t="s">
        <v>242</v>
      </c>
      <c r="E54">
        <v>53</v>
      </c>
      <c r="F54">
        <v>3.23</v>
      </c>
      <c r="G54">
        <v>53</v>
      </c>
      <c r="H54" s="198" t="s">
        <v>242</v>
      </c>
    </row>
    <row r="55" spans="4:8" customFormat="1" ht="12" customHeight="1" x14ac:dyDescent="0.15">
      <c r="D55" s="197" t="s">
        <v>243</v>
      </c>
      <c r="E55">
        <v>54</v>
      </c>
      <c r="F55">
        <v>3.21</v>
      </c>
      <c r="G55">
        <v>54</v>
      </c>
      <c r="H55" s="198" t="s">
        <v>243</v>
      </c>
    </row>
    <row r="56" spans="4:8" customFormat="1" x14ac:dyDescent="0.15">
      <c r="D56" s="197" t="s">
        <v>244</v>
      </c>
      <c r="E56">
        <v>55</v>
      </c>
      <c r="F56">
        <v>3.21</v>
      </c>
      <c r="G56">
        <v>55</v>
      </c>
      <c r="H56" s="198" t="s">
        <v>244</v>
      </c>
    </row>
    <row r="57" spans="4:8" customFormat="1" x14ac:dyDescent="0.15">
      <c r="D57" s="197" t="s">
        <v>245</v>
      </c>
      <c r="E57">
        <v>56</v>
      </c>
      <c r="F57">
        <v>3.21</v>
      </c>
      <c r="G57">
        <v>56</v>
      </c>
      <c r="H57" s="198" t="s">
        <v>245</v>
      </c>
    </row>
    <row r="58" spans="4:8" customFormat="1" x14ac:dyDescent="0.15">
      <c r="D58" s="197" t="s">
        <v>246</v>
      </c>
      <c r="E58">
        <v>57</v>
      </c>
      <c r="F58">
        <v>3.21</v>
      </c>
      <c r="G58">
        <v>57</v>
      </c>
      <c r="H58" s="198" t="s">
        <v>246</v>
      </c>
    </row>
    <row r="59" spans="4:8" customFormat="1" x14ac:dyDescent="0.15">
      <c r="D59" s="197" t="s">
        <v>247</v>
      </c>
      <c r="E59">
        <v>58</v>
      </c>
      <c r="F59">
        <v>3.21</v>
      </c>
      <c r="G59">
        <v>58</v>
      </c>
      <c r="H59" s="198" t="s">
        <v>247</v>
      </c>
    </row>
    <row r="60" spans="4:8" customFormat="1" x14ac:dyDescent="0.15">
      <c r="D60" s="197" t="s">
        <v>248</v>
      </c>
      <c r="E60">
        <v>59</v>
      </c>
      <c r="F60">
        <v>3.21</v>
      </c>
      <c r="G60">
        <v>59</v>
      </c>
      <c r="H60" s="198" t="s">
        <v>248</v>
      </c>
    </row>
    <row r="61" spans="4:8" customFormat="1" x14ac:dyDescent="0.15">
      <c r="D61" s="197" t="s">
        <v>249</v>
      </c>
      <c r="E61">
        <v>60</v>
      </c>
      <c r="F61">
        <v>3.21</v>
      </c>
      <c r="G61">
        <v>60</v>
      </c>
      <c r="H61" s="198" t="s">
        <v>249</v>
      </c>
    </row>
    <row r="62" spans="4:8" customFormat="1" x14ac:dyDescent="0.15">
      <c r="D62" s="197" t="s">
        <v>250</v>
      </c>
      <c r="E62">
        <v>61</v>
      </c>
      <c r="F62">
        <v>3.11</v>
      </c>
      <c r="G62">
        <v>61</v>
      </c>
      <c r="H62" s="198" t="s">
        <v>250</v>
      </c>
    </row>
    <row r="63" spans="4:8" customFormat="1" x14ac:dyDescent="0.15">
      <c r="D63" s="197" t="s">
        <v>251</v>
      </c>
      <c r="E63">
        <v>62</v>
      </c>
      <c r="F63">
        <v>3.11</v>
      </c>
      <c r="G63">
        <v>62</v>
      </c>
      <c r="H63" s="198" t="s">
        <v>251</v>
      </c>
    </row>
    <row r="64" spans="4:8" customFormat="1" x14ac:dyDescent="0.15">
      <c r="D64" s="197" t="s">
        <v>252</v>
      </c>
      <c r="E64">
        <v>63</v>
      </c>
      <c r="F64">
        <v>3.11</v>
      </c>
      <c r="G64">
        <v>63</v>
      </c>
      <c r="H64" s="198" t="s">
        <v>252</v>
      </c>
    </row>
    <row r="65" spans="4:8" customFormat="1" x14ac:dyDescent="0.15">
      <c r="D65" s="197" t="s">
        <v>253</v>
      </c>
      <c r="E65">
        <v>64</v>
      </c>
      <c r="F65">
        <v>3.11</v>
      </c>
      <c r="G65">
        <v>64</v>
      </c>
      <c r="H65" s="198" t="s">
        <v>253</v>
      </c>
    </row>
    <row r="66" spans="4:8" customFormat="1" x14ac:dyDescent="0.15">
      <c r="D66" s="197" t="s">
        <v>254</v>
      </c>
      <c r="E66">
        <v>65</v>
      </c>
      <c r="F66">
        <v>3.11</v>
      </c>
      <c r="G66">
        <v>65</v>
      </c>
      <c r="H66" s="198" t="s">
        <v>254</v>
      </c>
    </row>
    <row r="67" spans="4:8" customFormat="1" x14ac:dyDescent="0.15">
      <c r="D67" s="197" t="s">
        <v>255</v>
      </c>
      <c r="E67">
        <v>66</v>
      </c>
      <c r="F67">
        <v>3.1110000000000002</v>
      </c>
      <c r="G67">
        <v>66</v>
      </c>
      <c r="H67" s="198" t="s">
        <v>255</v>
      </c>
    </row>
    <row r="68" spans="4:8" customFormat="1" x14ac:dyDescent="0.15">
      <c r="D68" s="197" t="s">
        <v>256</v>
      </c>
      <c r="E68">
        <v>67</v>
      </c>
      <c r="F68">
        <v>2.2200000000000002</v>
      </c>
      <c r="G68">
        <v>67</v>
      </c>
      <c r="H68" s="198" t="s">
        <v>256</v>
      </c>
    </row>
    <row r="69" spans="4:8" customFormat="1" x14ac:dyDescent="0.15">
      <c r="D69" s="197" t="s">
        <v>257</v>
      </c>
      <c r="E69">
        <v>68</v>
      </c>
      <c r="F69">
        <v>2.21</v>
      </c>
      <c r="G69">
        <v>68</v>
      </c>
      <c r="H69" s="198" t="s">
        <v>257</v>
      </c>
    </row>
    <row r="70" spans="4:8" customFormat="1" x14ac:dyDescent="0.15">
      <c r="D70" s="197" t="s">
        <v>258</v>
      </c>
      <c r="E70">
        <v>69</v>
      </c>
      <c r="F70">
        <v>2.1</v>
      </c>
      <c r="G70">
        <v>69</v>
      </c>
      <c r="H70" s="198" t="s">
        <v>258</v>
      </c>
    </row>
    <row r="71" spans="4:8" customFormat="1" x14ac:dyDescent="0.15">
      <c r="D71" s="197" t="s">
        <v>259</v>
      </c>
      <c r="E71">
        <v>70</v>
      </c>
      <c r="F71">
        <v>2.2200000000000002</v>
      </c>
      <c r="G71">
        <v>70</v>
      </c>
      <c r="H71" s="198" t="s">
        <v>259</v>
      </c>
    </row>
    <row r="72" spans="4:8" customFormat="1" x14ac:dyDescent="0.15">
      <c r="D72" s="197" t="s">
        <v>260</v>
      </c>
      <c r="E72">
        <v>71</v>
      </c>
      <c r="F72">
        <v>4.0999999999999996</v>
      </c>
      <c r="G72">
        <v>71</v>
      </c>
      <c r="H72" s="198" t="s">
        <v>260</v>
      </c>
    </row>
    <row r="73" spans="4:8" customFormat="1" x14ac:dyDescent="0.15">
      <c r="D73" s="197" t="s">
        <v>261</v>
      </c>
      <c r="E73">
        <v>72</v>
      </c>
      <c r="F73">
        <v>4.3</v>
      </c>
      <c r="G73">
        <v>72</v>
      </c>
      <c r="H73" s="198" t="s">
        <v>261</v>
      </c>
    </row>
    <row r="74" spans="4:8" customFormat="1" x14ac:dyDescent="0.15">
      <c r="D74" s="197" t="s">
        <v>262</v>
      </c>
      <c r="E74">
        <v>73</v>
      </c>
      <c r="F74">
        <v>4.2</v>
      </c>
      <c r="G74">
        <v>73</v>
      </c>
      <c r="H74" s="198" t="s">
        <v>262</v>
      </c>
    </row>
    <row r="75" spans="4:8" customFormat="1" x14ac:dyDescent="0.15">
      <c r="D75" s="197" t="s">
        <v>263</v>
      </c>
      <c r="E75">
        <v>74</v>
      </c>
      <c r="F75">
        <v>5</v>
      </c>
      <c r="G75">
        <v>74</v>
      </c>
      <c r="H75" s="198" t="s">
        <v>263</v>
      </c>
    </row>
    <row r="76" spans="4:8" customFormat="1" x14ac:dyDescent="0.15">
      <c r="D76" s="197" t="s">
        <v>264</v>
      </c>
      <c r="E76">
        <v>75</v>
      </c>
      <c r="F76">
        <v>5</v>
      </c>
      <c r="G76">
        <v>75</v>
      </c>
      <c r="H76" s="198" t="s">
        <v>264</v>
      </c>
    </row>
    <row r="77" spans="4:8" customFormat="1" x14ac:dyDescent="0.15">
      <c r="D77" s="197" t="s">
        <v>265</v>
      </c>
      <c r="E77">
        <v>76</v>
      </c>
      <c r="F77">
        <v>5</v>
      </c>
      <c r="G77">
        <v>76</v>
      </c>
      <c r="H77" s="198" t="s">
        <v>265</v>
      </c>
    </row>
    <row r="78" spans="4:8" customFormat="1" x14ac:dyDescent="0.15">
      <c r="D78" s="197" t="s">
        <v>266</v>
      </c>
      <c r="E78">
        <v>77</v>
      </c>
      <c r="F78">
        <v>5</v>
      </c>
      <c r="G78">
        <v>77</v>
      </c>
      <c r="H78" s="198" t="s">
        <v>266</v>
      </c>
    </row>
    <row r="79" spans="4:8" customFormat="1" x14ac:dyDescent="0.15">
      <c r="D79" s="197" t="s">
        <v>267</v>
      </c>
      <c r="E79">
        <v>78</v>
      </c>
      <c r="F79">
        <v>5</v>
      </c>
      <c r="G79">
        <v>78</v>
      </c>
      <c r="H79" s="198" t="s">
        <v>267</v>
      </c>
    </row>
    <row r="80" spans="4:8" customFormat="1" x14ac:dyDescent="0.15">
      <c r="D80" s="197" t="s">
        <v>268</v>
      </c>
      <c r="E80">
        <v>79</v>
      </c>
      <c r="F80">
        <v>5</v>
      </c>
      <c r="G80">
        <v>79</v>
      </c>
      <c r="H80" s="198" t="s">
        <v>268</v>
      </c>
    </row>
    <row r="81" spans="4:8" customFormat="1" x14ac:dyDescent="0.15">
      <c r="D81" s="197" t="s">
        <v>269</v>
      </c>
      <c r="E81">
        <v>80</v>
      </c>
      <c r="F81">
        <v>5</v>
      </c>
      <c r="G81">
        <v>80</v>
      </c>
      <c r="H81" s="198" t="s">
        <v>269</v>
      </c>
    </row>
    <row r="82" spans="4:8" customFormat="1" x14ac:dyDescent="0.15">
      <c r="D82" s="197" t="s">
        <v>270</v>
      </c>
      <c r="E82">
        <v>81</v>
      </c>
      <c r="F82">
        <v>5</v>
      </c>
      <c r="G82">
        <v>81</v>
      </c>
      <c r="H82" s="198" t="s">
        <v>270</v>
      </c>
    </row>
    <row r="83" spans="4:8" customFormat="1" x14ac:dyDescent="0.15">
      <c r="D83" s="197" t="s">
        <v>271</v>
      </c>
      <c r="E83">
        <v>82</v>
      </c>
      <c r="F83">
        <v>5</v>
      </c>
      <c r="G83">
        <v>82</v>
      </c>
      <c r="H83" s="198" t="s">
        <v>271</v>
      </c>
    </row>
    <row r="84" spans="4:8" customFormat="1" x14ac:dyDescent="0.15">
      <c r="D84" s="197" t="s">
        <v>272</v>
      </c>
      <c r="E84">
        <v>83</v>
      </c>
      <c r="F84">
        <v>5</v>
      </c>
      <c r="G84">
        <v>83</v>
      </c>
      <c r="H84" s="198" t="s">
        <v>272</v>
      </c>
    </row>
    <row r="85" spans="4:8" customFormat="1" x14ac:dyDescent="0.15">
      <c r="D85" s="197" t="s">
        <v>273</v>
      </c>
      <c r="E85">
        <v>84</v>
      </c>
      <c r="F85">
        <v>5</v>
      </c>
      <c r="G85">
        <v>84</v>
      </c>
      <c r="H85" s="198" t="s">
        <v>273</v>
      </c>
    </row>
    <row r="86" spans="4:8" customFormat="1" x14ac:dyDescent="0.15">
      <c r="D86" s="197" t="s">
        <v>274</v>
      </c>
      <c r="E86">
        <v>85</v>
      </c>
      <c r="F86">
        <v>5</v>
      </c>
      <c r="G86">
        <v>85</v>
      </c>
      <c r="H86" s="198" t="s">
        <v>274</v>
      </c>
    </row>
    <row r="87" spans="4:8" customFormat="1" x14ac:dyDescent="0.15">
      <c r="D87" s="197" t="s">
        <v>275</v>
      </c>
      <c r="E87">
        <v>86</v>
      </c>
      <c r="F87">
        <v>5</v>
      </c>
      <c r="G87">
        <v>86</v>
      </c>
      <c r="H87" s="198" t="s">
        <v>275</v>
      </c>
    </row>
    <row r="88" spans="4:8" customFormat="1" x14ac:dyDescent="0.15">
      <c r="D88" s="197" t="s">
        <v>276</v>
      </c>
      <c r="E88">
        <v>87</v>
      </c>
      <c r="F88">
        <v>5</v>
      </c>
      <c r="G88">
        <v>87</v>
      </c>
      <c r="H88" s="198" t="s">
        <v>276</v>
      </c>
    </row>
    <row r="89" spans="4:8" customFormat="1" x14ac:dyDescent="0.15">
      <c r="D89" s="197" t="s">
        <v>138</v>
      </c>
      <c r="E89">
        <v>88</v>
      </c>
      <c r="F89">
        <v>6.1</v>
      </c>
      <c r="G89">
        <v>88</v>
      </c>
      <c r="H89" s="198" t="s">
        <v>138</v>
      </c>
    </row>
    <row r="90" spans="4:8" customFormat="1" x14ac:dyDescent="0.15">
      <c r="D90" s="197" t="s">
        <v>45</v>
      </c>
      <c r="E90">
        <v>89</v>
      </c>
      <c r="F90">
        <v>6.2</v>
      </c>
      <c r="G90">
        <v>89</v>
      </c>
      <c r="H90" s="198" t="s">
        <v>45</v>
      </c>
    </row>
    <row r="91" spans="4:8" customFormat="1" x14ac:dyDescent="0.15"/>
    <row r="92" spans="4:8" customFormat="1" x14ac:dyDescent="0.15"/>
    <row r="93" spans="4:8" customFormat="1" x14ac:dyDescent="0.15"/>
    <row r="94" spans="4:8" customFormat="1" x14ac:dyDescent="0.15"/>
    <row r="95" spans="4:8" customFormat="1" x14ac:dyDescent="0.15"/>
    <row r="96" spans="4:8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64" activePane="bottomLeft" state="frozen"/>
      <selection pane="bottomLeft" activeCell="E74" sqref="E74"/>
    </sheetView>
  </sheetViews>
  <sheetFormatPr baseColWidth="10" defaultColWidth="11.5" defaultRowHeight="15" customHeight="1" x14ac:dyDescent="0.15"/>
  <cols>
    <col min="1" max="1" width="17" style="86" bestFit="1" customWidth="1"/>
    <col min="2" max="2" width="13.83203125" style="85" customWidth="1"/>
    <col min="3" max="3" width="17" style="85" customWidth="1"/>
    <col min="4" max="4" width="9.83203125" style="85" customWidth="1"/>
    <col min="5" max="5" width="13.83203125" style="85" customWidth="1"/>
    <col min="6" max="6" width="27.5" style="85" bestFit="1" customWidth="1"/>
    <col min="7" max="9" width="2.33203125" style="85" customWidth="1"/>
    <col min="10" max="10" width="2.33203125" style="85" bestFit="1" customWidth="1"/>
    <col min="11" max="15" width="4.83203125" style="85" customWidth="1"/>
    <col min="16" max="16" width="4.83203125" style="72" customWidth="1"/>
    <col min="17" max="17" width="2.33203125" style="85" customWidth="1"/>
    <col min="18" max="18" width="2.33203125" style="73" customWidth="1"/>
    <col min="19" max="16384" width="11.5" style="85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7" t="s">
        <v>48</v>
      </c>
      <c r="L1" s="73"/>
      <c r="M1" s="87" t="s">
        <v>119</v>
      </c>
      <c r="N1" s="73"/>
      <c r="O1" s="87" t="s">
        <v>49</v>
      </c>
      <c r="P1" s="76"/>
      <c r="Q1" s="87" t="s">
        <v>50</v>
      </c>
      <c r="R1" s="70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8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8">
        <v>0</v>
      </c>
      <c r="R4" s="113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8">
        <v>0</v>
      </c>
      <c r="R5" s="113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199" t="s">
        <v>193</v>
      </c>
      <c r="G6" s="85">
        <v>0</v>
      </c>
      <c r="H6" s="85">
        <v>0</v>
      </c>
      <c r="I6" s="85">
        <v>0</v>
      </c>
      <c r="J6" s="85">
        <v>0</v>
      </c>
      <c r="K6" s="85">
        <v>0.7</v>
      </c>
      <c r="L6" s="85">
        <v>0.30000000000000004</v>
      </c>
      <c r="M6" s="85">
        <v>0.7</v>
      </c>
      <c r="N6" s="85">
        <v>0.30000000000000004</v>
      </c>
      <c r="O6" s="85">
        <v>0.7</v>
      </c>
      <c r="P6" s="72">
        <v>0.30000000000000004</v>
      </c>
      <c r="Q6" s="85">
        <v>0</v>
      </c>
      <c r="R6" s="73">
        <v>1</v>
      </c>
      <c r="S6"/>
      <c r="T6"/>
    </row>
    <row r="7" spans="1:23" ht="15" customHeight="1" thickBot="1" x14ac:dyDescent="0.2">
      <c r="F7" s="199" t="s">
        <v>194</v>
      </c>
      <c r="G7" s="85">
        <v>0</v>
      </c>
      <c r="H7" s="85">
        <v>0</v>
      </c>
      <c r="I7" s="85">
        <v>0</v>
      </c>
      <c r="J7" s="85">
        <v>0</v>
      </c>
      <c r="K7" s="85">
        <v>0.5</v>
      </c>
      <c r="L7" s="85">
        <v>0.5</v>
      </c>
      <c r="M7" s="85">
        <v>0.5</v>
      </c>
      <c r="N7" s="85">
        <v>0.5</v>
      </c>
      <c r="O7" s="85">
        <v>0.5</v>
      </c>
      <c r="P7" s="72">
        <v>0.5</v>
      </c>
      <c r="Q7" s="85">
        <v>0</v>
      </c>
      <c r="R7" s="73">
        <v>1</v>
      </c>
      <c r="S7"/>
      <c r="T7"/>
    </row>
    <row r="8" spans="1:23" ht="15" customHeight="1" x14ac:dyDescent="0.15">
      <c r="A8" s="87" t="s">
        <v>56</v>
      </c>
      <c r="B8" s="94">
        <v>2.9899480310953765E-2</v>
      </c>
      <c r="C8" s="200" t="s">
        <v>256</v>
      </c>
      <c r="D8" s="89" t="s">
        <v>160</v>
      </c>
      <c r="F8" s="199" t="s">
        <v>195</v>
      </c>
      <c r="G8" s="85">
        <v>0</v>
      </c>
      <c r="H8" s="85">
        <v>0</v>
      </c>
      <c r="I8" s="85">
        <v>0</v>
      </c>
      <c r="J8" s="85">
        <v>0</v>
      </c>
      <c r="K8" s="85">
        <v>0.7</v>
      </c>
      <c r="L8" s="85">
        <v>0.30000000000000004</v>
      </c>
      <c r="M8" s="85">
        <v>0.7</v>
      </c>
      <c r="N8" s="85">
        <v>0.30000000000000004</v>
      </c>
      <c r="O8" s="85">
        <v>0.7</v>
      </c>
      <c r="P8" s="72">
        <v>0.30000000000000004</v>
      </c>
      <c r="Q8" s="85">
        <v>0</v>
      </c>
      <c r="R8" s="73">
        <v>1</v>
      </c>
      <c r="S8"/>
      <c r="T8"/>
      <c r="W8"/>
    </row>
    <row r="9" spans="1:23" ht="15" customHeight="1" x14ac:dyDescent="0.15">
      <c r="A9" s="127" t="s">
        <v>168</v>
      </c>
      <c r="B9" s="96">
        <v>0.14652806384505285</v>
      </c>
      <c r="C9" s="200" t="s">
        <v>257</v>
      </c>
      <c r="D9" s="89" t="s">
        <v>160</v>
      </c>
      <c r="F9" s="199" t="s">
        <v>196</v>
      </c>
      <c r="G9" s="85">
        <v>0</v>
      </c>
      <c r="H9" s="85">
        <v>0</v>
      </c>
      <c r="I9" s="85">
        <v>0</v>
      </c>
      <c r="J9" s="85">
        <v>0</v>
      </c>
      <c r="K9" s="85">
        <v>0.7</v>
      </c>
      <c r="L9" s="85">
        <v>0.30000000000000004</v>
      </c>
      <c r="M9" s="85">
        <v>0.7</v>
      </c>
      <c r="N9" s="85">
        <v>0.30000000000000004</v>
      </c>
      <c r="O9" s="85">
        <v>0.7</v>
      </c>
      <c r="P9" s="72">
        <v>0.30000000000000004</v>
      </c>
      <c r="Q9" s="85">
        <v>0</v>
      </c>
      <c r="R9" s="73">
        <v>1</v>
      </c>
      <c r="S9"/>
      <c r="T9"/>
      <c r="W9"/>
    </row>
    <row r="10" spans="1:23" ht="15" customHeight="1" x14ac:dyDescent="0.15">
      <c r="B10" s="96">
        <v>0.49584346423589837</v>
      </c>
      <c r="C10" s="200" t="s">
        <v>258</v>
      </c>
      <c r="D10" s="89" t="s">
        <v>160</v>
      </c>
      <c r="F10" s="199" t="s">
        <v>197</v>
      </c>
      <c r="G10" s="85">
        <v>0</v>
      </c>
      <c r="H10" s="85">
        <v>0</v>
      </c>
      <c r="I10" s="85">
        <v>0</v>
      </c>
      <c r="J10" s="85">
        <v>0</v>
      </c>
      <c r="K10" s="85">
        <v>0.19</v>
      </c>
      <c r="L10" s="85">
        <v>0.81</v>
      </c>
      <c r="M10" s="85">
        <v>0.19</v>
      </c>
      <c r="N10" s="85">
        <v>0.81</v>
      </c>
      <c r="O10" s="85">
        <v>0.19</v>
      </c>
      <c r="P10" s="72">
        <v>0.81</v>
      </c>
      <c r="Q10" s="85">
        <v>0</v>
      </c>
      <c r="R10" s="73">
        <v>1</v>
      </c>
      <c r="S10"/>
      <c r="T10"/>
      <c r="W10"/>
    </row>
    <row r="11" spans="1:23" ht="15" customHeight="1" x14ac:dyDescent="0.15">
      <c r="A11" s="87"/>
      <c r="B11" s="96">
        <v>0.32772899160809504</v>
      </c>
      <c r="C11" s="200" t="s">
        <v>259</v>
      </c>
      <c r="D11" s="89" t="s">
        <v>160</v>
      </c>
      <c r="F11" s="199" t="s">
        <v>198</v>
      </c>
      <c r="G11" s="85">
        <v>0</v>
      </c>
      <c r="H11" s="85">
        <v>0</v>
      </c>
      <c r="I11" s="85">
        <v>0</v>
      </c>
      <c r="J11" s="85">
        <v>0</v>
      </c>
      <c r="K11" s="85">
        <v>0.75</v>
      </c>
      <c r="L11" s="85">
        <v>0.25</v>
      </c>
      <c r="M11" s="85">
        <v>0.75</v>
      </c>
      <c r="N11" s="85">
        <v>0.25</v>
      </c>
      <c r="O11" s="85">
        <v>0.75</v>
      </c>
      <c r="P11" s="72">
        <v>0.25</v>
      </c>
      <c r="Q11" s="85">
        <v>0</v>
      </c>
      <c r="R11" s="73">
        <v>1</v>
      </c>
      <c r="S11"/>
      <c r="T11"/>
      <c r="W11"/>
    </row>
    <row r="12" spans="1:23" ht="15" customHeight="1" x14ac:dyDescent="0.15">
      <c r="B12" s="96"/>
      <c r="C12" s="99"/>
      <c r="D12" s="89" t="s">
        <v>160</v>
      </c>
      <c r="F12" s="199" t="s">
        <v>199</v>
      </c>
      <c r="G12" s="85">
        <v>0</v>
      </c>
      <c r="H12" s="85">
        <v>0</v>
      </c>
      <c r="I12" s="85">
        <v>0</v>
      </c>
      <c r="J12" s="85">
        <v>0</v>
      </c>
      <c r="K12" s="85">
        <v>0.75</v>
      </c>
      <c r="L12" s="85">
        <v>0.25</v>
      </c>
      <c r="M12" s="85">
        <v>0.75</v>
      </c>
      <c r="N12" s="85">
        <v>0.25</v>
      </c>
      <c r="O12" s="85">
        <v>0.75</v>
      </c>
      <c r="P12" s="72">
        <v>0.25</v>
      </c>
      <c r="Q12" s="85">
        <v>0</v>
      </c>
      <c r="R12" s="73">
        <v>1</v>
      </c>
      <c r="S12"/>
      <c r="T12"/>
      <c r="W12"/>
    </row>
    <row r="13" spans="1:23" ht="15" customHeight="1" x14ac:dyDescent="0.15">
      <c r="B13" s="96"/>
      <c r="C13" s="99"/>
      <c r="D13" s="89" t="s">
        <v>160</v>
      </c>
      <c r="F13" s="199" t="s">
        <v>200</v>
      </c>
      <c r="G13" s="85">
        <v>0</v>
      </c>
      <c r="H13" s="85">
        <v>0</v>
      </c>
      <c r="I13" s="85">
        <v>0</v>
      </c>
      <c r="J13" s="85">
        <v>0</v>
      </c>
      <c r="K13" s="85">
        <v>0.75</v>
      </c>
      <c r="L13" s="85">
        <v>0.25</v>
      </c>
      <c r="M13" s="85">
        <v>0.75</v>
      </c>
      <c r="N13" s="85">
        <v>0.25</v>
      </c>
      <c r="O13" s="85">
        <v>0.75</v>
      </c>
      <c r="P13" s="72">
        <v>0.25</v>
      </c>
      <c r="Q13" s="85">
        <v>0</v>
      </c>
      <c r="R13" s="73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199" t="s">
        <v>201</v>
      </c>
      <c r="G14" s="85">
        <v>0</v>
      </c>
      <c r="H14" s="85">
        <v>0</v>
      </c>
      <c r="I14" s="85">
        <v>0</v>
      </c>
      <c r="J14" s="85">
        <v>0</v>
      </c>
      <c r="K14" s="85">
        <v>0.75</v>
      </c>
      <c r="L14" s="85">
        <v>0.25</v>
      </c>
      <c r="M14" s="85">
        <v>0.75</v>
      </c>
      <c r="N14" s="85">
        <v>0.25</v>
      </c>
      <c r="O14" s="85">
        <v>0.75</v>
      </c>
      <c r="P14" s="72">
        <v>0.25</v>
      </c>
      <c r="Q14" s="85">
        <v>0</v>
      </c>
      <c r="R14" s="73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199" t="s">
        <v>202</v>
      </c>
      <c r="G15" s="85">
        <v>0</v>
      </c>
      <c r="H15" s="85">
        <v>0</v>
      </c>
      <c r="I15" s="85">
        <v>0</v>
      </c>
      <c r="J15" s="85">
        <v>0</v>
      </c>
      <c r="K15" s="85">
        <v>0.75</v>
      </c>
      <c r="L15" s="85">
        <v>0.25</v>
      </c>
      <c r="M15" s="85">
        <v>0.75</v>
      </c>
      <c r="N15" s="85">
        <v>0.25</v>
      </c>
      <c r="O15" s="85">
        <v>0.75</v>
      </c>
      <c r="P15" s="72">
        <v>0.25</v>
      </c>
      <c r="Q15" s="85">
        <v>0</v>
      </c>
      <c r="R15" s="73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199" t="s">
        <v>203</v>
      </c>
      <c r="G16" s="85">
        <v>0</v>
      </c>
      <c r="H16" s="85">
        <v>0</v>
      </c>
      <c r="I16" s="85">
        <v>0</v>
      </c>
      <c r="J16" s="85">
        <v>0</v>
      </c>
      <c r="K16" s="85">
        <v>0.75</v>
      </c>
      <c r="L16" s="85">
        <v>0.25</v>
      </c>
      <c r="M16" s="85">
        <v>0.75</v>
      </c>
      <c r="N16" s="85">
        <v>0.25</v>
      </c>
      <c r="O16" s="85">
        <v>0.75</v>
      </c>
      <c r="P16" s="72">
        <v>0.25</v>
      </c>
      <c r="Q16" s="85">
        <v>0</v>
      </c>
      <c r="R16" s="73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199" t="s">
        <v>204</v>
      </c>
      <c r="G17" s="85">
        <v>0</v>
      </c>
      <c r="H17" s="85">
        <v>0</v>
      </c>
      <c r="I17" s="85">
        <v>0</v>
      </c>
      <c r="J17" s="85">
        <v>0</v>
      </c>
      <c r="K17" s="85">
        <v>0.75</v>
      </c>
      <c r="L17" s="85">
        <v>0.25</v>
      </c>
      <c r="M17" s="85">
        <v>0.75</v>
      </c>
      <c r="N17" s="85">
        <v>0.25</v>
      </c>
      <c r="O17" s="85">
        <v>0.75</v>
      </c>
      <c r="P17" s="72">
        <v>0.25</v>
      </c>
      <c r="Q17" s="85">
        <v>0</v>
      </c>
      <c r="R17" s="73">
        <v>1</v>
      </c>
      <c r="S17"/>
      <c r="T17"/>
    </row>
    <row r="18" spans="1:20" ht="15" customHeight="1" thickBot="1" x14ac:dyDescent="0.2">
      <c r="B18" s="97"/>
      <c r="F18" s="199" t="s">
        <v>205</v>
      </c>
      <c r="G18" s="85">
        <v>0</v>
      </c>
      <c r="H18" s="85">
        <v>0</v>
      </c>
      <c r="I18" s="85">
        <v>0</v>
      </c>
      <c r="J18" s="85">
        <v>0</v>
      </c>
      <c r="K18" s="85">
        <v>0.75</v>
      </c>
      <c r="L18" s="85">
        <v>0.25</v>
      </c>
      <c r="M18" s="85">
        <v>0.75</v>
      </c>
      <c r="N18" s="85">
        <v>0.25</v>
      </c>
      <c r="O18" s="85">
        <v>0.75</v>
      </c>
      <c r="P18" s="72">
        <v>0.25</v>
      </c>
      <c r="Q18" s="85">
        <v>0</v>
      </c>
      <c r="R18" s="73">
        <v>1</v>
      </c>
      <c r="S18"/>
      <c r="T18"/>
    </row>
    <row r="19" spans="1:20" ht="15" customHeight="1" x14ac:dyDescent="0.15">
      <c r="A19" s="87" t="s">
        <v>57</v>
      </c>
      <c r="B19" s="94">
        <v>2.9899480310953765E-2</v>
      </c>
      <c r="C19" s="201" t="s">
        <v>256</v>
      </c>
      <c r="D19" s="89" t="s">
        <v>160</v>
      </c>
      <c r="F19" s="199" t="s">
        <v>206</v>
      </c>
      <c r="G19" s="85">
        <v>0</v>
      </c>
      <c r="H19" s="85">
        <v>0</v>
      </c>
      <c r="I19" s="85">
        <v>0</v>
      </c>
      <c r="J19" s="85">
        <v>0</v>
      </c>
      <c r="K19" s="85">
        <v>0.19</v>
      </c>
      <c r="L19" s="85">
        <v>0.81</v>
      </c>
      <c r="M19" s="85">
        <v>0.19</v>
      </c>
      <c r="N19" s="85">
        <v>0.81</v>
      </c>
      <c r="O19" s="85">
        <v>0.19</v>
      </c>
      <c r="P19" s="72">
        <v>0.81</v>
      </c>
      <c r="Q19" s="85">
        <v>0</v>
      </c>
      <c r="R19" s="73">
        <v>1</v>
      </c>
      <c r="S19"/>
      <c r="T19"/>
    </row>
    <row r="20" spans="1:20" ht="15" customHeight="1" x14ac:dyDescent="0.15">
      <c r="A20" s="127" t="s">
        <v>168</v>
      </c>
      <c r="B20" s="96">
        <v>0.14652806384505285</v>
      </c>
      <c r="C20" s="201" t="s">
        <v>257</v>
      </c>
      <c r="D20" s="89" t="s">
        <v>160</v>
      </c>
      <c r="F20" s="199" t="s">
        <v>207</v>
      </c>
      <c r="G20" s="85">
        <v>0</v>
      </c>
      <c r="H20" s="85">
        <v>0</v>
      </c>
      <c r="I20" s="85">
        <v>0</v>
      </c>
      <c r="J20" s="85">
        <v>0</v>
      </c>
      <c r="K20" s="85">
        <v>0.19</v>
      </c>
      <c r="L20" s="85">
        <v>0.81</v>
      </c>
      <c r="M20" s="85">
        <v>0.19</v>
      </c>
      <c r="N20" s="85">
        <v>0.81</v>
      </c>
      <c r="O20" s="85">
        <v>0.19</v>
      </c>
      <c r="P20" s="72">
        <v>0.81</v>
      </c>
      <c r="Q20" s="85">
        <v>0</v>
      </c>
      <c r="R20" s="73">
        <v>1</v>
      </c>
      <c r="S20"/>
      <c r="T20"/>
    </row>
    <row r="21" spans="1:20" ht="15" customHeight="1" x14ac:dyDescent="0.15">
      <c r="B21" s="96">
        <v>0.49584346423589837</v>
      </c>
      <c r="C21" s="201" t="s">
        <v>258</v>
      </c>
      <c r="D21" s="89" t="s">
        <v>160</v>
      </c>
      <c r="F21" s="199" t="s">
        <v>208</v>
      </c>
      <c r="G21" s="85">
        <v>0</v>
      </c>
      <c r="H21" s="85">
        <v>0</v>
      </c>
      <c r="I21" s="85">
        <v>0</v>
      </c>
      <c r="J21" s="85">
        <v>0</v>
      </c>
      <c r="K21" s="85">
        <v>0.19</v>
      </c>
      <c r="L21" s="85">
        <v>0.81</v>
      </c>
      <c r="M21" s="85">
        <v>0.19</v>
      </c>
      <c r="N21" s="85">
        <v>0.81</v>
      </c>
      <c r="O21" s="85">
        <v>0.19</v>
      </c>
      <c r="P21" s="72">
        <v>0.81</v>
      </c>
      <c r="Q21" s="85">
        <v>0</v>
      </c>
      <c r="R21" s="73">
        <v>1</v>
      </c>
      <c r="S21"/>
      <c r="T21"/>
    </row>
    <row r="22" spans="1:20" ht="15" customHeight="1" x14ac:dyDescent="0.15">
      <c r="A22" s="85"/>
      <c r="B22" s="96">
        <v>0.32772899160809504</v>
      </c>
      <c r="C22" s="201" t="s">
        <v>259</v>
      </c>
      <c r="D22" s="89" t="s">
        <v>160</v>
      </c>
      <c r="F22" s="199" t="s">
        <v>209</v>
      </c>
      <c r="G22" s="85">
        <v>0</v>
      </c>
      <c r="H22" s="85">
        <v>0</v>
      </c>
      <c r="I22" s="85">
        <v>0</v>
      </c>
      <c r="J22" s="85">
        <v>0</v>
      </c>
      <c r="K22" s="85">
        <v>0.19</v>
      </c>
      <c r="L22" s="85">
        <v>0.81</v>
      </c>
      <c r="M22" s="85">
        <v>0.19</v>
      </c>
      <c r="N22" s="85">
        <v>0.81</v>
      </c>
      <c r="O22" s="85">
        <v>0.19</v>
      </c>
      <c r="P22" s="72">
        <v>0.81</v>
      </c>
      <c r="Q22" s="85">
        <v>0</v>
      </c>
      <c r="R22" s="73">
        <v>1</v>
      </c>
      <c r="S22"/>
      <c r="T22"/>
    </row>
    <row r="23" spans="1:20" ht="15" customHeight="1" x14ac:dyDescent="0.15">
      <c r="A23" s="85"/>
      <c r="B23" s="96"/>
      <c r="C23" s="99"/>
      <c r="D23" s="89" t="s">
        <v>160</v>
      </c>
      <c r="F23" s="199" t="s">
        <v>210</v>
      </c>
      <c r="G23" s="85">
        <v>0</v>
      </c>
      <c r="H23" s="85">
        <v>0</v>
      </c>
      <c r="I23" s="85">
        <v>0</v>
      </c>
      <c r="J23" s="85">
        <v>0</v>
      </c>
      <c r="K23" s="85">
        <v>0.19</v>
      </c>
      <c r="L23" s="85">
        <v>0.81</v>
      </c>
      <c r="M23" s="85">
        <v>0.19</v>
      </c>
      <c r="N23" s="85">
        <v>0.81</v>
      </c>
      <c r="O23" s="85">
        <v>0.19</v>
      </c>
      <c r="P23" s="72">
        <v>0.81</v>
      </c>
      <c r="Q23" s="85">
        <v>0</v>
      </c>
      <c r="R23" s="73">
        <v>1</v>
      </c>
      <c r="S23"/>
      <c r="T23"/>
    </row>
    <row r="24" spans="1:20" ht="15" customHeight="1" x14ac:dyDescent="0.15">
      <c r="A24" s="85"/>
      <c r="B24" s="96"/>
      <c r="C24" s="99"/>
      <c r="D24" s="89" t="s">
        <v>160</v>
      </c>
      <c r="F24" s="199" t="s">
        <v>211</v>
      </c>
      <c r="G24" s="85">
        <v>0</v>
      </c>
      <c r="H24" s="85">
        <v>0</v>
      </c>
      <c r="I24" s="85">
        <v>0</v>
      </c>
      <c r="J24" s="85">
        <v>0</v>
      </c>
      <c r="K24" s="85">
        <v>0.19</v>
      </c>
      <c r="L24" s="85">
        <v>0.81</v>
      </c>
      <c r="M24" s="85">
        <v>0.19</v>
      </c>
      <c r="N24" s="85">
        <v>0.81</v>
      </c>
      <c r="O24" s="85">
        <v>0.19</v>
      </c>
      <c r="P24" s="72">
        <v>0.81</v>
      </c>
      <c r="Q24" s="85">
        <v>0</v>
      </c>
      <c r="R24" s="73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199" t="s">
        <v>212</v>
      </c>
      <c r="G25" s="85">
        <v>0</v>
      </c>
      <c r="H25" s="85">
        <v>0</v>
      </c>
      <c r="I25" s="85">
        <v>0</v>
      </c>
      <c r="J25" s="85">
        <v>0</v>
      </c>
      <c r="K25" s="85">
        <v>0.19</v>
      </c>
      <c r="L25" s="85">
        <v>0.81</v>
      </c>
      <c r="M25" s="85">
        <v>0.19</v>
      </c>
      <c r="N25" s="85">
        <v>0.81</v>
      </c>
      <c r="O25" s="85">
        <v>0.19</v>
      </c>
      <c r="P25" s="72">
        <v>0.81</v>
      </c>
      <c r="Q25" s="85">
        <v>0</v>
      </c>
      <c r="R25" s="73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199" t="s">
        <v>213</v>
      </c>
      <c r="G26" s="85">
        <v>0</v>
      </c>
      <c r="H26" s="85">
        <v>0</v>
      </c>
      <c r="I26" s="85">
        <v>0</v>
      </c>
      <c r="J26" s="85">
        <v>0</v>
      </c>
      <c r="K26" s="85">
        <v>0.19</v>
      </c>
      <c r="L26" s="85">
        <v>0.81</v>
      </c>
      <c r="M26" s="85">
        <v>0.19</v>
      </c>
      <c r="N26" s="85">
        <v>0.81</v>
      </c>
      <c r="O26" s="85">
        <v>0.19</v>
      </c>
      <c r="P26" s="72">
        <v>0.81</v>
      </c>
      <c r="Q26" s="85">
        <v>0</v>
      </c>
      <c r="R26" s="73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199" t="s">
        <v>214</v>
      </c>
      <c r="G27" s="85">
        <v>0</v>
      </c>
      <c r="H27" s="85">
        <v>0</v>
      </c>
      <c r="I27" s="85">
        <v>0</v>
      </c>
      <c r="J27" s="85">
        <v>0</v>
      </c>
      <c r="K27" s="85">
        <v>0.19</v>
      </c>
      <c r="L27" s="85">
        <v>0.81</v>
      </c>
      <c r="M27" s="85">
        <v>0.19</v>
      </c>
      <c r="N27" s="85">
        <v>0.81</v>
      </c>
      <c r="O27" s="85">
        <v>0.19</v>
      </c>
      <c r="P27" s="72">
        <v>0.81</v>
      </c>
      <c r="Q27" s="85">
        <v>0</v>
      </c>
      <c r="R27" s="73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199" t="s">
        <v>215</v>
      </c>
      <c r="G28" s="85">
        <v>0</v>
      </c>
      <c r="H28" s="85">
        <v>0</v>
      </c>
      <c r="I28" s="85">
        <v>0</v>
      </c>
      <c r="J28" s="85">
        <v>0</v>
      </c>
      <c r="K28" s="85">
        <v>0.19</v>
      </c>
      <c r="L28" s="85">
        <v>0.81</v>
      </c>
      <c r="M28" s="85">
        <v>0.19</v>
      </c>
      <c r="N28" s="85">
        <v>0.81</v>
      </c>
      <c r="O28" s="85">
        <v>0.19</v>
      </c>
      <c r="P28" s="72">
        <v>0.81</v>
      </c>
      <c r="Q28" s="85">
        <v>0</v>
      </c>
      <c r="R28" s="73">
        <v>1</v>
      </c>
      <c r="S28"/>
      <c r="T28"/>
    </row>
    <row r="29" spans="1:20" ht="15" customHeight="1" x14ac:dyDescent="0.15">
      <c r="F29" s="199" t="s">
        <v>216</v>
      </c>
      <c r="G29" s="85">
        <v>0</v>
      </c>
      <c r="H29" s="85">
        <v>0</v>
      </c>
      <c r="I29" s="85">
        <v>0</v>
      </c>
      <c r="J29" s="85">
        <v>0</v>
      </c>
      <c r="K29" s="85">
        <v>0.19</v>
      </c>
      <c r="L29" s="85">
        <v>0.81</v>
      </c>
      <c r="M29" s="85">
        <v>0.19</v>
      </c>
      <c r="N29" s="85">
        <v>0.81</v>
      </c>
      <c r="O29" s="85">
        <v>0.19</v>
      </c>
      <c r="P29" s="72">
        <v>0.81</v>
      </c>
      <c r="Q29" s="85">
        <v>0</v>
      </c>
      <c r="R29" s="73">
        <v>1</v>
      </c>
      <c r="S29"/>
      <c r="T29"/>
    </row>
    <row r="30" spans="1:20" ht="15" customHeight="1" x14ac:dyDescent="0.15">
      <c r="F30" s="199" t="s">
        <v>217</v>
      </c>
      <c r="G30" s="85">
        <v>0</v>
      </c>
      <c r="H30" s="85">
        <v>0</v>
      </c>
      <c r="I30" s="85">
        <v>0</v>
      </c>
      <c r="J30" s="85">
        <v>0</v>
      </c>
      <c r="K30" s="85">
        <v>0.19</v>
      </c>
      <c r="L30" s="85">
        <v>0.81</v>
      </c>
      <c r="M30" s="85">
        <v>0.19</v>
      </c>
      <c r="N30" s="85">
        <v>0.81</v>
      </c>
      <c r="O30" s="85">
        <v>0.19</v>
      </c>
      <c r="P30" s="72">
        <v>0.81</v>
      </c>
      <c r="Q30" s="85">
        <v>0</v>
      </c>
      <c r="R30" s="73">
        <v>1</v>
      </c>
      <c r="S30"/>
      <c r="T30"/>
    </row>
    <row r="31" spans="1:20" ht="15" customHeight="1" x14ac:dyDescent="0.15">
      <c r="A31" s="128"/>
      <c r="B31" s="136" t="s">
        <v>17</v>
      </c>
      <c r="C31" s="136" t="s">
        <v>1</v>
      </c>
      <c r="D31" s="136" t="s">
        <v>161</v>
      </c>
      <c r="E31" s="137" t="s">
        <v>163</v>
      </c>
      <c r="F31" s="199" t="s">
        <v>218</v>
      </c>
      <c r="G31" s="85">
        <v>0</v>
      </c>
      <c r="H31" s="85">
        <v>0</v>
      </c>
      <c r="I31" s="85">
        <v>0</v>
      </c>
      <c r="J31" s="85">
        <v>0</v>
      </c>
      <c r="K31" s="85">
        <v>0.19</v>
      </c>
      <c r="L31" s="85">
        <v>0.81</v>
      </c>
      <c r="M31" s="85">
        <v>0.19</v>
      </c>
      <c r="N31" s="85">
        <v>0.81</v>
      </c>
      <c r="O31" s="85">
        <v>0.19</v>
      </c>
      <c r="P31" s="72">
        <v>0.81</v>
      </c>
      <c r="Q31" s="85">
        <v>0</v>
      </c>
      <c r="R31" s="73">
        <v>1</v>
      </c>
      <c r="S31"/>
      <c r="T31"/>
    </row>
    <row r="32" spans="1:20" ht="15" customHeight="1" x14ac:dyDescent="0.15">
      <c r="A32" s="202" t="s">
        <v>256</v>
      </c>
      <c r="B32" s="97">
        <v>36.049999999999997</v>
      </c>
      <c r="C32" s="97">
        <v>4</v>
      </c>
      <c r="D32" s="97">
        <v>144.19999999999999</v>
      </c>
      <c r="E32" s="129">
        <v>2.9899480310953765E-2</v>
      </c>
      <c r="F32" s="199" t="s">
        <v>219</v>
      </c>
      <c r="G32" s="85">
        <v>0</v>
      </c>
      <c r="H32" s="85">
        <v>0</v>
      </c>
      <c r="I32" s="85">
        <v>0</v>
      </c>
      <c r="J32" s="85">
        <v>0</v>
      </c>
      <c r="K32" s="85">
        <v>0.19</v>
      </c>
      <c r="L32" s="85">
        <v>0.81</v>
      </c>
      <c r="M32" s="85">
        <v>0.19</v>
      </c>
      <c r="N32" s="85">
        <v>0.81</v>
      </c>
      <c r="O32" s="85">
        <v>0.19</v>
      </c>
      <c r="P32" s="72">
        <v>0.81</v>
      </c>
      <c r="Q32" s="85">
        <v>0</v>
      </c>
      <c r="R32" s="73">
        <v>1</v>
      </c>
      <c r="S32"/>
      <c r="T32"/>
    </row>
    <row r="33" spans="1:20" ht="15" customHeight="1" x14ac:dyDescent="0.15">
      <c r="A33" s="202" t="s">
        <v>257</v>
      </c>
      <c r="B33" s="97">
        <v>29.78</v>
      </c>
      <c r="C33" s="97">
        <v>23.73</v>
      </c>
      <c r="D33" s="97">
        <v>706.67939999999999</v>
      </c>
      <c r="E33" s="129">
        <v>0.14652806384505285</v>
      </c>
      <c r="F33" s="199" t="s">
        <v>220</v>
      </c>
      <c r="G33" s="85">
        <v>0</v>
      </c>
      <c r="H33" s="85">
        <v>0</v>
      </c>
      <c r="I33" s="85">
        <v>0</v>
      </c>
      <c r="J33" s="85">
        <v>0</v>
      </c>
      <c r="K33" s="85">
        <v>0.19</v>
      </c>
      <c r="L33" s="85">
        <v>0.81</v>
      </c>
      <c r="M33" s="85">
        <v>0.19</v>
      </c>
      <c r="N33" s="85">
        <v>0.81</v>
      </c>
      <c r="O33" s="85">
        <v>0.19</v>
      </c>
      <c r="P33" s="72">
        <v>0.81</v>
      </c>
      <c r="Q33" s="85">
        <v>0</v>
      </c>
      <c r="R33" s="73">
        <v>1</v>
      </c>
      <c r="S33"/>
      <c r="T33"/>
    </row>
    <row r="34" spans="1:20" ht="15" customHeight="1" x14ac:dyDescent="0.15">
      <c r="A34" s="202" t="s">
        <v>258</v>
      </c>
      <c r="B34" s="97">
        <v>13.13</v>
      </c>
      <c r="C34" s="97">
        <v>182.13</v>
      </c>
      <c r="D34" s="97">
        <v>2391.3669</v>
      </c>
      <c r="E34" s="129">
        <v>0.49584346423589837</v>
      </c>
      <c r="F34" s="199" t="s">
        <v>221</v>
      </c>
      <c r="G34" s="85">
        <v>0</v>
      </c>
      <c r="H34" s="85">
        <v>0</v>
      </c>
      <c r="I34" s="85">
        <v>0</v>
      </c>
      <c r="J34" s="85">
        <v>0</v>
      </c>
      <c r="K34" s="85">
        <v>0.19</v>
      </c>
      <c r="L34" s="85">
        <v>0.81</v>
      </c>
      <c r="M34" s="85">
        <v>0.19</v>
      </c>
      <c r="N34" s="85">
        <v>0.81</v>
      </c>
      <c r="O34" s="85">
        <v>0.19</v>
      </c>
      <c r="P34" s="72">
        <v>0.81</v>
      </c>
      <c r="Q34" s="85">
        <v>0</v>
      </c>
      <c r="R34" s="73">
        <v>1</v>
      </c>
      <c r="S34"/>
      <c r="T34"/>
    </row>
    <row r="35" spans="1:20" ht="15" customHeight="1" x14ac:dyDescent="0.15">
      <c r="A35" s="202" t="s">
        <v>259</v>
      </c>
      <c r="B35" s="97">
        <v>175.62</v>
      </c>
      <c r="C35" s="97">
        <v>9</v>
      </c>
      <c r="D35" s="97">
        <v>1580.58</v>
      </c>
      <c r="E35" s="129">
        <v>0.32772899160809504</v>
      </c>
      <c r="F35" s="199" t="s">
        <v>222</v>
      </c>
      <c r="G35" s="85">
        <v>0</v>
      </c>
      <c r="H35" s="85">
        <v>0</v>
      </c>
      <c r="I35" s="85">
        <v>0</v>
      </c>
      <c r="J35" s="85">
        <v>0</v>
      </c>
      <c r="K35" s="85">
        <v>0.19</v>
      </c>
      <c r="L35" s="85">
        <v>0.81</v>
      </c>
      <c r="M35" s="85">
        <v>0.19</v>
      </c>
      <c r="N35" s="85">
        <v>0.81</v>
      </c>
      <c r="O35" s="85">
        <v>0.19</v>
      </c>
      <c r="P35" s="72">
        <v>0.81</v>
      </c>
      <c r="Q35" s="85">
        <v>0</v>
      </c>
      <c r="R35" s="73">
        <v>1</v>
      </c>
      <c r="S35"/>
      <c r="T35"/>
    </row>
    <row r="36" spans="1:20" ht="15" customHeight="1" x14ac:dyDescent="0.15">
      <c r="A36" s="130"/>
      <c r="B36" s="97"/>
      <c r="C36" s="97"/>
      <c r="D36" s="97"/>
      <c r="E36" s="129"/>
      <c r="F36" s="199" t="s">
        <v>223</v>
      </c>
      <c r="G36" s="85">
        <v>0</v>
      </c>
      <c r="H36" s="85">
        <v>0</v>
      </c>
      <c r="I36" s="85">
        <v>0</v>
      </c>
      <c r="J36" s="85">
        <v>0</v>
      </c>
      <c r="K36" s="85">
        <v>0.19</v>
      </c>
      <c r="L36" s="85">
        <v>0.81</v>
      </c>
      <c r="M36" s="85">
        <v>0.19</v>
      </c>
      <c r="N36" s="85">
        <v>0.81</v>
      </c>
      <c r="O36" s="85">
        <v>0.19</v>
      </c>
      <c r="P36" s="72">
        <v>0.81</v>
      </c>
      <c r="Q36" s="85">
        <v>0</v>
      </c>
      <c r="R36" s="73">
        <v>1</v>
      </c>
      <c r="S36"/>
      <c r="T36"/>
    </row>
    <row r="37" spans="1:20" ht="15" customHeight="1" x14ac:dyDescent="0.15">
      <c r="A37" s="130"/>
      <c r="B37" s="97"/>
      <c r="C37" s="97"/>
      <c r="D37" s="97"/>
      <c r="E37" s="129"/>
      <c r="F37" s="199" t="s">
        <v>224</v>
      </c>
      <c r="G37" s="85">
        <v>0</v>
      </c>
      <c r="H37" s="85">
        <v>0</v>
      </c>
      <c r="I37" s="85">
        <v>0</v>
      </c>
      <c r="J37" s="85">
        <v>0</v>
      </c>
      <c r="K37" s="85">
        <v>0.19</v>
      </c>
      <c r="L37" s="85">
        <v>0.81</v>
      </c>
      <c r="M37" s="85">
        <v>0.19</v>
      </c>
      <c r="N37" s="85">
        <v>0.81</v>
      </c>
      <c r="O37" s="85">
        <v>0.19</v>
      </c>
      <c r="P37" s="72">
        <v>0.81</v>
      </c>
      <c r="Q37" s="85">
        <v>0</v>
      </c>
      <c r="R37" s="73">
        <v>1</v>
      </c>
      <c r="S37"/>
      <c r="T37"/>
    </row>
    <row r="38" spans="1:20" ht="15" customHeight="1" x14ac:dyDescent="0.15">
      <c r="A38" s="131"/>
      <c r="B38" s="97"/>
      <c r="C38" s="97"/>
      <c r="D38" s="97"/>
      <c r="E38" s="129"/>
      <c r="F38" s="199" t="s">
        <v>225</v>
      </c>
      <c r="G38" s="85">
        <v>0</v>
      </c>
      <c r="H38" s="85">
        <v>0</v>
      </c>
      <c r="I38" s="85">
        <v>0</v>
      </c>
      <c r="J38" s="85">
        <v>0</v>
      </c>
      <c r="K38" s="85">
        <v>0.19</v>
      </c>
      <c r="L38" s="85">
        <v>0.81</v>
      </c>
      <c r="M38" s="85">
        <v>0.19</v>
      </c>
      <c r="N38" s="85">
        <v>0.81</v>
      </c>
      <c r="O38" s="85">
        <v>0.19</v>
      </c>
      <c r="P38" s="72">
        <v>0.81</v>
      </c>
      <c r="Q38" s="85">
        <v>0</v>
      </c>
      <c r="R38" s="73">
        <v>1</v>
      </c>
      <c r="S38"/>
      <c r="T38"/>
    </row>
    <row r="39" spans="1:20" ht="15" customHeight="1" x14ac:dyDescent="0.15">
      <c r="A39" s="131"/>
      <c r="B39" s="97"/>
      <c r="C39" s="97"/>
      <c r="D39" s="97"/>
      <c r="E39" s="129"/>
      <c r="F39" s="199" t="s">
        <v>226</v>
      </c>
      <c r="G39" s="85">
        <v>0</v>
      </c>
      <c r="H39" s="85">
        <v>0</v>
      </c>
      <c r="I39" s="85">
        <v>0</v>
      </c>
      <c r="J39" s="85">
        <v>0</v>
      </c>
      <c r="K39" s="85">
        <v>0.19</v>
      </c>
      <c r="L39" s="85">
        <v>0.81</v>
      </c>
      <c r="M39" s="85">
        <v>0.19</v>
      </c>
      <c r="N39" s="85">
        <v>0.81</v>
      </c>
      <c r="O39" s="85">
        <v>0.19</v>
      </c>
      <c r="P39" s="72">
        <v>0.81</v>
      </c>
      <c r="Q39" s="85">
        <v>0</v>
      </c>
      <c r="R39" s="73">
        <v>1</v>
      </c>
      <c r="S39"/>
      <c r="T39"/>
    </row>
    <row r="40" spans="1:20" ht="15" customHeight="1" x14ac:dyDescent="0.15">
      <c r="A40" s="131"/>
      <c r="B40" s="97"/>
      <c r="C40" s="97"/>
      <c r="D40" s="97"/>
      <c r="E40" s="129"/>
      <c r="F40" s="199" t="s">
        <v>227</v>
      </c>
      <c r="G40" s="85">
        <v>0</v>
      </c>
      <c r="H40" s="85">
        <v>0</v>
      </c>
      <c r="I40" s="85">
        <v>0</v>
      </c>
      <c r="J40" s="85">
        <v>0</v>
      </c>
      <c r="K40" s="85">
        <v>0.19</v>
      </c>
      <c r="L40" s="85">
        <v>0.81</v>
      </c>
      <c r="M40" s="85">
        <v>0.19</v>
      </c>
      <c r="N40" s="85">
        <v>0.81</v>
      </c>
      <c r="O40" s="85">
        <v>0.19</v>
      </c>
      <c r="P40" s="72">
        <v>0.81</v>
      </c>
      <c r="Q40" s="85">
        <v>0</v>
      </c>
      <c r="R40" s="73">
        <v>1</v>
      </c>
      <c r="S40"/>
      <c r="T40"/>
    </row>
    <row r="41" spans="1:20" ht="15" customHeight="1" thickBot="1" x14ac:dyDescent="0.2">
      <c r="A41" s="131"/>
      <c r="B41" s="97"/>
      <c r="C41" s="97"/>
      <c r="D41" s="98"/>
      <c r="E41" s="132"/>
      <c r="F41" s="199" t="s">
        <v>228</v>
      </c>
      <c r="G41" s="85">
        <v>0</v>
      </c>
      <c r="H41" s="85">
        <v>0</v>
      </c>
      <c r="I41" s="85">
        <v>0</v>
      </c>
      <c r="J41" s="85">
        <v>0</v>
      </c>
      <c r="K41" s="85">
        <v>0.19</v>
      </c>
      <c r="L41" s="85">
        <v>0.81</v>
      </c>
      <c r="M41" s="85">
        <v>0.19</v>
      </c>
      <c r="N41" s="85">
        <v>0.81</v>
      </c>
      <c r="O41" s="85">
        <v>0.19</v>
      </c>
      <c r="P41" s="72">
        <v>0.81</v>
      </c>
      <c r="Q41" s="85">
        <v>0</v>
      </c>
      <c r="R41" s="73">
        <v>1</v>
      </c>
      <c r="S41"/>
      <c r="T41"/>
    </row>
    <row r="42" spans="1:20" ht="15" customHeight="1" x14ac:dyDescent="0.15">
      <c r="A42" s="133"/>
      <c r="B42" s="134"/>
      <c r="C42" s="134" t="s">
        <v>162</v>
      </c>
      <c r="D42" s="134">
        <f>SUM(D32:D41)</f>
        <v>4822.8262999999997</v>
      </c>
      <c r="E42" s="135">
        <f>SUM(E32:E41)</f>
        <v>1</v>
      </c>
      <c r="F42" s="199" t="s">
        <v>229</v>
      </c>
      <c r="G42" s="85">
        <v>0</v>
      </c>
      <c r="H42" s="85">
        <v>0</v>
      </c>
      <c r="I42" s="85">
        <v>0</v>
      </c>
      <c r="J42" s="85">
        <v>0</v>
      </c>
      <c r="K42" s="85">
        <v>0.19</v>
      </c>
      <c r="L42" s="85">
        <v>0.81</v>
      </c>
      <c r="M42" s="85">
        <v>0.19</v>
      </c>
      <c r="N42" s="85">
        <v>0.81</v>
      </c>
      <c r="O42" s="85">
        <v>0.19</v>
      </c>
      <c r="P42" s="72">
        <v>0.81</v>
      </c>
      <c r="Q42" s="85">
        <v>0</v>
      </c>
      <c r="R42" s="73">
        <v>1</v>
      </c>
      <c r="S42"/>
      <c r="T42"/>
    </row>
    <row r="43" spans="1:20" ht="15" customHeight="1" x14ac:dyDescent="0.15">
      <c r="A43" s="85"/>
      <c r="F43" s="199" t="s">
        <v>230</v>
      </c>
      <c r="G43" s="85">
        <v>0</v>
      </c>
      <c r="H43" s="85">
        <v>0</v>
      </c>
      <c r="I43" s="85">
        <v>0</v>
      </c>
      <c r="J43" s="85">
        <v>0</v>
      </c>
      <c r="K43" s="85">
        <v>0.19</v>
      </c>
      <c r="L43" s="85">
        <v>0.81</v>
      </c>
      <c r="M43" s="85">
        <v>0.19</v>
      </c>
      <c r="N43" s="85">
        <v>0.81</v>
      </c>
      <c r="O43" s="85">
        <v>0.19</v>
      </c>
      <c r="P43" s="72">
        <v>0.81</v>
      </c>
      <c r="Q43" s="85">
        <v>0</v>
      </c>
      <c r="R43" s="73">
        <v>1</v>
      </c>
      <c r="S43"/>
      <c r="T43"/>
    </row>
    <row r="44" spans="1:20" ht="15" customHeight="1" x14ac:dyDescent="0.15">
      <c r="A44" s="85"/>
      <c r="F44" s="199" t="s">
        <v>231</v>
      </c>
      <c r="G44" s="85">
        <v>0</v>
      </c>
      <c r="H44" s="85">
        <v>0</v>
      </c>
      <c r="I44" s="85">
        <v>0</v>
      </c>
      <c r="J44" s="85">
        <v>0</v>
      </c>
      <c r="K44" s="85">
        <v>0.7</v>
      </c>
      <c r="L44" s="85">
        <v>0.30000000000000004</v>
      </c>
      <c r="M44" s="85">
        <v>0.7</v>
      </c>
      <c r="N44" s="85">
        <v>0.30000000000000004</v>
      </c>
      <c r="O44" s="85">
        <v>0.7</v>
      </c>
      <c r="P44" s="72">
        <v>0.30000000000000004</v>
      </c>
      <c r="Q44" s="85">
        <v>0</v>
      </c>
      <c r="R44" s="73">
        <v>1</v>
      </c>
    </row>
    <row r="45" spans="1:20" ht="15" customHeight="1" x14ac:dyDescent="0.15">
      <c r="A45" s="85"/>
      <c r="F45" s="199" t="s">
        <v>232</v>
      </c>
      <c r="G45" s="85">
        <v>0</v>
      </c>
      <c r="H45" s="85">
        <v>0</v>
      </c>
      <c r="I45" s="85">
        <v>0</v>
      </c>
      <c r="J45" s="85">
        <v>0</v>
      </c>
      <c r="K45" s="85">
        <v>0.19</v>
      </c>
      <c r="L45" s="85">
        <v>0.81</v>
      </c>
      <c r="M45" s="85">
        <v>0.19</v>
      </c>
      <c r="N45" s="85">
        <v>0.81</v>
      </c>
      <c r="O45" s="85">
        <v>0.19</v>
      </c>
      <c r="P45" s="72">
        <v>0.81</v>
      </c>
      <c r="Q45" s="85">
        <v>0</v>
      </c>
      <c r="R45" s="73">
        <v>1</v>
      </c>
    </row>
    <row r="46" spans="1:20" ht="15" customHeight="1" x14ac:dyDescent="0.15">
      <c r="A46" s="85"/>
      <c r="F46" s="199" t="s">
        <v>233</v>
      </c>
      <c r="G46" s="85">
        <v>0</v>
      </c>
      <c r="H46" s="85">
        <v>0</v>
      </c>
      <c r="I46" s="85">
        <v>0</v>
      </c>
      <c r="J46" s="85">
        <v>0</v>
      </c>
      <c r="K46" s="85">
        <v>0.19</v>
      </c>
      <c r="L46" s="85">
        <v>0.81</v>
      </c>
      <c r="M46" s="85">
        <v>0.19</v>
      </c>
      <c r="N46" s="85">
        <v>0.81</v>
      </c>
      <c r="O46" s="85">
        <v>0.19</v>
      </c>
      <c r="P46" s="72">
        <v>0.81</v>
      </c>
      <c r="Q46" s="85">
        <v>0</v>
      </c>
      <c r="R46" s="73">
        <v>1</v>
      </c>
    </row>
    <row r="47" spans="1:20" ht="15" customHeight="1" x14ac:dyDescent="0.15">
      <c r="A47" s="85"/>
      <c r="F47" s="199" t="s">
        <v>234</v>
      </c>
      <c r="G47" s="85">
        <v>0</v>
      </c>
      <c r="H47" s="85">
        <v>0</v>
      </c>
      <c r="I47" s="85">
        <v>0</v>
      </c>
      <c r="J47" s="85">
        <v>0</v>
      </c>
      <c r="K47" s="85">
        <v>0.19</v>
      </c>
      <c r="L47" s="85">
        <v>0.81</v>
      </c>
      <c r="M47" s="85">
        <v>0.19</v>
      </c>
      <c r="N47" s="85">
        <v>0.81</v>
      </c>
      <c r="O47" s="85">
        <v>0.19</v>
      </c>
      <c r="P47" s="72">
        <v>0.81</v>
      </c>
      <c r="Q47" s="85">
        <v>0</v>
      </c>
      <c r="R47" s="73">
        <v>1</v>
      </c>
    </row>
    <row r="48" spans="1:20" ht="15" customHeight="1" x14ac:dyDescent="0.15">
      <c r="A48" s="85"/>
      <c r="F48" s="199" t="s">
        <v>235</v>
      </c>
      <c r="G48" s="85">
        <v>0</v>
      </c>
      <c r="H48" s="85">
        <v>0</v>
      </c>
      <c r="I48" s="85">
        <v>0</v>
      </c>
      <c r="J48" s="85">
        <v>0</v>
      </c>
      <c r="K48" s="85">
        <v>0.75</v>
      </c>
      <c r="L48" s="85">
        <v>0.25</v>
      </c>
      <c r="M48" s="85">
        <v>0.75</v>
      </c>
      <c r="N48" s="85">
        <v>0.25</v>
      </c>
      <c r="O48" s="85">
        <v>0.75</v>
      </c>
      <c r="P48" s="72">
        <v>0.25</v>
      </c>
      <c r="Q48" s="85">
        <v>0</v>
      </c>
      <c r="R48" s="73">
        <v>1</v>
      </c>
    </row>
    <row r="49" spans="6:18" s="85" customFormat="1" ht="15" customHeight="1" x14ac:dyDescent="0.15">
      <c r="F49" s="199" t="s">
        <v>236</v>
      </c>
      <c r="G49" s="85">
        <v>0</v>
      </c>
      <c r="H49" s="85">
        <v>0</v>
      </c>
      <c r="I49" s="85">
        <v>0</v>
      </c>
      <c r="J49" s="85">
        <v>0</v>
      </c>
      <c r="K49" s="85">
        <v>0.75</v>
      </c>
      <c r="L49" s="85">
        <v>0.25</v>
      </c>
      <c r="M49" s="85">
        <v>0.75</v>
      </c>
      <c r="N49" s="85">
        <v>0.25</v>
      </c>
      <c r="O49" s="85">
        <v>0.75</v>
      </c>
      <c r="P49" s="72">
        <v>0.25</v>
      </c>
      <c r="Q49" s="85">
        <v>0</v>
      </c>
      <c r="R49" s="73">
        <v>1</v>
      </c>
    </row>
    <row r="50" spans="6:18" s="85" customFormat="1" ht="15" customHeight="1" x14ac:dyDescent="0.15">
      <c r="F50" s="199" t="s">
        <v>237</v>
      </c>
      <c r="G50" s="85">
        <v>0</v>
      </c>
      <c r="H50" s="85">
        <v>0</v>
      </c>
      <c r="I50" s="85">
        <v>0</v>
      </c>
      <c r="J50" s="85">
        <v>0</v>
      </c>
      <c r="K50" s="85">
        <v>0.75</v>
      </c>
      <c r="L50" s="85">
        <v>0.25</v>
      </c>
      <c r="M50" s="85">
        <v>0.75</v>
      </c>
      <c r="N50" s="85">
        <v>0.25</v>
      </c>
      <c r="O50" s="85">
        <v>0.75</v>
      </c>
      <c r="P50" s="72">
        <v>0.25</v>
      </c>
      <c r="Q50" s="85">
        <v>0</v>
      </c>
      <c r="R50" s="73">
        <v>1</v>
      </c>
    </row>
    <row r="51" spans="6:18" s="85" customFormat="1" ht="15" customHeight="1" x14ac:dyDescent="0.15">
      <c r="F51" s="199" t="s">
        <v>238</v>
      </c>
      <c r="G51" s="85">
        <v>0</v>
      </c>
      <c r="H51" s="85">
        <v>0</v>
      </c>
      <c r="I51" s="85">
        <v>0</v>
      </c>
      <c r="J51" s="85">
        <v>0</v>
      </c>
      <c r="K51" s="85">
        <v>0.3</v>
      </c>
      <c r="L51" s="85">
        <v>0.7</v>
      </c>
      <c r="M51" s="85">
        <v>0.3</v>
      </c>
      <c r="N51" s="85">
        <v>0.7</v>
      </c>
      <c r="O51" s="85">
        <v>0.3</v>
      </c>
      <c r="P51" s="72">
        <v>0.7</v>
      </c>
      <c r="Q51" s="85">
        <v>0</v>
      </c>
      <c r="R51" s="73">
        <v>1</v>
      </c>
    </row>
    <row r="52" spans="6:18" s="85" customFormat="1" ht="15" customHeight="1" x14ac:dyDescent="0.15">
      <c r="F52" s="199" t="s">
        <v>239</v>
      </c>
      <c r="G52" s="85">
        <v>0</v>
      </c>
      <c r="H52" s="85">
        <v>0</v>
      </c>
      <c r="I52" s="85">
        <v>0</v>
      </c>
      <c r="J52" s="85">
        <v>0</v>
      </c>
      <c r="K52" s="85">
        <v>0.1</v>
      </c>
      <c r="L52" s="85">
        <v>0.9</v>
      </c>
      <c r="M52" s="85">
        <v>0.1</v>
      </c>
      <c r="N52" s="85">
        <v>0.9</v>
      </c>
      <c r="O52" s="85">
        <v>0.1</v>
      </c>
      <c r="P52" s="72">
        <v>0.9</v>
      </c>
      <c r="Q52" s="85">
        <v>0</v>
      </c>
      <c r="R52" s="73">
        <v>1</v>
      </c>
    </row>
    <row r="53" spans="6:18" s="85" customFormat="1" ht="15" customHeight="1" x14ac:dyDescent="0.15">
      <c r="F53" s="199" t="s">
        <v>240</v>
      </c>
      <c r="G53" s="85">
        <v>0</v>
      </c>
      <c r="H53" s="85">
        <v>0</v>
      </c>
      <c r="I53" s="85">
        <v>0</v>
      </c>
      <c r="J53" s="85">
        <v>0</v>
      </c>
      <c r="K53" s="85">
        <v>0.1</v>
      </c>
      <c r="L53" s="85">
        <v>0.9</v>
      </c>
      <c r="M53" s="85">
        <v>0.1</v>
      </c>
      <c r="N53" s="85">
        <v>0.9</v>
      </c>
      <c r="O53" s="85">
        <v>0.1</v>
      </c>
      <c r="P53" s="72">
        <v>0.9</v>
      </c>
      <c r="Q53" s="85">
        <v>0</v>
      </c>
      <c r="R53" s="73">
        <v>1</v>
      </c>
    </row>
    <row r="54" spans="6:18" s="85" customFormat="1" ht="15" customHeight="1" x14ac:dyDescent="0.15">
      <c r="F54" s="199" t="s">
        <v>241</v>
      </c>
      <c r="G54" s="85">
        <v>0</v>
      </c>
      <c r="H54" s="85">
        <v>0</v>
      </c>
      <c r="I54" s="85">
        <v>0</v>
      </c>
      <c r="J54" s="85">
        <v>0</v>
      </c>
      <c r="K54" s="85">
        <v>0.1</v>
      </c>
      <c r="L54" s="85">
        <v>0.9</v>
      </c>
      <c r="M54" s="85">
        <v>0.1</v>
      </c>
      <c r="N54" s="85">
        <v>0.9</v>
      </c>
      <c r="O54" s="85">
        <v>0.1</v>
      </c>
      <c r="P54" s="72">
        <v>0.9</v>
      </c>
      <c r="Q54" s="85">
        <v>0</v>
      </c>
      <c r="R54" s="73">
        <v>1</v>
      </c>
    </row>
    <row r="55" spans="6:18" s="85" customFormat="1" ht="15" customHeight="1" x14ac:dyDescent="0.15">
      <c r="F55" s="199" t="s">
        <v>242</v>
      </c>
      <c r="G55" s="85">
        <v>0</v>
      </c>
      <c r="H55" s="85">
        <v>0</v>
      </c>
      <c r="I55" s="85">
        <v>0</v>
      </c>
      <c r="J55" s="85">
        <v>0</v>
      </c>
      <c r="K55" s="85">
        <v>0.1</v>
      </c>
      <c r="L55" s="85">
        <v>0.9</v>
      </c>
      <c r="M55" s="85">
        <v>0.1</v>
      </c>
      <c r="N55" s="85">
        <v>0.9</v>
      </c>
      <c r="O55" s="85">
        <v>0.1</v>
      </c>
      <c r="P55" s="72">
        <v>0.9</v>
      </c>
      <c r="Q55" s="85">
        <v>0</v>
      </c>
      <c r="R55" s="73">
        <v>1</v>
      </c>
    </row>
    <row r="56" spans="6:18" s="85" customFormat="1" ht="15" customHeight="1" x14ac:dyDescent="0.15">
      <c r="F56" s="199" t="s">
        <v>243</v>
      </c>
      <c r="G56" s="85">
        <v>0</v>
      </c>
      <c r="H56" s="85">
        <v>0</v>
      </c>
      <c r="I56" s="85">
        <v>0</v>
      </c>
      <c r="J56" s="85">
        <v>0</v>
      </c>
      <c r="K56" s="85">
        <v>0.1</v>
      </c>
      <c r="L56" s="85">
        <v>0.9</v>
      </c>
      <c r="M56" s="85">
        <v>0.1</v>
      </c>
      <c r="N56" s="85">
        <v>0.9</v>
      </c>
      <c r="O56" s="85">
        <v>0.1</v>
      </c>
      <c r="P56" s="72">
        <v>0.9</v>
      </c>
      <c r="Q56" s="85">
        <v>0</v>
      </c>
      <c r="R56" s="73">
        <v>1</v>
      </c>
    </row>
    <row r="57" spans="6:18" s="85" customFormat="1" ht="15" customHeight="1" x14ac:dyDescent="0.15">
      <c r="F57" s="199" t="s">
        <v>244</v>
      </c>
      <c r="G57" s="85">
        <v>0</v>
      </c>
      <c r="H57" s="85">
        <v>0</v>
      </c>
      <c r="I57" s="85">
        <v>0</v>
      </c>
      <c r="J57" s="85">
        <v>0</v>
      </c>
      <c r="K57" s="85">
        <v>0.1</v>
      </c>
      <c r="L57" s="85">
        <v>0.9</v>
      </c>
      <c r="M57" s="85">
        <v>0.1</v>
      </c>
      <c r="N57" s="85">
        <v>0.9</v>
      </c>
      <c r="O57" s="85">
        <v>0.1</v>
      </c>
      <c r="P57" s="72">
        <v>0.9</v>
      </c>
      <c r="Q57" s="85">
        <v>0</v>
      </c>
      <c r="R57" s="73">
        <v>1</v>
      </c>
    </row>
    <row r="58" spans="6:18" s="85" customFormat="1" ht="15" customHeight="1" x14ac:dyDescent="0.15">
      <c r="F58" s="199" t="s">
        <v>245</v>
      </c>
      <c r="G58" s="85">
        <v>0</v>
      </c>
      <c r="H58" s="85">
        <v>0</v>
      </c>
      <c r="I58" s="85">
        <v>0</v>
      </c>
      <c r="J58" s="85">
        <v>0</v>
      </c>
      <c r="K58" s="85">
        <v>0.1</v>
      </c>
      <c r="L58" s="85">
        <v>0.9</v>
      </c>
      <c r="M58" s="85">
        <v>0.1</v>
      </c>
      <c r="N58" s="85">
        <v>0.9</v>
      </c>
      <c r="O58" s="85">
        <v>0.1</v>
      </c>
      <c r="P58" s="72">
        <v>0.9</v>
      </c>
      <c r="Q58" s="85">
        <v>0</v>
      </c>
      <c r="R58" s="73">
        <v>1</v>
      </c>
    </row>
    <row r="59" spans="6:18" s="85" customFormat="1" ht="15" customHeight="1" x14ac:dyDescent="0.15">
      <c r="F59" s="199" t="s">
        <v>246</v>
      </c>
      <c r="G59" s="85">
        <v>0</v>
      </c>
      <c r="H59" s="85">
        <v>0</v>
      </c>
      <c r="I59" s="85">
        <v>0</v>
      </c>
      <c r="J59" s="85">
        <v>0</v>
      </c>
      <c r="K59" s="85">
        <v>0.1</v>
      </c>
      <c r="L59" s="85">
        <v>0.9</v>
      </c>
      <c r="M59" s="85">
        <v>0.1</v>
      </c>
      <c r="N59" s="85">
        <v>0.9</v>
      </c>
      <c r="O59" s="85">
        <v>0.1</v>
      </c>
      <c r="P59" s="72">
        <v>0.9</v>
      </c>
      <c r="Q59" s="85">
        <v>0</v>
      </c>
      <c r="R59" s="73">
        <v>1</v>
      </c>
    </row>
    <row r="60" spans="6:18" s="85" customFormat="1" ht="15" customHeight="1" x14ac:dyDescent="0.15">
      <c r="F60" s="199" t="s">
        <v>247</v>
      </c>
      <c r="G60" s="85">
        <v>0</v>
      </c>
      <c r="H60" s="85">
        <v>0</v>
      </c>
      <c r="I60" s="85">
        <v>0</v>
      </c>
      <c r="J60" s="85">
        <v>0</v>
      </c>
      <c r="K60" s="85">
        <v>0.1</v>
      </c>
      <c r="L60" s="85">
        <v>0.9</v>
      </c>
      <c r="M60" s="85">
        <v>0.1</v>
      </c>
      <c r="N60" s="85">
        <v>0.9</v>
      </c>
      <c r="O60" s="85">
        <v>0.1</v>
      </c>
      <c r="P60" s="72">
        <v>0.9</v>
      </c>
      <c r="Q60" s="85">
        <v>0</v>
      </c>
      <c r="R60" s="73">
        <v>1</v>
      </c>
    </row>
    <row r="61" spans="6:18" s="85" customFormat="1" ht="15" customHeight="1" x14ac:dyDescent="0.15">
      <c r="F61" s="199" t="s">
        <v>248</v>
      </c>
      <c r="G61" s="85">
        <v>0</v>
      </c>
      <c r="H61" s="85">
        <v>0</v>
      </c>
      <c r="I61" s="85">
        <v>0</v>
      </c>
      <c r="J61" s="85">
        <v>0</v>
      </c>
      <c r="K61" s="85">
        <v>0.1</v>
      </c>
      <c r="L61" s="85">
        <v>0.9</v>
      </c>
      <c r="M61" s="85">
        <v>0.1</v>
      </c>
      <c r="N61" s="85">
        <v>0.9</v>
      </c>
      <c r="O61" s="85">
        <v>0.1</v>
      </c>
      <c r="P61" s="72">
        <v>0.9</v>
      </c>
      <c r="Q61" s="85">
        <v>0</v>
      </c>
      <c r="R61" s="73">
        <v>1</v>
      </c>
    </row>
    <row r="62" spans="6:18" s="85" customFormat="1" ht="15" customHeight="1" x14ac:dyDescent="0.15">
      <c r="F62" s="199" t="s">
        <v>249</v>
      </c>
      <c r="G62" s="85">
        <v>0</v>
      </c>
      <c r="H62" s="85">
        <v>0</v>
      </c>
      <c r="I62" s="85">
        <v>0</v>
      </c>
      <c r="J62" s="85">
        <v>0</v>
      </c>
      <c r="K62" s="85">
        <v>0.1</v>
      </c>
      <c r="L62" s="85">
        <v>0.9</v>
      </c>
      <c r="M62" s="85">
        <v>0.1</v>
      </c>
      <c r="N62" s="85">
        <v>0.9</v>
      </c>
      <c r="O62" s="85">
        <v>0.1</v>
      </c>
      <c r="P62" s="72">
        <v>0.9</v>
      </c>
      <c r="Q62" s="85">
        <v>0</v>
      </c>
      <c r="R62" s="73">
        <v>1</v>
      </c>
    </row>
    <row r="63" spans="6:18" s="85" customFormat="1" ht="15" customHeight="1" x14ac:dyDescent="0.15">
      <c r="F63" s="199" t="s">
        <v>250</v>
      </c>
      <c r="G63" s="85">
        <v>0</v>
      </c>
      <c r="H63" s="85">
        <v>0</v>
      </c>
      <c r="I63" s="85">
        <v>0</v>
      </c>
      <c r="J63" s="85">
        <v>0</v>
      </c>
      <c r="K63" s="85">
        <v>0.95</v>
      </c>
      <c r="L63" s="85">
        <v>5.0000000000000044E-2</v>
      </c>
      <c r="M63" s="85">
        <v>0.95</v>
      </c>
      <c r="N63" s="85">
        <v>5.0000000000000044E-2</v>
      </c>
      <c r="O63" s="85">
        <v>0.95</v>
      </c>
      <c r="P63" s="72">
        <v>5.0000000000000044E-2</v>
      </c>
      <c r="Q63" s="85">
        <v>0</v>
      </c>
      <c r="R63" s="73">
        <v>1</v>
      </c>
    </row>
    <row r="64" spans="6:18" s="85" customFormat="1" ht="15" customHeight="1" x14ac:dyDescent="0.15">
      <c r="F64" s="199" t="s">
        <v>251</v>
      </c>
      <c r="G64" s="85">
        <v>0</v>
      </c>
      <c r="H64" s="85">
        <v>0</v>
      </c>
      <c r="I64" s="85">
        <v>0</v>
      </c>
      <c r="J64" s="85">
        <v>0</v>
      </c>
      <c r="K64" s="85">
        <v>0.95</v>
      </c>
      <c r="L64" s="85">
        <v>5.0000000000000044E-2</v>
      </c>
      <c r="M64" s="85">
        <v>0.95</v>
      </c>
      <c r="N64" s="85">
        <v>5.0000000000000044E-2</v>
      </c>
      <c r="O64" s="85">
        <v>0.95</v>
      </c>
      <c r="P64" s="72">
        <v>5.0000000000000044E-2</v>
      </c>
      <c r="Q64" s="85">
        <v>0</v>
      </c>
      <c r="R64" s="73">
        <v>1</v>
      </c>
    </row>
    <row r="65" spans="1:18" ht="15" customHeight="1" x14ac:dyDescent="0.15">
      <c r="F65" s="199" t="s">
        <v>252</v>
      </c>
      <c r="G65" s="85">
        <v>0</v>
      </c>
      <c r="H65" s="85">
        <v>0</v>
      </c>
      <c r="I65" s="85">
        <v>0</v>
      </c>
      <c r="J65" s="85">
        <v>0</v>
      </c>
      <c r="K65" s="85">
        <v>0.95</v>
      </c>
      <c r="L65" s="85">
        <v>5.0000000000000044E-2</v>
      </c>
      <c r="M65" s="85">
        <v>0.95</v>
      </c>
      <c r="N65" s="85">
        <v>5.0000000000000044E-2</v>
      </c>
      <c r="O65" s="85">
        <v>0.95</v>
      </c>
      <c r="P65" s="72">
        <v>5.0000000000000044E-2</v>
      </c>
      <c r="Q65" s="85">
        <v>0</v>
      </c>
      <c r="R65" s="73">
        <v>1</v>
      </c>
    </row>
    <row r="66" spans="1:18" ht="15" customHeight="1" x14ac:dyDescent="0.15">
      <c r="F66" s="199" t="s">
        <v>253</v>
      </c>
      <c r="G66" s="85">
        <v>0</v>
      </c>
      <c r="H66" s="85">
        <v>0</v>
      </c>
      <c r="I66" s="85">
        <v>0</v>
      </c>
      <c r="J66" s="85">
        <v>0</v>
      </c>
      <c r="K66" s="85">
        <v>0.95</v>
      </c>
      <c r="L66" s="85">
        <v>5.0000000000000044E-2</v>
      </c>
      <c r="M66" s="85">
        <v>0.95</v>
      </c>
      <c r="N66" s="85">
        <v>5.0000000000000044E-2</v>
      </c>
      <c r="O66" s="85">
        <v>0.95</v>
      </c>
      <c r="P66" s="72">
        <v>5.0000000000000044E-2</v>
      </c>
      <c r="Q66" s="85">
        <v>0</v>
      </c>
      <c r="R66" s="73">
        <v>1</v>
      </c>
    </row>
    <row r="67" spans="1:18" ht="15" customHeight="1" x14ac:dyDescent="0.15">
      <c r="F67" s="199" t="s">
        <v>254</v>
      </c>
      <c r="G67" s="85">
        <v>0</v>
      </c>
      <c r="H67" s="85">
        <v>0</v>
      </c>
      <c r="I67" s="85">
        <v>0</v>
      </c>
      <c r="J67" s="85">
        <v>0</v>
      </c>
      <c r="K67" s="85">
        <v>0.95</v>
      </c>
      <c r="L67" s="85">
        <v>5.0000000000000044E-2</v>
      </c>
      <c r="M67" s="85">
        <v>0.95</v>
      </c>
      <c r="N67" s="85">
        <v>5.0000000000000044E-2</v>
      </c>
      <c r="O67" s="85">
        <v>0.95</v>
      </c>
      <c r="P67" s="72">
        <v>5.0000000000000044E-2</v>
      </c>
      <c r="Q67" s="85">
        <v>0</v>
      </c>
      <c r="R67" s="73">
        <v>1</v>
      </c>
    </row>
    <row r="68" spans="1:18" ht="15" customHeight="1" x14ac:dyDescent="0.15">
      <c r="F68" s="199" t="s">
        <v>255</v>
      </c>
      <c r="G68" s="85">
        <v>0</v>
      </c>
      <c r="H68" s="85">
        <v>0</v>
      </c>
      <c r="I68" s="85">
        <v>0</v>
      </c>
      <c r="J68" s="85">
        <v>0</v>
      </c>
      <c r="K68" s="85">
        <v>0.7</v>
      </c>
      <c r="L68" s="85">
        <v>0.30000000000000004</v>
      </c>
      <c r="M68" s="85">
        <v>0.7</v>
      </c>
      <c r="N68" s="85">
        <v>0.30000000000000004</v>
      </c>
      <c r="O68" s="85">
        <v>0.7</v>
      </c>
      <c r="P68" s="72">
        <v>0.30000000000000004</v>
      </c>
      <c r="Q68" s="85">
        <v>0</v>
      </c>
      <c r="R68" s="73">
        <v>1</v>
      </c>
    </row>
    <row r="69" spans="1:18" ht="15" customHeight="1" x14ac:dyDescent="0.15">
      <c r="F69" s="199" t="s">
        <v>256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0.5</v>
      </c>
      <c r="N69" s="85">
        <v>0.5</v>
      </c>
      <c r="O69" s="85">
        <v>0</v>
      </c>
      <c r="P69" s="72">
        <v>0</v>
      </c>
      <c r="Q69" s="85">
        <v>0</v>
      </c>
      <c r="R69" s="73">
        <v>1</v>
      </c>
    </row>
    <row r="70" spans="1:18" ht="15" customHeight="1" x14ac:dyDescent="0.15">
      <c r="F70" s="199" t="s">
        <v>257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</v>
      </c>
      <c r="O70" s="85">
        <v>0</v>
      </c>
      <c r="P70" s="72">
        <v>0</v>
      </c>
      <c r="Q70" s="85">
        <v>0</v>
      </c>
      <c r="R70" s="73">
        <v>1</v>
      </c>
    </row>
    <row r="71" spans="1:18" ht="15" customHeight="1" x14ac:dyDescent="0.15">
      <c r="F71" s="199" t="s">
        <v>258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0.5</v>
      </c>
      <c r="N71" s="85">
        <v>0.5</v>
      </c>
      <c r="O71" s="85">
        <v>0</v>
      </c>
      <c r="P71" s="72">
        <v>0</v>
      </c>
      <c r="Q71" s="85">
        <v>0</v>
      </c>
      <c r="R71" s="73">
        <v>1</v>
      </c>
    </row>
    <row r="72" spans="1:18" ht="15" customHeight="1" x14ac:dyDescent="0.15">
      <c r="F72" s="199" t="s">
        <v>259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0</v>
      </c>
      <c r="M72" s="85">
        <v>0</v>
      </c>
      <c r="N72" s="85">
        <v>1</v>
      </c>
      <c r="O72" s="85">
        <v>0</v>
      </c>
      <c r="P72" s="72">
        <v>0</v>
      </c>
      <c r="Q72" s="85">
        <v>0</v>
      </c>
      <c r="R72" s="73">
        <v>1</v>
      </c>
    </row>
    <row r="73" spans="1:18" ht="15" customHeight="1" x14ac:dyDescent="0.15">
      <c r="F73" s="199" t="s">
        <v>260</v>
      </c>
      <c r="G73" s="85">
        <v>0</v>
      </c>
      <c r="H73" s="85">
        <v>0</v>
      </c>
      <c r="I73" s="85">
        <v>0</v>
      </c>
      <c r="J73" s="85">
        <v>0</v>
      </c>
      <c r="K73" s="85">
        <v>0</v>
      </c>
      <c r="L73" s="85">
        <v>1</v>
      </c>
      <c r="M73" s="85">
        <v>0</v>
      </c>
      <c r="N73" s="85">
        <v>1</v>
      </c>
      <c r="O73" s="85">
        <v>0</v>
      </c>
      <c r="P73" s="72">
        <v>1</v>
      </c>
      <c r="Q73" s="85">
        <v>0</v>
      </c>
      <c r="R73" s="73">
        <v>1</v>
      </c>
    </row>
    <row r="74" spans="1:18" ht="15" customHeight="1" x14ac:dyDescent="0.15">
      <c r="F74" s="199" t="s">
        <v>261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1</v>
      </c>
      <c r="M74" s="85">
        <v>0</v>
      </c>
      <c r="N74" s="85">
        <v>1</v>
      </c>
      <c r="O74" s="85">
        <v>0</v>
      </c>
      <c r="P74" s="72">
        <v>1</v>
      </c>
      <c r="Q74" s="85">
        <v>0</v>
      </c>
      <c r="R74" s="73">
        <v>1</v>
      </c>
    </row>
    <row r="75" spans="1:18" ht="15" customHeight="1" x14ac:dyDescent="0.15">
      <c r="F75" s="199" t="s">
        <v>262</v>
      </c>
      <c r="G75" s="85">
        <v>0</v>
      </c>
      <c r="H75" s="85">
        <v>0</v>
      </c>
      <c r="I75" s="85">
        <v>0</v>
      </c>
      <c r="J75" s="85">
        <v>0</v>
      </c>
      <c r="K75" s="85">
        <v>0.1</v>
      </c>
      <c r="L75" s="85">
        <v>0.9</v>
      </c>
      <c r="M75" s="85">
        <v>0.1</v>
      </c>
      <c r="N75" s="85">
        <v>0.9</v>
      </c>
      <c r="O75" s="85">
        <v>0.1</v>
      </c>
      <c r="P75" s="72">
        <v>0.9</v>
      </c>
      <c r="Q75" s="85">
        <v>0</v>
      </c>
      <c r="R75" s="73">
        <v>1</v>
      </c>
    </row>
    <row r="76" spans="1:18" ht="15" customHeight="1" x14ac:dyDescent="0.15">
      <c r="A76" s="85"/>
      <c r="F76" s="199" t="s">
        <v>263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1</v>
      </c>
      <c r="M76" s="85">
        <v>0</v>
      </c>
      <c r="N76" s="85">
        <v>0</v>
      </c>
      <c r="O76" s="85">
        <v>0</v>
      </c>
      <c r="P76" s="72">
        <v>0</v>
      </c>
      <c r="Q76" s="85">
        <v>0</v>
      </c>
      <c r="R76" s="73">
        <v>1</v>
      </c>
    </row>
    <row r="77" spans="1:18" ht="15" customHeight="1" x14ac:dyDescent="0.15">
      <c r="A77" s="85"/>
      <c r="F77" s="199" t="s">
        <v>264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1</v>
      </c>
      <c r="M77" s="85">
        <v>0</v>
      </c>
      <c r="N77" s="85">
        <v>0</v>
      </c>
      <c r="O77" s="85">
        <v>0</v>
      </c>
      <c r="P77" s="72">
        <v>0</v>
      </c>
      <c r="Q77" s="85">
        <v>0</v>
      </c>
      <c r="R77" s="73">
        <v>1</v>
      </c>
    </row>
    <row r="78" spans="1:18" ht="15" customHeight="1" x14ac:dyDescent="0.15">
      <c r="A78" s="85"/>
      <c r="F78" s="199" t="s">
        <v>265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1</v>
      </c>
      <c r="M78" s="85">
        <v>0</v>
      </c>
      <c r="N78" s="85">
        <v>0</v>
      </c>
      <c r="O78" s="85">
        <v>0</v>
      </c>
      <c r="P78" s="72">
        <v>0</v>
      </c>
      <c r="Q78" s="85">
        <v>0</v>
      </c>
      <c r="R78" s="73">
        <v>1</v>
      </c>
    </row>
    <row r="79" spans="1:18" ht="15" customHeight="1" x14ac:dyDescent="0.15">
      <c r="A79" s="85"/>
      <c r="F79" s="199" t="s">
        <v>266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1</v>
      </c>
      <c r="M79" s="85">
        <v>0</v>
      </c>
      <c r="N79" s="85">
        <v>0</v>
      </c>
      <c r="O79" s="85">
        <v>0</v>
      </c>
      <c r="P79" s="72">
        <v>0</v>
      </c>
      <c r="Q79" s="85">
        <v>0</v>
      </c>
      <c r="R79" s="73">
        <v>1</v>
      </c>
    </row>
    <row r="80" spans="1:18" ht="15" customHeight="1" x14ac:dyDescent="0.15">
      <c r="A80" s="85"/>
      <c r="F80" s="199" t="s">
        <v>267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1</v>
      </c>
      <c r="M80" s="85">
        <v>0</v>
      </c>
      <c r="N80" s="85">
        <v>0</v>
      </c>
      <c r="O80" s="85">
        <v>0</v>
      </c>
      <c r="P80" s="72">
        <v>0</v>
      </c>
      <c r="Q80" s="85">
        <v>0</v>
      </c>
      <c r="R80" s="73">
        <v>1</v>
      </c>
    </row>
    <row r="81" spans="1:18" ht="15" customHeight="1" x14ac:dyDescent="0.15">
      <c r="A81" s="85"/>
      <c r="F81" s="199" t="s">
        <v>268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1</v>
      </c>
      <c r="M81" s="85">
        <v>0</v>
      </c>
      <c r="N81" s="85">
        <v>0</v>
      </c>
      <c r="O81" s="85">
        <v>0</v>
      </c>
      <c r="P81" s="72">
        <v>0</v>
      </c>
      <c r="Q81" s="85">
        <v>0</v>
      </c>
      <c r="R81" s="73">
        <v>1</v>
      </c>
    </row>
    <row r="82" spans="1:18" ht="15" customHeight="1" x14ac:dyDescent="0.15">
      <c r="A82" s="85"/>
      <c r="F82" s="199" t="s">
        <v>269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1</v>
      </c>
      <c r="M82" s="85">
        <v>0</v>
      </c>
      <c r="N82" s="85">
        <v>0</v>
      </c>
      <c r="O82" s="85">
        <v>0</v>
      </c>
      <c r="P82" s="72">
        <v>0</v>
      </c>
      <c r="Q82" s="85">
        <v>0</v>
      </c>
      <c r="R82" s="73">
        <v>1</v>
      </c>
    </row>
    <row r="83" spans="1:18" ht="15" customHeight="1" x14ac:dyDescent="0.15">
      <c r="A83" s="85"/>
      <c r="F83" s="199" t="s">
        <v>270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1</v>
      </c>
      <c r="M83" s="85">
        <v>0</v>
      </c>
      <c r="N83" s="85">
        <v>0</v>
      </c>
      <c r="O83" s="85">
        <v>0</v>
      </c>
      <c r="P83" s="72">
        <v>0</v>
      </c>
      <c r="Q83" s="85">
        <v>0</v>
      </c>
      <c r="R83" s="73">
        <v>1</v>
      </c>
    </row>
    <row r="84" spans="1:18" ht="15" customHeight="1" x14ac:dyDescent="0.15">
      <c r="A84" s="85"/>
      <c r="F84" s="199" t="s">
        <v>271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1</v>
      </c>
      <c r="M84" s="85">
        <v>0</v>
      </c>
      <c r="N84" s="85">
        <v>0</v>
      </c>
      <c r="O84" s="85">
        <v>0</v>
      </c>
      <c r="P84" s="72">
        <v>0</v>
      </c>
      <c r="Q84" s="85">
        <v>0</v>
      </c>
      <c r="R84" s="73">
        <v>1</v>
      </c>
    </row>
    <row r="85" spans="1:18" ht="15" customHeight="1" x14ac:dyDescent="0.15">
      <c r="A85" s="85"/>
      <c r="F85" s="199" t="s">
        <v>272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1</v>
      </c>
      <c r="M85" s="85">
        <v>0</v>
      </c>
      <c r="N85" s="85">
        <v>0</v>
      </c>
      <c r="O85" s="85">
        <v>0</v>
      </c>
      <c r="P85" s="72">
        <v>0</v>
      </c>
      <c r="Q85" s="85">
        <v>0</v>
      </c>
      <c r="R85" s="73">
        <v>1</v>
      </c>
    </row>
    <row r="86" spans="1:18" ht="15" customHeight="1" x14ac:dyDescent="0.15">
      <c r="A86" s="85"/>
      <c r="F86" s="199" t="s">
        <v>273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1</v>
      </c>
      <c r="M86" s="85">
        <v>0</v>
      </c>
      <c r="N86" s="85">
        <v>0</v>
      </c>
      <c r="O86" s="85">
        <v>0</v>
      </c>
      <c r="P86" s="72">
        <v>0</v>
      </c>
      <c r="Q86" s="85">
        <v>0</v>
      </c>
      <c r="R86" s="73">
        <v>1</v>
      </c>
    </row>
    <row r="87" spans="1:18" ht="15" customHeight="1" x14ac:dyDescent="0.15">
      <c r="A87" s="85"/>
      <c r="F87" s="199" t="s">
        <v>274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1</v>
      </c>
      <c r="M87" s="85">
        <v>0</v>
      </c>
      <c r="N87" s="85">
        <v>0</v>
      </c>
      <c r="O87" s="85">
        <v>0</v>
      </c>
      <c r="P87" s="72">
        <v>0</v>
      </c>
      <c r="Q87" s="85">
        <v>0</v>
      </c>
      <c r="R87" s="73">
        <v>1</v>
      </c>
    </row>
    <row r="88" spans="1:18" ht="15" customHeight="1" x14ac:dyDescent="0.15">
      <c r="A88" s="85"/>
      <c r="F88" s="199" t="s">
        <v>275</v>
      </c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1</v>
      </c>
      <c r="M88" s="85">
        <v>0</v>
      </c>
      <c r="N88" s="85">
        <v>0</v>
      </c>
      <c r="O88" s="85">
        <v>0</v>
      </c>
      <c r="P88" s="72">
        <v>0</v>
      </c>
      <c r="Q88" s="85">
        <v>0</v>
      </c>
      <c r="R88" s="73">
        <v>1</v>
      </c>
    </row>
    <row r="89" spans="1:18" ht="15" customHeight="1" x14ac:dyDescent="0.15">
      <c r="A89" s="85"/>
      <c r="F89" s="199" t="s">
        <v>276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1</v>
      </c>
      <c r="M89" s="85">
        <v>0</v>
      </c>
      <c r="N89" s="85">
        <v>0</v>
      </c>
      <c r="O89" s="85">
        <v>0</v>
      </c>
      <c r="P89" s="72">
        <v>0</v>
      </c>
      <c r="Q89" s="85">
        <v>0</v>
      </c>
      <c r="R89" s="73">
        <v>1</v>
      </c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P188" s="72"/>
      <c r="R188" s="7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O19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8" sqref="E8"/>
    </sheetView>
  </sheetViews>
  <sheetFormatPr baseColWidth="10" defaultColWidth="8.83203125" defaultRowHeight="13" x14ac:dyDescent="0.15"/>
  <cols>
    <col min="1" max="1" width="27.5" bestFit="1" customWidth="1"/>
    <col min="2" max="2" width="2.33203125" style="113" customWidth="1"/>
    <col min="3" max="5" width="7.83203125" style="113" customWidth="1"/>
    <col min="6" max="8" width="8.83203125" style="6"/>
    <col min="9" max="10" width="8.5" style="6" customWidth="1"/>
    <col min="11" max="11" width="18.5" style="6" customWidth="1"/>
    <col min="12" max="12" width="18.6640625" style="6" customWidth="1"/>
    <col min="13" max="13" width="11.6640625" style="6" customWidth="1"/>
    <col min="14" max="14" width="11.33203125" style="6" customWidth="1"/>
    <col min="15" max="15" width="20.1640625" style="6" customWidth="1"/>
    <col min="16" max="16" width="6" style="6" customWidth="1"/>
    <col min="17" max="17" width="15.5" style="6" customWidth="1"/>
    <col min="18" max="18" width="17.5" style="6" customWidth="1"/>
    <col min="19" max="19" width="18.83203125" style="6" customWidth="1"/>
    <col min="20" max="20" width="20.6640625" style="6" customWidth="1"/>
    <col min="21" max="21" width="27.5" style="6" customWidth="1"/>
    <col min="22" max="22" width="14.5" style="6" customWidth="1"/>
    <col min="23" max="23" width="15.5" style="6" customWidth="1"/>
    <col min="24" max="24" width="16.1640625" style="6" customWidth="1"/>
    <col min="25" max="25" width="12.5" style="6" customWidth="1"/>
    <col min="26" max="26" width="6.5" style="6" customWidth="1"/>
    <col min="27" max="27" width="18.6640625" style="6" customWidth="1"/>
    <col min="28" max="28" width="19" style="6" customWidth="1"/>
    <col min="29" max="29" width="18.6640625" style="6" customWidth="1"/>
    <col min="30" max="30" width="21.6640625" style="6" customWidth="1"/>
    <col min="31" max="33" width="5.83203125" style="6" customWidth="1"/>
    <col min="34" max="36" width="12.1640625" style="6" customWidth="1"/>
    <col min="37" max="38" width="14" style="6" customWidth="1"/>
    <col min="39" max="39" width="14" customWidth="1"/>
    <col min="40" max="40" width="23.83203125" customWidth="1"/>
    <col min="41" max="41" width="13.5" customWidth="1"/>
    <col min="42" max="42" width="9.33203125" customWidth="1"/>
    <col min="43" max="43" width="19.5" customWidth="1"/>
    <col min="44" max="44" width="14.1640625" customWidth="1"/>
    <col min="45" max="46" width="13.1640625" customWidth="1"/>
    <col min="47" max="47" width="16" customWidth="1"/>
    <col min="48" max="48" width="20.6640625" customWidth="1"/>
    <col min="49" max="49" width="21.1640625" customWidth="1"/>
    <col min="50" max="50" width="16.1640625" customWidth="1"/>
    <col min="51" max="51" width="26.5" customWidth="1"/>
    <col min="52" max="52" width="22.5" customWidth="1"/>
    <col min="53" max="53" width="7.33203125" customWidth="1"/>
    <col min="54" max="54" width="6" customWidth="1"/>
    <col min="55" max="55" width="13" customWidth="1"/>
    <col min="56" max="56" width="8.5" customWidth="1"/>
    <col min="57" max="57" width="11.33203125" customWidth="1"/>
    <col min="58" max="58" width="9.33203125" customWidth="1"/>
    <col min="59" max="59" width="12.33203125" customWidth="1"/>
    <col min="60" max="60" width="27" customWidth="1"/>
    <col min="61" max="61" width="7.83203125" customWidth="1"/>
    <col min="62" max="62" width="17" customWidth="1"/>
    <col min="63" max="63" width="12.5" customWidth="1"/>
    <col min="64" max="64" width="19.5" customWidth="1"/>
    <col min="65" max="65" width="9.6640625" customWidth="1"/>
    <col min="66" max="66" width="14.83203125" customWidth="1"/>
    <col min="67" max="67" width="21" customWidth="1"/>
    <col min="68" max="68" width="13.6640625" customWidth="1"/>
    <col min="69" max="69" width="14.33203125" customWidth="1"/>
    <col min="70" max="70" width="12.83203125" customWidth="1"/>
    <col min="71" max="71" width="19.83203125" customWidth="1"/>
    <col min="72" max="72" width="10.83203125" customWidth="1"/>
    <col min="73" max="73" width="17" customWidth="1"/>
    <col min="74" max="74" width="13.1640625" customWidth="1"/>
    <col min="75" max="75" width="11.6640625" customWidth="1"/>
    <col min="76" max="76" width="19" customWidth="1"/>
    <col min="77" max="77" width="15.5" customWidth="1"/>
    <col min="78" max="78" width="12.83203125" customWidth="1"/>
    <col min="79" max="79" width="21.6640625" customWidth="1"/>
    <col min="80" max="80" width="9.6640625" customWidth="1"/>
    <col min="81" max="81" width="14.5" bestFit="1" customWidth="1"/>
    <col min="82" max="82" width="15" customWidth="1"/>
    <col min="83" max="83" width="12.6640625" customWidth="1"/>
    <col min="84" max="84" width="13.5" customWidth="1"/>
    <col min="85" max="85" width="22.33203125" customWidth="1"/>
    <col min="86" max="86" width="9.5" customWidth="1"/>
    <col min="87" max="87" width="20.33203125" customWidth="1"/>
    <col min="88" max="88" width="15.83203125" customWidth="1"/>
    <col min="89" max="89" width="12.5" customWidth="1"/>
    <col min="90" max="90" width="13.33203125" customWidth="1"/>
    <col min="91" max="91" width="14" customWidth="1"/>
    <col min="92" max="92" width="8.6640625" customWidth="1"/>
    <col min="93" max="93" width="19" customWidth="1"/>
  </cols>
  <sheetData>
    <row r="1" spans="1:93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193</v>
      </c>
      <c r="J1" s="203" t="s">
        <v>194</v>
      </c>
      <c r="K1" s="203" t="s">
        <v>195</v>
      </c>
      <c r="L1" s="203" t="s">
        <v>196</v>
      </c>
      <c r="M1" s="203" t="s">
        <v>197</v>
      </c>
      <c r="N1" s="203" t="s">
        <v>198</v>
      </c>
      <c r="O1" s="203" t="s">
        <v>199</v>
      </c>
      <c r="P1" s="203" t="s">
        <v>200</v>
      </c>
      <c r="Q1" s="203" t="s">
        <v>201</v>
      </c>
      <c r="R1" s="203" t="s">
        <v>202</v>
      </c>
      <c r="S1" s="203" t="s">
        <v>203</v>
      </c>
      <c r="T1" s="203" t="s">
        <v>204</v>
      </c>
      <c r="U1" s="203" t="s">
        <v>205</v>
      </c>
      <c r="V1" s="203" t="s">
        <v>206</v>
      </c>
      <c r="W1" s="203" t="s">
        <v>207</v>
      </c>
      <c r="X1" s="203" t="s">
        <v>208</v>
      </c>
      <c r="Y1" s="203" t="s">
        <v>209</v>
      </c>
      <c r="Z1" s="203" t="s">
        <v>210</v>
      </c>
      <c r="AA1" s="203" t="s">
        <v>211</v>
      </c>
      <c r="AB1" s="203" t="s">
        <v>212</v>
      </c>
      <c r="AC1" s="203" t="s">
        <v>213</v>
      </c>
      <c r="AD1" s="203" t="s">
        <v>214</v>
      </c>
      <c r="AE1" s="203" t="s">
        <v>215</v>
      </c>
      <c r="AF1" s="203" t="s">
        <v>216</v>
      </c>
      <c r="AG1" s="203" t="s">
        <v>217</v>
      </c>
      <c r="AH1" s="203" t="s">
        <v>218</v>
      </c>
      <c r="AI1" s="203" t="s">
        <v>219</v>
      </c>
      <c r="AJ1" s="203" t="s">
        <v>220</v>
      </c>
      <c r="AK1" s="203" t="s">
        <v>221</v>
      </c>
      <c r="AL1" s="203" t="s">
        <v>222</v>
      </c>
      <c r="AM1" s="203" t="s">
        <v>223</v>
      </c>
      <c r="AN1" s="203" t="s">
        <v>224</v>
      </c>
      <c r="AO1" s="203" t="s">
        <v>225</v>
      </c>
      <c r="AP1" s="203" t="s">
        <v>226</v>
      </c>
      <c r="AQ1" s="203" t="s">
        <v>227</v>
      </c>
      <c r="AR1" s="203" t="s">
        <v>228</v>
      </c>
      <c r="AS1" s="203" t="s">
        <v>229</v>
      </c>
      <c r="AT1" s="203" t="s">
        <v>230</v>
      </c>
      <c r="AU1" s="203" t="s">
        <v>231</v>
      </c>
      <c r="AV1" s="203" t="s">
        <v>232</v>
      </c>
      <c r="AW1" s="203" t="s">
        <v>233</v>
      </c>
      <c r="AX1" s="203" t="s">
        <v>234</v>
      </c>
      <c r="AY1" s="203" t="s">
        <v>235</v>
      </c>
      <c r="AZ1" s="203" t="s">
        <v>236</v>
      </c>
      <c r="BA1" s="203" t="s">
        <v>237</v>
      </c>
      <c r="BB1" s="203" t="s">
        <v>238</v>
      </c>
      <c r="BC1" s="203" t="s">
        <v>239</v>
      </c>
      <c r="BD1" s="203" t="s">
        <v>240</v>
      </c>
      <c r="BE1" s="203" t="s">
        <v>241</v>
      </c>
      <c r="BF1" s="203" t="s">
        <v>242</v>
      </c>
      <c r="BG1" s="203" t="s">
        <v>243</v>
      </c>
      <c r="BH1" s="203" t="s">
        <v>244</v>
      </c>
      <c r="BI1" s="203" t="s">
        <v>245</v>
      </c>
      <c r="BJ1" s="203" t="s">
        <v>246</v>
      </c>
      <c r="BK1" s="203" t="s">
        <v>247</v>
      </c>
      <c r="BL1" s="203" t="s">
        <v>248</v>
      </c>
      <c r="BM1" s="203" t="s">
        <v>249</v>
      </c>
      <c r="BN1" s="203" t="s">
        <v>250</v>
      </c>
      <c r="BO1" s="203" t="s">
        <v>251</v>
      </c>
      <c r="BP1" s="203" t="s">
        <v>252</v>
      </c>
      <c r="BQ1" s="203" t="s">
        <v>253</v>
      </c>
      <c r="BR1" s="203" t="s">
        <v>254</v>
      </c>
      <c r="BS1" s="203" t="s">
        <v>255</v>
      </c>
      <c r="BT1" s="203" t="s">
        <v>256</v>
      </c>
      <c r="BU1" s="203" t="s">
        <v>257</v>
      </c>
      <c r="BV1" s="203" t="s">
        <v>258</v>
      </c>
      <c r="BW1" s="203" t="s">
        <v>259</v>
      </c>
      <c r="BX1" s="203" t="s">
        <v>260</v>
      </c>
      <c r="BY1" s="203" t="s">
        <v>261</v>
      </c>
      <c r="BZ1" s="203" t="s">
        <v>262</v>
      </c>
      <c r="CA1" s="203" t="s">
        <v>263</v>
      </c>
      <c r="CB1" s="203" t="s">
        <v>264</v>
      </c>
      <c r="CC1" s="203" t="s">
        <v>265</v>
      </c>
      <c r="CD1" s="203" t="s">
        <v>266</v>
      </c>
      <c r="CE1" s="203" t="s">
        <v>267</v>
      </c>
      <c r="CF1" s="203" t="s">
        <v>268</v>
      </c>
      <c r="CG1" s="203" t="s">
        <v>269</v>
      </c>
      <c r="CH1" s="203" t="s">
        <v>270</v>
      </c>
      <c r="CI1" s="203" t="s">
        <v>271</v>
      </c>
      <c r="CJ1" s="203" t="s">
        <v>272</v>
      </c>
      <c r="CK1" s="203" t="s">
        <v>273</v>
      </c>
      <c r="CL1" s="203" t="s">
        <v>274</v>
      </c>
      <c r="CM1" s="203" t="s">
        <v>275</v>
      </c>
      <c r="CN1" s="203" t="s">
        <v>276</v>
      </c>
      <c r="CO1" s="204"/>
    </row>
    <row r="2" spans="1:93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93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93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93" x14ac:dyDescent="0.15">
      <c r="A5" s="203" t="s">
        <v>193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93" x14ac:dyDescent="0.15">
      <c r="A6" s="203" t="s">
        <v>194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93" x14ac:dyDescent="0.15">
      <c r="A7" s="203" t="s">
        <v>195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93" x14ac:dyDescent="0.15">
      <c r="A8" s="203" t="s">
        <v>196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93" x14ac:dyDescent="0.15">
      <c r="A9" s="203" t="s">
        <v>197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93" x14ac:dyDescent="0.15">
      <c r="A10" s="203" t="s">
        <v>198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93" x14ac:dyDescent="0.15">
      <c r="A11" s="203" t="s">
        <v>199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93" x14ac:dyDescent="0.15">
      <c r="A12" s="203" t="s">
        <v>200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93" x14ac:dyDescent="0.15">
      <c r="A13" s="203" t="s">
        <v>201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93" x14ac:dyDescent="0.15">
      <c r="A14" s="203" t="s">
        <v>202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93" x14ac:dyDescent="0.15">
      <c r="A15" s="203" t="s">
        <v>203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93" x14ac:dyDescent="0.15">
      <c r="A16" s="203" t="s">
        <v>204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3" t="s">
        <v>205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3" t="s">
        <v>206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3" t="s">
        <v>207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3" t="s">
        <v>208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3" t="s">
        <v>209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3" t="s">
        <v>210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3" t="s">
        <v>211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3" t="s">
        <v>212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3" t="s">
        <v>213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3" t="s">
        <v>214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3" t="s">
        <v>215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3" t="s">
        <v>216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3" t="s">
        <v>217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3" t="s">
        <v>218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3" t="s">
        <v>219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3" t="s">
        <v>220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3" t="s">
        <v>221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3" t="s">
        <v>222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3" t="s">
        <v>223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3" t="s">
        <v>224</v>
      </c>
      <c r="B36" s="113">
        <v>0</v>
      </c>
      <c r="C36"/>
      <c r="D36"/>
    </row>
    <row r="37" spans="1:38" ht="15" customHeight="1" x14ac:dyDescent="0.15">
      <c r="A37" s="203" t="s">
        <v>225</v>
      </c>
      <c r="B37" s="113">
        <v>0</v>
      </c>
      <c r="C37"/>
      <c r="D37"/>
    </row>
    <row r="38" spans="1:38" ht="15" customHeight="1" x14ac:dyDescent="0.15">
      <c r="A38" s="203" t="s">
        <v>226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3" t="s">
        <v>227</v>
      </c>
      <c r="B39" s="113">
        <v>0</v>
      </c>
      <c r="C39"/>
      <c r="D39"/>
    </row>
    <row r="40" spans="1:38" ht="15" customHeight="1" x14ac:dyDescent="0.15">
      <c r="A40" s="203" t="s">
        <v>228</v>
      </c>
      <c r="B40" s="113">
        <v>0</v>
      </c>
      <c r="C40"/>
      <c r="D40"/>
    </row>
    <row r="41" spans="1:38" ht="15" customHeight="1" x14ac:dyDescent="0.15">
      <c r="A41" s="203" t="s">
        <v>229</v>
      </c>
      <c r="B41" s="113">
        <v>0</v>
      </c>
      <c r="C41"/>
      <c r="D41"/>
    </row>
    <row r="42" spans="1:38" ht="15" customHeight="1" x14ac:dyDescent="0.15">
      <c r="A42" s="203" t="s">
        <v>230</v>
      </c>
      <c r="B42" s="113">
        <v>0</v>
      </c>
    </row>
    <row r="43" spans="1:38" ht="15" customHeight="1" x14ac:dyDescent="0.15">
      <c r="A43" s="203" t="s">
        <v>231</v>
      </c>
      <c r="B43" s="113">
        <v>0</v>
      </c>
    </row>
    <row r="44" spans="1:38" ht="15" customHeight="1" x14ac:dyDescent="0.15">
      <c r="A44" s="203" t="s">
        <v>232</v>
      </c>
      <c r="B44" s="113">
        <v>0</v>
      </c>
    </row>
    <row r="45" spans="1:38" ht="15" customHeight="1" x14ac:dyDescent="0.15">
      <c r="A45" s="203" t="s">
        <v>233</v>
      </c>
      <c r="B45" s="113">
        <v>0</v>
      </c>
    </row>
    <row r="46" spans="1:38" ht="15" customHeight="1" x14ac:dyDescent="0.15">
      <c r="A46" s="203" t="s">
        <v>234</v>
      </c>
      <c r="B46" s="113">
        <v>0</v>
      </c>
    </row>
    <row r="47" spans="1:38" ht="15" customHeight="1" x14ac:dyDescent="0.15">
      <c r="A47" s="203" t="s">
        <v>235</v>
      </c>
      <c r="B47" s="113">
        <v>0</v>
      </c>
    </row>
    <row r="48" spans="1:38" ht="15" customHeight="1" x14ac:dyDescent="0.15">
      <c r="A48" s="203" t="s">
        <v>236</v>
      </c>
      <c r="B48" s="113">
        <v>0</v>
      </c>
    </row>
    <row r="49" spans="1:38" ht="15" customHeight="1" x14ac:dyDescent="0.15">
      <c r="A49" s="203" t="s">
        <v>237</v>
      </c>
      <c r="B49" s="113">
        <v>0</v>
      </c>
    </row>
    <row r="50" spans="1:38" ht="15" customHeight="1" x14ac:dyDescent="0.15">
      <c r="A50" s="203" t="s">
        <v>238</v>
      </c>
      <c r="B50" s="113">
        <v>0</v>
      </c>
    </row>
    <row r="51" spans="1:38" ht="15" customHeight="1" x14ac:dyDescent="0.15">
      <c r="A51" s="203" t="s">
        <v>239</v>
      </c>
      <c r="B51" s="113">
        <v>0</v>
      </c>
    </row>
    <row r="52" spans="1:38" ht="15" customHeight="1" x14ac:dyDescent="0.15">
      <c r="A52" s="203" t="s">
        <v>240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3" t="s">
        <v>241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3" t="s">
        <v>242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3" t="s">
        <v>243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3" t="s">
        <v>244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3" t="s">
        <v>245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3" t="s">
        <v>246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3" t="s">
        <v>247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3" t="s">
        <v>248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3" t="s">
        <v>249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3" t="s">
        <v>250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3" t="s">
        <v>251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3" t="s">
        <v>252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3" t="s">
        <v>253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3" t="s">
        <v>254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3" t="s">
        <v>255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3" t="s">
        <v>256</v>
      </c>
      <c r="B68" s="113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3" t="s">
        <v>257</v>
      </c>
      <c r="B69" s="113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3" t="s">
        <v>258</v>
      </c>
      <c r="B70" s="113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3" t="s">
        <v>259</v>
      </c>
      <c r="B71" s="113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3" t="s">
        <v>260</v>
      </c>
      <c r="B72" s="113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3" t="s">
        <v>261</v>
      </c>
      <c r="B73" s="113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3" t="s">
        <v>262</v>
      </c>
      <c r="B74" s="113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3" t="s">
        <v>263</v>
      </c>
      <c r="B75" s="113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3" t="s">
        <v>264</v>
      </c>
      <c r="B76" s="113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3" t="s">
        <v>265</v>
      </c>
      <c r="B77" s="113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3" t="s">
        <v>266</v>
      </c>
      <c r="B78" s="113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3" t="s">
        <v>267</v>
      </c>
      <c r="B79" s="113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203" t="s">
        <v>268</v>
      </c>
      <c r="B80" s="113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203" t="s">
        <v>269</v>
      </c>
      <c r="B81" s="113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203" t="s">
        <v>270</v>
      </c>
      <c r="B82" s="113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A83" s="203" t="s">
        <v>271</v>
      </c>
      <c r="B83" s="113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A84" s="203" t="s">
        <v>272</v>
      </c>
      <c r="B84" s="113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A85" s="203" t="s">
        <v>273</v>
      </c>
      <c r="B85" s="113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A86" s="203" t="s">
        <v>274</v>
      </c>
      <c r="B86" s="113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A87" s="203" t="s">
        <v>275</v>
      </c>
      <c r="B87" s="113">
        <v>0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A88" s="203" t="s">
        <v>276</v>
      </c>
      <c r="B88" s="113">
        <v>0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91" spans="2:38" ht="15" customHeight="1" x14ac:dyDescent="0.1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2022-10-25T04:47:52Z</dcterms:modified>
</cp:coreProperties>
</file>