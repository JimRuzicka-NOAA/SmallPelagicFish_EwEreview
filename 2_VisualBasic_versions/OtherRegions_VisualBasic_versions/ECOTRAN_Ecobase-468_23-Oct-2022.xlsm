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24587A19-EA77-BF43-B28D-B89D411020F1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Main!$C$2:$N$19</definedName>
    <definedName name="matDetritus">Detritus!$C$2:$E$19</definedName>
    <definedName name="matDiet">Diets!$B$2:$P$19</definedName>
    <definedName name="matDiscards">Discards!$C$2:$C$18</definedName>
    <definedName name="matFishery">Fishing!$C$2:$C$18</definedName>
    <definedName name="matFishing">Fishing!#REF!</definedName>
    <definedName name="matMort">Mortalities!$A$1:$U$18</definedName>
    <definedName name="matOut">MainOutputs!$A$2:$I$19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<sst xmlns="http://schemas.openxmlformats.org/spreadsheetml/2006/main" count="659" uniqueCount="215">
  <si>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</si>
  <si>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</si>
  <si>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</si>
  <si>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</si>
  <si>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</si>
  <si>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</si>
  <si>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</si>
  <si>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</si>
  <si>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</si>
  <si>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</si>
  <si>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</si>
  <si>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</si>
  <si>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</si>
  <si>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</si>
  <si>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</si>
  <si>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</si>
  <si>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</si>
  <si>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</si>
  <si>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</si>
  <si>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</si>
  <si>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</si>
  <si>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</si>
  <si>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</si>
  <si>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</si>
  <si>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</si>
  <si>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</si>
  <si>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</si>
  <si>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</si>
  <si>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</si>
  <si>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</si>
  <si>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</si>
  <si>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</si>
  <si>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</si>
  <si>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</si>
  <si>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</si>
  <si>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</si>
  <si>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</si>
  <si>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</si>
  <si>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</si>
  <si>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</si>
  <si>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</si>
  <si>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</si>
  <si>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</si>
  <si>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</si>
  <si>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</si>
  <si>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</si>
  <si>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</si>
  <si>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</si>
  <si>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</si>
  <si>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</si>
  <si>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</si>
  <si>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</si>
  <si>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</si>
  <si>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</si>
  <si>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</si>
  <si>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</si>
  <si>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</si>
  <si>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</si>
  <si>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</si>
  <si>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</si>
  <si>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</si>
  <si>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</si>
  <si>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</si>
  <si>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</si>
  <si>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</si>
  <si>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</si>
  <si>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</si>
  <si>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</si>
  <si>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</si>
  <si>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</si>
  <si>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</si>
  <si>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</si>
  <si>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</si>
  <si>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</si>
  <si>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</si>
  <si>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</si>
  <si>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</si>
  <si>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</si>
  <si>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</si>
  <si>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</si>
  <si>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</si>
  <si>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</si>
  <si>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</si>
  <si>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</si>
  <si>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</si>
  <si>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</si>
  <si>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</si>
  <si>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</si>
  <si>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</si>
  <si>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</si>
  <si>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</si>
  <si>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</si>
  <si>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</si>
  <si>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</si>
  <si>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</si>
  <si>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</si>
  <si>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</si>
  <si>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</si>
  <si>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</si>
  <si>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</si>
  <si>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</si>
  <si>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</si>
  <si>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</si>
  <si>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</si>
  <si>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</si>
  <si>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</si>
  <si>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</si>
  <si>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</si>
  <si>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</si>
  <si>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</si>
  <si>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</si>
  <si>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</si>
  <si>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</si>
  <si>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</si>
  <si>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</si>
  <si>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</si>
  <si>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</si>
  <si>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</si>
  <si>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</si>
  <si>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</si>
  <si>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</si>
  <si>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</si>
  <si>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</si>
  <si>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</si>
  <si>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</si>
  <si>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</si>
  <si>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</si>
  <si>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</si>
  <si>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</si>
  <si>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</si>
  <si>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</si>
  <si>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</si>
  <si>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</si>
  <si>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</si>
  <si>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</si>
  <si>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</si>
  <si>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</si>
  <si>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</si>
  <si>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</si>
  <si>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</si>
  <si>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</si>
  <si>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</si>
  <si>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</si>
  <si>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</si>
  <si>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</si>
  <si>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</si>
  <si>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</si>
  <si>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</si>
  <si>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</si>
  <si>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</si>
  <si>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</si>
  <si>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</si>
  <si>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</si>
  <si>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</si>
  <si>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</si>
  <si>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</si>
  <si>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</si>
  <si>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</si>
  <si>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</si>
  <si>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</si>
  <si>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</si>
  <si>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</si>
  <si>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</si>
  <si>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</si>
  <si>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</si>
  <si>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</si>
  <si>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</si>
  <si>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</si>
  <si>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</si>
  <si>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</si>
  <si>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</si>
  <si>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</si>
  <si>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</si>
  <si>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</si>
  <si>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</si>
  <si>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</si>
  <si>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</si>
  <si>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</si>
  <si>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</si>
  <si>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</si>
  <si>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</si>
  <si>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</si>
  <si>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</si>
  <si>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</si>
  <si>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</si>
  <si>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BlackSea</t>
  </si>
  <si>
    <t>Not affiliated</t>
  </si>
  <si>
    <t>BOX(27.250671382455 40.6509695827695,41.9668866909385 47.373429193582)</t>
  </si>
  <si>
    <t>continental shelf</t>
  </si>
  <si>
    <t>WetWeight</t>
  </si>
  <si>
    <t>Fourth run, the most representative; 27/03/2010 11:04:40; 27/03/2010 11:09:52; 27/03/2010 11:28:21; 27/03/2010 11:34:11</t>
  </si>
  <si>
    <t xml:space="preserve">Orek H.(2000). An application of mass balance Ecopath model to the trophic structure in the Black Sea after anchovy collapse </t>
  </si>
  <si>
    <t>Large pelagics</t>
  </si>
  <si>
    <t>Large demersal</t>
  </si>
  <si>
    <t>Merlangius</t>
  </si>
  <si>
    <t>Mullus and Spicara</t>
  </si>
  <si>
    <t>Small pelagics</t>
  </si>
  <si>
    <t>Belone and Scomber</t>
  </si>
  <si>
    <t>Zoobenthos</t>
  </si>
  <si>
    <t>Mesozooplankton</t>
  </si>
  <si>
    <t>Ciliates</t>
  </si>
  <si>
    <t>Chaetognaths</t>
  </si>
  <si>
    <t>Jellies</t>
  </si>
  <si>
    <t>Appendicularians</t>
  </si>
  <si>
    <t>Noctituca</t>
  </si>
  <si>
    <t>Bacteria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</si>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</sst>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5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3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4" borderId="2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4" borderId="5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0" borderId="0" xfId="0" applyFill="1"/>
    <xf numFmtId="0" fontId="1" fillId="0" borderId="0" xfId="0" applyFont="1" applyAlignment="1">
      <alignment horizontal="center"/>
    </xf>
    <xf numFmtId="0" fontId="0" fillId="21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2" borderId="3" xfId="0" applyNumberFormat="1" applyFont="1" applyFill="1" applyBorder="1"/>
    <xf numFmtId="0" fontId="0" fillId="22" borderId="2" xfId="0" applyFont="1" applyFill="1" applyBorder="1"/>
    <xf numFmtId="0" fontId="0" fillId="22" borderId="3" xfId="0" applyFont="1" applyFill="1" applyBorder="1"/>
    <xf numFmtId="0" fontId="0" fillId="2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4" borderId="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05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1" t="s">
        <v>164</v>
      </c>
    </row>
    <row r="6" spans="2:4" ht="14" thickBot="1" x14ac:dyDescent="0.2">
      <c r="B6" s="35" t="s">
        <v>141</v>
      </c>
    </row>
    <row r="7" spans="2:4" x14ac:dyDescent="0.15">
      <c r="B7" s="51" t="s">
        <v>143</v>
      </c>
    </row>
    <row r="8" spans="2:4" x14ac:dyDescent="0.15">
      <c r="B8" s="51" t="s">
        <v>142</v>
      </c>
    </row>
    <row r="9" spans="2:4" x14ac:dyDescent="0.15">
      <c r="B9" s="51" t="s">
        <v>144</v>
      </c>
    </row>
    <row r="10" spans="2:4" x14ac:dyDescent="0.15">
      <c r="B10" s="51" t="s">
        <v>147</v>
      </c>
    </row>
    <row r="11" spans="2:4" x14ac:dyDescent="0.15">
      <c r="B11" s="51" t="s">
        <v>151</v>
      </c>
    </row>
    <row r="12" spans="2:4" x14ac:dyDescent="0.15">
      <c r="B12" s="51" t="s">
        <v>153</v>
      </c>
    </row>
    <row r="13" spans="2:4" x14ac:dyDescent="0.15">
      <c r="B13" s="51" t="s">
        <v>165</v>
      </c>
    </row>
    <row r="15" spans="2:4" ht="14" thickBot="1" x14ac:dyDescent="0.2"/>
    <row r="16" spans="2:4" ht="14" thickBot="1" x14ac:dyDescent="0.2">
      <c r="B16" s="36" t="s">
        <v>137</v>
      </c>
      <c r="C16" s="37"/>
      <c r="D16" s="19">
        <v>41373</v>
      </c>
    </row>
    <row r="17" spans="2:4" x14ac:dyDescent="0.15">
      <c r="B17" s="38" t="s">
        <v>58</v>
      </c>
      <c r="C17" s="22">
        <v>0</v>
      </c>
    </row>
    <row r="18" spans="2:4" x14ac:dyDescent="0.15">
      <c r="B18" s="38" t="s">
        <v>59</v>
      </c>
      <c r="C18" s="22">
        <v>1</v>
      </c>
    </row>
    <row r="19" spans="2:4" x14ac:dyDescent="0.15">
      <c r="B19" s="38" t="s">
        <v>60</v>
      </c>
      <c r="C19" s="22">
        <v>2</v>
      </c>
    </row>
    <row r="20" spans="2:4" ht="14" thickBot="1" x14ac:dyDescent="0.2">
      <c r="B20" s="39" t="s">
        <v>44</v>
      </c>
      <c r="C20" s="23">
        <v>3</v>
      </c>
    </row>
    <row r="21" spans="2:4" x14ac:dyDescent="0.15">
      <c r="B21" s="40" t="s">
        <v>140</v>
      </c>
    </row>
    <row r="22" spans="2:4" ht="14" thickBot="1" x14ac:dyDescent="0.2"/>
    <row r="23" spans="2:4" ht="14" thickBot="1" x14ac:dyDescent="0.2">
      <c r="B23" s="36" t="s">
        <v>65</v>
      </c>
      <c r="C23" s="37"/>
      <c r="D23" s="19" t="s">
        <v>148</v>
      </c>
    </row>
    <row r="24" spans="2:4" x14ac:dyDescent="0.15">
      <c r="B24" s="42" t="s">
        <v>38</v>
      </c>
      <c r="C24" s="20">
        <v>1</v>
      </c>
    </row>
    <row r="25" spans="2:4" x14ac:dyDescent="0.15">
      <c r="B25" s="38" t="s">
        <v>40</v>
      </c>
      <c r="C25" s="22">
        <v>1.1000000000000001</v>
      </c>
    </row>
    <row r="26" spans="2:4" x14ac:dyDescent="0.15">
      <c r="B26" s="38" t="s">
        <v>41</v>
      </c>
      <c r="C26" s="22">
        <v>1.2</v>
      </c>
    </row>
    <row r="27" spans="2:4" x14ac:dyDescent="0.15">
      <c r="B27" s="38"/>
      <c r="C27" s="22"/>
    </row>
    <row r="28" spans="2:4" x14ac:dyDescent="0.15">
      <c r="B28" s="38" t="s">
        <v>42</v>
      </c>
      <c r="C28" s="22">
        <v>2.1</v>
      </c>
    </row>
    <row r="29" spans="2:4" x14ac:dyDescent="0.15">
      <c r="B29" s="38" t="s">
        <v>43</v>
      </c>
      <c r="C29" s="22">
        <v>2.2000000000000002</v>
      </c>
    </row>
    <row r="30" spans="2:4" x14ac:dyDescent="0.15">
      <c r="B30" s="38" t="s">
        <v>67</v>
      </c>
      <c r="C30" s="22">
        <v>2.2999999999999998</v>
      </c>
    </row>
    <row r="31" spans="2:4" x14ac:dyDescent="0.15">
      <c r="B31" s="38"/>
      <c r="C31" s="22"/>
    </row>
    <row r="32" spans="2:4" x14ac:dyDescent="0.15">
      <c r="B32" s="38" t="s">
        <v>62</v>
      </c>
      <c r="C32" s="22">
        <v>3.11</v>
      </c>
    </row>
    <row r="33" spans="2:3" x14ac:dyDescent="0.15">
      <c r="B33" s="38" t="s">
        <v>61</v>
      </c>
      <c r="C33" s="22">
        <v>3.12</v>
      </c>
    </row>
    <row r="34" spans="2:3" x14ac:dyDescent="0.15">
      <c r="B34" s="38" t="s">
        <v>68</v>
      </c>
      <c r="C34" s="22">
        <v>3.13</v>
      </c>
    </row>
    <row r="35" spans="2:3" x14ac:dyDescent="0.15">
      <c r="B35" s="38"/>
      <c r="C35" s="22"/>
    </row>
    <row r="36" spans="2:3" x14ac:dyDescent="0.15">
      <c r="B36" s="38" t="s">
        <v>66</v>
      </c>
      <c r="C36" s="22">
        <v>3.21</v>
      </c>
    </row>
    <row r="37" spans="2:3" x14ac:dyDescent="0.15">
      <c r="B37" s="38" t="s">
        <v>63</v>
      </c>
      <c r="C37" s="22">
        <v>3.22</v>
      </c>
    </row>
    <row r="38" spans="2:3" x14ac:dyDescent="0.15">
      <c r="B38" s="38" t="s">
        <v>69</v>
      </c>
      <c r="C38" s="22">
        <v>3.23</v>
      </c>
    </row>
    <row r="39" spans="2:3" x14ac:dyDescent="0.15">
      <c r="B39" s="38"/>
      <c r="C39" s="22"/>
    </row>
    <row r="40" spans="2:3" x14ac:dyDescent="0.15">
      <c r="B40" s="38" t="s">
        <v>64</v>
      </c>
      <c r="C40" s="22">
        <v>8</v>
      </c>
    </row>
    <row r="41" spans="2:3" x14ac:dyDescent="0.15">
      <c r="B41" s="38"/>
      <c r="C41" s="22"/>
    </row>
    <row r="42" spans="2:3" x14ac:dyDescent="0.15">
      <c r="B42" s="38" t="s">
        <v>71</v>
      </c>
      <c r="C42" s="22">
        <v>4.0999999999999996</v>
      </c>
    </row>
    <row r="43" spans="2:3" x14ac:dyDescent="0.15">
      <c r="B43" s="38" t="s">
        <v>70</v>
      </c>
      <c r="C43" s="22">
        <v>4.2</v>
      </c>
    </row>
    <row r="44" spans="2:3" x14ac:dyDescent="0.15">
      <c r="B44" s="38" t="s">
        <v>72</v>
      </c>
      <c r="C44" s="22">
        <v>4.3</v>
      </c>
    </row>
    <row r="45" spans="2:3" x14ac:dyDescent="0.15">
      <c r="B45" s="21"/>
      <c r="C45" s="22"/>
    </row>
    <row r="46" spans="2:3" x14ac:dyDescent="0.15">
      <c r="B46" s="38" t="s">
        <v>138</v>
      </c>
      <c r="C46" s="22">
        <v>6.1</v>
      </c>
    </row>
    <row r="47" spans="2:3" x14ac:dyDescent="0.15">
      <c r="B47" s="38" t="s">
        <v>45</v>
      </c>
      <c r="C47" s="22">
        <v>6.2</v>
      </c>
    </row>
    <row r="48" spans="2:3" x14ac:dyDescent="0.15">
      <c r="B48" s="38"/>
      <c r="C48" s="22"/>
    </row>
    <row r="49" spans="2:4" x14ac:dyDescent="0.15">
      <c r="B49" s="38" t="s">
        <v>44</v>
      </c>
      <c r="C49" s="22">
        <v>5</v>
      </c>
    </row>
    <row r="50" spans="2:4" x14ac:dyDescent="0.15">
      <c r="B50" s="38"/>
      <c r="C50" s="22"/>
    </row>
    <row r="51" spans="2:4" ht="14" thickBot="1" x14ac:dyDescent="0.2">
      <c r="B51" s="39" t="s">
        <v>73</v>
      </c>
      <c r="C51" s="23">
        <v>7</v>
      </c>
    </row>
    <row r="53" spans="2:4" x14ac:dyDescent="0.15">
      <c r="B53" s="138" t="s">
        <v>171</v>
      </c>
      <c r="C53" s="87">
        <v>468</v>
      </c>
      <c r="D53" s="87"/>
    </row>
    <row r="54" spans="2:4" x14ac:dyDescent="0.15">
      <c r="B54" s="138" t="s">
        <v>172</v>
      </c>
      <c r="C54" s="138" t="s">
        <v>185</v>
      </c>
      <c r="D54" s="87"/>
    </row>
    <row r="55" spans="2:4" x14ac:dyDescent="0.15">
      <c r="B55" s="138" t="s">
        <v>173</v>
      </c>
      <c r="C55" s="138" t="s">
        <v>186</v>
      </c>
      <c r="D55" s="87"/>
    </row>
    <row r="56" spans="2:4" x14ac:dyDescent="0.15">
      <c r="B56" s="138" t="s">
        <v>174</v>
      </c>
      <c r="C56" s="87">
        <v>423000</v>
      </c>
      <c r="D56" s="87"/>
    </row>
    <row r="57" spans="2:4" x14ac:dyDescent="0.15">
      <c r="B57" s="138" t="s">
        <v>175</v>
      </c>
      <c r="C57" s="138" t="s">
        <v>187</v>
      </c>
      <c r="D57" s="87"/>
    </row>
    <row r="58" spans="2:4" x14ac:dyDescent="0.15">
      <c r="B58" s="138" t="s">
        <v>176</v>
      </c>
      <c r="C58" s="138" t="s">
        <v>188</v>
      </c>
      <c r="D58" s="87"/>
    </row>
    <row r="59" spans="2:4" x14ac:dyDescent="0.15">
      <c r="B59" s="138" t="s">
        <v>177</v>
      </c>
      <c r="C59" s="138" t="s">
        <v>189</v>
      </c>
      <c r="D59" s="87"/>
    </row>
    <row r="60" spans="2:4" x14ac:dyDescent="0.15">
      <c r="B60" s="138" t="s">
        <v>178</v>
      </c>
      <c r="C60" s="138" t="s">
        <v>190</v>
      </c>
      <c r="D60" s="87"/>
    </row>
    <row r="61" spans="2:4" x14ac:dyDescent="0.15">
      <c r="B61" s="138" t="s">
        <v>179</v>
      </c>
      <c r="C61" s="87">
        <v>16</v>
      </c>
      <c r="D61" s="87"/>
    </row>
    <row r="62" spans="2:4" x14ac:dyDescent="0.15">
      <c r="B62" s="138" t="s">
        <v>180</v>
      </c>
      <c r="C62" s="87">
        <v>1</v>
      </c>
      <c r="D62" s="87"/>
    </row>
    <row r="63" spans="2:4" x14ac:dyDescent="0.15">
      <c r="B63" s="138" t="s">
        <v>181</v>
      </c>
      <c r="C63" s="87">
        <v>1990</v>
      </c>
      <c r="D63" s="87"/>
    </row>
    <row r="64" spans="2:4" x14ac:dyDescent="0.15">
      <c r="B64" s="138" t="s">
        <v>182</v>
      </c>
      <c r="C64" s="87">
        <v>1</v>
      </c>
      <c r="D64" s="87"/>
    </row>
    <row r="65" spans="2:4" x14ac:dyDescent="0.15">
      <c r="B65" s="138" t="s">
        <v>183</v>
      </c>
      <c r="C65" s="138" t="s">
        <v>191</v>
      </c>
      <c r="D65" s="87"/>
    </row>
    <row r="66" spans="2:4" x14ac:dyDescent="0.15">
      <c r="B66" s="138" t="s">
        <v>184</v>
      </c>
      <c r="D66" s="87"/>
    </row>
    <row r="67" spans="2:4" x14ac:dyDescent="0.15">
      <c r="B67" s="87"/>
      <c r="C67" s="87"/>
      <c r="D67" s="87"/>
    </row>
    <row r="68" spans="2:4" x14ac:dyDescent="0.15">
      <c r="B68" s="87"/>
      <c r="C68" s="87"/>
      <c r="D68" s="8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14" sqref="E14"/>
    </sheetView>
  </sheetViews>
  <sheetFormatPr baseColWidth="10" defaultColWidth="8.83203125" defaultRowHeight="15" customHeight="1" x14ac:dyDescent="0.15"/>
  <cols>
    <col min="1" max="1" width="22.5" style="63" customWidth="1"/>
    <col min="2" max="3" width="3.33203125" style="63" customWidth="1"/>
    <col min="4" max="4" width="14.33203125" style="63" customWidth="1"/>
    <col min="5" max="5" width="21.6640625" style="63" bestFit="1" customWidth="1"/>
    <col min="6" max="6" width="2.33203125" style="63" bestFit="1" customWidth="1"/>
    <col min="7" max="7" width="12.83203125" style="63" bestFit="1" customWidth="1"/>
    <col min="8" max="8" width="5.33203125" style="63" customWidth="1"/>
    <col min="9" max="9" width="5.83203125" style="63" customWidth="1"/>
    <col min="10" max="10" width="12.83203125" style="63" customWidth="1"/>
    <col min="11" max="11" width="11.83203125" style="63" customWidth="1"/>
    <col min="12" max="12" width="2.33203125" style="63" customWidth="1"/>
    <col min="13" max="13" width="3.83203125" style="63" customWidth="1"/>
    <col min="14" max="14" width="2.33203125" style="63" customWidth="1"/>
    <col min="16" max="25" width="8.83203125" style="6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3"/>
  </cols>
  <sheetData>
    <row r="1" spans="1:46" s="80" customFormat="1" ht="15" customHeight="1" x14ac:dyDescent="0.15">
      <c r="A1" s="59" t="s">
        <v>18</v>
      </c>
      <c r="C1" s="60" t="s">
        <v>8</v>
      </c>
      <c r="D1" s="59" t="s">
        <v>23</v>
      </c>
      <c r="E1" s="59" t="s">
        <v>0</v>
      </c>
      <c r="F1" s="59" t="s">
        <v>7</v>
      </c>
      <c r="G1" s="61" t="s">
        <v>13</v>
      </c>
      <c r="H1" s="59" t="s">
        <v>1</v>
      </c>
      <c r="I1" s="59" t="s">
        <v>2</v>
      </c>
      <c r="J1" s="59" t="s">
        <v>14</v>
      </c>
      <c r="K1" s="59" t="s">
        <v>3</v>
      </c>
      <c r="L1" s="59" t="s">
        <v>4</v>
      </c>
      <c r="M1" s="59" t="s">
        <v>5</v>
      </c>
      <c r="N1" s="5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0">
        <v>1</v>
      </c>
      <c r="D2"/>
      <c r="E2" s="139" t="s">
        <v>192</v>
      </c>
      <c r="F2" s="63">
        <v>0</v>
      </c>
      <c r="G2" s="63">
        <v>5.1111113299999997E-2</v>
      </c>
      <c r="H2" s="63">
        <v>1</v>
      </c>
      <c r="I2" s="6">
        <v>4.3070000000000004</v>
      </c>
      <c r="J2" s="6">
        <v>0.9</v>
      </c>
      <c r="K2" s="6">
        <v>0.23218016299999999</v>
      </c>
      <c r="L2" s="6">
        <v>0</v>
      </c>
      <c r="M2" s="63">
        <v>0.2</v>
      </c>
      <c r="N2" s="63">
        <v>0</v>
      </c>
    </row>
    <row r="3" spans="1:46" ht="15" customHeight="1" x14ac:dyDescent="0.15">
      <c r="A3" s="1" t="s">
        <v>9</v>
      </c>
      <c r="B3" s="4">
        <v>15</v>
      </c>
      <c r="C3" s="63">
        <v>2</v>
      </c>
      <c r="D3"/>
      <c r="E3" s="139" t="s">
        <v>193</v>
      </c>
      <c r="F3" s="63">
        <v>0</v>
      </c>
      <c r="G3" s="63">
        <v>8.2000000000000003E-2</v>
      </c>
      <c r="H3" s="63">
        <v>1.1499999999999999</v>
      </c>
      <c r="I3" s="63">
        <v>4.1639999999999997</v>
      </c>
      <c r="J3" s="63">
        <v>0.12725344299999999</v>
      </c>
      <c r="K3" s="63">
        <v>0.276176751</v>
      </c>
      <c r="L3" s="63">
        <v>0</v>
      </c>
      <c r="M3" s="63">
        <v>0.2</v>
      </c>
      <c r="N3" s="63">
        <v>0</v>
      </c>
    </row>
    <row r="4" spans="1:46" ht="15" customHeight="1" x14ac:dyDescent="0.15">
      <c r="A4" s="1" t="s">
        <v>10</v>
      </c>
      <c r="B4" s="4">
        <v>2</v>
      </c>
      <c r="C4" s="63">
        <v>3</v>
      </c>
      <c r="D4"/>
      <c r="E4" s="139" t="s">
        <v>194</v>
      </c>
      <c r="F4" s="63">
        <v>0</v>
      </c>
      <c r="G4" s="63">
        <v>0.4</v>
      </c>
      <c r="H4" s="63">
        <v>1.63</v>
      </c>
      <c r="I4" s="63">
        <v>8.76</v>
      </c>
      <c r="J4" s="63">
        <v>0.9945098</v>
      </c>
      <c r="K4" s="63">
        <v>0.18607304999999999</v>
      </c>
      <c r="L4" s="63">
        <v>0</v>
      </c>
      <c r="M4" s="63">
        <v>0.2</v>
      </c>
      <c r="N4" s="6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3">
        <v>4</v>
      </c>
      <c r="D5"/>
      <c r="E5" s="139" t="s">
        <v>195</v>
      </c>
      <c r="F5" s="63">
        <v>0</v>
      </c>
      <c r="G5" s="63">
        <v>8.5000000000000006E-2</v>
      </c>
      <c r="H5" s="63">
        <v>2.5</v>
      </c>
      <c r="I5" s="63">
        <v>8.5749999999999993</v>
      </c>
      <c r="J5" s="63">
        <v>0.89976480000000003</v>
      </c>
      <c r="K5" s="63">
        <v>0.29154518200000001</v>
      </c>
      <c r="L5" s="63">
        <v>0</v>
      </c>
      <c r="M5" s="63">
        <v>0.2</v>
      </c>
      <c r="N5" s="63">
        <v>0</v>
      </c>
      <c r="P5" s="56"/>
      <c r="Q5" s="56"/>
      <c r="R5" s="56"/>
    </row>
    <row r="6" spans="1:46" ht="15" customHeight="1" thickBot="1" x14ac:dyDescent="0.2">
      <c r="B6" s="1"/>
      <c r="C6" s="63">
        <v>5</v>
      </c>
      <c r="D6"/>
      <c r="E6" s="139" t="s">
        <v>196</v>
      </c>
      <c r="F6" s="63">
        <v>0</v>
      </c>
      <c r="G6" s="63">
        <v>1</v>
      </c>
      <c r="H6" s="63">
        <v>2.5</v>
      </c>
      <c r="I6" s="63">
        <v>9.8019999999999996</v>
      </c>
      <c r="J6" s="63">
        <v>0.96421724600000003</v>
      </c>
      <c r="K6" s="63">
        <v>0.25504997400000001</v>
      </c>
      <c r="L6" s="63">
        <v>0</v>
      </c>
      <c r="M6" s="63">
        <v>0.2</v>
      </c>
      <c r="N6" s="63">
        <v>0</v>
      </c>
      <c r="P6" s="56"/>
      <c r="Q6" s="56"/>
      <c r="R6" s="56"/>
      <c r="W6" s="25" t="s">
        <v>31</v>
      </c>
      <c r="X6" s="41">
        <f>MAX(MainOutputs!G:G)</f>
        <v>0.99450981616973877</v>
      </c>
    </row>
    <row r="7" spans="1:46" ht="15" customHeight="1" x14ac:dyDescent="0.15">
      <c r="A7" s="2" t="s">
        <v>27</v>
      </c>
      <c r="B7" s="63">
        <f ca="1">COUNTIF(OFFSET(cornerDiets,1,1,NumLiving+NumDead+1,NumLiving+NumDead),"&gt;0")+NumLiving+NumDead+1</f>
        <v>50</v>
      </c>
      <c r="C7" s="63">
        <v>6</v>
      </c>
      <c r="D7"/>
      <c r="E7" s="139" t="s">
        <v>197</v>
      </c>
      <c r="F7" s="63">
        <v>0</v>
      </c>
      <c r="G7" s="63">
        <v>1.4669679999999999E-2</v>
      </c>
      <c r="H7" s="63">
        <v>2.5</v>
      </c>
      <c r="I7" s="63">
        <v>6.8440000000000003</v>
      </c>
      <c r="J7" s="63">
        <v>0.9</v>
      </c>
      <c r="K7" s="63">
        <v>0.36528345899999998</v>
      </c>
      <c r="L7" s="63">
        <v>0</v>
      </c>
      <c r="M7" s="63">
        <v>0.2</v>
      </c>
      <c r="N7" s="63">
        <v>0</v>
      </c>
      <c r="P7" s="56"/>
      <c r="Q7" s="56"/>
      <c r="R7" s="56"/>
    </row>
    <row r="8" spans="1:46" ht="15" customHeight="1" x14ac:dyDescent="0.15">
      <c r="A8" s="2" t="s">
        <v>28</v>
      </c>
      <c r="B8" s="63">
        <f ca="1">COUNTIF(OFFSET(cornerFishing,1,2,NumLiving+NumDead,NumGears),"&gt;0")+NumDead*COUNTIF(OFFSET(cornerDiscards,1,2,NumLiving+NumDead,NumGears),"&gt;0")+NumLiving+NumDead+1</f>
        <v>24</v>
      </c>
      <c r="C8" s="63">
        <v>7</v>
      </c>
      <c r="D8"/>
      <c r="E8" s="139" t="s">
        <v>198</v>
      </c>
      <c r="F8" s="63">
        <v>0</v>
      </c>
      <c r="G8" s="63">
        <v>70</v>
      </c>
      <c r="H8" s="63">
        <v>2.5</v>
      </c>
      <c r="I8" s="63">
        <v>10</v>
      </c>
      <c r="J8" s="63">
        <v>1.23692565E-2</v>
      </c>
      <c r="K8" s="63">
        <v>0.25</v>
      </c>
      <c r="L8" s="63">
        <v>0</v>
      </c>
      <c r="M8" s="63">
        <v>0.2</v>
      </c>
      <c r="N8" s="63">
        <v>0</v>
      </c>
      <c r="P8" s="56"/>
      <c r="Q8" s="56"/>
      <c r="R8" s="56"/>
    </row>
    <row r="9" spans="1:46" ht="15" customHeight="1" x14ac:dyDescent="0.15">
      <c r="B9" s="1"/>
      <c r="C9" s="63">
        <v>8</v>
      </c>
      <c r="D9"/>
      <c r="E9" s="139" t="s">
        <v>199</v>
      </c>
      <c r="F9" s="63">
        <v>0</v>
      </c>
      <c r="G9" s="63">
        <v>7.4548249999999996</v>
      </c>
      <c r="H9" s="63">
        <v>40</v>
      </c>
      <c r="I9" s="63">
        <v>200</v>
      </c>
      <c r="J9" s="63">
        <v>0.9</v>
      </c>
      <c r="K9" s="63">
        <v>0.2</v>
      </c>
      <c r="L9" s="63">
        <v>0</v>
      </c>
      <c r="M9" s="63">
        <v>0.2</v>
      </c>
      <c r="N9" s="63">
        <v>0</v>
      </c>
      <c r="P9" s="56"/>
      <c r="Q9" s="56"/>
      <c r="R9" s="56"/>
    </row>
    <row r="10" spans="1:46" ht="15" customHeight="1" x14ac:dyDescent="0.15">
      <c r="B10" s="1"/>
      <c r="C10" s="63">
        <v>9</v>
      </c>
      <c r="D10"/>
      <c r="E10" s="139" t="s">
        <v>200</v>
      </c>
      <c r="F10" s="63">
        <v>0</v>
      </c>
      <c r="G10" s="63">
        <v>3</v>
      </c>
      <c r="H10" s="63">
        <v>100</v>
      </c>
      <c r="I10" s="63">
        <v>300</v>
      </c>
      <c r="J10" s="63">
        <v>1.5816666199999999E-2</v>
      </c>
      <c r="K10" s="63">
        <v>0.333333343</v>
      </c>
      <c r="L10" s="63">
        <v>0</v>
      </c>
      <c r="M10" s="63">
        <v>0.2</v>
      </c>
      <c r="N10" s="63">
        <v>0</v>
      </c>
    </row>
    <row r="11" spans="1:46" ht="15" customHeight="1" x14ac:dyDescent="0.15">
      <c r="C11" s="63">
        <v>10</v>
      </c>
      <c r="D11"/>
      <c r="E11" s="139" t="s">
        <v>201</v>
      </c>
      <c r="F11" s="63">
        <v>0</v>
      </c>
      <c r="G11" s="63">
        <v>0.55000000000000004</v>
      </c>
      <c r="H11" s="63">
        <v>29</v>
      </c>
      <c r="I11" s="63">
        <v>74</v>
      </c>
      <c r="J11" s="63">
        <v>6.1454542000000001E-2</v>
      </c>
      <c r="K11" s="63">
        <v>0.39189190000000002</v>
      </c>
      <c r="L11" s="63">
        <v>0</v>
      </c>
      <c r="M11" s="63">
        <v>0.2</v>
      </c>
      <c r="N11" s="63">
        <v>0</v>
      </c>
    </row>
    <row r="12" spans="1:46" ht="15" customHeight="1" x14ac:dyDescent="0.15">
      <c r="C12" s="63">
        <v>11</v>
      </c>
      <c r="D12"/>
      <c r="E12" s="139" t="s">
        <v>202</v>
      </c>
      <c r="F12" s="63">
        <v>0</v>
      </c>
      <c r="G12" s="63">
        <v>315</v>
      </c>
      <c r="H12" s="63">
        <v>0.5</v>
      </c>
      <c r="I12" s="63">
        <v>2</v>
      </c>
      <c r="J12" s="63">
        <v>0</v>
      </c>
      <c r="K12" s="63">
        <v>0.25</v>
      </c>
      <c r="L12" s="63">
        <v>0</v>
      </c>
      <c r="M12" s="63">
        <v>0.2</v>
      </c>
      <c r="N12" s="63">
        <v>0</v>
      </c>
    </row>
    <row r="13" spans="1:46" ht="15" customHeight="1" x14ac:dyDescent="0.15">
      <c r="C13" s="63">
        <v>12</v>
      </c>
      <c r="D13"/>
      <c r="E13" s="139" t="s">
        <v>203</v>
      </c>
      <c r="F13" s="63">
        <v>0</v>
      </c>
      <c r="G13" s="63">
        <v>6.5000000000000002E-2</v>
      </c>
      <c r="H13" s="63">
        <v>29</v>
      </c>
      <c r="I13" s="63">
        <v>73</v>
      </c>
      <c r="J13" s="63">
        <v>0.9804351</v>
      </c>
      <c r="K13" s="63">
        <v>0.39726027800000002</v>
      </c>
      <c r="L13" s="63">
        <v>0</v>
      </c>
      <c r="M13" s="63">
        <v>0.2</v>
      </c>
      <c r="N13" s="63">
        <v>0</v>
      </c>
    </row>
    <row r="14" spans="1:46" ht="15" customHeight="1" x14ac:dyDescent="0.15">
      <c r="C14" s="63">
        <v>13</v>
      </c>
      <c r="D14"/>
      <c r="E14" s="139" t="s">
        <v>204</v>
      </c>
      <c r="F14" s="63">
        <v>0</v>
      </c>
      <c r="G14" s="63">
        <v>7.3</v>
      </c>
      <c r="H14" s="63">
        <v>40</v>
      </c>
      <c r="I14" s="63">
        <v>200</v>
      </c>
      <c r="J14" s="63">
        <v>0.93270546200000004</v>
      </c>
      <c r="K14" s="63">
        <v>0.2</v>
      </c>
      <c r="L14" s="63">
        <v>0</v>
      </c>
      <c r="M14" s="63">
        <v>0.2</v>
      </c>
      <c r="N14" s="63">
        <v>0</v>
      </c>
    </row>
    <row r="15" spans="1:46" ht="15" customHeight="1" x14ac:dyDescent="0.15">
      <c r="C15" s="63">
        <v>14</v>
      </c>
      <c r="D15"/>
      <c r="E15" s="139" t="s">
        <v>205</v>
      </c>
      <c r="F15" s="63">
        <v>0</v>
      </c>
      <c r="G15" s="63">
        <v>7.5</v>
      </c>
      <c r="H15" s="63">
        <v>1022</v>
      </c>
      <c r="I15" s="63">
        <v>2044</v>
      </c>
      <c r="J15" s="63">
        <v>0.16019700000000001</v>
      </c>
      <c r="K15" s="63">
        <v>0.5</v>
      </c>
      <c r="L15" s="63">
        <v>0</v>
      </c>
      <c r="M15" s="63">
        <v>0.2</v>
      </c>
      <c r="N15" s="63">
        <v>0</v>
      </c>
    </row>
    <row r="16" spans="1:46" ht="15" customHeight="1" x14ac:dyDescent="0.15">
      <c r="C16" s="63">
        <v>15</v>
      </c>
      <c r="D16"/>
      <c r="E16" s="139" t="s">
        <v>206</v>
      </c>
      <c r="F16" s="63">
        <v>1</v>
      </c>
      <c r="G16" s="63">
        <v>60</v>
      </c>
      <c r="H16" s="63">
        <v>330</v>
      </c>
      <c r="I16" s="63">
        <v>0</v>
      </c>
      <c r="J16" s="63">
        <v>0.15258459999999999</v>
      </c>
      <c r="K16" s="63">
        <v>0</v>
      </c>
      <c r="L16" s="63">
        <v>0</v>
      </c>
      <c r="M16" s="63">
        <v>0</v>
      </c>
      <c r="N16" s="63">
        <v>0</v>
      </c>
    </row>
    <row r="17" spans="1:22" ht="15" customHeight="1" x14ac:dyDescent="0.15">
      <c r="C17" s="63">
        <v>16</v>
      </c>
      <c r="D17"/>
      <c r="E17" s="139" t="s">
        <v>207</v>
      </c>
      <c r="F17" s="63">
        <v>2</v>
      </c>
      <c r="G17" s="63">
        <v>200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0</v>
      </c>
      <c r="V17" s="1" t="s">
        <v>30</v>
      </c>
    </row>
    <row r="18" spans="1:22" ht="15" customHeight="1" x14ac:dyDescent="0.15">
      <c r="C18" s="63">
        <v>17</v>
      </c>
      <c r="D18"/>
      <c r="E18" s="139" t="s">
        <v>208</v>
      </c>
      <c r="F18" s="63">
        <v>2</v>
      </c>
      <c r="G18" s="63">
        <v>5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V18" s="1"/>
    </row>
    <row r="19" spans="1:22" ht="15" customHeight="1" x14ac:dyDescent="0.15">
      <c r="C19" s="63">
        <v>18</v>
      </c>
      <c r="D19"/>
      <c r="E19" s="139" t="s">
        <v>209</v>
      </c>
      <c r="F19" s="63">
        <v>3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6" t="s">
        <v>137</v>
      </c>
      <c r="B21" s="81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2" t="s">
        <v>58</v>
      </c>
      <c r="B22" s="83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2" t="s">
        <v>59</v>
      </c>
      <c r="B23" s="83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2" t="s">
        <v>60</v>
      </c>
      <c r="B24" s="83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4" t="s">
        <v>44</v>
      </c>
      <c r="B25" s="85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6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8" bestFit="1" customWidth="1"/>
    <col min="2" max="2" width="4.83203125" style="118" bestFit="1" customWidth="1"/>
    <col min="3" max="3" width="3.83203125" style="118" bestFit="1" customWidth="1"/>
    <col min="4" max="4" width="4.83203125" style="118" bestFit="1" customWidth="1"/>
    <col min="5" max="5" width="2.33203125" style="118" bestFit="1" customWidth="1"/>
    <col min="6" max="6" width="4.83203125" style="118" bestFit="1" customWidth="1"/>
    <col min="7" max="7" width="2.33203125" style="118" bestFit="1" customWidth="1"/>
    <col min="8" max="8" width="3.83203125" style="118" bestFit="1" customWidth="1"/>
    <col min="9" max="10" width="2.33203125" style="118" bestFit="1" customWidth="1"/>
    <col min="11" max="11" width="3.83203125" style="118" bestFit="1" customWidth="1"/>
    <col min="12" max="12" width="5.83203125" style="118" bestFit="1" customWidth="1"/>
    <col min="13" max="13" width="2.33203125" style="118" bestFit="1" customWidth="1"/>
    <col min="14" max="14" width="3.83203125" style="118" bestFit="1" customWidth="1"/>
    <col min="15" max="18" width="2.33203125" style="118" bestFit="1" customWidth="1"/>
    <col min="19" max="29" width="9" style="118" bestFit="1" customWidth="1"/>
    <col min="30" max="16384" width="8.83203125" style="118"/>
  </cols>
  <sheetData>
    <row r="1" spans="1:34" x14ac:dyDescent="0.15">
      <c r="A1" s="117" t="s">
        <v>19</v>
      </c>
      <c r="B1" s="141" t="s">
        <v>192</v>
      </c>
      <c r="C1" s="141" t="s">
        <v>193</v>
      </c>
      <c r="D1" s="141" t="s">
        <v>194</v>
      </c>
      <c r="E1" s="141" t="s">
        <v>195</v>
      </c>
      <c r="F1" s="141" t="s">
        <v>196</v>
      </c>
      <c r="G1" s="141" t="s">
        <v>197</v>
      </c>
      <c r="H1" s="141" t="s">
        <v>198</v>
      </c>
      <c r="I1" s="141" t="s">
        <v>199</v>
      </c>
      <c r="J1" s="141" t="s">
        <v>200</v>
      </c>
      <c r="K1" s="141" t="s">
        <v>201</v>
      </c>
      <c r="L1" s="141" t="s">
        <v>202</v>
      </c>
      <c r="M1" s="141" t="s">
        <v>203</v>
      </c>
      <c r="N1" s="141" t="s">
        <v>204</v>
      </c>
      <c r="O1" s="141" t="s">
        <v>205</v>
      </c>
      <c r="P1" s="141" t="s">
        <v>206</v>
      </c>
      <c r="Q1" s="141" t="s">
        <v>207</v>
      </c>
      <c r="R1" s="141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0" t="s">
        <v>192</v>
      </c>
      <c r="B2" s="118">
        <v>0</v>
      </c>
      <c r="C2" s="118">
        <v>0</v>
      </c>
      <c r="D2" s="118">
        <v>0</v>
      </c>
      <c r="E2" s="118">
        <v>0</v>
      </c>
      <c r="F2" s="118">
        <v>0</v>
      </c>
      <c r="G2" s="118">
        <v>0</v>
      </c>
      <c r="H2" s="118">
        <v>0</v>
      </c>
      <c r="I2" s="118">
        <v>0</v>
      </c>
      <c r="J2" s="118">
        <v>0</v>
      </c>
      <c r="K2" s="118">
        <v>0</v>
      </c>
      <c r="L2" s="118">
        <v>0</v>
      </c>
      <c r="M2" s="118">
        <v>0</v>
      </c>
      <c r="N2" s="118">
        <v>0</v>
      </c>
      <c r="O2" s="118">
        <v>0</v>
      </c>
      <c r="P2" s="118">
        <v>0</v>
      </c>
      <c r="Q2" s="118">
        <v>0</v>
      </c>
      <c r="R2" s="118">
        <v>0</v>
      </c>
    </row>
    <row r="3" spans="1:34" customFormat="1" x14ac:dyDescent="0.15">
      <c r="A3" s="140" t="s">
        <v>193</v>
      </c>
      <c r="B3" s="118">
        <v>0</v>
      </c>
      <c r="C3" s="118">
        <v>0</v>
      </c>
      <c r="D3" s="118">
        <v>0</v>
      </c>
      <c r="E3" s="118">
        <v>0</v>
      </c>
      <c r="F3" s="118">
        <v>0</v>
      </c>
      <c r="G3" s="118">
        <v>0</v>
      </c>
      <c r="H3" s="118">
        <v>0</v>
      </c>
      <c r="I3" s="118">
        <v>0</v>
      </c>
      <c r="J3" s="118">
        <v>0</v>
      </c>
      <c r="K3" s="118">
        <v>0</v>
      </c>
      <c r="L3" s="118">
        <v>0</v>
      </c>
      <c r="M3" s="118">
        <v>0</v>
      </c>
      <c r="N3" s="118">
        <v>0</v>
      </c>
      <c r="O3" s="118">
        <v>0</v>
      </c>
      <c r="P3" s="118">
        <v>0</v>
      </c>
      <c r="Q3" s="118">
        <v>0</v>
      </c>
      <c r="R3" s="118">
        <v>0</v>
      </c>
    </row>
    <row r="4" spans="1:34" customFormat="1" x14ac:dyDescent="0.15">
      <c r="A4" s="140" t="s">
        <v>194</v>
      </c>
      <c r="B4" s="118">
        <v>0.05</v>
      </c>
      <c r="C4" s="118">
        <v>0.70000000000000007</v>
      </c>
      <c r="D4" s="118">
        <v>0.1</v>
      </c>
      <c r="E4" s="118">
        <v>0</v>
      </c>
      <c r="F4" s="118">
        <v>0</v>
      </c>
      <c r="G4" s="118">
        <v>0</v>
      </c>
      <c r="H4" s="118">
        <v>0</v>
      </c>
      <c r="I4" s="118">
        <v>0</v>
      </c>
      <c r="J4" s="118">
        <v>0</v>
      </c>
      <c r="K4" s="118">
        <v>0</v>
      </c>
      <c r="L4" s="118">
        <v>0</v>
      </c>
      <c r="M4" s="118">
        <v>0</v>
      </c>
      <c r="N4" s="118">
        <v>0</v>
      </c>
      <c r="O4" s="118">
        <v>0</v>
      </c>
      <c r="P4" s="118">
        <v>0</v>
      </c>
      <c r="Q4" s="118">
        <v>0</v>
      </c>
      <c r="R4" s="118">
        <v>0</v>
      </c>
    </row>
    <row r="5" spans="1:34" customFormat="1" x14ac:dyDescent="0.15">
      <c r="A5" s="140" t="s">
        <v>195</v>
      </c>
      <c r="B5" s="118">
        <v>0</v>
      </c>
      <c r="C5" s="118">
        <v>0</v>
      </c>
      <c r="D5" s="118">
        <v>0.05</v>
      </c>
      <c r="E5" s="118">
        <v>0</v>
      </c>
      <c r="F5" s="118">
        <v>0</v>
      </c>
      <c r="G5" s="118">
        <v>0</v>
      </c>
      <c r="H5" s="118">
        <v>0</v>
      </c>
      <c r="I5" s="118">
        <v>0</v>
      </c>
      <c r="J5" s="118">
        <v>0</v>
      </c>
      <c r="K5" s="118">
        <v>0</v>
      </c>
      <c r="L5" s="118">
        <v>0</v>
      </c>
      <c r="M5" s="118">
        <v>0</v>
      </c>
      <c r="N5" s="118">
        <v>0</v>
      </c>
      <c r="O5" s="118">
        <v>0</v>
      </c>
      <c r="P5" s="118">
        <v>0</v>
      </c>
      <c r="Q5" s="118">
        <v>0</v>
      </c>
      <c r="R5" s="118">
        <v>0</v>
      </c>
    </row>
    <row r="6" spans="1:34" customFormat="1" x14ac:dyDescent="0.15">
      <c r="A6" s="140" t="s">
        <v>196</v>
      </c>
      <c r="B6" s="118">
        <v>0.4</v>
      </c>
      <c r="C6" s="118">
        <v>0.20000000000000004</v>
      </c>
      <c r="D6" s="118">
        <v>0.45</v>
      </c>
      <c r="E6" s="118">
        <v>0</v>
      </c>
      <c r="F6" s="118">
        <v>0</v>
      </c>
      <c r="G6" s="118">
        <v>1</v>
      </c>
      <c r="H6" s="118">
        <v>0</v>
      </c>
      <c r="I6" s="118">
        <v>0</v>
      </c>
      <c r="J6" s="118">
        <v>0</v>
      </c>
      <c r="K6" s="118">
        <v>0</v>
      </c>
      <c r="L6" s="118">
        <v>0</v>
      </c>
      <c r="M6" s="118">
        <v>0</v>
      </c>
      <c r="N6" s="118">
        <v>0</v>
      </c>
      <c r="O6" s="118">
        <v>0</v>
      </c>
      <c r="P6" s="118">
        <v>0</v>
      </c>
      <c r="Q6" s="118">
        <v>0</v>
      </c>
      <c r="R6" s="118">
        <v>0</v>
      </c>
    </row>
    <row r="7" spans="1:34" customFormat="1" x14ac:dyDescent="0.15">
      <c r="A7" s="140" t="s">
        <v>197</v>
      </c>
      <c r="B7" s="118">
        <v>0.05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8">
        <v>0</v>
      </c>
      <c r="J7" s="118">
        <v>0</v>
      </c>
      <c r="K7" s="118">
        <v>0</v>
      </c>
      <c r="L7" s="118">
        <v>0</v>
      </c>
      <c r="M7" s="118">
        <v>0</v>
      </c>
      <c r="N7" s="118">
        <v>0</v>
      </c>
      <c r="O7" s="118">
        <v>0</v>
      </c>
      <c r="P7" s="118">
        <v>0</v>
      </c>
      <c r="Q7" s="118">
        <v>0</v>
      </c>
      <c r="R7" s="118">
        <v>0</v>
      </c>
    </row>
    <row r="8" spans="1:34" customFormat="1" x14ac:dyDescent="0.15">
      <c r="A8" s="140" t="s">
        <v>198</v>
      </c>
      <c r="B8" s="118">
        <v>0</v>
      </c>
      <c r="C8" s="118">
        <v>0.10000000000000002</v>
      </c>
      <c r="D8" s="118">
        <v>0.4</v>
      </c>
      <c r="E8" s="118">
        <v>1</v>
      </c>
      <c r="F8" s="118">
        <v>0</v>
      </c>
      <c r="G8" s="118">
        <v>0</v>
      </c>
      <c r="H8" s="118">
        <v>0</v>
      </c>
      <c r="I8" s="118">
        <v>0</v>
      </c>
      <c r="J8" s="118">
        <v>0</v>
      </c>
      <c r="K8" s="118">
        <v>0</v>
      </c>
      <c r="L8" s="118">
        <v>0</v>
      </c>
      <c r="M8" s="118">
        <v>0</v>
      </c>
      <c r="N8" s="118">
        <v>0</v>
      </c>
      <c r="O8" s="118">
        <v>0</v>
      </c>
      <c r="P8" s="118">
        <v>0</v>
      </c>
      <c r="Q8" s="118">
        <v>0</v>
      </c>
      <c r="R8" s="118">
        <v>0</v>
      </c>
    </row>
    <row r="9" spans="1:34" customFormat="1" x14ac:dyDescent="0.15">
      <c r="A9" s="140" t="s">
        <v>199</v>
      </c>
      <c r="B9" s="118">
        <v>0</v>
      </c>
      <c r="C9" s="118">
        <v>0</v>
      </c>
      <c r="D9" s="118">
        <v>0</v>
      </c>
      <c r="E9" s="118">
        <v>0</v>
      </c>
      <c r="F9" s="118">
        <v>0.84</v>
      </c>
      <c r="G9" s="118">
        <v>0</v>
      </c>
      <c r="H9" s="118">
        <v>0</v>
      </c>
      <c r="I9" s="118">
        <v>0</v>
      </c>
      <c r="J9" s="118">
        <v>0</v>
      </c>
      <c r="K9" s="118">
        <v>0.2</v>
      </c>
      <c r="L9" s="118">
        <v>0.4</v>
      </c>
      <c r="M9" s="118">
        <v>0</v>
      </c>
      <c r="N9" s="118">
        <v>0</v>
      </c>
      <c r="O9" s="118">
        <v>0</v>
      </c>
      <c r="P9" s="118">
        <v>0</v>
      </c>
      <c r="Q9" s="118">
        <v>0</v>
      </c>
      <c r="R9" s="118">
        <v>0</v>
      </c>
    </row>
    <row r="10" spans="1:34" customFormat="1" x14ac:dyDescent="0.15">
      <c r="A10" s="140" t="s">
        <v>200</v>
      </c>
      <c r="B10" s="118">
        <v>0</v>
      </c>
      <c r="C10" s="118">
        <v>0</v>
      </c>
      <c r="D10" s="118">
        <v>0</v>
      </c>
      <c r="E10" s="118">
        <v>0</v>
      </c>
      <c r="F10" s="118">
        <v>0</v>
      </c>
      <c r="G10" s="118">
        <v>0</v>
      </c>
      <c r="H10" s="118">
        <v>0</v>
      </c>
      <c r="I10" s="118">
        <v>0</v>
      </c>
      <c r="J10" s="118">
        <v>0</v>
      </c>
      <c r="K10" s="118">
        <v>0</v>
      </c>
      <c r="L10" s="118">
        <v>0</v>
      </c>
      <c r="M10" s="118">
        <v>1</v>
      </c>
      <c r="N10" s="118">
        <v>0</v>
      </c>
      <c r="O10" s="118">
        <v>0</v>
      </c>
      <c r="P10" s="118">
        <v>0</v>
      </c>
      <c r="Q10" s="118">
        <v>0</v>
      </c>
      <c r="R10" s="118">
        <v>0</v>
      </c>
    </row>
    <row r="11" spans="1:34" customFormat="1" x14ac:dyDescent="0.15">
      <c r="A11" s="140" t="s">
        <v>201</v>
      </c>
      <c r="B11" s="118">
        <v>0</v>
      </c>
      <c r="C11" s="118">
        <v>0</v>
      </c>
      <c r="D11" s="118">
        <v>0</v>
      </c>
      <c r="E11" s="118">
        <v>0</v>
      </c>
      <c r="F11" s="118">
        <v>0.1</v>
      </c>
      <c r="G11" s="118">
        <v>0</v>
      </c>
      <c r="H11" s="118">
        <v>0</v>
      </c>
      <c r="I11" s="118">
        <v>0</v>
      </c>
      <c r="J11" s="118">
        <v>0</v>
      </c>
      <c r="K11" s="118">
        <v>0</v>
      </c>
      <c r="L11" s="118">
        <v>0</v>
      </c>
      <c r="M11" s="118">
        <v>0</v>
      </c>
      <c r="N11" s="118">
        <v>0</v>
      </c>
      <c r="O11" s="118">
        <v>0</v>
      </c>
      <c r="P11" s="118">
        <v>0</v>
      </c>
      <c r="Q11" s="118">
        <v>0</v>
      </c>
      <c r="R11" s="118">
        <v>0</v>
      </c>
    </row>
    <row r="12" spans="1:34" customFormat="1" x14ac:dyDescent="0.15">
      <c r="A12" s="140" t="s">
        <v>202</v>
      </c>
      <c r="B12" s="118">
        <v>0</v>
      </c>
      <c r="C12" s="118">
        <v>0</v>
      </c>
      <c r="D12" s="118">
        <v>0</v>
      </c>
      <c r="E12" s="118">
        <v>0</v>
      </c>
      <c r="F12" s="118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118">
        <v>0</v>
      </c>
      <c r="M12" s="118">
        <v>0</v>
      </c>
      <c r="N12" s="118">
        <v>0</v>
      </c>
      <c r="O12" s="118">
        <v>0</v>
      </c>
      <c r="P12" s="118">
        <v>0</v>
      </c>
      <c r="Q12" s="118">
        <v>0</v>
      </c>
      <c r="R12" s="118">
        <v>0</v>
      </c>
    </row>
    <row r="13" spans="1:34" customFormat="1" x14ac:dyDescent="0.15">
      <c r="A13" s="140" t="s">
        <v>203</v>
      </c>
      <c r="B13" s="118">
        <v>0</v>
      </c>
      <c r="C13" s="118">
        <v>0</v>
      </c>
      <c r="D13" s="118">
        <v>0</v>
      </c>
      <c r="E13" s="118">
        <v>0</v>
      </c>
      <c r="F13" s="118">
        <v>0.06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118">
        <v>2E-3</v>
      </c>
      <c r="M13" s="118">
        <v>0</v>
      </c>
      <c r="N13" s="118">
        <v>0</v>
      </c>
      <c r="O13" s="118">
        <v>0</v>
      </c>
      <c r="P13" s="118">
        <v>0</v>
      </c>
      <c r="Q13" s="118">
        <v>0</v>
      </c>
      <c r="R13" s="118">
        <v>0</v>
      </c>
    </row>
    <row r="14" spans="1:34" customFormat="1" x14ac:dyDescent="0.15">
      <c r="A14" s="140" t="s">
        <v>204</v>
      </c>
      <c r="B14" s="118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18">
        <v>0</v>
      </c>
      <c r="I14" s="118">
        <v>0</v>
      </c>
      <c r="J14" s="118">
        <v>0</v>
      </c>
      <c r="K14" s="118">
        <v>0.5</v>
      </c>
      <c r="L14" s="118">
        <v>0.4</v>
      </c>
      <c r="M14" s="118">
        <v>0</v>
      </c>
      <c r="N14" s="118">
        <v>0</v>
      </c>
      <c r="O14" s="118">
        <v>0</v>
      </c>
      <c r="P14" s="118">
        <v>0</v>
      </c>
      <c r="Q14" s="118">
        <v>0</v>
      </c>
      <c r="R14" s="118">
        <v>0</v>
      </c>
    </row>
    <row r="15" spans="1:34" customFormat="1" x14ac:dyDescent="0.15">
      <c r="A15" s="140" t="s">
        <v>205</v>
      </c>
      <c r="B15" s="118">
        <v>0</v>
      </c>
      <c r="C15" s="118">
        <v>0</v>
      </c>
      <c r="D15" s="118">
        <v>0</v>
      </c>
      <c r="E15" s="118">
        <v>0</v>
      </c>
      <c r="F15" s="118">
        <v>0</v>
      </c>
      <c r="G15" s="118">
        <v>0</v>
      </c>
      <c r="H15" s="118">
        <v>0</v>
      </c>
      <c r="I15" s="118">
        <v>0</v>
      </c>
      <c r="J15" s="118">
        <v>1</v>
      </c>
      <c r="K15" s="118">
        <v>0</v>
      </c>
      <c r="L15" s="118">
        <v>5.7000000000000002E-2</v>
      </c>
      <c r="M15" s="118">
        <v>0</v>
      </c>
      <c r="N15" s="118">
        <v>0.2</v>
      </c>
      <c r="O15" s="118">
        <v>0</v>
      </c>
      <c r="P15" s="118">
        <v>0</v>
      </c>
      <c r="Q15" s="118">
        <v>0</v>
      </c>
      <c r="R15" s="118">
        <v>0</v>
      </c>
    </row>
    <row r="16" spans="1:34" customFormat="1" x14ac:dyDescent="0.15">
      <c r="A16" s="140" t="s">
        <v>206</v>
      </c>
      <c r="B16" s="118">
        <v>0</v>
      </c>
      <c r="C16" s="118">
        <v>0</v>
      </c>
      <c r="D16" s="118">
        <v>0</v>
      </c>
      <c r="E16" s="118">
        <v>0</v>
      </c>
      <c r="F16" s="118">
        <v>0</v>
      </c>
      <c r="G16" s="118">
        <v>0</v>
      </c>
      <c r="H16" s="118">
        <v>0.5</v>
      </c>
      <c r="I16" s="118">
        <v>1</v>
      </c>
      <c r="J16" s="118">
        <v>0</v>
      </c>
      <c r="K16" s="118">
        <v>0.3</v>
      </c>
      <c r="L16" s="118">
        <v>0</v>
      </c>
      <c r="M16" s="118">
        <v>0</v>
      </c>
      <c r="N16" s="118">
        <v>0.8</v>
      </c>
      <c r="O16" s="118">
        <v>0</v>
      </c>
      <c r="P16" s="118">
        <v>0</v>
      </c>
      <c r="Q16" s="118">
        <v>0</v>
      </c>
      <c r="R16" s="118">
        <v>0</v>
      </c>
    </row>
    <row r="17" spans="1:18" customFormat="1" x14ac:dyDescent="0.15">
      <c r="A17" s="140" t="s">
        <v>207</v>
      </c>
      <c r="B17" s="118">
        <v>0</v>
      </c>
      <c r="C17" s="118">
        <v>0</v>
      </c>
      <c r="D17" s="118">
        <v>0</v>
      </c>
      <c r="E17" s="118">
        <v>0</v>
      </c>
      <c r="F17" s="118">
        <v>0</v>
      </c>
      <c r="G17" s="118">
        <v>0</v>
      </c>
      <c r="H17" s="118">
        <v>0.5</v>
      </c>
      <c r="I17" s="118">
        <v>0</v>
      </c>
      <c r="J17" s="118">
        <v>0</v>
      </c>
      <c r="K17" s="118">
        <v>0</v>
      </c>
      <c r="L17" s="118">
        <v>0.14099999999999999</v>
      </c>
      <c r="M17" s="118">
        <v>0</v>
      </c>
      <c r="N17" s="118">
        <v>0</v>
      </c>
      <c r="O17" s="118">
        <v>1</v>
      </c>
      <c r="P17" s="118">
        <v>0</v>
      </c>
      <c r="Q17" s="118">
        <v>0</v>
      </c>
      <c r="R17" s="118">
        <v>0</v>
      </c>
    </row>
    <row r="18" spans="1:18" customFormat="1" x14ac:dyDescent="0.15">
      <c r="A18" s="140" t="s">
        <v>208</v>
      </c>
      <c r="B18" s="118">
        <v>0</v>
      </c>
      <c r="C18" s="118">
        <v>0</v>
      </c>
      <c r="D18" s="118">
        <v>0</v>
      </c>
      <c r="E18" s="118">
        <v>0</v>
      </c>
      <c r="F18" s="118">
        <v>0</v>
      </c>
      <c r="G18" s="118">
        <v>0</v>
      </c>
      <c r="H18" s="118">
        <v>0</v>
      </c>
      <c r="I18" s="118">
        <v>0</v>
      </c>
      <c r="J18" s="118">
        <v>0</v>
      </c>
      <c r="K18" s="118">
        <v>0</v>
      </c>
      <c r="L18" s="118">
        <v>0</v>
      </c>
      <c r="M18" s="118">
        <v>0</v>
      </c>
      <c r="N18" s="118">
        <v>0</v>
      </c>
      <c r="O18" s="118">
        <v>0</v>
      </c>
      <c r="P18" s="118">
        <v>0</v>
      </c>
      <c r="Q18" s="118">
        <v>0</v>
      </c>
      <c r="R18" s="118">
        <v>0</v>
      </c>
    </row>
    <row r="19" spans="1:18" customFormat="1" x14ac:dyDescent="0.15">
      <c r="A19" s="140" t="s">
        <v>210</v>
      </c>
      <c r="B19" s="118">
        <v>0.5</v>
      </c>
      <c r="C19" s="118">
        <v>0</v>
      </c>
      <c r="D19" s="118">
        <v>0</v>
      </c>
      <c r="E19" s="118">
        <v>0</v>
      </c>
      <c r="F19" s="118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118">
        <v>0</v>
      </c>
      <c r="M19" s="118">
        <v>0</v>
      </c>
      <c r="N19" s="118">
        <v>0</v>
      </c>
      <c r="O19" s="118">
        <v>0</v>
      </c>
      <c r="P19" s="118">
        <v>0</v>
      </c>
      <c r="Q19" s="118">
        <v>0</v>
      </c>
      <c r="R19" s="118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9" customWidth="1"/>
    <col min="5" max="6" width="2.33203125" style="88" bestFit="1" customWidth="1"/>
    <col min="7" max="8" width="8.83203125" style="89"/>
  </cols>
  <sheetData>
    <row r="1" spans="1:8" ht="70" x14ac:dyDescent="0.15">
      <c r="A1" s="5" t="s">
        <v>20</v>
      </c>
      <c r="B1" s="1" t="s">
        <v>0</v>
      </c>
      <c r="C1" s="143" t="s">
        <v>207</v>
      </c>
      <c r="D1" s="143" t="s">
        <v>208</v>
      </c>
      <c r="E1" s="143" t="s">
        <v>211</v>
      </c>
      <c r="F1" s="143" t="s">
        <v>212</v>
      </c>
      <c r="G1"/>
      <c r="H1"/>
    </row>
    <row r="2" spans="1:8" x14ac:dyDescent="0.15">
      <c r="A2">
        <v>1</v>
      </c>
      <c r="B2" s="142" t="s">
        <v>192</v>
      </c>
      <c r="C2" s="89">
        <v>1</v>
      </c>
      <c r="D2" s="89">
        <v>0</v>
      </c>
      <c r="E2" s="88">
        <v>0</v>
      </c>
      <c r="F2" s="88">
        <v>1</v>
      </c>
      <c r="G2"/>
      <c r="H2"/>
    </row>
    <row r="3" spans="1:8" x14ac:dyDescent="0.15">
      <c r="A3">
        <v>2</v>
      </c>
      <c r="B3" s="142" t="s">
        <v>193</v>
      </c>
      <c r="C3" s="89">
        <v>1</v>
      </c>
      <c r="D3" s="89">
        <v>0</v>
      </c>
      <c r="E3" s="88">
        <v>0</v>
      </c>
      <c r="F3" s="88">
        <v>1</v>
      </c>
      <c r="G3"/>
      <c r="H3"/>
    </row>
    <row r="4" spans="1:8" x14ac:dyDescent="0.15">
      <c r="A4">
        <v>3</v>
      </c>
      <c r="B4" s="142" t="s">
        <v>194</v>
      </c>
      <c r="C4" s="89">
        <v>1</v>
      </c>
      <c r="D4" s="89">
        <v>0</v>
      </c>
      <c r="E4" s="88">
        <v>0</v>
      </c>
      <c r="F4" s="88">
        <v>1</v>
      </c>
      <c r="G4"/>
      <c r="H4"/>
    </row>
    <row r="5" spans="1:8" x14ac:dyDescent="0.15">
      <c r="A5">
        <v>4</v>
      </c>
      <c r="B5" s="142" t="s">
        <v>195</v>
      </c>
      <c r="C5" s="89">
        <v>1</v>
      </c>
      <c r="D5" s="89">
        <v>0</v>
      </c>
      <c r="E5" s="88">
        <v>0</v>
      </c>
      <c r="F5" s="88">
        <v>1</v>
      </c>
      <c r="G5"/>
      <c r="H5"/>
    </row>
    <row r="6" spans="1:8" x14ac:dyDescent="0.15">
      <c r="A6">
        <v>5</v>
      </c>
      <c r="B6" s="142" t="s">
        <v>196</v>
      </c>
      <c r="C6" s="89">
        <v>1</v>
      </c>
      <c r="D6" s="89">
        <v>0</v>
      </c>
      <c r="E6" s="88">
        <v>0</v>
      </c>
      <c r="F6" s="88">
        <v>1</v>
      </c>
      <c r="G6"/>
      <c r="H6"/>
    </row>
    <row r="7" spans="1:8" x14ac:dyDescent="0.15">
      <c r="A7">
        <v>6</v>
      </c>
      <c r="B7" s="142" t="s">
        <v>197</v>
      </c>
      <c r="C7" s="89">
        <v>1</v>
      </c>
      <c r="D7" s="89">
        <v>0</v>
      </c>
      <c r="E7" s="88">
        <v>0</v>
      </c>
      <c r="F7" s="88">
        <v>1</v>
      </c>
      <c r="G7"/>
      <c r="H7"/>
    </row>
    <row r="8" spans="1:8" x14ac:dyDescent="0.15">
      <c r="A8">
        <v>7</v>
      </c>
      <c r="B8" s="142" t="s">
        <v>198</v>
      </c>
      <c r="C8" s="89">
        <v>1</v>
      </c>
      <c r="D8" s="89">
        <v>0</v>
      </c>
      <c r="E8" s="88">
        <v>0</v>
      </c>
      <c r="F8" s="88">
        <v>1</v>
      </c>
      <c r="G8"/>
      <c r="H8"/>
    </row>
    <row r="9" spans="1:8" x14ac:dyDescent="0.15">
      <c r="A9">
        <v>8</v>
      </c>
      <c r="B9" s="142" t="s">
        <v>199</v>
      </c>
      <c r="C9" s="89">
        <v>1</v>
      </c>
      <c r="D9" s="89">
        <v>0</v>
      </c>
      <c r="E9" s="88">
        <v>0</v>
      </c>
      <c r="F9" s="88">
        <v>1</v>
      </c>
      <c r="G9"/>
      <c r="H9"/>
    </row>
    <row r="10" spans="1:8" x14ac:dyDescent="0.15">
      <c r="A10">
        <v>9</v>
      </c>
      <c r="B10" s="142" t="s">
        <v>200</v>
      </c>
      <c r="C10" s="89">
        <v>1</v>
      </c>
      <c r="D10" s="89">
        <v>0</v>
      </c>
      <c r="E10" s="88">
        <v>0</v>
      </c>
      <c r="F10" s="88">
        <v>1</v>
      </c>
      <c r="G10"/>
      <c r="H10"/>
    </row>
    <row r="11" spans="1:8" x14ac:dyDescent="0.15">
      <c r="A11">
        <v>10</v>
      </c>
      <c r="B11" s="142" t="s">
        <v>201</v>
      </c>
      <c r="C11" s="89">
        <v>1</v>
      </c>
      <c r="D11" s="89">
        <v>0</v>
      </c>
      <c r="E11" s="88">
        <v>0</v>
      </c>
      <c r="F11" s="88">
        <v>1</v>
      </c>
      <c r="G11"/>
      <c r="H11"/>
    </row>
    <row r="12" spans="1:8" x14ac:dyDescent="0.15">
      <c r="A12">
        <v>11</v>
      </c>
      <c r="B12" s="142" t="s">
        <v>202</v>
      </c>
      <c r="C12" s="89">
        <v>1</v>
      </c>
      <c r="D12" s="89">
        <v>0</v>
      </c>
      <c r="E12" s="88">
        <v>0</v>
      </c>
      <c r="F12" s="88">
        <v>1</v>
      </c>
      <c r="G12"/>
      <c r="H12"/>
    </row>
    <row r="13" spans="1:8" x14ac:dyDescent="0.15">
      <c r="A13">
        <v>12</v>
      </c>
      <c r="B13" s="142" t="s">
        <v>203</v>
      </c>
      <c r="C13" s="89">
        <v>1</v>
      </c>
      <c r="D13" s="89">
        <v>0</v>
      </c>
      <c r="E13" s="88">
        <v>0</v>
      </c>
      <c r="F13" s="88">
        <v>1</v>
      </c>
      <c r="G13"/>
      <c r="H13"/>
    </row>
    <row r="14" spans="1:8" x14ac:dyDescent="0.15">
      <c r="A14">
        <v>13</v>
      </c>
      <c r="B14" s="142" t="s">
        <v>204</v>
      </c>
      <c r="C14" s="89">
        <v>1</v>
      </c>
      <c r="D14" s="89">
        <v>0</v>
      </c>
      <c r="E14" s="88">
        <v>0</v>
      </c>
      <c r="F14" s="88">
        <v>1</v>
      </c>
      <c r="G14"/>
      <c r="H14"/>
    </row>
    <row r="15" spans="1:8" x14ac:dyDescent="0.15">
      <c r="A15">
        <v>14</v>
      </c>
      <c r="B15" s="142" t="s">
        <v>205</v>
      </c>
      <c r="C15" s="89">
        <v>1</v>
      </c>
      <c r="D15" s="89">
        <v>0</v>
      </c>
      <c r="E15" s="88">
        <v>0</v>
      </c>
      <c r="F15" s="88">
        <v>1</v>
      </c>
      <c r="G15"/>
      <c r="H15"/>
    </row>
    <row r="16" spans="1:8" x14ac:dyDescent="0.15">
      <c r="A16">
        <v>15</v>
      </c>
      <c r="B16" s="142" t="s">
        <v>206</v>
      </c>
      <c r="C16" s="89">
        <v>1</v>
      </c>
      <c r="D16" s="89">
        <v>0</v>
      </c>
      <c r="E16" s="88">
        <v>0</v>
      </c>
      <c r="F16" s="88">
        <v>1</v>
      </c>
      <c r="G16"/>
      <c r="H16"/>
    </row>
    <row r="17" spans="1:8" ht="15" customHeight="1" x14ac:dyDescent="0.15">
      <c r="A17">
        <v>16</v>
      </c>
      <c r="B17" s="142" t="s">
        <v>207</v>
      </c>
      <c r="C17" s="89">
        <v>0</v>
      </c>
      <c r="D17" s="89">
        <v>1</v>
      </c>
      <c r="E17" s="88">
        <v>0</v>
      </c>
      <c r="F17" s="88">
        <v>1</v>
      </c>
      <c r="G17"/>
      <c r="H17"/>
    </row>
    <row r="18" spans="1:8" ht="15" customHeight="1" x14ac:dyDescent="0.15">
      <c r="A18">
        <v>17</v>
      </c>
      <c r="B18" s="142" t="s">
        <v>208</v>
      </c>
      <c r="C18" s="89">
        <v>0</v>
      </c>
      <c r="D18" s="89">
        <v>0</v>
      </c>
      <c r="E18" s="88">
        <v>1</v>
      </c>
      <c r="F18" s="88">
        <v>1</v>
      </c>
      <c r="G18"/>
      <c r="H18"/>
    </row>
    <row r="19" spans="1:8" ht="15" customHeight="1" x14ac:dyDescent="0.15">
      <c r="A19">
        <v>18</v>
      </c>
      <c r="B19" s="142" t="s">
        <v>209</v>
      </c>
      <c r="C19" s="89">
        <v>0</v>
      </c>
      <c r="D19" s="89">
        <v>1</v>
      </c>
      <c r="E19" s="88">
        <v>0</v>
      </c>
      <c r="F19" s="88">
        <v>1</v>
      </c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9"/>
      <c r="F36" s="89"/>
      <c r="G36"/>
      <c r="H36"/>
    </row>
    <row r="37" spans="3:8" ht="15" customHeight="1" x14ac:dyDescent="0.15">
      <c r="C37"/>
      <c r="D37"/>
      <c r="E37" s="89"/>
      <c r="F37" s="89"/>
      <c r="G37"/>
      <c r="H37"/>
    </row>
    <row r="38" spans="3:8" ht="15" customHeight="1" x14ac:dyDescent="0.15">
      <c r="C38"/>
      <c r="D38"/>
      <c r="E38" s="89"/>
      <c r="F38" s="89"/>
      <c r="G38"/>
      <c r="H38"/>
    </row>
    <row r="39" spans="3:8" ht="15" customHeight="1" x14ac:dyDescent="0.15">
      <c r="C39"/>
      <c r="D39"/>
      <c r="E39" s="89"/>
      <c r="F39" s="89"/>
      <c r="G39"/>
      <c r="H39"/>
    </row>
    <row r="40" spans="3:8" ht="15" customHeight="1" x14ac:dyDescent="0.15">
      <c r="C40"/>
      <c r="D40"/>
      <c r="E40" s="89"/>
      <c r="F40" s="89"/>
      <c r="G40"/>
      <c r="H40"/>
    </row>
    <row r="41" spans="3:8" ht="15" customHeight="1" x14ac:dyDescent="0.15">
      <c r="C41"/>
      <c r="D41"/>
      <c r="E41" s="89"/>
      <c r="F41" s="89"/>
      <c r="G41"/>
      <c r="H41"/>
    </row>
    <row r="42" spans="3:8" ht="15" customHeight="1" x14ac:dyDescent="0.15">
      <c r="C42"/>
      <c r="D42"/>
      <c r="E42" s="89"/>
      <c r="F42" s="89"/>
      <c r="G42"/>
      <c r="H42"/>
    </row>
    <row r="43" spans="3:8" ht="15" customHeight="1" x14ac:dyDescent="0.15">
      <c r="C43"/>
      <c r="D43"/>
      <c r="E43" s="89"/>
      <c r="F43" s="89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9"/>
      <c r="F46" s="89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4" width="5.83203125" bestFit="1" customWidth="1"/>
    <col min="5" max="5" width="12.1640625" bestFit="1" customWidth="1"/>
  </cols>
  <sheetData>
    <row r="1" spans="1:5" s="90" customFormat="1" ht="112" x14ac:dyDescent="0.15">
      <c r="A1" s="5" t="s">
        <v>21</v>
      </c>
      <c r="B1" s="3" t="s">
        <v>0</v>
      </c>
      <c r="C1" s="145" t="s">
        <v>209</v>
      </c>
      <c r="D1" s="145" t="s">
        <v>213</v>
      </c>
      <c r="E1"/>
    </row>
    <row r="2" spans="1:5" ht="15" customHeight="1" x14ac:dyDescent="0.15">
      <c r="A2">
        <v>1</v>
      </c>
      <c r="B2" s="144" t="s">
        <v>192</v>
      </c>
      <c r="C2">
        <v>4.5999999999999999E-2</v>
      </c>
      <c r="D2">
        <v>4.5999999999999999E-2</v>
      </c>
    </row>
    <row r="3" spans="1:5" ht="15" customHeight="1" x14ac:dyDescent="0.15">
      <c r="A3">
        <v>2</v>
      </c>
      <c r="B3" s="144" t="s">
        <v>193</v>
      </c>
      <c r="C3">
        <v>1.2E-2</v>
      </c>
      <c r="D3">
        <v>1.2E-2</v>
      </c>
    </row>
    <row r="4" spans="1:5" ht="15" customHeight="1" x14ac:dyDescent="0.15">
      <c r="A4">
        <v>3</v>
      </c>
      <c r="B4" s="144" t="s">
        <v>194</v>
      </c>
      <c r="C4">
        <v>4.8000000000000001E-2</v>
      </c>
      <c r="D4">
        <v>4.8000000000000001E-2</v>
      </c>
    </row>
    <row r="5" spans="1:5" ht="15" customHeight="1" x14ac:dyDescent="0.15">
      <c r="A5">
        <v>4</v>
      </c>
      <c r="B5" s="144" t="s">
        <v>195</v>
      </c>
      <c r="C5">
        <v>1.6E-2</v>
      </c>
      <c r="D5">
        <v>1.6E-2</v>
      </c>
    </row>
    <row r="6" spans="1:5" ht="15" customHeight="1" x14ac:dyDescent="0.15">
      <c r="A6">
        <v>5</v>
      </c>
      <c r="B6" s="144" t="s">
        <v>196</v>
      </c>
      <c r="C6">
        <v>0.57699999999999996</v>
      </c>
      <c r="D6">
        <v>0.57699999999999996</v>
      </c>
    </row>
    <row r="7" spans="1:5" ht="15" customHeight="1" x14ac:dyDescent="0.15">
      <c r="A7">
        <v>6</v>
      </c>
      <c r="B7" s="144" t="s">
        <v>197</v>
      </c>
      <c r="C7">
        <v>2.1999999999999999E-2</v>
      </c>
      <c r="D7">
        <v>2.1999999999999999E-2</v>
      </c>
    </row>
    <row r="8" spans="1:5" ht="15" customHeight="1" x14ac:dyDescent="0.15">
      <c r="A8">
        <v>7</v>
      </c>
      <c r="B8" s="144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4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4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4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4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4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44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4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44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44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44" t="s">
        <v>208</v>
      </c>
      <c r="C18">
        <v>0</v>
      </c>
      <c r="D18">
        <v>0</v>
      </c>
    </row>
    <row r="19" spans="1:4" ht="15" customHeight="1" x14ac:dyDescent="0.15"/>
    <row r="20" spans="1:4" ht="15" customHeight="1" x14ac:dyDescent="0.15"/>
    <row r="21" spans="1:4" ht="15" customHeight="1" x14ac:dyDescent="0.15"/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4" width="2.33203125" bestFit="1" customWidth="1"/>
    <col min="5" max="5" width="12.1640625" bestFit="1" customWidth="1"/>
  </cols>
  <sheetData>
    <row r="1" spans="1:4" s="90" customFormat="1" ht="112" x14ac:dyDescent="0.15">
      <c r="A1" s="5" t="s">
        <v>22</v>
      </c>
      <c r="B1" s="3" t="s">
        <v>0</v>
      </c>
      <c r="C1" s="147" t="s">
        <v>209</v>
      </c>
      <c r="D1" s="147" t="s">
        <v>213</v>
      </c>
    </row>
    <row r="2" spans="1:4" x14ac:dyDescent="0.15">
      <c r="A2">
        <v>1</v>
      </c>
      <c r="B2" s="146" t="s">
        <v>192</v>
      </c>
      <c r="C2">
        <v>0</v>
      </c>
      <c r="D2">
        <v>0</v>
      </c>
    </row>
    <row r="3" spans="1:4" x14ac:dyDescent="0.15">
      <c r="A3">
        <v>2</v>
      </c>
      <c r="B3" s="146" t="s">
        <v>193</v>
      </c>
      <c r="C3">
        <v>0</v>
      </c>
      <c r="D3">
        <v>0</v>
      </c>
    </row>
    <row r="4" spans="1:4" x14ac:dyDescent="0.15">
      <c r="A4">
        <v>3</v>
      </c>
      <c r="B4" s="146" t="s">
        <v>194</v>
      </c>
      <c r="C4">
        <v>0</v>
      </c>
      <c r="D4">
        <v>0</v>
      </c>
    </row>
    <row r="5" spans="1:4" x14ac:dyDescent="0.15">
      <c r="A5">
        <v>4</v>
      </c>
      <c r="B5" s="146" t="s">
        <v>195</v>
      </c>
      <c r="C5">
        <v>0</v>
      </c>
      <c r="D5">
        <v>0</v>
      </c>
    </row>
    <row r="6" spans="1:4" x14ac:dyDescent="0.15">
      <c r="A6">
        <v>5</v>
      </c>
      <c r="B6" s="146" t="s">
        <v>196</v>
      </c>
      <c r="C6">
        <v>0</v>
      </c>
      <c r="D6">
        <v>0</v>
      </c>
    </row>
    <row r="7" spans="1:4" x14ac:dyDescent="0.15">
      <c r="A7">
        <v>6</v>
      </c>
      <c r="B7" s="146" t="s">
        <v>197</v>
      </c>
      <c r="C7">
        <v>0</v>
      </c>
      <c r="D7">
        <v>0</v>
      </c>
    </row>
    <row r="8" spans="1:4" x14ac:dyDescent="0.15">
      <c r="A8">
        <v>7</v>
      </c>
      <c r="B8" s="146" t="s">
        <v>198</v>
      </c>
      <c r="C8">
        <v>0</v>
      </c>
      <c r="D8">
        <v>0</v>
      </c>
    </row>
    <row r="9" spans="1:4" x14ac:dyDescent="0.15">
      <c r="A9">
        <v>8</v>
      </c>
      <c r="B9" s="146" t="s">
        <v>199</v>
      </c>
      <c r="C9">
        <v>0</v>
      </c>
      <c r="D9">
        <v>0</v>
      </c>
    </row>
    <row r="10" spans="1:4" x14ac:dyDescent="0.15">
      <c r="A10">
        <v>9</v>
      </c>
      <c r="B10" s="146" t="s">
        <v>200</v>
      </c>
      <c r="C10">
        <v>0</v>
      </c>
      <c r="D10">
        <v>0</v>
      </c>
    </row>
    <row r="11" spans="1:4" x14ac:dyDescent="0.15">
      <c r="A11">
        <v>10</v>
      </c>
      <c r="B11" s="146" t="s">
        <v>201</v>
      </c>
      <c r="C11">
        <v>0</v>
      </c>
      <c r="D11">
        <v>0</v>
      </c>
    </row>
    <row r="12" spans="1:4" x14ac:dyDescent="0.15">
      <c r="A12">
        <v>11</v>
      </c>
      <c r="B12" s="146" t="s">
        <v>202</v>
      </c>
      <c r="C12">
        <v>0</v>
      </c>
      <c r="D12">
        <v>0</v>
      </c>
    </row>
    <row r="13" spans="1:4" x14ac:dyDescent="0.15">
      <c r="A13">
        <v>12</v>
      </c>
      <c r="B13" s="146" t="s">
        <v>203</v>
      </c>
      <c r="C13">
        <v>0</v>
      </c>
      <c r="D13">
        <v>0</v>
      </c>
    </row>
    <row r="14" spans="1:4" x14ac:dyDescent="0.15">
      <c r="A14">
        <v>13</v>
      </c>
      <c r="B14" s="146" t="s">
        <v>204</v>
      </c>
      <c r="C14">
        <v>0</v>
      </c>
      <c r="D14">
        <v>0</v>
      </c>
    </row>
    <row r="15" spans="1:4" x14ac:dyDescent="0.15">
      <c r="A15">
        <v>14</v>
      </c>
      <c r="B15" s="146" t="s">
        <v>205</v>
      </c>
      <c r="C15">
        <v>0</v>
      </c>
      <c r="D15">
        <v>0</v>
      </c>
    </row>
    <row r="16" spans="1:4" x14ac:dyDescent="0.15">
      <c r="A16">
        <v>15</v>
      </c>
      <c r="B16" s="146" t="s">
        <v>206</v>
      </c>
      <c r="C16">
        <v>0</v>
      </c>
      <c r="D16">
        <v>0</v>
      </c>
    </row>
    <row r="17" spans="1:4" x14ac:dyDescent="0.15">
      <c r="A17">
        <v>16</v>
      </c>
      <c r="B17" s="146" t="s">
        <v>207</v>
      </c>
      <c r="C17">
        <v>0</v>
      </c>
      <c r="D17">
        <v>0</v>
      </c>
    </row>
    <row r="18" spans="1:4" x14ac:dyDescent="0.15">
      <c r="A18">
        <v>17</v>
      </c>
      <c r="B18" s="146" t="s">
        <v>208</v>
      </c>
      <c r="C18">
        <v>0</v>
      </c>
      <c r="D1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8.5" bestFit="1" customWidth="1"/>
    <col min="6" max="6" width="4.83203125" bestFit="1" customWidth="1"/>
    <col min="7" max="9" width="3.83203125" bestFit="1" customWidth="1"/>
    <col min="10" max="11" width="4.83203125" style="8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1" customFormat="1" ht="14" thickBot="1" x14ac:dyDescent="0.2">
      <c r="D1" s="92" t="s">
        <v>8</v>
      </c>
      <c r="E1" s="92" t="s">
        <v>0</v>
      </c>
      <c r="F1" s="93" t="s">
        <v>99</v>
      </c>
      <c r="G1" s="94" t="s">
        <v>84</v>
      </c>
      <c r="H1" s="94" t="s">
        <v>85</v>
      </c>
      <c r="I1" s="94" t="s">
        <v>86</v>
      </c>
      <c r="J1" s="94" t="s">
        <v>87</v>
      </c>
      <c r="K1" s="94" t="s">
        <v>88</v>
      </c>
      <c r="L1" s="95" t="s">
        <v>89</v>
      </c>
      <c r="M1" s="95" t="s">
        <v>93</v>
      </c>
      <c r="N1" s="95" t="s">
        <v>92</v>
      </c>
      <c r="O1" s="95" t="s">
        <v>90</v>
      </c>
      <c r="P1" s="95" t="s">
        <v>91</v>
      </c>
      <c r="Q1" s="96" t="s">
        <v>94</v>
      </c>
      <c r="R1" s="96" t="s">
        <v>95</v>
      </c>
      <c r="S1" s="96" t="s">
        <v>96</v>
      </c>
      <c r="T1" s="96" t="s">
        <v>97</v>
      </c>
      <c r="U1" s="96" t="s">
        <v>98</v>
      </c>
      <c r="V1" s="94" t="s">
        <v>100</v>
      </c>
      <c r="W1" s="94" t="s">
        <v>101</v>
      </c>
      <c r="X1" s="94" t="s">
        <v>102</v>
      </c>
      <c r="Y1" s="94" t="s">
        <v>134</v>
      </c>
      <c r="Z1" s="95" t="s">
        <v>103</v>
      </c>
      <c r="AA1" s="95" t="s">
        <v>104</v>
      </c>
      <c r="AB1" s="95" t="s">
        <v>105</v>
      </c>
      <c r="AC1" s="97" t="s">
        <v>135</v>
      </c>
      <c r="AD1" s="96" t="s">
        <v>106</v>
      </c>
      <c r="AE1" s="96" t="s">
        <v>107</v>
      </c>
      <c r="AF1" s="96" t="s">
        <v>108</v>
      </c>
      <c r="AG1" s="96" t="s">
        <v>136</v>
      </c>
      <c r="AH1" s="94" t="s">
        <v>109</v>
      </c>
      <c r="AI1" s="94" t="s">
        <v>111</v>
      </c>
      <c r="AJ1" s="94" t="s">
        <v>110</v>
      </c>
      <c r="AK1" s="95" t="s">
        <v>115</v>
      </c>
      <c r="AL1" s="95" t="s">
        <v>116</v>
      </c>
      <c r="AM1" s="95" t="s">
        <v>117</v>
      </c>
      <c r="AN1" s="96" t="s">
        <v>112</v>
      </c>
      <c r="AO1" s="96" t="s">
        <v>113</v>
      </c>
      <c r="AP1" s="96" t="s">
        <v>114</v>
      </c>
    </row>
    <row r="2" spans="1:42" x14ac:dyDescent="0.15">
      <c r="A2" s="98" t="s">
        <v>74</v>
      </c>
      <c r="B2" s="99">
        <v>1</v>
      </c>
      <c r="D2">
        <v>1</v>
      </c>
      <c r="E2" s="148" t="s">
        <v>192</v>
      </c>
      <c r="F2">
        <v>0.98</v>
      </c>
      <c r="G2">
        <v>0.8</v>
      </c>
      <c r="H2">
        <v>0.8</v>
      </c>
      <c r="I2">
        <v>0.8</v>
      </c>
      <c r="J2" s="89">
        <v>0.25</v>
      </c>
      <c r="K2" s="89">
        <v>0.05</v>
      </c>
    </row>
    <row r="3" spans="1:42" x14ac:dyDescent="0.15">
      <c r="A3" s="98" t="s">
        <v>75</v>
      </c>
      <c r="B3" s="100">
        <v>1</v>
      </c>
      <c r="D3">
        <v>2</v>
      </c>
      <c r="E3" s="148" t="s">
        <v>193</v>
      </c>
      <c r="F3">
        <v>0.98</v>
      </c>
      <c r="G3">
        <v>0.8</v>
      </c>
      <c r="H3">
        <v>0.8</v>
      </c>
      <c r="I3">
        <v>0.8</v>
      </c>
      <c r="J3" s="89">
        <v>0.25</v>
      </c>
      <c r="K3" s="89">
        <v>0.05</v>
      </c>
    </row>
    <row r="4" spans="1:42" x14ac:dyDescent="0.15">
      <c r="A4" s="98" t="s">
        <v>76</v>
      </c>
      <c r="B4" s="100">
        <v>1</v>
      </c>
      <c r="D4">
        <v>3</v>
      </c>
      <c r="E4" s="148" t="s">
        <v>194</v>
      </c>
      <c r="F4">
        <v>0.98</v>
      </c>
      <c r="G4">
        <v>0.8</v>
      </c>
      <c r="H4">
        <v>0.8</v>
      </c>
      <c r="I4">
        <v>0.8</v>
      </c>
      <c r="J4" s="89">
        <v>0.25</v>
      </c>
      <c r="K4" s="89">
        <v>0.05</v>
      </c>
    </row>
    <row r="5" spans="1:42" x14ac:dyDescent="0.15">
      <c r="A5" s="98" t="s">
        <v>77</v>
      </c>
      <c r="B5" s="100">
        <v>1</v>
      </c>
      <c r="D5">
        <v>4</v>
      </c>
      <c r="E5" s="148" t="s">
        <v>195</v>
      </c>
      <c r="F5">
        <v>0.98</v>
      </c>
      <c r="G5">
        <v>0.8</v>
      </c>
      <c r="H5">
        <v>0.8</v>
      </c>
      <c r="I5">
        <v>0.8</v>
      </c>
      <c r="J5" s="89">
        <v>0.25</v>
      </c>
      <c r="K5" s="89">
        <v>0.05</v>
      </c>
    </row>
    <row r="6" spans="1:42" x14ac:dyDescent="0.15">
      <c r="A6" s="98" t="s">
        <v>78</v>
      </c>
      <c r="B6" s="100">
        <v>1</v>
      </c>
      <c r="D6">
        <v>5</v>
      </c>
      <c r="E6" s="148" t="s">
        <v>196</v>
      </c>
      <c r="F6">
        <v>0.98</v>
      </c>
      <c r="G6">
        <v>0.8</v>
      </c>
      <c r="H6">
        <v>0.8</v>
      </c>
      <c r="I6">
        <v>0.8</v>
      </c>
      <c r="J6" s="89">
        <v>0.25</v>
      </c>
      <c r="K6" s="89">
        <v>0.05</v>
      </c>
    </row>
    <row r="7" spans="1:42" x14ac:dyDescent="0.15">
      <c r="A7" s="98" t="s">
        <v>79</v>
      </c>
      <c r="B7" s="100">
        <v>1</v>
      </c>
      <c r="D7">
        <v>6</v>
      </c>
      <c r="E7" s="148" t="s">
        <v>197</v>
      </c>
      <c r="F7">
        <v>0.98</v>
      </c>
      <c r="G7">
        <v>0.8</v>
      </c>
      <c r="H7">
        <v>0.8</v>
      </c>
      <c r="I7">
        <v>0.8</v>
      </c>
      <c r="J7" s="89">
        <v>0.25</v>
      </c>
      <c r="K7" s="89">
        <v>0.05</v>
      </c>
    </row>
    <row r="8" spans="1:42" x14ac:dyDescent="0.15">
      <c r="A8" s="98" t="s">
        <v>80</v>
      </c>
      <c r="B8" s="100">
        <v>1</v>
      </c>
      <c r="D8">
        <v>7</v>
      </c>
      <c r="E8" s="148" t="s">
        <v>198</v>
      </c>
      <c r="F8">
        <v>0.98</v>
      </c>
      <c r="G8">
        <v>0.8</v>
      </c>
      <c r="H8">
        <v>0.8</v>
      </c>
      <c r="I8">
        <v>0.8</v>
      </c>
      <c r="J8" s="89">
        <v>0.25</v>
      </c>
      <c r="K8" s="89">
        <v>0.05</v>
      </c>
    </row>
    <row r="9" spans="1:42" x14ac:dyDescent="0.15">
      <c r="A9" s="98" t="s">
        <v>81</v>
      </c>
      <c r="B9" s="100">
        <v>0.1</v>
      </c>
      <c r="C9" s="50" t="s">
        <v>150</v>
      </c>
      <c r="D9">
        <v>8</v>
      </c>
      <c r="E9" s="148" t="s">
        <v>199</v>
      </c>
      <c r="F9">
        <v>0.98</v>
      </c>
      <c r="G9">
        <v>0.8</v>
      </c>
      <c r="H9">
        <v>0.8</v>
      </c>
      <c r="I9">
        <v>0.8</v>
      </c>
      <c r="J9" s="89">
        <v>0.25</v>
      </c>
      <c r="K9" s="89">
        <v>0.05</v>
      </c>
    </row>
    <row r="10" spans="1:42" ht="14" thickBot="1" x14ac:dyDescent="0.2">
      <c r="A10" s="98" t="s">
        <v>149</v>
      </c>
      <c r="B10" s="101">
        <f>1/3</f>
        <v>0.33333333333333331</v>
      </c>
      <c r="C10" s="50" t="s">
        <v>150</v>
      </c>
      <c r="D10">
        <v>9</v>
      </c>
      <c r="E10" s="148" t="s">
        <v>200</v>
      </c>
      <c r="F10">
        <v>0.98</v>
      </c>
      <c r="G10">
        <v>0.8</v>
      </c>
      <c r="H10">
        <v>0.8</v>
      </c>
      <c r="I10">
        <v>0.8</v>
      </c>
      <c r="J10" s="89">
        <v>0.25</v>
      </c>
      <c r="K10" s="89">
        <v>0.05</v>
      </c>
    </row>
    <row r="11" spans="1:42" x14ac:dyDescent="0.15">
      <c r="D11">
        <v>10</v>
      </c>
      <c r="E11" s="148" t="s">
        <v>201</v>
      </c>
      <c r="F11">
        <v>0.98</v>
      </c>
      <c r="G11">
        <v>0.8</v>
      </c>
      <c r="H11">
        <v>0.8</v>
      </c>
      <c r="I11">
        <v>0.8</v>
      </c>
      <c r="J11" s="89">
        <v>0.25</v>
      </c>
      <c r="K11" s="89">
        <v>0.05</v>
      </c>
    </row>
    <row r="12" spans="1:42" x14ac:dyDescent="0.15">
      <c r="D12">
        <v>11</v>
      </c>
      <c r="E12" s="148" t="s">
        <v>202</v>
      </c>
      <c r="F12">
        <v>0.98</v>
      </c>
      <c r="G12">
        <v>0.8</v>
      </c>
      <c r="H12">
        <v>0.8</v>
      </c>
      <c r="I12">
        <v>0.8</v>
      </c>
      <c r="J12" s="89">
        <v>0.25</v>
      </c>
      <c r="K12" s="89">
        <v>0.05</v>
      </c>
    </row>
    <row r="13" spans="1:42" x14ac:dyDescent="0.15">
      <c r="D13">
        <v>12</v>
      </c>
      <c r="E13" s="148" t="s">
        <v>203</v>
      </c>
      <c r="F13">
        <v>0.98</v>
      </c>
      <c r="G13">
        <v>0.8</v>
      </c>
      <c r="H13">
        <v>0.8</v>
      </c>
      <c r="I13">
        <v>0.8</v>
      </c>
      <c r="J13" s="89">
        <v>0.25</v>
      </c>
      <c r="K13" s="89">
        <v>0.05</v>
      </c>
    </row>
    <row r="14" spans="1:42" x14ac:dyDescent="0.15">
      <c r="D14">
        <v>13</v>
      </c>
      <c r="E14" s="148" t="s">
        <v>204</v>
      </c>
      <c r="F14">
        <v>0.98</v>
      </c>
      <c r="G14">
        <v>0.8</v>
      </c>
      <c r="H14">
        <v>0.8</v>
      </c>
      <c r="I14">
        <v>0.8</v>
      </c>
      <c r="J14" s="89">
        <v>0.25</v>
      </c>
      <c r="K14" s="89">
        <v>0.05</v>
      </c>
    </row>
    <row r="15" spans="1:42" x14ac:dyDescent="0.15">
      <c r="D15">
        <v>14</v>
      </c>
      <c r="E15" s="148" t="s">
        <v>205</v>
      </c>
      <c r="F15">
        <v>0.98</v>
      </c>
      <c r="G15">
        <v>0.8</v>
      </c>
      <c r="H15">
        <v>0.8</v>
      </c>
      <c r="I15">
        <v>0.8</v>
      </c>
      <c r="J15" s="89">
        <v>0.25</v>
      </c>
      <c r="K15" s="89">
        <v>0.05</v>
      </c>
    </row>
    <row r="16" spans="1:42" x14ac:dyDescent="0.15">
      <c r="D16">
        <v>15</v>
      </c>
      <c r="E16" s="148" t="s">
        <v>206</v>
      </c>
      <c r="F16">
        <v>0.98</v>
      </c>
      <c r="G16">
        <v>0.8</v>
      </c>
      <c r="H16">
        <v>0.8</v>
      </c>
      <c r="I16">
        <v>0</v>
      </c>
      <c r="J16" s="89">
        <v>0</v>
      </c>
      <c r="K16" s="89">
        <v>0</v>
      </c>
    </row>
    <row r="17" spans="4:33" ht="15" customHeight="1" x14ac:dyDescent="0.15">
      <c r="D17">
        <v>16</v>
      </c>
      <c r="E17" s="148" t="s">
        <v>207</v>
      </c>
      <c r="F17">
        <v>0.98</v>
      </c>
      <c r="G17">
        <v>0.8</v>
      </c>
      <c r="H17">
        <v>0</v>
      </c>
      <c r="I17">
        <v>0</v>
      </c>
      <c r="J17" s="89">
        <v>0</v>
      </c>
      <c r="K17" s="89">
        <v>0</v>
      </c>
    </row>
    <row r="18" spans="4:33" ht="15" customHeight="1" x14ac:dyDescent="0.15">
      <c r="D18">
        <v>17</v>
      </c>
      <c r="E18" s="148" t="s">
        <v>208</v>
      </c>
      <c r="F18">
        <v>0.98</v>
      </c>
      <c r="G18">
        <v>0.8</v>
      </c>
      <c r="H18">
        <v>0</v>
      </c>
      <c r="I18">
        <v>0</v>
      </c>
      <c r="J18" s="89">
        <v>0</v>
      </c>
      <c r="K18" s="89">
        <v>0</v>
      </c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7" bestFit="1" customWidth="1"/>
    <col min="2" max="15" width="3.83203125" style="87" customWidth="1"/>
    <col min="16" max="18" width="2.33203125" style="87" customWidth="1"/>
    <col min="19" max="16384" width="10.83203125" style="87"/>
  </cols>
  <sheetData>
    <row r="1" spans="1:30" x14ac:dyDescent="0.15">
      <c r="A1" s="52" t="s">
        <v>118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 s="150" t="s">
        <v>206</v>
      </c>
      <c r="Q1" s="150" t="s">
        <v>207</v>
      </c>
      <c r="R1" s="150" t="s">
        <v>208</v>
      </c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9" t="s">
        <v>192</v>
      </c>
      <c r="B2" s="87">
        <v>0</v>
      </c>
      <c r="C2" s="87">
        <v>0</v>
      </c>
      <c r="D2" s="87">
        <v>0</v>
      </c>
      <c r="E2" s="87">
        <v>0</v>
      </c>
      <c r="F2" s="87">
        <v>0</v>
      </c>
      <c r="G2" s="87">
        <v>0</v>
      </c>
      <c r="H2" s="87">
        <v>0</v>
      </c>
      <c r="I2" s="87">
        <v>0</v>
      </c>
      <c r="J2" s="87">
        <v>0</v>
      </c>
      <c r="K2" s="87">
        <v>0</v>
      </c>
      <c r="L2" s="87">
        <v>0</v>
      </c>
      <c r="M2" s="87">
        <v>0</v>
      </c>
      <c r="N2" s="87">
        <v>0</v>
      </c>
      <c r="O2" s="87">
        <v>0</v>
      </c>
      <c r="P2" s="87">
        <v>0</v>
      </c>
      <c r="Q2" s="87">
        <v>0</v>
      </c>
      <c r="R2" s="87">
        <v>0</v>
      </c>
    </row>
    <row r="3" spans="1:30" customFormat="1" x14ac:dyDescent="0.15">
      <c r="A3" s="149" t="s">
        <v>193</v>
      </c>
      <c r="B3" s="87">
        <v>0</v>
      </c>
      <c r="C3" s="87">
        <v>0</v>
      </c>
      <c r="D3" s="87">
        <v>0</v>
      </c>
      <c r="E3" s="87">
        <v>0</v>
      </c>
      <c r="F3" s="87">
        <v>0</v>
      </c>
      <c r="G3" s="87">
        <v>0</v>
      </c>
      <c r="H3" s="87">
        <v>0</v>
      </c>
      <c r="I3" s="87">
        <v>0</v>
      </c>
      <c r="J3" s="87">
        <v>0</v>
      </c>
      <c r="K3" s="87">
        <v>0</v>
      </c>
      <c r="L3" s="87">
        <v>0</v>
      </c>
      <c r="M3" s="87">
        <v>0</v>
      </c>
      <c r="N3" s="87">
        <v>0</v>
      </c>
      <c r="O3" s="87">
        <v>0</v>
      </c>
      <c r="P3" s="87">
        <v>0</v>
      </c>
      <c r="Q3" s="87">
        <v>0</v>
      </c>
      <c r="R3" s="87">
        <v>0</v>
      </c>
    </row>
    <row r="4" spans="1:30" customFormat="1" x14ac:dyDescent="0.15">
      <c r="A4" s="149" t="s">
        <v>194</v>
      </c>
      <c r="B4" s="87">
        <v>0.8</v>
      </c>
      <c r="C4" s="87">
        <v>0.8</v>
      </c>
      <c r="D4" s="87">
        <v>0.8</v>
      </c>
      <c r="E4" s="87">
        <v>0</v>
      </c>
      <c r="F4" s="87">
        <v>0</v>
      </c>
      <c r="G4" s="87">
        <v>0</v>
      </c>
      <c r="H4" s="87">
        <v>0</v>
      </c>
      <c r="I4" s="87">
        <v>0</v>
      </c>
      <c r="J4" s="87">
        <v>0</v>
      </c>
      <c r="K4" s="87">
        <v>0</v>
      </c>
      <c r="L4" s="87">
        <v>0</v>
      </c>
      <c r="M4" s="87">
        <v>0</v>
      </c>
      <c r="N4" s="87">
        <v>0</v>
      </c>
      <c r="O4" s="87">
        <v>0</v>
      </c>
      <c r="P4" s="87">
        <v>0</v>
      </c>
      <c r="Q4" s="87">
        <v>0</v>
      </c>
      <c r="R4" s="87">
        <v>0</v>
      </c>
    </row>
    <row r="5" spans="1:30" customFormat="1" x14ac:dyDescent="0.15">
      <c r="A5" s="149" t="s">
        <v>195</v>
      </c>
      <c r="B5" s="87">
        <v>0</v>
      </c>
      <c r="C5" s="87">
        <v>0</v>
      </c>
      <c r="D5" s="87">
        <v>0.8</v>
      </c>
      <c r="E5" s="87">
        <v>0</v>
      </c>
      <c r="F5" s="87">
        <v>0</v>
      </c>
      <c r="G5" s="87">
        <v>0</v>
      </c>
      <c r="H5" s="87">
        <v>0</v>
      </c>
      <c r="I5" s="87">
        <v>0</v>
      </c>
      <c r="J5" s="87">
        <v>0</v>
      </c>
      <c r="K5" s="87">
        <v>0</v>
      </c>
      <c r="L5" s="87">
        <v>0</v>
      </c>
      <c r="M5" s="87">
        <v>0</v>
      </c>
      <c r="N5" s="87">
        <v>0</v>
      </c>
      <c r="O5" s="87">
        <v>0</v>
      </c>
      <c r="P5" s="87">
        <v>0</v>
      </c>
      <c r="Q5" s="87">
        <v>0</v>
      </c>
      <c r="R5" s="87">
        <v>0</v>
      </c>
    </row>
    <row r="6" spans="1:30" customFormat="1" x14ac:dyDescent="0.15">
      <c r="A6" s="149" t="s">
        <v>196</v>
      </c>
      <c r="B6" s="87">
        <v>0.8</v>
      </c>
      <c r="C6" s="87">
        <v>0.8</v>
      </c>
      <c r="D6" s="87">
        <v>0.8</v>
      </c>
      <c r="E6" s="87">
        <v>0</v>
      </c>
      <c r="F6" s="87">
        <v>0</v>
      </c>
      <c r="G6" s="87">
        <v>0.8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  <c r="O6" s="87">
        <v>0</v>
      </c>
      <c r="P6" s="87">
        <v>0</v>
      </c>
      <c r="Q6" s="87">
        <v>0</v>
      </c>
      <c r="R6" s="87">
        <v>0</v>
      </c>
    </row>
    <row r="7" spans="1:30" customFormat="1" x14ac:dyDescent="0.15">
      <c r="A7" s="149" t="s">
        <v>197</v>
      </c>
      <c r="B7" s="87">
        <v>0.8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  <c r="O7" s="87">
        <v>0</v>
      </c>
      <c r="P7" s="87">
        <v>0</v>
      </c>
      <c r="Q7" s="87">
        <v>0</v>
      </c>
      <c r="R7" s="87">
        <v>0</v>
      </c>
    </row>
    <row r="8" spans="1:30" customFormat="1" x14ac:dyDescent="0.15">
      <c r="A8" s="149" t="s">
        <v>198</v>
      </c>
      <c r="B8" s="87">
        <v>0</v>
      </c>
      <c r="C8" s="87">
        <v>0.8</v>
      </c>
      <c r="D8" s="87">
        <v>0.8</v>
      </c>
      <c r="E8" s="87">
        <v>0.8</v>
      </c>
      <c r="F8" s="87">
        <v>0</v>
      </c>
      <c r="G8" s="87">
        <v>0</v>
      </c>
      <c r="H8" s="87">
        <v>0</v>
      </c>
      <c r="I8" s="87">
        <v>0</v>
      </c>
      <c r="J8" s="87">
        <v>0</v>
      </c>
      <c r="K8" s="87">
        <v>0</v>
      </c>
      <c r="L8" s="87">
        <v>0</v>
      </c>
      <c r="M8" s="87">
        <v>0</v>
      </c>
      <c r="N8" s="87">
        <v>0</v>
      </c>
      <c r="O8" s="87">
        <v>0</v>
      </c>
      <c r="P8" s="87">
        <v>0</v>
      </c>
      <c r="Q8" s="87">
        <v>0</v>
      </c>
      <c r="R8" s="87">
        <v>0</v>
      </c>
    </row>
    <row r="9" spans="1:30" customFormat="1" x14ac:dyDescent="0.15">
      <c r="A9" s="149" t="s">
        <v>199</v>
      </c>
      <c r="B9" s="87">
        <v>0</v>
      </c>
      <c r="C9" s="87">
        <v>0</v>
      </c>
      <c r="D9" s="87">
        <v>0</v>
      </c>
      <c r="E9" s="87">
        <v>0</v>
      </c>
      <c r="F9" s="87">
        <v>0.8</v>
      </c>
      <c r="G9" s="87">
        <v>0</v>
      </c>
      <c r="H9" s="87">
        <v>0</v>
      </c>
      <c r="I9" s="87">
        <v>0</v>
      </c>
      <c r="J9" s="87">
        <v>0</v>
      </c>
      <c r="K9" s="87">
        <v>0.8</v>
      </c>
      <c r="L9" s="87">
        <v>0.8</v>
      </c>
      <c r="M9" s="87">
        <v>0</v>
      </c>
      <c r="N9" s="87">
        <v>0</v>
      </c>
      <c r="O9" s="87">
        <v>0</v>
      </c>
      <c r="P9" s="87">
        <v>0</v>
      </c>
      <c r="Q9" s="87">
        <v>0</v>
      </c>
      <c r="R9" s="87">
        <v>0</v>
      </c>
    </row>
    <row r="10" spans="1:30" customFormat="1" x14ac:dyDescent="0.15">
      <c r="A10" s="149" t="s">
        <v>200</v>
      </c>
      <c r="B10" s="87">
        <v>0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0.8</v>
      </c>
      <c r="N10" s="87">
        <v>0</v>
      </c>
      <c r="O10" s="87">
        <v>0</v>
      </c>
      <c r="P10" s="87">
        <v>0</v>
      </c>
      <c r="Q10" s="87">
        <v>0</v>
      </c>
      <c r="R10" s="87">
        <v>0</v>
      </c>
    </row>
    <row r="11" spans="1:30" customFormat="1" x14ac:dyDescent="0.15">
      <c r="A11" s="149" t="s">
        <v>201</v>
      </c>
      <c r="B11" s="87">
        <v>0</v>
      </c>
      <c r="C11" s="87">
        <v>0</v>
      </c>
      <c r="D11" s="87">
        <v>0</v>
      </c>
      <c r="E11" s="87">
        <v>0</v>
      </c>
      <c r="F11" s="87">
        <v>0.8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  <c r="O11" s="87">
        <v>0</v>
      </c>
      <c r="P11" s="87">
        <v>0</v>
      </c>
      <c r="Q11" s="87">
        <v>0</v>
      </c>
      <c r="R11" s="87">
        <v>0</v>
      </c>
    </row>
    <row r="12" spans="1:30" customFormat="1" x14ac:dyDescent="0.15">
      <c r="A12" s="149" t="s">
        <v>202</v>
      </c>
      <c r="B12" s="87">
        <v>0</v>
      </c>
      <c r="C12" s="87">
        <v>0</v>
      </c>
      <c r="D12" s="87">
        <v>0</v>
      </c>
      <c r="E12" s="87">
        <v>0</v>
      </c>
      <c r="F12" s="87">
        <v>0</v>
      </c>
      <c r="G12" s="87">
        <v>0</v>
      </c>
      <c r="H12" s="87">
        <v>0</v>
      </c>
      <c r="I12" s="87">
        <v>0</v>
      </c>
      <c r="J12" s="87">
        <v>0</v>
      </c>
      <c r="K12" s="87">
        <v>0</v>
      </c>
      <c r="L12" s="87">
        <v>0</v>
      </c>
      <c r="M12" s="87">
        <v>0</v>
      </c>
      <c r="N12" s="87">
        <v>0</v>
      </c>
      <c r="O12" s="87">
        <v>0</v>
      </c>
      <c r="P12" s="87">
        <v>0</v>
      </c>
      <c r="Q12" s="87">
        <v>0</v>
      </c>
      <c r="R12" s="87">
        <v>0</v>
      </c>
    </row>
    <row r="13" spans="1:30" customFormat="1" x14ac:dyDescent="0.15">
      <c r="A13" s="149" t="s">
        <v>203</v>
      </c>
      <c r="B13" s="87">
        <v>0</v>
      </c>
      <c r="C13" s="87">
        <v>0</v>
      </c>
      <c r="D13" s="87">
        <v>0</v>
      </c>
      <c r="E13" s="87">
        <v>0</v>
      </c>
      <c r="F13" s="87">
        <v>0.8</v>
      </c>
      <c r="G13" s="87">
        <v>0</v>
      </c>
      <c r="H13" s="87">
        <v>0</v>
      </c>
      <c r="I13" s="87">
        <v>0</v>
      </c>
      <c r="J13" s="87">
        <v>0</v>
      </c>
      <c r="K13" s="87">
        <v>0</v>
      </c>
      <c r="L13" s="87">
        <v>0.8</v>
      </c>
      <c r="M13" s="87">
        <v>0</v>
      </c>
      <c r="N13" s="87">
        <v>0</v>
      </c>
      <c r="O13" s="87">
        <v>0</v>
      </c>
      <c r="P13" s="87">
        <v>0</v>
      </c>
      <c r="Q13" s="87">
        <v>0</v>
      </c>
      <c r="R13" s="87">
        <v>0</v>
      </c>
    </row>
    <row r="14" spans="1:30" customFormat="1" x14ac:dyDescent="0.15">
      <c r="A14" s="149" t="s">
        <v>204</v>
      </c>
      <c r="B14" s="87">
        <v>0</v>
      </c>
      <c r="C14" s="87">
        <v>0</v>
      </c>
      <c r="D14" s="87">
        <v>0</v>
      </c>
      <c r="E14" s="87">
        <v>0</v>
      </c>
      <c r="F14" s="87">
        <v>0</v>
      </c>
      <c r="G14" s="87">
        <v>0</v>
      </c>
      <c r="H14" s="87">
        <v>0</v>
      </c>
      <c r="I14" s="87">
        <v>0</v>
      </c>
      <c r="J14" s="87">
        <v>0</v>
      </c>
      <c r="K14" s="87">
        <v>0.8</v>
      </c>
      <c r="L14" s="87">
        <v>0.8</v>
      </c>
      <c r="M14" s="87">
        <v>0</v>
      </c>
      <c r="N14" s="87">
        <v>0</v>
      </c>
      <c r="O14" s="87">
        <v>0</v>
      </c>
      <c r="P14" s="87">
        <v>0</v>
      </c>
      <c r="Q14" s="87">
        <v>0</v>
      </c>
      <c r="R14" s="87">
        <v>0</v>
      </c>
    </row>
    <row r="15" spans="1:30" customFormat="1" x14ac:dyDescent="0.15">
      <c r="A15" s="149" t="s">
        <v>205</v>
      </c>
      <c r="B15" s="87">
        <v>0</v>
      </c>
      <c r="C15" s="87">
        <v>0</v>
      </c>
      <c r="D15" s="87">
        <v>0</v>
      </c>
      <c r="E15" s="87">
        <v>0</v>
      </c>
      <c r="F15" s="87">
        <v>0</v>
      </c>
      <c r="G15" s="87">
        <v>0</v>
      </c>
      <c r="H15" s="87">
        <v>0</v>
      </c>
      <c r="I15" s="87">
        <v>0</v>
      </c>
      <c r="J15" s="87">
        <v>0.8</v>
      </c>
      <c r="K15" s="87">
        <v>0</v>
      </c>
      <c r="L15" s="87">
        <v>0.8</v>
      </c>
      <c r="M15" s="87">
        <v>0</v>
      </c>
      <c r="N15" s="87">
        <v>0.8</v>
      </c>
      <c r="O15" s="87">
        <v>0</v>
      </c>
      <c r="P15" s="87">
        <v>0</v>
      </c>
      <c r="Q15" s="87">
        <v>0</v>
      </c>
      <c r="R15" s="87">
        <v>0</v>
      </c>
    </row>
    <row r="16" spans="1:30" customFormat="1" x14ac:dyDescent="0.15">
      <c r="A16" s="149" t="s">
        <v>206</v>
      </c>
      <c r="B16" s="87">
        <v>0</v>
      </c>
      <c r="C16" s="87">
        <v>0</v>
      </c>
      <c r="D16" s="87">
        <v>0</v>
      </c>
      <c r="E16" s="87">
        <v>0</v>
      </c>
      <c r="F16" s="87">
        <v>0</v>
      </c>
      <c r="G16" s="87">
        <v>0</v>
      </c>
      <c r="H16" s="87">
        <v>0.8</v>
      </c>
      <c r="I16" s="87">
        <v>0.8</v>
      </c>
      <c r="J16" s="87">
        <v>0</v>
      </c>
      <c r="K16" s="87">
        <v>0.8</v>
      </c>
      <c r="L16" s="87">
        <v>0</v>
      </c>
      <c r="M16" s="87">
        <v>0</v>
      </c>
      <c r="N16" s="87">
        <v>0.8</v>
      </c>
      <c r="O16" s="87">
        <v>0</v>
      </c>
      <c r="P16" s="87">
        <v>0</v>
      </c>
      <c r="Q16" s="87">
        <v>0</v>
      </c>
      <c r="R16" s="87">
        <v>0</v>
      </c>
    </row>
    <row r="17" spans="1:18" customFormat="1" x14ac:dyDescent="0.15">
      <c r="A17" s="149" t="s">
        <v>207</v>
      </c>
      <c r="B17" s="87">
        <v>0</v>
      </c>
      <c r="C17" s="87">
        <v>0</v>
      </c>
      <c r="D17" s="87">
        <v>0</v>
      </c>
      <c r="E17" s="87">
        <v>0</v>
      </c>
      <c r="F17" s="87">
        <v>0</v>
      </c>
      <c r="G17" s="87">
        <v>0</v>
      </c>
      <c r="H17" s="87">
        <v>0.8</v>
      </c>
      <c r="I17" s="87">
        <v>0</v>
      </c>
      <c r="J17" s="87">
        <v>0</v>
      </c>
      <c r="K17" s="87">
        <v>0</v>
      </c>
      <c r="L17" s="87">
        <v>0.8</v>
      </c>
      <c r="M17" s="87">
        <v>0</v>
      </c>
      <c r="N17" s="87">
        <v>0</v>
      </c>
      <c r="O17" s="87">
        <v>0.8</v>
      </c>
      <c r="P17" s="87">
        <v>0</v>
      </c>
      <c r="Q17" s="87">
        <v>0</v>
      </c>
      <c r="R17" s="87">
        <v>0</v>
      </c>
    </row>
    <row r="18" spans="1:18" customFormat="1" x14ac:dyDescent="0.15">
      <c r="A18" s="149" t="s">
        <v>208</v>
      </c>
      <c r="B18" s="87">
        <v>0</v>
      </c>
      <c r="C18" s="87">
        <v>0</v>
      </c>
      <c r="D18" s="87">
        <v>0</v>
      </c>
      <c r="E18" s="87">
        <v>0</v>
      </c>
      <c r="F18" s="87">
        <v>0</v>
      </c>
      <c r="G18" s="87">
        <v>0</v>
      </c>
      <c r="H18" s="87">
        <v>0</v>
      </c>
      <c r="I18" s="87">
        <v>0</v>
      </c>
      <c r="J18" s="87">
        <v>0</v>
      </c>
      <c r="K18" s="87">
        <v>0</v>
      </c>
      <c r="L18" s="87">
        <v>0</v>
      </c>
      <c r="M18" s="87">
        <v>0</v>
      </c>
      <c r="N18" s="87">
        <v>0</v>
      </c>
      <c r="O18" s="87">
        <v>0</v>
      </c>
      <c r="P18" s="87">
        <v>0</v>
      </c>
      <c r="Q18" s="87">
        <v>0</v>
      </c>
      <c r="R18" s="87">
        <v>0</v>
      </c>
    </row>
    <row r="19" spans="1:18" customFormat="1" x14ac:dyDescent="0.15">
      <c r="A19" s="149" t="s">
        <v>210</v>
      </c>
      <c r="B19" s="87">
        <v>0.8</v>
      </c>
      <c r="C19" s="87">
        <v>0</v>
      </c>
      <c r="D19" s="87">
        <v>0</v>
      </c>
      <c r="E19" s="87">
        <v>0</v>
      </c>
      <c r="F19" s="87">
        <v>0</v>
      </c>
      <c r="G19" s="87">
        <v>0</v>
      </c>
      <c r="H19" s="87">
        <v>0</v>
      </c>
      <c r="I19" s="87">
        <v>0</v>
      </c>
      <c r="J19" s="87">
        <v>0</v>
      </c>
      <c r="K19" s="87">
        <v>0</v>
      </c>
      <c r="L19" s="87">
        <v>0</v>
      </c>
      <c r="M19" s="87">
        <v>0</v>
      </c>
      <c r="N19" s="87">
        <v>0</v>
      </c>
      <c r="O19" s="87">
        <v>0</v>
      </c>
      <c r="P19" s="87">
        <v>0</v>
      </c>
      <c r="Q19" s="87">
        <v>0</v>
      </c>
      <c r="R19" s="87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7" bestFit="1" customWidth="1"/>
    <col min="2" max="18" width="2.33203125" style="87" customWidth="1"/>
    <col min="19" max="16384" width="10.83203125" style="87"/>
  </cols>
  <sheetData>
    <row r="1" spans="1:31" x14ac:dyDescent="0.15">
      <c r="A1" s="52" t="s">
        <v>139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 s="152" t="s">
        <v>207</v>
      </c>
      <c r="R1" s="152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1" t="s">
        <v>192</v>
      </c>
      <c r="B2" s="87">
        <v>0</v>
      </c>
      <c r="C2" s="87">
        <v>0</v>
      </c>
      <c r="D2" s="87">
        <v>0</v>
      </c>
      <c r="E2" s="87">
        <v>0</v>
      </c>
      <c r="F2" s="87">
        <v>0</v>
      </c>
      <c r="G2" s="87">
        <v>0</v>
      </c>
      <c r="H2" s="87">
        <v>0</v>
      </c>
      <c r="I2" s="87">
        <v>0</v>
      </c>
      <c r="J2" s="87">
        <v>0</v>
      </c>
      <c r="K2" s="87">
        <v>0</v>
      </c>
      <c r="L2" s="87">
        <v>0</v>
      </c>
      <c r="M2" s="87">
        <v>0</v>
      </c>
      <c r="N2" s="87">
        <v>0</v>
      </c>
      <c r="O2" s="87">
        <v>0</v>
      </c>
      <c r="P2" s="87">
        <v>0</v>
      </c>
      <c r="Q2" s="87">
        <v>0</v>
      </c>
      <c r="R2" s="87">
        <v>0</v>
      </c>
    </row>
    <row r="3" spans="1:31" customFormat="1" x14ac:dyDescent="0.15">
      <c r="A3" s="151" t="s">
        <v>193</v>
      </c>
      <c r="B3" s="87">
        <v>0</v>
      </c>
      <c r="C3" s="87">
        <v>0</v>
      </c>
      <c r="D3" s="87">
        <v>0</v>
      </c>
      <c r="E3" s="87">
        <v>0</v>
      </c>
      <c r="F3" s="87">
        <v>0</v>
      </c>
      <c r="G3" s="87">
        <v>0</v>
      </c>
      <c r="H3" s="87">
        <v>0</v>
      </c>
      <c r="I3" s="87">
        <v>0</v>
      </c>
      <c r="J3" s="87">
        <v>0</v>
      </c>
      <c r="K3" s="87">
        <v>0</v>
      </c>
      <c r="L3" s="87">
        <v>0</v>
      </c>
      <c r="M3" s="87">
        <v>0</v>
      </c>
      <c r="N3" s="87">
        <v>0</v>
      </c>
      <c r="O3" s="87">
        <v>0</v>
      </c>
      <c r="P3" s="87">
        <v>0</v>
      </c>
      <c r="Q3" s="87">
        <v>0</v>
      </c>
      <c r="R3" s="87">
        <v>0</v>
      </c>
    </row>
    <row r="4" spans="1:31" customFormat="1" x14ac:dyDescent="0.15">
      <c r="A4" s="151" t="s">
        <v>194</v>
      </c>
      <c r="B4" s="87">
        <v>1</v>
      </c>
      <c r="C4" s="87">
        <v>1</v>
      </c>
      <c r="D4" s="87">
        <v>1</v>
      </c>
      <c r="E4" s="87">
        <v>0</v>
      </c>
      <c r="F4" s="87">
        <v>0</v>
      </c>
      <c r="G4" s="87">
        <v>0</v>
      </c>
      <c r="H4" s="87">
        <v>0</v>
      </c>
      <c r="I4" s="87">
        <v>0</v>
      </c>
      <c r="J4" s="87">
        <v>0</v>
      </c>
      <c r="K4" s="87">
        <v>0</v>
      </c>
      <c r="L4" s="87">
        <v>0</v>
      </c>
      <c r="M4" s="87">
        <v>0</v>
      </c>
      <c r="N4" s="87">
        <v>0</v>
      </c>
      <c r="O4" s="87">
        <v>0</v>
      </c>
      <c r="P4" s="87">
        <v>0</v>
      </c>
      <c r="Q4" s="87">
        <v>0</v>
      </c>
      <c r="R4" s="87">
        <v>0</v>
      </c>
    </row>
    <row r="5" spans="1:31" customFormat="1" x14ac:dyDescent="0.15">
      <c r="A5" s="151" t="s">
        <v>195</v>
      </c>
      <c r="B5" s="87">
        <v>0</v>
      </c>
      <c r="C5" s="87">
        <v>0</v>
      </c>
      <c r="D5" s="87">
        <v>1</v>
      </c>
      <c r="E5" s="87">
        <v>0</v>
      </c>
      <c r="F5" s="87">
        <v>0</v>
      </c>
      <c r="G5" s="87">
        <v>0</v>
      </c>
      <c r="H5" s="87">
        <v>0</v>
      </c>
      <c r="I5" s="87">
        <v>0</v>
      </c>
      <c r="J5" s="87">
        <v>0</v>
      </c>
      <c r="K5" s="87">
        <v>0</v>
      </c>
      <c r="L5" s="87">
        <v>0</v>
      </c>
      <c r="M5" s="87">
        <v>0</v>
      </c>
      <c r="N5" s="87">
        <v>0</v>
      </c>
      <c r="O5" s="87">
        <v>0</v>
      </c>
      <c r="P5" s="87">
        <v>0</v>
      </c>
      <c r="Q5" s="87">
        <v>0</v>
      </c>
      <c r="R5" s="87">
        <v>0</v>
      </c>
    </row>
    <row r="6" spans="1:31" customFormat="1" x14ac:dyDescent="0.15">
      <c r="A6" s="151" t="s">
        <v>196</v>
      </c>
      <c r="B6" s="87">
        <v>1</v>
      </c>
      <c r="C6" s="87">
        <v>1</v>
      </c>
      <c r="D6" s="87">
        <v>1</v>
      </c>
      <c r="E6" s="87">
        <v>0</v>
      </c>
      <c r="F6" s="87">
        <v>0</v>
      </c>
      <c r="G6" s="87">
        <v>1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  <c r="O6" s="87">
        <v>0</v>
      </c>
      <c r="P6" s="87">
        <v>0</v>
      </c>
      <c r="Q6" s="87">
        <v>0</v>
      </c>
      <c r="R6" s="87">
        <v>0</v>
      </c>
    </row>
    <row r="7" spans="1:31" customFormat="1" x14ac:dyDescent="0.15">
      <c r="A7" s="151" t="s">
        <v>197</v>
      </c>
      <c r="B7" s="87">
        <v>1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  <c r="O7" s="87">
        <v>0</v>
      </c>
      <c r="P7" s="87">
        <v>0</v>
      </c>
      <c r="Q7" s="87">
        <v>0</v>
      </c>
      <c r="R7" s="87">
        <v>0</v>
      </c>
    </row>
    <row r="8" spans="1:31" customFormat="1" x14ac:dyDescent="0.15">
      <c r="A8" s="151" t="s">
        <v>198</v>
      </c>
      <c r="B8" s="87">
        <v>0</v>
      </c>
      <c r="C8" s="87">
        <v>1</v>
      </c>
      <c r="D8" s="87">
        <v>1</v>
      </c>
      <c r="E8" s="87">
        <v>1</v>
      </c>
      <c r="F8" s="87">
        <v>0</v>
      </c>
      <c r="G8" s="87">
        <v>0</v>
      </c>
      <c r="H8" s="87">
        <v>0</v>
      </c>
      <c r="I8" s="87">
        <v>0</v>
      </c>
      <c r="J8" s="87">
        <v>0</v>
      </c>
      <c r="K8" s="87">
        <v>0</v>
      </c>
      <c r="L8" s="87">
        <v>0</v>
      </c>
      <c r="M8" s="87">
        <v>0</v>
      </c>
      <c r="N8" s="87">
        <v>0</v>
      </c>
      <c r="O8" s="87">
        <v>0</v>
      </c>
      <c r="P8" s="87">
        <v>0</v>
      </c>
      <c r="Q8" s="87">
        <v>0</v>
      </c>
      <c r="R8" s="87">
        <v>0</v>
      </c>
    </row>
    <row r="9" spans="1:31" customFormat="1" x14ac:dyDescent="0.15">
      <c r="A9" s="151" t="s">
        <v>199</v>
      </c>
      <c r="B9" s="87">
        <v>0</v>
      </c>
      <c r="C9" s="87">
        <v>0</v>
      </c>
      <c r="D9" s="87">
        <v>0</v>
      </c>
      <c r="E9" s="87">
        <v>0</v>
      </c>
      <c r="F9" s="87">
        <v>1</v>
      </c>
      <c r="G9" s="87">
        <v>0</v>
      </c>
      <c r="H9" s="87">
        <v>0</v>
      </c>
      <c r="I9" s="87">
        <v>0</v>
      </c>
      <c r="J9" s="87">
        <v>0</v>
      </c>
      <c r="K9" s="87">
        <v>1</v>
      </c>
      <c r="L9" s="87">
        <v>1</v>
      </c>
      <c r="M9" s="87">
        <v>0</v>
      </c>
      <c r="N9" s="87">
        <v>0</v>
      </c>
      <c r="O9" s="87">
        <v>0</v>
      </c>
      <c r="P9" s="87">
        <v>0</v>
      </c>
      <c r="Q9" s="87">
        <v>0</v>
      </c>
      <c r="R9" s="87">
        <v>0</v>
      </c>
    </row>
    <row r="10" spans="1:31" customFormat="1" x14ac:dyDescent="0.15">
      <c r="A10" s="151" t="s">
        <v>200</v>
      </c>
      <c r="B10" s="87">
        <v>0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1</v>
      </c>
      <c r="N10" s="87">
        <v>0</v>
      </c>
      <c r="O10" s="87">
        <v>0</v>
      </c>
      <c r="P10" s="87">
        <v>0</v>
      </c>
      <c r="Q10" s="87">
        <v>0</v>
      </c>
      <c r="R10" s="87">
        <v>0</v>
      </c>
    </row>
    <row r="11" spans="1:31" customFormat="1" x14ac:dyDescent="0.15">
      <c r="A11" s="151" t="s">
        <v>201</v>
      </c>
      <c r="B11" s="87">
        <v>0</v>
      </c>
      <c r="C11" s="87">
        <v>0</v>
      </c>
      <c r="D11" s="87">
        <v>0</v>
      </c>
      <c r="E11" s="87">
        <v>0</v>
      </c>
      <c r="F11" s="87">
        <v>1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  <c r="O11" s="87">
        <v>0</v>
      </c>
      <c r="P11" s="87">
        <v>0</v>
      </c>
      <c r="Q11" s="87">
        <v>0</v>
      </c>
      <c r="R11" s="87">
        <v>0</v>
      </c>
    </row>
    <row r="12" spans="1:31" customFormat="1" x14ac:dyDescent="0.15">
      <c r="A12" s="151" t="s">
        <v>202</v>
      </c>
      <c r="B12" s="87">
        <v>0</v>
      </c>
      <c r="C12" s="87">
        <v>0</v>
      </c>
      <c r="D12" s="87">
        <v>0</v>
      </c>
      <c r="E12" s="87">
        <v>0</v>
      </c>
      <c r="F12" s="87">
        <v>0</v>
      </c>
      <c r="G12" s="87">
        <v>0</v>
      </c>
      <c r="H12" s="87">
        <v>0</v>
      </c>
      <c r="I12" s="87">
        <v>0</v>
      </c>
      <c r="J12" s="87">
        <v>0</v>
      </c>
      <c r="K12" s="87">
        <v>0</v>
      </c>
      <c r="L12" s="87">
        <v>0</v>
      </c>
      <c r="M12" s="87">
        <v>0</v>
      </c>
      <c r="N12" s="87">
        <v>0</v>
      </c>
      <c r="O12" s="87">
        <v>0</v>
      </c>
      <c r="P12" s="87">
        <v>0</v>
      </c>
      <c r="Q12" s="87">
        <v>0</v>
      </c>
      <c r="R12" s="87">
        <v>0</v>
      </c>
    </row>
    <row r="13" spans="1:31" customFormat="1" x14ac:dyDescent="0.15">
      <c r="A13" s="151" t="s">
        <v>203</v>
      </c>
      <c r="B13" s="87">
        <v>0</v>
      </c>
      <c r="C13" s="87">
        <v>0</v>
      </c>
      <c r="D13" s="87">
        <v>0</v>
      </c>
      <c r="E13" s="87">
        <v>0</v>
      </c>
      <c r="F13" s="87">
        <v>1</v>
      </c>
      <c r="G13" s="87">
        <v>0</v>
      </c>
      <c r="H13" s="87">
        <v>0</v>
      </c>
      <c r="I13" s="87">
        <v>0</v>
      </c>
      <c r="J13" s="87">
        <v>0</v>
      </c>
      <c r="K13" s="87">
        <v>0</v>
      </c>
      <c r="L13" s="87">
        <v>1</v>
      </c>
      <c r="M13" s="87">
        <v>0</v>
      </c>
      <c r="N13" s="87">
        <v>0</v>
      </c>
      <c r="O13" s="87">
        <v>0</v>
      </c>
      <c r="P13" s="87">
        <v>0</v>
      </c>
      <c r="Q13" s="87">
        <v>0</v>
      </c>
      <c r="R13" s="87">
        <v>0</v>
      </c>
    </row>
    <row r="14" spans="1:31" customFormat="1" x14ac:dyDescent="0.15">
      <c r="A14" s="151" t="s">
        <v>204</v>
      </c>
      <c r="B14" s="87">
        <v>0</v>
      </c>
      <c r="C14" s="87">
        <v>0</v>
      </c>
      <c r="D14" s="87">
        <v>0</v>
      </c>
      <c r="E14" s="87">
        <v>0</v>
      </c>
      <c r="F14" s="87">
        <v>0</v>
      </c>
      <c r="G14" s="87">
        <v>0</v>
      </c>
      <c r="H14" s="87">
        <v>0</v>
      </c>
      <c r="I14" s="87">
        <v>0</v>
      </c>
      <c r="J14" s="87">
        <v>0</v>
      </c>
      <c r="K14" s="87">
        <v>1</v>
      </c>
      <c r="L14" s="87">
        <v>1</v>
      </c>
      <c r="M14" s="87">
        <v>0</v>
      </c>
      <c r="N14" s="87">
        <v>0</v>
      </c>
      <c r="O14" s="87">
        <v>0</v>
      </c>
      <c r="P14" s="87">
        <v>0</v>
      </c>
      <c r="Q14" s="87">
        <v>0</v>
      </c>
      <c r="R14" s="87">
        <v>0</v>
      </c>
    </row>
    <row r="15" spans="1:31" customFormat="1" x14ac:dyDescent="0.15">
      <c r="A15" s="151" t="s">
        <v>205</v>
      </c>
      <c r="B15" s="87">
        <v>0</v>
      </c>
      <c r="C15" s="87">
        <v>0</v>
      </c>
      <c r="D15" s="87">
        <v>0</v>
      </c>
      <c r="E15" s="87">
        <v>0</v>
      </c>
      <c r="F15" s="87">
        <v>0</v>
      </c>
      <c r="G15" s="87">
        <v>0</v>
      </c>
      <c r="H15" s="87">
        <v>0</v>
      </c>
      <c r="I15" s="87">
        <v>0</v>
      </c>
      <c r="J15" s="87">
        <v>1</v>
      </c>
      <c r="K15" s="87">
        <v>0</v>
      </c>
      <c r="L15" s="87">
        <v>1</v>
      </c>
      <c r="M15" s="87">
        <v>0</v>
      </c>
      <c r="N15" s="87">
        <v>1</v>
      </c>
      <c r="O15" s="87">
        <v>0</v>
      </c>
      <c r="P15" s="87">
        <v>0</v>
      </c>
      <c r="Q15" s="87">
        <v>0</v>
      </c>
      <c r="R15" s="87">
        <v>0</v>
      </c>
    </row>
    <row r="16" spans="1:31" customFormat="1" x14ac:dyDescent="0.15">
      <c r="A16" s="151" t="s">
        <v>206</v>
      </c>
      <c r="B16" s="87">
        <v>0</v>
      </c>
      <c r="C16" s="87">
        <v>0</v>
      </c>
      <c r="D16" s="87">
        <v>0</v>
      </c>
      <c r="E16" s="87">
        <v>0</v>
      </c>
      <c r="F16" s="87">
        <v>0</v>
      </c>
      <c r="G16" s="87">
        <v>0</v>
      </c>
      <c r="H16" s="87">
        <v>1</v>
      </c>
      <c r="I16" s="87">
        <v>1</v>
      </c>
      <c r="J16" s="87">
        <v>0</v>
      </c>
      <c r="K16" s="87">
        <v>1</v>
      </c>
      <c r="L16" s="87">
        <v>0</v>
      </c>
      <c r="M16" s="87">
        <v>0</v>
      </c>
      <c r="N16" s="87">
        <v>1</v>
      </c>
      <c r="O16" s="87">
        <v>0</v>
      </c>
      <c r="P16" s="87">
        <v>0</v>
      </c>
      <c r="Q16" s="87">
        <v>0</v>
      </c>
      <c r="R16" s="87">
        <v>0</v>
      </c>
    </row>
    <row r="17" spans="1:18" customFormat="1" x14ac:dyDescent="0.15">
      <c r="A17" s="151" t="s">
        <v>207</v>
      </c>
      <c r="B17" s="87">
        <v>0</v>
      </c>
      <c r="C17" s="87">
        <v>0</v>
      </c>
      <c r="D17" s="87">
        <v>0</v>
      </c>
      <c r="E17" s="87">
        <v>0</v>
      </c>
      <c r="F17" s="87">
        <v>0</v>
      </c>
      <c r="G17" s="87">
        <v>0</v>
      </c>
      <c r="H17" s="87">
        <v>1</v>
      </c>
      <c r="I17" s="87">
        <v>0</v>
      </c>
      <c r="J17" s="87">
        <v>0</v>
      </c>
      <c r="K17" s="87">
        <v>0</v>
      </c>
      <c r="L17" s="87">
        <v>1</v>
      </c>
      <c r="M17" s="87">
        <v>0</v>
      </c>
      <c r="N17" s="87">
        <v>0</v>
      </c>
      <c r="O17" s="87">
        <v>1</v>
      </c>
      <c r="P17" s="87">
        <v>0</v>
      </c>
      <c r="Q17" s="87">
        <v>0</v>
      </c>
      <c r="R17" s="87">
        <v>0</v>
      </c>
    </row>
    <row r="18" spans="1:18" customFormat="1" x14ac:dyDescent="0.15">
      <c r="A18" s="151" t="s">
        <v>208</v>
      </c>
      <c r="B18" s="87">
        <v>0</v>
      </c>
      <c r="C18" s="87">
        <v>0</v>
      </c>
      <c r="D18" s="87">
        <v>0</v>
      </c>
      <c r="E18" s="87">
        <v>0</v>
      </c>
      <c r="F18" s="87">
        <v>0</v>
      </c>
      <c r="G18" s="87">
        <v>0</v>
      </c>
      <c r="H18" s="87">
        <v>0</v>
      </c>
      <c r="I18" s="87">
        <v>0</v>
      </c>
      <c r="J18" s="87">
        <v>0</v>
      </c>
      <c r="K18" s="87">
        <v>0</v>
      </c>
      <c r="L18" s="87">
        <v>0</v>
      </c>
      <c r="M18" s="87">
        <v>0</v>
      </c>
      <c r="N18" s="87">
        <v>0</v>
      </c>
      <c r="O18" s="87">
        <v>0</v>
      </c>
      <c r="P18" s="87">
        <v>0</v>
      </c>
      <c r="Q18" s="87">
        <v>0</v>
      </c>
      <c r="R18" s="87">
        <v>0</v>
      </c>
    </row>
    <row r="19" spans="1:18" customFormat="1" x14ac:dyDescent="0.15">
      <c r="A19" s="151" t="s">
        <v>210</v>
      </c>
      <c r="B19" s="87">
        <v>1</v>
      </c>
      <c r="C19" s="87">
        <v>0</v>
      </c>
      <c r="D19" s="87">
        <v>0</v>
      </c>
      <c r="E19" s="87">
        <v>0</v>
      </c>
      <c r="F19" s="87">
        <v>0</v>
      </c>
      <c r="G19" s="87">
        <v>0</v>
      </c>
      <c r="H19" s="87">
        <v>0</v>
      </c>
      <c r="I19" s="87">
        <v>0</v>
      </c>
      <c r="J19" s="87">
        <v>0</v>
      </c>
      <c r="K19" s="87">
        <v>0</v>
      </c>
      <c r="L19" s="87">
        <v>0</v>
      </c>
      <c r="M19" s="87">
        <v>0</v>
      </c>
      <c r="N19" s="87">
        <v>0</v>
      </c>
      <c r="O19" s="87">
        <v>0</v>
      </c>
      <c r="P19" s="87">
        <v>0</v>
      </c>
      <c r="Q19" s="87">
        <v>0</v>
      </c>
      <c r="R19" s="87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4" t="s">
        <v>209</v>
      </c>
    </row>
    <row r="2" spans="1:3" x14ac:dyDescent="0.15">
      <c r="A2">
        <v>1</v>
      </c>
      <c r="B2" s="153" t="s">
        <v>192</v>
      </c>
      <c r="C2">
        <v>0.8</v>
      </c>
    </row>
    <row r="3" spans="1:3" x14ac:dyDescent="0.15">
      <c r="A3">
        <v>2</v>
      </c>
      <c r="B3" s="153" t="s">
        <v>193</v>
      </c>
      <c r="C3">
        <v>0.8</v>
      </c>
    </row>
    <row r="4" spans="1:3" x14ac:dyDescent="0.15">
      <c r="A4">
        <v>3</v>
      </c>
      <c r="B4" s="153" t="s">
        <v>194</v>
      </c>
      <c r="C4">
        <v>0.8</v>
      </c>
    </row>
    <row r="5" spans="1:3" x14ac:dyDescent="0.15">
      <c r="A5">
        <v>4</v>
      </c>
      <c r="B5" s="153" t="s">
        <v>195</v>
      </c>
      <c r="C5">
        <v>0.8</v>
      </c>
    </row>
    <row r="6" spans="1:3" x14ac:dyDescent="0.15">
      <c r="A6">
        <v>5</v>
      </c>
      <c r="B6" s="153" t="s">
        <v>196</v>
      </c>
      <c r="C6">
        <v>0.8</v>
      </c>
    </row>
    <row r="7" spans="1:3" x14ac:dyDescent="0.15">
      <c r="A7">
        <v>6</v>
      </c>
      <c r="B7" s="153" t="s">
        <v>197</v>
      </c>
      <c r="C7">
        <v>0.8</v>
      </c>
    </row>
    <row r="8" spans="1:3" x14ac:dyDescent="0.15">
      <c r="A8">
        <v>7</v>
      </c>
      <c r="B8" s="153" t="s">
        <v>198</v>
      </c>
      <c r="C8">
        <v>0</v>
      </c>
    </row>
    <row r="9" spans="1:3" x14ac:dyDescent="0.15">
      <c r="A9">
        <v>8</v>
      </c>
      <c r="B9" s="153" t="s">
        <v>199</v>
      </c>
      <c r="C9">
        <v>0</v>
      </c>
    </row>
    <row r="10" spans="1:3" x14ac:dyDescent="0.15">
      <c r="A10">
        <v>9</v>
      </c>
      <c r="B10" s="153" t="s">
        <v>200</v>
      </c>
      <c r="C10">
        <v>0</v>
      </c>
    </row>
    <row r="11" spans="1:3" x14ac:dyDescent="0.15">
      <c r="A11">
        <v>10</v>
      </c>
      <c r="B11" s="153" t="s">
        <v>201</v>
      </c>
      <c r="C11">
        <v>0</v>
      </c>
    </row>
    <row r="12" spans="1:3" x14ac:dyDescent="0.15">
      <c r="A12">
        <v>11</v>
      </c>
      <c r="B12" s="153" t="s">
        <v>202</v>
      </c>
      <c r="C12">
        <v>0</v>
      </c>
    </row>
    <row r="13" spans="1:3" x14ac:dyDescent="0.15">
      <c r="A13">
        <v>12</v>
      </c>
      <c r="B13" s="153" t="s">
        <v>203</v>
      </c>
      <c r="C13">
        <v>0</v>
      </c>
    </row>
    <row r="14" spans="1:3" x14ac:dyDescent="0.15">
      <c r="A14">
        <v>13</v>
      </c>
      <c r="B14" s="153" t="s">
        <v>204</v>
      </c>
      <c r="C14">
        <v>0</v>
      </c>
    </row>
    <row r="15" spans="1:3" x14ac:dyDescent="0.15">
      <c r="A15">
        <v>14</v>
      </c>
      <c r="B15" s="153" t="s">
        <v>205</v>
      </c>
      <c r="C15">
        <v>0</v>
      </c>
    </row>
    <row r="16" spans="1:3" x14ac:dyDescent="0.15">
      <c r="A16">
        <v>15</v>
      </c>
      <c r="B16" s="153" t="s">
        <v>206</v>
      </c>
      <c r="C16">
        <v>0</v>
      </c>
    </row>
    <row r="17" spans="1:3" x14ac:dyDescent="0.15">
      <c r="A17">
        <v>16</v>
      </c>
      <c r="B17" s="153" t="s">
        <v>207</v>
      </c>
      <c r="C17">
        <v>0</v>
      </c>
    </row>
    <row r="18" spans="1:3" x14ac:dyDescent="0.15">
      <c r="A18">
        <v>17</v>
      </c>
      <c r="B18" s="153" t="s">
        <v>208</v>
      </c>
      <c r="C1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6" t="s">
        <v>209</v>
      </c>
    </row>
    <row r="2" spans="1:3" x14ac:dyDescent="0.15">
      <c r="A2">
        <v>1</v>
      </c>
      <c r="B2" s="155" t="s">
        <v>192</v>
      </c>
      <c r="C2">
        <v>0.8</v>
      </c>
    </row>
    <row r="3" spans="1:3" x14ac:dyDescent="0.15">
      <c r="A3">
        <v>2</v>
      </c>
      <c r="B3" s="155" t="s">
        <v>193</v>
      </c>
      <c r="C3">
        <v>0.8</v>
      </c>
    </row>
    <row r="4" spans="1:3" x14ac:dyDescent="0.15">
      <c r="A4">
        <v>3</v>
      </c>
      <c r="B4" s="155" t="s">
        <v>194</v>
      </c>
      <c r="C4">
        <v>0.8</v>
      </c>
    </row>
    <row r="5" spans="1:3" x14ac:dyDescent="0.15">
      <c r="A5">
        <v>4</v>
      </c>
      <c r="B5" s="155" t="s">
        <v>195</v>
      </c>
      <c r="C5">
        <v>0.8</v>
      </c>
    </row>
    <row r="6" spans="1:3" x14ac:dyDescent="0.15">
      <c r="A6">
        <v>5</v>
      </c>
      <c r="B6" s="155" t="s">
        <v>196</v>
      </c>
      <c r="C6">
        <v>0.8</v>
      </c>
    </row>
    <row r="7" spans="1:3" x14ac:dyDescent="0.15">
      <c r="A7">
        <v>6</v>
      </c>
      <c r="B7" s="155" t="s">
        <v>197</v>
      </c>
      <c r="C7">
        <v>0.8</v>
      </c>
    </row>
    <row r="8" spans="1:3" x14ac:dyDescent="0.15">
      <c r="A8">
        <v>7</v>
      </c>
      <c r="B8" s="155" t="s">
        <v>198</v>
      </c>
      <c r="C8">
        <v>0</v>
      </c>
    </row>
    <row r="9" spans="1:3" x14ac:dyDescent="0.15">
      <c r="A9">
        <v>8</v>
      </c>
      <c r="B9" s="155" t="s">
        <v>199</v>
      </c>
      <c r="C9">
        <v>0</v>
      </c>
    </row>
    <row r="10" spans="1:3" x14ac:dyDescent="0.15">
      <c r="A10">
        <v>9</v>
      </c>
      <c r="B10" s="155" t="s">
        <v>200</v>
      </c>
      <c r="C10">
        <v>0</v>
      </c>
    </row>
    <row r="11" spans="1:3" x14ac:dyDescent="0.15">
      <c r="A11">
        <v>10</v>
      </c>
      <c r="B11" s="155" t="s">
        <v>201</v>
      </c>
      <c r="C11">
        <v>0</v>
      </c>
    </row>
    <row r="12" spans="1:3" x14ac:dyDescent="0.15">
      <c r="A12">
        <v>11</v>
      </c>
      <c r="B12" s="155" t="s">
        <v>202</v>
      </c>
      <c r="C12">
        <v>0</v>
      </c>
    </row>
    <row r="13" spans="1:3" x14ac:dyDescent="0.15">
      <c r="A13">
        <v>12</v>
      </c>
      <c r="B13" s="155" t="s">
        <v>203</v>
      </c>
      <c r="C13">
        <v>0</v>
      </c>
    </row>
    <row r="14" spans="1:3" x14ac:dyDescent="0.15">
      <c r="A14">
        <v>13</v>
      </c>
      <c r="B14" s="155" t="s">
        <v>204</v>
      </c>
      <c r="C14">
        <v>0</v>
      </c>
    </row>
    <row r="15" spans="1:3" x14ac:dyDescent="0.15">
      <c r="A15">
        <v>14</v>
      </c>
      <c r="B15" s="155" t="s">
        <v>205</v>
      </c>
      <c r="C15">
        <v>0</v>
      </c>
    </row>
    <row r="16" spans="1:3" x14ac:dyDescent="0.15">
      <c r="A16">
        <v>15</v>
      </c>
      <c r="B16" s="155" t="s">
        <v>206</v>
      </c>
      <c r="C16">
        <v>0</v>
      </c>
    </row>
    <row r="17" spans="1:3" x14ac:dyDescent="0.15">
      <c r="A17">
        <v>16</v>
      </c>
      <c r="B17" s="155" t="s">
        <v>207</v>
      </c>
      <c r="C17">
        <v>0</v>
      </c>
    </row>
    <row r="18" spans="1:3" x14ac:dyDescent="0.15">
      <c r="A18">
        <v>17</v>
      </c>
      <c r="B18" s="155" t="s">
        <v>208</v>
      </c>
      <c r="C1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M7" sqref="M7"/>
    </sheetView>
  </sheetViews>
  <sheetFormatPr baseColWidth="10" defaultColWidth="8.83203125" defaultRowHeight="15" customHeight="1" x14ac:dyDescent="0.15"/>
  <cols>
    <col min="1" max="1" width="8.83203125" style="63"/>
    <col min="2" max="2" width="41.83203125" style="63" bestFit="1" customWidth="1"/>
    <col min="3" max="3" width="9.33203125" style="63" bestFit="1" customWidth="1"/>
    <col min="4" max="4" width="13" style="63" bestFit="1" customWidth="1"/>
    <col min="5" max="6" width="9.33203125" style="63" bestFit="1" customWidth="1"/>
    <col min="7" max="7" width="9.33203125" style="79" bestFit="1" customWidth="1"/>
    <col min="8" max="8" width="9.33203125" style="63" bestFit="1" customWidth="1"/>
    <col min="9" max="9" width="11" style="63" customWidth="1"/>
    <col min="10" max="10" width="8.83203125" style="63"/>
    <col min="15" max="16384" width="8.83203125" style="6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4" t="s">
        <v>14</v>
      </c>
      <c r="H1" s="1" t="s">
        <v>26</v>
      </c>
      <c r="I1" s="1" t="s">
        <v>24</v>
      </c>
    </row>
    <row r="2" spans="1:10" ht="15" customHeight="1" x14ac:dyDescent="0.15">
      <c r="A2" s="120">
        <v>1</v>
      </c>
      <c r="B2" s="120" t="s">
        <v>192</v>
      </c>
      <c r="C2" s="8">
        <v>4.3566670417785645</v>
      </c>
      <c r="D2" s="9">
        <v>5.1111113280057907E-2</v>
      </c>
      <c r="E2" s="9">
        <v>1</v>
      </c>
      <c r="F2" s="9">
        <v>4.3070001602172852</v>
      </c>
      <c r="G2" s="9">
        <v>0.89999997615814209</v>
      </c>
      <c r="H2" s="9">
        <v>0.2321801632642746</v>
      </c>
      <c r="I2">
        <v>4.6000000089406967E-2</v>
      </c>
      <c r="J2"/>
    </row>
    <row r="3" spans="1:10" ht="15" customHeight="1" x14ac:dyDescent="0.15">
      <c r="A3" s="121">
        <v>2</v>
      </c>
      <c r="B3" s="121" t="s">
        <v>193</v>
      </c>
      <c r="C3" s="8">
        <v>4.4766669273376465</v>
      </c>
      <c r="D3" s="9">
        <v>8.2000002264976501E-2</v>
      </c>
      <c r="E3" s="9">
        <v>1.1499999761581421</v>
      </c>
      <c r="F3" s="9">
        <v>4.1640000343322754</v>
      </c>
      <c r="G3" s="9">
        <v>0.12725344300270081</v>
      </c>
      <c r="H3" s="9">
        <v>0.27617675065994263</v>
      </c>
      <c r="I3">
        <v>1.2000000104308128E-2</v>
      </c>
      <c r="J3"/>
    </row>
    <row r="4" spans="1:10" ht="15" customHeight="1" x14ac:dyDescent="0.15">
      <c r="A4" s="122">
        <v>3</v>
      </c>
      <c r="B4" s="122" t="s">
        <v>194</v>
      </c>
      <c r="C4" s="8">
        <v>3.7666666507720947</v>
      </c>
      <c r="D4" s="9">
        <v>0.40000000596046448</v>
      </c>
      <c r="E4" s="9">
        <v>1.6299999952316284</v>
      </c>
      <c r="F4" s="9">
        <v>8.7600002288818359</v>
      </c>
      <c r="G4" s="9">
        <v>0.99450981616973877</v>
      </c>
      <c r="H4" s="9">
        <v>0.18607304990291595</v>
      </c>
      <c r="I4">
        <v>4.8000000417232513E-2</v>
      </c>
      <c r="J4"/>
    </row>
    <row r="5" spans="1:10" ht="15" customHeight="1" x14ac:dyDescent="0.15">
      <c r="A5" s="123">
        <v>4</v>
      </c>
      <c r="B5" s="123" t="s">
        <v>195</v>
      </c>
      <c r="C5" s="8">
        <v>3</v>
      </c>
      <c r="D5" s="9">
        <v>8.5000000894069672E-2</v>
      </c>
      <c r="E5" s="9">
        <v>2.5</v>
      </c>
      <c r="F5" s="9">
        <v>8.5749998092651367</v>
      </c>
      <c r="G5" s="9">
        <v>0.8997647762298584</v>
      </c>
      <c r="H5" s="9">
        <v>0.29154518246650696</v>
      </c>
      <c r="I5">
        <v>1.6000000759959221E-2</v>
      </c>
      <c r="J5"/>
    </row>
    <row r="6" spans="1:10" ht="15" customHeight="1" x14ac:dyDescent="0.15">
      <c r="A6" s="124">
        <v>5</v>
      </c>
      <c r="B6" s="124" t="s">
        <v>196</v>
      </c>
      <c r="C6" s="8">
        <v>3.1999998092651367</v>
      </c>
      <c r="D6" s="9">
        <v>1</v>
      </c>
      <c r="E6" s="9">
        <v>2.5</v>
      </c>
      <c r="F6" s="9">
        <v>9.8020000457763672</v>
      </c>
      <c r="G6" s="9">
        <v>0.96421724557876587</v>
      </c>
      <c r="H6" s="9">
        <v>0.25504997372627258</v>
      </c>
      <c r="I6">
        <v>0.57700002193450928</v>
      </c>
      <c r="J6"/>
    </row>
    <row r="7" spans="1:10" ht="15" customHeight="1" x14ac:dyDescent="0.15">
      <c r="A7" s="125">
        <v>6</v>
      </c>
      <c r="B7" s="125" t="s">
        <v>197</v>
      </c>
      <c r="C7" s="8">
        <v>4.1999998092651367</v>
      </c>
      <c r="D7" s="9">
        <v>1.4669680036604404E-2</v>
      </c>
      <c r="E7" s="9">
        <v>2.5</v>
      </c>
      <c r="F7" s="9">
        <v>6.8439998626708984</v>
      </c>
      <c r="G7" s="9">
        <v>0.89999997615814209</v>
      </c>
      <c r="H7" s="9">
        <v>0.36528345942497253</v>
      </c>
      <c r="I7">
        <v>2.199999988079071E-2</v>
      </c>
      <c r="J7"/>
    </row>
    <row r="8" spans="1:10" ht="15" customHeight="1" x14ac:dyDescent="0.15">
      <c r="A8" s="126">
        <v>7</v>
      </c>
      <c r="B8" s="126" t="s">
        <v>198</v>
      </c>
      <c r="C8" s="8">
        <v>2</v>
      </c>
      <c r="D8" s="9">
        <v>70</v>
      </c>
      <c r="E8" s="9">
        <v>2.5</v>
      </c>
      <c r="F8" s="9">
        <v>10</v>
      </c>
      <c r="G8" s="9">
        <v>1.2369256466627121E-2</v>
      </c>
      <c r="H8" s="9">
        <v>0.25</v>
      </c>
      <c r="I8">
        <v>0</v>
      </c>
      <c r="J8"/>
    </row>
    <row r="9" spans="1:10" ht="15" customHeight="1" x14ac:dyDescent="0.15">
      <c r="A9" s="127">
        <v>8</v>
      </c>
      <c r="B9" s="127" t="s">
        <v>199</v>
      </c>
      <c r="C9" s="8">
        <v>2</v>
      </c>
      <c r="D9" s="9">
        <v>7.4548249244689941</v>
      </c>
      <c r="E9" s="9">
        <v>40</v>
      </c>
      <c r="F9" s="9">
        <v>200</v>
      </c>
      <c r="G9" s="9">
        <v>0.89999997615814209</v>
      </c>
      <c r="H9" s="9">
        <v>0.20000000298023224</v>
      </c>
      <c r="I9">
        <v>0</v>
      </c>
      <c r="J9"/>
    </row>
    <row r="10" spans="1:10" ht="15" customHeight="1" x14ac:dyDescent="0.15">
      <c r="A10" s="128">
        <v>9</v>
      </c>
      <c r="B10" s="128" t="s">
        <v>200</v>
      </c>
      <c r="C10" s="8">
        <v>3</v>
      </c>
      <c r="D10" s="9">
        <v>3</v>
      </c>
      <c r="E10" s="9">
        <v>100</v>
      </c>
      <c r="F10" s="9">
        <v>300</v>
      </c>
      <c r="G10" s="9">
        <v>1.5816666185855865E-2</v>
      </c>
      <c r="H10" s="9">
        <v>0.3333333432674408</v>
      </c>
      <c r="I10">
        <v>0</v>
      </c>
      <c r="J10"/>
    </row>
    <row r="11" spans="1:10" ht="15" customHeight="1" x14ac:dyDescent="0.15">
      <c r="A11" s="129">
        <v>10</v>
      </c>
      <c r="B11" s="129" t="s">
        <v>201</v>
      </c>
      <c r="C11" s="8">
        <v>2.7999999523162842</v>
      </c>
      <c r="D11" s="9">
        <v>0.55000001192092896</v>
      </c>
      <c r="E11" s="9">
        <v>29</v>
      </c>
      <c r="F11" s="9">
        <v>74</v>
      </c>
      <c r="G11" s="9">
        <v>6.1454541981220245E-2</v>
      </c>
      <c r="H11" s="9">
        <v>0.39189189672470093</v>
      </c>
      <c r="I11">
        <v>0</v>
      </c>
      <c r="J11"/>
    </row>
    <row r="12" spans="1:10" ht="15" customHeight="1" x14ac:dyDescent="0.15">
      <c r="A12" s="130">
        <v>11</v>
      </c>
      <c r="B12" s="130" t="s">
        <v>202</v>
      </c>
      <c r="C12" s="8">
        <v>2.9430000782012939</v>
      </c>
      <c r="D12" s="9">
        <v>315</v>
      </c>
      <c r="E12" s="9">
        <v>0.5</v>
      </c>
      <c r="F12" s="9">
        <v>2</v>
      </c>
      <c r="G12" s="7">
        <v>0</v>
      </c>
      <c r="H12" s="9">
        <v>0.25</v>
      </c>
      <c r="I12">
        <v>0</v>
      </c>
      <c r="J12"/>
    </row>
    <row r="13" spans="1:10" ht="15" customHeight="1" x14ac:dyDescent="0.15">
      <c r="A13" s="131">
        <v>12</v>
      </c>
      <c r="B13" s="131" t="s">
        <v>203</v>
      </c>
      <c r="C13" s="8">
        <v>4</v>
      </c>
      <c r="D13" s="9">
        <v>6.4999997615814209E-2</v>
      </c>
      <c r="E13" s="9">
        <v>29</v>
      </c>
      <c r="F13" s="9">
        <v>73</v>
      </c>
      <c r="G13" s="9">
        <v>0.9804350733757019</v>
      </c>
      <c r="H13" s="9">
        <v>0.39726027846336365</v>
      </c>
      <c r="I13">
        <v>0</v>
      </c>
      <c r="J13"/>
    </row>
    <row r="14" spans="1:10" ht="15" customHeight="1" x14ac:dyDescent="0.15">
      <c r="A14" s="132">
        <v>13</v>
      </c>
      <c r="B14" s="132" t="s">
        <v>204</v>
      </c>
      <c r="C14" s="8">
        <v>2.2000000476837158</v>
      </c>
      <c r="D14" s="9">
        <v>7.3000001907348633</v>
      </c>
      <c r="E14" s="9">
        <v>40</v>
      </c>
      <c r="F14" s="9">
        <v>200</v>
      </c>
      <c r="G14" s="9">
        <v>0.93270546197891235</v>
      </c>
      <c r="H14" s="9">
        <v>0.20000000298023224</v>
      </c>
      <c r="I14">
        <v>0</v>
      </c>
      <c r="J14"/>
    </row>
    <row r="15" spans="1:10" ht="15" customHeight="1" x14ac:dyDescent="0.15">
      <c r="A15" s="133">
        <v>14</v>
      </c>
      <c r="B15" s="133" t="s">
        <v>205</v>
      </c>
      <c r="C15" s="8">
        <v>2</v>
      </c>
      <c r="D15" s="9">
        <v>7.5</v>
      </c>
      <c r="E15" s="9">
        <v>1022</v>
      </c>
      <c r="F15" s="9">
        <v>2044</v>
      </c>
      <c r="G15" s="9">
        <v>0.16019700467586517</v>
      </c>
      <c r="H15" s="9">
        <v>0.5</v>
      </c>
      <c r="I15">
        <v>0</v>
      </c>
      <c r="J15"/>
    </row>
    <row r="16" spans="1:10" ht="15" customHeight="1" x14ac:dyDescent="0.15">
      <c r="A16" s="134">
        <v>15</v>
      </c>
      <c r="B16" s="134" t="s">
        <v>206</v>
      </c>
      <c r="C16" s="8">
        <v>1</v>
      </c>
      <c r="D16" s="9">
        <v>60</v>
      </c>
      <c r="E16" s="9">
        <v>330</v>
      </c>
      <c r="F16" s="10"/>
      <c r="G16" s="9">
        <v>0.15258459746837616</v>
      </c>
      <c r="H16" s="10"/>
      <c r="I16">
        <v>0</v>
      </c>
      <c r="J16"/>
    </row>
    <row r="17" spans="1:10" ht="15" customHeight="1" x14ac:dyDescent="0.15">
      <c r="A17" s="135">
        <v>16</v>
      </c>
      <c r="B17" s="135" t="s">
        <v>207</v>
      </c>
      <c r="C17" s="8">
        <v>1</v>
      </c>
      <c r="D17" s="9">
        <v>200</v>
      </c>
      <c r="E17" s="10"/>
      <c r="F17" s="10"/>
      <c r="G17" s="7">
        <v>0.56276237964630127</v>
      </c>
      <c r="H17" s="10"/>
      <c r="I17">
        <v>0</v>
      </c>
      <c r="J17"/>
    </row>
    <row r="18" spans="1:10" ht="15" customHeight="1" x14ac:dyDescent="0.15">
      <c r="A18" s="136">
        <v>17</v>
      </c>
      <c r="B18" s="136" t="s">
        <v>208</v>
      </c>
      <c r="C18" s="8">
        <v>1</v>
      </c>
      <c r="D18" s="9">
        <v>5</v>
      </c>
      <c r="E18" s="10"/>
      <c r="F18" s="10"/>
      <c r="G18" s="7">
        <v>0</v>
      </c>
      <c r="H18" s="10"/>
      <c r="I18">
        <v>0</v>
      </c>
      <c r="J18"/>
    </row>
    <row r="19" spans="1:10" ht="15" customHeight="1" x14ac:dyDescent="0.15">
      <c r="A19" s="137">
        <v>18</v>
      </c>
      <c r="B19" s="137" t="s">
        <v>209</v>
      </c>
      <c r="C19" s="8">
        <v>4.3588442802429199</v>
      </c>
      <c r="D19" s="10"/>
      <c r="E19" s="10"/>
      <c r="F19" s="10"/>
      <c r="G19" s="10"/>
      <c r="H19" s="10"/>
      <c r="I19">
        <v>0.72100001573562622</v>
      </c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3" bestFit="1" customWidth="1"/>
    <col min="2" max="4" width="9.5" style="63" bestFit="1" customWidth="1"/>
    <col min="5" max="7" width="9" style="63" bestFit="1" customWidth="1"/>
    <col min="8" max="16" width="12.6640625" style="63" bestFit="1" customWidth="1"/>
    <col min="17" max="17" width="12.33203125" style="63" bestFit="1" customWidth="1"/>
    <col min="18" max="18" width="8.83203125" style="63"/>
    <col min="19" max="21" width="9.33203125" style="63" bestFit="1" customWidth="1"/>
    <col min="22" max="23" width="8.83203125" style="63"/>
    <col min="24" max="24" width="9.33203125" style="63" bestFit="1" customWidth="1"/>
    <col min="25" max="27" width="8.83203125" style="63"/>
    <col min="28" max="58" width="9" style="63" bestFit="1" customWidth="1"/>
    <col min="59" max="59" width="12.33203125" style="63" bestFit="1" customWidth="1"/>
    <col min="60" max="60" width="9" style="63" bestFit="1" customWidth="1"/>
    <col min="61" max="61" width="11.33203125" style="63" bestFit="1" customWidth="1"/>
    <col min="62" max="77" width="9" style="63" bestFit="1" customWidth="1"/>
    <col min="78" max="78" width="12.33203125" style="63" bestFit="1" customWidth="1"/>
    <col min="79" max="79" width="9" style="63" bestFit="1" customWidth="1"/>
    <col min="80" max="80" width="12.33203125" style="63" bestFit="1" customWidth="1"/>
    <col min="81" max="107" width="9" style="63" bestFit="1" customWidth="1"/>
    <col min="108" max="108" width="11.33203125" style="63" bestFit="1" customWidth="1"/>
    <col min="109" max="124" width="9" style="63" bestFit="1" customWidth="1"/>
    <col min="125" max="125" width="10.33203125" style="63" bestFit="1" customWidth="1"/>
    <col min="126" max="129" width="9.33203125" style="63" bestFit="1" customWidth="1"/>
    <col min="130" max="130" width="9" style="63" bestFit="1" customWidth="1"/>
    <col min="131" max="134" width="9.33203125" style="63" bestFit="1" customWidth="1"/>
    <col min="135" max="165" width="9" style="63" bestFit="1" customWidth="1"/>
    <col min="166" max="166" width="12.33203125" style="63" bestFit="1" customWidth="1"/>
    <col min="167" max="170" width="9" style="63" bestFit="1" customWidth="1"/>
    <col min="171" max="176" width="8.83203125" style="63"/>
    <col min="177" max="177" width="13.83203125" style="63" bestFit="1" customWidth="1"/>
    <col min="178" max="16384" width="8.83203125" style="6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214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</v>
      </c>
      <c r="C2">
        <v>0.10000002384185791</v>
      </c>
      <c r="D2" s="165">
        <v>0.89999997615814209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1.1499999761581421</v>
      </c>
      <c r="C3">
        <v>1.0036585330963135</v>
      </c>
      <c r="D3" s="166">
        <v>0.14634145796298981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1.6299999952316284</v>
      </c>
      <c r="C4">
        <v>8.9489994570612907E-3</v>
      </c>
      <c r="D4" s="167">
        <v>0.11999999731779099</v>
      </c>
      <c r="E4" s="15">
        <v>2.7516948059201241E-2</v>
      </c>
      <c r="F4" s="173">
        <v>0.59753400087356567</v>
      </c>
      <c r="G4" s="174">
        <v>0.8760000467300415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2.5</v>
      </c>
      <c r="C5">
        <v>0.250588059425354</v>
      </c>
      <c r="D5" s="167">
        <v>0.18823529779911041</v>
      </c>
      <c r="E5"/>
      <c r="F5"/>
      <c r="G5" s="172">
        <v>2.0611765384674072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2.5</v>
      </c>
      <c r="C6">
        <v>8.9456886053085327E-2</v>
      </c>
      <c r="D6" s="168">
        <v>0.57700002193450928</v>
      </c>
      <c r="E6" s="18">
        <v>8.805423229932785E-2</v>
      </c>
      <c r="F6" s="17">
        <v>6.8289600312709808E-2</v>
      </c>
      <c r="G6" s="177">
        <v>1.5767999887466431</v>
      </c>
      <c r="H6"/>
      <c r="I6"/>
      <c r="J6" s="171">
        <v>0.10039928555488586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2.5</v>
      </c>
      <c r="C7">
        <v>0.25000005960464478</v>
      </c>
      <c r="D7" s="169">
        <v>1.4996918439865112</v>
      </c>
      <c r="E7" s="170">
        <v>0.75030803680419922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2.5</v>
      </c>
      <c r="C8">
        <v>2.4690768718719482</v>
      </c>
      <c r="D8"/>
      <c r="E8"/>
      <c r="F8" s="11">
        <v>4.8778284690342844E-4</v>
      </c>
      <c r="G8" s="16">
        <v>2.0022859796881676E-2</v>
      </c>
      <c r="H8" s="12">
        <v>1.0412499308586121E-2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40</v>
      </c>
      <c r="C9">
        <v>4.0000009536743164</v>
      </c>
      <c r="D9"/>
      <c r="E9"/>
      <c r="F9"/>
      <c r="G9"/>
      <c r="H9"/>
      <c r="I9" s="17">
        <v>1.1044765710830688</v>
      </c>
      <c r="J9"/>
      <c r="K9"/>
      <c r="L9"/>
      <c r="M9"/>
      <c r="N9" s="17">
        <v>1.0919103622436523</v>
      </c>
      <c r="O9" s="179">
        <v>33.803611755371094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100</v>
      </c>
      <c r="C10">
        <v>98.4183349609375</v>
      </c>
      <c r="D10"/>
      <c r="E10"/>
      <c r="F10"/>
      <c r="G10"/>
      <c r="H10"/>
      <c r="I10"/>
      <c r="J10"/>
      <c r="K10"/>
      <c r="L10"/>
      <c r="M10"/>
      <c r="N10"/>
      <c r="O10"/>
      <c r="P10" s="14">
        <v>1.5816665887832642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29</v>
      </c>
      <c r="C11">
        <v>27.217819213867188</v>
      </c>
      <c r="D11"/>
      <c r="E11"/>
      <c r="F11"/>
      <c r="G11"/>
      <c r="H11"/>
      <c r="I11" s="119">
        <v>1.7821817398071289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</v>
      </c>
      <c r="C12">
        <v>0.5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29</v>
      </c>
      <c r="C13">
        <v>0.56738287210464478</v>
      </c>
      <c r="D13"/>
      <c r="E13"/>
      <c r="F13"/>
      <c r="G13"/>
      <c r="H13"/>
      <c r="I13" s="175">
        <v>9.0480003356933594</v>
      </c>
      <c r="J13"/>
      <c r="K13"/>
      <c r="L13"/>
      <c r="M13"/>
      <c r="N13"/>
      <c r="O13" s="176">
        <v>19.384616851806641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40</v>
      </c>
      <c r="C14">
        <v>2.6917815208435059</v>
      </c>
      <c r="D14"/>
      <c r="E14"/>
      <c r="F14"/>
      <c r="G14"/>
      <c r="H14"/>
      <c r="I14"/>
      <c r="J14"/>
      <c r="K14"/>
      <c r="L14"/>
      <c r="M14"/>
      <c r="N14" s="55">
        <v>2.7876713275909424</v>
      </c>
      <c r="O14" s="178">
        <v>34.520545959472656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1022</v>
      </c>
      <c r="C15">
        <v>858.2786865234375</v>
      </c>
      <c r="D15"/>
      <c r="E15"/>
      <c r="F15"/>
      <c r="G15"/>
      <c r="H15"/>
      <c r="I15"/>
      <c r="J15"/>
      <c r="K15"/>
      <c r="L15"/>
      <c r="M15" s="180">
        <v>120</v>
      </c>
      <c r="N15"/>
      <c r="O15" s="12">
        <v>4.7880001068115234</v>
      </c>
      <c r="P15"/>
      <c r="Q15" s="13">
        <v>38.933334350585938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330</v>
      </c>
      <c r="C16">
        <v>279.6470947265625</v>
      </c>
      <c r="D16"/>
      <c r="E16"/>
      <c r="F16"/>
      <c r="G16"/>
      <c r="H16"/>
      <c r="I16"/>
      <c r="J16"/>
      <c r="K16" s="15">
        <v>5.8333334922790527</v>
      </c>
      <c r="L16" s="167">
        <v>24.849416732788086</v>
      </c>
      <c r="M16"/>
      <c r="N16" s="11">
        <v>0.20350001752376556</v>
      </c>
      <c r="O16"/>
      <c r="P16"/>
      <c r="Q16" s="53">
        <v>19.466667175292969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/>
      <c r="C17">
        <v>0.56276237964630127</v>
      </c>
      <c r="D17"/>
      <c r="E17"/>
      <c r="F17"/>
      <c r="G17"/>
      <c r="H17"/>
      <c r="I17"/>
      <c r="J17"/>
      <c r="K17" s="9">
        <v>350</v>
      </c>
      <c r="L17"/>
      <c r="M17"/>
      <c r="N17"/>
      <c r="O17" s="9">
        <v>88.830001831054688</v>
      </c>
      <c r="P17"/>
      <c r="Q17"/>
      <c r="R17" s="9">
        <v>15330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/>
      <c r="C18">
        <v>0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G25" sqref="G2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1" t="s">
        <v>166</v>
      </c>
    </row>
    <row r="2" spans="1:12" x14ac:dyDescent="0.15">
      <c r="A2" s="1" t="s">
        <v>37</v>
      </c>
      <c r="B2" s="28">
        <v>3</v>
      </c>
      <c r="C2" s="26"/>
      <c r="D2" t="s">
        <v>38</v>
      </c>
      <c r="E2">
        <v>1</v>
      </c>
      <c r="F2">
        <v>1</v>
      </c>
      <c r="G2">
        <v>1</v>
      </c>
      <c r="H2" t="s">
        <v>38</v>
      </c>
      <c r="J2" s="44"/>
      <c r="K2" s="45"/>
      <c r="L2" s="51" t="s">
        <v>167</v>
      </c>
    </row>
    <row r="3" spans="1:12" ht="14" thickBot="1" x14ac:dyDescent="0.2">
      <c r="A3" s="1" t="s">
        <v>39</v>
      </c>
      <c r="B3" s="29">
        <v>0</v>
      </c>
      <c r="C3" s="2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6"/>
      <c r="K3" s="4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6"/>
      <c r="K4" s="47"/>
    </row>
    <row r="5" spans="1:12" x14ac:dyDescent="0.15">
      <c r="D5" s="157" t="s">
        <v>192</v>
      </c>
      <c r="E5">
        <v>4</v>
      </c>
      <c r="F5">
        <v>3.1</v>
      </c>
      <c r="G5">
        <v>4</v>
      </c>
      <c r="H5" s="158" t="s">
        <v>192</v>
      </c>
      <c r="J5" s="46"/>
      <c r="K5" s="47"/>
    </row>
    <row r="6" spans="1:12" ht="14" thickBot="1" x14ac:dyDescent="0.2">
      <c r="A6" s="30" t="s">
        <v>121</v>
      </c>
      <c r="D6" s="157" t="s">
        <v>193</v>
      </c>
      <c r="E6">
        <v>5</v>
      </c>
      <c r="F6">
        <v>3.24</v>
      </c>
      <c r="G6">
        <v>5</v>
      </c>
      <c r="H6" s="158" t="s">
        <v>193</v>
      </c>
      <c r="J6" s="46"/>
      <c r="K6" s="47"/>
    </row>
    <row r="7" spans="1:12" x14ac:dyDescent="0.15">
      <c r="A7" s="25" t="s">
        <v>126</v>
      </c>
      <c r="B7" s="32">
        <v>1</v>
      </c>
      <c r="C7" s="27"/>
      <c r="D7" s="157" t="s">
        <v>194</v>
      </c>
      <c r="E7">
        <v>6</v>
      </c>
      <c r="F7">
        <v>3.24</v>
      </c>
      <c r="G7">
        <v>6</v>
      </c>
      <c r="H7" s="158" t="s">
        <v>194</v>
      </c>
      <c r="J7" s="46"/>
      <c r="K7" s="47"/>
    </row>
    <row r="8" spans="1:12" x14ac:dyDescent="0.15">
      <c r="A8" s="25" t="s">
        <v>38</v>
      </c>
      <c r="B8" s="33">
        <v>1</v>
      </c>
      <c r="C8" s="27"/>
      <c r="D8" s="157" t="s">
        <v>195</v>
      </c>
      <c r="E8">
        <v>7</v>
      </c>
      <c r="F8">
        <v>3.24</v>
      </c>
      <c r="G8">
        <v>7</v>
      </c>
      <c r="H8" s="158" t="s">
        <v>195</v>
      </c>
      <c r="J8" s="46"/>
      <c r="K8" s="47"/>
    </row>
    <row r="9" spans="1:12" x14ac:dyDescent="0.15">
      <c r="A9" s="25" t="s">
        <v>40</v>
      </c>
      <c r="B9" s="33">
        <v>1.1000000000000001</v>
      </c>
      <c r="C9" s="27"/>
      <c r="D9" s="157" t="s">
        <v>196</v>
      </c>
      <c r="E9">
        <v>8</v>
      </c>
      <c r="F9">
        <v>3.14</v>
      </c>
      <c r="G9">
        <v>8</v>
      </c>
      <c r="H9" s="158" t="s">
        <v>196</v>
      </c>
      <c r="J9" s="46"/>
      <c r="K9" s="47"/>
    </row>
    <row r="10" spans="1:12" x14ac:dyDescent="0.15">
      <c r="A10" s="25" t="s">
        <v>41</v>
      </c>
      <c r="B10" s="33">
        <v>1.2</v>
      </c>
      <c r="C10" s="27"/>
      <c r="D10" s="157" t="s">
        <v>197</v>
      </c>
      <c r="E10">
        <v>9</v>
      </c>
      <c r="F10">
        <v>3.14</v>
      </c>
      <c r="G10">
        <v>9</v>
      </c>
      <c r="H10" s="158" t="s">
        <v>197</v>
      </c>
      <c r="J10" s="46"/>
      <c r="K10" s="47"/>
    </row>
    <row r="11" spans="1:12" ht="12" customHeight="1" x14ac:dyDescent="0.15">
      <c r="A11" s="31" t="s">
        <v>127</v>
      </c>
      <c r="B11" s="33">
        <v>2</v>
      </c>
      <c r="C11" s="27"/>
      <c r="D11" s="157" t="s">
        <v>198</v>
      </c>
      <c r="E11">
        <v>10</v>
      </c>
      <c r="F11">
        <v>3.21</v>
      </c>
      <c r="G11">
        <v>10</v>
      </c>
      <c r="H11" s="158" t="s">
        <v>198</v>
      </c>
      <c r="J11" s="46"/>
      <c r="K11" s="47"/>
    </row>
    <row r="12" spans="1:12" x14ac:dyDescent="0.15">
      <c r="A12" s="25" t="s">
        <v>42</v>
      </c>
      <c r="B12" s="33">
        <v>2.1</v>
      </c>
      <c r="C12" s="27"/>
      <c r="D12" s="157" t="s">
        <v>199</v>
      </c>
      <c r="E12">
        <v>11</v>
      </c>
      <c r="F12">
        <v>3.11</v>
      </c>
      <c r="G12">
        <v>11</v>
      </c>
      <c r="H12" s="158" t="s">
        <v>199</v>
      </c>
      <c r="J12" s="46"/>
      <c r="K12" s="47"/>
    </row>
    <row r="13" spans="1:12" x14ac:dyDescent="0.15">
      <c r="A13" s="25" t="s">
        <v>43</v>
      </c>
      <c r="B13" s="33">
        <v>2.2000000000000002</v>
      </c>
      <c r="C13" s="27"/>
      <c r="D13" s="157" t="s">
        <v>200</v>
      </c>
      <c r="E13">
        <v>12</v>
      </c>
      <c r="F13">
        <v>3.1110000000000002</v>
      </c>
      <c r="G13">
        <v>12</v>
      </c>
      <c r="H13" s="158" t="s">
        <v>200</v>
      </c>
      <c r="J13" s="46"/>
      <c r="K13" s="47"/>
    </row>
    <row r="14" spans="1:12" x14ac:dyDescent="0.15">
      <c r="A14" s="25" t="s">
        <v>67</v>
      </c>
      <c r="B14" s="33">
        <v>2.2999999999999998</v>
      </c>
      <c r="C14" s="27"/>
      <c r="D14" s="157" t="s">
        <v>201</v>
      </c>
      <c r="E14">
        <v>13</v>
      </c>
      <c r="F14">
        <v>3.11</v>
      </c>
      <c r="G14">
        <v>13</v>
      </c>
      <c r="H14" s="158" t="s">
        <v>201</v>
      </c>
      <c r="J14" s="46"/>
      <c r="K14" s="47"/>
    </row>
    <row r="15" spans="1:12" x14ac:dyDescent="0.15">
      <c r="A15" s="31" t="s">
        <v>128</v>
      </c>
      <c r="B15" s="33">
        <v>3</v>
      </c>
      <c r="C15" s="27"/>
      <c r="D15" s="157" t="s">
        <v>202</v>
      </c>
      <c r="E15">
        <v>14</v>
      </c>
      <c r="F15">
        <v>3.11</v>
      </c>
      <c r="G15">
        <v>14</v>
      </c>
      <c r="H15" s="158" t="s">
        <v>202</v>
      </c>
      <c r="J15" s="46"/>
      <c r="K15" s="47"/>
    </row>
    <row r="16" spans="1:12" x14ac:dyDescent="0.15">
      <c r="A16" s="25" t="s">
        <v>62</v>
      </c>
      <c r="B16" s="33">
        <v>3.11</v>
      </c>
      <c r="C16" s="27"/>
      <c r="D16" s="157" t="s">
        <v>203</v>
      </c>
      <c r="E16">
        <v>15</v>
      </c>
      <c r="F16">
        <v>3.11</v>
      </c>
      <c r="G16">
        <v>15</v>
      </c>
      <c r="H16" s="158" t="s">
        <v>203</v>
      </c>
      <c r="J16" s="46"/>
      <c r="K16" s="47"/>
    </row>
    <row r="17" spans="1:12" x14ac:dyDescent="0.15">
      <c r="A17" s="25" t="s">
        <v>61</v>
      </c>
      <c r="B17" s="33">
        <v>3.12</v>
      </c>
      <c r="C17" s="27"/>
      <c r="D17" s="157" t="s">
        <v>204</v>
      </c>
      <c r="E17">
        <v>16</v>
      </c>
      <c r="F17">
        <v>3.1</v>
      </c>
      <c r="G17">
        <v>16</v>
      </c>
      <c r="H17" s="158" t="s">
        <v>204</v>
      </c>
      <c r="J17" s="46"/>
      <c r="K17" s="47"/>
    </row>
    <row r="18" spans="1:12" x14ac:dyDescent="0.15">
      <c r="A18" s="25" t="s">
        <v>68</v>
      </c>
      <c r="B18" s="33">
        <v>3.13</v>
      </c>
      <c r="C18" s="27"/>
      <c r="D18" s="157" t="s">
        <v>205</v>
      </c>
      <c r="E18">
        <v>17</v>
      </c>
      <c r="F18">
        <v>9</v>
      </c>
      <c r="G18">
        <v>17</v>
      </c>
      <c r="H18" s="158" t="s">
        <v>205</v>
      </c>
      <c r="J18" s="46"/>
      <c r="K18" s="47"/>
    </row>
    <row r="19" spans="1:12" x14ac:dyDescent="0.15">
      <c r="A19" s="25" t="s">
        <v>66</v>
      </c>
      <c r="B19" s="33">
        <v>3.21</v>
      </c>
      <c r="C19" s="27"/>
      <c r="D19" s="157" t="s">
        <v>206</v>
      </c>
      <c r="E19">
        <v>18</v>
      </c>
      <c r="F19">
        <v>2.1</v>
      </c>
      <c r="G19">
        <v>18</v>
      </c>
      <c r="H19" s="158" t="s">
        <v>206</v>
      </c>
      <c r="J19" s="46"/>
      <c r="K19" s="47"/>
    </row>
    <row r="20" spans="1:12" x14ac:dyDescent="0.15">
      <c r="A20" s="25" t="s">
        <v>63</v>
      </c>
      <c r="B20" s="33">
        <v>3.22</v>
      </c>
      <c r="C20" s="27"/>
      <c r="D20" s="157" t="s">
        <v>207</v>
      </c>
      <c r="E20">
        <v>19</v>
      </c>
      <c r="F20">
        <v>4.0999999999999996</v>
      </c>
      <c r="G20">
        <v>19</v>
      </c>
      <c r="H20" s="158" t="s">
        <v>207</v>
      </c>
      <c r="J20" s="46"/>
      <c r="K20" s="47"/>
    </row>
    <row r="21" spans="1:12" ht="14" thickBot="1" x14ac:dyDescent="0.2">
      <c r="A21" s="25" t="s">
        <v>69</v>
      </c>
      <c r="B21" s="33">
        <v>3.23</v>
      </c>
      <c r="C21" s="27"/>
      <c r="D21" s="157" t="s">
        <v>208</v>
      </c>
      <c r="E21">
        <v>20</v>
      </c>
      <c r="F21">
        <v>4.3</v>
      </c>
      <c r="G21">
        <v>20</v>
      </c>
      <c r="H21" s="158" t="s">
        <v>208</v>
      </c>
      <c r="J21" s="48"/>
      <c r="K21" s="49"/>
      <c r="L21" s="51" t="s">
        <v>152</v>
      </c>
    </row>
    <row r="22" spans="1:12" x14ac:dyDescent="0.15">
      <c r="A22" s="25" t="s">
        <v>64</v>
      </c>
      <c r="B22" s="33">
        <v>8</v>
      </c>
      <c r="C22" s="27"/>
      <c r="D22" s="157" t="s">
        <v>209</v>
      </c>
      <c r="E22">
        <v>21</v>
      </c>
      <c r="F22">
        <v>5</v>
      </c>
      <c r="G22">
        <v>21</v>
      </c>
      <c r="H22" s="158" t="s">
        <v>209</v>
      </c>
    </row>
    <row r="23" spans="1:12" x14ac:dyDescent="0.15">
      <c r="A23" s="25" t="s">
        <v>129</v>
      </c>
      <c r="B23" s="33">
        <v>4</v>
      </c>
      <c r="C23" s="27"/>
      <c r="D23" s="157" t="s">
        <v>138</v>
      </c>
      <c r="E23">
        <v>22</v>
      </c>
      <c r="F23">
        <v>6.1</v>
      </c>
      <c r="G23">
        <v>22</v>
      </c>
      <c r="H23" s="158" t="s">
        <v>138</v>
      </c>
    </row>
    <row r="24" spans="1:12" x14ac:dyDescent="0.15">
      <c r="A24" s="25" t="s">
        <v>122</v>
      </c>
      <c r="B24" s="33">
        <v>4.0999999999999996</v>
      </c>
      <c r="C24" s="27"/>
      <c r="D24" s="157" t="s">
        <v>45</v>
      </c>
      <c r="E24">
        <v>23</v>
      </c>
      <c r="F24">
        <v>6.2</v>
      </c>
      <c r="G24">
        <v>23</v>
      </c>
      <c r="H24" s="158" t="s">
        <v>45</v>
      </c>
    </row>
    <row r="25" spans="1:12" x14ac:dyDescent="0.15">
      <c r="A25" s="25" t="s">
        <v>70</v>
      </c>
      <c r="B25" s="33">
        <v>4.2</v>
      </c>
      <c r="C25" s="27"/>
    </row>
    <row r="26" spans="1:12" x14ac:dyDescent="0.15">
      <c r="A26" s="25" t="s">
        <v>123</v>
      </c>
      <c r="B26" s="33">
        <v>4.3</v>
      </c>
      <c r="C26" s="27"/>
    </row>
    <row r="27" spans="1:12" x14ac:dyDescent="0.15">
      <c r="A27" s="25" t="s">
        <v>125</v>
      </c>
      <c r="B27" s="33">
        <v>6.1</v>
      </c>
    </row>
    <row r="28" spans="1:12" x14ac:dyDescent="0.15">
      <c r="A28" s="25" t="s">
        <v>124</v>
      </c>
      <c r="B28" s="33">
        <v>6.2</v>
      </c>
    </row>
    <row r="29" spans="1:12" x14ac:dyDescent="0.15">
      <c r="A29" s="25" t="s">
        <v>44</v>
      </c>
      <c r="B29" s="33">
        <v>5</v>
      </c>
    </row>
    <row r="30" spans="1:12" x14ac:dyDescent="0.15">
      <c r="A30" s="25" t="s">
        <v>73</v>
      </c>
      <c r="B30" s="33">
        <v>7</v>
      </c>
    </row>
    <row r="31" spans="1:12" x14ac:dyDescent="0.15">
      <c r="A31" s="25" t="s">
        <v>169</v>
      </c>
      <c r="B31" s="33">
        <v>3.14</v>
      </c>
    </row>
    <row r="32" spans="1:12" ht="12" customHeight="1" thickBot="1" x14ac:dyDescent="0.2">
      <c r="A32" s="31" t="s">
        <v>170</v>
      </c>
      <c r="B32" s="34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4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64" bestFit="1" customWidth="1"/>
    <col min="2" max="2" width="3.83203125" style="63" customWidth="1"/>
    <col min="3" max="3" width="13.1640625" style="63" customWidth="1"/>
    <col min="4" max="4" width="39.6640625" style="63" customWidth="1"/>
    <col min="5" max="5" width="8.1640625" style="63" customWidth="1"/>
    <col min="6" max="6" width="21.6640625" style="63" bestFit="1" customWidth="1"/>
    <col min="7" max="9" width="2.33203125" style="63" customWidth="1"/>
    <col min="10" max="10" width="2.33203125" style="63" bestFit="1" customWidth="1"/>
    <col min="11" max="15" width="2.33203125" style="63" customWidth="1"/>
    <col min="16" max="16" width="2.33203125" style="56" customWidth="1"/>
    <col min="17" max="17" width="2.33203125" style="63" customWidth="1"/>
    <col min="18" max="18" width="2.33203125" style="57" customWidth="1"/>
    <col min="19" max="16384" width="11.5" style="63"/>
  </cols>
  <sheetData>
    <row r="1" spans="1:23" ht="15" customHeight="1" thickBot="1" x14ac:dyDescent="0.2">
      <c r="F1" s="1"/>
      <c r="G1" s="54" t="s">
        <v>46</v>
      </c>
      <c r="H1" s="54" t="s">
        <v>47</v>
      </c>
      <c r="I1" s="54" t="s">
        <v>120</v>
      </c>
      <c r="J1" s="54" t="s">
        <v>132</v>
      </c>
      <c r="K1" s="65" t="s">
        <v>48</v>
      </c>
      <c r="L1" s="57"/>
      <c r="M1" s="65" t="s">
        <v>119</v>
      </c>
      <c r="N1" s="57"/>
      <c r="O1" s="65" t="s">
        <v>49</v>
      </c>
      <c r="P1" s="58"/>
      <c r="Q1" s="65" t="s">
        <v>50</v>
      </c>
      <c r="R1" s="54" t="s">
        <v>154</v>
      </c>
    </row>
    <row r="2" spans="1:23" ht="15" customHeight="1" x14ac:dyDescent="0.15">
      <c r="A2" s="65" t="s">
        <v>51</v>
      </c>
      <c r="B2" s="66">
        <v>0.5</v>
      </c>
      <c r="C2" s="64" t="s">
        <v>52</v>
      </c>
      <c r="D2" s="67"/>
      <c r="F2" s="1"/>
      <c r="G2" s="68"/>
      <c r="H2" s="68"/>
      <c r="I2" s="68" t="s">
        <v>133</v>
      </c>
      <c r="J2" s="68" t="s">
        <v>133</v>
      </c>
      <c r="K2" s="68" t="s">
        <v>52</v>
      </c>
      <c r="L2" s="68" t="s">
        <v>53</v>
      </c>
      <c r="M2" s="68" t="s">
        <v>52</v>
      </c>
      <c r="N2" s="68" t="s">
        <v>53</v>
      </c>
      <c r="O2" s="68" t="s">
        <v>52</v>
      </c>
      <c r="P2" s="69" t="s">
        <v>53</v>
      </c>
      <c r="Q2" s="68"/>
      <c r="R2" s="70" t="s">
        <v>155</v>
      </c>
    </row>
    <row r="3" spans="1:23" ht="15" customHeight="1" thickBot="1" x14ac:dyDescent="0.2">
      <c r="A3" s="65" t="s">
        <v>54</v>
      </c>
      <c r="B3" s="71">
        <v>0.5</v>
      </c>
      <c r="C3" s="64" t="s">
        <v>53</v>
      </c>
      <c r="D3" s="6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6">
        <v>0</v>
      </c>
      <c r="R3" s="2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6">
        <v>0</v>
      </c>
      <c r="R4" s="88">
        <v>0</v>
      </c>
    </row>
    <row r="5" spans="1:23" ht="15" customHeight="1" x14ac:dyDescent="0.15">
      <c r="A5" s="65" t="s">
        <v>55</v>
      </c>
      <c r="B5" s="72">
        <v>0.5</v>
      </c>
      <c r="C5" s="64" t="s">
        <v>52</v>
      </c>
      <c r="D5" s="6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6">
        <v>0</v>
      </c>
      <c r="R5" s="88">
        <v>0</v>
      </c>
    </row>
    <row r="6" spans="1:23" ht="15" customHeight="1" thickBot="1" x14ac:dyDescent="0.2">
      <c r="A6" s="65"/>
      <c r="B6" s="73">
        <v>0.5</v>
      </c>
      <c r="C6" s="64" t="s">
        <v>53</v>
      </c>
      <c r="D6" s="67"/>
      <c r="F6" s="159" t="s">
        <v>192</v>
      </c>
      <c r="G6" s="63">
        <v>0</v>
      </c>
      <c r="H6" s="63">
        <v>0</v>
      </c>
      <c r="I6" s="63">
        <v>0</v>
      </c>
      <c r="J6" s="63">
        <v>0</v>
      </c>
      <c r="K6" s="63">
        <v>1</v>
      </c>
      <c r="L6" s="63">
        <v>0</v>
      </c>
      <c r="M6" s="63">
        <v>1</v>
      </c>
      <c r="N6" s="63">
        <v>0</v>
      </c>
      <c r="O6" s="63">
        <v>1</v>
      </c>
      <c r="P6" s="56">
        <v>0</v>
      </c>
      <c r="Q6" s="63">
        <v>0</v>
      </c>
      <c r="R6" s="57">
        <v>1</v>
      </c>
      <c r="S6"/>
      <c r="T6"/>
    </row>
    <row r="7" spans="1:23" ht="15" customHeight="1" thickBot="1" x14ac:dyDescent="0.2">
      <c r="F7" s="159" t="s">
        <v>193</v>
      </c>
      <c r="G7" s="63">
        <v>0</v>
      </c>
      <c r="H7" s="63">
        <v>0</v>
      </c>
      <c r="I7" s="63">
        <v>0</v>
      </c>
      <c r="J7" s="63">
        <v>0</v>
      </c>
      <c r="K7" s="63">
        <v>1</v>
      </c>
      <c r="L7" s="63">
        <v>0</v>
      </c>
      <c r="M7" s="63">
        <v>1</v>
      </c>
      <c r="N7" s="63">
        <v>0</v>
      </c>
      <c r="O7" s="63">
        <v>1</v>
      </c>
      <c r="P7" s="56">
        <v>0</v>
      </c>
      <c r="Q7" s="63">
        <v>0</v>
      </c>
      <c r="R7" s="57">
        <v>1</v>
      </c>
      <c r="S7"/>
      <c r="T7"/>
    </row>
    <row r="8" spans="1:23" ht="15" customHeight="1" x14ac:dyDescent="0.15">
      <c r="A8" s="65" t="s">
        <v>56</v>
      </c>
      <c r="B8" s="72">
        <v>1</v>
      </c>
      <c r="C8" s="160" t="s">
        <v>206</v>
      </c>
      <c r="D8" s="67" t="s">
        <v>160</v>
      </c>
      <c r="F8" s="159" t="s">
        <v>194</v>
      </c>
      <c r="G8" s="63">
        <v>0</v>
      </c>
      <c r="H8" s="63">
        <v>0</v>
      </c>
      <c r="I8" s="63">
        <v>0</v>
      </c>
      <c r="J8" s="63">
        <v>0</v>
      </c>
      <c r="K8" s="63">
        <v>1</v>
      </c>
      <c r="L8" s="63">
        <v>0</v>
      </c>
      <c r="M8" s="63">
        <v>1</v>
      </c>
      <c r="N8" s="63">
        <v>0</v>
      </c>
      <c r="O8" s="63">
        <v>1</v>
      </c>
      <c r="P8" s="56">
        <v>0</v>
      </c>
      <c r="Q8" s="63">
        <v>0</v>
      </c>
      <c r="R8" s="57">
        <v>1</v>
      </c>
      <c r="S8"/>
      <c r="T8"/>
      <c r="W8"/>
    </row>
    <row r="9" spans="1:23" ht="15" customHeight="1" x14ac:dyDescent="0.15">
      <c r="A9" s="102" t="s">
        <v>168</v>
      </c>
      <c r="B9" s="74"/>
      <c r="C9" s="62"/>
      <c r="D9" s="67" t="s">
        <v>160</v>
      </c>
      <c r="F9" s="159" t="s">
        <v>195</v>
      </c>
      <c r="G9" s="63">
        <v>0</v>
      </c>
      <c r="H9" s="63">
        <v>0</v>
      </c>
      <c r="I9" s="63">
        <v>0</v>
      </c>
      <c r="J9" s="63">
        <v>0</v>
      </c>
      <c r="K9" s="63">
        <v>1</v>
      </c>
      <c r="L9" s="63">
        <v>0</v>
      </c>
      <c r="M9" s="63">
        <v>1</v>
      </c>
      <c r="N9" s="63">
        <v>0</v>
      </c>
      <c r="O9" s="63">
        <v>1</v>
      </c>
      <c r="P9" s="56">
        <v>0</v>
      </c>
      <c r="Q9" s="63">
        <v>0</v>
      </c>
      <c r="R9" s="57">
        <v>1</v>
      </c>
      <c r="S9"/>
      <c r="T9"/>
      <c r="W9"/>
    </row>
    <row r="10" spans="1:23" ht="15" customHeight="1" x14ac:dyDescent="0.15">
      <c r="B10" s="74"/>
      <c r="C10" s="62"/>
      <c r="D10" s="67" t="s">
        <v>160</v>
      </c>
      <c r="F10" s="159" t="s">
        <v>196</v>
      </c>
      <c r="G10" s="63">
        <v>0</v>
      </c>
      <c r="H10" s="63">
        <v>0</v>
      </c>
      <c r="I10" s="63">
        <v>0</v>
      </c>
      <c r="J10" s="63">
        <v>0</v>
      </c>
      <c r="K10" s="63">
        <v>1</v>
      </c>
      <c r="L10" s="63">
        <v>0</v>
      </c>
      <c r="M10" s="63">
        <v>1</v>
      </c>
      <c r="N10" s="63">
        <v>0</v>
      </c>
      <c r="O10" s="63">
        <v>1</v>
      </c>
      <c r="P10" s="56">
        <v>0</v>
      </c>
      <c r="Q10" s="63">
        <v>0</v>
      </c>
      <c r="R10" s="57">
        <v>1</v>
      </c>
      <c r="S10"/>
      <c r="T10"/>
      <c r="W10"/>
    </row>
    <row r="11" spans="1:23" ht="15" customHeight="1" x14ac:dyDescent="0.15">
      <c r="A11" s="65"/>
      <c r="B11" s="74"/>
      <c r="C11" s="77"/>
      <c r="D11" s="67" t="s">
        <v>160</v>
      </c>
      <c r="F11" s="159" t="s">
        <v>197</v>
      </c>
      <c r="G11" s="63">
        <v>0</v>
      </c>
      <c r="H11" s="63">
        <v>0</v>
      </c>
      <c r="I11" s="63">
        <v>0</v>
      </c>
      <c r="J11" s="63">
        <v>0</v>
      </c>
      <c r="K11" s="63">
        <v>1</v>
      </c>
      <c r="L11" s="63">
        <v>0</v>
      </c>
      <c r="M11" s="63">
        <v>1</v>
      </c>
      <c r="N11" s="63">
        <v>0</v>
      </c>
      <c r="O11" s="63">
        <v>1</v>
      </c>
      <c r="P11" s="56">
        <v>0</v>
      </c>
      <c r="Q11" s="63">
        <v>0</v>
      </c>
      <c r="R11" s="57">
        <v>1</v>
      </c>
      <c r="S11"/>
      <c r="T11"/>
      <c r="W11"/>
    </row>
    <row r="12" spans="1:23" ht="15" customHeight="1" x14ac:dyDescent="0.15">
      <c r="B12" s="74"/>
      <c r="C12" s="78"/>
      <c r="D12" s="67" t="s">
        <v>160</v>
      </c>
      <c r="F12" s="159" t="s">
        <v>198</v>
      </c>
      <c r="G12" s="63">
        <v>0</v>
      </c>
      <c r="H12" s="63">
        <v>0</v>
      </c>
      <c r="I12" s="63">
        <v>0</v>
      </c>
      <c r="J12" s="63">
        <v>0</v>
      </c>
      <c r="K12" s="63">
        <v>1</v>
      </c>
      <c r="L12" s="63">
        <v>0</v>
      </c>
      <c r="M12" s="63">
        <v>1</v>
      </c>
      <c r="N12" s="63">
        <v>0</v>
      </c>
      <c r="O12" s="63">
        <v>1</v>
      </c>
      <c r="P12" s="56">
        <v>0</v>
      </c>
      <c r="Q12" s="63">
        <v>0</v>
      </c>
      <c r="R12" s="57">
        <v>1</v>
      </c>
      <c r="S12"/>
      <c r="T12"/>
      <c r="W12"/>
    </row>
    <row r="13" spans="1:23" ht="15" customHeight="1" x14ac:dyDescent="0.15">
      <c r="B13" s="74"/>
      <c r="C13" s="78"/>
      <c r="D13" s="67" t="s">
        <v>160</v>
      </c>
      <c r="F13" s="159" t="s">
        <v>199</v>
      </c>
      <c r="G13" s="63">
        <v>0</v>
      </c>
      <c r="H13" s="63">
        <v>0</v>
      </c>
      <c r="I13" s="63">
        <v>0</v>
      </c>
      <c r="J13" s="63">
        <v>0</v>
      </c>
      <c r="K13" s="63">
        <v>1</v>
      </c>
      <c r="L13" s="63">
        <v>0</v>
      </c>
      <c r="M13" s="63">
        <v>1</v>
      </c>
      <c r="N13" s="63">
        <v>0</v>
      </c>
      <c r="O13" s="63">
        <v>1</v>
      </c>
      <c r="P13" s="56">
        <v>0</v>
      </c>
      <c r="Q13" s="63">
        <v>0</v>
      </c>
      <c r="R13" s="57">
        <v>1</v>
      </c>
      <c r="S13"/>
      <c r="T13"/>
      <c r="W13"/>
    </row>
    <row r="14" spans="1:23" ht="15" customHeight="1" x14ac:dyDescent="0.15">
      <c r="B14" s="74"/>
      <c r="C14" s="62"/>
      <c r="D14" s="67" t="s">
        <v>160</v>
      </c>
      <c r="F14" s="159" t="s">
        <v>200</v>
      </c>
      <c r="G14" s="63">
        <v>0</v>
      </c>
      <c r="H14" s="63">
        <v>0</v>
      </c>
      <c r="I14" s="63">
        <v>0</v>
      </c>
      <c r="J14" s="63">
        <v>0</v>
      </c>
      <c r="K14" s="63">
        <v>1</v>
      </c>
      <c r="L14" s="63">
        <v>0</v>
      </c>
      <c r="M14" s="63">
        <v>1</v>
      </c>
      <c r="N14" s="63">
        <v>0</v>
      </c>
      <c r="O14" s="63">
        <v>1</v>
      </c>
      <c r="P14" s="56">
        <v>0</v>
      </c>
      <c r="Q14" s="63">
        <v>0</v>
      </c>
      <c r="R14" s="57">
        <v>1</v>
      </c>
      <c r="S14"/>
      <c r="T14"/>
      <c r="W14"/>
    </row>
    <row r="15" spans="1:23" ht="15" customHeight="1" x14ac:dyDescent="0.15">
      <c r="B15" s="74"/>
      <c r="C15" s="62"/>
      <c r="D15" s="67" t="s">
        <v>160</v>
      </c>
      <c r="F15" s="159" t="s">
        <v>201</v>
      </c>
      <c r="G15" s="63">
        <v>0</v>
      </c>
      <c r="H15" s="63">
        <v>0</v>
      </c>
      <c r="I15" s="63">
        <v>0</v>
      </c>
      <c r="J15" s="63">
        <v>0</v>
      </c>
      <c r="K15" s="63">
        <v>1</v>
      </c>
      <c r="L15" s="63">
        <v>0</v>
      </c>
      <c r="M15" s="63">
        <v>1</v>
      </c>
      <c r="N15" s="63">
        <v>0</v>
      </c>
      <c r="O15" s="63">
        <v>1</v>
      </c>
      <c r="P15" s="56">
        <v>0</v>
      </c>
      <c r="Q15" s="63">
        <v>0</v>
      </c>
      <c r="R15" s="57">
        <v>1</v>
      </c>
      <c r="S15"/>
      <c r="T15"/>
      <c r="W15"/>
    </row>
    <row r="16" spans="1:23" ht="15" customHeight="1" x14ac:dyDescent="0.15">
      <c r="B16" s="74"/>
      <c r="C16" s="62"/>
      <c r="D16" s="67" t="s">
        <v>160</v>
      </c>
      <c r="F16" s="159" t="s">
        <v>202</v>
      </c>
      <c r="G16" s="63">
        <v>0</v>
      </c>
      <c r="H16" s="63">
        <v>0</v>
      </c>
      <c r="I16" s="63">
        <v>0</v>
      </c>
      <c r="J16" s="63">
        <v>0</v>
      </c>
      <c r="K16" s="63">
        <v>1</v>
      </c>
      <c r="L16" s="63">
        <v>0</v>
      </c>
      <c r="M16" s="63">
        <v>1</v>
      </c>
      <c r="N16" s="63">
        <v>0</v>
      </c>
      <c r="O16" s="63">
        <v>1</v>
      </c>
      <c r="P16" s="56">
        <v>0</v>
      </c>
      <c r="Q16" s="63">
        <v>0</v>
      </c>
      <c r="R16" s="57">
        <v>1</v>
      </c>
      <c r="S16"/>
      <c r="T16"/>
    </row>
    <row r="17" spans="1:20" ht="15" customHeight="1" thickBot="1" x14ac:dyDescent="0.2">
      <c r="B17" s="73"/>
      <c r="C17" s="62"/>
      <c r="D17" s="67" t="s">
        <v>160</v>
      </c>
      <c r="F17" s="159" t="s">
        <v>203</v>
      </c>
      <c r="G17" s="63">
        <v>0</v>
      </c>
      <c r="H17" s="63">
        <v>0</v>
      </c>
      <c r="I17" s="63">
        <v>0</v>
      </c>
      <c r="J17" s="63">
        <v>0</v>
      </c>
      <c r="K17" s="63">
        <v>1</v>
      </c>
      <c r="L17" s="63">
        <v>0</v>
      </c>
      <c r="M17" s="63">
        <v>1</v>
      </c>
      <c r="N17" s="63">
        <v>0</v>
      </c>
      <c r="O17" s="63">
        <v>1</v>
      </c>
      <c r="P17" s="56">
        <v>0</v>
      </c>
      <c r="Q17" s="63">
        <v>0</v>
      </c>
      <c r="R17" s="57">
        <v>1</v>
      </c>
      <c r="S17"/>
      <c r="T17"/>
    </row>
    <row r="18" spans="1:20" ht="15" customHeight="1" thickBot="1" x14ac:dyDescent="0.2">
      <c r="B18" s="75"/>
      <c r="F18" s="159" t="s">
        <v>204</v>
      </c>
      <c r="G18" s="63">
        <v>0</v>
      </c>
      <c r="H18" s="63">
        <v>0</v>
      </c>
      <c r="I18" s="63">
        <v>0</v>
      </c>
      <c r="J18" s="63">
        <v>0</v>
      </c>
      <c r="K18" s="63">
        <v>1</v>
      </c>
      <c r="L18" s="63">
        <v>0</v>
      </c>
      <c r="M18" s="63">
        <v>1</v>
      </c>
      <c r="N18" s="63">
        <v>0</v>
      </c>
      <c r="O18" s="63">
        <v>1</v>
      </c>
      <c r="P18" s="56">
        <v>0</v>
      </c>
      <c r="Q18" s="63">
        <v>0</v>
      </c>
      <c r="R18" s="57">
        <v>1</v>
      </c>
      <c r="S18"/>
      <c r="T18"/>
    </row>
    <row r="19" spans="1:20" ht="15" customHeight="1" x14ac:dyDescent="0.15">
      <c r="A19" s="65" t="s">
        <v>57</v>
      </c>
      <c r="B19" s="72">
        <v>1</v>
      </c>
      <c r="C19" s="161" t="s">
        <v>206</v>
      </c>
      <c r="D19" s="67" t="s">
        <v>160</v>
      </c>
      <c r="F19" s="159" t="s">
        <v>205</v>
      </c>
      <c r="G19" s="63">
        <v>0</v>
      </c>
      <c r="H19" s="63">
        <v>0</v>
      </c>
      <c r="I19" s="63">
        <v>0</v>
      </c>
      <c r="J19" s="63">
        <v>0</v>
      </c>
      <c r="K19" s="63">
        <v>1</v>
      </c>
      <c r="L19" s="63">
        <v>0</v>
      </c>
      <c r="M19" s="63">
        <v>1</v>
      </c>
      <c r="N19" s="63">
        <v>0</v>
      </c>
      <c r="O19" s="63">
        <v>1</v>
      </c>
      <c r="P19" s="56">
        <v>0</v>
      </c>
      <c r="Q19" s="63">
        <v>0</v>
      </c>
      <c r="R19" s="57">
        <v>1</v>
      </c>
      <c r="S19"/>
      <c r="T19"/>
    </row>
    <row r="20" spans="1:20" ht="15" customHeight="1" x14ac:dyDescent="0.15">
      <c r="A20" s="102" t="s">
        <v>168</v>
      </c>
      <c r="B20" s="74"/>
      <c r="C20" s="62"/>
      <c r="D20" s="67" t="s">
        <v>160</v>
      </c>
      <c r="F20" s="159" t="s">
        <v>206</v>
      </c>
      <c r="G20" s="63">
        <v>0</v>
      </c>
      <c r="H20" s="63">
        <v>0</v>
      </c>
      <c r="I20" s="63">
        <v>0</v>
      </c>
      <c r="J20" s="63">
        <v>0</v>
      </c>
      <c r="K20" s="63">
        <v>0</v>
      </c>
      <c r="L20" s="63">
        <v>0</v>
      </c>
      <c r="M20" s="63">
        <v>1</v>
      </c>
      <c r="N20" s="63">
        <v>0</v>
      </c>
      <c r="O20" s="63">
        <v>0</v>
      </c>
      <c r="P20" s="56">
        <v>0</v>
      </c>
      <c r="Q20" s="63">
        <v>0</v>
      </c>
      <c r="R20" s="57">
        <v>1</v>
      </c>
      <c r="S20"/>
      <c r="T20"/>
    </row>
    <row r="21" spans="1:20" ht="15" customHeight="1" x14ac:dyDescent="0.15">
      <c r="B21" s="74"/>
      <c r="C21" s="62"/>
      <c r="D21" s="67" t="s">
        <v>160</v>
      </c>
      <c r="F21" s="159" t="s">
        <v>207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1</v>
      </c>
      <c r="M21" s="63">
        <v>0</v>
      </c>
      <c r="N21" s="63">
        <v>1</v>
      </c>
      <c r="O21" s="63">
        <v>0</v>
      </c>
      <c r="P21" s="56">
        <v>1</v>
      </c>
      <c r="Q21" s="63">
        <v>0</v>
      </c>
      <c r="R21" s="57">
        <v>1</v>
      </c>
      <c r="S21"/>
      <c r="T21"/>
    </row>
    <row r="22" spans="1:20" ht="15" customHeight="1" x14ac:dyDescent="0.15">
      <c r="A22" s="63"/>
      <c r="B22" s="74"/>
      <c r="C22" s="77"/>
      <c r="D22" s="67" t="s">
        <v>160</v>
      </c>
      <c r="F22" s="159" t="s">
        <v>208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1</v>
      </c>
      <c r="M22" s="63">
        <v>0</v>
      </c>
      <c r="N22" s="63">
        <v>1</v>
      </c>
      <c r="O22" s="63">
        <v>0</v>
      </c>
      <c r="P22" s="56">
        <v>1</v>
      </c>
      <c r="Q22" s="63">
        <v>0</v>
      </c>
      <c r="R22" s="57">
        <v>1</v>
      </c>
      <c r="S22"/>
      <c r="T22"/>
    </row>
    <row r="23" spans="1:20" ht="15" customHeight="1" x14ac:dyDescent="0.15">
      <c r="A23" s="63"/>
      <c r="B23" s="74"/>
      <c r="C23" s="78"/>
      <c r="D23" s="67" t="s">
        <v>160</v>
      </c>
      <c r="F23" s="159" t="s">
        <v>209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1</v>
      </c>
      <c r="M23" s="63">
        <v>0</v>
      </c>
      <c r="N23" s="63">
        <v>0</v>
      </c>
      <c r="O23" s="63">
        <v>0</v>
      </c>
      <c r="P23" s="56">
        <v>0</v>
      </c>
      <c r="Q23" s="63">
        <v>0</v>
      </c>
      <c r="R23" s="57">
        <v>1</v>
      </c>
      <c r="S23"/>
      <c r="T23"/>
    </row>
    <row r="24" spans="1:20" ht="15" customHeight="1" x14ac:dyDescent="0.15">
      <c r="A24" s="63"/>
      <c r="B24" s="74"/>
      <c r="C24" s="78"/>
      <c r="D24" s="67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3"/>
      <c r="B25" s="74"/>
      <c r="C25" s="62"/>
      <c r="D25" s="67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4"/>
      <c r="C26" s="62"/>
      <c r="D26" s="67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4"/>
      <c r="C27" s="62"/>
      <c r="D27" s="67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3"/>
      <c r="C28" s="62"/>
      <c r="D28" s="67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3"/>
      <c r="B31" s="114" t="s">
        <v>17</v>
      </c>
      <c r="C31" s="114" t="s">
        <v>1</v>
      </c>
      <c r="D31" s="114" t="s">
        <v>161</v>
      </c>
      <c r="E31" s="115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2" t="s">
        <v>206</v>
      </c>
      <c r="B32" s="75">
        <v>60</v>
      </c>
      <c r="C32" s="75">
        <v>330</v>
      </c>
      <c r="D32" s="75">
        <v>19800</v>
      </c>
      <c r="E32" s="105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4"/>
      <c r="B33" s="75"/>
      <c r="C33" s="75"/>
      <c r="D33" s="75"/>
      <c r="E33" s="105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6"/>
      <c r="B34" s="75"/>
      <c r="C34" s="75"/>
      <c r="D34" s="75"/>
      <c r="E34" s="105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7"/>
      <c r="B35" s="75"/>
      <c r="C35" s="75"/>
      <c r="D35" s="75"/>
      <c r="E35" s="10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8"/>
      <c r="B36" s="75"/>
      <c r="C36" s="75"/>
      <c r="D36" s="75"/>
      <c r="E36" s="105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8"/>
      <c r="B37" s="75"/>
      <c r="C37" s="75"/>
      <c r="D37" s="75"/>
      <c r="E37" s="105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9"/>
      <c r="B38" s="75"/>
      <c r="C38" s="75"/>
      <c r="D38" s="75"/>
      <c r="E38" s="105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9"/>
      <c r="B39" s="75"/>
      <c r="C39" s="75"/>
      <c r="D39" s="75"/>
      <c r="E39" s="105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9"/>
      <c r="B40" s="75"/>
      <c r="C40" s="75"/>
      <c r="D40" s="75"/>
      <c r="E40" s="10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9"/>
      <c r="B41" s="75"/>
      <c r="C41" s="75"/>
      <c r="D41" s="76"/>
      <c r="E41" s="11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1"/>
      <c r="B42" s="112"/>
      <c r="C42" s="112" t="s">
        <v>162</v>
      </c>
      <c r="D42" s="112">
        <f>SUM(D32:D41)</f>
        <v>19800</v>
      </c>
      <c r="E42" s="11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8" customWidth="1"/>
    <col min="3" max="5" width="7.83203125" style="88" customWidth="1"/>
    <col min="6" max="8" width="8.83203125" style="6"/>
    <col min="9" max="9" width="13.33203125" style="6" customWidth="1"/>
    <col min="10" max="10" width="14" style="6" customWidth="1"/>
    <col min="11" max="11" width="10.33203125" style="6" customWidth="1"/>
    <col min="12" max="12" width="17.1640625" style="6" customWidth="1"/>
    <col min="13" max="13" width="13.5" style="6" customWidth="1"/>
    <col min="14" max="14" width="18.5" style="6" customWidth="1"/>
    <col min="15" max="15" width="10.83203125" style="6" customWidth="1"/>
    <col min="16" max="16" width="15.83203125" style="6" customWidth="1"/>
    <col min="17" max="17" width="7.5" style="6" customWidth="1"/>
    <col min="18" max="18" width="12.6640625" style="6" customWidth="1"/>
    <col min="19" max="19" width="6.5" style="6" customWidth="1"/>
    <col min="20" max="20" width="15.5" style="6" customWidth="1"/>
    <col min="21" max="21" width="9.1640625" style="6" customWidth="1"/>
    <col min="22" max="22" width="8.1640625" style="6" customWidth="1"/>
    <col min="23" max="23" width="13.1640625" style="6" customWidth="1"/>
    <col min="24" max="24" width="7.6640625" style="6" customWidth="1"/>
    <col min="25" max="25" width="21.6640625" style="6" customWidth="1"/>
    <col min="26" max="26" width="6.5" style="6" customWidth="1"/>
    <col min="27" max="38" width="8.83203125" style="6"/>
    <col min="81" max="81" width="22.1640625" bestFit="1" customWidth="1"/>
  </cols>
  <sheetData>
    <row r="1" spans="1:38" x14ac:dyDescent="0.15">
      <c r="A1" s="4" t="s">
        <v>156</v>
      </c>
      <c r="B1" s="26" t="s">
        <v>157</v>
      </c>
      <c r="C1" s="26" t="s">
        <v>17</v>
      </c>
      <c r="D1" s="26" t="s">
        <v>158</v>
      </c>
      <c r="E1" s="26" t="s">
        <v>159</v>
      </c>
      <c r="F1" t="s">
        <v>38</v>
      </c>
      <c r="G1" t="s">
        <v>40</v>
      </c>
      <c r="H1" t="s">
        <v>41</v>
      </c>
      <c r="I1" s="164" t="s">
        <v>192</v>
      </c>
      <c r="J1" s="164" t="s">
        <v>193</v>
      </c>
      <c r="K1" s="164" t="s">
        <v>194</v>
      </c>
      <c r="L1" s="164" t="s">
        <v>195</v>
      </c>
      <c r="M1" s="164" t="s">
        <v>196</v>
      </c>
      <c r="N1" s="164" t="s">
        <v>197</v>
      </c>
      <c r="O1" s="164" t="s">
        <v>198</v>
      </c>
      <c r="P1" s="164" t="s">
        <v>199</v>
      </c>
      <c r="Q1" s="164" t="s">
        <v>200</v>
      </c>
      <c r="R1" s="164" t="s">
        <v>201</v>
      </c>
      <c r="S1" s="164" t="s">
        <v>202</v>
      </c>
      <c r="T1" s="164" t="s">
        <v>203</v>
      </c>
      <c r="U1" s="164" t="s">
        <v>204</v>
      </c>
      <c r="V1" s="164" t="s">
        <v>205</v>
      </c>
      <c r="W1" s="164" t="s">
        <v>206</v>
      </c>
      <c r="X1" s="164" t="s">
        <v>207</v>
      </c>
      <c r="Y1" s="164" t="s">
        <v>208</v>
      </c>
      <c r="Z1" s="164" t="s">
        <v>209</v>
      </c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3" t="s">
        <v>192</v>
      </c>
      <c r="B5" s="8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3" t="s">
        <v>193</v>
      </c>
      <c r="B6" s="8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3" t="s">
        <v>194</v>
      </c>
      <c r="B7" s="8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3" t="s">
        <v>195</v>
      </c>
      <c r="B8" s="8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3" t="s">
        <v>196</v>
      </c>
      <c r="B9" s="8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3" t="s">
        <v>197</v>
      </c>
      <c r="B10" s="8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3" t="s">
        <v>198</v>
      </c>
      <c r="B11" s="8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3" t="s">
        <v>199</v>
      </c>
      <c r="B12" s="8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3" t="s">
        <v>200</v>
      </c>
      <c r="B13" s="8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3" t="s">
        <v>201</v>
      </c>
      <c r="B14" s="8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3" t="s">
        <v>202</v>
      </c>
      <c r="B15" s="8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3" t="s">
        <v>203</v>
      </c>
      <c r="B16" s="8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3" t="s">
        <v>204</v>
      </c>
      <c r="B17" s="8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3" t="s">
        <v>205</v>
      </c>
      <c r="B18" s="8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3" t="s">
        <v>206</v>
      </c>
      <c r="B19" s="8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3" t="s">
        <v>207</v>
      </c>
      <c r="B20" s="8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3" t="s">
        <v>208</v>
      </c>
      <c r="B21" s="8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3" t="s">
        <v>209</v>
      </c>
      <c r="B22" s="8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2022-10-25T04:26:46Z</dcterms:modified>
</cp:coreProperties>
</file>