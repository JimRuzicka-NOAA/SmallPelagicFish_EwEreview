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OtherRegions/OtherRegions_ECOTRAN_K-path_versions/"/>
    </mc:Choice>
  </mc:AlternateContent>
  <xr:revisionPtr revIDLastSave="0" documentId="13_ncr:1_{6EC717BF-A5B0-5F4B-86D6-E8DF8EFE138A}" xr6:coauthVersionLast="45" xr6:coauthVersionMax="45" xr10:uidLastSave="{00000000-0000-0000-0000-000000000000}"/>
  <bookViews>
    <workbookView xWindow="0" yWindow="460" windowWidth="25600" windowHeight="14240" tabRatio="728" firstSheet="7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Main!$C$2:$N$32</definedName>
    <definedName name="matDetritus">Detritus!$C$2:$E$32</definedName>
    <definedName name="matDiet">Diets!$B$2:$Y$28</definedName>
    <definedName name="matDiscards">Discards!$C$2:$G$27</definedName>
    <definedName name="matFishery">Fishing!$C$2:$G$27</definedName>
    <definedName name="matFishing">Fishing!#REF!</definedName>
    <definedName name="matMort">Mortalities!$A$1:$AH$27</definedName>
    <definedName name="matOut">MainOutputs!$A$2:$I$32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<sst xmlns="http://schemas.openxmlformats.org/spreadsheetml/2006/main" count="903" uniqueCount="232">
  <si>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</si>
  <si>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</si>
  <si>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</si>
  <si>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</si>
  <si>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</si>
  <si>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</si>
  <si>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</si>
  <si>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</si>
  <si>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</si>
  <si>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</si>
  <si>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</si>
  <si>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</si>
  <si>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</si>
  <si>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</si>
  <si>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</si>
  <si>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</si>
  <si>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</si>
  <si>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</si>
  <si>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</si>
  <si>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</si>
  <si>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</si>
  <si>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</si>
  <si>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</si>
  <si>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</si>
  <si>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</si>
  <si>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</si>
  <si>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</si>
  <si>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</si>
  <si>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</si>
  <si>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</si>
  <si>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</si>
  <si>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</si>
  <si>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</si>
  <si>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</si>
  <si>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</si>
  <si>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</si>
  <si>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</si>
  <si>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</si>
  <si>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</si>
  <si>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</si>
  <si>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</si>
  <si>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</si>
  <si>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</si>
  <si>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</si>
  <si>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</si>
  <si>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</si>
  <si>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</si>
  <si>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</si>
  <si>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</si>
  <si>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</si>
  <si>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</si>
  <si>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</si>
  <si>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</si>
  <si>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</si>
  <si>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</si>
  <si>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</si>
  <si>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</si>
  <si>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</si>
  <si>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</si>
  <si>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</si>
  <si>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</si>
  <si>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</si>
  <si>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</si>
  <si>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</si>
  <si>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</si>
  <si>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</si>
  <si>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</si>
  <si>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</si>
  <si>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</si>
  <si>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</si>
  <si>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</si>
  <si>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</si>
  <si>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</si>
  <si>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</si>
  <si>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</si>
  <si>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</si>
  <si>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</si>
  <si>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</si>
  <si>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</si>
  <si>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</si>
  <si>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</si>
  <si>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</si>
  <si>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</si>
  <si>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</si>
  <si>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</si>
  <si>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</si>
  <si>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</si>
  <si>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</si>
  <si>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</si>
  <si>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</si>
  <si>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</si>
  <si>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</si>
  <si>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</si>
  <si>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</si>
  <si>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</si>
  <si>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</si>
  <si>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</si>
  <si>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</si>
  <si>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</si>
  <si>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</si>
  <si>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</si>
  <si>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</si>
  <si>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</si>
  <si>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</si>
  <si>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</si>
  <si>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</si>
  <si>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</si>
  <si>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</si>
  <si>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</si>
  <si>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</si>
  <si>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</si>
  <si>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</si>
  <si>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</si>
  <si>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</si>
  <si>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</si>
  <si>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</si>
  <si>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</si>
  <si>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</si>
  <si>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</si>
  <si>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</si>
  <si>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</si>
  <si>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</si>
  <si>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</si>
  <si>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</si>
  <si>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</si>
  <si>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</si>
  <si>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</si>
  <si>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</si>
  <si>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</si>
  <si>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</si>
  <si>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</si>
  <si>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</si>
  <si>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</si>
  <si>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</si>
  <si>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</si>
  <si>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</si>
  <si>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</si>
  <si>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</si>
  <si>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</si>
  <si>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</si>
  <si>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</si>
  <si>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</si>
  <si>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</si>
  <si>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</si>
  <si>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</si>
  <si>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</si>
  <si>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</si>
  <si>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</si>
  <si>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</si>
  <si>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</si>
  <si>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</si>
  <si>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</si>
  <si>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</si>
  <si>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</si>
  <si>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</si>
  <si>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</si>
  <si>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</si>
  <si>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</si>
  <si>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</si>
  <si>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</si>
  <si>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</si>
  <si>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</si>
  <si>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</si>
  <si>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</si>
  <si>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</si>
  <si>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</si>
  <si>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</si>
  <si>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</si>
  <si>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</si>
  <si>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</si>
  <si>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</si>
  <si>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</si>
  <si>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</si>
  <si>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</si>
  <si>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</si>
  <si>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</si>
  <si>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</si>
  <si>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</si>
  <si>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</si>
  <si>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</si>
  <si>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</si>
  <si>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</si>
  <si>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</si>
  <si>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</si>
  <si>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</si>
  <si>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Sonda_Campeche_Act</t>
  </si>
  <si>
    <t>Mexico</t>
  </si>
  <si>
    <t>BOX(-94.2309529279898 18.3180159631895,-90.7587981292033 20.1488938869339)</t>
  </si>
  <si>
    <t>continental shelf</t>
  </si>
  <si>
    <t>WetWeight</t>
  </si>
  <si>
    <t>Tomado de Manickchand-Heileman S., L.A. Soto and E. Escobar. 1998. A preliminary trophic model of the continental shelf, south-western Gulf of Mexico. Estuarine, Coastal and Shelf Science. 46: 885-899; Model adjusted to show more realistic fishing mortalities; 14/05/2002 04:16:52 p.m.; 14/05/2002 05:20:16 p.m.; 14/05/2002 06:01:05 p.m.</t>
  </si>
  <si>
    <t>Delfines</t>
  </si>
  <si>
    <t>Tiburones</t>
  </si>
  <si>
    <t>Aves marinas</t>
  </si>
  <si>
    <t>Meros</t>
  </si>
  <si>
    <t>Sierras</t>
  </si>
  <si>
    <t>Calamar</t>
  </si>
  <si>
    <t>Pargos</t>
  </si>
  <si>
    <t>Jureles</t>
  </si>
  <si>
    <t>Otros peces</t>
  </si>
  <si>
    <t>Pulpo</t>
  </si>
  <si>
    <t>Sargos</t>
  </si>
  <si>
    <t>Roncos</t>
  </si>
  <si>
    <t>Corvinas</t>
  </si>
  <si>
    <t>Sardinas</t>
  </si>
  <si>
    <t>Bagres</t>
  </si>
  <si>
    <t>Tortugas marinas</t>
  </si>
  <si>
    <t>Lenguados</t>
  </si>
  <si>
    <t>Mojarras</t>
  </si>
  <si>
    <t>Epifauna</t>
  </si>
  <si>
    <t>Camarón</t>
  </si>
  <si>
    <t>Zooplancton</t>
  </si>
  <si>
    <t>Infauna</t>
  </si>
  <si>
    <t>Fitoplancton</t>
  </si>
  <si>
    <t>Macrofítas bent.</t>
  </si>
  <si>
    <t>Detritus</t>
  </si>
  <si>
    <t>detritus_TerminalBenthic</t>
  </si>
  <si>
    <t>P. Camarón</t>
  </si>
  <si>
    <t>P. Demersal</t>
  </si>
  <si>
    <t>P. Pélagica</t>
  </si>
  <si>
    <t>P. Chinchorro</t>
  </si>
  <si>
    <t>P. Pulpo</t>
  </si>
  <si>
    <t>Import</t>
  </si>
  <si>
    <t>export</t>
  </si>
  <si>
    <t>sum</t>
  </si>
  <si>
    <t>TOTAL</t>
  </si>
  <si>
    <t>F P. Camarón</t>
  </si>
  <si>
    <t>F P. Demersal</t>
  </si>
  <si>
    <t>F P. Pélagica</t>
  </si>
  <si>
    <t>F P. Chinchorro</t>
  </si>
  <si>
    <t>F P. Pulpo</t>
  </si>
  <si>
    <t>Zetina-Rejón M.J., Arreguın-Sánchez F., Zetina-Rejón M.J., Arreguın-Sánchez F., Zetina-Rejón M.J., Arreguın-Sánchez F. (2003). Flujos de energía y estructura trófica de la Sonda de Campeche, Suroeste del Golfo de México Memorias del III Foro de Camarón del Golfo de México y Mar Caribe. pp 49-57. In Wakida-Kusunoki A.T., Solana-Sansores R., Uribe-Martinez J. Memorias del III Foro de Camarón del Gulfo de México y Mar Caribe. Instituto Nacional de la Pesca.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</si>
</sst>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</fonts>
  <fills count="13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FF9D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FFC7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40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5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 applyAlignment="1">
      <alignment horizontal="center"/>
    </xf>
    <xf numFmtId="0" fontId="0" fillId="36" borderId="0" xfId="0" applyFill="1"/>
    <xf numFmtId="0" fontId="0" fillId="37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4" borderId="3" xfId="0" applyNumberFormat="1" applyFont="1" applyFill="1" applyBorder="1"/>
    <xf numFmtId="0" fontId="0" fillId="34" borderId="2" xfId="0" applyFont="1" applyFill="1" applyBorder="1"/>
    <xf numFmtId="0" fontId="0" fillId="34" borderId="3" xfId="0" applyFont="1" applyFill="1" applyBorder="1"/>
    <xf numFmtId="0" fontId="0" fillId="3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8" borderId="0" xfId="0" applyFill="1"/>
    <xf numFmtId="0" fontId="0" fillId="0" borderId="0" xfId="0" applyBorder="1"/>
    <xf numFmtId="0" fontId="0" fillId="39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0" borderId="0" xfId="0" applyFill="1"/>
    <xf numFmtId="0" fontId="0" fillId="4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49" fontId="13" fillId="0" borderId="27" xfId="0" applyNumberFormat="1" applyFont="1" applyBorder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C44" zoomScale="125" zoomScaleNormal="125" zoomScalePageLayoutView="125" workbookViewId="0">
      <selection activeCell="C66" sqref="C66"/>
    </sheetView>
  </sheetViews>
  <sheetFormatPr baseColWidth="10" defaultColWidth="8.83203125" defaultRowHeight="13" x14ac:dyDescent="0.15"/>
  <cols>
    <col min="2" max="2" width="16" customWidth="1"/>
    <col min="3" max="3" width="352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69" t="s">
        <v>171</v>
      </c>
      <c r="C53" s="103">
        <v>291</v>
      </c>
      <c r="D53" s="103"/>
    </row>
    <row r="54" spans="2:4" x14ac:dyDescent="0.15">
      <c r="B54" s="169" t="s">
        <v>172</v>
      </c>
      <c r="C54" s="169" t="s">
        <v>185</v>
      </c>
      <c r="D54" s="103"/>
    </row>
    <row r="55" spans="2:4" x14ac:dyDescent="0.15">
      <c r="B55" s="169" t="s">
        <v>173</v>
      </c>
      <c r="C55" s="169" t="s">
        <v>186</v>
      </c>
      <c r="D55" s="103"/>
    </row>
    <row r="56" spans="2:4" x14ac:dyDescent="0.15">
      <c r="B56" s="169" t="s">
        <v>174</v>
      </c>
      <c r="C56" s="103">
        <v>65000</v>
      </c>
      <c r="D56" s="103"/>
    </row>
    <row r="57" spans="2:4" x14ac:dyDescent="0.15">
      <c r="B57" s="169" t="s">
        <v>175</v>
      </c>
      <c r="C57" s="169" t="s">
        <v>187</v>
      </c>
      <c r="D57" s="103"/>
    </row>
    <row r="58" spans="2:4" x14ac:dyDescent="0.15">
      <c r="B58" s="169" t="s">
        <v>176</v>
      </c>
      <c r="C58" s="169" t="s">
        <v>188</v>
      </c>
      <c r="D58" s="103"/>
    </row>
    <row r="59" spans="2:4" x14ac:dyDescent="0.15">
      <c r="B59" s="169" t="s">
        <v>177</v>
      </c>
      <c r="C59" s="169" t="s">
        <v>189</v>
      </c>
      <c r="D59" s="103"/>
    </row>
    <row r="60" spans="2:4" x14ac:dyDescent="0.15">
      <c r="B60" s="169" t="s">
        <v>178</v>
      </c>
      <c r="C60" s="169" t="s">
        <v>190</v>
      </c>
      <c r="D60" s="103"/>
    </row>
    <row r="61" spans="2:4" x14ac:dyDescent="0.15">
      <c r="B61" s="169" t="s">
        <v>179</v>
      </c>
      <c r="C61" s="103">
        <v>25</v>
      </c>
      <c r="D61" s="103"/>
    </row>
    <row r="62" spans="2:4" x14ac:dyDescent="0.15">
      <c r="B62" s="169" t="s">
        <v>180</v>
      </c>
      <c r="C62" s="103">
        <v>5</v>
      </c>
      <c r="D62" s="103"/>
    </row>
    <row r="63" spans="2:4" x14ac:dyDescent="0.15">
      <c r="B63" s="169" t="s">
        <v>181</v>
      </c>
      <c r="C63" s="103">
        <v>1988</v>
      </c>
      <c r="D63" s="103"/>
    </row>
    <row r="64" spans="2:4" x14ac:dyDescent="0.15">
      <c r="B64" s="169" t="s">
        <v>182</v>
      </c>
      <c r="C64" s="103">
        <v>6</v>
      </c>
      <c r="D64" s="103"/>
    </row>
    <row r="65" spans="2:4" x14ac:dyDescent="0.15">
      <c r="B65" s="169" t="s">
        <v>183</v>
      </c>
      <c r="C65" s="252" t="s">
        <v>231</v>
      </c>
      <c r="D65" s="103"/>
    </row>
    <row r="66" spans="2:4" x14ac:dyDescent="0.15">
      <c r="B66" s="169" t="s">
        <v>184</v>
      </c>
      <c r="D66" s="103"/>
    </row>
    <row r="67" spans="2:4" x14ac:dyDescent="0.15">
      <c r="B67" s="103"/>
      <c r="C67" s="103"/>
      <c r="D67" s="103"/>
    </row>
    <row r="68" spans="2:4" x14ac:dyDescent="0.15">
      <c r="B68" s="103"/>
      <c r="C68" s="103"/>
      <c r="D68" s="10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5" sqref="P5"/>
    </sheetView>
  </sheetViews>
  <sheetFormatPr baseColWidth="10" defaultColWidth="8.83203125" defaultRowHeight="15" customHeight="1" x14ac:dyDescent="0.15"/>
  <cols>
    <col min="1" max="1" width="22.5" style="78" customWidth="1"/>
    <col min="2" max="3" width="3.33203125" style="78" customWidth="1"/>
    <col min="4" max="4" width="14.33203125" style="78" customWidth="1"/>
    <col min="5" max="5" width="21.6640625" style="78" bestFit="1" customWidth="1"/>
    <col min="6" max="6" width="2.33203125" style="78" bestFit="1" customWidth="1"/>
    <col min="7" max="7" width="13.83203125" style="78" bestFit="1" customWidth="1"/>
    <col min="8" max="9" width="5.83203125" style="78" customWidth="1"/>
    <col min="10" max="10" width="11.83203125" style="78" customWidth="1"/>
    <col min="11" max="11" width="13.83203125" style="78" customWidth="1"/>
    <col min="12" max="12" width="9.83203125" style="78" customWidth="1"/>
    <col min="13" max="13" width="3.83203125" style="78" customWidth="1"/>
    <col min="14" max="14" width="2.33203125" style="78" customWidth="1"/>
    <col min="16" max="25" width="8.83203125" style="78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8"/>
  </cols>
  <sheetData>
    <row r="1" spans="1:46" s="95" customFormat="1" ht="15" customHeight="1" x14ac:dyDescent="0.15">
      <c r="A1" s="74" t="s">
        <v>18</v>
      </c>
      <c r="C1" s="75" t="s">
        <v>8</v>
      </c>
      <c r="D1" s="74" t="s">
        <v>23</v>
      </c>
      <c r="E1" s="74" t="s">
        <v>0</v>
      </c>
      <c r="F1" s="74" t="s">
        <v>7</v>
      </c>
      <c r="G1" s="76" t="s">
        <v>13</v>
      </c>
      <c r="H1" s="74" t="s">
        <v>1</v>
      </c>
      <c r="I1" s="74" t="s">
        <v>2</v>
      </c>
      <c r="J1" s="74" t="s">
        <v>14</v>
      </c>
      <c r="K1" s="74" t="s">
        <v>3</v>
      </c>
      <c r="L1" s="74" t="s">
        <v>4</v>
      </c>
      <c r="M1" s="74" t="s">
        <v>5</v>
      </c>
      <c r="N1" s="74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5">
        <v>1</v>
      </c>
      <c r="D2"/>
      <c r="E2" s="170" t="s">
        <v>191</v>
      </c>
      <c r="F2" s="78">
        <v>0</v>
      </c>
      <c r="G2" s="78">
        <v>1.5594162E-2</v>
      </c>
      <c r="H2" s="78">
        <v>0.1</v>
      </c>
      <c r="I2" s="6">
        <v>33.5</v>
      </c>
      <c r="J2" s="6">
        <v>0.4</v>
      </c>
      <c r="K2" s="6">
        <v>2.9850746499999999E-3</v>
      </c>
      <c r="L2" s="6">
        <v>0</v>
      </c>
      <c r="M2" s="78">
        <v>0.2</v>
      </c>
      <c r="N2" s="78">
        <v>0</v>
      </c>
    </row>
    <row r="3" spans="1:46" ht="15" customHeight="1" x14ac:dyDescent="0.15">
      <c r="A3" s="1" t="s">
        <v>9</v>
      </c>
      <c r="B3" s="4">
        <v>24</v>
      </c>
      <c r="C3" s="78">
        <v>2</v>
      </c>
      <c r="D3"/>
      <c r="E3" s="170" t="s">
        <v>192</v>
      </c>
      <c r="F3" s="78">
        <v>0</v>
      </c>
      <c r="G3" s="78">
        <v>0.08</v>
      </c>
      <c r="H3" s="78">
        <v>0.94</v>
      </c>
      <c r="I3" s="78">
        <v>7.8</v>
      </c>
      <c r="J3" s="78">
        <v>0.69148940000000003</v>
      </c>
      <c r="K3" s="78">
        <v>0.12051282100000001</v>
      </c>
      <c r="L3" s="78">
        <v>0</v>
      </c>
      <c r="M3" s="78">
        <v>0.2</v>
      </c>
      <c r="N3" s="78">
        <v>0</v>
      </c>
    </row>
    <row r="4" spans="1:46" ht="15" customHeight="1" x14ac:dyDescent="0.15">
      <c r="A4" s="1" t="s">
        <v>10</v>
      </c>
      <c r="B4" s="4">
        <v>2</v>
      </c>
      <c r="C4" s="78">
        <v>3</v>
      </c>
      <c r="D4"/>
      <c r="E4" s="170" t="s">
        <v>193</v>
      </c>
      <c r="F4" s="78">
        <v>0</v>
      </c>
      <c r="G4" s="78">
        <v>1.15285721E-3</v>
      </c>
      <c r="H4" s="78">
        <v>5.4</v>
      </c>
      <c r="I4" s="78">
        <v>80</v>
      </c>
      <c r="J4" s="78">
        <v>0.1</v>
      </c>
      <c r="K4" s="78">
        <v>6.7500000000000004E-2</v>
      </c>
      <c r="L4" s="78">
        <v>0</v>
      </c>
      <c r="M4" s="78">
        <v>0.2</v>
      </c>
      <c r="N4" s="78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5</v>
      </c>
      <c r="C5" s="78">
        <v>4</v>
      </c>
      <c r="D5"/>
      <c r="E5" s="170" t="s">
        <v>194</v>
      </c>
      <c r="F5" s="78">
        <v>0</v>
      </c>
      <c r="G5" s="78">
        <v>0.39</v>
      </c>
      <c r="H5" s="78">
        <v>0.45</v>
      </c>
      <c r="I5" s="78">
        <v>4.5999999999999996</v>
      </c>
      <c r="J5" s="78">
        <v>0.90969889999999998</v>
      </c>
      <c r="K5" s="78">
        <v>9.7826086000000007E-2</v>
      </c>
      <c r="L5" s="78">
        <v>0</v>
      </c>
      <c r="M5" s="78">
        <v>0.2</v>
      </c>
      <c r="N5" s="78">
        <v>0</v>
      </c>
      <c r="P5" s="68"/>
      <c r="Q5" s="68"/>
      <c r="R5" s="68"/>
    </row>
    <row r="6" spans="1:46" ht="15" customHeight="1" thickBot="1" x14ac:dyDescent="0.2">
      <c r="B6" s="1"/>
      <c r="C6" s="78">
        <v>5</v>
      </c>
      <c r="D6"/>
      <c r="E6" s="170" t="s">
        <v>195</v>
      </c>
      <c r="F6" s="78">
        <v>0</v>
      </c>
      <c r="G6" s="78">
        <v>0.771196663</v>
      </c>
      <c r="H6" s="78">
        <v>1.28</v>
      </c>
      <c r="I6" s="78">
        <v>8.9</v>
      </c>
      <c r="J6" s="78">
        <v>0.75</v>
      </c>
      <c r="K6" s="78">
        <v>0.143820226</v>
      </c>
      <c r="L6" s="78">
        <v>0</v>
      </c>
      <c r="M6" s="78">
        <v>0.2</v>
      </c>
      <c r="N6" s="78">
        <v>0</v>
      </c>
      <c r="P6" s="68"/>
      <c r="Q6" s="68"/>
      <c r="R6" s="68"/>
      <c r="W6" s="35" t="s">
        <v>31</v>
      </c>
      <c r="X6" s="51">
        <f>MAX(MainOutputs!G:G)</f>
        <v>0.99122488498687744</v>
      </c>
    </row>
    <row r="7" spans="1:46" ht="15" customHeight="1" x14ac:dyDescent="0.15">
      <c r="A7" s="2" t="s">
        <v>27</v>
      </c>
      <c r="B7" s="78">
        <f ca="1">COUNTIF(OFFSET(cornerDiets,1,1,NumLiving+NumDead+1,NumLiving+NumDead),"&gt;0")+NumLiving+NumDead+1</f>
        <v>189</v>
      </c>
      <c r="C7" s="78">
        <v>6</v>
      </c>
      <c r="D7"/>
      <c r="E7" s="170" t="s">
        <v>196</v>
      </c>
      <c r="F7" s="78">
        <v>0</v>
      </c>
      <c r="G7" s="78">
        <v>0.11</v>
      </c>
      <c r="H7" s="78">
        <v>1.7</v>
      </c>
      <c r="I7" s="78">
        <v>26.5</v>
      </c>
      <c r="J7" s="78">
        <v>0.48656909999999998</v>
      </c>
      <c r="K7" s="78">
        <v>6.4150944400000007E-2</v>
      </c>
      <c r="L7" s="78">
        <v>0</v>
      </c>
      <c r="M7" s="78">
        <v>0.2</v>
      </c>
      <c r="N7" s="78">
        <v>0</v>
      </c>
      <c r="P7" s="68"/>
      <c r="Q7" s="68"/>
      <c r="R7" s="68"/>
    </row>
    <row r="8" spans="1:46" ht="15" customHeight="1" x14ac:dyDescent="0.15">
      <c r="A8" s="2" t="s">
        <v>28</v>
      </c>
      <c r="B8" s="78">
        <f ca="1">COUNTIF(OFFSET(cornerFishing,1,2,NumLiving+NumDead,NumGears),"&gt;0")+NumDead*COUNTIF(OFFSET(cornerDiscards,1,2,NumLiving+NumDead,NumGears),"&gt;0")+NumLiving+NumDead+1</f>
        <v>41</v>
      </c>
      <c r="C8" s="78">
        <v>7</v>
      </c>
      <c r="D8"/>
      <c r="E8" s="170" t="s">
        <v>197</v>
      </c>
      <c r="F8" s="78">
        <v>0</v>
      </c>
      <c r="G8" s="78">
        <v>0.08</v>
      </c>
      <c r="H8" s="78">
        <v>0.57999999999999996</v>
      </c>
      <c r="I8" s="78">
        <v>4.3</v>
      </c>
      <c r="J8" s="78">
        <v>0.98506800000000005</v>
      </c>
      <c r="K8" s="78">
        <v>0.13488371699999999</v>
      </c>
      <c r="L8" s="78">
        <v>0</v>
      </c>
      <c r="M8" s="78">
        <v>0.2</v>
      </c>
      <c r="N8" s="78">
        <v>0</v>
      </c>
      <c r="P8" s="68"/>
      <c r="Q8" s="68"/>
      <c r="R8" s="68"/>
    </row>
    <row r="9" spans="1:46" ht="15" customHeight="1" x14ac:dyDescent="0.15">
      <c r="B9" s="1"/>
      <c r="C9" s="78">
        <v>8</v>
      </c>
      <c r="D9"/>
      <c r="E9" s="170" t="s">
        <v>198</v>
      </c>
      <c r="F9" s="78">
        <v>0</v>
      </c>
      <c r="G9" s="78">
        <v>1.3376663900000001</v>
      </c>
      <c r="H9" s="78">
        <v>0.7</v>
      </c>
      <c r="I9" s="78">
        <v>10</v>
      </c>
      <c r="J9" s="78">
        <v>0.8</v>
      </c>
      <c r="K9" s="78">
        <v>7.0000000000000007E-2</v>
      </c>
      <c r="L9" s="78">
        <v>0</v>
      </c>
      <c r="M9" s="78">
        <v>0.2</v>
      </c>
      <c r="N9" s="78">
        <v>0</v>
      </c>
      <c r="P9" s="68"/>
      <c r="Q9" s="68"/>
      <c r="R9" s="68"/>
    </row>
    <row r="10" spans="1:46" ht="15" customHeight="1" x14ac:dyDescent="0.15">
      <c r="B10" s="1"/>
      <c r="C10" s="78">
        <v>9</v>
      </c>
      <c r="D10"/>
      <c r="E10" s="170" t="s">
        <v>199</v>
      </c>
      <c r="F10" s="78">
        <v>0</v>
      </c>
      <c r="G10" s="78">
        <v>0.5</v>
      </c>
      <c r="H10" s="78">
        <v>0.5</v>
      </c>
      <c r="I10" s="78">
        <v>8.3000000000000007</v>
      </c>
      <c r="J10" s="78">
        <v>0.99122489999999996</v>
      </c>
      <c r="K10" s="78">
        <v>6.0240960000000003E-2</v>
      </c>
      <c r="L10" s="78">
        <v>0</v>
      </c>
      <c r="M10" s="78">
        <v>0.2</v>
      </c>
      <c r="N10" s="78">
        <v>0</v>
      </c>
    </row>
    <row r="11" spans="1:46" ht="15" customHeight="1" x14ac:dyDescent="0.15">
      <c r="C11" s="78">
        <v>10</v>
      </c>
      <c r="D11"/>
      <c r="E11" s="170" t="s">
        <v>200</v>
      </c>
      <c r="F11" s="78">
        <v>0</v>
      </c>
      <c r="G11" s="78">
        <v>3.0055900000000002</v>
      </c>
      <c r="H11" s="78">
        <v>1.1200000000000001</v>
      </c>
      <c r="I11" s="78">
        <v>3.56</v>
      </c>
      <c r="J11" s="78">
        <v>0.97</v>
      </c>
      <c r="K11" s="78">
        <v>0.31460675599999999</v>
      </c>
      <c r="L11" s="78">
        <v>0</v>
      </c>
      <c r="M11" s="78">
        <v>0.2</v>
      </c>
      <c r="N11" s="78">
        <v>0</v>
      </c>
    </row>
    <row r="12" spans="1:46" ht="15" customHeight="1" x14ac:dyDescent="0.15">
      <c r="C12" s="78">
        <v>11</v>
      </c>
      <c r="D12"/>
      <c r="E12" s="170" t="s">
        <v>201</v>
      </c>
      <c r="F12" s="78">
        <v>0</v>
      </c>
      <c r="G12" s="78">
        <v>0.93728979999999995</v>
      </c>
      <c r="H12" s="78">
        <v>1.0900000000000001</v>
      </c>
      <c r="I12" s="78">
        <v>15.3</v>
      </c>
      <c r="J12" s="78">
        <v>0.95</v>
      </c>
      <c r="K12" s="78">
        <v>7.1241830000000006E-2</v>
      </c>
      <c r="L12" s="78">
        <v>0</v>
      </c>
      <c r="M12" s="78">
        <v>0.2</v>
      </c>
      <c r="N12" s="78">
        <v>0</v>
      </c>
    </row>
    <row r="13" spans="1:46" ht="15" customHeight="1" x14ac:dyDescent="0.15">
      <c r="C13" s="78">
        <v>12</v>
      </c>
      <c r="D13"/>
      <c r="E13" s="170" t="s">
        <v>202</v>
      </c>
      <c r="F13" s="78">
        <v>0</v>
      </c>
      <c r="G13" s="78">
        <v>0.2</v>
      </c>
      <c r="H13" s="78">
        <v>0.4</v>
      </c>
      <c r="I13" s="78">
        <v>8.1</v>
      </c>
      <c r="J13" s="78">
        <v>0.984294</v>
      </c>
      <c r="K13" s="78">
        <v>4.9382712699999998E-2</v>
      </c>
      <c r="L13" s="78">
        <v>0</v>
      </c>
      <c r="M13" s="78">
        <v>0.2</v>
      </c>
      <c r="N13" s="78">
        <v>0</v>
      </c>
    </row>
    <row r="14" spans="1:46" ht="15" customHeight="1" x14ac:dyDescent="0.15">
      <c r="C14" s="78">
        <v>13</v>
      </c>
      <c r="D14"/>
      <c r="E14" s="170" t="s">
        <v>203</v>
      </c>
      <c r="F14" s="78">
        <v>0</v>
      </c>
      <c r="G14" s="78">
        <v>0.42</v>
      </c>
      <c r="H14" s="78">
        <v>0.8</v>
      </c>
      <c r="I14" s="78">
        <v>6.8</v>
      </c>
      <c r="J14" s="78">
        <v>0.95627150000000005</v>
      </c>
      <c r="K14" s="78">
        <v>0.117647059</v>
      </c>
      <c r="L14" s="78">
        <v>0</v>
      </c>
      <c r="M14" s="78">
        <v>0.2</v>
      </c>
      <c r="N14" s="78">
        <v>0</v>
      </c>
    </row>
    <row r="15" spans="1:46" ht="15" customHeight="1" x14ac:dyDescent="0.15">
      <c r="C15" s="78">
        <v>14</v>
      </c>
      <c r="D15"/>
      <c r="E15" s="170" t="s">
        <v>204</v>
      </c>
      <c r="F15" s="78">
        <v>0</v>
      </c>
      <c r="G15" s="78">
        <v>5.0502595899999996</v>
      </c>
      <c r="H15" s="78">
        <v>4.3099999999999996</v>
      </c>
      <c r="I15" s="78">
        <v>13.7</v>
      </c>
      <c r="J15" s="78">
        <v>0.95</v>
      </c>
      <c r="K15" s="78">
        <v>0.31459853100000001</v>
      </c>
      <c r="L15" s="78">
        <v>0</v>
      </c>
      <c r="M15" s="78">
        <v>0.2</v>
      </c>
      <c r="N15" s="78">
        <v>0</v>
      </c>
    </row>
    <row r="16" spans="1:46" ht="15" customHeight="1" x14ac:dyDescent="0.15">
      <c r="C16" s="78">
        <v>15</v>
      </c>
      <c r="D16"/>
      <c r="E16" s="170" t="s">
        <v>205</v>
      </c>
      <c r="F16" s="78">
        <v>0</v>
      </c>
      <c r="G16" s="78">
        <v>0.7</v>
      </c>
      <c r="H16" s="78">
        <v>0.45</v>
      </c>
      <c r="I16" s="78">
        <v>9.6999999999999993</v>
      </c>
      <c r="J16" s="78">
        <v>0.98132730000000001</v>
      </c>
      <c r="K16" s="78">
        <v>4.6391750000000002E-2</v>
      </c>
      <c r="L16" s="78">
        <v>0</v>
      </c>
      <c r="M16" s="78">
        <v>0.2</v>
      </c>
      <c r="N16" s="78">
        <v>0</v>
      </c>
    </row>
    <row r="17" spans="1:22" ht="15" customHeight="1" x14ac:dyDescent="0.15">
      <c r="C17" s="78">
        <v>16</v>
      </c>
      <c r="D17"/>
      <c r="E17" s="170" t="s">
        <v>206</v>
      </c>
      <c r="F17" s="78">
        <v>0</v>
      </c>
      <c r="G17" s="78">
        <v>0.28713056399999998</v>
      </c>
      <c r="H17" s="78">
        <v>0.15</v>
      </c>
      <c r="I17" s="78">
        <v>3.5</v>
      </c>
      <c r="J17" s="78">
        <v>0.42</v>
      </c>
      <c r="K17" s="78">
        <v>4.2857144E-2</v>
      </c>
      <c r="L17" s="78">
        <v>0</v>
      </c>
      <c r="M17" s="78">
        <v>0.2</v>
      </c>
      <c r="N17" s="78">
        <v>0</v>
      </c>
      <c r="V17" s="1" t="s">
        <v>30</v>
      </c>
    </row>
    <row r="18" spans="1:22" ht="15" customHeight="1" x14ac:dyDescent="0.15">
      <c r="C18" s="78">
        <v>17</v>
      </c>
      <c r="D18"/>
      <c r="E18" s="170" t="s">
        <v>207</v>
      </c>
      <c r="F18" s="78">
        <v>0</v>
      </c>
      <c r="G18" s="78">
        <v>0.9</v>
      </c>
      <c r="H18" s="78">
        <v>0.3</v>
      </c>
      <c r="I18" s="78">
        <v>9.1</v>
      </c>
      <c r="J18" s="78">
        <v>0.96417874100000001</v>
      </c>
      <c r="K18" s="78">
        <v>3.2967034700000002E-2</v>
      </c>
      <c r="L18" s="78">
        <v>0</v>
      </c>
      <c r="M18" s="78">
        <v>0.2</v>
      </c>
      <c r="N18" s="78">
        <v>0</v>
      </c>
      <c r="V18" s="1"/>
    </row>
    <row r="19" spans="1:22" ht="15" customHeight="1" x14ac:dyDescent="0.15">
      <c r="C19" s="78">
        <v>18</v>
      </c>
      <c r="D19"/>
      <c r="E19" s="170" t="s">
        <v>208</v>
      </c>
      <c r="F19" s="78">
        <v>0</v>
      </c>
      <c r="G19" s="78">
        <v>0.9</v>
      </c>
      <c r="H19" s="78">
        <v>1.1499999999999999</v>
      </c>
      <c r="I19" s="78">
        <v>18.2</v>
      </c>
      <c r="J19" s="78">
        <v>0.93034106500000002</v>
      </c>
      <c r="K19" s="78">
        <v>6.3186809999999996E-2</v>
      </c>
      <c r="L19" s="78">
        <v>0</v>
      </c>
      <c r="M19" s="78">
        <v>0.2</v>
      </c>
      <c r="N19" s="78">
        <v>0</v>
      </c>
    </row>
    <row r="20" spans="1:22" ht="15" customHeight="1" thickBot="1" x14ac:dyDescent="0.2">
      <c r="C20" s="78">
        <v>19</v>
      </c>
      <c r="D20"/>
      <c r="E20" s="170" t="s">
        <v>209</v>
      </c>
      <c r="F20" s="78">
        <v>0</v>
      </c>
      <c r="G20" s="78">
        <v>4.9924739999999996</v>
      </c>
      <c r="H20" s="78">
        <v>2.12</v>
      </c>
      <c r="I20" s="78">
        <v>8.5</v>
      </c>
      <c r="J20" s="78">
        <v>0.95</v>
      </c>
      <c r="K20" s="78">
        <v>0.24941174699999999</v>
      </c>
      <c r="L20" s="78">
        <v>0</v>
      </c>
      <c r="M20" s="78">
        <v>0.2</v>
      </c>
      <c r="N20" s="78">
        <v>0</v>
      </c>
    </row>
    <row r="21" spans="1:22" ht="15" customHeight="1" thickBot="1" x14ac:dyDescent="0.2">
      <c r="A21" s="46" t="s">
        <v>137</v>
      </c>
      <c r="B21" s="96"/>
      <c r="C21" s="78">
        <v>20</v>
      </c>
      <c r="D21"/>
      <c r="E21" s="170" t="s">
        <v>210</v>
      </c>
      <c r="F21" s="78">
        <v>0</v>
      </c>
      <c r="G21" s="78">
        <v>2.1963613</v>
      </c>
      <c r="H21" s="78">
        <v>7.7569999999999997</v>
      </c>
      <c r="I21" s="78">
        <v>26.7</v>
      </c>
      <c r="J21" s="78">
        <v>0.95</v>
      </c>
      <c r="K21" s="78">
        <v>0.290524334</v>
      </c>
      <c r="L21" s="78">
        <v>0</v>
      </c>
      <c r="M21" s="78">
        <v>0.2</v>
      </c>
      <c r="N21" s="78">
        <v>0</v>
      </c>
    </row>
    <row r="22" spans="1:22" ht="15" customHeight="1" x14ac:dyDescent="0.15">
      <c r="A22" s="97" t="s">
        <v>58</v>
      </c>
      <c r="B22" s="98">
        <v>0</v>
      </c>
      <c r="C22" s="78">
        <v>21</v>
      </c>
      <c r="D22"/>
      <c r="E22" s="170" t="s">
        <v>211</v>
      </c>
      <c r="F22" s="78">
        <v>0</v>
      </c>
      <c r="G22" s="78">
        <v>6.9480833999999998</v>
      </c>
      <c r="H22" s="78">
        <v>21.76</v>
      </c>
      <c r="I22" s="78">
        <v>119.7</v>
      </c>
      <c r="J22" s="78">
        <v>0.95</v>
      </c>
      <c r="K22" s="78">
        <v>0.1817878</v>
      </c>
      <c r="L22" s="78">
        <v>0</v>
      </c>
      <c r="M22" s="78">
        <v>0.2</v>
      </c>
      <c r="N22" s="78">
        <v>0</v>
      </c>
    </row>
    <row r="23" spans="1:22" ht="15" customHeight="1" x14ac:dyDescent="0.15">
      <c r="A23" s="97" t="s">
        <v>59</v>
      </c>
      <c r="B23" s="98">
        <v>1</v>
      </c>
      <c r="C23" s="78">
        <v>22</v>
      </c>
      <c r="D23"/>
      <c r="E23" s="170" t="s">
        <v>212</v>
      </c>
      <c r="F23" s="78">
        <v>0</v>
      </c>
      <c r="G23" s="78">
        <v>37.4</v>
      </c>
      <c r="H23" s="78">
        <v>4.8499999999999996</v>
      </c>
      <c r="I23" s="78">
        <v>24.2</v>
      </c>
      <c r="J23" s="78">
        <v>0.295696348</v>
      </c>
      <c r="K23" s="78">
        <v>0.20041321200000001</v>
      </c>
      <c r="L23" s="78">
        <v>0</v>
      </c>
      <c r="M23" s="78">
        <v>0.2</v>
      </c>
      <c r="N23" s="78">
        <v>0</v>
      </c>
    </row>
    <row r="24" spans="1:22" ht="15" customHeight="1" x14ac:dyDescent="0.15">
      <c r="A24" s="97" t="s">
        <v>60</v>
      </c>
      <c r="B24" s="98">
        <v>2</v>
      </c>
      <c r="C24" s="78">
        <v>23</v>
      </c>
      <c r="D24"/>
      <c r="E24" s="170" t="s">
        <v>213</v>
      </c>
      <c r="F24" s="78">
        <v>1</v>
      </c>
      <c r="G24" s="78">
        <v>45.5</v>
      </c>
      <c r="H24" s="78">
        <v>102.6</v>
      </c>
      <c r="I24" s="78">
        <v>0</v>
      </c>
      <c r="J24" s="78">
        <v>0.124709181</v>
      </c>
      <c r="K24" s="78">
        <v>0</v>
      </c>
      <c r="L24" s="78">
        <v>0</v>
      </c>
      <c r="M24" s="78">
        <v>0</v>
      </c>
      <c r="N24" s="78">
        <v>0</v>
      </c>
    </row>
    <row r="25" spans="1:22" ht="15" customHeight="1" thickBot="1" x14ac:dyDescent="0.2">
      <c r="A25" s="99" t="s">
        <v>44</v>
      </c>
      <c r="B25" s="100">
        <v>3</v>
      </c>
      <c r="C25" s="78">
        <v>24</v>
      </c>
      <c r="D25"/>
      <c r="E25" s="170" t="s">
        <v>214</v>
      </c>
      <c r="F25" s="78">
        <v>1</v>
      </c>
      <c r="G25" s="78">
        <v>3.92561331E-2</v>
      </c>
      <c r="H25" s="78">
        <v>10.24</v>
      </c>
      <c r="I25" s="78">
        <v>0</v>
      </c>
      <c r="J25" s="78">
        <v>0.95</v>
      </c>
      <c r="K25" s="78">
        <v>0</v>
      </c>
      <c r="L25" s="78">
        <v>0</v>
      </c>
      <c r="M25" s="78">
        <v>0</v>
      </c>
      <c r="N25" s="78">
        <v>0</v>
      </c>
    </row>
    <row r="26" spans="1:22" ht="15" customHeight="1" x14ac:dyDescent="0.15">
      <c r="A26" s="101" t="s">
        <v>140</v>
      </c>
      <c r="C26" s="78">
        <v>25</v>
      </c>
      <c r="D26"/>
      <c r="E26" s="170" t="s">
        <v>215</v>
      </c>
      <c r="F26" s="78">
        <v>2</v>
      </c>
      <c r="G26" s="78">
        <v>4</v>
      </c>
      <c r="H26" s="78">
        <v>0</v>
      </c>
      <c r="I26" s="78">
        <v>0</v>
      </c>
      <c r="J26" s="78">
        <v>0.25345139999999999</v>
      </c>
      <c r="K26" s="78">
        <v>0</v>
      </c>
      <c r="L26" s="78">
        <v>1726.2820999999999</v>
      </c>
      <c r="M26" s="78">
        <v>0</v>
      </c>
      <c r="N26" s="78">
        <v>0</v>
      </c>
    </row>
    <row r="27" spans="1:22" ht="15" customHeight="1" x14ac:dyDescent="0.15">
      <c r="C27" s="78">
        <v>26</v>
      </c>
      <c r="D27"/>
      <c r="E27" s="170" t="s">
        <v>216</v>
      </c>
      <c r="F27" s="78">
        <v>2</v>
      </c>
      <c r="G27" s="78">
        <v>5</v>
      </c>
      <c r="H27" s="78">
        <v>0</v>
      </c>
      <c r="I27" s="78">
        <v>0</v>
      </c>
      <c r="J27" s="78">
        <v>0</v>
      </c>
      <c r="K27" s="78">
        <v>0</v>
      </c>
      <c r="L27" s="78">
        <v>0</v>
      </c>
      <c r="M27" s="78">
        <v>0</v>
      </c>
      <c r="N27" s="78">
        <v>0</v>
      </c>
    </row>
    <row r="28" spans="1:22" ht="15" customHeight="1" x14ac:dyDescent="0.15">
      <c r="C28" s="78">
        <v>27</v>
      </c>
      <c r="D28"/>
      <c r="E28" s="170" t="s">
        <v>217</v>
      </c>
      <c r="F28" s="78">
        <v>3</v>
      </c>
      <c r="G28" s="78">
        <v>0</v>
      </c>
      <c r="H28" s="78">
        <v>0</v>
      </c>
      <c r="I28" s="78">
        <v>0</v>
      </c>
      <c r="J28" s="78">
        <v>0</v>
      </c>
      <c r="K28" s="78">
        <v>0</v>
      </c>
      <c r="L28" s="78">
        <v>0</v>
      </c>
      <c r="M28" s="78">
        <v>0</v>
      </c>
      <c r="N28" s="78">
        <v>0</v>
      </c>
    </row>
    <row r="29" spans="1:22" customFormat="1" ht="15" customHeight="1" x14ac:dyDescent="0.15">
      <c r="C29" s="78">
        <v>28</v>
      </c>
      <c r="E29" s="170" t="s">
        <v>218</v>
      </c>
      <c r="F29" s="78">
        <v>3</v>
      </c>
      <c r="G29" s="78">
        <v>0</v>
      </c>
      <c r="H29" s="78">
        <v>0</v>
      </c>
      <c r="I29" s="78">
        <v>0</v>
      </c>
      <c r="J29" s="78">
        <v>0</v>
      </c>
      <c r="K29" s="78">
        <v>0</v>
      </c>
      <c r="L29" s="78">
        <v>0</v>
      </c>
      <c r="M29" s="78">
        <v>0</v>
      </c>
      <c r="N29" s="78">
        <v>0</v>
      </c>
    </row>
    <row r="30" spans="1:22" customFormat="1" ht="15" customHeight="1" x14ac:dyDescent="0.15">
      <c r="C30" s="78">
        <v>29</v>
      </c>
      <c r="E30" s="170" t="s">
        <v>219</v>
      </c>
      <c r="F30" s="78">
        <v>3</v>
      </c>
      <c r="G30" s="78">
        <v>0</v>
      </c>
      <c r="H30" s="78">
        <v>0</v>
      </c>
      <c r="I30" s="78">
        <v>0</v>
      </c>
      <c r="J30" s="78">
        <v>0</v>
      </c>
      <c r="K30" s="78">
        <v>0</v>
      </c>
      <c r="L30" s="78">
        <v>0</v>
      </c>
      <c r="M30" s="78">
        <v>0</v>
      </c>
      <c r="N30" s="78">
        <v>0</v>
      </c>
    </row>
    <row r="31" spans="1:22" customFormat="1" ht="15" customHeight="1" x14ac:dyDescent="0.15">
      <c r="C31" s="78">
        <v>30</v>
      </c>
      <c r="E31" s="170" t="s">
        <v>220</v>
      </c>
      <c r="F31" s="78">
        <v>3</v>
      </c>
      <c r="G31" s="78">
        <v>0</v>
      </c>
      <c r="H31" s="78">
        <v>0</v>
      </c>
      <c r="I31" s="78">
        <v>0</v>
      </c>
      <c r="J31" s="78">
        <v>0</v>
      </c>
      <c r="K31" s="78">
        <v>0</v>
      </c>
      <c r="L31" s="78">
        <v>0</v>
      </c>
      <c r="M31" s="78">
        <v>0</v>
      </c>
      <c r="N31" s="78">
        <v>0</v>
      </c>
    </row>
    <row r="32" spans="1:22" customFormat="1" ht="15" customHeight="1" x14ac:dyDescent="0.15">
      <c r="C32" s="78">
        <v>31</v>
      </c>
      <c r="E32" s="170" t="s">
        <v>221</v>
      </c>
      <c r="F32" s="78">
        <v>3</v>
      </c>
      <c r="G32" s="78">
        <v>0</v>
      </c>
      <c r="H32" s="78">
        <v>0</v>
      </c>
      <c r="I32" s="78">
        <v>0</v>
      </c>
      <c r="J32" s="78">
        <v>0</v>
      </c>
      <c r="K32" s="78">
        <v>0</v>
      </c>
      <c r="L32" s="78">
        <v>0</v>
      </c>
      <c r="M32" s="78">
        <v>0</v>
      </c>
      <c r="N32" s="78">
        <v>0</v>
      </c>
    </row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6" bestFit="1" customWidth="1"/>
    <col min="2" max="2" width="13.83203125" style="136" bestFit="1" customWidth="1"/>
    <col min="3" max="3" width="15.83203125" style="136" bestFit="1" customWidth="1"/>
    <col min="4" max="4" width="13.83203125" style="136" bestFit="1" customWidth="1"/>
    <col min="5" max="6" width="14.83203125" style="136" bestFit="1" customWidth="1"/>
    <col min="7" max="7" width="13.83203125" style="136" bestFit="1" customWidth="1"/>
    <col min="8" max="8" width="5.83203125" style="136" bestFit="1" customWidth="1"/>
    <col min="9" max="10" width="14.83203125" style="136" bestFit="1" customWidth="1"/>
    <col min="11" max="11" width="5.83203125" style="136" bestFit="1" customWidth="1"/>
    <col min="12" max="14" width="13.83203125" style="136" bestFit="1" customWidth="1"/>
    <col min="15" max="15" width="14.83203125" style="136" bestFit="1" customWidth="1"/>
    <col min="16" max="16" width="13.83203125" style="136" bestFit="1" customWidth="1"/>
    <col min="17" max="17" width="4.83203125" style="136" bestFit="1" customWidth="1"/>
    <col min="18" max="19" width="14.83203125" style="136" bestFit="1" customWidth="1"/>
    <col min="20" max="20" width="13.83203125" style="136" bestFit="1" customWidth="1"/>
    <col min="21" max="22" width="4.83203125" style="136" bestFit="1" customWidth="1"/>
    <col min="23" max="27" width="2.33203125" style="136" bestFit="1" customWidth="1"/>
    <col min="28" max="29" width="9" style="136" bestFit="1" customWidth="1"/>
    <col min="30" max="16384" width="8.83203125" style="136"/>
  </cols>
  <sheetData>
    <row r="1" spans="1:34" x14ac:dyDescent="0.15">
      <c r="A1" s="135" t="s">
        <v>19</v>
      </c>
      <c r="B1" s="172" t="s">
        <v>191</v>
      </c>
      <c r="C1" s="172" t="s">
        <v>192</v>
      </c>
      <c r="D1" s="172" t="s">
        <v>193</v>
      </c>
      <c r="E1" s="172" t="s">
        <v>194</v>
      </c>
      <c r="F1" s="172" t="s">
        <v>195</v>
      </c>
      <c r="G1" s="172" t="s">
        <v>196</v>
      </c>
      <c r="H1" s="172" t="s">
        <v>197</v>
      </c>
      <c r="I1" s="172" t="s">
        <v>198</v>
      </c>
      <c r="J1" s="172" t="s">
        <v>199</v>
      </c>
      <c r="K1" s="172" t="s">
        <v>200</v>
      </c>
      <c r="L1" s="172" t="s">
        <v>201</v>
      </c>
      <c r="M1" s="172" t="s">
        <v>202</v>
      </c>
      <c r="N1" s="172" t="s">
        <v>203</v>
      </c>
      <c r="O1" s="172" t="s">
        <v>204</v>
      </c>
      <c r="P1" s="172" t="s">
        <v>205</v>
      </c>
      <c r="Q1" s="172" t="s">
        <v>206</v>
      </c>
      <c r="R1" s="172" t="s">
        <v>207</v>
      </c>
      <c r="S1" s="172" t="s">
        <v>208</v>
      </c>
      <c r="T1" s="172" t="s">
        <v>209</v>
      </c>
      <c r="U1" s="172" t="s">
        <v>210</v>
      </c>
      <c r="V1" s="172" t="s">
        <v>211</v>
      </c>
      <c r="W1" s="172" t="s">
        <v>212</v>
      </c>
      <c r="X1" s="172" t="s">
        <v>213</v>
      </c>
      <c r="Y1" s="172" t="s">
        <v>214</v>
      </c>
      <c r="Z1" s="172" t="s">
        <v>215</v>
      </c>
      <c r="AA1" s="172" t="s">
        <v>216</v>
      </c>
      <c r="AB1"/>
      <c r="AC1"/>
      <c r="AD1"/>
      <c r="AE1"/>
      <c r="AF1"/>
      <c r="AG1"/>
      <c r="AH1"/>
    </row>
    <row r="2" spans="1:34" customFormat="1" x14ac:dyDescent="0.15">
      <c r="A2" s="171" t="s">
        <v>191</v>
      </c>
      <c r="B2" s="136">
        <v>0</v>
      </c>
      <c r="C2" s="136">
        <v>9.9962570963383571E-4</v>
      </c>
      <c r="D2" s="136">
        <v>0</v>
      </c>
      <c r="E2" s="136">
        <v>0</v>
      </c>
      <c r="F2" s="136">
        <v>0</v>
      </c>
      <c r="G2" s="136">
        <v>0</v>
      </c>
      <c r="H2" s="136">
        <v>0</v>
      </c>
      <c r="I2" s="136">
        <v>0</v>
      </c>
      <c r="J2" s="136">
        <v>0</v>
      </c>
      <c r="K2" s="136">
        <v>0</v>
      </c>
      <c r="L2" s="136">
        <v>0</v>
      </c>
      <c r="M2" s="136">
        <v>0</v>
      </c>
      <c r="N2" s="136">
        <v>0</v>
      </c>
      <c r="O2" s="136">
        <v>0</v>
      </c>
      <c r="P2" s="136">
        <v>0</v>
      </c>
      <c r="Q2" s="136">
        <v>0</v>
      </c>
      <c r="R2" s="136">
        <v>0</v>
      </c>
      <c r="S2" s="136">
        <v>0</v>
      </c>
      <c r="T2" s="136">
        <v>0</v>
      </c>
      <c r="U2" s="136">
        <v>0</v>
      </c>
      <c r="V2" s="136">
        <v>0</v>
      </c>
      <c r="W2" s="136">
        <v>0</v>
      </c>
      <c r="X2" s="136">
        <v>0</v>
      </c>
      <c r="Y2" s="136">
        <v>0</v>
      </c>
      <c r="Z2" s="136">
        <v>0</v>
      </c>
      <c r="AA2" s="136">
        <v>0</v>
      </c>
    </row>
    <row r="3" spans="1:34" customFormat="1" x14ac:dyDescent="0.15">
      <c r="A3" s="171" t="s">
        <v>192</v>
      </c>
      <c r="B3" s="136">
        <v>0</v>
      </c>
      <c r="C3" s="136">
        <v>0</v>
      </c>
      <c r="D3" s="136">
        <v>0</v>
      </c>
      <c r="E3" s="136">
        <v>0</v>
      </c>
      <c r="F3" s="136">
        <v>0</v>
      </c>
      <c r="G3" s="136">
        <v>0</v>
      </c>
      <c r="H3" s="136">
        <v>0</v>
      </c>
      <c r="I3" s="136">
        <v>0</v>
      </c>
      <c r="J3" s="136">
        <v>0</v>
      </c>
      <c r="K3" s="136">
        <v>0</v>
      </c>
      <c r="L3" s="136">
        <v>0</v>
      </c>
      <c r="M3" s="136">
        <v>0</v>
      </c>
      <c r="N3" s="136">
        <v>0</v>
      </c>
      <c r="O3" s="136">
        <v>0</v>
      </c>
      <c r="P3" s="136">
        <v>0</v>
      </c>
      <c r="Q3" s="136">
        <v>0</v>
      </c>
      <c r="R3" s="136">
        <v>0</v>
      </c>
      <c r="S3" s="136">
        <v>0</v>
      </c>
      <c r="T3" s="136">
        <v>0</v>
      </c>
      <c r="U3" s="136">
        <v>0</v>
      </c>
      <c r="V3" s="136">
        <v>0</v>
      </c>
      <c r="W3" s="136">
        <v>0</v>
      </c>
      <c r="X3" s="136">
        <v>0</v>
      </c>
      <c r="Y3" s="136">
        <v>0</v>
      </c>
      <c r="Z3" s="136">
        <v>0</v>
      </c>
      <c r="AA3" s="136">
        <v>0</v>
      </c>
    </row>
    <row r="4" spans="1:34" customFormat="1" x14ac:dyDescent="0.15">
      <c r="A4" s="171" t="s">
        <v>193</v>
      </c>
      <c r="B4" s="136">
        <v>0</v>
      </c>
      <c r="C4" s="136">
        <v>9.9766480981110109E-4</v>
      </c>
      <c r="D4" s="136">
        <v>0</v>
      </c>
      <c r="E4" s="136">
        <v>0</v>
      </c>
      <c r="F4" s="136">
        <v>0</v>
      </c>
      <c r="G4" s="136">
        <v>0</v>
      </c>
      <c r="H4" s="136">
        <v>0</v>
      </c>
      <c r="I4" s="136">
        <v>0</v>
      </c>
      <c r="J4" s="136">
        <v>0</v>
      </c>
      <c r="K4" s="136">
        <v>0</v>
      </c>
      <c r="L4" s="136">
        <v>0</v>
      </c>
      <c r="M4" s="136">
        <v>0</v>
      </c>
      <c r="N4" s="136">
        <v>0</v>
      </c>
      <c r="O4" s="136">
        <v>0</v>
      </c>
      <c r="P4" s="136">
        <v>0</v>
      </c>
      <c r="Q4" s="136">
        <v>0</v>
      </c>
      <c r="R4" s="136">
        <v>0</v>
      </c>
      <c r="S4" s="136">
        <v>0</v>
      </c>
      <c r="T4" s="136">
        <v>0</v>
      </c>
      <c r="U4" s="136">
        <v>0</v>
      </c>
      <c r="V4" s="136">
        <v>0</v>
      </c>
      <c r="W4" s="136">
        <v>0</v>
      </c>
      <c r="X4" s="136">
        <v>0</v>
      </c>
      <c r="Y4" s="136">
        <v>0</v>
      </c>
      <c r="Z4" s="136">
        <v>0</v>
      </c>
      <c r="AA4" s="136">
        <v>0</v>
      </c>
    </row>
    <row r="5" spans="1:34" customFormat="1" x14ac:dyDescent="0.15">
      <c r="A5" s="171" t="s">
        <v>194</v>
      </c>
      <c r="B5" s="136">
        <v>2.9986631624766055E-2</v>
      </c>
      <c r="C5" s="136">
        <v>4.4948485936656866E-2</v>
      </c>
      <c r="D5" s="136">
        <v>1.7837654748560569E-2</v>
      </c>
      <c r="E5" s="136">
        <v>0</v>
      </c>
      <c r="F5" s="136">
        <v>0</v>
      </c>
      <c r="G5" s="136">
        <v>0</v>
      </c>
      <c r="H5" s="136">
        <v>5.0999999999999997E-2</v>
      </c>
      <c r="I5" s="136">
        <v>0</v>
      </c>
      <c r="J5" s="136">
        <v>5.0000003635000271E-3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  <c r="X5" s="136">
        <v>0</v>
      </c>
      <c r="Y5" s="136">
        <v>0</v>
      </c>
      <c r="Z5" s="136">
        <v>0</v>
      </c>
      <c r="AA5" s="136">
        <v>0</v>
      </c>
    </row>
    <row r="6" spans="1:34" customFormat="1" x14ac:dyDescent="0.15">
      <c r="A6" s="171" t="s">
        <v>195</v>
      </c>
      <c r="B6" s="136">
        <v>8.0021551400377144E-2</v>
      </c>
      <c r="C6" s="136">
        <v>0.15082712636522774</v>
      </c>
      <c r="D6" s="136">
        <v>7.1350622194241931E-2</v>
      </c>
      <c r="E6" s="136">
        <v>4.3043045286286379E-2</v>
      </c>
      <c r="F6" s="136">
        <v>0</v>
      </c>
      <c r="G6" s="136">
        <v>0</v>
      </c>
      <c r="H6" s="136">
        <v>0</v>
      </c>
      <c r="I6" s="136">
        <v>2.0979020029090856E-2</v>
      </c>
      <c r="J6" s="136">
        <v>0</v>
      </c>
      <c r="K6" s="136">
        <v>0</v>
      </c>
      <c r="L6" s="136">
        <v>0</v>
      </c>
      <c r="M6" s="136">
        <v>0</v>
      </c>
      <c r="N6" s="136">
        <v>0</v>
      </c>
      <c r="O6" s="136">
        <v>0</v>
      </c>
      <c r="P6" s="136">
        <v>0</v>
      </c>
      <c r="Q6" s="136">
        <v>0</v>
      </c>
      <c r="R6" s="136">
        <v>0</v>
      </c>
      <c r="S6" s="136">
        <v>0</v>
      </c>
      <c r="T6" s="136">
        <v>0</v>
      </c>
      <c r="U6" s="136">
        <v>0</v>
      </c>
      <c r="V6" s="136">
        <v>0</v>
      </c>
      <c r="W6" s="136">
        <v>0</v>
      </c>
      <c r="X6" s="136">
        <v>0</v>
      </c>
      <c r="Y6" s="136">
        <v>0</v>
      </c>
      <c r="Z6" s="136">
        <v>0</v>
      </c>
      <c r="AA6" s="136">
        <v>0</v>
      </c>
    </row>
    <row r="7" spans="1:34" customFormat="1" x14ac:dyDescent="0.15">
      <c r="A7" s="171" t="s">
        <v>196</v>
      </c>
      <c r="B7" s="136">
        <v>0</v>
      </c>
      <c r="C7" s="136">
        <v>4.4948485936656866E-2</v>
      </c>
      <c r="D7" s="136">
        <v>0</v>
      </c>
      <c r="E7" s="136">
        <v>9.0090083738738475E-3</v>
      </c>
      <c r="F7" s="136">
        <v>4.5454546533636427E-3</v>
      </c>
      <c r="G7" s="136">
        <v>0</v>
      </c>
      <c r="H7" s="136">
        <v>4.4999999999999998E-2</v>
      </c>
      <c r="I7" s="136">
        <v>0</v>
      </c>
      <c r="J7" s="136">
        <v>0</v>
      </c>
      <c r="K7" s="136">
        <v>0</v>
      </c>
      <c r="L7" s="136">
        <v>0</v>
      </c>
      <c r="M7" s="136">
        <v>0</v>
      </c>
      <c r="N7" s="136">
        <v>0</v>
      </c>
      <c r="O7" s="136">
        <v>0</v>
      </c>
      <c r="P7" s="136">
        <v>0</v>
      </c>
      <c r="Q7" s="136">
        <v>0</v>
      </c>
      <c r="R7" s="136">
        <v>0</v>
      </c>
      <c r="S7" s="136">
        <v>0</v>
      </c>
      <c r="T7" s="136">
        <v>0</v>
      </c>
      <c r="U7" s="136">
        <v>0</v>
      </c>
      <c r="V7" s="136">
        <v>0</v>
      </c>
      <c r="W7" s="136">
        <v>0</v>
      </c>
      <c r="X7" s="136">
        <v>0</v>
      </c>
      <c r="Y7" s="136">
        <v>0</v>
      </c>
      <c r="Z7" s="136">
        <v>0</v>
      </c>
      <c r="AA7" s="136">
        <v>0</v>
      </c>
    </row>
    <row r="8" spans="1:34" customFormat="1" x14ac:dyDescent="0.15">
      <c r="A8" s="171" t="s">
        <v>197</v>
      </c>
      <c r="B8" s="136">
        <v>0</v>
      </c>
      <c r="C8" s="136">
        <v>8.9896951873315537E-3</v>
      </c>
      <c r="D8" s="136">
        <v>5.3512962245681937E-2</v>
      </c>
      <c r="E8" s="136">
        <v>9.0090083738738475E-3</v>
      </c>
      <c r="F8" s="136">
        <v>0</v>
      </c>
      <c r="G8" s="136">
        <v>0</v>
      </c>
      <c r="H8" s="136">
        <v>0</v>
      </c>
      <c r="I8" s="136">
        <v>0</v>
      </c>
      <c r="J8" s="136">
        <v>0</v>
      </c>
      <c r="K8" s="136">
        <v>0</v>
      </c>
      <c r="L8" s="136">
        <v>0</v>
      </c>
      <c r="M8" s="136">
        <v>0</v>
      </c>
      <c r="N8" s="136">
        <v>0</v>
      </c>
      <c r="O8" s="136">
        <v>0</v>
      </c>
      <c r="P8" s="136">
        <v>0</v>
      </c>
      <c r="Q8" s="136">
        <v>0</v>
      </c>
      <c r="R8" s="136">
        <v>0</v>
      </c>
      <c r="S8" s="136">
        <v>0</v>
      </c>
      <c r="T8" s="136">
        <v>0</v>
      </c>
      <c r="U8" s="136">
        <v>0</v>
      </c>
      <c r="V8" s="136">
        <v>0</v>
      </c>
      <c r="W8" s="136">
        <v>0</v>
      </c>
      <c r="X8" s="136">
        <v>0</v>
      </c>
      <c r="Y8" s="136">
        <v>0</v>
      </c>
      <c r="Z8" s="136">
        <v>0</v>
      </c>
      <c r="AA8" s="136">
        <v>0</v>
      </c>
    </row>
    <row r="9" spans="1:34" customFormat="1" x14ac:dyDescent="0.15">
      <c r="A9" s="171" t="s">
        <v>198</v>
      </c>
      <c r="B9" s="136">
        <v>5.0013468575235705E-2</v>
      </c>
      <c r="C9" s="136">
        <v>1.6980538464959317E-2</v>
      </c>
      <c r="D9" s="136">
        <v>8.9188280242802148E-2</v>
      </c>
      <c r="E9" s="136">
        <v>0.19519519110060041</v>
      </c>
      <c r="F9" s="136">
        <v>3.3636366974891099E-2</v>
      </c>
      <c r="G9" s="136">
        <v>0</v>
      </c>
      <c r="H9" s="136">
        <v>8.9999999999999993E-3</v>
      </c>
      <c r="I9" s="136">
        <v>0</v>
      </c>
      <c r="J9" s="136">
        <v>0</v>
      </c>
      <c r="K9" s="136">
        <v>0</v>
      </c>
      <c r="L9" s="136">
        <v>0</v>
      </c>
      <c r="M9" s="136">
        <v>0</v>
      </c>
      <c r="N9" s="136">
        <v>0</v>
      </c>
      <c r="O9" s="136">
        <v>0</v>
      </c>
      <c r="P9" s="136">
        <v>0</v>
      </c>
      <c r="Q9" s="136">
        <v>0</v>
      </c>
      <c r="R9" s="136">
        <v>0</v>
      </c>
      <c r="S9" s="136">
        <v>0</v>
      </c>
      <c r="T9" s="136">
        <v>0</v>
      </c>
      <c r="U9" s="136">
        <v>0</v>
      </c>
      <c r="V9" s="136">
        <v>0</v>
      </c>
      <c r="W9" s="136">
        <v>0</v>
      </c>
      <c r="X9" s="136">
        <v>0</v>
      </c>
      <c r="Y9" s="136">
        <v>0</v>
      </c>
      <c r="Z9" s="136">
        <v>0</v>
      </c>
      <c r="AA9" s="136">
        <v>0</v>
      </c>
    </row>
    <row r="10" spans="1:34" customFormat="1" x14ac:dyDescent="0.15">
      <c r="A10" s="171" t="s">
        <v>199</v>
      </c>
      <c r="B10" s="136">
        <v>3.4984406712227113E-2</v>
      </c>
      <c r="C10" s="136">
        <v>1.6980538464959317E-2</v>
      </c>
      <c r="D10" s="136">
        <v>8.2940350926325623E-2</v>
      </c>
      <c r="E10" s="136">
        <v>0</v>
      </c>
      <c r="F10" s="136">
        <v>0</v>
      </c>
      <c r="G10" s="136">
        <v>0</v>
      </c>
      <c r="H10" s="136">
        <v>2.7E-2</v>
      </c>
      <c r="I10" s="136">
        <v>0</v>
      </c>
      <c r="J10" s="136">
        <v>0</v>
      </c>
      <c r="K10" s="136">
        <v>1.4E-2</v>
      </c>
      <c r="L10" s="136">
        <v>0</v>
      </c>
      <c r="M10" s="136">
        <v>0</v>
      </c>
      <c r="N10" s="136">
        <v>0</v>
      </c>
      <c r="O10" s="136">
        <v>0</v>
      </c>
      <c r="P10" s="136">
        <v>0</v>
      </c>
      <c r="Q10" s="136">
        <v>0.04</v>
      </c>
      <c r="R10" s="136">
        <v>0</v>
      </c>
      <c r="S10" s="136">
        <v>0</v>
      </c>
      <c r="T10" s="136">
        <v>0</v>
      </c>
      <c r="U10" s="136">
        <v>0</v>
      </c>
      <c r="V10" s="136">
        <v>0</v>
      </c>
      <c r="W10" s="136">
        <v>0</v>
      </c>
      <c r="X10" s="136">
        <v>0</v>
      </c>
      <c r="Y10" s="136">
        <v>0</v>
      </c>
      <c r="Z10" s="136">
        <v>0</v>
      </c>
      <c r="AA10" s="136">
        <v>0</v>
      </c>
    </row>
    <row r="11" spans="1:34" customFormat="1" x14ac:dyDescent="0.15">
      <c r="A11" s="171" t="s">
        <v>200</v>
      </c>
      <c r="B11" s="136">
        <v>0.37883106562954366</v>
      </c>
      <c r="C11" s="136">
        <v>0</v>
      </c>
      <c r="D11" s="136">
        <v>4.4594141421400932E-2</v>
      </c>
      <c r="E11" s="136">
        <v>0</v>
      </c>
      <c r="F11" s="136">
        <v>0</v>
      </c>
      <c r="G11" s="136">
        <v>0</v>
      </c>
      <c r="H11" s="136">
        <v>0</v>
      </c>
      <c r="I11" s="136">
        <v>0</v>
      </c>
      <c r="J11" s="136">
        <v>0</v>
      </c>
      <c r="K11" s="136">
        <v>0</v>
      </c>
      <c r="L11" s="136">
        <v>0.15084914222127824</v>
      </c>
      <c r="M11" s="136">
        <v>0</v>
      </c>
      <c r="N11" s="136">
        <v>0</v>
      </c>
      <c r="O11" s="136">
        <v>0</v>
      </c>
      <c r="P11" s="136">
        <v>0</v>
      </c>
      <c r="Q11" s="136">
        <v>0</v>
      </c>
      <c r="R11" s="136">
        <v>0</v>
      </c>
      <c r="S11" s="136">
        <v>0</v>
      </c>
      <c r="T11" s="136">
        <v>0</v>
      </c>
      <c r="U11" s="136">
        <v>0</v>
      </c>
      <c r="V11" s="136">
        <v>0</v>
      </c>
      <c r="W11" s="136">
        <v>0</v>
      </c>
      <c r="X11" s="136">
        <v>0</v>
      </c>
      <c r="Y11" s="136">
        <v>0</v>
      </c>
      <c r="Z11" s="136">
        <v>0</v>
      </c>
      <c r="AA11" s="136">
        <v>0</v>
      </c>
    </row>
    <row r="12" spans="1:34" customFormat="1" x14ac:dyDescent="0.15">
      <c r="A12" s="171" t="s">
        <v>201</v>
      </c>
      <c r="B12" s="136">
        <v>8.9032791558073851E-2</v>
      </c>
      <c r="C12" s="136">
        <v>8.0907272685982537E-2</v>
      </c>
      <c r="D12" s="136">
        <v>0</v>
      </c>
      <c r="E12" s="136">
        <v>0.10710710444494481</v>
      </c>
      <c r="F12" s="136">
        <v>9.090909506727296E-2</v>
      </c>
      <c r="G12" s="136">
        <v>0</v>
      </c>
      <c r="H12" s="136">
        <v>0.16700000000000001</v>
      </c>
      <c r="I12" s="136">
        <v>0</v>
      </c>
      <c r="J12" s="136">
        <v>0</v>
      </c>
      <c r="K12" s="136">
        <v>0</v>
      </c>
      <c r="L12" s="136">
        <v>0</v>
      </c>
      <c r="M12" s="136">
        <v>0</v>
      </c>
      <c r="N12" s="136">
        <v>0</v>
      </c>
      <c r="O12" s="136">
        <v>0</v>
      </c>
      <c r="P12" s="136">
        <v>0</v>
      </c>
      <c r="Q12" s="136">
        <v>0</v>
      </c>
      <c r="R12" s="136">
        <v>0</v>
      </c>
      <c r="S12" s="136">
        <v>0</v>
      </c>
      <c r="T12" s="136">
        <v>0</v>
      </c>
      <c r="U12" s="136">
        <v>0</v>
      </c>
      <c r="V12" s="136">
        <v>0</v>
      </c>
      <c r="W12" s="136">
        <v>0</v>
      </c>
      <c r="X12" s="136">
        <v>0</v>
      </c>
      <c r="Y12" s="136">
        <v>0</v>
      </c>
      <c r="Z12" s="136">
        <v>0</v>
      </c>
      <c r="AA12" s="136">
        <v>0</v>
      </c>
    </row>
    <row r="13" spans="1:34" customFormat="1" x14ac:dyDescent="0.15">
      <c r="A13" s="171" t="s">
        <v>202</v>
      </c>
      <c r="B13" s="136">
        <v>1.0003684275064475E-2</v>
      </c>
      <c r="C13" s="136">
        <v>0</v>
      </c>
      <c r="D13" s="136">
        <v>4.2969102899180142E-2</v>
      </c>
      <c r="E13" s="136">
        <v>7.007007290790802E-3</v>
      </c>
      <c r="F13" s="136">
        <v>0</v>
      </c>
      <c r="G13" s="136">
        <v>0</v>
      </c>
      <c r="H13" s="136">
        <v>3.5999999999999997E-2</v>
      </c>
      <c r="I13" s="136">
        <v>0</v>
      </c>
      <c r="J13" s="136">
        <v>4.0000002908000213E-3</v>
      </c>
      <c r="K13" s="136">
        <v>0</v>
      </c>
      <c r="L13" s="136">
        <v>0</v>
      </c>
      <c r="M13" s="136">
        <v>0</v>
      </c>
      <c r="N13" s="136">
        <v>0</v>
      </c>
      <c r="O13" s="136">
        <v>0</v>
      </c>
      <c r="P13" s="136">
        <v>0</v>
      </c>
      <c r="Q13" s="136">
        <v>0</v>
      </c>
      <c r="R13" s="136">
        <v>0</v>
      </c>
      <c r="S13" s="136">
        <v>0</v>
      </c>
      <c r="T13" s="136">
        <v>0</v>
      </c>
      <c r="U13" s="136">
        <v>0</v>
      </c>
      <c r="V13" s="136">
        <v>0</v>
      </c>
      <c r="W13" s="136">
        <v>0</v>
      </c>
      <c r="X13" s="136">
        <v>0</v>
      </c>
      <c r="Y13" s="136">
        <v>0</v>
      </c>
      <c r="Z13" s="136">
        <v>0</v>
      </c>
      <c r="AA13" s="136">
        <v>0</v>
      </c>
    </row>
    <row r="14" spans="1:34" customFormat="1" x14ac:dyDescent="0.15">
      <c r="A14" s="171" t="s">
        <v>203</v>
      </c>
      <c r="B14" s="136">
        <v>0</v>
      </c>
      <c r="C14" s="136">
        <v>8.9896951873315537E-3</v>
      </c>
      <c r="D14" s="136">
        <v>5.3512962245681937E-2</v>
      </c>
      <c r="E14" s="136">
        <v>3.3033033370870879E-2</v>
      </c>
      <c r="F14" s="136">
        <v>0</v>
      </c>
      <c r="G14" s="136">
        <v>1.1926926834250744E-2</v>
      </c>
      <c r="H14" s="136">
        <v>3.5999999999999997E-2</v>
      </c>
      <c r="I14" s="136">
        <v>0</v>
      </c>
      <c r="J14" s="136">
        <v>2.8999999408299958E-2</v>
      </c>
      <c r="K14" s="136">
        <v>0</v>
      </c>
      <c r="L14" s="136">
        <v>0</v>
      </c>
      <c r="M14" s="136">
        <v>0</v>
      </c>
      <c r="N14" s="136">
        <v>0</v>
      </c>
      <c r="O14" s="136">
        <v>0</v>
      </c>
      <c r="P14" s="136">
        <v>0</v>
      </c>
      <c r="Q14" s="136">
        <v>0</v>
      </c>
      <c r="R14" s="136">
        <v>0</v>
      </c>
      <c r="S14" s="136">
        <v>0</v>
      </c>
      <c r="T14" s="136">
        <v>0</v>
      </c>
      <c r="U14" s="136">
        <v>0</v>
      </c>
      <c r="V14" s="136">
        <v>0</v>
      </c>
      <c r="W14" s="136">
        <v>0</v>
      </c>
      <c r="X14" s="136">
        <v>0</v>
      </c>
      <c r="Y14" s="136">
        <v>0</v>
      </c>
      <c r="Z14" s="136">
        <v>0</v>
      </c>
      <c r="AA14" s="136">
        <v>0</v>
      </c>
    </row>
    <row r="15" spans="1:34" customFormat="1" x14ac:dyDescent="0.15">
      <c r="A15" s="171" t="s">
        <v>204</v>
      </c>
      <c r="B15" s="136">
        <v>0.11012797992723965</v>
      </c>
      <c r="C15" s="136">
        <v>0.22174585795417442</v>
      </c>
      <c r="D15" s="136">
        <v>0.22297068460700711</v>
      </c>
      <c r="E15" s="136">
        <v>3.3033033370870879E-2</v>
      </c>
      <c r="F15" s="136">
        <v>0.71454543982876284</v>
      </c>
      <c r="G15" s="136">
        <v>0.74424027077724986</v>
      </c>
      <c r="H15" s="136">
        <v>1.7999999999999999E-2</v>
      </c>
      <c r="I15" s="136">
        <v>0.63636363424909081</v>
      </c>
      <c r="J15" s="136">
        <v>0.35800002602660186</v>
      </c>
      <c r="K15" s="136">
        <v>0</v>
      </c>
      <c r="L15" s="136">
        <v>0</v>
      </c>
      <c r="M15" s="136">
        <v>0</v>
      </c>
      <c r="N15" s="136">
        <v>2.0408163640816344E-2</v>
      </c>
      <c r="O15" s="136">
        <v>0</v>
      </c>
      <c r="P15" s="136">
        <v>0.14228457606933886</v>
      </c>
      <c r="Q15" s="136">
        <v>0</v>
      </c>
      <c r="R15" s="136">
        <v>0</v>
      </c>
      <c r="S15" s="136">
        <v>0</v>
      </c>
      <c r="T15" s="136">
        <v>0</v>
      </c>
      <c r="U15" s="136">
        <v>0</v>
      </c>
      <c r="V15" s="136">
        <v>0</v>
      </c>
      <c r="W15" s="136">
        <v>0</v>
      </c>
      <c r="X15" s="136">
        <v>0</v>
      </c>
      <c r="Y15" s="136">
        <v>0</v>
      </c>
      <c r="Z15" s="136">
        <v>0</v>
      </c>
      <c r="AA15" s="136">
        <v>0</v>
      </c>
    </row>
    <row r="16" spans="1:34" customFormat="1" x14ac:dyDescent="0.15">
      <c r="A16" s="171" t="s">
        <v>205</v>
      </c>
      <c r="B16" s="136">
        <v>0.1000035197500616</v>
      </c>
      <c r="C16" s="136">
        <v>5.2939328214284723E-2</v>
      </c>
      <c r="D16" s="136">
        <v>8.9188280242802148E-2</v>
      </c>
      <c r="E16" s="136">
        <v>3.1031031287787794E-2</v>
      </c>
      <c r="F16" s="136">
        <v>3.6363638626909218E-3</v>
      </c>
      <c r="G16" s="136">
        <v>0</v>
      </c>
      <c r="H16" s="136">
        <v>2.7E-2</v>
      </c>
      <c r="I16" s="136">
        <v>0</v>
      </c>
      <c r="J16" s="136">
        <v>1.0999999799699985E-2</v>
      </c>
      <c r="K16" s="136">
        <v>0</v>
      </c>
      <c r="L16" s="136">
        <v>0</v>
      </c>
      <c r="M16" s="136">
        <v>0</v>
      </c>
      <c r="N16" s="136">
        <v>0</v>
      </c>
      <c r="O16" s="136">
        <v>0</v>
      </c>
      <c r="P16" s="136">
        <v>0</v>
      </c>
      <c r="Q16" s="136">
        <v>0.01</v>
      </c>
      <c r="R16" s="136">
        <v>0</v>
      </c>
      <c r="S16" s="136">
        <v>0</v>
      </c>
      <c r="T16" s="136">
        <v>0</v>
      </c>
      <c r="U16" s="136">
        <v>0</v>
      </c>
      <c r="V16" s="136">
        <v>0</v>
      </c>
      <c r="W16" s="136">
        <v>0</v>
      </c>
      <c r="X16" s="136">
        <v>0</v>
      </c>
      <c r="Y16" s="136">
        <v>0</v>
      </c>
      <c r="Z16" s="136">
        <v>0</v>
      </c>
      <c r="AA16" s="136">
        <v>0</v>
      </c>
    </row>
    <row r="17" spans="1:27" customFormat="1" x14ac:dyDescent="0.15">
      <c r="A17" s="171" t="s">
        <v>206</v>
      </c>
      <c r="B17" s="136">
        <v>0</v>
      </c>
      <c r="C17" s="136">
        <v>2.8989141079381643E-2</v>
      </c>
      <c r="D17" s="136">
        <v>0</v>
      </c>
      <c r="E17" s="136">
        <v>0</v>
      </c>
      <c r="F17" s="136">
        <v>0</v>
      </c>
      <c r="G17" s="136">
        <v>0</v>
      </c>
      <c r="H17" s="136">
        <v>0</v>
      </c>
      <c r="I17" s="136">
        <v>0</v>
      </c>
      <c r="J17" s="136">
        <v>0</v>
      </c>
      <c r="K17" s="136">
        <v>0</v>
      </c>
      <c r="L17" s="136">
        <v>0</v>
      </c>
      <c r="M17" s="136">
        <v>0</v>
      </c>
      <c r="N17" s="136">
        <v>0</v>
      </c>
      <c r="O17" s="136">
        <v>0</v>
      </c>
      <c r="P17" s="136">
        <v>0</v>
      </c>
      <c r="Q17" s="136">
        <v>0</v>
      </c>
      <c r="R17" s="136">
        <v>0</v>
      </c>
      <c r="S17" s="136">
        <v>0</v>
      </c>
      <c r="T17" s="136">
        <v>0</v>
      </c>
      <c r="U17" s="136">
        <v>0</v>
      </c>
      <c r="V17" s="136">
        <v>0</v>
      </c>
      <c r="W17" s="136">
        <v>0</v>
      </c>
      <c r="X17" s="136">
        <v>0</v>
      </c>
      <c r="Y17" s="136">
        <v>0</v>
      </c>
      <c r="Z17" s="136">
        <v>0</v>
      </c>
      <c r="AA17" s="136">
        <v>0</v>
      </c>
    </row>
    <row r="18" spans="1:27" customFormat="1" x14ac:dyDescent="0.15">
      <c r="A18" s="171" t="s">
        <v>207</v>
      </c>
      <c r="B18" s="136">
        <v>0</v>
      </c>
      <c r="C18" s="136">
        <v>1.6980538464959317E-2</v>
      </c>
      <c r="D18" s="136">
        <v>0</v>
      </c>
      <c r="E18" s="136">
        <v>8.0080083323323462E-3</v>
      </c>
      <c r="F18" s="136">
        <v>0</v>
      </c>
      <c r="G18" s="136">
        <v>0</v>
      </c>
      <c r="H18" s="136">
        <v>7.0999999999999994E-2</v>
      </c>
      <c r="I18" s="136">
        <v>0</v>
      </c>
      <c r="J18" s="136">
        <v>1.6000001163200085E-2</v>
      </c>
      <c r="K18" s="136">
        <v>4.0000000000000001E-3</v>
      </c>
      <c r="L18" s="136">
        <v>0</v>
      </c>
      <c r="M18" s="136">
        <v>0</v>
      </c>
      <c r="N18" s="136">
        <v>0</v>
      </c>
      <c r="O18" s="136">
        <v>0</v>
      </c>
      <c r="P18" s="136">
        <v>1.2024048143887776E-2</v>
      </c>
      <c r="Q18" s="136">
        <v>0.02</v>
      </c>
      <c r="R18" s="136">
        <v>0</v>
      </c>
      <c r="S18" s="136">
        <v>0</v>
      </c>
      <c r="T18" s="136">
        <v>0</v>
      </c>
      <c r="U18" s="136">
        <v>0</v>
      </c>
      <c r="V18" s="136">
        <v>0</v>
      </c>
      <c r="W18" s="136">
        <v>0</v>
      </c>
      <c r="X18" s="136">
        <v>0</v>
      </c>
      <c r="Y18" s="136">
        <v>0</v>
      </c>
      <c r="Z18" s="136">
        <v>0</v>
      </c>
      <c r="AA18" s="136">
        <v>0</v>
      </c>
    </row>
    <row r="19" spans="1:27" customFormat="1" x14ac:dyDescent="0.15">
      <c r="A19" s="171" t="s">
        <v>208</v>
      </c>
      <c r="B19" s="136">
        <v>5.0001760875030818E-2</v>
      </c>
      <c r="C19" s="136">
        <v>8.0907272685982537E-2</v>
      </c>
      <c r="D19" s="136">
        <v>4.4594141421400932E-2</v>
      </c>
      <c r="E19" s="136">
        <v>7.007007290790801E-2</v>
      </c>
      <c r="F19" s="136">
        <v>8.1818184560545609E-3</v>
      </c>
      <c r="G19" s="136">
        <v>5.1019349351940128E-2</v>
      </c>
      <c r="H19" s="136">
        <v>2.7E-2</v>
      </c>
      <c r="I19" s="136">
        <v>2.9970029612986994E-3</v>
      </c>
      <c r="J19" s="136">
        <v>1.0999999799699985E-2</v>
      </c>
      <c r="K19" s="136">
        <v>1.4999999999999999E-2</v>
      </c>
      <c r="L19" s="136">
        <v>0</v>
      </c>
      <c r="M19" s="136">
        <v>0</v>
      </c>
      <c r="N19" s="136">
        <v>0</v>
      </c>
      <c r="O19" s="136">
        <v>0</v>
      </c>
      <c r="P19" s="136">
        <v>2.00400805731463E-2</v>
      </c>
      <c r="Q19" s="136">
        <v>0</v>
      </c>
      <c r="R19" s="136">
        <v>0</v>
      </c>
      <c r="S19" s="136">
        <v>0</v>
      </c>
      <c r="T19" s="136">
        <v>0</v>
      </c>
      <c r="U19" s="136">
        <v>0</v>
      </c>
      <c r="V19" s="136">
        <v>0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</row>
    <row r="20" spans="1:27" customFormat="1" x14ac:dyDescent="0.15">
      <c r="A20" s="171" t="s">
        <v>209</v>
      </c>
      <c r="B20" s="136">
        <v>1.0995100192414254E-2</v>
      </c>
      <c r="C20" s="136">
        <v>0.16093970845105035</v>
      </c>
      <c r="D20" s="136">
        <v>7.1023252230056219E-2</v>
      </c>
      <c r="E20" s="136">
        <v>0.25925926475925948</v>
      </c>
      <c r="F20" s="136">
        <v>5.0909092837672837E-2</v>
      </c>
      <c r="G20" s="136">
        <v>4.4016694185987616E-2</v>
      </c>
      <c r="H20" s="136">
        <v>0.108</v>
      </c>
      <c r="I20" s="136">
        <v>3.1968031720519464E-2</v>
      </c>
      <c r="J20" s="136">
        <v>8.4999996179499715E-2</v>
      </c>
      <c r="K20" s="136">
        <v>0.46500000000000002</v>
      </c>
      <c r="L20" s="136">
        <v>2.9970029133366587E-2</v>
      </c>
      <c r="M20" s="136">
        <v>0.28571427705714264</v>
      </c>
      <c r="N20" s="136">
        <v>0.14285713988571416</v>
      </c>
      <c r="O20" s="136">
        <v>4.0322583922177396E-3</v>
      </c>
      <c r="P20" s="136">
        <v>6.1122244148096173E-2</v>
      </c>
      <c r="Q20" s="136">
        <v>0.3</v>
      </c>
      <c r="R20" s="136">
        <v>9.31676925465846E-3</v>
      </c>
      <c r="S20" s="136">
        <v>2.4996119594845559E-2</v>
      </c>
      <c r="T20" s="136">
        <v>1.0001420209887804E-2</v>
      </c>
      <c r="U20" s="136">
        <v>0</v>
      </c>
      <c r="V20" s="136">
        <v>0</v>
      </c>
      <c r="W20" s="136">
        <v>0</v>
      </c>
      <c r="X20" s="136">
        <v>0</v>
      </c>
      <c r="Y20" s="136">
        <v>0</v>
      </c>
      <c r="Z20" s="136">
        <v>0</v>
      </c>
      <c r="AA20" s="136">
        <v>0</v>
      </c>
    </row>
    <row r="21" spans="1:27" customFormat="1" x14ac:dyDescent="0.15">
      <c r="A21" s="171" t="s">
        <v>210</v>
      </c>
      <c r="B21" s="136">
        <v>3.2985292977242626E-2</v>
      </c>
      <c r="C21" s="136">
        <v>6.1929024401616191E-2</v>
      </c>
      <c r="D21" s="136">
        <v>7.1350622194241931E-2</v>
      </c>
      <c r="E21" s="136">
        <v>0.19519519110060041</v>
      </c>
      <c r="F21" s="136">
        <v>3.7272732077582083E-2</v>
      </c>
      <c r="G21" s="136">
        <v>9.6318283859868806E-2</v>
      </c>
      <c r="H21" s="136">
        <v>0.252</v>
      </c>
      <c r="I21" s="136">
        <v>3.1968031720519464E-2</v>
      </c>
      <c r="J21" s="136">
        <v>7.6000005525200406E-2</v>
      </c>
      <c r="K21" s="136">
        <v>0.20200000000000001</v>
      </c>
      <c r="L21" s="136">
        <v>0.43256744157492555</v>
      </c>
      <c r="M21" s="136">
        <v>0.23469387661836733</v>
      </c>
      <c r="N21" s="136">
        <v>0.15306123230612279</v>
      </c>
      <c r="O21" s="136">
        <v>0</v>
      </c>
      <c r="P21" s="136">
        <v>7.6152302177955836E-2</v>
      </c>
      <c r="Q21" s="136">
        <v>0.25</v>
      </c>
      <c r="R21" s="136">
        <v>5.1759835859213135E-2</v>
      </c>
      <c r="S21" s="136">
        <v>6.2102152471665666E-3</v>
      </c>
      <c r="T21" s="136">
        <v>1.0143428198669174E-2</v>
      </c>
      <c r="U21" s="136">
        <v>0</v>
      </c>
      <c r="V21" s="136">
        <v>0</v>
      </c>
      <c r="W21" s="136">
        <v>0</v>
      </c>
      <c r="X21" s="136">
        <v>0</v>
      </c>
      <c r="Y21" s="136">
        <v>0</v>
      </c>
      <c r="Z21" s="136">
        <v>0</v>
      </c>
      <c r="AA21" s="136">
        <v>0</v>
      </c>
    </row>
    <row r="22" spans="1:27" customFormat="1" x14ac:dyDescent="0.15">
      <c r="A22" s="171" t="s">
        <v>211</v>
      </c>
      <c r="B22" s="136">
        <v>2.3012746502723062E-2</v>
      </c>
      <c r="C22" s="136">
        <v>0</v>
      </c>
      <c r="D22" s="136">
        <v>4.4966942380616506E-2</v>
      </c>
      <c r="E22" s="136">
        <v>0</v>
      </c>
      <c r="F22" s="136">
        <v>1.0000000557400033E-2</v>
      </c>
      <c r="G22" s="136">
        <v>5.2478474990702975E-2</v>
      </c>
      <c r="H22" s="136">
        <v>0</v>
      </c>
      <c r="I22" s="136">
        <v>0.26573426930181832</v>
      </c>
      <c r="J22" s="136">
        <v>0</v>
      </c>
      <c r="K22" s="136">
        <v>0</v>
      </c>
      <c r="L22" s="136">
        <v>0.17182817536463554</v>
      </c>
      <c r="M22" s="136">
        <v>0.22448980633061252</v>
      </c>
      <c r="N22" s="136">
        <v>0.32653061345306128</v>
      </c>
      <c r="O22" s="136">
        <v>0.99596774160778212</v>
      </c>
      <c r="P22" s="136">
        <v>1.3026052572545103E-2</v>
      </c>
      <c r="Q22" s="136">
        <v>0</v>
      </c>
      <c r="R22" s="136">
        <v>0</v>
      </c>
      <c r="S22" s="136">
        <v>0.68312372718832437</v>
      </c>
      <c r="T22" s="136">
        <v>0.12983588974296473</v>
      </c>
      <c r="U22" s="136">
        <v>0.15</v>
      </c>
      <c r="V22" s="136">
        <v>0.05</v>
      </c>
      <c r="W22" s="136">
        <v>0</v>
      </c>
      <c r="X22" s="136">
        <v>0</v>
      </c>
      <c r="Y22" s="136">
        <v>0</v>
      </c>
      <c r="Z22" s="136">
        <v>0</v>
      </c>
      <c r="AA22" s="136">
        <v>0</v>
      </c>
    </row>
    <row r="23" spans="1:27" customFormat="1" x14ac:dyDescent="0.15">
      <c r="A23" s="171" t="s">
        <v>212</v>
      </c>
      <c r="B23" s="136">
        <v>0</v>
      </c>
      <c r="C23" s="136">
        <v>0</v>
      </c>
      <c r="D23" s="136">
        <v>0</v>
      </c>
      <c r="E23" s="136">
        <v>0</v>
      </c>
      <c r="F23" s="136">
        <v>4.6363635684309061E-2</v>
      </c>
      <c r="G23" s="136">
        <v>0</v>
      </c>
      <c r="H23" s="136">
        <v>0.126</v>
      </c>
      <c r="I23" s="136">
        <v>9.9900100176623374E-3</v>
      </c>
      <c r="J23" s="136">
        <v>0.40499997144349792</v>
      </c>
      <c r="K23" s="136">
        <v>0.3</v>
      </c>
      <c r="L23" s="136">
        <v>0.21478521170579404</v>
      </c>
      <c r="M23" s="136">
        <v>0.23469387661836733</v>
      </c>
      <c r="N23" s="136">
        <v>0.35714285071428548</v>
      </c>
      <c r="O23" s="136">
        <v>0</v>
      </c>
      <c r="P23" s="136">
        <v>0.45090178989579116</v>
      </c>
      <c r="Q23" s="136">
        <v>0</v>
      </c>
      <c r="R23" s="136">
        <v>0.77122153830227691</v>
      </c>
      <c r="S23" s="136">
        <v>6.2102160071665968E-2</v>
      </c>
      <c r="T23" s="136">
        <v>0.57918975424400942</v>
      </c>
      <c r="U23" s="136">
        <v>0.15</v>
      </c>
      <c r="V23" s="136">
        <v>0</v>
      </c>
      <c r="W23" s="136">
        <v>0</v>
      </c>
      <c r="X23" s="136">
        <v>0</v>
      </c>
      <c r="Y23" s="136">
        <v>0</v>
      </c>
      <c r="Z23" s="136">
        <v>0</v>
      </c>
      <c r="AA23" s="136">
        <v>0</v>
      </c>
    </row>
    <row r="24" spans="1:27" customFormat="1" x14ac:dyDescent="0.15">
      <c r="A24" s="171" t="s">
        <v>213</v>
      </c>
      <c r="B24" s="136">
        <v>0</v>
      </c>
      <c r="C24" s="136">
        <v>0</v>
      </c>
      <c r="D24" s="136">
        <v>0</v>
      </c>
      <c r="E24" s="136">
        <v>0</v>
      </c>
      <c r="F24" s="136">
        <v>0</v>
      </c>
      <c r="G24" s="136">
        <v>0</v>
      </c>
      <c r="H24" s="136">
        <v>0</v>
      </c>
      <c r="I24" s="136">
        <v>0</v>
      </c>
      <c r="J24" s="136">
        <v>0</v>
      </c>
      <c r="K24" s="136">
        <v>0</v>
      </c>
      <c r="L24" s="136">
        <v>0</v>
      </c>
      <c r="M24" s="136">
        <v>0</v>
      </c>
      <c r="N24" s="136">
        <v>0</v>
      </c>
      <c r="O24" s="136">
        <v>0</v>
      </c>
      <c r="P24" s="136">
        <v>0</v>
      </c>
      <c r="Q24" s="136">
        <v>0</v>
      </c>
      <c r="R24" s="136">
        <v>0</v>
      </c>
      <c r="S24" s="136">
        <v>0</v>
      </c>
      <c r="T24" s="136">
        <v>0</v>
      </c>
      <c r="U24" s="136">
        <v>0</v>
      </c>
      <c r="V24" s="136">
        <v>0.7</v>
      </c>
      <c r="W24" s="136">
        <v>0</v>
      </c>
      <c r="X24" s="136">
        <v>0</v>
      </c>
      <c r="Y24" s="136">
        <v>0</v>
      </c>
      <c r="Z24" s="136">
        <v>0</v>
      </c>
      <c r="AA24" s="136">
        <v>0</v>
      </c>
    </row>
    <row r="25" spans="1:27" customFormat="1" x14ac:dyDescent="0.15">
      <c r="A25" s="171" t="s">
        <v>214</v>
      </c>
      <c r="B25" s="136">
        <v>0</v>
      </c>
      <c r="C25" s="136">
        <v>0</v>
      </c>
      <c r="D25" s="136">
        <v>0</v>
      </c>
      <c r="E25" s="136">
        <v>0</v>
      </c>
      <c r="F25" s="136">
        <v>0</v>
      </c>
      <c r="G25" s="136">
        <v>0</v>
      </c>
      <c r="H25" s="136">
        <v>0</v>
      </c>
      <c r="I25" s="136">
        <v>0</v>
      </c>
      <c r="J25" s="136">
        <v>0</v>
      </c>
      <c r="K25" s="136">
        <v>0</v>
      </c>
      <c r="L25" s="136">
        <v>0</v>
      </c>
      <c r="M25" s="136">
        <v>0</v>
      </c>
      <c r="N25" s="136">
        <v>0</v>
      </c>
      <c r="O25" s="136">
        <v>0</v>
      </c>
      <c r="P25" s="136">
        <v>0</v>
      </c>
      <c r="Q25" s="136">
        <v>0.38</v>
      </c>
      <c r="R25" s="136">
        <v>0</v>
      </c>
      <c r="S25" s="136">
        <v>0</v>
      </c>
      <c r="T25" s="136">
        <v>0</v>
      </c>
      <c r="U25" s="136">
        <v>0</v>
      </c>
      <c r="V25" s="136">
        <v>0</v>
      </c>
      <c r="W25" s="136">
        <v>0</v>
      </c>
      <c r="X25" s="136">
        <v>0</v>
      </c>
      <c r="Y25" s="136">
        <v>0</v>
      </c>
      <c r="Z25" s="136">
        <v>0</v>
      </c>
      <c r="AA25" s="136">
        <v>0</v>
      </c>
    </row>
    <row r="26" spans="1:27" customFormat="1" x14ac:dyDescent="0.15">
      <c r="A26" s="171" t="s">
        <v>215</v>
      </c>
      <c r="B26" s="136">
        <v>0</v>
      </c>
      <c r="C26" s="136">
        <v>0</v>
      </c>
      <c r="D26" s="136">
        <v>0</v>
      </c>
      <c r="E26" s="136">
        <v>0</v>
      </c>
      <c r="F26" s="136">
        <v>0</v>
      </c>
      <c r="G26" s="136">
        <v>0</v>
      </c>
      <c r="H26" s="136">
        <v>0</v>
      </c>
      <c r="I26" s="136">
        <v>0</v>
      </c>
      <c r="J26" s="136">
        <v>0</v>
      </c>
      <c r="K26" s="136">
        <v>0</v>
      </c>
      <c r="L26" s="136">
        <v>0</v>
      </c>
      <c r="M26" s="136">
        <v>2.040816337551021E-2</v>
      </c>
      <c r="N26" s="136">
        <v>0</v>
      </c>
      <c r="O26" s="136">
        <v>0</v>
      </c>
      <c r="P26" s="136">
        <v>0.2244489064192387</v>
      </c>
      <c r="Q26" s="136">
        <v>0</v>
      </c>
      <c r="R26" s="136">
        <v>0.16770185658385148</v>
      </c>
      <c r="S26" s="136">
        <v>0.22356777789799756</v>
      </c>
      <c r="T26" s="136">
        <v>0.27082950760446894</v>
      </c>
      <c r="U26" s="136">
        <v>0.7</v>
      </c>
      <c r="V26" s="136">
        <v>0.25</v>
      </c>
      <c r="W26" s="136">
        <v>1</v>
      </c>
      <c r="X26" s="136">
        <v>0</v>
      </c>
      <c r="Y26" s="136">
        <v>0</v>
      </c>
      <c r="Z26" s="136">
        <v>0</v>
      </c>
      <c r="AA26" s="136">
        <v>0</v>
      </c>
    </row>
    <row r="27" spans="1:27" customFormat="1" x14ac:dyDescent="0.15">
      <c r="A27" s="171" t="s">
        <v>216</v>
      </c>
      <c r="B27" s="136">
        <v>0</v>
      </c>
      <c r="C27" s="136">
        <v>0</v>
      </c>
      <c r="D27" s="136">
        <v>0</v>
      </c>
      <c r="E27" s="136">
        <v>0</v>
      </c>
      <c r="F27" s="136">
        <v>0</v>
      </c>
      <c r="G27" s="136">
        <v>0</v>
      </c>
      <c r="H27" s="136">
        <v>0</v>
      </c>
      <c r="I27" s="136">
        <v>0</v>
      </c>
      <c r="J27" s="136">
        <v>0</v>
      </c>
      <c r="K27" s="136">
        <v>0</v>
      </c>
      <c r="L27" s="136">
        <v>0</v>
      </c>
      <c r="M27" s="136">
        <v>0</v>
      </c>
      <c r="N27" s="136">
        <v>0</v>
      </c>
      <c r="O27" s="136">
        <v>0</v>
      </c>
      <c r="P27" s="136">
        <v>0</v>
      </c>
      <c r="Q27" s="136">
        <v>0</v>
      </c>
      <c r="R27" s="136">
        <v>0</v>
      </c>
      <c r="S27" s="136">
        <v>0</v>
      </c>
      <c r="T27" s="136">
        <v>0</v>
      </c>
      <c r="U27" s="136">
        <v>0</v>
      </c>
      <c r="V27" s="136">
        <v>0</v>
      </c>
      <c r="W27" s="136">
        <v>0</v>
      </c>
      <c r="X27" s="136">
        <v>0</v>
      </c>
      <c r="Y27" s="136">
        <v>0</v>
      </c>
      <c r="Z27" s="136">
        <v>0</v>
      </c>
      <c r="AA27" s="136">
        <v>0</v>
      </c>
    </row>
    <row r="28" spans="1:27" customFormat="1" x14ac:dyDescent="0.15">
      <c r="A28" s="171" t="s">
        <v>222</v>
      </c>
      <c r="B28" s="136">
        <v>0</v>
      </c>
      <c r="C28" s="136">
        <v>0</v>
      </c>
      <c r="D28" s="136">
        <v>0</v>
      </c>
      <c r="E28" s="136">
        <v>0</v>
      </c>
      <c r="F28" s="136">
        <v>0</v>
      </c>
      <c r="G28" s="136">
        <v>0</v>
      </c>
      <c r="H28" s="136">
        <v>0</v>
      </c>
      <c r="I28" s="136">
        <v>0</v>
      </c>
      <c r="J28" s="136">
        <v>0</v>
      </c>
      <c r="K28" s="136">
        <v>0</v>
      </c>
      <c r="L28" s="136">
        <v>0</v>
      </c>
      <c r="M28" s="136">
        <v>0</v>
      </c>
      <c r="N28" s="136">
        <v>0</v>
      </c>
      <c r="O28" s="136">
        <v>0</v>
      </c>
      <c r="P28" s="136">
        <v>0</v>
      </c>
      <c r="Q28" s="136">
        <v>0</v>
      </c>
      <c r="R28" s="136">
        <v>0</v>
      </c>
      <c r="S28" s="136">
        <v>0</v>
      </c>
      <c r="T28" s="136">
        <v>0</v>
      </c>
      <c r="U28" s="136">
        <v>0</v>
      </c>
      <c r="V28" s="136">
        <v>0</v>
      </c>
      <c r="W28" s="136">
        <v>0</v>
      </c>
      <c r="X28" s="136">
        <v>0</v>
      </c>
      <c r="Y28" s="136">
        <v>0</v>
      </c>
      <c r="Z28" s="136">
        <v>0</v>
      </c>
      <c r="AA28" s="136">
        <v>0</v>
      </c>
    </row>
    <row r="29" spans="1:27" customFormat="1" x14ac:dyDescent="0.15"/>
    <row r="30" spans="1:27" customFormat="1" x14ac:dyDescent="0.15"/>
    <row r="31" spans="1:27" customFormat="1" x14ac:dyDescent="0.15"/>
    <row r="32" spans="1:27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6" customWidth="1"/>
    <col min="5" max="6" width="2.33203125" style="105" bestFit="1" customWidth="1"/>
    <col min="7" max="8" width="8.83203125" style="106"/>
  </cols>
  <sheetData>
    <row r="1" spans="1:8" ht="70" x14ac:dyDescent="0.15">
      <c r="A1" s="5" t="s">
        <v>20</v>
      </c>
      <c r="B1" s="1" t="s">
        <v>0</v>
      </c>
      <c r="C1" s="174" t="s">
        <v>215</v>
      </c>
      <c r="D1" s="174" t="s">
        <v>216</v>
      </c>
      <c r="E1" s="174" t="s">
        <v>223</v>
      </c>
      <c r="F1" s="174" t="s">
        <v>224</v>
      </c>
      <c r="G1"/>
      <c r="H1"/>
    </row>
    <row r="2" spans="1:8" x14ac:dyDescent="0.15">
      <c r="A2">
        <v>1</v>
      </c>
      <c r="B2" s="173" t="s">
        <v>191</v>
      </c>
      <c r="C2" s="106">
        <v>1</v>
      </c>
      <c r="D2" s="106">
        <v>0</v>
      </c>
      <c r="E2" s="105">
        <v>0</v>
      </c>
      <c r="F2" s="105">
        <v>1</v>
      </c>
      <c r="G2"/>
      <c r="H2"/>
    </row>
    <row r="3" spans="1:8" x14ac:dyDescent="0.15">
      <c r="A3">
        <v>2</v>
      </c>
      <c r="B3" s="173" t="s">
        <v>192</v>
      </c>
      <c r="C3" s="106">
        <v>1</v>
      </c>
      <c r="D3" s="106">
        <v>0</v>
      </c>
      <c r="E3" s="105">
        <v>0</v>
      </c>
      <c r="F3" s="105">
        <v>1</v>
      </c>
      <c r="G3"/>
      <c r="H3"/>
    </row>
    <row r="4" spans="1:8" x14ac:dyDescent="0.15">
      <c r="A4">
        <v>3</v>
      </c>
      <c r="B4" s="173" t="s">
        <v>193</v>
      </c>
      <c r="C4" s="106">
        <v>1</v>
      </c>
      <c r="D4" s="106">
        <v>0</v>
      </c>
      <c r="E4" s="105">
        <v>0</v>
      </c>
      <c r="F4" s="105">
        <v>1</v>
      </c>
      <c r="G4"/>
      <c r="H4"/>
    </row>
    <row r="5" spans="1:8" x14ac:dyDescent="0.15">
      <c r="A5">
        <v>4</v>
      </c>
      <c r="B5" s="173" t="s">
        <v>194</v>
      </c>
      <c r="C5" s="106">
        <v>1</v>
      </c>
      <c r="D5" s="106">
        <v>0</v>
      </c>
      <c r="E5" s="105">
        <v>0</v>
      </c>
      <c r="F5" s="105">
        <v>1</v>
      </c>
      <c r="G5"/>
      <c r="H5"/>
    </row>
    <row r="6" spans="1:8" x14ac:dyDescent="0.15">
      <c r="A6">
        <v>5</v>
      </c>
      <c r="B6" s="173" t="s">
        <v>195</v>
      </c>
      <c r="C6" s="106">
        <v>1</v>
      </c>
      <c r="D6" s="106">
        <v>0</v>
      </c>
      <c r="E6" s="105">
        <v>0</v>
      </c>
      <c r="F6" s="105">
        <v>1</v>
      </c>
      <c r="G6"/>
      <c r="H6"/>
    </row>
    <row r="7" spans="1:8" x14ac:dyDescent="0.15">
      <c r="A7">
        <v>6</v>
      </c>
      <c r="B7" s="173" t="s">
        <v>196</v>
      </c>
      <c r="C7" s="106">
        <v>1</v>
      </c>
      <c r="D7" s="106">
        <v>0</v>
      </c>
      <c r="E7" s="105">
        <v>0</v>
      </c>
      <c r="F7" s="105">
        <v>1</v>
      </c>
      <c r="G7"/>
      <c r="H7"/>
    </row>
    <row r="8" spans="1:8" x14ac:dyDescent="0.15">
      <c r="A8">
        <v>7</v>
      </c>
      <c r="B8" s="173" t="s">
        <v>197</v>
      </c>
      <c r="C8" s="106">
        <v>1</v>
      </c>
      <c r="D8" s="106">
        <v>0</v>
      </c>
      <c r="E8" s="105">
        <v>0</v>
      </c>
      <c r="F8" s="105">
        <v>1</v>
      </c>
      <c r="G8"/>
      <c r="H8"/>
    </row>
    <row r="9" spans="1:8" x14ac:dyDescent="0.15">
      <c r="A9">
        <v>8</v>
      </c>
      <c r="B9" s="173" t="s">
        <v>198</v>
      </c>
      <c r="C9" s="106">
        <v>1</v>
      </c>
      <c r="D9" s="106">
        <v>0</v>
      </c>
      <c r="E9" s="105">
        <v>0</v>
      </c>
      <c r="F9" s="105">
        <v>1</v>
      </c>
      <c r="G9"/>
      <c r="H9"/>
    </row>
    <row r="10" spans="1:8" x14ac:dyDescent="0.15">
      <c r="A10">
        <v>9</v>
      </c>
      <c r="B10" s="173" t="s">
        <v>199</v>
      </c>
      <c r="C10" s="106">
        <v>1</v>
      </c>
      <c r="D10" s="106">
        <v>0</v>
      </c>
      <c r="E10" s="105">
        <v>0</v>
      </c>
      <c r="F10" s="105">
        <v>1</v>
      </c>
      <c r="G10"/>
      <c r="H10"/>
    </row>
    <row r="11" spans="1:8" x14ac:dyDescent="0.15">
      <c r="A11">
        <v>10</v>
      </c>
      <c r="B11" s="173" t="s">
        <v>200</v>
      </c>
      <c r="C11" s="106">
        <v>1</v>
      </c>
      <c r="D11" s="106">
        <v>0</v>
      </c>
      <c r="E11" s="105">
        <v>0</v>
      </c>
      <c r="F11" s="105">
        <v>1</v>
      </c>
      <c r="G11"/>
      <c r="H11"/>
    </row>
    <row r="12" spans="1:8" x14ac:dyDescent="0.15">
      <c r="A12">
        <v>11</v>
      </c>
      <c r="B12" s="173" t="s">
        <v>201</v>
      </c>
      <c r="C12" s="106">
        <v>1</v>
      </c>
      <c r="D12" s="106">
        <v>0</v>
      </c>
      <c r="E12" s="105">
        <v>0</v>
      </c>
      <c r="F12" s="105">
        <v>1</v>
      </c>
      <c r="G12"/>
      <c r="H12"/>
    </row>
    <row r="13" spans="1:8" x14ac:dyDescent="0.15">
      <c r="A13">
        <v>12</v>
      </c>
      <c r="B13" s="173" t="s">
        <v>202</v>
      </c>
      <c r="C13" s="106">
        <v>1</v>
      </c>
      <c r="D13" s="106">
        <v>0</v>
      </c>
      <c r="E13" s="105">
        <v>0</v>
      </c>
      <c r="F13" s="105">
        <v>1</v>
      </c>
      <c r="G13"/>
      <c r="H13"/>
    </row>
    <row r="14" spans="1:8" x14ac:dyDescent="0.15">
      <c r="A14">
        <v>13</v>
      </c>
      <c r="B14" s="173" t="s">
        <v>203</v>
      </c>
      <c r="C14" s="106">
        <v>1</v>
      </c>
      <c r="D14" s="106">
        <v>0</v>
      </c>
      <c r="E14" s="105">
        <v>0</v>
      </c>
      <c r="F14" s="105">
        <v>1</v>
      </c>
      <c r="G14"/>
      <c r="H14"/>
    </row>
    <row r="15" spans="1:8" x14ac:dyDescent="0.15">
      <c r="A15">
        <v>14</v>
      </c>
      <c r="B15" s="173" t="s">
        <v>204</v>
      </c>
      <c r="C15" s="106">
        <v>1</v>
      </c>
      <c r="D15" s="106">
        <v>0</v>
      </c>
      <c r="E15" s="105">
        <v>0</v>
      </c>
      <c r="F15" s="105">
        <v>1</v>
      </c>
      <c r="G15"/>
      <c r="H15"/>
    </row>
    <row r="16" spans="1:8" x14ac:dyDescent="0.15">
      <c r="A16">
        <v>15</v>
      </c>
      <c r="B16" s="173" t="s">
        <v>205</v>
      </c>
      <c r="C16" s="106">
        <v>1</v>
      </c>
      <c r="D16" s="106">
        <v>0</v>
      </c>
      <c r="E16" s="105">
        <v>0</v>
      </c>
      <c r="F16" s="105">
        <v>1</v>
      </c>
      <c r="G16"/>
      <c r="H16"/>
    </row>
    <row r="17" spans="1:8" ht="15" customHeight="1" x14ac:dyDescent="0.15">
      <c r="A17">
        <v>16</v>
      </c>
      <c r="B17" s="173" t="s">
        <v>206</v>
      </c>
      <c r="C17" s="106">
        <v>1</v>
      </c>
      <c r="D17" s="106">
        <v>0</v>
      </c>
      <c r="E17" s="105">
        <v>0</v>
      </c>
      <c r="F17" s="105">
        <v>1</v>
      </c>
      <c r="G17"/>
      <c r="H17"/>
    </row>
    <row r="18" spans="1:8" ht="15" customHeight="1" x14ac:dyDescent="0.15">
      <c r="A18">
        <v>17</v>
      </c>
      <c r="B18" s="173" t="s">
        <v>207</v>
      </c>
      <c r="C18" s="106">
        <v>1</v>
      </c>
      <c r="D18" s="106">
        <v>0</v>
      </c>
      <c r="E18" s="105">
        <v>0</v>
      </c>
      <c r="F18" s="105">
        <v>1</v>
      </c>
      <c r="G18"/>
      <c r="H18"/>
    </row>
    <row r="19" spans="1:8" ht="15" customHeight="1" x14ac:dyDescent="0.15">
      <c r="A19">
        <v>18</v>
      </c>
      <c r="B19" s="173" t="s">
        <v>208</v>
      </c>
      <c r="C19" s="106">
        <v>1</v>
      </c>
      <c r="D19" s="106">
        <v>0</v>
      </c>
      <c r="E19" s="105">
        <v>0</v>
      </c>
      <c r="F19" s="105">
        <v>1</v>
      </c>
      <c r="G19"/>
      <c r="H19"/>
    </row>
    <row r="20" spans="1:8" ht="15" customHeight="1" x14ac:dyDescent="0.15">
      <c r="A20">
        <v>19</v>
      </c>
      <c r="B20" s="173" t="s">
        <v>209</v>
      </c>
      <c r="C20" s="106">
        <v>1</v>
      </c>
      <c r="D20" s="106">
        <v>0</v>
      </c>
      <c r="E20" s="105">
        <v>0</v>
      </c>
      <c r="F20" s="105">
        <v>1</v>
      </c>
      <c r="G20"/>
      <c r="H20"/>
    </row>
    <row r="21" spans="1:8" ht="15" customHeight="1" x14ac:dyDescent="0.15">
      <c r="A21">
        <v>20</v>
      </c>
      <c r="B21" s="173" t="s">
        <v>210</v>
      </c>
      <c r="C21" s="106">
        <v>1</v>
      </c>
      <c r="D21" s="106">
        <v>0</v>
      </c>
      <c r="E21" s="105">
        <v>0</v>
      </c>
      <c r="F21" s="105">
        <v>1</v>
      </c>
      <c r="G21"/>
      <c r="H21"/>
    </row>
    <row r="22" spans="1:8" ht="15" customHeight="1" x14ac:dyDescent="0.15">
      <c r="A22">
        <v>21</v>
      </c>
      <c r="B22" s="173" t="s">
        <v>211</v>
      </c>
      <c r="C22" s="106">
        <v>1</v>
      </c>
      <c r="D22" s="106">
        <v>0</v>
      </c>
      <c r="E22" s="105">
        <v>0</v>
      </c>
      <c r="F22" s="105">
        <v>1</v>
      </c>
      <c r="G22"/>
      <c r="H22"/>
    </row>
    <row r="23" spans="1:8" ht="15" customHeight="1" x14ac:dyDescent="0.15">
      <c r="A23">
        <v>22</v>
      </c>
      <c r="B23" s="173" t="s">
        <v>212</v>
      </c>
      <c r="C23" s="106">
        <v>1</v>
      </c>
      <c r="D23" s="106">
        <v>0</v>
      </c>
      <c r="E23" s="105">
        <v>0</v>
      </c>
      <c r="F23" s="105">
        <v>1</v>
      </c>
      <c r="G23"/>
      <c r="H23"/>
    </row>
    <row r="24" spans="1:8" ht="15" customHeight="1" x14ac:dyDescent="0.15">
      <c r="A24">
        <v>23</v>
      </c>
      <c r="B24" s="173" t="s">
        <v>213</v>
      </c>
      <c r="C24" s="106">
        <v>1</v>
      </c>
      <c r="D24" s="106">
        <v>0</v>
      </c>
      <c r="E24" s="105">
        <v>0</v>
      </c>
      <c r="F24" s="105">
        <v>1</v>
      </c>
      <c r="G24"/>
      <c r="H24"/>
    </row>
    <row r="25" spans="1:8" ht="15" customHeight="1" x14ac:dyDescent="0.15">
      <c r="A25">
        <v>24</v>
      </c>
      <c r="B25" s="173" t="s">
        <v>214</v>
      </c>
      <c r="C25" s="106">
        <v>1</v>
      </c>
      <c r="D25" s="106">
        <v>0</v>
      </c>
      <c r="E25" s="105">
        <v>0</v>
      </c>
      <c r="F25" s="105">
        <v>1</v>
      </c>
      <c r="G25"/>
      <c r="H25"/>
    </row>
    <row r="26" spans="1:8" ht="15" customHeight="1" x14ac:dyDescent="0.15">
      <c r="A26">
        <v>25</v>
      </c>
      <c r="B26" s="173" t="s">
        <v>215</v>
      </c>
      <c r="C26" s="106">
        <v>0</v>
      </c>
      <c r="D26" s="106">
        <v>1</v>
      </c>
      <c r="E26" s="105">
        <v>0</v>
      </c>
      <c r="F26" s="105">
        <v>1</v>
      </c>
      <c r="G26"/>
      <c r="H26"/>
    </row>
    <row r="27" spans="1:8" ht="15" customHeight="1" x14ac:dyDescent="0.15">
      <c r="A27">
        <v>26</v>
      </c>
      <c r="B27" s="173" t="s">
        <v>216</v>
      </c>
      <c r="C27" s="106">
        <v>0</v>
      </c>
      <c r="D27" s="106">
        <v>0</v>
      </c>
      <c r="E27" s="105">
        <v>1</v>
      </c>
      <c r="F27" s="105">
        <v>1</v>
      </c>
      <c r="G27"/>
      <c r="H27"/>
    </row>
    <row r="28" spans="1:8" ht="15" customHeight="1" x14ac:dyDescent="0.15">
      <c r="A28">
        <v>27</v>
      </c>
      <c r="B28" s="173" t="s">
        <v>217</v>
      </c>
      <c r="C28" s="106">
        <v>0</v>
      </c>
      <c r="D28" s="106">
        <v>1</v>
      </c>
      <c r="E28" s="105">
        <v>0</v>
      </c>
      <c r="F28" s="105">
        <v>1</v>
      </c>
      <c r="G28"/>
      <c r="H28"/>
    </row>
    <row r="29" spans="1:8" ht="15" customHeight="1" x14ac:dyDescent="0.15">
      <c r="A29">
        <v>28</v>
      </c>
      <c r="B29" s="173" t="s">
        <v>218</v>
      </c>
      <c r="C29" s="106">
        <v>0</v>
      </c>
      <c r="D29" s="106">
        <v>1</v>
      </c>
      <c r="E29" s="105">
        <v>0</v>
      </c>
      <c r="F29" s="105">
        <v>1</v>
      </c>
      <c r="G29"/>
      <c r="H29"/>
    </row>
    <row r="30" spans="1:8" ht="15" customHeight="1" x14ac:dyDescent="0.15">
      <c r="A30">
        <v>29</v>
      </c>
      <c r="B30" s="173" t="s">
        <v>219</v>
      </c>
      <c r="C30" s="106">
        <v>0</v>
      </c>
      <c r="D30" s="106">
        <v>1</v>
      </c>
      <c r="E30" s="105">
        <v>0</v>
      </c>
      <c r="F30" s="105">
        <v>1</v>
      </c>
      <c r="G30"/>
      <c r="H30"/>
    </row>
    <row r="31" spans="1:8" ht="15" customHeight="1" x14ac:dyDescent="0.15">
      <c r="A31">
        <v>30</v>
      </c>
      <c r="B31" s="173" t="s">
        <v>220</v>
      </c>
      <c r="C31" s="106">
        <v>0</v>
      </c>
      <c r="D31" s="106">
        <v>1</v>
      </c>
      <c r="E31" s="105">
        <v>0</v>
      </c>
      <c r="F31" s="105">
        <v>1</v>
      </c>
      <c r="G31"/>
      <c r="H31"/>
    </row>
    <row r="32" spans="1:8" ht="15" customHeight="1" x14ac:dyDescent="0.15">
      <c r="A32">
        <v>31</v>
      </c>
      <c r="B32" s="173" t="s">
        <v>221</v>
      </c>
      <c r="C32" s="106">
        <v>0</v>
      </c>
      <c r="D32" s="106">
        <v>1</v>
      </c>
      <c r="E32" s="105">
        <v>0</v>
      </c>
      <c r="F32" s="105">
        <v>1</v>
      </c>
    </row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6"/>
      <c r="F36" s="106"/>
      <c r="G36"/>
      <c r="H36"/>
    </row>
    <row r="37" spans="3:8" ht="15" customHeight="1" x14ac:dyDescent="0.15">
      <c r="C37"/>
      <c r="D37"/>
      <c r="E37" s="106"/>
      <c r="F37" s="106"/>
      <c r="G37"/>
      <c r="H37"/>
    </row>
    <row r="38" spans="3:8" ht="15" customHeight="1" x14ac:dyDescent="0.15">
      <c r="C38"/>
      <c r="D38"/>
      <c r="E38" s="106"/>
      <c r="F38" s="106"/>
      <c r="G38"/>
      <c r="H38"/>
    </row>
    <row r="39" spans="3:8" ht="15" customHeight="1" x14ac:dyDescent="0.15">
      <c r="C39"/>
      <c r="D39"/>
      <c r="E39" s="106"/>
      <c r="F39" s="106"/>
      <c r="G39"/>
      <c r="H39"/>
    </row>
    <row r="40" spans="3:8" ht="15" customHeight="1" x14ac:dyDescent="0.15">
      <c r="C40"/>
      <c r="D40"/>
      <c r="E40" s="106"/>
      <c r="F40" s="106"/>
      <c r="G40"/>
      <c r="H40"/>
    </row>
    <row r="41" spans="3:8" ht="15" customHeight="1" x14ac:dyDescent="0.15">
      <c r="C41"/>
      <c r="D41"/>
      <c r="E41" s="106"/>
      <c r="F41" s="106"/>
      <c r="G41"/>
      <c r="H41"/>
    </row>
    <row r="42" spans="3:8" ht="15" customHeight="1" x14ac:dyDescent="0.15">
      <c r="C42"/>
      <c r="D42"/>
      <c r="E42" s="106"/>
      <c r="F42" s="106"/>
      <c r="G42"/>
      <c r="H42"/>
    </row>
    <row r="43" spans="3:8" ht="15" customHeight="1" x14ac:dyDescent="0.15">
      <c r="C43"/>
      <c r="D43"/>
      <c r="E43" s="106"/>
      <c r="F43" s="106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6"/>
      <c r="F46" s="106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H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5" bestFit="1" customWidth="1"/>
    <col min="3" max="3" width="6.83203125" bestFit="1" customWidth="1"/>
    <col min="4" max="5" width="5.83203125" bestFit="1" customWidth="1"/>
    <col min="6" max="6" width="5.83203125" customWidth="1"/>
    <col min="7" max="7" width="3.83203125" customWidth="1"/>
    <col min="8" max="8" width="6.83203125" customWidth="1"/>
  </cols>
  <sheetData>
    <row r="1" spans="1:8" s="107" customFormat="1" ht="112" x14ac:dyDescent="0.15">
      <c r="A1" s="5" t="s">
        <v>21</v>
      </c>
      <c r="B1" s="3" t="s">
        <v>0</v>
      </c>
      <c r="C1" s="176" t="s">
        <v>217</v>
      </c>
      <c r="D1" s="176" t="s">
        <v>218</v>
      </c>
      <c r="E1" s="176" t="s">
        <v>219</v>
      </c>
      <c r="F1" s="176" t="s">
        <v>220</v>
      </c>
      <c r="G1" s="176" t="s">
        <v>221</v>
      </c>
      <c r="H1" s="176" t="s">
        <v>225</v>
      </c>
    </row>
    <row r="2" spans="1:8" ht="15" customHeight="1" x14ac:dyDescent="0.15">
      <c r="A2">
        <v>1</v>
      </c>
      <c r="B2" s="175" t="s">
        <v>191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ht="15" customHeight="1" x14ac:dyDescent="0.15">
      <c r="A3">
        <v>2</v>
      </c>
      <c r="B3" s="175" t="s">
        <v>192</v>
      </c>
      <c r="C3">
        <v>0</v>
      </c>
      <c r="D3">
        <v>0</v>
      </c>
      <c r="E3">
        <v>5.1999999999999998E-2</v>
      </c>
      <c r="F3">
        <v>0</v>
      </c>
      <c r="G3">
        <v>0</v>
      </c>
      <c r="H3">
        <v>5.1999999999999998E-2</v>
      </c>
    </row>
    <row r="4" spans="1:8" ht="15" customHeight="1" x14ac:dyDescent="0.15">
      <c r="A4">
        <v>3</v>
      </c>
      <c r="B4" s="175" t="s">
        <v>193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ht="15" customHeight="1" x14ac:dyDescent="0.15">
      <c r="A5">
        <v>4</v>
      </c>
      <c r="B5" s="175" t="s">
        <v>194</v>
      </c>
      <c r="C5">
        <v>0</v>
      </c>
      <c r="D5">
        <v>7.5999999999999998E-2</v>
      </c>
      <c r="E5">
        <v>0</v>
      </c>
      <c r="F5">
        <v>0</v>
      </c>
      <c r="G5">
        <v>0</v>
      </c>
      <c r="H5">
        <v>7.5999999999999998E-2</v>
      </c>
    </row>
    <row r="6" spans="1:8" ht="15" customHeight="1" x14ac:dyDescent="0.15">
      <c r="A6">
        <v>5</v>
      </c>
      <c r="B6" s="175" t="s">
        <v>195</v>
      </c>
      <c r="C6">
        <v>0</v>
      </c>
      <c r="D6">
        <v>0</v>
      </c>
      <c r="E6">
        <v>0.24</v>
      </c>
      <c r="F6">
        <v>0</v>
      </c>
      <c r="G6">
        <v>0</v>
      </c>
      <c r="H6">
        <v>0.24</v>
      </c>
    </row>
    <row r="7" spans="1:8" ht="15" customHeight="1" x14ac:dyDescent="0.15">
      <c r="A7">
        <v>6</v>
      </c>
      <c r="B7" s="175" t="s">
        <v>196</v>
      </c>
      <c r="C7">
        <v>1E-4</v>
      </c>
      <c r="D7">
        <v>0</v>
      </c>
      <c r="E7">
        <v>0</v>
      </c>
      <c r="F7">
        <v>0</v>
      </c>
      <c r="G7">
        <v>0</v>
      </c>
      <c r="H7">
        <v>1E-4</v>
      </c>
    </row>
    <row r="8" spans="1:8" ht="15" customHeight="1" x14ac:dyDescent="0.15">
      <c r="A8">
        <v>7</v>
      </c>
      <c r="B8" s="175" t="s">
        <v>197</v>
      </c>
      <c r="C8">
        <v>0</v>
      </c>
      <c r="D8">
        <v>1.9E-2</v>
      </c>
      <c r="E8">
        <v>0</v>
      </c>
      <c r="F8">
        <v>0</v>
      </c>
      <c r="G8">
        <v>0</v>
      </c>
      <c r="H8">
        <v>1.9E-2</v>
      </c>
    </row>
    <row r="9" spans="1:8" ht="15" customHeight="1" x14ac:dyDescent="0.15">
      <c r="A9">
        <v>8</v>
      </c>
      <c r="B9" s="175" t="s">
        <v>198</v>
      </c>
      <c r="C9">
        <v>0</v>
      </c>
      <c r="D9">
        <v>0</v>
      </c>
      <c r="E9">
        <v>0.12</v>
      </c>
      <c r="F9">
        <v>0</v>
      </c>
      <c r="G9">
        <v>0</v>
      </c>
      <c r="H9">
        <v>0.12</v>
      </c>
    </row>
    <row r="10" spans="1:8" ht="15" customHeight="1" x14ac:dyDescent="0.15">
      <c r="A10">
        <v>9</v>
      </c>
      <c r="B10" s="175" t="s">
        <v>199</v>
      </c>
      <c r="C10">
        <v>0</v>
      </c>
      <c r="D10">
        <v>0</v>
      </c>
      <c r="E10">
        <v>0</v>
      </c>
      <c r="F10">
        <v>1.2E-2</v>
      </c>
      <c r="G10">
        <v>0</v>
      </c>
      <c r="H10">
        <v>1.2E-2</v>
      </c>
    </row>
    <row r="11" spans="1:8" ht="15" customHeight="1" x14ac:dyDescent="0.15">
      <c r="A11">
        <v>10</v>
      </c>
      <c r="B11" s="175" t="s">
        <v>200</v>
      </c>
      <c r="C11">
        <v>0</v>
      </c>
      <c r="D11">
        <v>0</v>
      </c>
      <c r="E11">
        <v>0</v>
      </c>
      <c r="F11">
        <v>0</v>
      </c>
      <c r="G11">
        <v>0.9</v>
      </c>
      <c r="H11">
        <v>0.9</v>
      </c>
    </row>
    <row r="12" spans="1:8" ht="15" customHeight="1" x14ac:dyDescent="0.15">
      <c r="A12">
        <v>11</v>
      </c>
      <c r="B12" s="175" t="s">
        <v>201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ht="15" customHeight="1" x14ac:dyDescent="0.15">
      <c r="A13">
        <v>12</v>
      </c>
      <c r="B13" s="175" t="s">
        <v>202</v>
      </c>
      <c r="C13">
        <v>0</v>
      </c>
      <c r="D13">
        <v>0</v>
      </c>
      <c r="E13">
        <v>0</v>
      </c>
      <c r="F13">
        <v>2.8000000000000001E-2</v>
      </c>
      <c r="G13">
        <v>0</v>
      </c>
      <c r="H13">
        <v>2.8000000000000001E-2</v>
      </c>
    </row>
    <row r="14" spans="1:8" ht="15" customHeight="1" x14ac:dyDescent="0.15">
      <c r="A14">
        <v>13</v>
      </c>
      <c r="B14" s="175" t="s">
        <v>203</v>
      </c>
      <c r="C14">
        <v>0</v>
      </c>
      <c r="D14">
        <v>0</v>
      </c>
      <c r="E14">
        <v>0</v>
      </c>
      <c r="F14">
        <v>8.4000000000000005E-2</v>
      </c>
      <c r="G14">
        <v>0</v>
      </c>
      <c r="H14">
        <v>8.4000000000000005E-2</v>
      </c>
    </row>
    <row r="15" spans="1:8" ht="15" customHeight="1" x14ac:dyDescent="0.15">
      <c r="A15">
        <v>14</v>
      </c>
      <c r="B15" s="175" t="s">
        <v>204</v>
      </c>
      <c r="C15">
        <v>0</v>
      </c>
      <c r="D15">
        <v>0</v>
      </c>
      <c r="E15">
        <v>0</v>
      </c>
      <c r="F15">
        <v>2.2999999999999998</v>
      </c>
      <c r="G15">
        <v>0</v>
      </c>
      <c r="H15">
        <v>2.2999999999999998</v>
      </c>
    </row>
    <row r="16" spans="1:8" ht="15" customHeight="1" x14ac:dyDescent="0.15">
      <c r="A16">
        <v>15</v>
      </c>
      <c r="B16" s="175" t="s">
        <v>205</v>
      </c>
      <c r="C16">
        <v>0</v>
      </c>
      <c r="D16">
        <v>0</v>
      </c>
      <c r="E16">
        <v>0</v>
      </c>
      <c r="F16">
        <v>7.0000000000000007E-2</v>
      </c>
      <c r="G16">
        <v>0</v>
      </c>
      <c r="H16">
        <v>7.0000000000000007E-2</v>
      </c>
    </row>
    <row r="17" spans="1:8" ht="15" customHeight="1" x14ac:dyDescent="0.15">
      <c r="A17">
        <v>16</v>
      </c>
      <c r="B17" s="175" t="s">
        <v>206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ht="15" customHeight="1" x14ac:dyDescent="0.15">
      <c r="A18">
        <v>17</v>
      </c>
      <c r="B18" s="175" t="s">
        <v>207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ht="15" customHeight="1" x14ac:dyDescent="0.15">
      <c r="A19">
        <v>18</v>
      </c>
      <c r="B19" s="175" t="s">
        <v>208</v>
      </c>
      <c r="C19">
        <v>0</v>
      </c>
      <c r="D19">
        <v>0</v>
      </c>
      <c r="E19">
        <v>0</v>
      </c>
      <c r="F19">
        <v>0.16</v>
      </c>
      <c r="G19">
        <v>0</v>
      </c>
      <c r="H19">
        <v>0.16</v>
      </c>
    </row>
    <row r="20" spans="1:8" ht="15" customHeight="1" x14ac:dyDescent="0.15">
      <c r="A20">
        <v>19</v>
      </c>
      <c r="B20" s="175" t="s">
        <v>209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ht="15" customHeight="1" x14ac:dyDescent="0.15">
      <c r="A21">
        <v>20</v>
      </c>
      <c r="B21" s="175" t="s">
        <v>210</v>
      </c>
      <c r="C21">
        <v>3.5</v>
      </c>
      <c r="D21">
        <v>0</v>
      </c>
      <c r="E21">
        <v>0</v>
      </c>
      <c r="F21">
        <v>0</v>
      </c>
      <c r="G21">
        <v>0</v>
      </c>
      <c r="H21">
        <v>3.5</v>
      </c>
    </row>
    <row r="22" spans="1:8" ht="15" customHeight="1" x14ac:dyDescent="0.15">
      <c r="A22">
        <v>21</v>
      </c>
      <c r="B22" s="175" t="s">
        <v>211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1:8" ht="15" customHeight="1" x14ac:dyDescent="0.15">
      <c r="A23">
        <v>22</v>
      </c>
      <c r="B23" s="175" t="s">
        <v>212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ht="15" customHeight="1" x14ac:dyDescent="0.15">
      <c r="A24">
        <v>23</v>
      </c>
      <c r="B24" s="175" t="s">
        <v>213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ht="15" customHeight="1" x14ac:dyDescent="0.15">
      <c r="A25">
        <v>24</v>
      </c>
      <c r="B25" s="175" t="s">
        <v>214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ht="15" customHeight="1" x14ac:dyDescent="0.15">
      <c r="A26">
        <v>25</v>
      </c>
      <c r="B26" s="175" t="s">
        <v>215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ht="15" customHeight="1" x14ac:dyDescent="0.15">
      <c r="A27">
        <v>26</v>
      </c>
      <c r="B27" s="175" t="s">
        <v>216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ht="15" customHeight="1" x14ac:dyDescent="0.15"/>
    <row r="29" spans="1:8" ht="15" customHeight="1" x14ac:dyDescent="0.15"/>
    <row r="30" spans="1:8" ht="15" customHeight="1" x14ac:dyDescent="0.15"/>
    <row r="31" spans="1:8" ht="15" customHeight="1" x14ac:dyDescent="0.15"/>
    <row r="32" spans="1:8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H27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5" bestFit="1" customWidth="1"/>
    <col min="3" max="5" width="2.33203125" bestFit="1" customWidth="1"/>
    <col min="6" max="8" width="2.33203125" customWidth="1"/>
  </cols>
  <sheetData>
    <row r="1" spans="1:8" s="107" customFormat="1" ht="112" x14ac:dyDescent="0.15">
      <c r="A1" s="5" t="s">
        <v>22</v>
      </c>
      <c r="B1" s="3" t="s">
        <v>0</v>
      </c>
      <c r="C1" s="178" t="s">
        <v>217</v>
      </c>
      <c r="D1" s="178" t="s">
        <v>218</v>
      </c>
      <c r="E1" s="178" t="s">
        <v>219</v>
      </c>
      <c r="F1" s="178" t="s">
        <v>220</v>
      </c>
      <c r="G1" s="178" t="s">
        <v>221</v>
      </c>
      <c r="H1" s="178" t="s">
        <v>225</v>
      </c>
    </row>
    <row r="2" spans="1:8" x14ac:dyDescent="0.15">
      <c r="A2">
        <v>1</v>
      </c>
      <c r="B2" s="177" t="s">
        <v>191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15">
      <c r="A3">
        <v>2</v>
      </c>
      <c r="B3" s="177" t="s">
        <v>192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 x14ac:dyDescent="0.15">
      <c r="A4">
        <v>3</v>
      </c>
      <c r="B4" s="177" t="s">
        <v>193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x14ac:dyDescent="0.15">
      <c r="A5">
        <v>4</v>
      </c>
      <c r="B5" s="177" t="s">
        <v>194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 x14ac:dyDescent="0.15">
      <c r="A6">
        <v>5</v>
      </c>
      <c r="B6" s="177" t="s">
        <v>195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 x14ac:dyDescent="0.15">
      <c r="A7">
        <v>6</v>
      </c>
      <c r="B7" s="177" t="s">
        <v>196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x14ac:dyDescent="0.15">
      <c r="A8">
        <v>7</v>
      </c>
      <c r="B8" s="177" t="s">
        <v>197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15">
      <c r="A9">
        <v>8</v>
      </c>
      <c r="B9" s="177" t="s">
        <v>198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15">
      <c r="A10">
        <v>9</v>
      </c>
      <c r="B10" s="177" t="s">
        <v>199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15">
      <c r="A11">
        <v>10</v>
      </c>
      <c r="B11" s="177" t="s">
        <v>200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15">
      <c r="A12">
        <v>11</v>
      </c>
      <c r="B12" s="177" t="s">
        <v>201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15">
      <c r="A13">
        <v>12</v>
      </c>
      <c r="B13" s="177" t="s">
        <v>202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15">
      <c r="A14">
        <v>13</v>
      </c>
      <c r="B14" s="177" t="s">
        <v>203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15">
      <c r="A15">
        <v>14</v>
      </c>
      <c r="B15" s="177" t="s">
        <v>204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15">
      <c r="A16">
        <v>15</v>
      </c>
      <c r="B16" s="177" t="s">
        <v>205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15">
      <c r="A17">
        <v>16</v>
      </c>
      <c r="B17" s="177" t="s">
        <v>206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x14ac:dyDescent="0.15">
      <c r="A18">
        <v>17</v>
      </c>
      <c r="B18" s="177" t="s">
        <v>207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x14ac:dyDescent="0.15">
      <c r="A19">
        <v>18</v>
      </c>
      <c r="B19" s="177" t="s">
        <v>208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x14ac:dyDescent="0.15">
      <c r="A20">
        <v>19</v>
      </c>
      <c r="B20" s="177" t="s">
        <v>209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x14ac:dyDescent="0.15">
      <c r="A21">
        <v>20</v>
      </c>
      <c r="B21" s="177" t="s">
        <v>210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15">
      <c r="A22">
        <v>21</v>
      </c>
      <c r="B22" s="177" t="s">
        <v>211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1:8" x14ac:dyDescent="0.15">
      <c r="A23">
        <v>22</v>
      </c>
      <c r="B23" s="177" t="s">
        <v>212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15">
      <c r="A24">
        <v>23</v>
      </c>
      <c r="B24" s="177" t="s">
        <v>213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x14ac:dyDescent="0.15">
      <c r="A25">
        <v>24</v>
      </c>
      <c r="B25" s="177" t="s">
        <v>214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15">
      <c r="A26">
        <v>25</v>
      </c>
      <c r="B26" s="177" t="s">
        <v>215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15">
      <c r="A27">
        <v>26</v>
      </c>
      <c r="B27" s="177" t="s">
        <v>216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5" bestFit="1" customWidth="1"/>
    <col min="6" max="6" width="4.83203125" bestFit="1" customWidth="1"/>
    <col min="7" max="9" width="3.83203125" bestFit="1" customWidth="1"/>
    <col min="10" max="11" width="4.83203125" style="106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8" customFormat="1" ht="14" thickBot="1" x14ac:dyDescent="0.2">
      <c r="D1" s="109" t="s">
        <v>8</v>
      </c>
      <c r="E1" s="109" t="s">
        <v>0</v>
      </c>
      <c r="F1" s="110" t="s">
        <v>99</v>
      </c>
      <c r="G1" s="111" t="s">
        <v>84</v>
      </c>
      <c r="H1" s="111" t="s">
        <v>85</v>
      </c>
      <c r="I1" s="111" t="s">
        <v>86</v>
      </c>
      <c r="J1" s="111" t="s">
        <v>87</v>
      </c>
      <c r="K1" s="111" t="s">
        <v>88</v>
      </c>
      <c r="L1" s="112" t="s">
        <v>89</v>
      </c>
      <c r="M1" s="112" t="s">
        <v>93</v>
      </c>
      <c r="N1" s="112" t="s">
        <v>92</v>
      </c>
      <c r="O1" s="112" t="s">
        <v>90</v>
      </c>
      <c r="P1" s="112" t="s">
        <v>91</v>
      </c>
      <c r="Q1" s="113" t="s">
        <v>94</v>
      </c>
      <c r="R1" s="113" t="s">
        <v>95</v>
      </c>
      <c r="S1" s="113" t="s">
        <v>96</v>
      </c>
      <c r="T1" s="113" t="s">
        <v>97</v>
      </c>
      <c r="U1" s="113" t="s">
        <v>98</v>
      </c>
      <c r="V1" s="111" t="s">
        <v>100</v>
      </c>
      <c r="W1" s="111" t="s">
        <v>101</v>
      </c>
      <c r="X1" s="111" t="s">
        <v>102</v>
      </c>
      <c r="Y1" s="111" t="s">
        <v>134</v>
      </c>
      <c r="Z1" s="112" t="s">
        <v>103</v>
      </c>
      <c r="AA1" s="112" t="s">
        <v>104</v>
      </c>
      <c r="AB1" s="112" t="s">
        <v>105</v>
      </c>
      <c r="AC1" s="114" t="s">
        <v>135</v>
      </c>
      <c r="AD1" s="113" t="s">
        <v>106</v>
      </c>
      <c r="AE1" s="113" t="s">
        <v>107</v>
      </c>
      <c r="AF1" s="113" t="s">
        <v>108</v>
      </c>
      <c r="AG1" s="113" t="s">
        <v>136</v>
      </c>
      <c r="AH1" s="111" t="s">
        <v>109</v>
      </c>
      <c r="AI1" s="111" t="s">
        <v>111</v>
      </c>
      <c r="AJ1" s="111" t="s">
        <v>110</v>
      </c>
      <c r="AK1" s="112" t="s">
        <v>115</v>
      </c>
      <c r="AL1" s="112" t="s">
        <v>116</v>
      </c>
      <c r="AM1" s="112" t="s">
        <v>117</v>
      </c>
      <c r="AN1" s="113" t="s">
        <v>112</v>
      </c>
      <c r="AO1" s="113" t="s">
        <v>113</v>
      </c>
      <c r="AP1" s="113" t="s">
        <v>114</v>
      </c>
    </row>
    <row r="2" spans="1:42" x14ac:dyDescent="0.15">
      <c r="A2" s="115" t="s">
        <v>74</v>
      </c>
      <c r="B2" s="116">
        <v>1</v>
      </c>
      <c r="D2">
        <v>1</v>
      </c>
      <c r="E2" s="179" t="s">
        <v>191</v>
      </c>
      <c r="F2">
        <v>0.98</v>
      </c>
      <c r="G2">
        <v>0.8</v>
      </c>
      <c r="H2">
        <v>0.8</v>
      </c>
      <c r="I2">
        <v>0.8</v>
      </c>
      <c r="J2" s="106">
        <v>0.25</v>
      </c>
      <c r="K2" s="106">
        <v>0.05</v>
      </c>
    </row>
    <row r="3" spans="1:42" x14ac:dyDescent="0.15">
      <c r="A3" s="115" t="s">
        <v>75</v>
      </c>
      <c r="B3" s="117">
        <v>1</v>
      </c>
      <c r="D3">
        <v>2</v>
      </c>
      <c r="E3" s="179" t="s">
        <v>192</v>
      </c>
      <c r="F3">
        <v>0.98</v>
      </c>
      <c r="G3">
        <v>0.8</v>
      </c>
      <c r="H3">
        <v>0.8</v>
      </c>
      <c r="I3">
        <v>0.8</v>
      </c>
      <c r="J3" s="106">
        <v>0.25</v>
      </c>
      <c r="K3" s="106">
        <v>0.05</v>
      </c>
    </row>
    <row r="4" spans="1:42" x14ac:dyDescent="0.15">
      <c r="A4" s="115" t="s">
        <v>76</v>
      </c>
      <c r="B4" s="117">
        <v>1</v>
      </c>
      <c r="D4">
        <v>3</v>
      </c>
      <c r="E4" s="179" t="s">
        <v>193</v>
      </c>
      <c r="F4">
        <v>0.98</v>
      </c>
      <c r="G4">
        <v>0.8</v>
      </c>
      <c r="H4">
        <v>0.8</v>
      </c>
      <c r="I4">
        <v>0.8</v>
      </c>
      <c r="J4" s="106">
        <v>0.25</v>
      </c>
      <c r="K4" s="106">
        <v>0.05</v>
      </c>
    </row>
    <row r="5" spans="1:42" x14ac:dyDescent="0.15">
      <c r="A5" s="115" t="s">
        <v>77</v>
      </c>
      <c r="B5" s="117">
        <v>1</v>
      </c>
      <c r="D5">
        <v>4</v>
      </c>
      <c r="E5" s="179" t="s">
        <v>194</v>
      </c>
      <c r="F5">
        <v>0.98</v>
      </c>
      <c r="G5">
        <v>0.8</v>
      </c>
      <c r="H5">
        <v>0.8</v>
      </c>
      <c r="I5">
        <v>0.8</v>
      </c>
      <c r="J5" s="106">
        <v>0.25</v>
      </c>
      <c r="K5" s="106">
        <v>0.05</v>
      </c>
    </row>
    <row r="6" spans="1:42" x14ac:dyDescent="0.15">
      <c r="A6" s="115" t="s">
        <v>78</v>
      </c>
      <c r="B6" s="117">
        <v>1</v>
      </c>
      <c r="D6">
        <v>5</v>
      </c>
      <c r="E6" s="179" t="s">
        <v>195</v>
      </c>
      <c r="F6">
        <v>0.98</v>
      </c>
      <c r="G6">
        <v>0.8</v>
      </c>
      <c r="H6">
        <v>0.8</v>
      </c>
      <c r="I6">
        <v>0.8</v>
      </c>
      <c r="J6" s="106">
        <v>0.25</v>
      </c>
      <c r="K6" s="106">
        <v>0.05</v>
      </c>
    </row>
    <row r="7" spans="1:42" x14ac:dyDescent="0.15">
      <c r="A7" s="115" t="s">
        <v>79</v>
      </c>
      <c r="B7" s="117">
        <v>1</v>
      </c>
      <c r="D7">
        <v>6</v>
      </c>
      <c r="E7" s="179" t="s">
        <v>196</v>
      </c>
      <c r="F7">
        <v>0.98</v>
      </c>
      <c r="G7">
        <v>0.8</v>
      </c>
      <c r="H7">
        <v>0.8</v>
      </c>
      <c r="I7">
        <v>0.8</v>
      </c>
      <c r="J7" s="106">
        <v>0.25</v>
      </c>
      <c r="K7" s="106">
        <v>0.05</v>
      </c>
    </row>
    <row r="8" spans="1:42" x14ac:dyDescent="0.15">
      <c r="A8" s="115" t="s">
        <v>80</v>
      </c>
      <c r="B8" s="117">
        <v>1</v>
      </c>
      <c r="D8">
        <v>7</v>
      </c>
      <c r="E8" s="179" t="s">
        <v>197</v>
      </c>
      <c r="F8">
        <v>0.98</v>
      </c>
      <c r="G8">
        <v>0.8</v>
      </c>
      <c r="H8">
        <v>0.8</v>
      </c>
      <c r="I8">
        <v>0.8</v>
      </c>
      <c r="J8" s="106">
        <v>0.25</v>
      </c>
      <c r="K8" s="106">
        <v>0.05</v>
      </c>
    </row>
    <row r="9" spans="1:42" x14ac:dyDescent="0.15">
      <c r="A9" s="115" t="s">
        <v>81</v>
      </c>
      <c r="B9" s="117">
        <v>0.1</v>
      </c>
      <c r="C9" s="60" t="s">
        <v>150</v>
      </c>
      <c r="D9">
        <v>8</v>
      </c>
      <c r="E9" s="179" t="s">
        <v>198</v>
      </c>
      <c r="F9">
        <v>0.98</v>
      </c>
      <c r="G9">
        <v>0.8</v>
      </c>
      <c r="H9">
        <v>0.8</v>
      </c>
      <c r="I9">
        <v>0.8</v>
      </c>
      <c r="J9" s="106">
        <v>0.25</v>
      </c>
      <c r="K9" s="106">
        <v>0.05</v>
      </c>
    </row>
    <row r="10" spans="1:42" ht="14" thickBot="1" x14ac:dyDescent="0.2">
      <c r="A10" s="115" t="s">
        <v>149</v>
      </c>
      <c r="B10" s="118">
        <f>1/3</f>
        <v>0.33333333333333331</v>
      </c>
      <c r="C10" s="60" t="s">
        <v>150</v>
      </c>
      <c r="D10">
        <v>9</v>
      </c>
      <c r="E10" s="179" t="s">
        <v>199</v>
      </c>
      <c r="F10">
        <v>0.98</v>
      </c>
      <c r="G10">
        <v>0.8</v>
      </c>
      <c r="H10">
        <v>0.8</v>
      </c>
      <c r="I10">
        <v>0.8</v>
      </c>
      <c r="J10" s="106">
        <v>0.25</v>
      </c>
      <c r="K10" s="106">
        <v>0.05</v>
      </c>
    </row>
    <row r="11" spans="1:42" x14ac:dyDescent="0.15">
      <c r="D11">
        <v>10</v>
      </c>
      <c r="E11" s="179" t="s">
        <v>200</v>
      </c>
      <c r="F11">
        <v>0.98</v>
      </c>
      <c r="G11">
        <v>0.8</v>
      </c>
      <c r="H11">
        <v>0.8</v>
      </c>
      <c r="I11">
        <v>0.8</v>
      </c>
      <c r="J11" s="106">
        <v>0.25</v>
      </c>
      <c r="K11" s="106">
        <v>0.05</v>
      </c>
    </row>
    <row r="12" spans="1:42" x14ac:dyDescent="0.15">
      <c r="D12">
        <v>11</v>
      </c>
      <c r="E12" s="179" t="s">
        <v>201</v>
      </c>
      <c r="F12">
        <v>0.98</v>
      </c>
      <c r="G12">
        <v>0.8</v>
      </c>
      <c r="H12">
        <v>0.8</v>
      </c>
      <c r="I12">
        <v>0.8</v>
      </c>
      <c r="J12" s="106">
        <v>0.25</v>
      </c>
      <c r="K12" s="106">
        <v>0.05</v>
      </c>
    </row>
    <row r="13" spans="1:42" x14ac:dyDescent="0.15">
      <c r="D13">
        <v>12</v>
      </c>
      <c r="E13" s="179" t="s">
        <v>202</v>
      </c>
      <c r="F13">
        <v>0.98</v>
      </c>
      <c r="G13">
        <v>0.8</v>
      </c>
      <c r="H13">
        <v>0.8</v>
      </c>
      <c r="I13">
        <v>0.8</v>
      </c>
      <c r="J13" s="106">
        <v>0.25</v>
      </c>
      <c r="K13" s="106">
        <v>0.05</v>
      </c>
    </row>
    <row r="14" spans="1:42" x14ac:dyDescent="0.15">
      <c r="D14">
        <v>13</v>
      </c>
      <c r="E14" s="179" t="s">
        <v>203</v>
      </c>
      <c r="F14">
        <v>0.98</v>
      </c>
      <c r="G14">
        <v>0.8</v>
      </c>
      <c r="H14">
        <v>0.8</v>
      </c>
      <c r="I14">
        <v>0.8</v>
      </c>
      <c r="J14" s="106">
        <v>0.25</v>
      </c>
      <c r="K14" s="106">
        <v>0.05</v>
      </c>
    </row>
    <row r="15" spans="1:42" x14ac:dyDescent="0.15">
      <c r="D15">
        <v>14</v>
      </c>
      <c r="E15" s="179" t="s">
        <v>204</v>
      </c>
      <c r="F15">
        <v>0.98</v>
      </c>
      <c r="G15">
        <v>0.8</v>
      </c>
      <c r="H15">
        <v>0.8</v>
      </c>
      <c r="I15">
        <v>0.8</v>
      </c>
      <c r="J15" s="106">
        <v>0.25</v>
      </c>
      <c r="K15" s="106">
        <v>0.05</v>
      </c>
    </row>
    <row r="16" spans="1:42" x14ac:dyDescent="0.15">
      <c r="D16">
        <v>15</v>
      </c>
      <c r="E16" s="179" t="s">
        <v>205</v>
      </c>
      <c r="F16">
        <v>0.98</v>
      </c>
      <c r="G16">
        <v>0.8</v>
      </c>
      <c r="H16">
        <v>0.8</v>
      </c>
      <c r="I16">
        <v>0.8</v>
      </c>
      <c r="J16" s="106">
        <v>0.25</v>
      </c>
      <c r="K16" s="106">
        <v>0.05</v>
      </c>
    </row>
    <row r="17" spans="4:33" ht="15" customHeight="1" x14ac:dyDescent="0.15">
      <c r="D17">
        <v>16</v>
      </c>
      <c r="E17" s="179" t="s">
        <v>206</v>
      </c>
      <c r="F17">
        <v>0.98</v>
      </c>
      <c r="G17">
        <v>0.8</v>
      </c>
      <c r="H17">
        <v>0.8</v>
      </c>
      <c r="I17">
        <v>0.8</v>
      </c>
      <c r="J17" s="106">
        <v>0.25</v>
      </c>
      <c r="K17" s="106">
        <v>0.05</v>
      </c>
    </row>
    <row r="18" spans="4:33" ht="15" customHeight="1" x14ac:dyDescent="0.15">
      <c r="D18">
        <v>17</v>
      </c>
      <c r="E18" s="179" t="s">
        <v>207</v>
      </c>
      <c r="F18">
        <v>0.98</v>
      </c>
      <c r="G18">
        <v>0.8</v>
      </c>
      <c r="H18">
        <v>0.8</v>
      </c>
      <c r="I18">
        <v>0.8</v>
      </c>
      <c r="J18" s="106">
        <v>0.25</v>
      </c>
      <c r="K18" s="106">
        <v>0.05</v>
      </c>
    </row>
    <row r="19" spans="4:33" ht="15" customHeight="1" x14ac:dyDescent="0.15">
      <c r="D19">
        <v>18</v>
      </c>
      <c r="E19" s="179" t="s">
        <v>208</v>
      </c>
      <c r="F19">
        <v>0.98</v>
      </c>
      <c r="G19">
        <v>0.8</v>
      </c>
      <c r="H19">
        <v>0.8</v>
      </c>
      <c r="I19">
        <v>0.8</v>
      </c>
      <c r="J19" s="106">
        <v>0.25</v>
      </c>
      <c r="K19" s="106">
        <v>0.05</v>
      </c>
    </row>
    <row r="20" spans="4:33" ht="15" customHeight="1" x14ac:dyDescent="0.15">
      <c r="D20">
        <v>19</v>
      </c>
      <c r="E20" s="179" t="s">
        <v>209</v>
      </c>
      <c r="F20">
        <v>0.98</v>
      </c>
      <c r="G20">
        <v>0.8</v>
      </c>
      <c r="H20">
        <v>0.8</v>
      </c>
      <c r="I20">
        <v>0.8</v>
      </c>
      <c r="J20" s="106">
        <v>0.25</v>
      </c>
      <c r="K20" s="106">
        <v>0.05</v>
      </c>
    </row>
    <row r="21" spans="4:33" ht="15" customHeight="1" x14ac:dyDescent="0.15">
      <c r="D21">
        <v>20</v>
      </c>
      <c r="E21" s="179" t="s">
        <v>210</v>
      </c>
      <c r="F21">
        <v>0.98</v>
      </c>
      <c r="G21">
        <v>0.8</v>
      </c>
      <c r="H21">
        <v>0.8</v>
      </c>
      <c r="I21">
        <v>0.8</v>
      </c>
      <c r="J21" s="106">
        <v>0.25</v>
      </c>
      <c r="K21" s="106">
        <v>0.05</v>
      </c>
    </row>
    <row r="22" spans="4:33" ht="15" customHeight="1" x14ac:dyDescent="0.15">
      <c r="D22">
        <v>21</v>
      </c>
      <c r="E22" s="179" t="s">
        <v>211</v>
      </c>
      <c r="F22">
        <v>0.98</v>
      </c>
      <c r="G22">
        <v>0.8</v>
      </c>
      <c r="H22">
        <v>0.8</v>
      </c>
      <c r="I22">
        <v>0.8</v>
      </c>
      <c r="J22" s="106">
        <v>0.25</v>
      </c>
      <c r="K22" s="106">
        <v>0.05</v>
      </c>
    </row>
    <row r="23" spans="4:33" ht="15" customHeight="1" x14ac:dyDescent="0.15">
      <c r="D23">
        <v>22</v>
      </c>
      <c r="E23" s="179" t="s">
        <v>212</v>
      </c>
      <c r="F23">
        <v>0.98</v>
      </c>
      <c r="G23">
        <v>0.8</v>
      </c>
      <c r="H23">
        <v>0.8</v>
      </c>
      <c r="I23">
        <v>0.8</v>
      </c>
      <c r="J23" s="106">
        <v>0.25</v>
      </c>
      <c r="K23" s="106">
        <v>0.05</v>
      </c>
    </row>
    <row r="24" spans="4:33" ht="15" customHeight="1" x14ac:dyDescent="0.15">
      <c r="D24">
        <v>23</v>
      </c>
      <c r="E24" s="179" t="s">
        <v>213</v>
      </c>
      <c r="F24">
        <v>0.98</v>
      </c>
      <c r="G24">
        <v>0.8</v>
      </c>
      <c r="H24">
        <v>0.8</v>
      </c>
      <c r="I24">
        <v>0</v>
      </c>
      <c r="J24" s="106">
        <v>0</v>
      </c>
      <c r="K24" s="106">
        <v>0</v>
      </c>
    </row>
    <row r="25" spans="4:33" ht="15" customHeight="1" x14ac:dyDescent="0.15">
      <c r="D25">
        <v>24</v>
      </c>
      <c r="E25" s="179" t="s">
        <v>214</v>
      </c>
      <c r="F25">
        <v>0.98</v>
      </c>
      <c r="G25">
        <v>0.8</v>
      </c>
      <c r="H25">
        <v>0.8</v>
      </c>
      <c r="I25">
        <v>0</v>
      </c>
      <c r="J25" s="106">
        <v>0</v>
      </c>
      <c r="K25" s="106">
        <v>0</v>
      </c>
    </row>
    <row r="26" spans="4:33" ht="15" customHeight="1" x14ac:dyDescent="0.15">
      <c r="D26">
        <v>25</v>
      </c>
      <c r="E26" s="179" t="s">
        <v>215</v>
      </c>
      <c r="F26">
        <v>0.98</v>
      </c>
      <c r="G26">
        <v>0.8</v>
      </c>
      <c r="H26">
        <v>0</v>
      </c>
      <c r="I26">
        <v>0</v>
      </c>
      <c r="J26" s="106">
        <v>0</v>
      </c>
      <c r="K26" s="106">
        <v>0</v>
      </c>
    </row>
    <row r="27" spans="4:33" ht="15" customHeight="1" x14ac:dyDescent="0.15">
      <c r="D27">
        <v>26</v>
      </c>
      <c r="E27" s="179" t="s">
        <v>216</v>
      </c>
      <c r="F27">
        <v>0.98</v>
      </c>
      <c r="G27">
        <v>0.8</v>
      </c>
      <c r="H27">
        <v>0</v>
      </c>
      <c r="I27">
        <v>0</v>
      </c>
      <c r="J27" s="106">
        <v>0</v>
      </c>
      <c r="K27" s="106">
        <v>0</v>
      </c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23" width="3.83203125" style="103" customWidth="1"/>
    <col min="24" max="27" width="2.33203125" style="103" customWidth="1"/>
    <col min="28" max="16384" width="10.83203125" style="103"/>
  </cols>
  <sheetData>
    <row r="1" spans="1:30" x14ac:dyDescent="0.15">
      <c r="A1" s="62" t="s">
        <v>118</v>
      </c>
      <c r="B1" s="181" t="s">
        <v>191</v>
      </c>
      <c r="C1" s="181" t="s">
        <v>192</v>
      </c>
      <c r="D1" s="181" t="s">
        <v>193</v>
      </c>
      <c r="E1" s="181" t="s">
        <v>194</v>
      </c>
      <c r="F1" s="181" t="s">
        <v>195</v>
      </c>
      <c r="G1" s="181" t="s">
        <v>196</v>
      </c>
      <c r="H1" s="181" t="s">
        <v>197</v>
      </c>
      <c r="I1" s="181" t="s">
        <v>198</v>
      </c>
      <c r="J1" s="181" t="s">
        <v>199</v>
      </c>
      <c r="K1" s="181" t="s">
        <v>200</v>
      </c>
      <c r="L1" s="181" t="s">
        <v>201</v>
      </c>
      <c r="M1" s="181" t="s">
        <v>202</v>
      </c>
      <c r="N1" s="181" t="s">
        <v>203</v>
      </c>
      <c r="O1" s="181" t="s">
        <v>204</v>
      </c>
      <c r="P1" s="181" t="s">
        <v>205</v>
      </c>
      <c r="Q1" s="181" t="s">
        <v>206</v>
      </c>
      <c r="R1" s="181" t="s">
        <v>207</v>
      </c>
      <c r="S1" s="181" t="s">
        <v>208</v>
      </c>
      <c r="T1" s="181" t="s">
        <v>209</v>
      </c>
      <c r="U1" s="181" t="s">
        <v>210</v>
      </c>
      <c r="V1" s="181" t="s">
        <v>211</v>
      </c>
      <c r="W1" s="181" t="s">
        <v>212</v>
      </c>
      <c r="X1" s="181" t="s">
        <v>213</v>
      </c>
      <c r="Y1" s="181" t="s">
        <v>214</v>
      </c>
      <c r="Z1" s="181" t="s">
        <v>215</v>
      </c>
      <c r="AA1" s="181" t="s">
        <v>216</v>
      </c>
      <c r="AB1"/>
      <c r="AC1"/>
      <c r="AD1"/>
    </row>
    <row r="2" spans="1:30" customFormat="1" x14ac:dyDescent="0.15">
      <c r="A2" s="180" t="s">
        <v>191</v>
      </c>
      <c r="B2" s="103">
        <v>0</v>
      </c>
      <c r="C2" s="103">
        <v>0.8</v>
      </c>
      <c r="D2" s="103">
        <v>0</v>
      </c>
      <c r="E2" s="103">
        <v>0</v>
      </c>
      <c r="F2" s="103">
        <v>0</v>
      </c>
      <c r="G2" s="103">
        <v>0</v>
      </c>
      <c r="H2" s="103">
        <v>0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  <c r="X2" s="103">
        <v>0</v>
      </c>
      <c r="Y2" s="103">
        <v>0</v>
      </c>
      <c r="Z2" s="103">
        <v>0</v>
      </c>
      <c r="AA2" s="103">
        <v>0</v>
      </c>
    </row>
    <row r="3" spans="1:30" customFormat="1" x14ac:dyDescent="0.15">
      <c r="A3" s="180" t="s">
        <v>192</v>
      </c>
      <c r="B3" s="103">
        <v>0</v>
      </c>
      <c r="C3" s="103">
        <v>0</v>
      </c>
      <c r="D3" s="103">
        <v>0</v>
      </c>
      <c r="E3" s="103">
        <v>0</v>
      </c>
      <c r="F3" s="103">
        <v>0</v>
      </c>
      <c r="G3" s="103">
        <v>0</v>
      </c>
      <c r="H3" s="103">
        <v>0</v>
      </c>
      <c r="I3" s="103">
        <v>0</v>
      </c>
      <c r="J3" s="103">
        <v>0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  <c r="X3" s="103">
        <v>0</v>
      </c>
      <c r="Y3" s="103">
        <v>0</v>
      </c>
      <c r="Z3" s="103">
        <v>0</v>
      </c>
      <c r="AA3" s="103">
        <v>0</v>
      </c>
    </row>
    <row r="4" spans="1:30" customFormat="1" x14ac:dyDescent="0.15">
      <c r="A4" s="180" t="s">
        <v>193</v>
      </c>
      <c r="B4" s="103">
        <v>0</v>
      </c>
      <c r="C4" s="103">
        <v>0.8</v>
      </c>
      <c r="D4" s="103">
        <v>0</v>
      </c>
      <c r="E4" s="103">
        <v>0</v>
      </c>
      <c r="F4" s="103">
        <v>0</v>
      </c>
      <c r="G4" s="103">
        <v>0</v>
      </c>
      <c r="H4" s="103">
        <v>0</v>
      </c>
      <c r="I4" s="103">
        <v>0</v>
      </c>
      <c r="J4" s="103">
        <v>0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0</v>
      </c>
      <c r="S4" s="103">
        <v>0</v>
      </c>
      <c r="T4" s="103">
        <v>0</v>
      </c>
      <c r="U4" s="103">
        <v>0</v>
      </c>
      <c r="V4" s="103">
        <v>0</v>
      </c>
      <c r="W4" s="103">
        <v>0</v>
      </c>
      <c r="X4" s="103">
        <v>0</v>
      </c>
      <c r="Y4" s="103">
        <v>0</v>
      </c>
      <c r="Z4" s="103">
        <v>0</v>
      </c>
      <c r="AA4" s="103">
        <v>0</v>
      </c>
    </row>
    <row r="5" spans="1:30" customFormat="1" x14ac:dyDescent="0.15">
      <c r="A5" s="180" t="s">
        <v>194</v>
      </c>
      <c r="B5" s="103">
        <v>0.8</v>
      </c>
      <c r="C5" s="103">
        <v>0.8</v>
      </c>
      <c r="D5" s="103">
        <v>0.8</v>
      </c>
      <c r="E5" s="103">
        <v>0</v>
      </c>
      <c r="F5" s="103">
        <v>0</v>
      </c>
      <c r="G5" s="103">
        <v>0</v>
      </c>
      <c r="H5" s="103">
        <v>0.8</v>
      </c>
      <c r="I5" s="103">
        <v>0</v>
      </c>
      <c r="J5" s="103">
        <v>0.8</v>
      </c>
      <c r="K5" s="103">
        <v>0</v>
      </c>
      <c r="L5" s="103">
        <v>0</v>
      </c>
      <c r="M5" s="103">
        <v>0</v>
      </c>
      <c r="N5" s="103">
        <v>0</v>
      </c>
      <c r="O5" s="103">
        <v>0</v>
      </c>
      <c r="P5" s="103">
        <v>0</v>
      </c>
      <c r="Q5" s="103">
        <v>0</v>
      </c>
      <c r="R5" s="103">
        <v>0</v>
      </c>
      <c r="S5" s="103">
        <v>0</v>
      </c>
      <c r="T5" s="103">
        <v>0</v>
      </c>
      <c r="U5" s="103">
        <v>0</v>
      </c>
      <c r="V5" s="103">
        <v>0</v>
      </c>
      <c r="W5" s="103">
        <v>0</v>
      </c>
      <c r="X5" s="103">
        <v>0</v>
      </c>
      <c r="Y5" s="103">
        <v>0</v>
      </c>
      <c r="Z5" s="103">
        <v>0</v>
      </c>
      <c r="AA5" s="103">
        <v>0</v>
      </c>
    </row>
    <row r="6" spans="1:30" customFormat="1" x14ac:dyDescent="0.15">
      <c r="A6" s="180" t="s">
        <v>195</v>
      </c>
      <c r="B6" s="103">
        <v>0.8</v>
      </c>
      <c r="C6" s="103">
        <v>0.8</v>
      </c>
      <c r="D6" s="103">
        <v>0.8</v>
      </c>
      <c r="E6" s="103">
        <v>0.8</v>
      </c>
      <c r="F6" s="103">
        <v>0</v>
      </c>
      <c r="G6" s="103">
        <v>0</v>
      </c>
      <c r="H6" s="103">
        <v>0</v>
      </c>
      <c r="I6" s="103">
        <v>0.8</v>
      </c>
      <c r="J6" s="103">
        <v>0</v>
      </c>
      <c r="K6" s="103">
        <v>0</v>
      </c>
      <c r="L6" s="103">
        <v>0</v>
      </c>
      <c r="M6" s="103">
        <v>0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</row>
    <row r="7" spans="1:30" customFormat="1" x14ac:dyDescent="0.15">
      <c r="A7" s="180" t="s">
        <v>196</v>
      </c>
      <c r="B7" s="103">
        <v>0</v>
      </c>
      <c r="C7" s="103">
        <v>0.8</v>
      </c>
      <c r="D7" s="103">
        <v>0</v>
      </c>
      <c r="E7" s="103">
        <v>0.8</v>
      </c>
      <c r="F7" s="103">
        <v>0.8</v>
      </c>
      <c r="G7" s="103">
        <v>0</v>
      </c>
      <c r="H7" s="103">
        <v>0.8</v>
      </c>
      <c r="I7" s="103">
        <v>0</v>
      </c>
      <c r="J7" s="103">
        <v>0</v>
      </c>
      <c r="K7" s="103">
        <v>0</v>
      </c>
      <c r="L7" s="103">
        <v>0</v>
      </c>
      <c r="M7" s="103">
        <v>0</v>
      </c>
      <c r="N7" s="103">
        <v>0</v>
      </c>
      <c r="O7" s="103">
        <v>0</v>
      </c>
      <c r="P7" s="103">
        <v>0</v>
      </c>
      <c r="Q7" s="103">
        <v>0</v>
      </c>
      <c r="R7" s="103">
        <v>0</v>
      </c>
      <c r="S7" s="103">
        <v>0</v>
      </c>
      <c r="T7" s="103">
        <v>0</v>
      </c>
      <c r="U7" s="103">
        <v>0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</row>
    <row r="8" spans="1:30" customFormat="1" x14ac:dyDescent="0.15">
      <c r="A8" s="180" t="s">
        <v>197</v>
      </c>
      <c r="B8" s="103">
        <v>0</v>
      </c>
      <c r="C8" s="103">
        <v>0.8</v>
      </c>
      <c r="D8" s="103">
        <v>0.8</v>
      </c>
      <c r="E8" s="103">
        <v>0.8</v>
      </c>
      <c r="F8" s="103">
        <v>0</v>
      </c>
      <c r="G8" s="103">
        <v>0</v>
      </c>
      <c r="H8" s="103">
        <v>0</v>
      </c>
      <c r="I8" s="103">
        <v>0</v>
      </c>
      <c r="J8" s="103">
        <v>0</v>
      </c>
      <c r="K8" s="103">
        <v>0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</row>
    <row r="9" spans="1:30" customFormat="1" x14ac:dyDescent="0.15">
      <c r="A9" s="180" t="s">
        <v>198</v>
      </c>
      <c r="B9" s="103">
        <v>0.8</v>
      </c>
      <c r="C9" s="103">
        <v>0.8</v>
      </c>
      <c r="D9" s="103">
        <v>0.8</v>
      </c>
      <c r="E9" s="103">
        <v>0.8</v>
      </c>
      <c r="F9" s="103">
        <v>0.8</v>
      </c>
      <c r="G9" s="103">
        <v>0</v>
      </c>
      <c r="H9" s="103">
        <v>0.8</v>
      </c>
      <c r="I9" s="103">
        <v>0</v>
      </c>
      <c r="J9" s="103">
        <v>0</v>
      </c>
      <c r="K9" s="103">
        <v>0</v>
      </c>
      <c r="L9" s="103">
        <v>0</v>
      </c>
      <c r="M9" s="103">
        <v>0</v>
      </c>
      <c r="N9" s="103">
        <v>0</v>
      </c>
      <c r="O9" s="103">
        <v>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</row>
    <row r="10" spans="1:30" customFormat="1" x14ac:dyDescent="0.15">
      <c r="A10" s="180" t="s">
        <v>199</v>
      </c>
      <c r="B10" s="103">
        <v>0.8</v>
      </c>
      <c r="C10" s="103">
        <v>0.8</v>
      </c>
      <c r="D10" s="103">
        <v>0.8</v>
      </c>
      <c r="E10" s="103">
        <v>0</v>
      </c>
      <c r="F10" s="103">
        <v>0</v>
      </c>
      <c r="G10" s="103">
        <v>0</v>
      </c>
      <c r="H10" s="103">
        <v>0.8</v>
      </c>
      <c r="I10" s="103">
        <v>0</v>
      </c>
      <c r="J10" s="103">
        <v>0</v>
      </c>
      <c r="K10" s="103">
        <v>0.8</v>
      </c>
      <c r="L10" s="103">
        <v>0</v>
      </c>
      <c r="M10" s="103">
        <v>0</v>
      </c>
      <c r="N10" s="103">
        <v>0</v>
      </c>
      <c r="O10" s="103">
        <v>0</v>
      </c>
      <c r="P10" s="103">
        <v>0</v>
      </c>
      <c r="Q10" s="103">
        <v>0.8</v>
      </c>
      <c r="R10" s="103">
        <v>0</v>
      </c>
      <c r="S10" s="103">
        <v>0</v>
      </c>
      <c r="T10" s="103">
        <v>0</v>
      </c>
      <c r="U10" s="103">
        <v>0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</row>
    <row r="11" spans="1:30" customFormat="1" x14ac:dyDescent="0.15">
      <c r="A11" s="180" t="s">
        <v>200</v>
      </c>
      <c r="B11" s="103">
        <v>0.8</v>
      </c>
      <c r="C11" s="103">
        <v>0</v>
      </c>
      <c r="D11" s="103">
        <v>0.8</v>
      </c>
      <c r="E11" s="103">
        <v>0</v>
      </c>
      <c r="F11" s="103">
        <v>0</v>
      </c>
      <c r="G11" s="103">
        <v>0</v>
      </c>
      <c r="H11" s="103">
        <v>0</v>
      </c>
      <c r="I11" s="103">
        <v>0</v>
      </c>
      <c r="J11" s="103">
        <v>0</v>
      </c>
      <c r="K11" s="103">
        <v>0</v>
      </c>
      <c r="L11" s="103">
        <v>0.8</v>
      </c>
      <c r="M11" s="103">
        <v>0</v>
      </c>
      <c r="N11" s="103">
        <v>0</v>
      </c>
      <c r="O11" s="103">
        <v>0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</row>
    <row r="12" spans="1:30" customFormat="1" x14ac:dyDescent="0.15">
      <c r="A12" s="180" t="s">
        <v>201</v>
      </c>
      <c r="B12" s="103">
        <v>0.8</v>
      </c>
      <c r="C12" s="103">
        <v>0.8</v>
      </c>
      <c r="D12" s="103">
        <v>0</v>
      </c>
      <c r="E12" s="103">
        <v>0.8</v>
      </c>
      <c r="F12" s="103">
        <v>0.8</v>
      </c>
      <c r="G12" s="103">
        <v>0</v>
      </c>
      <c r="H12" s="103">
        <v>0.8</v>
      </c>
      <c r="I12" s="103">
        <v>0</v>
      </c>
      <c r="J12" s="103">
        <v>0</v>
      </c>
      <c r="K12" s="103">
        <v>0</v>
      </c>
      <c r="L12" s="103">
        <v>0</v>
      </c>
      <c r="M12" s="103">
        <v>0</v>
      </c>
      <c r="N12" s="103">
        <v>0</v>
      </c>
      <c r="O12" s="103">
        <v>0</v>
      </c>
      <c r="P12" s="103">
        <v>0</v>
      </c>
      <c r="Q12" s="103">
        <v>0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</row>
    <row r="13" spans="1:30" customFormat="1" x14ac:dyDescent="0.15">
      <c r="A13" s="180" t="s">
        <v>202</v>
      </c>
      <c r="B13" s="103">
        <v>0.8</v>
      </c>
      <c r="C13" s="103">
        <v>0</v>
      </c>
      <c r="D13" s="103">
        <v>0.8</v>
      </c>
      <c r="E13" s="103">
        <v>0.8</v>
      </c>
      <c r="F13" s="103">
        <v>0</v>
      </c>
      <c r="G13" s="103">
        <v>0</v>
      </c>
      <c r="H13" s="103">
        <v>0.8</v>
      </c>
      <c r="I13" s="103">
        <v>0</v>
      </c>
      <c r="J13" s="103">
        <v>0.8</v>
      </c>
      <c r="K13" s="103">
        <v>0</v>
      </c>
      <c r="L13" s="103">
        <v>0</v>
      </c>
      <c r="M13" s="103">
        <v>0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</row>
    <row r="14" spans="1:30" customFormat="1" x14ac:dyDescent="0.15">
      <c r="A14" s="180" t="s">
        <v>203</v>
      </c>
      <c r="B14" s="103">
        <v>0</v>
      </c>
      <c r="C14" s="103">
        <v>0.8</v>
      </c>
      <c r="D14" s="103">
        <v>0.8</v>
      </c>
      <c r="E14" s="103">
        <v>0.8</v>
      </c>
      <c r="F14" s="103">
        <v>0</v>
      </c>
      <c r="G14" s="103">
        <v>0.8</v>
      </c>
      <c r="H14" s="103">
        <v>0.8</v>
      </c>
      <c r="I14" s="103">
        <v>0</v>
      </c>
      <c r="J14" s="103">
        <v>0.8</v>
      </c>
      <c r="K14" s="103">
        <v>0</v>
      </c>
      <c r="L14" s="103">
        <v>0</v>
      </c>
      <c r="M14" s="103">
        <v>0</v>
      </c>
      <c r="N14" s="103">
        <v>0</v>
      </c>
      <c r="O14" s="103">
        <v>0</v>
      </c>
      <c r="P14" s="103">
        <v>0</v>
      </c>
      <c r="Q14" s="103">
        <v>0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</row>
    <row r="15" spans="1:30" customFormat="1" x14ac:dyDescent="0.15">
      <c r="A15" s="180" t="s">
        <v>204</v>
      </c>
      <c r="B15" s="103">
        <v>0.8</v>
      </c>
      <c r="C15" s="103">
        <v>0.8</v>
      </c>
      <c r="D15" s="103">
        <v>0.8</v>
      </c>
      <c r="E15" s="103">
        <v>0.8</v>
      </c>
      <c r="F15" s="103">
        <v>0.8</v>
      </c>
      <c r="G15" s="103">
        <v>0.8</v>
      </c>
      <c r="H15" s="103">
        <v>0.8</v>
      </c>
      <c r="I15" s="103">
        <v>0.8</v>
      </c>
      <c r="J15" s="103">
        <v>0.8</v>
      </c>
      <c r="K15" s="103">
        <v>0</v>
      </c>
      <c r="L15" s="103">
        <v>0</v>
      </c>
      <c r="M15" s="103">
        <v>0</v>
      </c>
      <c r="N15" s="103">
        <v>0.8</v>
      </c>
      <c r="O15" s="103">
        <v>0</v>
      </c>
      <c r="P15" s="103">
        <v>0.8</v>
      </c>
      <c r="Q15" s="103">
        <v>0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</row>
    <row r="16" spans="1:30" customFormat="1" x14ac:dyDescent="0.15">
      <c r="A16" s="180" t="s">
        <v>205</v>
      </c>
      <c r="B16" s="103">
        <v>0.8</v>
      </c>
      <c r="C16" s="103">
        <v>0.8</v>
      </c>
      <c r="D16" s="103">
        <v>0.8</v>
      </c>
      <c r="E16" s="103">
        <v>0.8</v>
      </c>
      <c r="F16" s="103">
        <v>0.8</v>
      </c>
      <c r="G16" s="103">
        <v>0</v>
      </c>
      <c r="H16" s="103">
        <v>0.8</v>
      </c>
      <c r="I16" s="103">
        <v>0</v>
      </c>
      <c r="J16" s="103">
        <v>0.8</v>
      </c>
      <c r="K16" s="103">
        <v>0</v>
      </c>
      <c r="L16" s="103">
        <v>0</v>
      </c>
      <c r="M16" s="103">
        <v>0</v>
      </c>
      <c r="N16" s="103">
        <v>0</v>
      </c>
      <c r="O16" s="103">
        <v>0</v>
      </c>
      <c r="P16" s="103">
        <v>0</v>
      </c>
      <c r="Q16" s="103">
        <v>0.8</v>
      </c>
      <c r="R16" s="103">
        <v>0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</row>
    <row r="17" spans="1:27" customFormat="1" x14ac:dyDescent="0.15">
      <c r="A17" s="180" t="s">
        <v>206</v>
      </c>
      <c r="B17" s="103">
        <v>0</v>
      </c>
      <c r="C17" s="103">
        <v>0.8</v>
      </c>
      <c r="D17" s="103">
        <v>0</v>
      </c>
      <c r="E17" s="103">
        <v>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0</v>
      </c>
      <c r="L17" s="103">
        <v>0</v>
      </c>
      <c r="M17" s="103">
        <v>0</v>
      </c>
      <c r="N17" s="103">
        <v>0</v>
      </c>
      <c r="O17" s="103">
        <v>0</v>
      </c>
      <c r="P17" s="103">
        <v>0</v>
      </c>
      <c r="Q17" s="103">
        <v>0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</row>
    <row r="18" spans="1:27" customFormat="1" x14ac:dyDescent="0.15">
      <c r="A18" s="180" t="s">
        <v>207</v>
      </c>
      <c r="B18" s="103">
        <v>0</v>
      </c>
      <c r="C18" s="103">
        <v>0.8</v>
      </c>
      <c r="D18" s="103">
        <v>0</v>
      </c>
      <c r="E18" s="103">
        <v>0.8</v>
      </c>
      <c r="F18" s="103">
        <v>0</v>
      </c>
      <c r="G18" s="103">
        <v>0</v>
      </c>
      <c r="H18" s="103">
        <v>0.8</v>
      </c>
      <c r="I18" s="103">
        <v>0</v>
      </c>
      <c r="J18" s="103">
        <v>0.8</v>
      </c>
      <c r="K18" s="103">
        <v>0.8</v>
      </c>
      <c r="L18" s="103">
        <v>0</v>
      </c>
      <c r="M18" s="103">
        <v>0</v>
      </c>
      <c r="N18" s="103">
        <v>0</v>
      </c>
      <c r="O18" s="103">
        <v>0</v>
      </c>
      <c r="P18" s="103">
        <v>0.8</v>
      </c>
      <c r="Q18" s="103">
        <v>0.8</v>
      </c>
      <c r="R18" s="103">
        <v>0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</row>
    <row r="19" spans="1:27" customFormat="1" x14ac:dyDescent="0.15">
      <c r="A19" s="180" t="s">
        <v>208</v>
      </c>
      <c r="B19" s="103">
        <v>0.8</v>
      </c>
      <c r="C19" s="103">
        <v>0.8</v>
      </c>
      <c r="D19" s="103">
        <v>0.8</v>
      </c>
      <c r="E19" s="103">
        <v>0.8</v>
      </c>
      <c r="F19" s="103">
        <v>0.8</v>
      </c>
      <c r="G19" s="103">
        <v>0.8</v>
      </c>
      <c r="H19" s="103">
        <v>0.8</v>
      </c>
      <c r="I19" s="103">
        <v>0.8</v>
      </c>
      <c r="J19" s="103">
        <v>0.8</v>
      </c>
      <c r="K19" s="103">
        <v>0.8</v>
      </c>
      <c r="L19" s="103">
        <v>0</v>
      </c>
      <c r="M19" s="103">
        <v>0</v>
      </c>
      <c r="N19" s="103">
        <v>0</v>
      </c>
      <c r="O19" s="103">
        <v>0</v>
      </c>
      <c r="P19" s="103">
        <v>0.8</v>
      </c>
      <c r="Q19" s="103">
        <v>0</v>
      </c>
      <c r="R19" s="103">
        <v>0</v>
      </c>
      <c r="S19" s="103">
        <v>0</v>
      </c>
      <c r="T19" s="103">
        <v>0</v>
      </c>
      <c r="U19" s="103">
        <v>0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</row>
    <row r="20" spans="1:27" customFormat="1" x14ac:dyDescent="0.15">
      <c r="A20" s="180" t="s">
        <v>209</v>
      </c>
      <c r="B20" s="103">
        <v>0.8</v>
      </c>
      <c r="C20" s="103">
        <v>0.8</v>
      </c>
      <c r="D20" s="103">
        <v>0.8</v>
      </c>
      <c r="E20" s="103">
        <v>0.8</v>
      </c>
      <c r="F20" s="103">
        <v>0.8</v>
      </c>
      <c r="G20" s="103">
        <v>0.8</v>
      </c>
      <c r="H20" s="103">
        <v>0.8</v>
      </c>
      <c r="I20" s="103">
        <v>0.8</v>
      </c>
      <c r="J20" s="103">
        <v>0.8</v>
      </c>
      <c r="K20" s="103">
        <v>0.8</v>
      </c>
      <c r="L20" s="103">
        <v>0.8</v>
      </c>
      <c r="M20" s="103">
        <v>0.8</v>
      </c>
      <c r="N20" s="103">
        <v>0.8</v>
      </c>
      <c r="O20" s="103">
        <v>0.8</v>
      </c>
      <c r="P20" s="103">
        <v>0.8</v>
      </c>
      <c r="Q20" s="103">
        <v>0.8</v>
      </c>
      <c r="R20" s="103">
        <v>0.8</v>
      </c>
      <c r="S20" s="103">
        <v>0.8</v>
      </c>
      <c r="T20" s="103">
        <v>0.8</v>
      </c>
      <c r="U20" s="103">
        <v>0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</row>
    <row r="21" spans="1:27" customFormat="1" x14ac:dyDescent="0.15">
      <c r="A21" s="180" t="s">
        <v>210</v>
      </c>
      <c r="B21" s="103">
        <v>0.8</v>
      </c>
      <c r="C21" s="103">
        <v>0.8</v>
      </c>
      <c r="D21" s="103">
        <v>0.8</v>
      </c>
      <c r="E21" s="103">
        <v>0.8</v>
      </c>
      <c r="F21" s="103">
        <v>0.8</v>
      </c>
      <c r="G21" s="103">
        <v>0.8</v>
      </c>
      <c r="H21" s="103">
        <v>0.8</v>
      </c>
      <c r="I21" s="103">
        <v>0.8</v>
      </c>
      <c r="J21" s="103">
        <v>0.8</v>
      </c>
      <c r="K21" s="103">
        <v>0.8</v>
      </c>
      <c r="L21" s="103">
        <v>0.8</v>
      </c>
      <c r="M21" s="103">
        <v>0.8</v>
      </c>
      <c r="N21" s="103">
        <v>0.8</v>
      </c>
      <c r="O21" s="103">
        <v>0</v>
      </c>
      <c r="P21" s="103">
        <v>0.8</v>
      </c>
      <c r="Q21" s="103">
        <v>0.8</v>
      </c>
      <c r="R21" s="103">
        <v>0.8</v>
      </c>
      <c r="S21" s="103">
        <v>0.8</v>
      </c>
      <c r="T21" s="103">
        <v>0.8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</row>
    <row r="22" spans="1:27" customFormat="1" x14ac:dyDescent="0.15">
      <c r="A22" s="180" t="s">
        <v>211</v>
      </c>
      <c r="B22" s="103">
        <v>0.8</v>
      </c>
      <c r="C22" s="103">
        <v>0</v>
      </c>
      <c r="D22" s="103">
        <v>0.8</v>
      </c>
      <c r="E22" s="103">
        <v>0</v>
      </c>
      <c r="F22" s="103">
        <v>0.8</v>
      </c>
      <c r="G22" s="103">
        <v>0.8</v>
      </c>
      <c r="H22" s="103">
        <v>0</v>
      </c>
      <c r="I22" s="103">
        <v>0.8</v>
      </c>
      <c r="J22" s="103">
        <v>0</v>
      </c>
      <c r="K22" s="103">
        <v>0</v>
      </c>
      <c r="L22" s="103">
        <v>0.8</v>
      </c>
      <c r="M22" s="103">
        <v>0.8</v>
      </c>
      <c r="N22" s="103">
        <v>0.8</v>
      </c>
      <c r="O22" s="103">
        <v>0.8</v>
      </c>
      <c r="P22" s="103">
        <v>0.8</v>
      </c>
      <c r="Q22" s="103">
        <v>0</v>
      </c>
      <c r="R22" s="103">
        <v>0</v>
      </c>
      <c r="S22" s="103">
        <v>0.8</v>
      </c>
      <c r="T22" s="103">
        <v>0.8</v>
      </c>
      <c r="U22" s="103">
        <v>0.8</v>
      </c>
      <c r="V22" s="103">
        <v>0.8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</row>
    <row r="23" spans="1:27" customFormat="1" x14ac:dyDescent="0.15">
      <c r="A23" s="180" t="s">
        <v>212</v>
      </c>
      <c r="B23" s="103">
        <v>0</v>
      </c>
      <c r="C23" s="103">
        <v>0</v>
      </c>
      <c r="D23" s="103">
        <v>0</v>
      </c>
      <c r="E23" s="103">
        <v>0</v>
      </c>
      <c r="F23" s="103">
        <v>0.8</v>
      </c>
      <c r="G23" s="103">
        <v>0</v>
      </c>
      <c r="H23" s="103">
        <v>0.8</v>
      </c>
      <c r="I23" s="103">
        <v>0.8</v>
      </c>
      <c r="J23" s="103">
        <v>0.8</v>
      </c>
      <c r="K23" s="103">
        <v>0.8</v>
      </c>
      <c r="L23" s="103">
        <v>0.8</v>
      </c>
      <c r="M23" s="103">
        <v>0.8</v>
      </c>
      <c r="N23" s="103">
        <v>0.8</v>
      </c>
      <c r="O23" s="103">
        <v>0</v>
      </c>
      <c r="P23" s="103">
        <v>0.8</v>
      </c>
      <c r="Q23" s="103">
        <v>0</v>
      </c>
      <c r="R23" s="103">
        <v>0.8</v>
      </c>
      <c r="S23" s="103">
        <v>0.8</v>
      </c>
      <c r="T23" s="103">
        <v>0.8</v>
      </c>
      <c r="U23" s="103">
        <v>0.8</v>
      </c>
      <c r="V23" s="103">
        <v>0</v>
      </c>
      <c r="W23" s="103">
        <v>0</v>
      </c>
      <c r="X23" s="103">
        <v>0</v>
      </c>
      <c r="Y23" s="103">
        <v>0</v>
      </c>
      <c r="Z23" s="103">
        <v>0</v>
      </c>
      <c r="AA23" s="103">
        <v>0</v>
      </c>
    </row>
    <row r="24" spans="1:27" customFormat="1" x14ac:dyDescent="0.15">
      <c r="A24" s="180" t="s">
        <v>213</v>
      </c>
      <c r="B24" s="103">
        <v>0</v>
      </c>
      <c r="C24" s="103">
        <v>0</v>
      </c>
      <c r="D24" s="103">
        <v>0</v>
      </c>
      <c r="E24" s="103">
        <v>0</v>
      </c>
      <c r="F24" s="103">
        <v>0</v>
      </c>
      <c r="G24" s="103">
        <v>0</v>
      </c>
      <c r="H24" s="103">
        <v>0</v>
      </c>
      <c r="I24" s="103">
        <v>0</v>
      </c>
      <c r="J24" s="103">
        <v>0</v>
      </c>
      <c r="K24" s="103">
        <v>0</v>
      </c>
      <c r="L24" s="103">
        <v>0</v>
      </c>
      <c r="M24" s="103">
        <v>0</v>
      </c>
      <c r="N24" s="103">
        <v>0</v>
      </c>
      <c r="O24" s="103">
        <v>0</v>
      </c>
      <c r="P24" s="103">
        <v>0</v>
      </c>
      <c r="Q24" s="103">
        <v>0</v>
      </c>
      <c r="R24" s="103">
        <v>0</v>
      </c>
      <c r="S24" s="103">
        <v>0</v>
      </c>
      <c r="T24" s="103">
        <v>0</v>
      </c>
      <c r="U24" s="103">
        <v>0</v>
      </c>
      <c r="V24" s="103">
        <v>0.8</v>
      </c>
      <c r="W24" s="103">
        <v>0</v>
      </c>
      <c r="X24" s="103">
        <v>0</v>
      </c>
      <c r="Y24" s="103">
        <v>0</v>
      </c>
      <c r="Z24" s="103">
        <v>0</v>
      </c>
      <c r="AA24" s="103">
        <v>0</v>
      </c>
    </row>
    <row r="25" spans="1:27" customFormat="1" x14ac:dyDescent="0.15">
      <c r="A25" s="180" t="s">
        <v>214</v>
      </c>
      <c r="B25" s="103">
        <v>0</v>
      </c>
      <c r="C25" s="103">
        <v>0</v>
      </c>
      <c r="D25" s="103">
        <v>0</v>
      </c>
      <c r="E25" s="103">
        <v>0</v>
      </c>
      <c r="F25" s="103">
        <v>0</v>
      </c>
      <c r="G25" s="103">
        <v>0</v>
      </c>
      <c r="H25" s="103">
        <v>0</v>
      </c>
      <c r="I25" s="103">
        <v>0</v>
      </c>
      <c r="J25" s="103">
        <v>0</v>
      </c>
      <c r="K25" s="103">
        <v>0</v>
      </c>
      <c r="L25" s="103">
        <v>0</v>
      </c>
      <c r="M25" s="103">
        <v>0</v>
      </c>
      <c r="N25" s="103">
        <v>0</v>
      </c>
      <c r="O25" s="103">
        <v>0</v>
      </c>
      <c r="P25" s="103">
        <v>0</v>
      </c>
      <c r="Q25" s="103">
        <v>0.8</v>
      </c>
      <c r="R25" s="103">
        <v>0</v>
      </c>
      <c r="S25" s="103">
        <v>0</v>
      </c>
      <c r="T25" s="103">
        <v>0</v>
      </c>
      <c r="U25" s="103">
        <v>0</v>
      </c>
      <c r="V25" s="103">
        <v>0</v>
      </c>
      <c r="W25" s="103">
        <v>0</v>
      </c>
      <c r="X25" s="103">
        <v>0</v>
      </c>
      <c r="Y25" s="103">
        <v>0</v>
      </c>
      <c r="Z25" s="103">
        <v>0</v>
      </c>
      <c r="AA25" s="103">
        <v>0</v>
      </c>
    </row>
    <row r="26" spans="1:27" customFormat="1" x14ac:dyDescent="0.15">
      <c r="A26" s="180" t="s">
        <v>215</v>
      </c>
      <c r="B26" s="103">
        <v>0</v>
      </c>
      <c r="C26" s="103">
        <v>0</v>
      </c>
      <c r="D26" s="103">
        <v>0</v>
      </c>
      <c r="E26" s="103">
        <v>0</v>
      </c>
      <c r="F26" s="103">
        <v>0</v>
      </c>
      <c r="G26" s="103">
        <v>0</v>
      </c>
      <c r="H26" s="103">
        <v>0</v>
      </c>
      <c r="I26" s="103">
        <v>0</v>
      </c>
      <c r="J26" s="103">
        <v>0</v>
      </c>
      <c r="K26" s="103">
        <v>0</v>
      </c>
      <c r="L26" s="103">
        <v>0</v>
      </c>
      <c r="M26" s="103">
        <v>0.8</v>
      </c>
      <c r="N26" s="103">
        <v>0</v>
      </c>
      <c r="O26" s="103">
        <v>0</v>
      </c>
      <c r="P26" s="103">
        <v>0.8</v>
      </c>
      <c r="Q26" s="103">
        <v>0</v>
      </c>
      <c r="R26" s="103">
        <v>0.8</v>
      </c>
      <c r="S26" s="103">
        <v>0.8</v>
      </c>
      <c r="T26" s="103">
        <v>0.8</v>
      </c>
      <c r="U26" s="103">
        <v>0.8</v>
      </c>
      <c r="V26" s="103">
        <v>0.8</v>
      </c>
      <c r="W26" s="103">
        <v>0.8</v>
      </c>
      <c r="X26" s="103">
        <v>0</v>
      </c>
      <c r="Y26" s="103">
        <v>0</v>
      </c>
      <c r="Z26" s="103">
        <v>0</v>
      </c>
      <c r="AA26" s="103">
        <v>0</v>
      </c>
    </row>
    <row r="27" spans="1:27" customFormat="1" x14ac:dyDescent="0.15">
      <c r="A27" s="180" t="s">
        <v>216</v>
      </c>
      <c r="B27" s="103">
        <v>0</v>
      </c>
      <c r="C27" s="103">
        <v>0</v>
      </c>
      <c r="D27" s="103">
        <v>0</v>
      </c>
      <c r="E27" s="103">
        <v>0</v>
      </c>
      <c r="F27" s="103">
        <v>0</v>
      </c>
      <c r="G27" s="103">
        <v>0</v>
      </c>
      <c r="H27" s="103">
        <v>0</v>
      </c>
      <c r="I27" s="103">
        <v>0</v>
      </c>
      <c r="J27" s="103">
        <v>0</v>
      </c>
      <c r="K27" s="103">
        <v>0</v>
      </c>
      <c r="L27" s="103">
        <v>0</v>
      </c>
      <c r="M27" s="103">
        <v>0</v>
      </c>
      <c r="N27" s="103">
        <v>0</v>
      </c>
      <c r="O27" s="103">
        <v>0</v>
      </c>
      <c r="P27" s="103">
        <v>0</v>
      </c>
      <c r="Q27" s="103">
        <v>0</v>
      </c>
      <c r="R27" s="103">
        <v>0</v>
      </c>
      <c r="S27" s="103">
        <v>0</v>
      </c>
      <c r="T27" s="103">
        <v>0</v>
      </c>
      <c r="U27" s="103">
        <v>0</v>
      </c>
      <c r="V27" s="103">
        <v>0</v>
      </c>
      <c r="W27" s="103">
        <v>0</v>
      </c>
      <c r="X27" s="103">
        <v>0</v>
      </c>
      <c r="Y27" s="103">
        <v>0</v>
      </c>
      <c r="Z27" s="103">
        <v>0</v>
      </c>
      <c r="AA27" s="103">
        <v>0</v>
      </c>
    </row>
    <row r="28" spans="1:27" customFormat="1" x14ac:dyDescent="0.15">
      <c r="A28" s="180" t="s">
        <v>222</v>
      </c>
      <c r="B28" s="103">
        <v>0</v>
      </c>
      <c r="C28" s="103">
        <v>0</v>
      </c>
      <c r="D28" s="103">
        <v>0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103">
        <v>0</v>
      </c>
      <c r="O28" s="103">
        <v>0</v>
      </c>
      <c r="P28" s="103">
        <v>0</v>
      </c>
      <c r="Q28" s="103">
        <v>0</v>
      </c>
      <c r="R28" s="103">
        <v>0</v>
      </c>
      <c r="S28" s="103">
        <v>0</v>
      </c>
      <c r="T28" s="103">
        <v>0</v>
      </c>
      <c r="U28" s="103">
        <v>0</v>
      </c>
      <c r="V28" s="103">
        <v>0</v>
      </c>
      <c r="W28" s="103">
        <v>0</v>
      </c>
      <c r="X28" s="103">
        <v>0</v>
      </c>
      <c r="Y28" s="103">
        <v>0</v>
      </c>
      <c r="Z28" s="103">
        <v>0</v>
      </c>
      <c r="AA28" s="103">
        <v>0</v>
      </c>
    </row>
    <row r="29" spans="1:27" customFormat="1" x14ac:dyDescent="0.15"/>
    <row r="30" spans="1:27" customFormat="1" x14ac:dyDescent="0.15"/>
    <row r="31" spans="1:27" customFormat="1" x14ac:dyDescent="0.15"/>
    <row r="32" spans="1:2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27" width="2.33203125" style="103" customWidth="1"/>
    <col min="28" max="16384" width="10.83203125" style="103"/>
  </cols>
  <sheetData>
    <row r="1" spans="1:31" x14ac:dyDescent="0.15">
      <c r="A1" s="62" t="s">
        <v>139</v>
      </c>
      <c r="B1" s="183" t="s">
        <v>191</v>
      </c>
      <c r="C1" s="183" t="s">
        <v>192</v>
      </c>
      <c r="D1" s="183" t="s">
        <v>193</v>
      </c>
      <c r="E1" s="183" t="s">
        <v>194</v>
      </c>
      <c r="F1" s="183" t="s">
        <v>195</v>
      </c>
      <c r="G1" s="183" t="s">
        <v>196</v>
      </c>
      <c r="H1" s="183" t="s">
        <v>197</v>
      </c>
      <c r="I1" s="183" t="s">
        <v>198</v>
      </c>
      <c r="J1" s="183" t="s">
        <v>199</v>
      </c>
      <c r="K1" s="183" t="s">
        <v>200</v>
      </c>
      <c r="L1" s="183" t="s">
        <v>201</v>
      </c>
      <c r="M1" s="183" t="s">
        <v>202</v>
      </c>
      <c r="N1" s="183" t="s">
        <v>203</v>
      </c>
      <c r="O1" s="183" t="s">
        <v>204</v>
      </c>
      <c r="P1" s="183" t="s">
        <v>205</v>
      </c>
      <c r="Q1" s="183" t="s">
        <v>206</v>
      </c>
      <c r="R1" s="183" t="s">
        <v>207</v>
      </c>
      <c r="S1" s="183" t="s">
        <v>208</v>
      </c>
      <c r="T1" s="183" t="s">
        <v>209</v>
      </c>
      <c r="U1" s="183" t="s">
        <v>210</v>
      </c>
      <c r="V1" s="183" t="s">
        <v>211</v>
      </c>
      <c r="W1" s="183" t="s">
        <v>212</v>
      </c>
      <c r="X1" s="183" t="s">
        <v>213</v>
      </c>
      <c r="Y1" s="183" t="s">
        <v>214</v>
      </c>
      <c r="Z1" s="183" t="s">
        <v>215</v>
      </c>
      <c r="AA1" s="183" t="s">
        <v>216</v>
      </c>
      <c r="AB1"/>
      <c r="AC1"/>
      <c r="AD1"/>
      <c r="AE1"/>
    </row>
    <row r="2" spans="1:31" customFormat="1" x14ac:dyDescent="0.15">
      <c r="A2" s="182" t="s">
        <v>191</v>
      </c>
      <c r="B2" s="103">
        <v>0</v>
      </c>
      <c r="C2" s="103">
        <v>1</v>
      </c>
      <c r="D2" s="103">
        <v>0</v>
      </c>
      <c r="E2" s="103">
        <v>0</v>
      </c>
      <c r="F2" s="103">
        <v>0</v>
      </c>
      <c r="G2" s="103">
        <v>0</v>
      </c>
      <c r="H2" s="103">
        <v>0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  <c r="X2" s="103">
        <v>0</v>
      </c>
      <c r="Y2" s="103">
        <v>0</v>
      </c>
      <c r="Z2" s="103">
        <v>0</v>
      </c>
      <c r="AA2" s="103">
        <v>0</v>
      </c>
    </row>
    <row r="3" spans="1:31" customFormat="1" x14ac:dyDescent="0.15">
      <c r="A3" s="182" t="s">
        <v>192</v>
      </c>
      <c r="B3" s="103">
        <v>0</v>
      </c>
      <c r="C3" s="103">
        <v>0</v>
      </c>
      <c r="D3" s="103">
        <v>0</v>
      </c>
      <c r="E3" s="103">
        <v>0</v>
      </c>
      <c r="F3" s="103">
        <v>0</v>
      </c>
      <c r="G3" s="103">
        <v>0</v>
      </c>
      <c r="H3" s="103">
        <v>0</v>
      </c>
      <c r="I3" s="103">
        <v>0</v>
      </c>
      <c r="J3" s="103">
        <v>0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  <c r="X3" s="103">
        <v>0</v>
      </c>
      <c r="Y3" s="103">
        <v>0</v>
      </c>
      <c r="Z3" s="103">
        <v>0</v>
      </c>
      <c r="AA3" s="103">
        <v>0</v>
      </c>
    </row>
    <row r="4" spans="1:31" customFormat="1" x14ac:dyDescent="0.15">
      <c r="A4" s="182" t="s">
        <v>193</v>
      </c>
      <c r="B4" s="103">
        <v>0</v>
      </c>
      <c r="C4" s="103">
        <v>1</v>
      </c>
      <c r="D4" s="103">
        <v>0</v>
      </c>
      <c r="E4" s="103">
        <v>0</v>
      </c>
      <c r="F4" s="103">
        <v>0</v>
      </c>
      <c r="G4" s="103">
        <v>0</v>
      </c>
      <c r="H4" s="103">
        <v>0</v>
      </c>
      <c r="I4" s="103">
        <v>0</v>
      </c>
      <c r="J4" s="103">
        <v>0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0</v>
      </c>
      <c r="S4" s="103">
        <v>0</v>
      </c>
      <c r="T4" s="103">
        <v>0</v>
      </c>
      <c r="U4" s="103">
        <v>0</v>
      </c>
      <c r="V4" s="103">
        <v>0</v>
      </c>
      <c r="W4" s="103">
        <v>0</v>
      </c>
      <c r="X4" s="103">
        <v>0</v>
      </c>
      <c r="Y4" s="103">
        <v>0</v>
      </c>
      <c r="Z4" s="103">
        <v>0</v>
      </c>
      <c r="AA4" s="103">
        <v>0</v>
      </c>
    </row>
    <row r="5" spans="1:31" customFormat="1" x14ac:dyDescent="0.15">
      <c r="A5" s="182" t="s">
        <v>194</v>
      </c>
      <c r="B5" s="103">
        <v>1</v>
      </c>
      <c r="C5" s="103">
        <v>1</v>
      </c>
      <c r="D5" s="103">
        <v>1</v>
      </c>
      <c r="E5" s="103">
        <v>0</v>
      </c>
      <c r="F5" s="103">
        <v>0</v>
      </c>
      <c r="G5" s="103">
        <v>0</v>
      </c>
      <c r="H5" s="103">
        <v>1</v>
      </c>
      <c r="I5" s="103">
        <v>0</v>
      </c>
      <c r="J5" s="103">
        <v>1</v>
      </c>
      <c r="K5" s="103">
        <v>0</v>
      </c>
      <c r="L5" s="103">
        <v>0</v>
      </c>
      <c r="M5" s="103">
        <v>0</v>
      </c>
      <c r="N5" s="103">
        <v>0</v>
      </c>
      <c r="O5" s="103">
        <v>0</v>
      </c>
      <c r="P5" s="103">
        <v>0</v>
      </c>
      <c r="Q5" s="103">
        <v>0</v>
      </c>
      <c r="R5" s="103">
        <v>0</v>
      </c>
      <c r="S5" s="103">
        <v>0</v>
      </c>
      <c r="T5" s="103">
        <v>0</v>
      </c>
      <c r="U5" s="103">
        <v>0</v>
      </c>
      <c r="V5" s="103">
        <v>0</v>
      </c>
      <c r="W5" s="103">
        <v>0</v>
      </c>
      <c r="X5" s="103">
        <v>0</v>
      </c>
      <c r="Y5" s="103">
        <v>0</v>
      </c>
      <c r="Z5" s="103">
        <v>0</v>
      </c>
      <c r="AA5" s="103">
        <v>0</v>
      </c>
    </row>
    <row r="6" spans="1:31" customFormat="1" x14ac:dyDescent="0.15">
      <c r="A6" s="182" t="s">
        <v>195</v>
      </c>
      <c r="B6" s="103">
        <v>1</v>
      </c>
      <c r="C6" s="103">
        <v>1</v>
      </c>
      <c r="D6" s="103">
        <v>1</v>
      </c>
      <c r="E6" s="103">
        <v>1</v>
      </c>
      <c r="F6" s="103">
        <v>0</v>
      </c>
      <c r="G6" s="103">
        <v>0</v>
      </c>
      <c r="H6" s="103">
        <v>0</v>
      </c>
      <c r="I6" s="103">
        <v>1</v>
      </c>
      <c r="J6" s="103">
        <v>0</v>
      </c>
      <c r="K6" s="103">
        <v>0</v>
      </c>
      <c r="L6" s="103">
        <v>0</v>
      </c>
      <c r="M6" s="103">
        <v>0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</row>
    <row r="7" spans="1:31" customFormat="1" x14ac:dyDescent="0.15">
      <c r="A7" s="182" t="s">
        <v>196</v>
      </c>
      <c r="B7" s="103">
        <v>0</v>
      </c>
      <c r="C7" s="103">
        <v>1</v>
      </c>
      <c r="D7" s="103">
        <v>0</v>
      </c>
      <c r="E7" s="103">
        <v>1</v>
      </c>
      <c r="F7" s="103">
        <v>1</v>
      </c>
      <c r="G7" s="103">
        <v>0</v>
      </c>
      <c r="H7" s="103">
        <v>1</v>
      </c>
      <c r="I7" s="103">
        <v>0</v>
      </c>
      <c r="J7" s="103">
        <v>0</v>
      </c>
      <c r="K7" s="103">
        <v>0</v>
      </c>
      <c r="L7" s="103">
        <v>0</v>
      </c>
      <c r="M7" s="103">
        <v>0</v>
      </c>
      <c r="N7" s="103">
        <v>0</v>
      </c>
      <c r="O7" s="103">
        <v>0</v>
      </c>
      <c r="P7" s="103">
        <v>0</v>
      </c>
      <c r="Q7" s="103">
        <v>0</v>
      </c>
      <c r="R7" s="103">
        <v>0</v>
      </c>
      <c r="S7" s="103">
        <v>0</v>
      </c>
      <c r="T7" s="103">
        <v>0</v>
      </c>
      <c r="U7" s="103">
        <v>0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</row>
    <row r="8" spans="1:31" customFormat="1" x14ac:dyDescent="0.15">
      <c r="A8" s="182" t="s">
        <v>197</v>
      </c>
      <c r="B8" s="103">
        <v>0</v>
      </c>
      <c r="C8" s="103">
        <v>1</v>
      </c>
      <c r="D8" s="103">
        <v>1</v>
      </c>
      <c r="E8" s="103">
        <v>1</v>
      </c>
      <c r="F8" s="103">
        <v>0</v>
      </c>
      <c r="G8" s="103">
        <v>0</v>
      </c>
      <c r="H8" s="103">
        <v>0</v>
      </c>
      <c r="I8" s="103">
        <v>0</v>
      </c>
      <c r="J8" s="103">
        <v>0</v>
      </c>
      <c r="K8" s="103">
        <v>0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</row>
    <row r="9" spans="1:31" customFormat="1" x14ac:dyDescent="0.15">
      <c r="A9" s="182" t="s">
        <v>198</v>
      </c>
      <c r="B9" s="103">
        <v>1</v>
      </c>
      <c r="C9" s="103">
        <v>1</v>
      </c>
      <c r="D9" s="103">
        <v>1</v>
      </c>
      <c r="E9" s="103">
        <v>1</v>
      </c>
      <c r="F9" s="103">
        <v>1</v>
      </c>
      <c r="G9" s="103">
        <v>0</v>
      </c>
      <c r="H9" s="103">
        <v>1</v>
      </c>
      <c r="I9" s="103">
        <v>0</v>
      </c>
      <c r="J9" s="103">
        <v>0</v>
      </c>
      <c r="K9" s="103">
        <v>0</v>
      </c>
      <c r="L9" s="103">
        <v>0</v>
      </c>
      <c r="M9" s="103">
        <v>0</v>
      </c>
      <c r="N9" s="103">
        <v>0</v>
      </c>
      <c r="O9" s="103">
        <v>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</row>
    <row r="10" spans="1:31" customFormat="1" x14ac:dyDescent="0.15">
      <c r="A10" s="182" t="s">
        <v>199</v>
      </c>
      <c r="B10" s="103">
        <v>1</v>
      </c>
      <c r="C10" s="103">
        <v>1</v>
      </c>
      <c r="D10" s="103">
        <v>1</v>
      </c>
      <c r="E10" s="103">
        <v>0</v>
      </c>
      <c r="F10" s="103">
        <v>0</v>
      </c>
      <c r="G10" s="103">
        <v>0</v>
      </c>
      <c r="H10" s="103">
        <v>1</v>
      </c>
      <c r="I10" s="103">
        <v>0</v>
      </c>
      <c r="J10" s="103">
        <v>0</v>
      </c>
      <c r="K10" s="103">
        <v>1</v>
      </c>
      <c r="L10" s="103">
        <v>0</v>
      </c>
      <c r="M10" s="103">
        <v>0</v>
      </c>
      <c r="N10" s="103">
        <v>0</v>
      </c>
      <c r="O10" s="103">
        <v>0</v>
      </c>
      <c r="P10" s="103">
        <v>0</v>
      </c>
      <c r="Q10" s="103">
        <v>1</v>
      </c>
      <c r="R10" s="103">
        <v>0</v>
      </c>
      <c r="S10" s="103">
        <v>0</v>
      </c>
      <c r="T10" s="103">
        <v>0</v>
      </c>
      <c r="U10" s="103">
        <v>0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</row>
    <row r="11" spans="1:31" customFormat="1" x14ac:dyDescent="0.15">
      <c r="A11" s="182" t="s">
        <v>200</v>
      </c>
      <c r="B11" s="103">
        <v>1</v>
      </c>
      <c r="C11" s="103">
        <v>0</v>
      </c>
      <c r="D11" s="103">
        <v>1</v>
      </c>
      <c r="E11" s="103">
        <v>0</v>
      </c>
      <c r="F11" s="103">
        <v>0</v>
      </c>
      <c r="G11" s="103">
        <v>0</v>
      </c>
      <c r="H11" s="103">
        <v>0</v>
      </c>
      <c r="I11" s="103">
        <v>0</v>
      </c>
      <c r="J11" s="103">
        <v>0</v>
      </c>
      <c r="K11" s="103">
        <v>0</v>
      </c>
      <c r="L11" s="103">
        <v>1</v>
      </c>
      <c r="M11" s="103">
        <v>0</v>
      </c>
      <c r="N11" s="103">
        <v>0</v>
      </c>
      <c r="O11" s="103">
        <v>0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</row>
    <row r="12" spans="1:31" customFormat="1" x14ac:dyDescent="0.15">
      <c r="A12" s="182" t="s">
        <v>201</v>
      </c>
      <c r="B12" s="103">
        <v>1</v>
      </c>
      <c r="C12" s="103">
        <v>1</v>
      </c>
      <c r="D12" s="103">
        <v>0</v>
      </c>
      <c r="E12" s="103">
        <v>1</v>
      </c>
      <c r="F12" s="103">
        <v>1</v>
      </c>
      <c r="G12" s="103">
        <v>0</v>
      </c>
      <c r="H12" s="103">
        <v>1</v>
      </c>
      <c r="I12" s="103">
        <v>0</v>
      </c>
      <c r="J12" s="103">
        <v>0</v>
      </c>
      <c r="K12" s="103">
        <v>0</v>
      </c>
      <c r="L12" s="103">
        <v>0</v>
      </c>
      <c r="M12" s="103">
        <v>0</v>
      </c>
      <c r="N12" s="103">
        <v>0</v>
      </c>
      <c r="O12" s="103">
        <v>0</v>
      </c>
      <c r="P12" s="103">
        <v>0</v>
      </c>
      <c r="Q12" s="103">
        <v>0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</row>
    <row r="13" spans="1:31" customFormat="1" x14ac:dyDescent="0.15">
      <c r="A13" s="182" t="s">
        <v>202</v>
      </c>
      <c r="B13" s="103">
        <v>1</v>
      </c>
      <c r="C13" s="103">
        <v>0</v>
      </c>
      <c r="D13" s="103">
        <v>1</v>
      </c>
      <c r="E13" s="103">
        <v>1</v>
      </c>
      <c r="F13" s="103">
        <v>0</v>
      </c>
      <c r="G13" s="103">
        <v>0</v>
      </c>
      <c r="H13" s="103">
        <v>1</v>
      </c>
      <c r="I13" s="103">
        <v>0</v>
      </c>
      <c r="J13" s="103">
        <v>1</v>
      </c>
      <c r="K13" s="103">
        <v>0</v>
      </c>
      <c r="L13" s="103">
        <v>0</v>
      </c>
      <c r="M13" s="103">
        <v>0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</row>
    <row r="14" spans="1:31" customFormat="1" x14ac:dyDescent="0.15">
      <c r="A14" s="182" t="s">
        <v>203</v>
      </c>
      <c r="B14" s="103">
        <v>0</v>
      </c>
      <c r="C14" s="103">
        <v>1</v>
      </c>
      <c r="D14" s="103">
        <v>1</v>
      </c>
      <c r="E14" s="103">
        <v>1</v>
      </c>
      <c r="F14" s="103">
        <v>0</v>
      </c>
      <c r="G14" s="103">
        <v>1</v>
      </c>
      <c r="H14" s="103">
        <v>1</v>
      </c>
      <c r="I14" s="103">
        <v>0</v>
      </c>
      <c r="J14" s="103">
        <v>1</v>
      </c>
      <c r="K14" s="103">
        <v>0</v>
      </c>
      <c r="L14" s="103">
        <v>0</v>
      </c>
      <c r="M14" s="103">
        <v>0</v>
      </c>
      <c r="N14" s="103">
        <v>0</v>
      </c>
      <c r="O14" s="103">
        <v>0</v>
      </c>
      <c r="P14" s="103">
        <v>0</v>
      </c>
      <c r="Q14" s="103">
        <v>0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</row>
    <row r="15" spans="1:31" customFormat="1" x14ac:dyDescent="0.15">
      <c r="A15" s="182" t="s">
        <v>204</v>
      </c>
      <c r="B15" s="103">
        <v>1</v>
      </c>
      <c r="C15" s="103">
        <v>1</v>
      </c>
      <c r="D15" s="103">
        <v>1</v>
      </c>
      <c r="E15" s="103">
        <v>1</v>
      </c>
      <c r="F15" s="103">
        <v>1</v>
      </c>
      <c r="G15" s="103">
        <v>1</v>
      </c>
      <c r="H15" s="103">
        <v>1</v>
      </c>
      <c r="I15" s="103">
        <v>1</v>
      </c>
      <c r="J15" s="103">
        <v>1</v>
      </c>
      <c r="K15" s="103">
        <v>0</v>
      </c>
      <c r="L15" s="103">
        <v>0</v>
      </c>
      <c r="M15" s="103">
        <v>0</v>
      </c>
      <c r="N15" s="103">
        <v>1</v>
      </c>
      <c r="O15" s="103">
        <v>0</v>
      </c>
      <c r="P15" s="103">
        <v>1</v>
      </c>
      <c r="Q15" s="103">
        <v>0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</row>
    <row r="16" spans="1:31" customFormat="1" x14ac:dyDescent="0.15">
      <c r="A16" s="182" t="s">
        <v>205</v>
      </c>
      <c r="B16" s="103">
        <v>1</v>
      </c>
      <c r="C16" s="103">
        <v>1</v>
      </c>
      <c r="D16" s="103">
        <v>1</v>
      </c>
      <c r="E16" s="103">
        <v>1</v>
      </c>
      <c r="F16" s="103">
        <v>1</v>
      </c>
      <c r="G16" s="103">
        <v>0</v>
      </c>
      <c r="H16" s="103">
        <v>1</v>
      </c>
      <c r="I16" s="103">
        <v>0</v>
      </c>
      <c r="J16" s="103">
        <v>1</v>
      </c>
      <c r="K16" s="103">
        <v>0</v>
      </c>
      <c r="L16" s="103">
        <v>0</v>
      </c>
      <c r="M16" s="103">
        <v>0</v>
      </c>
      <c r="N16" s="103">
        <v>0</v>
      </c>
      <c r="O16" s="103">
        <v>0</v>
      </c>
      <c r="P16" s="103">
        <v>0</v>
      </c>
      <c r="Q16" s="103">
        <v>1</v>
      </c>
      <c r="R16" s="103">
        <v>0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</row>
    <row r="17" spans="1:27" customFormat="1" x14ac:dyDescent="0.15">
      <c r="A17" s="182" t="s">
        <v>206</v>
      </c>
      <c r="B17" s="103">
        <v>0</v>
      </c>
      <c r="C17" s="103">
        <v>1</v>
      </c>
      <c r="D17" s="103">
        <v>0</v>
      </c>
      <c r="E17" s="103">
        <v>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0</v>
      </c>
      <c r="L17" s="103">
        <v>0</v>
      </c>
      <c r="M17" s="103">
        <v>0</v>
      </c>
      <c r="N17" s="103">
        <v>0</v>
      </c>
      <c r="O17" s="103">
        <v>0</v>
      </c>
      <c r="P17" s="103">
        <v>0</v>
      </c>
      <c r="Q17" s="103">
        <v>0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</row>
    <row r="18" spans="1:27" customFormat="1" x14ac:dyDescent="0.15">
      <c r="A18" s="182" t="s">
        <v>207</v>
      </c>
      <c r="B18" s="103">
        <v>0</v>
      </c>
      <c r="C18" s="103">
        <v>1</v>
      </c>
      <c r="D18" s="103">
        <v>0</v>
      </c>
      <c r="E18" s="103">
        <v>1</v>
      </c>
      <c r="F18" s="103">
        <v>0</v>
      </c>
      <c r="G18" s="103">
        <v>0</v>
      </c>
      <c r="H18" s="103">
        <v>1</v>
      </c>
      <c r="I18" s="103">
        <v>0</v>
      </c>
      <c r="J18" s="103">
        <v>1</v>
      </c>
      <c r="K18" s="103">
        <v>1</v>
      </c>
      <c r="L18" s="103">
        <v>0</v>
      </c>
      <c r="M18" s="103">
        <v>0</v>
      </c>
      <c r="N18" s="103">
        <v>0</v>
      </c>
      <c r="O18" s="103">
        <v>0</v>
      </c>
      <c r="P18" s="103">
        <v>1</v>
      </c>
      <c r="Q18" s="103">
        <v>1</v>
      </c>
      <c r="R18" s="103">
        <v>0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</row>
    <row r="19" spans="1:27" customFormat="1" x14ac:dyDescent="0.15">
      <c r="A19" s="182" t="s">
        <v>208</v>
      </c>
      <c r="B19" s="103">
        <v>1</v>
      </c>
      <c r="C19" s="103">
        <v>1</v>
      </c>
      <c r="D19" s="103">
        <v>1</v>
      </c>
      <c r="E19" s="103">
        <v>1</v>
      </c>
      <c r="F19" s="103">
        <v>1</v>
      </c>
      <c r="G19" s="103">
        <v>1</v>
      </c>
      <c r="H19" s="103">
        <v>1</v>
      </c>
      <c r="I19" s="103">
        <v>1</v>
      </c>
      <c r="J19" s="103">
        <v>1</v>
      </c>
      <c r="K19" s="103">
        <v>1</v>
      </c>
      <c r="L19" s="103">
        <v>0</v>
      </c>
      <c r="M19" s="103">
        <v>0</v>
      </c>
      <c r="N19" s="103">
        <v>0</v>
      </c>
      <c r="O19" s="103">
        <v>0</v>
      </c>
      <c r="P19" s="103">
        <v>1</v>
      </c>
      <c r="Q19" s="103">
        <v>0</v>
      </c>
      <c r="R19" s="103">
        <v>0</v>
      </c>
      <c r="S19" s="103">
        <v>0</v>
      </c>
      <c r="T19" s="103">
        <v>0</v>
      </c>
      <c r="U19" s="103">
        <v>0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</row>
    <row r="20" spans="1:27" customFormat="1" x14ac:dyDescent="0.15">
      <c r="A20" s="182" t="s">
        <v>209</v>
      </c>
      <c r="B20" s="103">
        <v>1</v>
      </c>
      <c r="C20" s="103">
        <v>1</v>
      </c>
      <c r="D20" s="103">
        <v>1</v>
      </c>
      <c r="E20" s="103">
        <v>1</v>
      </c>
      <c r="F20" s="103">
        <v>1</v>
      </c>
      <c r="G20" s="103">
        <v>1</v>
      </c>
      <c r="H20" s="103">
        <v>1</v>
      </c>
      <c r="I20" s="103">
        <v>1</v>
      </c>
      <c r="J20" s="103">
        <v>1</v>
      </c>
      <c r="K20" s="103">
        <v>1</v>
      </c>
      <c r="L20" s="103">
        <v>1</v>
      </c>
      <c r="M20" s="103">
        <v>1</v>
      </c>
      <c r="N20" s="103">
        <v>1</v>
      </c>
      <c r="O20" s="103">
        <v>1</v>
      </c>
      <c r="P20" s="103">
        <v>1</v>
      </c>
      <c r="Q20" s="103">
        <v>1</v>
      </c>
      <c r="R20" s="103">
        <v>1</v>
      </c>
      <c r="S20" s="103">
        <v>1</v>
      </c>
      <c r="T20" s="103">
        <v>1</v>
      </c>
      <c r="U20" s="103">
        <v>0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</row>
    <row r="21" spans="1:27" customFormat="1" x14ac:dyDescent="0.15">
      <c r="A21" s="182" t="s">
        <v>210</v>
      </c>
      <c r="B21" s="103">
        <v>1</v>
      </c>
      <c r="C21" s="103">
        <v>1</v>
      </c>
      <c r="D21" s="103">
        <v>1</v>
      </c>
      <c r="E21" s="103">
        <v>1</v>
      </c>
      <c r="F21" s="103">
        <v>1</v>
      </c>
      <c r="G21" s="103">
        <v>1</v>
      </c>
      <c r="H21" s="103">
        <v>1</v>
      </c>
      <c r="I21" s="103">
        <v>1</v>
      </c>
      <c r="J21" s="103">
        <v>1</v>
      </c>
      <c r="K21" s="103">
        <v>1</v>
      </c>
      <c r="L21" s="103">
        <v>1</v>
      </c>
      <c r="M21" s="103">
        <v>1</v>
      </c>
      <c r="N21" s="103">
        <v>1</v>
      </c>
      <c r="O21" s="103">
        <v>0</v>
      </c>
      <c r="P21" s="103">
        <v>1</v>
      </c>
      <c r="Q21" s="103">
        <v>1</v>
      </c>
      <c r="R21" s="103">
        <v>1</v>
      </c>
      <c r="S21" s="103">
        <v>1</v>
      </c>
      <c r="T21" s="103">
        <v>1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</row>
    <row r="22" spans="1:27" customFormat="1" x14ac:dyDescent="0.15">
      <c r="A22" s="182" t="s">
        <v>211</v>
      </c>
      <c r="B22" s="103">
        <v>1</v>
      </c>
      <c r="C22" s="103">
        <v>0</v>
      </c>
      <c r="D22" s="103">
        <v>1</v>
      </c>
      <c r="E22" s="103">
        <v>0</v>
      </c>
      <c r="F22" s="103">
        <v>1</v>
      </c>
      <c r="G22" s="103">
        <v>1</v>
      </c>
      <c r="H22" s="103">
        <v>0</v>
      </c>
      <c r="I22" s="103">
        <v>1</v>
      </c>
      <c r="J22" s="103">
        <v>0</v>
      </c>
      <c r="K22" s="103">
        <v>0</v>
      </c>
      <c r="L22" s="103">
        <v>1</v>
      </c>
      <c r="M22" s="103">
        <v>1</v>
      </c>
      <c r="N22" s="103">
        <v>1</v>
      </c>
      <c r="O22" s="103">
        <v>1</v>
      </c>
      <c r="P22" s="103">
        <v>1</v>
      </c>
      <c r="Q22" s="103">
        <v>0</v>
      </c>
      <c r="R22" s="103">
        <v>0</v>
      </c>
      <c r="S22" s="103">
        <v>1</v>
      </c>
      <c r="T22" s="103">
        <v>1</v>
      </c>
      <c r="U22" s="103">
        <v>1</v>
      </c>
      <c r="V22" s="103">
        <v>1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</row>
    <row r="23" spans="1:27" customFormat="1" x14ac:dyDescent="0.15">
      <c r="A23" s="182" t="s">
        <v>212</v>
      </c>
      <c r="B23" s="103">
        <v>0</v>
      </c>
      <c r="C23" s="103">
        <v>0</v>
      </c>
      <c r="D23" s="103">
        <v>0</v>
      </c>
      <c r="E23" s="103">
        <v>0</v>
      </c>
      <c r="F23" s="103">
        <v>1</v>
      </c>
      <c r="G23" s="103">
        <v>0</v>
      </c>
      <c r="H23" s="103">
        <v>1</v>
      </c>
      <c r="I23" s="103">
        <v>1</v>
      </c>
      <c r="J23" s="103">
        <v>1</v>
      </c>
      <c r="K23" s="103">
        <v>1</v>
      </c>
      <c r="L23" s="103">
        <v>1</v>
      </c>
      <c r="M23" s="103">
        <v>1</v>
      </c>
      <c r="N23" s="103">
        <v>1</v>
      </c>
      <c r="O23" s="103">
        <v>0</v>
      </c>
      <c r="P23" s="103">
        <v>1</v>
      </c>
      <c r="Q23" s="103">
        <v>0</v>
      </c>
      <c r="R23" s="103">
        <v>1</v>
      </c>
      <c r="S23" s="103">
        <v>1</v>
      </c>
      <c r="T23" s="103">
        <v>1</v>
      </c>
      <c r="U23" s="103">
        <v>1</v>
      </c>
      <c r="V23" s="103">
        <v>0</v>
      </c>
      <c r="W23" s="103">
        <v>0</v>
      </c>
      <c r="X23" s="103">
        <v>0</v>
      </c>
      <c r="Y23" s="103">
        <v>0</v>
      </c>
      <c r="Z23" s="103">
        <v>0</v>
      </c>
      <c r="AA23" s="103">
        <v>0</v>
      </c>
    </row>
    <row r="24" spans="1:27" customFormat="1" x14ac:dyDescent="0.15">
      <c r="A24" s="182" t="s">
        <v>213</v>
      </c>
      <c r="B24" s="103">
        <v>0</v>
      </c>
      <c r="C24" s="103">
        <v>0</v>
      </c>
      <c r="D24" s="103">
        <v>0</v>
      </c>
      <c r="E24" s="103">
        <v>0</v>
      </c>
      <c r="F24" s="103">
        <v>0</v>
      </c>
      <c r="G24" s="103">
        <v>0</v>
      </c>
      <c r="H24" s="103">
        <v>0</v>
      </c>
      <c r="I24" s="103">
        <v>0</v>
      </c>
      <c r="J24" s="103">
        <v>0</v>
      </c>
      <c r="K24" s="103">
        <v>0</v>
      </c>
      <c r="L24" s="103">
        <v>0</v>
      </c>
      <c r="M24" s="103">
        <v>0</v>
      </c>
      <c r="N24" s="103">
        <v>0</v>
      </c>
      <c r="O24" s="103">
        <v>0</v>
      </c>
      <c r="P24" s="103">
        <v>0</v>
      </c>
      <c r="Q24" s="103">
        <v>0</v>
      </c>
      <c r="R24" s="103">
        <v>0</v>
      </c>
      <c r="S24" s="103">
        <v>0</v>
      </c>
      <c r="T24" s="103">
        <v>0</v>
      </c>
      <c r="U24" s="103">
        <v>0</v>
      </c>
      <c r="V24" s="103">
        <v>1</v>
      </c>
      <c r="W24" s="103">
        <v>0</v>
      </c>
      <c r="X24" s="103">
        <v>0</v>
      </c>
      <c r="Y24" s="103">
        <v>0</v>
      </c>
      <c r="Z24" s="103">
        <v>0</v>
      </c>
      <c r="AA24" s="103">
        <v>0</v>
      </c>
    </row>
    <row r="25" spans="1:27" customFormat="1" x14ac:dyDescent="0.15">
      <c r="A25" s="182" t="s">
        <v>214</v>
      </c>
      <c r="B25" s="103">
        <v>0</v>
      </c>
      <c r="C25" s="103">
        <v>0</v>
      </c>
      <c r="D25" s="103">
        <v>0</v>
      </c>
      <c r="E25" s="103">
        <v>0</v>
      </c>
      <c r="F25" s="103">
        <v>0</v>
      </c>
      <c r="G25" s="103">
        <v>0</v>
      </c>
      <c r="H25" s="103">
        <v>0</v>
      </c>
      <c r="I25" s="103">
        <v>0</v>
      </c>
      <c r="J25" s="103">
        <v>0</v>
      </c>
      <c r="K25" s="103">
        <v>0</v>
      </c>
      <c r="L25" s="103">
        <v>0</v>
      </c>
      <c r="M25" s="103">
        <v>0</v>
      </c>
      <c r="N25" s="103">
        <v>0</v>
      </c>
      <c r="O25" s="103">
        <v>0</v>
      </c>
      <c r="P25" s="103">
        <v>0</v>
      </c>
      <c r="Q25" s="103">
        <v>1</v>
      </c>
      <c r="R25" s="103">
        <v>0</v>
      </c>
      <c r="S25" s="103">
        <v>0</v>
      </c>
      <c r="T25" s="103">
        <v>0</v>
      </c>
      <c r="U25" s="103">
        <v>0</v>
      </c>
      <c r="V25" s="103">
        <v>0</v>
      </c>
      <c r="W25" s="103">
        <v>0</v>
      </c>
      <c r="X25" s="103">
        <v>0</v>
      </c>
      <c r="Y25" s="103">
        <v>0</v>
      </c>
      <c r="Z25" s="103">
        <v>0</v>
      </c>
      <c r="AA25" s="103">
        <v>0</v>
      </c>
    </row>
    <row r="26" spans="1:27" customFormat="1" x14ac:dyDescent="0.15">
      <c r="A26" s="182" t="s">
        <v>215</v>
      </c>
      <c r="B26" s="103">
        <v>0</v>
      </c>
      <c r="C26" s="103">
        <v>0</v>
      </c>
      <c r="D26" s="103">
        <v>0</v>
      </c>
      <c r="E26" s="103">
        <v>0</v>
      </c>
      <c r="F26" s="103">
        <v>0</v>
      </c>
      <c r="G26" s="103">
        <v>0</v>
      </c>
      <c r="H26" s="103">
        <v>0</v>
      </c>
      <c r="I26" s="103">
        <v>0</v>
      </c>
      <c r="J26" s="103">
        <v>0</v>
      </c>
      <c r="K26" s="103">
        <v>0</v>
      </c>
      <c r="L26" s="103">
        <v>0</v>
      </c>
      <c r="M26" s="103">
        <v>1</v>
      </c>
      <c r="N26" s="103">
        <v>0</v>
      </c>
      <c r="O26" s="103">
        <v>0</v>
      </c>
      <c r="P26" s="103">
        <v>1</v>
      </c>
      <c r="Q26" s="103">
        <v>0</v>
      </c>
      <c r="R26" s="103">
        <v>1</v>
      </c>
      <c r="S26" s="103">
        <v>1</v>
      </c>
      <c r="T26" s="103">
        <v>1</v>
      </c>
      <c r="U26" s="103">
        <v>1</v>
      </c>
      <c r="V26" s="103">
        <v>1</v>
      </c>
      <c r="W26" s="103">
        <v>1</v>
      </c>
      <c r="X26" s="103">
        <v>0</v>
      </c>
      <c r="Y26" s="103">
        <v>0</v>
      </c>
      <c r="Z26" s="103">
        <v>0</v>
      </c>
      <c r="AA26" s="103">
        <v>0</v>
      </c>
    </row>
    <row r="27" spans="1:27" customFormat="1" x14ac:dyDescent="0.15">
      <c r="A27" s="182" t="s">
        <v>216</v>
      </c>
      <c r="B27" s="103">
        <v>0</v>
      </c>
      <c r="C27" s="103">
        <v>0</v>
      </c>
      <c r="D27" s="103">
        <v>0</v>
      </c>
      <c r="E27" s="103">
        <v>0</v>
      </c>
      <c r="F27" s="103">
        <v>0</v>
      </c>
      <c r="G27" s="103">
        <v>0</v>
      </c>
      <c r="H27" s="103">
        <v>0</v>
      </c>
      <c r="I27" s="103">
        <v>0</v>
      </c>
      <c r="J27" s="103">
        <v>0</v>
      </c>
      <c r="K27" s="103">
        <v>0</v>
      </c>
      <c r="L27" s="103">
        <v>0</v>
      </c>
      <c r="M27" s="103">
        <v>0</v>
      </c>
      <c r="N27" s="103">
        <v>0</v>
      </c>
      <c r="O27" s="103">
        <v>0</v>
      </c>
      <c r="P27" s="103">
        <v>0</v>
      </c>
      <c r="Q27" s="103">
        <v>0</v>
      </c>
      <c r="R27" s="103">
        <v>0</v>
      </c>
      <c r="S27" s="103">
        <v>0</v>
      </c>
      <c r="T27" s="103">
        <v>0</v>
      </c>
      <c r="U27" s="103">
        <v>0</v>
      </c>
      <c r="V27" s="103">
        <v>0</v>
      </c>
      <c r="W27" s="103">
        <v>0</v>
      </c>
      <c r="X27" s="103">
        <v>0</v>
      </c>
      <c r="Y27" s="103">
        <v>0</v>
      </c>
      <c r="Z27" s="103">
        <v>0</v>
      </c>
      <c r="AA27" s="103">
        <v>0</v>
      </c>
    </row>
    <row r="28" spans="1:27" customFormat="1" x14ac:dyDescent="0.15">
      <c r="A28" s="182" t="s">
        <v>222</v>
      </c>
      <c r="B28" s="103">
        <v>0</v>
      </c>
      <c r="C28" s="103">
        <v>0</v>
      </c>
      <c r="D28" s="103">
        <v>0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103">
        <v>0</v>
      </c>
      <c r="O28" s="103">
        <v>0</v>
      </c>
      <c r="P28" s="103">
        <v>0</v>
      </c>
      <c r="Q28" s="103">
        <v>0</v>
      </c>
      <c r="R28" s="103">
        <v>0</v>
      </c>
      <c r="S28" s="103">
        <v>0</v>
      </c>
      <c r="T28" s="103">
        <v>0</v>
      </c>
      <c r="U28" s="103">
        <v>0</v>
      </c>
      <c r="V28" s="103">
        <v>0</v>
      </c>
      <c r="W28" s="103">
        <v>0</v>
      </c>
      <c r="X28" s="103">
        <v>0</v>
      </c>
      <c r="Y28" s="103">
        <v>0</v>
      </c>
      <c r="Z28" s="103">
        <v>0</v>
      </c>
      <c r="AA28" s="103">
        <v>0</v>
      </c>
    </row>
    <row r="29" spans="1:27" customFormat="1" x14ac:dyDescent="0.15"/>
    <row r="30" spans="1:27" customFormat="1" x14ac:dyDescent="0.15"/>
    <row r="31" spans="1:2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G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5" bestFit="1" customWidth="1"/>
    <col min="3" max="4" width="3.83203125" bestFit="1" customWidth="1"/>
    <col min="5" max="7" width="3.83203125" customWidth="1"/>
  </cols>
  <sheetData>
    <row r="1" spans="1:7" ht="112" x14ac:dyDescent="0.15">
      <c r="A1" s="5" t="s">
        <v>83</v>
      </c>
      <c r="B1" s="3" t="s">
        <v>0</v>
      </c>
      <c r="C1" s="185" t="s">
        <v>217</v>
      </c>
      <c r="D1" s="185" t="s">
        <v>218</v>
      </c>
      <c r="E1" s="185" t="s">
        <v>219</v>
      </c>
      <c r="F1" s="185" t="s">
        <v>220</v>
      </c>
      <c r="G1" s="185" t="s">
        <v>221</v>
      </c>
    </row>
    <row r="2" spans="1:7" x14ac:dyDescent="0.15">
      <c r="A2">
        <v>1</v>
      </c>
      <c r="B2" s="184" t="s">
        <v>191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>
        <v>2</v>
      </c>
      <c r="B3" s="184" t="s">
        <v>192</v>
      </c>
      <c r="C3">
        <v>0</v>
      </c>
      <c r="D3">
        <v>0</v>
      </c>
      <c r="E3">
        <v>0.8</v>
      </c>
      <c r="F3">
        <v>0</v>
      </c>
      <c r="G3">
        <v>0</v>
      </c>
    </row>
    <row r="4" spans="1:7" x14ac:dyDescent="0.15">
      <c r="A4">
        <v>3</v>
      </c>
      <c r="B4" s="184" t="s">
        <v>193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84" t="s">
        <v>194</v>
      </c>
      <c r="C5">
        <v>0</v>
      </c>
      <c r="D5">
        <v>0.8</v>
      </c>
      <c r="E5">
        <v>0</v>
      </c>
      <c r="F5">
        <v>0</v>
      </c>
      <c r="G5">
        <v>0</v>
      </c>
    </row>
    <row r="6" spans="1:7" x14ac:dyDescent="0.15">
      <c r="A6">
        <v>5</v>
      </c>
      <c r="B6" s="184" t="s">
        <v>195</v>
      </c>
      <c r="C6">
        <v>0</v>
      </c>
      <c r="D6">
        <v>0</v>
      </c>
      <c r="E6">
        <v>0.8</v>
      </c>
      <c r="F6">
        <v>0</v>
      </c>
      <c r="G6">
        <v>0</v>
      </c>
    </row>
    <row r="7" spans="1:7" x14ac:dyDescent="0.15">
      <c r="A7">
        <v>6</v>
      </c>
      <c r="B7" s="184" t="s">
        <v>196</v>
      </c>
      <c r="C7">
        <v>0.8</v>
      </c>
      <c r="D7">
        <v>0</v>
      </c>
      <c r="E7">
        <v>0</v>
      </c>
      <c r="F7">
        <v>0</v>
      </c>
      <c r="G7">
        <v>0</v>
      </c>
    </row>
    <row r="8" spans="1:7" x14ac:dyDescent="0.15">
      <c r="A8">
        <v>7</v>
      </c>
      <c r="B8" s="184" t="s">
        <v>197</v>
      </c>
      <c r="C8">
        <v>0</v>
      </c>
      <c r="D8">
        <v>0.8</v>
      </c>
      <c r="E8">
        <v>0</v>
      </c>
      <c r="F8">
        <v>0</v>
      </c>
      <c r="G8">
        <v>0</v>
      </c>
    </row>
    <row r="9" spans="1:7" x14ac:dyDescent="0.15">
      <c r="A9">
        <v>8</v>
      </c>
      <c r="B9" s="184" t="s">
        <v>198</v>
      </c>
      <c r="C9">
        <v>0</v>
      </c>
      <c r="D9">
        <v>0</v>
      </c>
      <c r="E9">
        <v>0.8</v>
      </c>
      <c r="F9">
        <v>0</v>
      </c>
      <c r="G9">
        <v>0</v>
      </c>
    </row>
    <row r="10" spans="1:7" x14ac:dyDescent="0.15">
      <c r="A10">
        <v>9</v>
      </c>
      <c r="B10" s="184" t="s">
        <v>199</v>
      </c>
      <c r="C10">
        <v>0</v>
      </c>
      <c r="D10">
        <v>0</v>
      </c>
      <c r="E10">
        <v>0</v>
      </c>
      <c r="F10">
        <v>0.8</v>
      </c>
      <c r="G10">
        <v>0</v>
      </c>
    </row>
    <row r="11" spans="1:7" x14ac:dyDescent="0.15">
      <c r="A11">
        <v>10</v>
      </c>
      <c r="B11" s="184" t="s">
        <v>200</v>
      </c>
      <c r="C11">
        <v>0</v>
      </c>
      <c r="D11">
        <v>0</v>
      </c>
      <c r="E11">
        <v>0</v>
      </c>
      <c r="F11">
        <v>0</v>
      </c>
      <c r="G11">
        <v>0.8</v>
      </c>
    </row>
    <row r="12" spans="1:7" x14ac:dyDescent="0.15">
      <c r="A12">
        <v>11</v>
      </c>
      <c r="B12" s="184" t="s">
        <v>201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15">
      <c r="A13">
        <v>12</v>
      </c>
      <c r="B13" s="184" t="s">
        <v>202</v>
      </c>
      <c r="C13">
        <v>0</v>
      </c>
      <c r="D13">
        <v>0</v>
      </c>
      <c r="E13">
        <v>0</v>
      </c>
      <c r="F13">
        <v>0.8</v>
      </c>
      <c r="G13">
        <v>0</v>
      </c>
    </row>
    <row r="14" spans="1:7" x14ac:dyDescent="0.15">
      <c r="A14">
        <v>13</v>
      </c>
      <c r="B14" s="184" t="s">
        <v>203</v>
      </c>
      <c r="C14">
        <v>0</v>
      </c>
      <c r="D14">
        <v>0</v>
      </c>
      <c r="E14">
        <v>0</v>
      </c>
      <c r="F14">
        <v>0.8</v>
      </c>
      <c r="G14">
        <v>0</v>
      </c>
    </row>
    <row r="15" spans="1:7" x14ac:dyDescent="0.15">
      <c r="A15">
        <v>14</v>
      </c>
      <c r="B15" s="184" t="s">
        <v>204</v>
      </c>
      <c r="C15">
        <v>0</v>
      </c>
      <c r="D15">
        <v>0</v>
      </c>
      <c r="E15">
        <v>0</v>
      </c>
      <c r="F15">
        <v>0.8</v>
      </c>
      <c r="G15">
        <v>0</v>
      </c>
    </row>
    <row r="16" spans="1:7" x14ac:dyDescent="0.15">
      <c r="A16">
        <v>15</v>
      </c>
      <c r="B16" s="184" t="s">
        <v>205</v>
      </c>
      <c r="C16">
        <v>0</v>
      </c>
      <c r="D16">
        <v>0</v>
      </c>
      <c r="E16">
        <v>0</v>
      </c>
      <c r="F16">
        <v>0.8</v>
      </c>
      <c r="G16">
        <v>0</v>
      </c>
    </row>
    <row r="17" spans="1:7" x14ac:dyDescent="0.15">
      <c r="A17">
        <v>16</v>
      </c>
      <c r="B17" s="184" t="s">
        <v>206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15">
      <c r="A18">
        <v>17</v>
      </c>
      <c r="B18" s="184" t="s">
        <v>207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84" t="s">
        <v>208</v>
      </c>
      <c r="C19">
        <v>0</v>
      </c>
      <c r="D19">
        <v>0</v>
      </c>
      <c r="E19">
        <v>0</v>
      </c>
      <c r="F19">
        <v>0.8</v>
      </c>
      <c r="G19">
        <v>0</v>
      </c>
    </row>
    <row r="20" spans="1:7" x14ac:dyDescent="0.15">
      <c r="A20">
        <v>19</v>
      </c>
      <c r="B20" s="184" t="s">
        <v>209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15">
      <c r="A21">
        <v>20</v>
      </c>
      <c r="B21" s="184" t="s">
        <v>210</v>
      </c>
      <c r="C21">
        <v>0.8</v>
      </c>
      <c r="D21">
        <v>0</v>
      </c>
      <c r="E21">
        <v>0</v>
      </c>
      <c r="F21">
        <v>0</v>
      </c>
      <c r="G21">
        <v>0</v>
      </c>
    </row>
    <row r="22" spans="1:7" x14ac:dyDescent="0.15">
      <c r="A22">
        <v>21</v>
      </c>
      <c r="B22" s="184" t="s">
        <v>211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15">
      <c r="A23">
        <v>22</v>
      </c>
      <c r="B23" s="184" t="s">
        <v>212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15">
      <c r="A24">
        <v>23</v>
      </c>
      <c r="B24" s="184" t="s">
        <v>213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15">
      <c r="A25">
        <v>24</v>
      </c>
      <c r="B25" s="184" t="s">
        <v>214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15">
      <c r="A26">
        <v>25</v>
      </c>
      <c r="B26" s="184" t="s">
        <v>215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15">
      <c r="A27">
        <v>26</v>
      </c>
      <c r="B27" s="184" t="s">
        <v>216</v>
      </c>
      <c r="C27">
        <v>0</v>
      </c>
      <c r="D27">
        <v>0</v>
      </c>
      <c r="E27">
        <v>0</v>
      </c>
      <c r="F27">
        <v>0</v>
      </c>
      <c r="G27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G27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5" bestFit="1" customWidth="1"/>
    <col min="3" max="4" width="3.83203125" bestFit="1" customWidth="1"/>
    <col min="5" max="7" width="3.83203125" customWidth="1"/>
  </cols>
  <sheetData>
    <row r="1" spans="1:7" ht="112" x14ac:dyDescent="0.15">
      <c r="A1" s="5" t="s">
        <v>82</v>
      </c>
      <c r="B1" s="3" t="s">
        <v>0</v>
      </c>
      <c r="C1" s="187" t="s">
        <v>217</v>
      </c>
      <c r="D1" s="187" t="s">
        <v>218</v>
      </c>
      <c r="E1" s="187" t="s">
        <v>219</v>
      </c>
      <c r="F1" s="187" t="s">
        <v>220</v>
      </c>
      <c r="G1" s="187" t="s">
        <v>221</v>
      </c>
    </row>
    <row r="2" spans="1:7" x14ac:dyDescent="0.15">
      <c r="A2">
        <v>1</v>
      </c>
      <c r="B2" s="186" t="s">
        <v>191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>
        <v>2</v>
      </c>
      <c r="B3" s="186" t="s">
        <v>192</v>
      </c>
      <c r="C3">
        <v>0</v>
      </c>
      <c r="D3">
        <v>0</v>
      </c>
      <c r="E3">
        <v>0.8</v>
      </c>
      <c r="F3">
        <v>0</v>
      </c>
      <c r="G3">
        <v>0</v>
      </c>
    </row>
    <row r="4" spans="1:7" x14ac:dyDescent="0.15">
      <c r="A4">
        <v>3</v>
      </c>
      <c r="B4" s="186" t="s">
        <v>193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86" t="s">
        <v>194</v>
      </c>
      <c r="C5">
        <v>0</v>
      </c>
      <c r="D5">
        <v>0.8</v>
      </c>
      <c r="E5">
        <v>0</v>
      </c>
      <c r="F5">
        <v>0</v>
      </c>
      <c r="G5">
        <v>0</v>
      </c>
    </row>
    <row r="6" spans="1:7" x14ac:dyDescent="0.15">
      <c r="A6">
        <v>5</v>
      </c>
      <c r="B6" s="186" t="s">
        <v>195</v>
      </c>
      <c r="C6">
        <v>0</v>
      </c>
      <c r="D6">
        <v>0</v>
      </c>
      <c r="E6">
        <v>0.8</v>
      </c>
      <c r="F6">
        <v>0</v>
      </c>
      <c r="G6">
        <v>0</v>
      </c>
    </row>
    <row r="7" spans="1:7" x14ac:dyDescent="0.15">
      <c r="A7">
        <v>6</v>
      </c>
      <c r="B7" s="186" t="s">
        <v>196</v>
      </c>
      <c r="C7">
        <v>0.8</v>
      </c>
      <c r="D7">
        <v>0</v>
      </c>
      <c r="E7">
        <v>0</v>
      </c>
      <c r="F7">
        <v>0</v>
      </c>
      <c r="G7">
        <v>0</v>
      </c>
    </row>
    <row r="8" spans="1:7" x14ac:dyDescent="0.15">
      <c r="A8">
        <v>7</v>
      </c>
      <c r="B8" s="186" t="s">
        <v>197</v>
      </c>
      <c r="C8">
        <v>0</v>
      </c>
      <c r="D8">
        <v>0.8</v>
      </c>
      <c r="E8">
        <v>0</v>
      </c>
      <c r="F8">
        <v>0</v>
      </c>
      <c r="G8">
        <v>0</v>
      </c>
    </row>
    <row r="9" spans="1:7" x14ac:dyDescent="0.15">
      <c r="A9">
        <v>8</v>
      </c>
      <c r="B9" s="186" t="s">
        <v>198</v>
      </c>
      <c r="C9">
        <v>0</v>
      </c>
      <c r="D9">
        <v>0</v>
      </c>
      <c r="E9">
        <v>0.8</v>
      </c>
      <c r="F9">
        <v>0</v>
      </c>
      <c r="G9">
        <v>0</v>
      </c>
    </row>
    <row r="10" spans="1:7" x14ac:dyDescent="0.15">
      <c r="A10">
        <v>9</v>
      </c>
      <c r="B10" s="186" t="s">
        <v>199</v>
      </c>
      <c r="C10">
        <v>0</v>
      </c>
      <c r="D10">
        <v>0</v>
      </c>
      <c r="E10">
        <v>0</v>
      </c>
      <c r="F10">
        <v>0.8</v>
      </c>
      <c r="G10">
        <v>0</v>
      </c>
    </row>
    <row r="11" spans="1:7" x14ac:dyDescent="0.15">
      <c r="A11">
        <v>10</v>
      </c>
      <c r="B11" s="186" t="s">
        <v>200</v>
      </c>
      <c r="C11">
        <v>0</v>
      </c>
      <c r="D11">
        <v>0</v>
      </c>
      <c r="E11">
        <v>0</v>
      </c>
      <c r="F11">
        <v>0</v>
      </c>
      <c r="G11">
        <v>0.8</v>
      </c>
    </row>
    <row r="12" spans="1:7" x14ac:dyDescent="0.15">
      <c r="A12">
        <v>11</v>
      </c>
      <c r="B12" s="186" t="s">
        <v>201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15">
      <c r="A13">
        <v>12</v>
      </c>
      <c r="B13" s="186" t="s">
        <v>202</v>
      </c>
      <c r="C13">
        <v>0</v>
      </c>
      <c r="D13">
        <v>0</v>
      </c>
      <c r="E13">
        <v>0</v>
      </c>
      <c r="F13">
        <v>0.8</v>
      </c>
      <c r="G13">
        <v>0</v>
      </c>
    </row>
    <row r="14" spans="1:7" x14ac:dyDescent="0.15">
      <c r="A14">
        <v>13</v>
      </c>
      <c r="B14" s="186" t="s">
        <v>203</v>
      </c>
      <c r="C14">
        <v>0</v>
      </c>
      <c r="D14">
        <v>0</v>
      </c>
      <c r="E14">
        <v>0</v>
      </c>
      <c r="F14">
        <v>0.8</v>
      </c>
      <c r="G14">
        <v>0</v>
      </c>
    </row>
    <row r="15" spans="1:7" x14ac:dyDescent="0.15">
      <c r="A15">
        <v>14</v>
      </c>
      <c r="B15" s="186" t="s">
        <v>204</v>
      </c>
      <c r="C15">
        <v>0</v>
      </c>
      <c r="D15">
        <v>0</v>
      </c>
      <c r="E15">
        <v>0</v>
      </c>
      <c r="F15">
        <v>0.8</v>
      </c>
      <c r="G15">
        <v>0</v>
      </c>
    </row>
    <row r="16" spans="1:7" x14ac:dyDescent="0.15">
      <c r="A16">
        <v>15</v>
      </c>
      <c r="B16" s="186" t="s">
        <v>205</v>
      </c>
      <c r="C16">
        <v>0</v>
      </c>
      <c r="D16">
        <v>0</v>
      </c>
      <c r="E16">
        <v>0</v>
      </c>
      <c r="F16">
        <v>0.8</v>
      </c>
      <c r="G16">
        <v>0</v>
      </c>
    </row>
    <row r="17" spans="1:7" x14ac:dyDescent="0.15">
      <c r="A17">
        <v>16</v>
      </c>
      <c r="B17" s="186" t="s">
        <v>206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15">
      <c r="A18">
        <v>17</v>
      </c>
      <c r="B18" s="186" t="s">
        <v>207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86" t="s">
        <v>208</v>
      </c>
      <c r="C19">
        <v>0</v>
      </c>
      <c r="D19">
        <v>0</v>
      </c>
      <c r="E19">
        <v>0</v>
      </c>
      <c r="F19">
        <v>0.8</v>
      </c>
      <c r="G19">
        <v>0</v>
      </c>
    </row>
    <row r="20" spans="1:7" x14ac:dyDescent="0.15">
      <c r="A20">
        <v>19</v>
      </c>
      <c r="B20" s="186" t="s">
        <v>209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15">
      <c r="A21">
        <v>20</v>
      </c>
      <c r="B21" s="186" t="s">
        <v>210</v>
      </c>
      <c r="C21">
        <v>0.8</v>
      </c>
      <c r="D21">
        <v>0</v>
      </c>
      <c r="E21">
        <v>0</v>
      </c>
      <c r="F21">
        <v>0</v>
      </c>
      <c r="G21">
        <v>0</v>
      </c>
    </row>
    <row r="22" spans="1:7" x14ac:dyDescent="0.15">
      <c r="A22">
        <v>21</v>
      </c>
      <c r="B22" s="186" t="s">
        <v>211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15">
      <c r="A23">
        <v>22</v>
      </c>
      <c r="B23" s="186" t="s">
        <v>212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15">
      <c r="A24">
        <v>23</v>
      </c>
      <c r="B24" s="186" t="s">
        <v>213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15">
      <c r="A25">
        <v>24</v>
      </c>
      <c r="B25" s="186" t="s">
        <v>214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15">
      <c r="A26">
        <v>25</v>
      </c>
      <c r="B26" s="186" t="s">
        <v>215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15">
      <c r="A27">
        <v>26</v>
      </c>
      <c r="B27" s="186" t="s">
        <v>216</v>
      </c>
      <c r="C27">
        <v>0</v>
      </c>
      <c r="D27">
        <v>0</v>
      </c>
      <c r="E27">
        <v>0</v>
      </c>
      <c r="F27">
        <v>0</v>
      </c>
      <c r="G2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78"/>
    <col min="2" max="2" width="41.83203125" style="78" bestFit="1" customWidth="1"/>
    <col min="3" max="3" width="9.33203125" style="78" bestFit="1" customWidth="1"/>
    <col min="4" max="4" width="13" style="78" bestFit="1" customWidth="1"/>
    <col min="5" max="6" width="9.33203125" style="78" bestFit="1" customWidth="1"/>
    <col min="7" max="7" width="9.33203125" style="94" bestFit="1" customWidth="1"/>
    <col min="8" max="8" width="9.33203125" style="78" bestFit="1" customWidth="1"/>
    <col min="9" max="9" width="11" style="78" customWidth="1"/>
    <col min="10" max="10" width="8.83203125" style="78"/>
    <col min="15" max="16384" width="8.83203125" style="78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39">
        <v>1</v>
      </c>
      <c r="B2" s="139" t="s">
        <v>191</v>
      </c>
      <c r="C2" s="8">
        <v>4.3282470703125</v>
      </c>
      <c r="D2" s="9">
        <v>1.5594162046909332E-2</v>
      </c>
      <c r="E2" s="9">
        <v>0.10000000149011612</v>
      </c>
      <c r="F2" s="9">
        <v>33.5</v>
      </c>
      <c r="G2" s="9">
        <v>0.3999999463558197</v>
      </c>
      <c r="H2" s="9">
        <v>2.9850746504962444E-3</v>
      </c>
      <c r="I2">
        <v>0</v>
      </c>
      <c r="J2"/>
    </row>
    <row r="3" spans="1:10" ht="15" customHeight="1" x14ac:dyDescent="0.15">
      <c r="A3" s="140">
        <v>2</v>
      </c>
      <c r="B3" s="140" t="s">
        <v>192</v>
      </c>
      <c r="C3" s="8">
        <v>4.2192940711975098</v>
      </c>
      <c r="D3" s="9">
        <v>7.9999998211860657E-2</v>
      </c>
      <c r="E3" s="9">
        <v>0.93999999761581421</v>
      </c>
      <c r="F3" s="9">
        <v>7.8000001907348633</v>
      </c>
      <c r="G3" s="9">
        <v>0.69148939847946167</v>
      </c>
      <c r="H3" s="9">
        <v>0.12051282078027725</v>
      </c>
      <c r="I3">
        <v>5.2000001072883606E-2</v>
      </c>
      <c r="J3"/>
    </row>
    <row r="4" spans="1:10" ht="15" customHeight="1" x14ac:dyDescent="0.15">
      <c r="A4" s="141">
        <v>3</v>
      </c>
      <c r="B4" s="141" t="s">
        <v>193</v>
      </c>
      <c r="C4" s="8">
        <v>4.1891312599182129</v>
      </c>
      <c r="D4" s="9">
        <v>1.152857206761837E-3</v>
      </c>
      <c r="E4" s="9">
        <v>5.4000000953674316</v>
      </c>
      <c r="F4" s="9">
        <v>80</v>
      </c>
      <c r="G4" s="9">
        <v>9.9999986588954926E-2</v>
      </c>
      <c r="H4" s="9">
        <v>6.7500002682209015E-2</v>
      </c>
      <c r="I4">
        <v>0</v>
      </c>
      <c r="J4"/>
    </row>
    <row r="5" spans="1:10" ht="15" customHeight="1" x14ac:dyDescent="0.15">
      <c r="A5" s="142">
        <v>4</v>
      </c>
      <c r="B5" s="142" t="s">
        <v>194</v>
      </c>
      <c r="C5" s="8">
        <v>4.0465912818908691</v>
      </c>
      <c r="D5" s="9">
        <v>0.38999998569488525</v>
      </c>
      <c r="E5" s="9">
        <v>0.44999998807907104</v>
      </c>
      <c r="F5" s="9">
        <v>4.5999999046325684</v>
      </c>
      <c r="G5" s="9">
        <v>0.90969890356063843</v>
      </c>
      <c r="H5" s="9">
        <v>9.7826085984706879E-2</v>
      </c>
      <c r="I5">
        <v>7.5999997556209564E-2</v>
      </c>
      <c r="J5"/>
    </row>
    <row r="6" spans="1:10" ht="15" customHeight="1" x14ac:dyDescent="0.15">
      <c r="A6" s="143">
        <v>5</v>
      </c>
      <c r="B6" s="143" t="s">
        <v>195</v>
      </c>
      <c r="C6" s="8">
        <v>4.0084166526794434</v>
      </c>
      <c r="D6" s="9">
        <v>0.77119666337966919</v>
      </c>
      <c r="E6" s="9">
        <v>1.2799999713897705</v>
      </c>
      <c r="F6" s="9">
        <v>8.8999996185302734</v>
      </c>
      <c r="G6" s="9">
        <v>0.75000005960464478</v>
      </c>
      <c r="H6" s="9">
        <v>0.14382022619247437</v>
      </c>
      <c r="I6">
        <v>0.23999999463558197</v>
      </c>
      <c r="J6"/>
    </row>
    <row r="7" spans="1:10" ht="15" customHeight="1" x14ac:dyDescent="0.15">
      <c r="A7" s="144">
        <v>6</v>
      </c>
      <c r="B7" s="144" t="s">
        <v>196</v>
      </c>
      <c r="C7" s="8">
        <v>3.907494068145752</v>
      </c>
      <c r="D7" s="9">
        <v>0.10999999940395355</v>
      </c>
      <c r="E7" s="9">
        <v>1.7000000476837158</v>
      </c>
      <c r="F7" s="9">
        <v>26.5</v>
      </c>
      <c r="G7" s="9">
        <v>0.4865691065788269</v>
      </c>
      <c r="H7" s="9">
        <v>6.4150944352149963E-2</v>
      </c>
      <c r="I7">
        <v>9.9999997473787516E-5</v>
      </c>
      <c r="J7"/>
    </row>
    <row r="8" spans="1:10" ht="15" customHeight="1" x14ac:dyDescent="0.15">
      <c r="A8" s="145">
        <v>7</v>
      </c>
      <c r="B8" s="145" t="s">
        <v>197</v>
      </c>
      <c r="C8" s="8">
        <v>3.8557808399200439</v>
      </c>
      <c r="D8" s="9">
        <v>7.9999998211860657E-2</v>
      </c>
      <c r="E8" s="9">
        <v>0.57999998331069946</v>
      </c>
      <c r="F8" s="9">
        <v>4.3000001907348633</v>
      </c>
      <c r="G8" s="9">
        <v>0.98506802320480347</v>
      </c>
      <c r="H8" s="9">
        <v>0.13488371670246124</v>
      </c>
      <c r="I8">
        <v>1.8999999389052391E-2</v>
      </c>
      <c r="J8"/>
    </row>
    <row r="9" spans="1:10" ht="15" customHeight="1" x14ac:dyDescent="0.15">
      <c r="A9" s="146">
        <v>8</v>
      </c>
      <c r="B9" s="146" t="s">
        <v>198</v>
      </c>
      <c r="C9" s="8">
        <v>3.7639639377593994</v>
      </c>
      <c r="D9" s="9">
        <v>1.337666392326355</v>
      </c>
      <c r="E9" s="9">
        <v>0.69999998807907104</v>
      </c>
      <c r="F9" s="9">
        <v>10</v>
      </c>
      <c r="G9" s="9">
        <v>0.80000007152557373</v>
      </c>
      <c r="H9" s="9">
        <v>7.0000000298023224E-2</v>
      </c>
      <c r="I9">
        <v>0.11999999731779099</v>
      </c>
      <c r="J9"/>
    </row>
    <row r="10" spans="1:10" ht="15" customHeight="1" x14ac:dyDescent="0.15">
      <c r="A10" s="147">
        <v>9</v>
      </c>
      <c r="B10" s="147" t="s">
        <v>199</v>
      </c>
      <c r="C10" s="8">
        <v>3.5487210750579834</v>
      </c>
      <c r="D10" s="9">
        <v>0.5</v>
      </c>
      <c r="E10" s="9">
        <v>0.5</v>
      </c>
      <c r="F10" s="9">
        <v>8.3000001907348633</v>
      </c>
      <c r="G10" s="9">
        <v>0.99122488498687744</v>
      </c>
      <c r="H10" s="9">
        <v>6.0240961611270905E-2</v>
      </c>
      <c r="I10">
        <v>1.2000000104308128E-2</v>
      </c>
      <c r="J10"/>
    </row>
    <row r="11" spans="1:10" ht="15" customHeight="1" x14ac:dyDescent="0.15">
      <c r="A11" s="148">
        <v>10</v>
      </c>
      <c r="B11" s="148" t="s">
        <v>200</v>
      </c>
      <c r="C11" s="8">
        <v>3.446958065032959</v>
      </c>
      <c r="D11" s="9">
        <v>3.0055899620056152</v>
      </c>
      <c r="E11" s="9">
        <v>1.1200000047683716</v>
      </c>
      <c r="F11" s="9">
        <v>3.559999942779541</v>
      </c>
      <c r="G11" s="9">
        <v>0.97000008821487427</v>
      </c>
      <c r="H11" s="9">
        <v>0.31460675597190857</v>
      </c>
      <c r="I11">
        <v>0.89999997615814209</v>
      </c>
      <c r="J11"/>
    </row>
    <row r="12" spans="1:10" ht="15" customHeight="1" x14ac:dyDescent="0.15">
      <c r="A12" s="149">
        <v>11</v>
      </c>
      <c r="B12" s="149" t="s">
        <v>201</v>
      </c>
      <c r="C12" s="8">
        <v>3.3828766345977783</v>
      </c>
      <c r="D12" s="9">
        <v>0.9372897744178772</v>
      </c>
      <c r="E12" s="9">
        <v>1.0900000333786011</v>
      </c>
      <c r="F12" s="9">
        <v>15.300000190734863</v>
      </c>
      <c r="G12" s="9">
        <v>0.95000004768371582</v>
      </c>
      <c r="H12" s="9">
        <v>7.12418332695961E-2</v>
      </c>
      <c r="I12">
        <v>0</v>
      </c>
      <c r="J12"/>
    </row>
    <row r="13" spans="1:10" ht="15" customHeight="1" x14ac:dyDescent="0.15">
      <c r="A13" s="150">
        <v>12</v>
      </c>
      <c r="B13" s="150" t="s">
        <v>202</v>
      </c>
      <c r="C13" s="8">
        <v>3.2769806385040283</v>
      </c>
      <c r="D13" s="9">
        <v>0.20000000298023224</v>
      </c>
      <c r="E13" s="9">
        <v>0.40000000596046448</v>
      </c>
      <c r="F13" s="9">
        <v>8.1000003814697266</v>
      </c>
      <c r="G13" s="9">
        <v>0.98429399728775024</v>
      </c>
      <c r="H13" s="9">
        <v>4.9382712692022324E-2</v>
      </c>
      <c r="I13">
        <v>2.8000000864267349E-2</v>
      </c>
      <c r="J13"/>
    </row>
    <row r="14" spans="1:10" ht="15" customHeight="1" x14ac:dyDescent="0.15">
      <c r="A14" s="151">
        <v>13</v>
      </c>
      <c r="B14" s="151" t="s">
        <v>203</v>
      </c>
      <c r="C14" s="8">
        <v>3.1925082206726074</v>
      </c>
      <c r="D14" s="9">
        <v>0.41999998688697815</v>
      </c>
      <c r="E14" s="9">
        <v>0.80000001192092896</v>
      </c>
      <c r="F14" s="9">
        <v>6.8000001907348633</v>
      </c>
      <c r="G14" s="9">
        <v>0.95627152919769287</v>
      </c>
      <c r="H14" s="9">
        <v>0.11764705926179886</v>
      </c>
      <c r="I14">
        <v>8.3999998867511749E-2</v>
      </c>
      <c r="J14"/>
    </row>
    <row r="15" spans="1:10" ht="15" customHeight="1" x14ac:dyDescent="0.15">
      <c r="A15" s="152">
        <v>14</v>
      </c>
      <c r="B15" s="152" t="s">
        <v>204</v>
      </c>
      <c r="C15" s="8">
        <v>3.0554299354553223</v>
      </c>
      <c r="D15" s="9">
        <v>5.0502595901489258</v>
      </c>
      <c r="E15" s="9">
        <v>4.309999942779541</v>
      </c>
      <c r="F15" s="9">
        <v>13.699999809265137</v>
      </c>
      <c r="G15" s="9">
        <v>0.95000004768371582</v>
      </c>
      <c r="H15" s="9">
        <v>0.31459853053092957</v>
      </c>
      <c r="I15">
        <v>2.2999999523162842</v>
      </c>
      <c r="J15"/>
    </row>
    <row r="16" spans="1:10" ht="15" customHeight="1" x14ac:dyDescent="0.15">
      <c r="A16" s="153">
        <v>15</v>
      </c>
      <c r="B16" s="153" t="s">
        <v>205</v>
      </c>
      <c r="C16" s="8">
        <v>3.0224635601043701</v>
      </c>
      <c r="D16" s="9">
        <v>0.69999998807907104</v>
      </c>
      <c r="E16" s="9">
        <v>0.44999998807907104</v>
      </c>
      <c r="F16" s="9">
        <v>9.6999998092651367</v>
      </c>
      <c r="G16" s="9">
        <v>0.9813273549079895</v>
      </c>
      <c r="H16" s="9">
        <v>4.6391751617193222E-2</v>
      </c>
      <c r="I16">
        <v>7.0000000298023224E-2</v>
      </c>
      <c r="J16"/>
    </row>
    <row r="17" spans="1:10" ht="15" customHeight="1" x14ac:dyDescent="0.15">
      <c r="A17" s="154">
        <v>16</v>
      </c>
      <c r="B17" s="154" t="s">
        <v>206</v>
      </c>
      <c r="C17" s="8">
        <v>3.0102293491363525</v>
      </c>
      <c r="D17" s="9">
        <v>0.28713056445121765</v>
      </c>
      <c r="E17" s="9">
        <v>0.15000000596046448</v>
      </c>
      <c r="F17" s="9">
        <v>3.5</v>
      </c>
      <c r="G17" s="9">
        <v>0.41999992728233337</v>
      </c>
      <c r="H17" s="9">
        <v>4.285714402794838E-2</v>
      </c>
      <c r="I17">
        <v>0</v>
      </c>
      <c r="J17"/>
    </row>
    <row r="18" spans="1:10" ht="15" customHeight="1" x14ac:dyDescent="0.15">
      <c r="A18" s="155">
        <v>17</v>
      </c>
      <c r="B18" s="155" t="s">
        <v>207</v>
      </c>
      <c r="C18" s="8">
        <v>2.8551905155181885</v>
      </c>
      <c r="D18" s="9">
        <v>0.89999997615814209</v>
      </c>
      <c r="E18" s="9">
        <v>0.30000001192092896</v>
      </c>
      <c r="F18" s="9">
        <v>9.1000003814697266</v>
      </c>
      <c r="G18" s="9">
        <v>0.96417874097824097</v>
      </c>
      <c r="H18" s="9">
        <v>3.2967034727334976E-2</v>
      </c>
      <c r="I18">
        <v>0</v>
      </c>
      <c r="J18"/>
    </row>
    <row r="19" spans="1:10" ht="15" customHeight="1" x14ac:dyDescent="0.15">
      <c r="A19" s="156">
        <v>18</v>
      </c>
      <c r="B19" s="156" t="s">
        <v>208</v>
      </c>
      <c r="C19" s="8">
        <v>2.8329603672027588</v>
      </c>
      <c r="D19" s="9">
        <v>0.89999997615814209</v>
      </c>
      <c r="E19" s="9">
        <v>1.1499999761581421</v>
      </c>
      <c r="F19" s="9">
        <v>18.200000762939453</v>
      </c>
      <c r="G19" s="9">
        <v>0.93034106492996216</v>
      </c>
      <c r="H19" s="9">
        <v>6.3186809420585632E-2</v>
      </c>
      <c r="I19">
        <v>0.15999999642372131</v>
      </c>
      <c r="J19"/>
    </row>
    <row r="20" spans="1:10" ht="15" customHeight="1" x14ac:dyDescent="0.15">
      <c r="A20" s="157">
        <v>19</v>
      </c>
      <c r="B20" s="157" t="s">
        <v>209</v>
      </c>
      <c r="C20" s="8">
        <v>2.7465941905975342</v>
      </c>
      <c r="D20" s="9">
        <v>4.9924740791320801</v>
      </c>
      <c r="E20" s="9">
        <v>2.119999885559082</v>
      </c>
      <c r="F20" s="9">
        <v>8.5</v>
      </c>
      <c r="G20" s="9">
        <v>0.94999986886978149</v>
      </c>
      <c r="H20" s="9">
        <v>0.24941174685955048</v>
      </c>
      <c r="I20">
        <v>0</v>
      </c>
      <c r="J20"/>
    </row>
    <row r="21" spans="1:10" ht="15" customHeight="1" x14ac:dyDescent="0.15">
      <c r="A21" s="158">
        <v>20</v>
      </c>
      <c r="B21" s="158" t="s">
        <v>210</v>
      </c>
      <c r="C21" s="8">
        <v>2.3078947067260742</v>
      </c>
      <c r="D21" s="9">
        <v>2.1963613033294678</v>
      </c>
      <c r="E21" s="9">
        <v>7.7569999694824219</v>
      </c>
      <c r="F21" s="9">
        <v>26.700000762939453</v>
      </c>
      <c r="G21" s="9">
        <v>0.95000004768371582</v>
      </c>
      <c r="H21" s="9">
        <v>0.29052433371543884</v>
      </c>
      <c r="I21">
        <v>3.5</v>
      </c>
      <c r="J21"/>
    </row>
    <row r="22" spans="1:10" ht="15" customHeight="1" x14ac:dyDescent="0.15">
      <c r="A22" s="159">
        <v>21</v>
      </c>
      <c r="B22" s="159" t="s">
        <v>211</v>
      </c>
      <c r="C22" s="8">
        <v>2.0526316165924072</v>
      </c>
      <c r="D22" s="9">
        <v>6.9480834007263184</v>
      </c>
      <c r="E22" s="9">
        <v>21.760000228881836</v>
      </c>
      <c r="F22" s="9">
        <v>119.69999694824219</v>
      </c>
      <c r="G22" s="9">
        <v>0.94999998807907104</v>
      </c>
      <c r="H22" s="9">
        <v>0.18178780376911163</v>
      </c>
      <c r="I22">
        <v>0</v>
      </c>
      <c r="J22"/>
    </row>
    <row r="23" spans="1:10" ht="15" customHeight="1" x14ac:dyDescent="0.15">
      <c r="A23" s="160">
        <v>22</v>
      </c>
      <c r="B23" s="160" t="s">
        <v>212</v>
      </c>
      <c r="C23" s="8">
        <v>2</v>
      </c>
      <c r="D23" s="9">
        <v>37.400001525878906</v>
      </c>
      <c r="E23" s="9">
        <v>4.8499999046325684</v>
      </c>
      <c r="F23" s="9">
        <v>24.200000762939453</v>
      </c>
      <c r="G23" s="9">
        <v>0.29569634795188904</v>
      </c>
      <c r="H23" s="9">
        <v>0.20041321218013763</v>
      </c>
      <c r="I23">
        <v>0</v>
      </c>
      <c r="J23"/>
    </row>
    <row r="24" spans="1:10" ht="15" customHeight="1" x14ac:dyDescent="0.15">
      <c r="A24" s="161">
        <v>23</v>
      </c>
      <c r="B24" s="161" t="s">
        <v>213</v>
      </c>
      <c r="C24" s="8">
        <v>1</v>
      </c>
      <c r="D24" s="9">
        <v>45.5</v>
      </c>
      <c r="E24" s="9">
        <v>102.59999847412109</v>
      </c>
      <c r="F24" s="10"/>
      <c r="G24" s="9">
        <v>0.12470918148756027</v>
      </c>
      <c r="H24" s="10"/>
      <c r="I24">
        <v>0</v>
      </c>
      <c r="J24"/>
    </row>
    <row r="25" spans="1:10" ht="15" customHeight="1" x14ac:dyDescent="0.15">
      <c r="A25" s="162">
        <v>24</v>
      </c>
      <c r="B25" s="162" t="s">
        <v>214</v>
      </c>
      <c r="C25" s="8">
        <v>1</v>
      </c>
      <c r="D25" s="9">
        <v>3.9256133139133453E-2</v>
      </c>
      <c r="E25" s="9">
        <v>10.239999771118164</v>
      </c>
      <c r="F25" s="10"/>
      <c r="G25" s="9">
        <v>0.94999998807907104</v>
      </c>
      <c r="H25" s="10"/>
      <c r="I25">
        <v>0</v>
      </c>
      <c r="J25"/>
    </row>
    <row r="26" spans="1:10" ht="15" customHeight="1" x14ac:dyDescent="0.15">
      <c r="A26" s="163">
        <v>25</v>
      </c>
      <c r="B26" s="163" t="s">
        <v>215</v>
      </c>
      <c r="C26" s="8">
        <v>1</v>
      </c>
      <c r="D26" s="9">
        <v>4</v>
      </c>
      <c r="E26" s="10"/>
      <c r="F26" s="10"/>
      <c r="G26" s="9">
        <v>0.25345140695571899</v>
      </c>
      <c r="H26" s="10"/>
      <c r="I26">
        <v>0</v>
      </c>
      <c r="J26"/>
    </row>
    <row r="27" spans="1:10" ht="15" customHeight="1" x14ac:dyDescent="0.15">
      <c r="A27" s="164">
        <v>26</v>
      </c>
      <c r="B27" s="164" t="s">
        <v>216</v>
      </c>
      <c r="C27" s="8">
        <v>1</v>
      </c>
      <c r="D27" s="9">
        <v>5</v>
      </c>
      <c r="E27" s="10"/>
      <c r="F27" s="10"/>
      <c r="G27" s="7">
        <v>0</v>
      </c>
      <c r="H27" s="10"/>
      <c r="I27">
        <v>0</v>
      </c>
      <c r="J27"/>
    </row>
    <row r="28" spans="1:10" ht="15" customHeight="1" x14ac:dyDescent="0.15">
      <c r="A28" s="165">
        <v>27</v>
      </c>
      <c r="B28" s="165" t="s">
        <v>217</v>
      </c>
      <c r="C28" s="8">
        <v>3.3079404830932617</v>
      </c>
      <c r="D28" s="10"/>
      <c r="E28" s="10"/>
      <c r="F28" s="10"/>
      <c r="G28" s="10"/>
      <c r="H28" s="10"/>
      <c r="I28">
        <v>3.5000998973846436</v>
      </c>
      <c r="J28"/>
    </row>
    <row r="29" spans="1:10" ht="15" customHeight="1" x14ac:dyDescent="0.15">
      <c r="A29" s="166">
        <v>28</v>
      </c>
      <c r="B29" s="166" t="s">
        <v>218</v>
      </c>
      <c r="C29" s="8">
        <v>5.0084290504455566</v>
      </c>
      <c r="D29" s="10"/>
      <c r="E29" s="10"/>
      <c r="F29" s="10"/>
      <c r="G29" s="10"/>
      <c r="H29" s="10"/>
      <c r="I29">
        <v>9.4999998807907104E-2</v>
      </c>
      <c r="J29"/>
    </row>
    <row r="30" spans="1:10" ht="15" customHeight="1" x14ac:dyDescent="0.15">
      <c r="A30" s="167">
        <v>29</v>
      </c>
      <c r="B30" s="167" t="s">
        <v>219</v>
      </c>
      <c r="C30" s="8">
        <v>4.9638323783874512</v>
      </c>
      <c r="D30" s="10"/>
      <c r="E30" s="10"/>
      <c r="F30" s="10"/>
      <c r="G30" s="10"/>
      <c r="H30" s="10"/>
      <c r="I30">
        <v>0.41200000047683716</v>
      </c>
      <c r="J30"/>
    </row>
    <row r="31" spans="1:10" ht="15" customHeight="1" x14ac:dyDescent="0.15">
      <c r="A31" s="168">
        <v>30</v>
      </c>
      <c r="B31" s="168" t="s">
        <v>220</v>
      </c>
      <c r="C31" s="8">
        <v>4.0500550270080566</v>
      </c>
      <c r="D31" s="10"/>
      <c r="E31" s="10"/>
      <c r="F31" s="10"/>
      <c r="G31" s="10"/>
      <c r="H31" s="10"/>
      <c r="I31">
        <v>2.6540000438690186</v>
      </c>
      <c r="J31"/>
    </row>
    <row r="32" spans="1:10" ht="15" customHeight="1" x14ac:dyDescent="0.15">
      <c r="A32" s="196">
        <v>31</v>
      </c>
      <c r="B32" s="196" t="s">
        <v>221</v>
      </c>
      <c r="C32" s="8">
        <v>4.4469575881958008</v>
      </c>
      <c r="D32" s="10"/>
      <c r="E32" s="10"/>
      <c r="F32" s="10"/>
      <c r="G32" s="10"/>
      <c r="H32" s="10"/>
      <c r="I32">
        <v>0.89999997615814209</v>
      </c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8" bestFit="1" customWidth="1"/>
    <col min="2" max="4" width="9.5" style="78" bestFit="1" customWidth="1"/>
    <col min="5" max="7" width="9" style="78" bestFit="1" customWidth="1"/>
    <col min="8" max="16" width="12.6640625" style="78" bestFit="1" customWidth="1"/>
    <col min="17" max="17" width="12.33203125" style="78" bestFit="1" customWidth="1"/>
    <col min="18" max="18" width="8.83203125" style="78"/>
    <col min="19" max="21" width="9.33203125" style="78" bestFit="1" customWidth="1"/>
    <col min="22" max="23" width="8.83203125" style="78"/>
    <col min="24" max="24" width="9.33203125" style="78" bestFit="1" customWidth="1"/>
    <col min="25" max="27" width="8.83203125" style="78"/>
    <col min="28" max="58" width="9" style="78" bestFit="1" customWidth="1"/>
    <col min="59" max="59" width="12.33203125" style="78" bestFit="1" customWidth="1"/>
    <col min="60" max="60" width="9" style="78" bestFit="1" customWidth="1"/>
    <col min="61" max="61" width="11.33203125" style="78" bestFit="1" customWidth="1"/>
    <col min="62" max="77" width="9" style="78" bestFit="1" customWidth="1"/>
    <col min="78" max="78" width="12.33203125" style="78" bestFit="1" customWidth="1"/>
    <col min="79" max="79" width="9" style="78" bestFit="1" customWidth="1"/>
    <col min="80" max="80" width="12.33203125" style="78" bestFit="1" customWidth="1"/>
    <col min="81" max="107" width="9" style="78" bestFit="1" customWidth="1"/>
    <col min="108" max="108" width="11.33203125" style="78" bestFit="1" customWidth="1"/>
    <col min="109" max="124" width="9" style="78" bestFit="1" customWidth="1"/>
    <col min="125" max="125" width="10.33203125" style="78" bestFit="1" customWidth="1"/>
    <col min="126" max="129" width="9.33203125" style="78" bestFit="1" customWidth="1"/>
    <col min="130" max="130" width="9" style="78" bestFit="1" customWidth="1"/>
    <col min="131" max="134" width="9.33203125" style="78" bestFit="1" customWidth="1"/>
    <col min="135" max="165" width="9" style="78" bestFit="1" customWidth="1"/>
    <col min="166" max="166" width="12.33203125" style="78" bestFit="1" customWidth="1"/>
    <col min="167" max="170" width="9" style="78" bestFit="1" customWidth="1"/>
    <col min="171" max="176" width="8.83203125" style="78"/>
    <col min="177" max="177" width="13.83203125" style="78" bestFit="1" customWidth="1"/>
    <col min="178" max="16384" width="8.83203125" style="78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226</v>
      </c>
      <c r="E1" t="s">
        <v>227</v>
      </c>
      <c r="F1" t="s">
        <v>228</v>
      </c>
      <c r="G1" t="s">
        <v>229</v>
      </c>
      <c r="H1" t="s">
        <v>230</v>
      </c>
      <c r="I1" t="s">
        <v>191</v>
      </c>
      <c r="J1" t="s">
        <v>192</v>
      </c>
      <c r="K1" t="s">
        <v>193</v>
      </c>
      <c r="L1" t="s">
        <v>194</v>
      </c>
      <c r="M1" t="s">
        <v>195</v>
      </c>
      <c r="N1" t="s">
        <v>196</v>
      </c>
      <c r="O1" t="s">
        <v>197</v>
      </c>
      <c r="P1" t="s">
        <v>198</v>
      </c>
      <c r="Q1" t="s">
        <v>199</v>
      </c>
      <c r="R1" t="s">
        <v>200</v>
      </c>
      <c r="S1" t="s">
        <v>201</v>
      </c>
      <c r="T1" t="s">
        <v>202</v>
      </c>
      <c r="U1" t="s">
        <v>203</v>
      </c>
      <c r="V1" t="s">
        <v>204</v>
      </c>
      <c r="W1" t="s">
        <v>205</v>
      </c>
      <c r="X1" t="s">
        <v>206</v>
      </c>
      <c r="Y1" t="s">
        <v>207</v>
      </c>
      <c r="Z1" t="s">
        <v>208</v>
      </c>
      <c r="AA1" t="s">
        <v>209</v>
      </c>
      <c r="AB1" t="s">
        <v>210</v>
      </c>
      <c r="AC1" t="s">
        <v>211</v>
      </c>
      <c r="AD1" t="s">
        <v>212</v>
      </c>
      <c r="AE1" t="s">
        <v>213</v>
      </c>
      <c r="AF1" t="s">
        <v>214</v>
      </c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191</v>
      </c>
      <c r="B2">
        <v>0.10000000149011612</v>
      </c>
      <c r="C2">
        <v>6.0000006109476089E-2</v>
      </c>
      <c r="D2"/>
      <c r="E2"/>
      <c r="F2"/>
      <c r="G2"/>
      <c r="H2"/>
      <c r="I2"/>
      <c r="J2" s="207">
        <v>3.999999538064003E-2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192</v>
      </c>
      <c r="B3">
        <v>0.93999999761581421</v>
      </c>
      <c r="C3">
        <v>0.28999996185302734</v>
      </c>
      <c r="D3"/>
      <c r="E3"/>
      <c r="F3" s="200">
        <v>0.65000003576278687</v>
      </c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193</v>
      </c>
      <c r="B4">
        <v>5.4000000953674316</v>
      </c>
      <c r="C4">
        <v>4.8600001335144043</v>
      </c>
      <c r="D4"/>
      <c r="E4"/>
      <c r="F4"/>
      <c r="G4"/>
      <c r="H4"/>
      <c r="I4"/>
      <c r="J4" s="134">
        <v>0.53999990224838257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194</v>
      </c>
      <c r="B5">
        <v>0.44999998807907104</v>
      </c>
      <c r="C5">
        <v>4.0635492652654648E-2</v>
      </c>
      <c r="D5"/>
      <c r="E5" s="198">
        <v>0.19487179815769196</v>
      </c>
      <c r="F5"/>
      <c r="G5"/>
      <c r="H5"/>
      <c r="I5" s="213">
        <v>4.0167052298784256E-2</v>
      </c>
      <c r="J5" s="220">
        <v>7.19175785779953E-2</v>
      </c>
      <c r="K5" s="15">
        <v>4.2183115147054195E-3</v>
      </c>
      <c r="L5"/>
      <c r="M5"/>
      <c r="N5"/>
      <c r="O5" s="134">
        <v>4.4984616339206696E-2</v>
      </c>
      <c r="P5"/>
      <c r="Q5" s="219">
        <v>5.3205132484436035E-2</v>
      </c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195</v>
      </c>
      <c r="B6">
        <v>1.2799999713897705</v>
      </c>
      <c r="C6">
        <v>0.31999990344047546</v>
      </c>
      <c r="D6"/>
      <c r="E6"/>
      <c r="F6" s="201">
        <v>0.31120467185974121</v>
      </c>
      <c r="G6"/>
      <c r="H6"/>
      <c r="I6" s="20">
        <v>5.420617014169693E-2</v>
      </c>
      <c r="J6" s="231">
        <v>0.1220390796661377</v>
      </c>
      <c r="K6" s="23">
        <v>8.5329283028841019E-3</v>
      </c>
      <c r="L6" s="70">
        <v>0.10012909024953842</v>
      </c>
      <c r="M6"/>
      <c r="N6"/>
      <c r="O6"/>
      <c r="P6" s="238">
        <v>0.36388811469078064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196</v>
      </c>
      <c r="B7">
        <v>1.7000000476837158</v>
      </c>
      <c r="C7">
        <v>0.8728325366973877</v>
      </c>
      <c r="D7" s="11">
        <v>9.0909091522917151E-4</v>
      </c>
      <c r="E7"/>
      <c r="F7"/>
      <c r="G7"/>
      <c r="H7"/>
      <c r="I7"/>
      <c r="J7" s="221">
        <v>0.25498050451278687</v>
      </c>
      <c r="K7"/>
      <c r="L7" s="214">
        <v>0.14692874252796173</v>
      </c>
      <c r="M7" s="222">
        <v>0.28362193703651428</v>
      </c>
      <c r="N7"/>
      <c r="O7" s="212">
        <v>0.14072728157043457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197</v>
      </c>
      <c r="B8">
        <v>0.57999998331069946</v>
      </c>
      <c r="C8">
        <v>8.6605465039610863E-3</v>
      </c>
      <c r="D8"/>
      <c r="E8" s="199">
        <v>0.23749999701976776</v>
      </c>
      <c r="F8"/>
      <c r="G8"/>
      <c r="H8"/>
      <c r="I8"/>
      <c r="J8" s="209">
        <v>7.0119626820087433E-2</v>
      </c>
      <c r="K8" s="204">
        <v>6.1692800372838974E-2</v>
      </c>
      <c r="L8" s="203">
        <v>0.20202700793743134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198</v>
      </c>
      <c r="B9">
        <v>0.69999998807907104</v>
      </c>
      <c r="C9">
        <v>0.13999994099140167</v>
      </c>
      <c r="D9"/>
      <c r="E9"/>
      <c r="F9" s="202">
        <v>8.9708462357521057E-2</v>
      </c>
      <c r="G9"/>
      <c r="H9"/>
      <c r="I9" s="24">
        <v>1.9531968981027603E-2</v>
      </c>
      <c r="J9" s="18">
        <v>7.921149954199791E-3</v>
      </c>
      <c r="K9" s="22">
        <v>6.1492971144616604E-3</v>
      </c>
      <c r="L9" s="104">
        <v>0.26178437471389771</v>
      </c>
      <c r="M9" s="237">
        <v>0.17259031534194946</v>
      </c>
      <c r="N9"/>
      <c r="O9" s="12">
        <v>2.3144783917814493E-3</v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199</v>
      </c>
      <c r="B10">
        <v>0.5</v>
      </c>
      <c r="C10">
        <v>4.3875575065612793E-3</v>
      </c>
      <c r="D10"/>
      <c r="E10"/>
      <c r="F10"/>
      <c r="G10" s="28">
        <v>2.4000000208616257E-2</v>
      </c>
      <c r="H10"/>
      <c r="I10" s="217">
        <v>3.6552019417285919E-2</v>
      </c>
      <c r="J10" s="20">
        <v>2.1191712468862534E-2</v>
      </c>
      <c r="K10" s="25">
        <v>1.5298940241336823E-2</v>
      </c>
      <c r="L10"/>
      <c r="M10"/>
      <c r="N10"/>
      <c r="O10" s="13">
        <v>1.8575999885797501E-2</v>
      </c>
      <c r="P10"/>
      <c r="Q10"/>
      <c r="R10" s="235">
        <v>0.29959720373153687</v>
      </c>
      <c r="S10"/>
      <c r="T10"/>
      <c r="U10"/>
      <c r="V10"/>
      <c r="W10"/>
      <c r="X10" s="220">
        <v>8.0396555364131927E-2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200</v>
      </c>
      <c r="B11">
        <v>1.1200000047683716</v>
      </c>
      <c r="C11">
        <v>3.359990194439888E-2</v>
      </c>
      <c r="D11"/>
      <c r="E11"/>
      <c r="F11"/>
      <c r="G11"/>
      <c r="H11" s="206">
        <v>0.29944202303886414</v>
      </c>
      <c r="I11" s="66">
        <v>6.5844990313053131E-2</v>
      </c>
      <c r="J11"/>
      <c r="K11" s="14">
        <v>1.3684015721082687E-3</v>
      </c>
      <c r="L11"/>
      <c r="M11"/>
      <c r="N11"/>
      <c r="O11"/>
      <c r="P11"/>
      <c r="Q11"/>
      <c r="R11"/>
      <c r="S11" s="133">
        <v>0.71974468231201172</v>
      </c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201</v>
      </c>
      <c r="B12">
        <v>1.0900000333786011</v>
      </c>
      <c r="C12">
        <v>5.4499950259923935E-2</v>
      </c>
      <c r="D12"/>
      <c r="E12"/>
      <c r="F12"/>
      <c r="G12"/>
      <c r="H12"/>
      <c r="I12" s="226">
        <v>4.9622997641563416E-2</v>
      </c>
      <c r="J12" s="208">
        <v>5.3863957524299622E-2</v>
      </c>
      <c r="K12"/>
      <c r="L12" s="236">
        <v>0.20500610768795013</v>
      </c>
      <c r="M12" s="241">
        <v>0.66571533679962158</v>
      </c>
      <c r="N12"/>
      <c r="O12" s="228">
        <v>6.1291608959436417E-2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202</v>
      </c>
      <c r="B13">
        <v>0.40000000596046448</v>
      </c>
      <c r="C13">
        <v>6.2824012711644173E-3</v>
      </c>
      <c r="D13"/>
      <c r="E13"/>
      <c r="F13"/>
      <c r="G13" s="203">
        <v>0.14000000059604645</v>
      </c>
      <c r="H13"/>
      <c r="I13" s="72">
        <v>2.6129847392439842E-2</v>
      </c>
      <c r="J13"/>
      <c r="K13" s="208">
        <v>1.9814895465970039E-2</v>
      </c>
      <c r="L13" s="102">
        <v>6.2852852046489716E-2</v>
      </c>
      <c r="M13"/>
      <c r="N13"/>
      <c r="O13" s="205">
        <v>6.1919994652271271E-2</v>
      </c>
      <c r="P13"/>
      <c r="Q13" s="215">
        <v>8.3000004291534424E-2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203</v>
      </c>
      <c r="B14">
        <v>0.80000001192092896</v>
      </c>
      <c r="C14">
        <v>3.4982778131961823E-2</v>
      </c>
      <c r="D14"/>
      <c r="E14"/>
      <c r="F14"/>
      <c r="G14" s="138">
        <v>0.20000000298023224</v>
      </c>
      <c r="H14"/>
      <c r="I14"/>
      <c r="J14" s="19">
        <v>1.3356119394302368E-2</v>
      </c>
      <c r="K14" s="17">
        <v>1.1751009151339531E-2</v>
      </c>
      <c r="L14" s="227">
        <v>0.14109823107719421</v>
      </c>
      <c r="M14"/>
      <c r="N14" s="223">
        <v>8.277854323387146E-2</v>
      </c>
      <c r="O14" s="13">
        <v>2.9485713690519333E-2</v>
      </c>
      <c r="P14"/>
      <c r="Q14" s="232">
        <v>0.28654763102531433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204</v>
      </c>
      <c r="B15">
        <v>4.309999942779541</v>
      </c>
      <c r="C15">
        <v>0.21549978852272034</v>
      </c>
      <c r="D15"/>
      <c r="E15"/>
      <c r="F15"/>
      <c r="G15" s="204">
        <v>0.45542213320732117</v>
      </c>
      <c r="H15"/>
      <c r="I15" s="14">
        <v>1.1391759850084782E-2</v>
      </c>
      <c r="J15" s="23">
        <v>2.7398478239774704E-2</v>
      </c>
      <c r="K15" s="11">
        <v>4.0719229727983475E-3</v>
      </c>
      <c r="L15" s="14">
        <v>1.1734298430383205E-2</v>
      </c>
      <c r="M15" s="244">
        <v>0.97111636400222778</v>
      </c>
      <c r="N15" s="134">
        <v>0.42957407236099243</v>
      </c>
      <c r="O15" s="11">
        <v>1.2260755756869912E-3</v>
      </c>
      <c r="P15" s="247">
        <v>1.6855416297912598</v>
      </c>
      <c r="Q15" s="242">
        <v>0.29418295621871948</v>
      </c>
      <c r="R15"/>
      <c r="S15"/>
      <c r="T15"/>
      <c r="U15" s="14">
        <v>1.1541131883859634E-2</v>
      </c>
      <c r="V15"/>
      <c r="W15" s="226">
        <v>0.19129951298236847</v>
      </c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205</v>
      </c>
      <c r="B16">
        <v>0.44999998807907104</v>
      </c>
      <c r="C16">
        <v>8.4026902914047241E-3</v>
      </c>
      <c r="D16"/>
      <c r="E16"/>
      <c r="F16"/>
      <c r="G16" s="73">
        <v>0.10000000149011612</v>
      </c>
      <c r="H16"/>
      <c r="I16" s="222">
        <v>7.4631839990615845E-2</v>
      </c>
      <c r="J16" s="223">
        <v>4.719163104891777E-2</v>
      </c>
      <c r="K16" s="26">
        <v>1.1751011945307255E-2</v>
      </c>
      <c r="L16" s="227">
        <v>7.9528093338012695E-2</v>
      </c>
      <c r="M16" s="70">
        <v>3.5655327141284943E-2</v>
      </c>
      <c r="N16"/>
      <c r="O16" s="137">
        <v>1.3268571346998215E-2</v>
      </c>
      <c r="P16"/>
      <c r="Q16" s="225">
        <v>6.5214291214942932E-2</v>
      </c>
      <c r="R16"/>
      <c r="S16"/>
      <c r="T16"/>
      <c r="U16"/>
      <c r="V16"/>
      <c r="W16"/>
      <c r="X16" s="25">
        <v>1.4356528408825397E-2</v>
      </c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206</v>
      </c>
      <c r="B17">
        <v>0.15000000596046448</v>
      </c>
      <c r="C17">
        <v>8.7000012397766113E-2</v>
      </c>
      <c r="D17"/>
      <c r="E17"/>
      <c r="F17"/>
      <c r="G17"/>
      <c r="H17"/>
      <c r="I17"/>
      <c r="J17" s="216">
        <v>6.2999993562698364E-2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207</v>
      </c>
      <c r="B18">
        <v>0.30000001192092896</v>
      </c>
      <c r="C18">
        <v>1.074637845158577E-2</v>
      </c>
      <c r="D18"/>
      <c r="E18"/>
      <c r="F18"/>
      <c r="G18"/>
      <c r="H18"/>
      <c r="I18"/>
      <c r="J18" s="210">
        <v>1.1773173697292805E-2</v>
      </c>
      <c r="K18"/>
      <c r="L18" s="211">
        <v>1.5962628647685051E-2</v>
      </c>
      <c r="M18"/>
      <c r="N18"/>
      <c r="O18" s="213">
        <v>2.713778056204319E-2</v>
      </c>
      <c r="P18"/>
      <c r="Q18" s="229">
        <v>7.3777787387371063E-2</v>
      </c>
      <c r="R18" s="224">
        <v>4.7555115073919296E-2</v>
      </c>
      <c r="S18"/>
      <c r="T18"/>
      <c r="U18"/>
      <c r="V18"/>
      <c r="W18" s="230">
        <v>9.071476012468338E-2</v>
      </c>
      <c r="X18" s="218">
        <v>2.2332377731800079E-2</v>
      </c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208</v>
      </c>
      <c r="B19">
        <v>1.1499999761581421</v>
      </c>
      <c r="C19">
        <v>8.010777086019516E-2</v>
      </c>
      <c r="D19"/>
      <c r="E19"/>
      <c r="F19"/>
      <c r="G19" s="205">
        <v>0.17777778208255768</v>
      </c>
      <c r="H19"/>
      <c r="I19" s="26">
        <v>2.9023492708802223E-2</v>
      </c>
      <c r="J19" s="208">
        <v>5.6095708161592484E-2</v>
      </c>
      <c r="K19" s="12">
        <v>4.56983782351017E-3</v>
      </c>
      <c r="L19" s="209">
        <v>0.13967300951480865</v>
      </c>
      <c r="M19" s="63">
        <v>6.2396824359893799E-2</v>
      </c>
      <c r="N19" s="234">
        <v>0.16524598002433777</v>
      </c>
      <c r="O19" s="15">
        <v>1.0320000350475311E-2</v>
      </c>
      <c r="P19" s="210">
        <v>4.4544335454702377E-2</v>
      </c>
      <c r="Q19" s="20">
        <v>5.0722226500511169E-2</v>
      </c>
      <c r="R19" s="205">
        <v>0.17833167314529419</v>
      </c>
      <c r="S19"/>
      <c r="T19"/>
      <c r="U19"/>
      <c r="V19"/>
      <c r="W19" s="233">
        <v>0.15119127929210663</v>
      </c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209</v>
      </c>
      <c r="B20">
        <v>2.119999885559082</v>
      </c>
      <c r="C20">
        <v>0.10600027441978455</v>
      </c>
      <c r="D20"/>
      <c r="E20"/>
      <c r="F20"/>
      <c r="G20"/>
      <c r="H20"/>
      <c r="I20" s="11">
        <v>1.1505096917971969E-3</v>
      </c>
      <c r="J20" s="15">
        <v>2.0115552470088005E-2</v>
      </c>
      <c r="K20" s="11">
        <v>1.3120496878400445E-3</v>
      </c>
      <c r="L20" s="20">
        <v>9.316243976354599E-2</v>
      </c>
      <c r="M20" s="239">
        <v>6.9989793002605438E-2</v>
      </c>
      <c r="N20" s="18">
        <v>2.5700414553284645E-2</v>
      </c>
      <c r="O20" s="12">
        <v>7.4416007846593857E-3</v>
      </c>
      <c r="P20" s="65">
        <v>8.5654042661190033E-2</v>
      </c>
      <c r="Q20" s="239">
        <v>7.0656344294548035E-2</v>
      </c>
      <c r="R20" s="245">
        <v>0.99659073352813721</v>
      </c>
      <c r="S20" s="65">
        <v>8.608681708574295E-2</v>
      </c>
      <c r="T20" s="20">
        <v>9.2710979282855988E-2</v>
      </c>
      <c r="U20" s="210">
        <v>8.172299712896347E-2</v>
      </c>
      <c r="V20" s="26">
        <v>5.5881336331367493E-2</v>
      </c>
      <c r="W20" s="210">
        <v>8.3129130303859711E-2</v>
      </c>
      <c r="X20" s="137">
        <v>6.0388319194316864E-2</v>
      </c>
      <c r="Y20" s="22">
        <v>1.5283876098692417E-2</v>
      </c>
      <c r="Z20" s="210">
        <v>8.2010738551616669E-2</v>
      </c>
      <c r="AA20" s="210">
        <v>8.5012070834636688E-2</v>
      </c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210</v>
      </c>
      <c r="B21">
        <v>7.7569999694824219</v>
      </c>
      <c r="C21">
        <v>0.38784962892532349</v>
      </c>
      <c r="D21" s="197">
        <v>1.5935447216033936</v>
      </c>
      <c r="E21"/>
      <c r="F21"/>
      <c r="G21"/>
      <c r="H21"/>
      <c r="I21" s="14">
        <v>7.8455517068505287E-3</v>
      </c>
      <c r="J21" s="14">
        <v>1.7594423145055771E-2</v>
      </c>
      <c r="K21" s="11">
        <v>2.9961217660456896E-3</v>
      </c>
      <c r="L21" s="21">
        <v>0.15943650901317596</v>
      </c>
      <c r="M21" s="16">
        <v>0.11647763848304749</v>
      </c>
      <c r="N21" s="16">
        <v>0.12783314287662506</v>
      </c>
      <c r="O21" s="23">
        <v>3.9468917995691299E-2</v>
      </c>
      <c r="P21" s="26">
        <v>0.19469729065895081</v>
      </c>
      <c r="Q21" s="19">
        <v>0.14360116422176361</v>
      </c>
      <c r="R21" s="202">
        <v>0.9840729832649231</v>
      </c>
      <c r="S21" s="246">
        <v>2.8243296146392822</v>
      </c>
      <c r="T21" s="64">
        <v>0.17310634255409241</v>
      </c>
      <c r="U21" s="26">
        <v>0.19903048872947693</v>
      </c>
      <c r="V21"/>
      <c r="W21" s="137">
        <v>0.23542305827140808</v>
      </c>
      <c r="X21" s="16">
        <v>0.1143888458609581</v>
      </c>
      <c r="Y21" s="26">
        <v>0.19300699234008789</v>
      </c>
      <c r="Z21" s="23">
        <v>4.6314481645822525E-2</v>
      </c>
      <c r="AA21" s="26">
        <v>0.19598178565502167</v>
      </c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211</v>
      </c>
      <c r="B22">
        <v>21.760000228881836</v>
      </c>
      <c r="C22">
        <v>1.0880002975463867</v>
      </c>
      <c r="D22"/>
      <c r="E22"/>
      <c r="F22"/>
      <c r="G22"/>
      <c r="H22"/>
      <c r="I22" s="11">
        <v>1.7302557826042175E-3</v>
      </c>
      <c r="J22"/>
      <c r="K22" s="11">
        <v>5.9688935289159417E-4</v>
      </c>
      <c r="L22"/>
      <c r="M22" s="11">
        <v>9.8784808069467545E-3</v>
      </c>
      <c r="N22" s="14">
        <v>2.2016825154423714E-2</v>
      </c>
      <c r="O22"/>
      <c r="P22" s="243">
        <v>0.51159977912902832</v>
      </c>
      <c r="Q22"/>
      <c r="R22"/>
      <c r="S22" s="16">
        <v>0.35464566946029663</v>
      </c>
      <c r="T22" s="14">
        <v>5.2341558039188385E-2</v>
      </c>
      <c r="U22" s="23">
        <v>0.1342199444770813</v>
      </c>
      <c r="V22" s="250">
        <v>9.917780876159668</v>
      </c>
      <c r="W22" s="11">
        <v>1.272968202829361E-2</v>
      </c>
      <c r="X22"/>
      <c r="Y22"/>
      <c r="Z22" s="218">
        <v>1.6104538440704346</v>
      </c>
      <c r="AA22" s="13">
        <v>0.79298412799835205</v>
      </c>
      <c r="AB22" s="66">
        <v>1.2660222053527832</v>
      </c>
      <c r="AC22" s="249">
        <v>5.9849996566772461</v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212</v>
      </c>
      <c r="B23">
        <v>4.8499999046325684</v>
      </c>
      <c r="C23">
        <v>3.4158725738525391</v>
      </c>
      <c r="D23"/>
      <c r="E23"/>
      <c r="F23"/>
      <c r="G23"/>
      <c r="H23"/>
      <c r="I23"/>
      <c r="J23"/>
      <c r="K23"/>
      <c r="L23"/>
      <c r="M23" s="14">
        <v>8.5086571052670479E-3</v>
      </c>
      <c r="N23"/>
      <c r="O23" s="11">
        <v>1.1589304776862264E-3</v>
      </c>
      <c r="P23" s="11">
        <v>3.5730751696974039E-3</v>
      </c>
      <c r="Q23" s="15">
        <v>4.4939834624528885E-2</v>
      </c>
      <c r="R23" s="19">
        <v>8.5828080773353577E-2</v>
      </c>
      <c r="S23" s="19">
        <v>8.2356534898281097E-2</v>
      </c>
      <c r="T23" s="14">
        <v>1.0165884159505367E-2</v>
      </c>
      <c r="U23" s="23">
        <v>2.7272725477814674E-2</v>
      </c>
      <c r="V23"/>
      <c r="W23" s="19">
        <v>8.1861570477485657E-2</v>
      </c>
      <c r="X23"/>
      <c r="Y23" s="27">
        <v>0.16888514161109924</v>
      </c>
      <c r="Z23" s="23">
        <v>2.7198756113648415E-2</v>
      </c>
      <c r="AA23" s="248">
        <v>0.65717947483062744</v>
      </c>
      <c r="AB23" s="208">
        <v>0.23519858717918396</v>
      </c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213</v>
      </c>
      <c r="B24">
        <v>102.59999847412109</v>
      </c>
      <c r="C24">
        <v>89.804840087890625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 s="251">
        <v>12.795162200927734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214</v>
      </c>
      <c r="B25">
        <v>10.239999771118164</v>
      </c>
      <c r="C25">
        <v>0.51200008392333984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 s="240">
        <v>9.7279996871948242</v>
      </c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215</v>
      </c>
      <c r="B26"/>
      <c r="C26">
        <v>0.25345140695571899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 s="9">
        <v>3.3061224967241287E-2</v>
      </c>
      <c r="U26"/>
      <c r="V26"/>
      <c r="W26" s="9">
        <v>1.52400803565979</v>
      </c>
      <c r="X26"/>
      <c r="Y26" s="9">
        <v>1.3734782934188843</v>
      </c>
      <c r="Z26" s="9">
        <v>3.6620407104492188</v>
      </c>
      <c r="AA26" s="9">
        <v>11.492928504943848</v>
      </c>
      <c r="AB26" s="9">
        <v>41.049991607666016</v>
      </c>
      <c r="AC26" s="9">
        <v>207.92138671875</v>
      </c>
      <c r="AD26" s="9">
        <v>905.080078125</v>
      </c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216</v>
      </c>
      <c r="B27"/>
      <c r="C27">
        <v>0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88" t="s">
        <v>191</v>
      </c>
      <c r="E5">
        <v>4</v>
      </c>
      <c r="F5">
        <v>3.16</v>
      </c>
      <c r="G5">
        <v>4</v>
      </c>
      <c r="H5" s="189" t="s">
        <v>191</v>
      </c>
      <c r="J5" s="56"/>
      <c r="K5" s="57"/>
    </row>
    <row r="6" spans="1:12" ht="14" thickBot="1" x14ac:dyDescent="0.2">
      <c r="A6" s="40" t="s">
        <v>121</v>
      </c>
      <c r="D6" s="188" t="s">
        <v>192</v>
      </c>
      <c r="E6">
        <v>5</v>
      </c>
      <c r="F6">
        <v>3.14</v>
      </c>
      <c r="G6">
        <v>5</v>
      </c>
      <c r="H6" s="189" t="s">
        <v>192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88" t="s">
        <v>193</v>
      </c>
      <c r="E7">
        <v>6</v>
      </c>
      <c r="F7">
        <v>3.16</v>
      </c>
      <c r="G7">
        <v>6</v>
      </c>
      <c r="H7" s="189" t="s">
        <v>193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88" t="s">
        <v>194</v>
      </c>
      <c r="E8">
        <v>7</v>
      </c>
      <c r="F8">
        <v>3.24</v>
      </c>
      <c r="G8">
        <v>7</v>
      </c>
      <c r="H8" s="189" t="s">
        <v>194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88" t="s">
        <v>195</v>
      </c>
      <c r="E9">
        <v>8</v>
      </c>
      <c r="F9">
        <v>3.14</v>
      </c>
      <c r="G9">
        <v>8</v>
      </c>
      <c r="H9" s="189" t="s">
        <v>195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88" t="s">
        <v>196</v>
      </c>
      <c r="E10">
        <v>9</v>
      </c>
      <c r="F10">
        <v>3.13</v>
      </c>
      <c r="G10">
        <v>9</v>
      </c>
      <c r="H10" s="189" t="s">
        <v>196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88" t="s">
        <v>197</v>
      </c>
      <c r="E11">
        <v>10</v>
      </c>
      <c r="F11">
        <v>3.24</v>
      </c>
      <c r="G11">
        <v>10</v>
      </c>
      <c r="H11" s="189" t="s">
        <v>197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88" t="s">
        <v>198</v>
      </c>
      <c r="E12">
        <v>11</v>
      </c>
      <c r="F12">
        <v>3.14</v>
      </c>
      <c r="G12">
        <v>11</v>
      </c>
      <c r="H12" s="189" t="s">
        <v>198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88" t="s">
        <v>199</v>
      </c>
      <c r="E13">
        <v>12</v>
      </c>
      <c r="F13">
        <v>3.04</v>
      </c>
      <c r="G13">
        <v>12</v>
      </c>
      <c r="H13" s="189" t="s">
        <v>199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88" t="s">
        <v>200</v>
      </c>
      <c r="E14">
        <v>13</v>
      </c>
      <c r="F14">
        <v>3.23</v>
      </c>
      <c r="G14">
        <v>13</v>
      </c>
      <c r="H14" s="189" t="s">
        <v>200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88" t="s">
        <v>201</v>
      </c>
      <c r="E15">
        <v>14</v>
      </c>
      <c r="F15">
        <v>3.24</v>
      </c>
      <c r="G15">
        <v>14</v>
      </c>
      <c r="H15" s="189" t="s">
        <v>201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88" t="s">
        <v>202</v>
      </c>
      <c r="E16">
        <v>15</v>
      </c>
      <c r="F16">
        <v>3.24</v>
      </c>
      <c r="G16">
        <v>15</v>
      </c>
      <c r="H16" s="189" t="s">
        <v>202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88" t="s">
        <v>203</v>
      </c>
      <c r="E17">
        <v>16</v>
      </c>
      <c r="F17">
        <v>3.24</v>
      </c>
      <c r="G17">
        <v>16</v>
      </c>
      <c r="H17" s="189" t="s">
        <v>203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88" t="s">
        <v>204</v>
      </c>
      <c r="E18">
        <v>17</v>
      </c>
      <c r="F18">
        <v>3.14</v>
      </c>
      <c r="G18">
        <v>17</v>
      </c>
      <c r="H18" s="189" t="s">
        <v>204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88" t="s">
        <v>205</v>
      </c>
      <c r="E19">
        <v>18</v>
      </c>
      <c r="F19">
        <v>3.24</v>
      </c>
      <c r="G19">
        <v>18</v>
      </c>
      <c r="H19" s="189" t="s">
        <v>205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88" t="s">
        <v>206</v>
      </c>
      <c r="E20">
        <v>19</v>
      </c>
      <c r="F20">
        <v>3.15</v>
      </c>
      <c r="G20">
        <v>19</v>
      </c>
      <c r="H20" s="189" t="s">
        <v>206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88" t="s">
        <v>207</v>
      </c>
      <c r="E21">
        <v>20</v>
      </c>
      <c r="F21">
        <v>3.24</v>
      </c>
      <c r="G21">
        <v>20</v>
      </c>
      <c r="H21" s="189" t="s">
        <v>207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88" t="s">
        <v>208</v>
      </c>
      <c r="E22">
        <v>21</v>
      </c>
      <c r="F22">
        <v>3.04</v>
      </c>
      <c r="G22">
        <v>21</v>
      </c>
      <c r="H22" s="189" t="s">
        <v>208</v>
      </c>
    </row>
    <row r="23" spans="1:12" x14ac:dyDescent="0.15">
      <c r="A23" s="35" t="s">
        <v>129</v>
      </c>
      <c r="B23" s="43">
        <v>4</v>
      </c>
      <c r="C23" s="37"/>
      <c r="D23" s="188" t="s">
        <v>209</v>
      </c>
      <c r="E23">
        <v>22</v>
      </c>
      <c r="F23">
        <v>3.21</v>
      </c>
      <c r="G23">
        <v>22</v>
      </c>
      <c r="H23" s="189" t="s">
        <v>209</v>
      </c>
    </row>
    <row r="24" spans="1:12" x14ac:dyDescent="0.15">
      <c r="A24" s="35" t="s">
        <v>122</v>
      </c>
      <c r="B24" s="43">
        <v>4.0999999999999996</v>
      </c>
      <c r="C24" s="37"/>
      <c r="D24" s="188" t="s">
        <v>210</v>
      </c>
      <c r="E24">
        <v>23</v>
      </c>
      <c r="F24">
        <v>3.02</v>
      </c>
      <c r="G24">
        <v>23</v>
      </c>
      <c r="H24" s="189" t="s">
        <v>210</v>
      </c>
    </row>
    <row r="25" spans="1:12" x14ac:dyDescent="0.15">
      <c r="A25" s="35" t="s">
        <v>70</v>
      </c>
      <c r="B25" s="43">
        <v>4.2</v>
      </c>
      <c r="C25" s="37"/>
      <c r="D25" s="188" t="s">
        <v>211</v>
      </c>
      <c r="E25">
        <v>24</v>
      </c>
      <c r="F25">
        <v>3.11</v>
      </c>
      <c r="G25">
        <v>24</v>
      </c>
      <c r="H25" s="189" t="s">
        <v>211</v>
      </c>
    </row>
    <row r="26" spans="1:12" x14ac:dyDescent="0.15">
      <c r="A26" s="35" t="s">
        <v>123</v>
      </c>
      <c r="B26" s="43">
        <v>4.3</v>
      </c>
      <c r="C26" s="37"/>
      <c r="D26" s="188" t="s">
        <v>212</v>
      </c>
      <c r="E26">
        <v>25</v>
      </c>
      <c r="F26">
        <v>3.21</v>
      </c>
      <c r="G26">
        <v>25</v>
      </c>
      <c r="H26" s="189" t="s">
        <v>212</v>
      </c>
    </row>
    <row r="27" spans="1:12" x14ac:dyDescent="0.15">
      <c r="A27" s="35" t="s">
        <v>125</v>
      </c>
      <c r="B27" s="43">
        <v>6.1</v>
      </c>
      <c r="D27" s="188" t="s">
        <v>213</v>
      </c>
      <c r="E27">
        <v>26</v>
      </c>
      <c r="F27">
        <v>2.1</v>
      </c>
      <c r="G27">
        <v>26</v>
      </c>
      <c r="H27" s="189" t="s">
        <v>213</v>
      </c>
    </row>
    <row r="28" spans="1:12" x14ac:dyDescent="0.15">
      <c r="A28" s="35" t="s">
        <v>124</v>
      </c>
      <c r="B28" s="43">
        <v>6.2</v>
      </c>
      <c r="D28" s="188" t="s">
        <v>214</v>
      </c>
      <c r="E28">
        <v>27</v>
      </c>
      <c r="F28">
        <v>2.2200000000000002</v>
      </c>
      <c r="G28">
        <v>27</v>
      </c>
      <c r="H28" s="189" t="s">
        <v>214</v>
      </c>
    </row>
    <row r="29" spans="1:12" x14ac:dyDescent="0.15">
      <c r="A29" s="35" t="s">
        <v>44</v>
      </c>
      <c r="B29" s="43">
        <v>5</v>
      </c>
      <c r="D29" s="188" t="s">
        <v>215</v>
      </c>
      <c r="E29">
        <v>28</v>
      </c>
      <c r="F29">
        <v>4.0999999999999996</v>
      </c>
      <c r="G29">
        <v>28</v>
      </c>
      <c r="H29" s="189" t="s">
        <v>215</v>
      </c>
    </row>
    <row r="30" spans="1:12" x14ac:dyDescent="0.15">
      <c r="A30" s="35" t="s">
        <v>73</v>
      </c>
      <c r="B30" s="43">
        <v>7</v>
      </c>
      <c r="D30" s="188" t="s">
        <v>216</v>
      </c>
      <c r="E30">
        <v>29</v>
      </c>
      <c r="F30">
        <v>4.3</v>
      </c>
      <c r="G30">
        <v>29</v>
      </c>
      <c r="H30" s="189" t="s">
        <v>216</v>
      </c>
    </row>
    <row r="31" spans="1:12" x14ac:dyDescent="0.15">
      <c r="A31" s="35" t="s">
        <v>169</v>
      </c>
      <c r="B31" s="43">
        <v>3.14</v>
      </c>
      <c r="D31" s="188" t="s">
        <v>217</v>
      </c>
      <c r="E31">
        <v>30</v>
      </c>
      <c r="F31">
        <v>5</v>
      </c>
      <c r="G31">
        <v>30</v>
      </c>
      <c r="H31" s="189" t="s">
        <v>217</v>
      </c>
    </row>
    <row r="32" spans="1:12" ht="12" customHeight="1" thickBot="1" x14ac:dyDescent="0.2">
      <c r="A32" s="41" t="s">
        <v>170</v>
      </c>
      <c r="B32" s="44">
        <v>9</v>
      </c>
      <c r="D32" s="188" t="s">
        <v>218</v>
      </c>
      <c r="E32">
        <v>31</v>
      </c>
      <c r="F32">
        <v>5</v>
      </c>
      <c r="G32">
        <v>31</v>
      </c>
      <c r="H32" s="189" t="s">
        <v>218</v>
      </c>
    </row>
    <row r="33" spans="4:8" customFormat="1" ht="12" customHeight="1" x14ac:dyDescent="0.15">
      <c r="D33" s="188" t="s">
        <v>219</v>
      </c>
      <c r="E33">
        <v>32</v>
      </c>
      <c r="F33">
        <v>5</v>
      </c>
      <c r="G33">
        <v>32</v>
      </c>
      <c r="H33" s="189" t="s">
        <v>219</v>
      </c>
    </row>
    <row r="34" spans="4:8" customFormat="1" ht="12" customHeight="1" x14ac:dyDescent="0.15">
      <c r="D34" s="188" t="s">
        <v>220</v>
      </c>
      <c r="E34">
        <v>33</v>
      </c>
      <c r="F34">
        <v>5</v>
      </c>
      <c r="G34">
        <v>33</v>
      </c>
      <c r="H34" s="189" t="s">
        <v>220</v>
      </c>
    </row>
    <row r="35" spans="4:8" customFormat="1" x14ac:dyDescent="0.15">
      <c r="D35" s="188" t="s">
        <v>221</v>
      </c>
      <c r="E35">
        <v>34</v>
      </c>
      <c r="F35">
        <v>5</v>
      </c>
      <c r="G35">
        <v>34</v>
      </c>
      <c r="H35" s="189" t="s">
        <v>221</v>
      </c>
    </row>
    <row r="36" spans="4:8" customFormat="1" x14ac:dyDescent="0.15">
      <c r="D36" s="188" t="s">
        <v>138</v>
      </c>
      <c r="E36">
        <v>35</v>
      </c>
      <c r="F36">
        <v>6.1</v>
      </c>
      <c r="G36">
        <v>35</v>
      </c>
      <c r="H36" s="189" t="s">
        <v>138</v>
      </c>
    </row>
    <row r="37" spans="4:8" customFormat="1" ht="12" customHeight="1" x14ac:dyDescent="0.15">
      <c r="D37" s="188" t="s">
        <v>45</v>
      </c>
      <c r="E37">
        <v>36</v>
      </c>
      <c r="F37">
        <v>6.2</v>
      </c>
      <c r="G37">
        <v>36</v>
      </c>
      <c r="H37" s="189" t="s">
        <v>45</v>
      </c>
    </row>
    <row r="38" spans="4:8" customFormat="1" x14ac:dyDescent="0.15"/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3" activePane="bottomLeft" state="frozen"/>
      <selection pane="bottomLeft" activeCell="T7" sqref="T7"/>
    </sheetView>
  </sheetViews>
  <sheetFormatPr baseColWidth="10" defaultColWidth="11.5" defaultRowHeight="15" customHeight="1" x14ac:dyDescent="0.15"/>
  <cols>
    <col min="1" max="1" width="11.5" style="79" bestFit="1" customWidth="1"/>
    <col min="2" max="2" width="12.83203125" style="78" customWidth="1"/>
    <col min="3" max="3" width="11.5" style="78" customWidth="1"/>
    <col min="4" max="4" width="6.83203125" style="78" customWidth="1"/>
    <col min="5" max="5" width="12.83203125" style="78" customWidth="1"/>
    <col min="6" max="6" width="21.6640625" style="78" bestFit="1" customWidth="1"/>
    <col min="7" max="9" width="2.33203125" style="78" customWidth="1"/>
    <col min="10" max="10" width="2.33203125" style="78" bestFit="1" customWidth="1"/>
    <col min="11" max="15" width="2.33203125" style="78" customWidth="1"/>
    <col min="16" max="16" width="2.33203125" style="68" customWidth="1"/>
    <col min="17" max="17" width="2.33203125" style="78" customWidth="1"/>
    <col min="18" max="18" width="2.33203125" style="69" customWidth="1"/>
    <col min="19" max="16384" width="11.5" style="78"/>
  </cols>
  <sheetData>
    <row r="1" spans="1:23" ht="15" customHeight="1" thickBot="1" x14ac:dyDescent="0.2">
      <c r="F1" s="1"/>
      <c r="G1" s="67" t="s">
        <v>46</v>
      </c>
      <c r="H1" s="67" t="s">
        <v>47</v>
      </c>
      <c r="I1" s="67" t="s">
        <v>120</v>
      </c>
      <c r="J1" s="67" t="s">
        <v>132</v>
      </c>
      <c r="K1" s="80" t="s">
        <v>48</v>
      </c>
      <c r="L1" s="69"/>
      <c r="M1" s="80" t="s">
        <v>119</v>
      </c>
      <c r="N1" s="69"/>
      <c r="O1" s="80" t="s">
        <v>49</v>
      </c>
      <c r="P1" s="71"/>
      <c r="Q1" s="80" t="s">
        <v>50</v>
      </c>
      <c r="R1" s="67" t="s">
        <v>154</v>
      </c>
    </row>
    <row r="2" spans="1:23" ht="15" customHeight="1" x14ac:dyDescent="0.15">
      <c r="A2" s="80" t="s">
        <v>51</v>
      </c>
      <c r="B2" s="81">
        <v>0.5</v>
      </c>
      <c r="C2" s="79" t="s">
        <v>52</v>
      </c>
      <c r="D2" s="82"/>
      <c r="F2" s="1"/>
      <c r="G2" s="83"/>
      <c r="H2" s="83"/>
      <c r="I2" s="83" t="s">
        <v>133</v>
      </c>
      <c r="J2" s="83" t="s">
        <v>133</v>
      </c>
      <c r="K2" s="83" t="s">
        <v>52</v>
      </c>
      <c r="L2" s="83" t="s">
        <v>53</v>
      </c>
      <c r="M2" s="83" t="s">
        <v>52</v>
      </c>
      <c r="N2" s="83" t="s">
        <v>53</v>
      </c>
      <c r="O2" s="83" t="s">
        <v>52</v>
      </c>
      <c r="P2" s="84" t="s">
        <v>53</v>
      </c>
      <c r="Q2" s="83"/>
      <c r="R2" s="85" t="s">
        <v>155</v>
      </c>
    </row>
    <row r="3" spans="1:23" ht="15" customHeight="1" thickBot="1" x14ac:dyDescent="0.2">
      <c r="A3" s="80" t="s">
        <v>54</v>
      </c>
      <c r="B3" s="86">
        <v>0.5</v>
      </c>
      <c r="C3" s="79" t="s">
        <v>53</v>
      </c>
      <c r="D3" s="82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2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2">
        <v>0</v>
      </c>
      <c r="R4" s="105">
        <v>0</v>
      </c>
    </row>
    <row r="5" spans="1:23" ht="15" customHeight="1" x14ac:dyDescent="0.15">
      <c r="A5" s="80" t="s">
        <v>55</v>
      </c>
      <c r="B5" s="87">
        <v>0.5</v>
      </c>
      <c r="C5" s="79" t="s">
        <v>52</v>
      </c>
      <c r="D5" s="82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2">
        <v>0</v>
      </c>
      <c r="R5" s="105">
        <v>0</v>
      </c>
    </row>
    <row r="6" spans="1:23" ht="15" customHeight="1" thickBot="1" x14ac:dyDescent="0.2">
      <c r="A6" s="80"/>
      <c r="B6" s="88">
        <v>0.5</v>
      </c>
      <c r="C6" s="79" t="s">
        <v>53</v>
      </c>
      <c r="D6" s="82"/>
      <c r="F6" s="190" t="s">
        <v>191</v>
      </c>
      <c r="G6" s="78">
        <v>0</v>
      </c>
      <c r="H6" s="78">
        <v>0</v>
      </c>
      <c r="I6" s="78">
        <v>0</v>
      </c>
      <c r="J6" s="78">
        <v>0</v>
      </c>
      <c r="K6" s="78">
        <v>1</v>
      </c>
      <c r="L6" s="78">
        <v>0</v>
      </c>
      <c r="M6" s="78">
        <v>1</v>
      </c>
      <c r="N6" s="78">
        <v>0</v>
      </c>
      <c r="O6" s="78">
        <v>1</v>
      </c>
      <c r="P6" s="68">
        <v>0</v>
      </c>
      <c r="Q6" s="78">
        <v>0</v>
      </c>
      <c r="R6" s="69">
        <v>1</v>
      </c>
      <c r="S6"/>
      <c r="T6"/>
    </row>
    <row r="7" spans="1:23" ht="15" customHeight="1" thickBot="1" x14ac:dyDescent="0.2">
      <c r="F7" s="190" t="s">
        <v>192</v>
      </c>
      <c r="G7" s="78">
        <v>0</v>
      </c>
      <c r="H7" s="78">
        <v>0</v>
      </c>
      <c r="I7" s="78">
        <v>0</v>
      </c>
      <c r="J7" s="78">
        <v>0</v>
      </c>
      <c r="K7" s="78">
        <v>1</v>
      </c>
      <c r="L7" s="78">
        <v>0</v>
      </c>
      <c r="M7" s="78">
        <v>1</v>
      </c>
      <c r="N7" s="78">
        <v>0</v>
      </c>
      <c r="O7" s="78">
        <v>1</v>
      </c>
      <c r="P7" s="68">
        <v>0</v>
      </c>
      <c r="Q7" s="78">
        <v>0</v>
      </c>
      <c r="R7" s="69">
        <v>1</v>
      </c>
      <c r="S7"/>
      <c r="T7"/>
    </row>
    <row r="8" spans="1:23" ht="15" customHeight="1" x14ac:dyDescent="0.15">
      <c r="A8" s="80" t="s">
        <v>56</v>
      </c>
      <c r="B8" s="87">
        <v>0.9999138983802297</v>
      </c>
      <c r="C8" s="191" t="s">
        <v>213</v>
      </c>
      <c r="D8" s="82" t="s">
        <v>160</v>
      </c>
      <c r="F8" s="190" t="s">
        <v>193</v>
      </c>
      <c r="G8" s="78">
        <v>0</v>
      </c>
      <c r="H8" s="78">
        <v>0</v>
      </c>
      <c r="I8" s="78">
        <v>0</v>
      </c>
      <c r="J8" s="78">
        <v>0</v>
      </c>
      <c r="K8" s="78">
        <v>1</v>
      </c>
      <c r="L8" s="78">
        <v>0</v>
      </c>
      <c r="M8" s="78">
        <v>1</v>
      </c>
      <c r="N8" s="78">
        <v>0</v>
      </c>
      <c r="O8" s="78">
        <v>1</v>
      </c>
      <c r="P8" s="68">
        <v>0</v>
      </c>
      <c r="Q8" s="78">
        <v>0</v>
      </c>
      <c r="R8" s="69">
        <v>1</v>
      </c>
      <c r="S8"/>
      <c r="T8"/>
      <c r="W8"/>
    </row>
    <row r="9" spans="1:23" ht="15" customHeight="1" x14ac:dyDescent="0.15">
      <c r="A9" s="119" t="s">
        <v>168</v>
      </c>
      <c r="B9" s="89">
        <v>8.6101619770268995E-5</v>
      </c>
      <c r="C9" s="191" t="s">
        <v>214</v>
      </c>
      <c r="D9" s="82" t="s">
        <v>160</v>
      </c>
      <c r="F9" s="190" t="s">
        <v>194</v>
      </c>
      <c r="G9" s="78">
        <v>0</v>
      </c>
      <c r="H9" s="78">
        <v>0</v>
      </c>
      <c r="I9" s="78">
        <v>0</v>
      </c>
      <c r="J9" s="78">
        <v>0</v>
      </c>
      <c r="K9" s="78">
        <v>1</v>
      </c>
      <c r="L9" s="78">
        <v>0</v>
      </c>
      <c r="M9" s="78">
        <v>1</v>
      </c>
      <c r="N9" s="78">
        <v>0</v>
      </c>
      <c r="O9" s="78">
        <v>1</v>
      </c>
      <c r="P9" s="68">
        <v>0</v>
      </c>
      <c r="Q9" s="78">
        <v>0</v>
      </c>
      <c r="R9" s="69">
        <v>1</v>
      </c>
      <c r="S9"/>
      <c r="T9"/>
      <c r="W9"/>
    </row>
    <row r="10" spans="1:23" ht="15" customHeight="1" x14ac:dyDescent="0.15">
      <c r="B10" s="89"/>
      <c r="C10" s="77"/>
      <c r="D10" s="82" t="s">
        <v>160</v>
      </c>
      <c r="F10" s="190" t="s">
        <v>195</v>
      </c>
      <c r="G10" s="78">
        <v>0</v>
      </c>
      <c r="H10" s="78">
        <v>0</v>
      </c>
      <c r="I10" s="78">
        <v>0</v>
      </c>
      <c r="J10" s="78">
        <v>0</v>
      </c>
      <c r="K10" s="78">
        <v>1</v>
      </c>
      <c r="L10" s="78">
        <v>0</v>
      </c>
      <c r="M10" s="78">
        <v>1</v>
      </c>
      <c r="N10" s="78">
        <v>0</v>
      </c>
      <c r="O10" s="78">
        <v>1</v>
      </c>
      <c r="P10" s="68">
        <v>0</v>
      </c>
      <c r="Q10" s="78">
        <v>0</v>
      </c>
      <c r="R10" s="69">
        <v>1</v>
      </c>
      <c r="S10"/>
      <c r="T10"/>
      <c r="W10"/>
    </row>
    <row r="11" spans="1:23" ht="15" customHeight="1" x14ac:dyDescent="0.15">
      <c r="A11" s="80"/>
      <c r="B11" s="89"/>
      <c r="C11" s="92"/>
      <c r="D11" s="82" t="s">
        <v>160</v>
      </c>
      <c r="F11" s="190" t="s">
        <v>196</v>
      </c>
      <c r="G11" s="78">
        <v>0</v>
      </c>
      <c r="H11" s="78">
        <v>0</v>
      </c>
      <c r="I11" s="78">
        <v>0</v>
      </c>
      <c r="J11" s="78">
        <v>0</v>
      </c>
      <c r="K11" s="78">
        <v>1</v>
      </c>
      <c r="L11" s="78">
        <v>0</v>
      </c>
      <c r="M11" s="78">
        <v>1</v>
      </c>
      <c r="N11" s="78">
        <v>0</v>
      </c>
      <c r="O11" s="78">
        <v>1</v>
      </c>
      <c r="P11" s="68">
        <v>0</v>
      </c>
      <c r="Q11" s="78">
        <v>0</v>
      </c>
      <c r="R11" s="69">
        <v>1</v>
      </c>
      <c r="S11"/>
      <c r="T11"/>
      <c r="W11"/>
    </row>
    <row r="12" spans="1:23" ht="15" customHeight="1" x14ac:dyDescent="0.15">
      <c r="B12" s="89"/>
      <c r="C12" s="93"/>
      <c r="D12" s="82" t="s">
        <v>160</v>
      </c>
      <c r="F12" s="190" t="s">
        <v>197</v>
      </c>
      <c r="G12" s="78">
        <v>0</v>
      </c>
      <c r="H12" s="78">
        <v>0</v>
      </c>
      <c r="I12" s="78">
        <v>0</v>
      </c>
      <c r="J12" s="78">
        <v>0</v>
      </c>
      <c r="K12" s="78">
        <v>1</v>
      </c>
      <c r="L12" s="78">
        <v>0</v>
      </c>
      <c r="M12" s="78">
        <v>1</v>
      </c>
      <c r="N12" s="78">
        <v>0</v>
      </c>
      <c r="O12" s="78">
        <v>1</v>
      </c>
      <c r="P12" s="68">
        <v>0</v>
      </c>
      <c r="Q12" s="78">
        <v>0</v>
      </c>
      <c r="R12" s="69">
        <v>1</v>
      </c>
      <c r="S12"/>
      <c r="T12"/>
      <c r="W12"/>
    </row>
    <row r="13" spans="1:23" ht="15" customHeight="1" x14ac:dyDescent="0.15">
      <c r="B13" s="89"/>
      <c r="C13" s="93"/>
      <c r="D13" s="82" t="s">
        <v>160</v>
      </c>
      <c r="F13" s="190" t="s">
        <v>198</v>
      </c>
      <c r="G13" s="78">
        <v>0</v>
      </c>
      <c r="H13" s="78">
        <v>0</v>
      </c>
      <c r="I13" s="78">
        <v>0</v>
      </c>
      <c r="J13" s="78">
        <v>0</v>
      </c>
      <c r="K13" s="78">
        <v>1</v>
      </c>
      <c r="L13" s="78">
        <v>0</v>
      </c>
      <c r="M13" s="78">
        <v>1</v>
      </c>
      <c r="N13" s="78">
        <v>0</v>
      </c>
      <c r="O13" s="78">
        <v>1</v>
      </c>
      <c r="P13" s="68">
        <v>0</v>
      </c>
      <c r="Q13" s="78">
        <v>0</v>
      </c>
      <c r="R13" s="69">
        <v>1</v>
      </c>
      <c r="S13"/>
      <c r="T13"/>
      <c r="W13"/>
    </row>
    <row r="14" spans="1:23" ht="15" customHeight="1" x14ac:dyDescent="0.15">
      <c r="B14" s="89"/>
      <c r="C14" s="77"/>
      <c r="D14" s="82" t="s">
        <v>160</v>
      </c>
      <c r="F14" s="190" t="s">
        <v>199</v>
      </c>
      <c r="G14" s="78">
        <v>0</v>
      </c>
      <c r="H14" s="78">
        <v>0</v>
      </c>
      <c r="I14" s="78">
        <v>0</v>
      </c>
      <c r="J14" s="78">
        <v>0</v>
      </c>
      <c r="K14" s="78">
        <v>1</v>
      </c>
      <c r="L14" s="78">
        <v>0</v>
      </c>
      <c r="M14" s="78">
        <v>1</v>
      </c>
      <c r="N14" s="78">
        <v>0</v>
      </c>
      <c r="O14" s="78">
        <v>1</v>
      </c>
      <c r="P14" s="68">
        <v>0</v>
      </c>
      <c r="Q14" s="78">
        <v>0</v>
      </c>
      <c r="R14" s="69">
        <v>1</v>
      </c>
      <c r="S14"/>
      <c r="T14"/>
      <c r="W14"/>
    </row>
    <row r="15" spans="1:23" ht="15" customHeight="1" x14ac:dyDescent="0.15">
      <c r="B15" s="89"/>
      <c r="C15" s="77"/>
      <c r="D15" s="82" t="s">
        <v>160</v>
      </c>
      <c r="F15" s="190" t="s">
        <v>200</v>
      </c>
      <c r="G15" s="78">
        <v>0</v>
      </c>
      <c r="H15" s="78">
        <v>0</v>
      </c>
      <c r="I15" s="78">
        <v>0</v>
      </c>
      <c r="J15" s="78">
        <v>0</v>
      </c>
      <c r="K15" s="78">
        <v>1</v>
      </c>
      <c r="L15" s="78">
        <v>0</v>
      </c>
      <c r="M15" s="78">
        <v>1</v>
      </c>
      <c r="N15" s="78">
        <v>0</v>
      </c>
      <c r="O15" s="78">
        <v>1</v>
      </c>
      <c r="P15" s="68">
        <v>0</v>
      </c>
      <c r="Q15" s="78">
        <v>0</v>
      </c>
      <c r="R15" s="69">
        <v>1</v>
      </c>
      <c r="S15"/>
      <c r="T15"/>
      <c r="W15"/>
    </row>
    <row r="16" spans="1:23" ht="15" customHeight="1" x14ac:dyDescent="0.15">
      <c r="B16" s="89"/>
      <c r="C16" s="77"/>
      <c r="D16" s="82" t="s">
        <v>160</v>
      </c>
      <c r="F16" s="190" t="s">
        <v>201</v>
      </c>
      <c r="G16" s="78">
        <v>0</v>
      </c>
      <c r="H16" s="78">
        <v>0</v>
      </c>
      <c r="I16" s="78">
        <v>0</v>
      </c>
      <c r="J16" s="78">
        <v>0</v>
      </c>
      <c r="K16" s="78">
        <v>1</v>
      </c>
      <c r="L16" s="78">
        <v>0</v>
      </c>
      <c r="M16" s="78">
        <v>1</v>
      </c>
      <c r="N16" s="78">
        <v>0</v>
      </c>
      <c r="O16" s="78">
        <v>1</v>
      </c>
      <c r="P16" s="68">
        <v>0</v>
      </c>
      <c r="Q16" s="78">
        <v>0</v>
      </c>
      <c r="R16" s="69">
        <v>1</v>
      </c>
      <c r="S16"/>
      <c r="T16"/>
    </row>
    <row r="17" spans="1:20" ht="15" customHeight="1" thickBot="1" x14ac:dyDescent="0.2">
      <c r="B17" s="88"/>
      <c r="C17" s="77"/>
      <c r="D17" s="82" t="s">
        <v>160</v>
      </c>
      <c r="F17" s="190" t="s">
        <v>202</v>
      </c>
      <c r="G17" s="78">
        <v>0</v>
      </c>
      <c r="H17" s="78">
        <v>0</v>
      </c>
      <c r="I17" s="78">
        <v>0</v>
      </c>
      <c r="J17" s="78">
        <v>0</v>
      </c>
      <c r="K17" s="78">
        <v>1</v>
      </c>
      <c r="L17" s="78">
        <v>0</v>
      </c>
      <c r="M17" s="78">
        <v>1</v>
      </c>
      <c r="N17" s="78">
        <v>0</v>
      </c>
      <c r="O17" s="78">
        <v>1</v>
      </c>
      <c r="P17" s="68">
        <v>0</v>
      </c>
      <c r="Q17" s="78">
        <v>0</v>
      </c>
      <c r="R17" s="69">
        <v>1</v>
      </c>
      <c r="S17"/>
      <c r="T17"/>
    </row>
    <row r="18" spans="1:20" ht="15" customHeight="1" thickBot="1" x14ac:dyDescent="0.2">
      <c r="B18" s="90"/>
      <c r="F18" s="190" t="s">
        <v>203</v>
      </c>
      <c r="G18" s="78">
        <v>0</v>
      </c>
      <c r="H18" s="78">
        <v>0</v>
      </c>
      <c r="I18" s="78">
        <v>0</v>
      </c>
      <c r="J18" s="78">
        <v>0</v>
      </c>
      <c r="K18" s="78">
        <v>1</v>
      </c>
      <c r="L18" s="78">
        <v>0</v>
      </c>
      <c r="M18" s="78">
        <v>1</v>
      </c>
      <c r="N18" s="78">
        <v>0</v>
      </c>
      <c r="O18" s="78">
        <v>1</v>
      </c>
      <c r="P18" s="68">
        <v>0</v>
      </c>
      <c r="Q18" s="78">
        <v>0</v>
      </c>
      <c r="R18" s="69">
        <v>1</v>
      </c>
      <c r="S18"/>
      <c r="T18"/>
    </row>
    <row r="19" spans="1:20" ht="15" customHeight="1" x14ac:dyDescent="0.15">
      <c r="A19" s="80" t="s">
        <v>57</v>
      </c>
      <c r="B19" s="87">
        <v>0.9999138983802297</v>
      </c>
      <c r="C19" s="192" t="s">
        <v>213</v>
      </c>
      <c r="D19" s="82" t="s">
        <v>160</v>
      </c>
      <c r="F19" s="190" t="s">
        <v>204</v>
      </c>
      <c r="G19" s="78">
        <v>0</v>
      </c>
      <c r="H19" s="78">
        <v>0</v>
      </c>
      <c r="I19" s="78">
        <v>0</v>
      </c>
      <c r="J19" s="78">
        <v>0</v>
      </c>
      <c r="K19" s="78">
        <v>1</v>
      </c>
      <c r="L19" s="78">
        <v>0</v>
      </c>
      <c r="M19" s="78">
        <v>1</v>
      </c>
      <c r="N19" s="78">
        <v>0</v>
      </c>
      <c r="O19" s="78">
        <v>1</v>
      </c>
      <c r="P19" s="68">
        <v>0</v>
      </c>
      <c r="Q19" s="78">
        <v>0</v>
      </c>
      <c r="R19" s="69">
        <v>1</v>
      </c>
      <c r="S19"/>
      <c r="T19"/>
    </row>
    <row r="20" spans="1:20" ht="15" customHeight="1" x14ac:dyDescent="0.15">
      <c r="A20" s="119" t="s">
        <v>168</v>
      </c>
      <c r="B20" s="89">
        <v>8.6101619770268995E-5</v>
      </c>
      <c r="C20" s="192" t="s">
        <v>214</v>
      </c>
      <c r="D20" s="82" t="s">
        <v>160</v>
      </c>
      <c r="F20" s="190" t="s">
        <v>205</v>
      </c>
      <c r="G20" s="78">
        <v>0</v>
      </c>
      <c r="H20" s="78">
        <v>0</v>
      </c>
      <c r="I20" s="78">
        <v>0</v>
      </c>
      <c r="J20" s="78">
        <v>0</v>
      </c>
      <c r="K20" s="78">
        <v>1</v>
      </c>
      <c r="L20" s="78">
        <v>0</v>
      </c>
      <c r="M20" s="78">
        <v>1</v>
      </c>
      <c r="N20" s="78">
        <v>0</v>
      </c>
      <c r="O20" s="78">
        <v>1</v>
      </c>
      <c r="P20" s="68">
        <v>0</v>
      </c>
      <c r="Q20" s="78">
        <v>0</v>
      </c>
      <c r="R20" s="69">
        <v>1</v>
      </c>
      <c r="S20"/>
      <c r="T20"/>
    </row>
    <row r="21" spans="1:20" ht="15" customHeight="1" x14ac:dyDescent="0.15">
      <c r="B21" s="89"/>
      <c r="C21" s="77"/>
      <c r="D21" s="82" t="s">
        <v>160</v>
      </c>
      <c r="F21" s="190" t="s">
        <v>206</v>
      </c>
      <c r="G21" s="78">
        <v>0</v>
      </c>
      <c r="H21" s="78">
        <v>0</v>
      </c>
      <c r="I21" s="78">
        <v>0</v>
      </c>
      <c r="J21" s="78">
        <v>0</v>
      </c>
      <c r="K21" s="78">
        <v>1</v>
      </c>
      <c r="L21" s="78">
        <v>0</v>
      </c>
      <c r="M21" s="78">
        <v>1</v>
      </c>
      <c r="N21" s="78">
        <v>0</v>
      </c>
      <c r="O21" s="78">
        <v>1</v>
      </c>
      <c r="P21" s="68">
        <v>0</v>
      </c>
      <c r="Q21" s="78">
        <v>0</v>
      </c>
      <c r="R21" s="69">
        <v>1</v>
      </c>
      <c r="S21"/>
      <c r="T21"/>
    </row>
    <row r="22" spans="1:20" ht="15" customHeight="1" x14ac:dyDescent="0.15">
      <c r="A22" s="78"/>
      <c r="B22" s="89"/>
      <c r="C22" s="92"/>
      <c r="D22" s="82" t="s">
        <v>160</v>
      </c>
      <c r="F22" s="190" t="s">
        <v>207</v>
      </c>
      <c r="G22" s="78">
        <v>0</v>
      </c>
      <c r="H22" s="78">
        <v>0</v>
      </c>
      <c r="I22" s="78">
        <v>0</v>
      </c>
      <c r="J22" s="78">
        <v>0</v>
      </c>
      <c r="K22" s="78">
        <v>1</v>
      </c>
      <c r="L22" s="78">
        <v>0</v>
      </c>
      <c r="M22" s="78">
        <v>1</v>
      </c>
      <c r="N22" s="78">
        <v>0</v>
      </c>
      <c r="O22" s="78">
        <v>1</v>
      </c>
      <c r="P22" s="68">
        <v>0</v>
      </c>
      <c r="Q22" s="78">
        <v>0</v>
      </c>
      <c r="R22" s="69">
        <v>1</v>
      </c>
      <c r="S22"/>
      <c r="T22"/>
    </row>
    <row r="23" spans="1:20" ht="15" customHeight="1" x14ac:dyDescent="0.15">
      <c r="A23" s="78"/>
      <c r="B23" s="89"/>
      <c r="C23" s="93"/>
      <c r="D23" s="82" t="s">
        <v>160</v>
      </c>
      <c r="F23" s="190" t="s">
        <v>208</v>
      </c>
      <c r="G23" s="78">
        <v>0</v>
      </c>
      <c r="H23" s="78">
        <v>0</v>
      </c>
      <c r="I23" s="78">
        <v>0</v>
      </c>
      <c r="J23" s="78">
        <v>0</v>
      </c>
      <c r="K23" s="78">
        <v>1</v>
      </c>
      <c r="L23" s="78">
        <v>0</v>
      </c>
      <c r="M23" s="78">
        <v>1</v>
      </c>
      <c r="N23" s="78">
        <v>0</v>
      </c>
      <c r="O23" s="78">
        <v>1</v>
      </c>
      <c r="P23" s="68">
        <v>0</v>
      </c>
      <c r="Q23" s="78">
        <v>0</v>
      </c>
      <c r="R23" s="69">
        <v>1</v>
      </c>
      <c r="S23"/>
      <c r="T23"/>
    </row>
    <row r="24" spans="1:20" ht="15" customHeight="1" x14ac:dyDescent="0.15">
      <c r="A24" s="78"/>
      <c r="B24" s="89"/>
      <c r="C24" s="93"/>
      <c r="D24" s="82" t="s">
        <v>160</v>
      </c>
      <c r="F24" s="190" t="s">
        <v>209</v>
      </c>
      <c r="G24" s="78">
        <v>0</v>
      </c>
      <c r="H24" s="78">
        <v>0</v>
      </c>
      <c r="I24" s="78">
        <v>0</v>
      </c>
      <c r="J24" s="78">
        <v>0</v>
      </c>
      <c r="K24" s="78">
        <v>1</v>
      </c>
      <c r="L24" s="78">
        <v>0</v>
      </c>
      <c r="M24" s="78">
        <v>1</v>
      </c>
      <c r="N24" s="78">
        <v>0</v>
      </c>
      <c r="O24" s="78">
        <v>1</v>
      </c>
      <c r="P24" s="68">
        <v>0</v>
      </c>
      <c r="Q24" s="78">
        <v>0</v>
      </c>
      <c r="R24" s="69">
        <v>1</v>
      </c>
      <c r="S24"/>
      <c r="T24"/>
    </row>
    <row r="25" spans="1:20" ht="15" customHeight="1" x14ac:dyDescent="0.15">
      <c r="A25" s="78"/>
      <c r="B25" s="89"/>
      <c r="C25" s="77"/>
      <c r="D25" s="82" t="s">
        <v>160</v>
      </c>
      <c r="F25" s="190" t="s">
        <v>210</v>
      </c>
      <c r="G25" s="78">
        <v>0</v>
      </c>
      <c r="H25" s="78">
        <v>0</v>
      </c>
      <c r="I25" s="78">
        <v>0</v>
      </c>
      <c r="J25" s="78">
        <v>0</v>
      </c>
      <c r="K25" s="78">
        <v>1</v>
      </c>
      <c r="L25" s="78">
        <v>0</v>
      </c>
      <c r="M25" s="78">
        <v>1</v>
      </c>
      <c r="N25" s="78">
        <v>0</v>
      </c>
      <c r="O25" s="78">
        <v>1</v>
      </c>
      <c r="P25" s="68">
        <v>0</v>
      </c>
      <c r="Q25" s="78">
        <v>0</v>
      </c>
      <c r="R25" s="69">
        <v>1</v>
      </c>
      <c r="S25"/>
      <c r="T25"/>
    </row>
    <row r="26" spans="1:20" ht="15" customHeight="1" x14ac:dyDescent="0.15">
      <c r="B26" s="89"/>
      <c r="C26" s="77"/>
      <c r="D26" s="82" t="s">
        <v>160</v>
      </c>
      <c r="F26" s="190" t="s">
        <v>211</v>
      </c>
      <c r="G26" s="78">
        <v>0</v>
      </c>
      <c r="H26" s="78">
        <v>0</v>
      </c>
      <c r="I26" s="78">
        <v>0</v>
      </c>
      <c r="J26" s="78">
        <v>0</v>
      </c>
      <c r="K26" s="78">
        <v>1</v>
      </c>
      <c r="L26" s="78">
        <v>0</v>
      </c>
      <c r="M26" s="78">
        <v>1</v>
      </c>
      <c r="N26" s="78">
        <v>0</v>
      </c>
      <c r="O26" s="78">
        <v>1</v>
      </c>
      <c r="P26" s="68">
        <v>0</v>
      </c>
      <c r="Q26" s="78">
        <v>0</v>
      </c>
      <c r="R26" s="69">
        <v>1</v>
      </c>
      <c r="S26"/>
      <c r="T26"/>
    </row>
    <row r="27" spans="1:20" ht="15" customHeight="1" x14ac:dyDescent="0.15">
      <c r="B27" s="89"/>
      <c r="C27" s="77"/>
      <c r="D27" s="82" t="s">
        <v>160</v>
      </c>
      <c r="F27" s="190" t="s">
        <v>212</v>
      </c>
      <c r="G27" s="78">
        <v>0</v>
      </c>
      <c r="H27" s="78">
        <v>0</v>
      </c>
      <c r="I27" s="78">
        <v>0</v>
      </c>
      <c r="J27" s="78">
        <v>0</v>
      </c>
      <c r="K27" s="78">
        <v>1</v>
      </c>
      <c r="L27" s="78">
        <v>0</v>
      </c>
      <c r="M27" s="78">
        <v>1</v>
      </c>
      <c r="N27" s="78">
        <v>0</v>
      </c>
      <c r="O27" s="78">
        <v>1</v>
      </c>
      <c r="P27" s="68">
        <v>0</v>
      </c>
      <c r="Q27" s="78">
        <v>0</v>
      </c>
      <c r="R27" s="69">
        <v>1</v>
      </c>
      <c r="S27"/>
      <c r="T27"/>
    </row>
    <row r="28" spans="1:20" ht="15" customHeight="1" thickBot="1" x14ac:dyDescent="0.2">
      <c r="B28" s="88"/>
      <c r="C28" s="77"/>
      <c r="D28" s="82" t="s">
        <v>160</v>
      </c>
      <c r="F28" s="190" t="s">
        <v>213</v>
      </c>
      <c r="G28" s="78">
        <v>0</v>
      </c>
      <c r="H28" s="78">
        <v>0</v>
      </c>
      <c r="I28" s="78">
        <v>0</v>
      </c>
      <c r="J28" s="78">
        <v>0</v>
      </c>
      <c r="K28" s="78">
        <v>0</v>
      </c>
      <c r="L28" s="78">
        <v>0</v>
      </c>
      <c r="M28" s="78">
        <v>1</v>
      </c>
      <c r="N28" s="78">
        <v>0</v>
      </c>
      <c r="O28" s="78">
        <v>0</v>
      </c>
      <c r="P28" s="68">
        <v>0</v>
      </c>
      <c r="Q28" s="78">
        <v>0</v>
      </c>
      <c r="R28" s="69">
        <v>1</v>
      </c>
      <c r="S28"/>
      <c r="T28"/>
    </row>
    <row r="29" spans="1:20" ht="15" customHeight="1" x14ac:dyDescent="0.15">
      <c r="F29" s="190" t="s">
        <v>214</v>
      </c>
      <c r="G29" s="78">
        <v>0</v>
      </c>
      <c r="H29" s="78">
        <v>0</v>
      </c>
      <c r="I29" s="78">
        <v>0</v>
      </c>
      <c r="J29" s="78">
        <v>0</v>
      </c>
      <c r="K29" s="78">
        <v>0</v>
      </c>
      <c r="L29" s="78">
        <v>0</v>
      </c>
      <c r="M29" s="78">
        <v>1</v>
      </c>
      <c r="N29" s="78">
        <v>0</v>
      </c>
      <c r="O29" s="78">
        <v>0</v>
      </c>
      <c r="P29" s="68">
        <v>0</v>
      </c>
      <c r="Q29" s="78">
        <v>0</v>
      </c>
      <c r="R29" s="69">
        <v>1</v>
      </c>
      <c r="S29"/>
      <c r="T29"/>
    </row>
    <row r="30" spans="1:20" ht="15" customHeight="1" x14ac:dyDescent="0.15">
      <c r="F30" s="190" t="s">
        <v>215</v>
      </c>
      <c r="G30" s="78">
        <v>0</v>
      </c>
      <c r="H30" s="78">
        <v>0</v>
      </c>
      <c r="I30" s="78">
        <v>0</v>
      </c>
      <c r="J30" s="78">
        <v>0</v>
      </c>
      <c r="K30" s="78">
        <v>0</v>
      </c>
      <c r="L30" s="78">
        <v>1</v>
      </c>
      <c r="M30" s="78">
        <v>0</v>
      </c>
      <c r="N30" s="78">
        <v>1</v>
      </c>
      <c r="O30" s="78">
        <v>0</v>
      </c>
      <c r="P30" s="68">
        <v>1</v>
      </c>
      <c r="Q30" s="78">
        <v>0</v>
      </c>
      <c r="R30" s="69">
        <v>1</v>
      </c>
      <c r="S30"/>
      <c r="T30"/>
    </row>
    <row r="31" spans="1:20" ht="15" customHeight="1" x14ac:dyDescent="0.15">
      <c r="A31" s="120"/>
      <c r="B31" s="130" t="s">
        <v>17</v>
      </c>
      <c r="C31" s="130" t="s">
        <v>1</v>
      </c>
      <c r="D31" s="130" t="s">
        <v>161</v>
      </c>
      <c r="E31" s="131" t="s">
        <v>163</v>
      </c>
      <c r="F31" s="190" t="s">
        <v>216</v>
      </c>
      <c r="G31" s="78">
        <v>0</v>
      </c>
      <c r="H31" s="78">
        <v>0</v>
      </c>
      <c r="I31" s="78">
        <v>0</v>
      </c>
      <c r="J31" s="78">
        <v>0</v>
      </c>
      <c r="K31" s="78">
        <v>0</v>
      </c>
      <c r="L31" s="78">
        <v>1</v>
      </c>
      <c r="M31" s="78">
        <v>0</v>
      </c>
      <c r="N31" s="78">
        <v>1</v>
      </c>
      <c r="O31" s="78">
        <v>0</v>
      </c>
      <c r="P31" s="68">
        <v>1</v>
      </c>
      <c r="Q31" s="78">
        <v>0</v>
      </c>
      <c r="R31" s="69">
        <v>1</v>
      </c>
      <c r="S31"/>
      <c r="T31"/>
    </row>
    <row r="32" spans="1:20" ht="15" customHeight="1" x14ac:dyDescent="0.15">
      <c r="A32" s="193" t="s">
        <v>213</v>
      </c>
      <c r="B32" s="90">
        <v>45.5</v>
      </c>
      <c r="C32" s="90">
        <v>102.6</v>
      </c>
      <c r="D32" s="90">
        <v>4668.3</v>
      </c>
      <c r="E32" s="121">
        <v>0.9999138983802297</v>
      </c>
      <c r="F32" s="190" t="s">
        <v>217</v>
      </c>
      <c r="G32" s="78">
        <v>0</v>
      </c>
      <c r="H32" s="78">
        <v>0</v>
      </c>
      <c r="I32" s="78">
        <v>0</v>
      </c>
      <c r="J32" s="78">
        <v>0</v>
      </c>
      <c r="K32" s="78">
        <v>0</v>
      </c>
      <c r="L32" s="78">
        <v>1</v>
      </c>
      <c r="M32" s="78">
        <v>0</v>
      </c>
      <c r="N32" s="78">
        <v>0</v>
      </c>
      <c r="O32" s="78">
        <v>0</v>
      </c>
      <c r="P32" s="68">
        <v>0</v>
      </c>
      <c r="Q32" s="78">
        <v>0</v>
      </c>
      <c r="R32" s="69">
        <v>1</v>
      </c>
      <c r="S32"/>
      <c r="T32"/>
    </row>
    <row r="33" spans="1:20" ht="15" customHeight="1" x14ac:dyDescent="0.15">
      <c r="A33" s="193" t="s">
        <v>214</v>
      </c>
      <c r="B33" s="90">
        <v>3.92561331E-2</v>
      </c>
      <c r="C33" s="90">
        <v>10.24</v>
      </c>
      <c r="D33" s="90">
        <v>0.40198280294400002</v>
      </c>
      <c r="E33" s="121">
        <v>8.6101619770268995E-5</v>
      </c>
      <c r="F33" s="190" t="s">
        <v>218</v>
      </c>
      <c r="G33" s="78">
        <v>0</v>
      </c>
      <c r="H33" s="78">
        <v>0</v>
      </c>
      <c r="I33" s="78">
        <v>0</v>
      </c>
      <c r="J33" s="78">
        <v>0</v>
      </c>
      <c r="K33" s="78">
        <v>0</v>
      </c>
      <c r="L33" s="78">
        <v>1</v>
      </c>
      <c r="M33" s="78">
        <v>0</v>
      </c>
      <c r="N33" s="78">
        <v>0</v>
      </c>
      <c r="O33" s="78">
        <v>0</v>
      </c>
      <c r="P33" s="68">
        <v>0</v>
      </c>
      <c r="Q33" s="78">
        <v>0</v>
      </c>
      <c r="R33" s="69">
        <v>1</v>
      </c>
      <c r="S33"/>
      <c r="T33"/>
    </row>
    <row r="34" spans="1:20" ht="15" customHeight="1" x14ac:dyDescent="0.15">
      <c r="A34" s="122"/>
      <c r="B34" s="90"/>
      <c r="C34" s="90"/>
      <c r="D34" s="90"/>
      <c r="E34" s="121"/>
      <c r="F34" s="190" t="s">
        <v>219</v>
      </c>
      <c r="G34" s="78">
        <v>0</v>
      </c>
      <c r="H34" s="78">
        <v>0</v>
      </c>
      <c r="I34" s="78">
        <v>0</v>
      </c>
      <c r="J34" s="78">
        <v>0</v>
      </c>
      <c r="K34" s="78">
        <v>0</v>
      </c>
      <c r="L34" s="78">
        <v>1</v>
      </c>
      <c r="M34" s="78">
        <v>0</v>
      </c>
      <c r="N34" s="78">
        <v>0</v>
      </c>
      <c r="O34" s="78">
        <v>0</v>
      </c>
      <c r="P34" s="68">
        <v>0</v>
      </c>
      <c r="Q34" s="78">
        <v>0</v>
      </c>
      <c r="R34" s="69">
        <v>1</v>
      </c>
      <c r="S34"/>
      <c r="T34"/>
    </row>
    <row r="35" spans="1:20" ht="15" customHeight="1" x14ac:dyDescent="0.15">
      <c r="A35" s="123"/>
      <c r="B35" s="90"/>
      <c r="C35" s="90"/>
      <c r="D35" s="90"/>
      <c r="E35" s="121"/>
      <c r="F35" s="190" t="s">
        <v>220</v>
      </c>
      <c r="G35" s="78">
        <v>0</v>
      </c>
      <c r="H35" s="78">
        <v>0</v>
      </c>
      <c r="I35" s="78">
        <v>0</v>
      </c>
      <c r="J35" s="78">
        <v>0</v>
      </c>
      <c r="K35" s="78">
        <v>0</v>
      </c>
      <c r="L35" s="78">
        <v>1</v>
      </c>
      <c r="M35" s="78">
        <v>0</v>
      </c>
      <c r="N35" s="78">
        <v>0</v>
      </c>
      <c r="O35" s="78">
        <v>0</v>
      </c>
      <c r="P35" s="68">
        <v>0</v>
      </c>
      <c r="Q35" s="78">
        <v>0</v>
      </c>
      <c r="R35" s="69">
        <v>1</v>
      </c>
      <c r="S35"/>
      <c r="T35"/>
    </row>
    <row r="36" spans="1:20" ht="15" customHeight="1" x14ac:dyDescent="0.15">
      <c r="A36" s="124"/>
      <c r="B36" s="90"/>
      <c r="C36" s="90"/>
      <c r="D36" s="90"/>
      <c r="E36" s="121"/>
      <c r="F36" s="190" t="s">
        <v>221</v>
      </c>
      <c r="G36" s="78">
        <v>0</v>
      </c>
      <c r="H36" s="78">
        <v>0</v>
      </c>
      <c r="I36" s="78">
        <v>0</v>
      </c>
      <c r="J36" s="78">
        <v>0</v>
      </c>
      <c r="K36" s="78">
        <v>0</v>
      </c>
      <c r="L36" s="78">
        <v>1</v>
      </c>
      <c r="M36" s="78">
        <v>0</v>
      </c>
      <c r="N36" s="78">
        <v>0</v>
      </c>
      <c r="O36" s="78">
        <v>0</v>
      </c>
      <c r="P36" s="68">
        <v>0</v>
      </c>
      <c r="Q36" s="78">
        <v>0</v>
      </c>
      <c r="R36" s="69">
        <v>1</v>
      </c>
      <c r="S36"/>
      <c r="T36"/>
    </row>
    <row r="37" spans="1:20" ht="15" customHeight="1" x14ac:dyDescent="0.15">
      <c r="A37" s="124"/>
      <c r="B37" s="90"/>
      <c r="C37" s="90"/>
      <c r="D37" s="90"/>
      <c r="E37" s="121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5"/>
      <c r="B38" s="90"/>
      <c r="C38" s="90"/>
      <c r="D38" s="90"/>
      <c r="E38" s="121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5"/>
      <c r="B39" s="90"/>
      <c r="C39" s="90"/>
      <c r="D39" s="90"/>
      <c r="E39" s="121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5"/>
      <c r="B40" s="90"/>
      <c r="C40" s="90"/>
      <c r="D40" s="90"/>
      <c r="E40" s="121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5"/>
      <c r="B41" s="90"/>
      <c r="C41" s="90"/>
      <c r="D41" s="91"/>
      <c r="E41" s="126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7"/>
      <c r="B42" s="128"/>
      <c r="C42" s="128" t="s">
        <v>162</v>
      </c>
      <c r="D42" s="128">
        <f>SUM(D32:D41)</f>
        <v>4668.7019828029443</v>
      </c>
      <c r="E42" s="129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8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8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8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8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8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8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8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8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8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8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8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8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8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8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8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8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8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8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8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8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8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8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8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8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8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8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8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8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8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8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8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8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8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8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8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8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8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8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8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8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8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8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8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8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8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8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8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8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8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8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8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8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8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8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8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8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8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8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8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8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8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8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8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8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8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8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8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8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8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8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8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8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8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8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8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8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8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8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8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8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8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8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8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8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8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8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8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8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8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8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8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8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8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8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8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8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8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8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8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8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8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8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8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8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8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8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8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8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8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8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8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8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8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8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8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8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8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8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8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8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8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8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8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8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M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5" customWidth="1"/>
    <col min="3" max="5" width="7.83203125" style="105" customWidth="1"/>
    <col min="6" max="8" width="8.83203125" style="6"/>
    <col min="9" max="9" width="7.83203125" style="6" customWidth="1"/>
    <col min="10" max="10" width="9.33203125" style="6" customWidth="1"/>
    <col min="11" max="11" width="12.5" style="6" customWidth="1"/>
    <col min="12" max="12" width="6.5" style="6" customWidth="1"/>
    <col min="13" max="13" width="7.1640625" style="6" customWidth="1"/>
    <col min="14" max="14" width="8.1640625" style="6" customWidth="1"/>
    <col min="15" max="16" width="7.1640625" style="6" customWidth="1"/>
    <col min="17" max="17" width="11.5" style="6" customWidth="1"/>
    <col min="18" max="18" width="6" style="6" customWidth="1"/>
    <col min="19" max="19" width="7.1640625" style="6" customWidth="1"/>
    <col min="20" max="20" width="7.5" style="6" customWidth="1"/>
    <col min="21" max="21" width="8.33203125" style="6" customWidth="1"/>
    <col min="22" max="22" width="8.5" style="6" customWidth="1"/>
    <col min="23" max="23" width="7.1640625" style="6" customWidth="1"/>
    <col min="24" max="24" width="15.5" style="6" customWidth="1"/>
    <col min="25" max="25" width="10.33203125" style="6" customWidth="1"/>
    <col min="26" max="27" width="8.5" style="6" customWidth="1"/>
    <col min="28" max="28" width="8.6640625" style="6" customWidth="1"/>
    <col min="29" max="29" width="11.33203125" style="6" customWidth="1"/>
    <col min="30" max="30" width="7.1640625" style="6" customWidth="1"/>
    <col min="31" max="31" width="11.5" style="6" customWidth="1"/>
    <col min="32" max="32" width="14.5" style="6" customWidth="1"/>
    <col min="33" max="33" width="7.6640625" style="6" customWidth="1"/>
    <col min="34" max="34" width="21.6640625" style="6" customWidth="1"/>
    <col min="35" max="35" width="11.1640625" style="6" customWidth="1"/>
    <col min="36" max="36" width="11.5" style="6" customWidth="1"/>
    <col min="37" max="37" width="10.83203125" style="6" customWidth="1"/>
    <col min="38" max="38" width="12.5" style="6" customWidth="1"/>
    <col min="39" max="39" width="8.5" customWidth="1"/>
    <col min="81" max="81" width="22.1640625" bestFit="1" customWidth="1"/>
  </cols>
  <sheetData>
    <row r="1" spans="1:39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195" t="s">
        <v>191</v>
      </c>
      <c r="J1" s="195" t="s">
        <v>192</v>
      </c>
      <c r="K1" s="195" t="s">
        <v>193</v>
      </c>
      <c r="L1" s="195" t="s">
        <v>194</v>
      </c>
      <c r="M1" s="195" t="s">
        <v>195</v>
      </c>
      <c r="N1" s="195" t="s">
        <v>196</v>
      </c>
      <c r="O1" s="195" t="s">
        <v>197</v>
      </c>
      <c r="P1" s="195" t="s">
        <v>198</v>
      </c>
      <c r="Q1" s="195" t="s">
        <v>199</v>
      </c>
      <c r="R1" s="195" t="s">
        <v>200</v>
      </c>
      <c r="S1" s="195" t="s">
        <v>201</v>
      </c>
      <c r="T1" s="195" t="s">
        <v>202</v>
      </c>
      <c r="U1" s="195" t="s">
        <v>203</v>
      </c>
      <c r="V1" s="195" t="s">
        <v>204</v>
      </c>
      <c r="W1" s="195" t="s">
        <v>205</v>
      </c>
      <c r="X1" s="195" t="s">
        <v>206</v>
      </c>
      <c r="Y1" s="195" t="s">
        <v>207</v>
      </c>
      <c r="Z1" s="195" t="s">
        <v>208</v>
      </c>
      <c r="AA1" s="195" t="s">
        <v>209</v>
      </c>
      <c r="AB1" s="195" t="s">
        <v>210</v>
      </c>
      <c r="AC1" s="195" t="s">
        <v>211</v>
      </c>
      <c r="AD1" s="195" t="s">
        <v>212</v>
      </c>
      <c r="AE1" s="195" t="s">
        <v>213</v>
      </c>
      <c r="AF1" s="195" t="s">
        <v>214</v>
      </c>
      <c r="AG1" s="195" t="s">
        <v>215</v>
      </c>
      <c r="AH1" s="195" t="s">
        <v>216</v>
      </c>
      <c r="AI1" s="195" t="s">
        <v>217</v>
      </c>
      <c r="AJ1" s="195" t="s">
        <v>218</v>
      </c>
      <c r="AK1" s="195" t="s">
        <v>219</v>
      </c>
      <c r="AL1" s="195" t="s">
        <v>220</v>
      </c>
      <c r="AM1" s="195" t="s">
        <v>221</v>
      </c>
    </row>
    <row r="2" spans="1:39" x14ac:dyDescent="0.15">
      <c r="A2" t="s">
        <v>38</v>
      </c>
      <c r="B2" s="105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9" x14ac:dyDescent="0.15">
      <c r="A3" t="s">
        <v>40</v>
      </c>
      <c r="B3" s="105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9" x14ac:dyDescent="0.15">
      <c r="A4" t="s">
        <v>41</v>
      </c>
      <c r="B4" s="105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9" x14ac:dyDescent="0.15">
      <c r="A5" s="194" t="s">
        <v>191</v>
      </c>
      <c r="B5" s="105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9" x14ac:dyDescent="0.15">
      <c r="A6" s="194" t="s">
        <v>192</v>
      </c>
      <c r="B6" s="105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9" x14ac:dyDescent="0.15">
      <c r="A7" s="194" t="s">
        <v>193</v>
      </c>
      <c r="B7" s="105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9" x14ac:dyDescent="0.15">
      <c r="A8" s="194" t="s">
        <v>194</v>
      </c>
      <c r="B8" s="105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9" x14ac:dyDescent="0.15">
      <c r="A9" s="194" t="s">
        <v>195</v>
      </c>
      <c r="B9" s="105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9" x14ac:dyDescent="0.15">
      <c r="A10" s="194" t="s">
        <v>196</v>
      </c>
      <c r="B10" s="105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9" x14ac:dyDescent="0.15">
      <c r="A11" s="194" t="s">
        <v>197</v>
      </c>
      <c r="B11" s="105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9" x14ac:dyDescent="0.15">
      <c r="A12" s="194" t="s">
        <v>198</v>
      </c>
      <c r="B12" s="105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9" x14ac:dyDescent="0.15">
      <c r="A13" s="194" t="s">
        <v>199</v>
      </c>
      <c r="B13" s="105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9" x14ac:dyDescent="0.15">
      <c r="A14" s="194" t="s">
        <v>200</v>
      </c>
      <c r="B14" s="105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9" x14ac:dyDescent="0.15">
      <c r="A15" s="194" t="s">
        <v>201</v>
      </c>
      <c r="B15" s="105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9" x14ac:dyDescent="0.15">
      <c r="A16" s="194" t="s">
        <v>202</v>
      </c>
      <c r="B16" s="105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4" t="s">
        <v>203</v>
      </c>
      <c r="B17" s="105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4" t="s">
        <v>204</v>
      </c>
      <c r="B18" s="105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4" t="s">
        <v>205</v>
      </c>
      <c r="B19" s="105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4" t="s">
        <v>206</v>
      </c>
      <c r="B20" s="105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4" t="s">
        <v>207</v>
      </c>
      <c r="B21" s="105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4" t="s">
        <v>208</v>
      </c>
      <c r="B22" s="105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4" t="s">
        <v>209</v>
      </c>
      <c r="B23" s="105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4" t="s">
        <v>210</v>
      </c>
      <c r="B24" s="105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4" t="s">
        <v>211</v>
      </c>
      <c r="B25" s="105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4" t="s">
        <v>212</v>
      </c>
      <c r="B26" s="105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4" t="s">
        <v>213</v>
      </c>
      <c r="B27" s="105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4" t="s">
        <v>214</v>
      </c>
      <c r="B28" s="105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4" t="s">
        <v>215</v>
      </c>
      <c r="B29" s="105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4" t="s">
        <v>216</v>
      </c>
      <c r="B30" s="105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4" t="s">
        <v>217</v>
      </c>
      <c r="B31" s="105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4" t="s">
        <v>218</v>
      </c>
      <c r="B32" s="105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4" t="s">
        <v>219</v>
      </c>
      <c r="B33" s="105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4" t="s">
        <v>220</v>
      </c>
      <c r="B34" s="105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4" t="s">
        <v>221</v>
      </c>
      <c r="B35" s="105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B36"/>
      <c r="C36"/>
      <c r="D36"/>
    </row>
    <row r="37" spans="1:38" ht="15" customHeight="1" x14ac:dyDescent="0.15">
      <c r="B37"/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2023-08-14T23:44:46Z</dcterms:modified>
</cp:coreProperties>
</file>