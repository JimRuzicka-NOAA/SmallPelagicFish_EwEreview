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4653C292-E6F1-7842-945D-7A007014B7E7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Main!$C$2:$N$68</definedName>
    <definedName name="matDetritus">Detritus!$C$2:$E$68</definedName>
    <definedName name="matDiet">Diets!$B$2:$BG$62</definedName>
    <definedName name="matDiscards">Discards!$C$2:$I$61</definedName>
    <definedName name="matFishery">Fishing!$C$2:$I$61</definedName>
    <definedName name="matFishing">Fishing!#REF!</definedName>
    <definedName name="matMort">Mortalities!$A$1:$BR$61</definedName>
    <definedName name="matOut">MainOutputs!$A$2:$I$68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<sst xmlns="http://schemas.openxmlformats.org/spreadsheetml/2006/main" count="1641" uniqueCount="271">
  <si>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</si>
  <si>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</si>
  <si>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</si>
  <si>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</si>
  <si>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</si>
  <si>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</si>
  <si>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</si>
  <si>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</si>
  <si>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</si>
  <si>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</si>
  <si>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</si>
  <si>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</si>
  <si>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</si>
  <si>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</si>
  <si>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</si>
  <si>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</si>
  <si>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</si>
  <si>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</si>
  <si>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</si>
  <si>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</si>
  <si>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</si>
  <si>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</si>
  <si>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</si>
  <si>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</si>
  <si>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</si>
  <si>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</si>
  <si>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</si>
  <si>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</si>
  <si>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</si>
  <si>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</si>
  <si>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</si>
  <si>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</si>
  <si>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</si>
  <si>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</si>
  <si>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</si>
  <si>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</si>
  <si>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</si>
  <si>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</si>
  <si>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</si>
  <si>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</si>
  <si>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</si>
  <si>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</si>
  <si>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</si>
  <si>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</si>
  <si>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</si>
  <si>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</si>
  <si>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</si>
  <si>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</si>
  <si>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</si>
  <si>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</si>
  <si>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</si>
  <si>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</si>
  <si>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</si>
  <si>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</si>
  <si>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</si>
  <si>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</si>
  <si>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</si>
  <si>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</si>
  <si>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</si>
  <si>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</si>
  <si>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</si>
  <si>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</si>
  <si>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</si>
  <si>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</si>
  <si>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</si>
  <si>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</si>
  <si>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</si>
  <si>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</si>
  <si>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</si>
  <si>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</si>
  <si>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</si>
  <si>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</si>
  <si>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</si>
  <si>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</si>
  <si>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</si>
  <si>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</si>
  <si>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</si>
  <si>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</si>
  <si>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</si>
  <si>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</si>
  <si>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</si>
  <si>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</si>
  <si>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</si>
  <si>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</si>
  <si>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</si>
  <si>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</si>
  <si>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</si>
  <si>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</si>
  <si>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</si>
  <si>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</si>
  <si>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</si>
  <si>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</si>
  <si>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</si>
  <si>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</si>
  <si>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</si>
  <si>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</si>
  <si>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</si>
  <si>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</si>
  <si>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</si>
  <si>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</si>
  <si>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</si>
  <si>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</si>
  <si>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</si>
  <si>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</si>
  <si>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</si>
  <si>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</si>
  <si>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</si>
  <si>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</si>
  <si>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</si>
  <si>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</si>
  <si>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</si>
  <si>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</si>
  <si>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</si>
  <si>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</si>
  <si>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</si>
  <si>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</si>
  <si>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</si>
  <si>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</si>
  <si>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</si>
  <si>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</si>
  <si>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</si>
  <si>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</si>
  <si>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</si>
  <si>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</si>
  <si>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</si>
  <si>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</si>
  <si>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</si>
  <si>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</si>
  <si>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</si>
  <si>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</si>
  <si>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</si>
  <si>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</si>
  <si>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</si>
  <si>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</si>
  <si>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</si>
  <si>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</si>
  <si>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</si>
  <si>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</si>
  <si>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</si>
  <si>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</si>
  <si>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</si>
  <si>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</si>
  <si>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</si>
  <si>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</si>
  <si>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</si>
  <si>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</si>
  <si>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</si>
  <si>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</si>
  <si>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</si>
  <si>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</si>
  <si>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</si>
  <si>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</si>
  <si>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</si>
  <si>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</si>
  <si>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</si>
  <si>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</si>
  <si>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</si>
  <si>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</si>
  <si>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</si>
  <si>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</si>
  <si>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</si>
  <si>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</si>
  <si>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</si>
  <si>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</si>
  <si>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</si>
  <si>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</si>
  <si>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</si>
  <si>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</si>
  <si>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</si>
  <si>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</si>
  <si>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</si>
  <si>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</si>
  <si>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</si>
  <si>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</si>
  <si>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</si>
  <si>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</si>
  <si>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</si>
  <si>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</si>
  <si>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</si>
  <si>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</si>
  <si>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</si>
  <si>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</si>
  <si>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</si>
  <si>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</si>
  <si>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</si>
  <si>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Contemporary Alosine</t>
  </si>
  <si>
    <t>United States</t>
  </si>
  <si>
    <t>BOX(-76 35,-65 45)</t>
  </si>
  <si>
    <t>Continental shelf</t>
  </si>
  <si>
    <t>WetWeight</t>
  </si>
  <si>
    <t>Contemporary Alosine Model for Northeast US Large Marine Ecosystem (NEUS LME). This is the first model shown on https://doi.org/10.1371/journal.pone.0217008.</t>
  </si>
  <si>
    <t>Dias et al. 2019</t>
  </si>
  <si>
    <t>https://doi.org/10.1371/journal.pone.0217008</t>
  </si>
  <si>
    <t>Phytoplankton</t>
  </si>
  <si>
    <t>Bacteria</t>
  </si>
  <si>
    <t>Microzooplankton</t>
  </si>
  <si>
    <t>Small Copepods</t>
  </si>
  <si>
    <t>Large Copepods</t>
  </si>
  <si>
    <t>Gelatinous Zooplankton</t>
  </si>
  <si>
    <t>Micronekton</t>
  </si>
  <si>
    <t>Macrobenthos polychaete</t>
  </si>
  <si>
    <t>Macrobenthos crustaceans</t>
  </si>
  <si>
    <t>Macrobenthos mollusks</t>
  </si>
  <si>
    <t>Macrobenthos others</t>
  </si>
  <si>
    <t>Megabenthos filters</t>
  </si>
  <si>
    <t>Megabenthos others</t>
  </si>
  <si>
    <t>Shrimp</t>
  </si>
  <si>
    <t>Mesopelagic</t>
  </si>
  <si>
    <t>Atlantic herring</t>
  </si>
  <si>
    <t>Alosines</t>
  </si>
  <si>
    <t>Small Atlantic menhaden</t>
  </si>
  <si>
    <t>Medium Atlantic menhaden</t>
  </si>
  <si>
    <t>Large Atlantic menhaden</t>
  </si>
  <si>
    <t>Anchovies</t>
  </si>
  <si>
    <t>Mackerel</t>
  </si>
  <si>
    <t>Squid</t>
  </si>
  <si>
    <t>Butterfish</t>
  </si>
  <si>
    <t>Small pelagics</t>
  </si>
  <si>
    <t>Small bluefish</t>
  </si>
  <si>
    <t>Medium bluefish</t>
  </si>
  <si>
    <t>Large bluefish</t>
  </si>
  <si>
    <t>Small striped bass</t>
  </si>
  <si>
    <t>Medium striped bass</t>
  </si>
  <si>
    <t>Large striped bass</t>
  </si>
  <si>
    <t xml:space="preserve">Small weakfish </t>
  </si>
  <si>
    <t>Medium weakfish</t>
  </si>
  <si>
    <t>Large weakfish</t>
  </si>
  <si>
    <t>Small dogfish</t>
  </si>
  <si>
    <t>Large dogfish</t>
  </si>
  <si>
    <t>Small cod</t>
  </si>
  <si>
    <t>Medium cod</t>
  </si>
  <si>
    <t>Large cod</t>
  </si>
  <si>
    <t>Haddock</t>
  </si>
  <si>
    <t>Hake</t>
  </si>
  <si>
    <t>Croaker</t>
  </si>
  <si>
    <t>Small yellowtail flounder</t>
  </si>
  <si>
    <t>Large yellowtail flounder</t>
  </si>
  <si>
    <t>Small summer  flounder</t>
  </si>
  <si>
    <t>Large summer  flounder</t>
  </si>
  <si>
    <t>Skate</t>
  </si>
  <si>
    <t>Demersal benthivores - other</t>
  </si>
  <si>
    <t>Demersal piscivores - other</t>
  </si>
  <si>
    <t>Demersal omnivores - other</t>
  </si>
  <si>
    <t>Medium pelagic - other</t>
  </si>
  <si>
    <t>Sharks - coastal</t>
  </si>
  <si>
    <t>Sharks - pelagic</t>
  </si>
  <si>
    <t>Large pelagics (HMS)</t>
  </si>
  <si>
    <t>Pinnipeds</t>
  </si>
  <si>
    <t>Baleen whales</t>
  </si>
  <si>
    <t>Odontocetes</t>
  </si>
  <si>
    <t>Seabird</t>
  </si>
  <si>
    <t>Detritus</t>
  </si>
  <si>
    <t>detritus_TerminalBenthic</t>
  </si>
  <si>
    <t>Dredge</t>
  </si>
  <si>
    <t>Trawl</t>
  </si>
  <si>
    <t>Trap</t>
  </si>
  <si>
    <t>Gill net</t>
  </si>
  <si>
    <t>Purse seine</t>
  </si>
  <si>
    <t>Recreational</t>
  </si>
  <si>
    <t>Other</t>
  </si>
  <si>
    <t>Import</t>
  </si>
  <si>
    <t>export</t>
  </si>
  <si>
    <t>sum</t>
  </si>
  <si>
    <t>TOTAL</t>
  </si>
  <si>
    <t>F Dredge</t>
  </si>
  <si>
    <t>F Trawl</t>
  </si>
  <si>
    <t>F Trap</t>
  </si>
  <si>
    <t>F Gill net</t>
  </si>
  <si>
    <t>F Purse seine</t>
  </si>
  <si>
    <t>F Recreational</t>
  </si>
  <si>
    <t>F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</si>
</sst>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97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FFB2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FFE5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FFC7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F4FF00"/>
        <bgColor indexed="64"/>
      </patternFill>
    </fill>
    <fill>
      <patternFill patternType="solid">
        <fgColor rgb="FFFFA4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2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48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37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0" t="s">
        <v>171</v>
      </c>
      <c r="C53" s="112">
        <v>748</v>
      </c>
      <c r="D53" s="112"/>
    </row>
    <row r="54" spans="2:4" x14ac:dyDescent="0.15">
      <c r="B54" s="180" t="s">
        <v>172</v>
      </c>
      <c r="C54" s="180" t="s">
        <v>185</v>
      </c>
      <c r="D54" s="112"/>
    </row>
    <row r="55" spans="2:4" x14ac:dyDescent="0.15">
      <c r="B55" s="180" t="s">
        <v>173</v>
      </c>
      <c r="C55" s="180" t="s">
        <v>186</v>
      </c>
      <c r="D55" s="112"/>
    </row>
    <row r="56" spans="2:4" x14ac:dyDescent="0.15">
      <c r="B56" s="180" t="s">
        <v>174</v>
      </c>
      <c r="C56" s="112">
        <v>246662</v>
      </c>
      <c r="D56" s="112"/>
    </row>
    <row r="57" spans="2:4" x14ac:dyDescent="0.15">
      <c r="B57" s="180" t="s">
        <v>175</v>
      </c>
      <c r="C57" s="180" t="s">
        <v>187</v>
      </c>
      <c r="D57" s="112"/>
    </row>
    <row r="58" spans="2:4" x14ac:dyDescent="0.15">
      <c r="B58" s="180" t="s">
        <v>176</v>
      </c>
      <c r="C58" s="180" t="s">
        <v>188</v>
      </c>
      <c r="D58" s="112"/>
    </row>
    <row r="59" spans="2:4" x14ac:dyDescent="0.15">
      <c r="B59" s="180" t="s">
        <v>177</v>
      </c>
      <c r="C59" s="180" t="s">
        <v>189</v>
      </c>
      <c r="D59" s="112"/>
    </row>
    <row r="60" spans="2:4" x14ac:dyDescent="0.15">
      <c r="B60" s="180" t="s">
        <v>178</v>
      </c>
      <c r="C60" s="180" t="s">
        <v>190</v>
      </c>
      <c r="D60" s="112"/>
    </row>
    <row r="61" spans="2:4" x14ac:dyDescent="0.15">
      <c r="B61" s="180" t="s">
        <v>179</v>
      </c>
      <c r="C61" s="112">
        <v>59</v>
      </c>
      <c r="D61" s="112"/>
    </row>
    <row r="62" spans="2:4" x14ac:dyDescent="0.15">
      <c r="B62" s="180" t="s">
        <v>180</v>
      </c>
      <c r="C62" s="112">
        <v>7</v>
      </c>
      <c r="D62" s="112"/>
    </row>
    <row r="63" spans="2:4" x14ac:dyDescent="0.15">
      <c r="B63" s="180" t="s">
        <v>181</v>
      </c>
      <c r="C63" s="112">
        <v>2000</v>
      </c>
      <c r="D63" s="112"/>
    </row>
    <row r="64" spans="2:4" x14ac:dyDescent="0.15">
      <c r="B64" s="180" t="s">
        <v>182</v>
      </c>
      <c r="C64" s="112">
        <v>1</v>
      </c>
      <c r="D64" s="112"/>
    </row>
    <row r="65" spans="2:4" x14ac:dyDescent="0.15">
      <c r="B65" s="180" t="s">
        <v>183</v>
      </c>
      <c r="C65" s="180" t="s">
        <v>191</v>
      </c>
      <c r="D65" s="112"/>
    </row>
    <row r="66" spans="2:4" x14ac:dyDescent="0.15">
      <c r="B66" s="180" t="s">
        <v>184</v>
      </c>
      <c r="C66" s="180" t="s">
        <v>192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7" sqref="Q7"/>
    </sheetView>
  </sheetViews>
  <sheetFormatPr baseColWidth="10" defaultColWidth="8.83203125" defaultRowHeight="15" customHeight="1" x14ac:dyDescent="0.15"/>
  <cols>
    <col min="1" max="1" width="22.5" style="83" customWidth="1"/>
    <col min="2" max="3" width="3.33203125" style="83" customWidth="1"/>
    <col min="4" max="4" width="14.33203125" style="83" customWidth="1"/>
    <col min="5" max="5" width="24.83203125" style="83" bestFit="1" customWidth="1"/>
    <col min="6" max="6" width="2.33203125" style="83" bestFit="1" customWidth="1"/>
    <col min="7" max="7" width="11.83203125" style="83" bestFit="1" customWidth="1"/>
    <col min="8" max="8" width="11.83203125" style="83" customWidth="1"/>
    <col min="9" max="9" width="8.83203125" style="83" customWidth="1"/>
    <col min="10" max="11" width="12.83203125" style="83" customWidth="1"/>
    <col min="12" max="12" width="2.33203125" style="83" customWidth="1"/>
    <col min="13" max="13" width="4.83203125" style="83" customWidth="1"/>
    <col min="14" max="14" width="2.33203125" style="83" customWidth="1"/>
    <col min="16" max="25" width="8.83203125" style="8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3"/>
  </cols>
  <sheetData>
    <row r="1" spans="1:46" s="100" customFormat="1" ht="15" customHeight="1" x14ac:dyDescent="0.15">
      <c r="A1" s="79" t="s">
        <v>18</v>
      </c>
      <c r="C1" s="80" t="s">
        <v>8</v>
      </c>
      <c r="D1" s="79" t="s">
        <v>23</v>
      </c>
      <c r="E1" s="79" t="s">
        <v>0</v>
      </c>
      <c r="F1" s="79" t="s">
        <v>7</v>
      </c>
      <c r="G1" s="81" t="s">
        <v>13</v>
      </c>
      <c r="H1" s="79" t="s">
        <v>1</v>
      </c>
      <c r="I1" s="79" t="s">
        <v>2</v>
      </c>
      <c r="J1" s="79" t="s">
        <v>14</v>
      </c>
      <c r="K1" s="79" t="s">
        <v>3</v>
      </c>
      <c r="L1" s="79" t="s">
        <v>4</v>
      </c>
      <c r="M1" s="79" t="s">
        <v>5</v>
      </c>
      <c r="N1" s="7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0">
        <v>1</v>
      </c>
      <c r="D2"/>
      <c r="E2" s="181" t="s">
        <v>193</v>
      </c>
      <c r="F2" s="83">
        <v>1</v>
      </c>
      <c r="G2" s="83">
        <v>20.13</v>
      </c>
      <c r="H2" s="83">
        <v>180.69200000000001</v>
      </c>
      <c r="I2" s="6">
        <v>0</v>
      </c>
      <c r="J2" s="6">
        <v>0.581375957</v>
      </c>
      <c r="K2" s="6">
        <v>0</v>
      </c>
      <c r="L2" s="6">
        <v>0</v>
      </c>
      <c r="M2" s="83">
        <v>0</v>
      </c>
      <c r="N2" s="83">
        <v>0</v>
      </c>
    </row>
    <row r="3" spans="1:46" ht="15" customHeight="1" x14ac:dyDescent="0.15">
      <c r="A3" s="1" t="s">
        <v>9</v>
      </c>
      <c r="B3" s="4">
        <v>58</v>
      </c>
      <c r="C3" s="83">
        <v>2</v>
      </c>
      <c r="D3"/>
      <c r="E3" s="181" t="s">
        <v>194</v>
      </c>
      <c r="F3" s="83">
        <v>0</v>
      </c>
      <c r="G3" s="83">
        <v>3.827</v>
      </c>
      <c r="H3" s="83">
        <v>91.25</v>
      </c>
      <c r="I3" s="83">
        <v>182.5</v>
      </c>
      <c r="J3" s="83">
        <v>0.87792630000000005</v>
      </c>
      <c r="K3" s="83">
        <v>0.5</v>
      </c>
      <c r="L3" s="83">
        <v>0</v>
      </c>
      <c r="M3" s="83">
        <v>0.2</v>
      </c>
      <c r="N3" s="83">
        <v>0</v>
      </c>
    </row>
    <row r="4" spans="1:46" ht="15" customHeight="1" x14ac:dyDescent="0.15">
      <c r="A4" s="1" t="s">
        <v>10</v>
      </c>
      <c r="B4" s="4">
        <v>2</v>
      </c>
      <c r="C4" s="83">
        <v>3</v>
      </c>
      <c r="D4"/>
      <c r="E4" s="181" t="s">
        <v>195</v>
      </c>
      <c r="F4" s="83">
        <v>0</v>
      </c>
      <c r="G4" s="83">
        <v>3.161</v>
      </c>
      <c r="H4" s="83">
        <v>72</v>
      </c>
      <c r="I4" s="83">
        <v>242.42400000000001</v>
      </c>
      <c r="J4" s="83">
        <v>0.53689469999999995</v>
      </c>
      <c r="K4" s="83">
        <v>0.29700029999999999</v>
      </c>
      <c r="L4" s="83">
        <v>0</v>
      </c>
      <c r="M4" s="83">
        <v>0.1</v>
      </c>
      <c r="N4" s="8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7</v>
      </c>
      <c r="C5" s="83">
        <v>4</v>
      </c>
      <c r="D5"/>
      <c r="E5" s="181" t="s">
        <v>196</v>
      </c>
      <c r="F5" s="83">
        <v>0</v>
      </c>
      <c r="G5" s="83">
        <v>7.8090000000000002</v>
      </c>
      <c r="H5" s="83">
        <v>42.576999999999998</v>
      </c>
      <c r="I5" s="83">
        <v>127.75</v>
      </c>
      <c r="J5" s="83">
        <v>0.97770140000000005</v>
      </c>
      <c r="K5" s="83">
        <v>0.33328375199999999</v>
      </c>
      <c r="L5" s="83">
        <v>0</v>
      </c>
      <c r="M5" s="83">
        <v>0.25</v>
      </c>
      <c r="N5" s="83">
        <v>0</v>
      </c>
      <c r="P5" s="73"/>
      <c r="Q5" s="73"/>
      <c r="R5" s="73"/>
    </row>
    <row r="6" spans="1:46" ht="15" customHeight="1" thickBot="1" x14ac:dyDescent="0.2">
      <c r="B6" s="1"/>
      <c r="C6" s="83">
        <v>5</v>
      </c>
      <c r="D6"/>
      <c r="E6" s="181" t="s">
        <v>197</v>
      </c>
      <c r="F6" s="83">
        <v>0</v>
      </c>
      <c r="G6" s="83">
        <v>7.633</v>
      </c>
      <c r="H6" s="83">
        <v>48.523000000000003</v>
      </c>
      <c r="I6" s="83">
        <v>109.5</v>
      </c>
      <c r="J6" s="83">
        <v>0.89684504300000001</v>
      </c>
      <c r="K6" s="83">
        <v>0.44313239999999998</v>
      </c>
      <c r="L6" s="83">
        <v>0</v>
      </c>
      <c r="M6" s="83">
        <v>0.25</v>
      </c>
      <c r="N6" s="83">
        <v>0</v>
      </c>
      <c r="P6" s="73"/>
      <c r="Q6" s="73"/>
      <c r="R6" s="73"/>
      <c r="W6" s="36" t="s">
        <v>31</v>
      </c>
      <c r="X6" s="52">
        <f>MAX(MainOutputs!G:G)</f>
        <v>0.99672204256057739</v>
      </c>
    </row>
    <row r="7" spans="1:46" ht="15" customHeight="1" x14ac:dyDescent="0.15">
      <c r="A7" s="2" t="s">
        <v>27</v>
      </c>
      <c r="B7" s="83">
        <f ca="1">COUNTIF(OFFSET(cornerDiets,1,1,NumLiving+NumDead+1,NumLiving+NumDead),"&gt;0")+NumLiving+NumDead+1</f>
        <v>994</v>
      </c>
      <c r="C7" s="83">
        <v>6</v>
      </c>
      <c r="D7"/>
      <c r="E7" s="181" t="s">
        <v>198</v>
      </c>
      <c r="F7" s="83">
        <v>0</v>
      </c>
      <c r="G7" s="83">
        <v>1.0129999999999999</v>
      </c>
      <c r="H7" s="83">
        <v>37.966999999999999</v>
      </c>
      <c r="I7" s="83">
        <v>145.32599999999999</v>
      </c>
      <c r="J7" s="83">
        <v>0.66709893899999995</v>
      </c>
      <c r="K7" s="83">
        <v>0.26125398300000002</v>
      </c>
      <c r="L7" s="83">
        <v>0</v>
      </c>
      <c r="M7" s="83">
        <v>0.35</v>
      </c>
      <c r="N7" s="83">
        <v>0</v>
      </c>
      <c r="P7" s="73"/>
      <c r="Q7" s="73"/>
      <c r="R7" s="73"/>
    </row>
    <row r="8" spans="1:46" ht="15" customHeight="1" x14ac:dyDescent="0.15">
      <c r="A8" s="2" t="s">
        <v>28</v>
      </c>
      <c r="B8" s="83">
        <f ca="1">COUNTIF(OFFSET(cornerFishing,1,2,NumLiving+NumDead,NumGears),"&gt;0")+NumDead*COUNTIF(OFFSET(cornerDiscards,1,2,NumLiving+NumDead,NumGears),"&gt;0")+NumLiving+NumDead+1</f>
        <v>286</v>
      </c>
      <c r="C8" s="83">
        <v>7</v>
      </c>
      <c r="D8"/>
      <c r="E8" s="181" t="s">
        <v>199</v>
      </c>
      <c r="F8" s="83">
        <v>0</v>
      </c>
      <c r="G8" s="83">
        <v>7.6539999999999999</v>
      </c>
      <c r="H8" s="83">
        <v>14.25</v>
      </c>
      <c r="I8" s="83">
        <v>85.497</v>
      </c>
      <c r="J8" s="83">
        <v>0.78745339999999997</v>
      </c>
      <c r="K8" s="83">
        <v>0.16667251299999999</v>
      </c>
      <c r="L8" s="83">
        <v>0</v>
      </c>
      <c r="M8" s="83">
        <v>0.25</v>
      </c>
      <c r="N8" s="83">
        <v>0</v>
      </c>
      <c r="P8" s="73"/>
      <c r="Q8" s="73"/>
      <c r="R8" s="73"/>
    </row>
    <row r="9" spans="1:46" ht="15" customHeight="1" x14ac:dyDescent="0.15">
      <c r="B9" s="1"/>
      <c r="C9" s="83">
        <v>8</v>
      </c>
      <c r="D9"/>
      <c r="E9" s="181" t="s">
        <v>200</v>
      </c>
      <c r="F9" s="83">
        <v>0</v>
      </c>
      <c r="G9" s="83">
        <v>14.682</v>
      </c>
      <c r="H9" s="83">
        <v>2.5139999999999998</v>
      </c>
      <c r="I9" s="83">
        <v>17.5</v>
      </c>
      <c r="J9" s="83">
        <v>0.98188160000000002</v>
      </c>
      <c r="K9" s="83">
        <v>0.14365713299999999</v>
      </c>
      <c r="L9" s="83">
        <v>0</v>
      </c>
      <c r="M9" s="83">
        <v>0.5</v>
      </c>
      <c r="N9" s="83">
        <v>0</v>
      </c>
      <c r="P9" s="73"/>
      <c r="Q9" s="73"/>
      <c r="R9" s="73"/>
    </row>
    <row r="10" spans="1:46" ht="15" customHeight="1" x14ac:dyDescent="0.15">
      <c r="B10" s="1"/>
      <c r="C10" s="83">
        <v>9</v>
      </c>
      <c r="D10"/>
      <c r="E10" s="181" t="s">
        <v>201</v>
      </c>
      <c r="F10" s="83">
        <v>0</v>
      </c>
      <c r="G10" s="83">
        <v>5.8959999999999999</v>
      </c>
      <c r="H10" s="83">
        <v>3.0619999999999998</v>
      </c>
      <c r="I10" s="83">
        <v>21</v>
      </c>
      <c r="J10" s="83">
        <v>0.79276615399999995</v>
      </c>
      <c r="K10" s="83">
        <v>0.14580953099999999</v>
      </c>
      <c r="L10" s="83">
        <v>0</v>
      </c>
      <c r="M10" s="83">
        <v>0.5</v>
      </c>
      <c r="N10" s="83">
        <v>0</v>
      </c>
    </row>
    <row r="11" spans="1:46" ht="15" customHeight="1" x14ac:dyDescent="0.15">
      <c r="C11" s="83">
        <v>10</v>
      </c>
      <c r="D11"/>
      <c r="E11" s="181" t="s">
        <v>202</v>
      </c>
      <c r="F11" s="83">
        <v>0</v>
      </c>
      <c r="G11" s="83">
        <v>8.34</v>
      </c>
      <c r="H11" s="83">
        <v>2.0430000000000001</v>
      </c>
      <c r="I11" s="83">
        <v>13.949</v>
      </c>
      <c r="J11" s="83">
        <v>0.944129</v>
      </c>
      <c r="K11" s="83">
        <v>0.146462113</v>
      </c>
      <c r="L11" s="83">
        <v>0</v>
      </c>
      <c r="M11" s="83">
        <v>0.6</v>
      </c>
      <c r="N11" s="83">
        <v>0</v>
      </c>
    </row>
    <row r="12" spans="1:46" ht="15" customHeight="1" x14ac:dyDescent="0.15">
      <c r="C12" s="83">
        <v>11</v>
      </c>
      <c r="D12"/>
      <c r="E12" s="181" t="s">
        <v>203</v>
      </c>
      <c r="F12" s="83">
        <v>0</v>
      </c>
      <c r="G12" s="83">
        <v>8.8989999999999991</v>
      </c>
      <c r="H12" s="83">
        <v>2.0190000000000001</v>
      </c>
      <c r="I12" s="83">
        <v>16.059000000000001</v>
      </c>
      <c r="J12" s="83">
        <v>0.94718449999999998</v>
      </c>
      <c r="K12" s="83">
        <v>0.1257239</v>
      </c>
      <c r="L12" s="83">
        <v>0</v>
      </c>
      <c r="M12" s="83">
        <v>0.5</v>
      </c>
      <c r="N12" s="83">
        <v>0</v>
      </c>
    </row>
    <row r="13" spans="1:46" ht="15" customHeight="1" x14ac:dyDescent="0.15">
      <c r="C13" s="83">
        <v>12</v>
      </c>
      <c r="D13"/>
      <c r="E13" s="181" t="s">
        <v>204</v>
      </c>
      <c r="F13" s="83">
        <v>0</v>
      </c>
      <c r="G13" s="83">
        <v>2.9969999999999999</v>
      </c>
      <c r="H13" s="83">
        <v>3.9380000000000002</v>
      </c>
      <c r="I13" s="83">
        <v>16.512</v>
      </c>
      <c r="J13" s="83">
        <v>0.20208875800000001</v>
      </c>
      <c r="K13" s="83">
        <v>0.238493234</v>
      </c>
      <c r="L13" s="83">
        <v>0</v>
      </c>
      <c r="M13" s="83">
        <v>0.7</v>
      </c>
      <c r="N13" s="83">
        <v>0</v>
      </c>
    </row>
    <row r="14" spans="1:46" ht="15" customHeight="1" x14ac:dyDescent="0.15">
      <c r="C14" s="83">
        <v>13</v>
      </c>
      <c r="D14"/>
      <c r="E14" s="181" t="s">
        <v>205</v>
      </c>
      <c r="F14" s="83">
        <v>0</v>
      </c>
      <c r="G14" s="83">
        <v>4.4980000000000002</v>
      </c>
      <c r="H14" s="83">
        <v>1.8979999999999999</v>
      </c>
      <c r="I14" s="83">
        <v>9.5329999999999995</v>
      </c>
      <c r="J14" s="83">
        <v>0.63358440000000005</v>
      </c>
      <c r="K14" s="83">
        <v>0.19909787200000001</v>
      </c>
      <c r="L14" s="83">
        <v>0</v>
      </c>
      <c r="M14" s="83">
        <v>0.3</v>
      </c>
      <c r="N14" s="83">
        <v>0</v>
      </c>
    </row>
    <row r="15" spans="1:46" ht="15" customHeight="1" x14ac:dyDescent="0.15">
      <c r="C15" s="83">
        <v>14</v>
      </c>
      <c r="D15"/>
      <c r="E15" s="181" t="s">
        <v>206</v>
      </c>
      <c r="F15" s="83">
        <v>0</v>
      </c>
      <c r="G15" s="83">
        <v>1.96</v>
      </c>
      <c r="H15" s="83">
        <v>1</v>
      </c>
      <c r="I15" s="83">
        <v>5</v>
      </c>
      <c r="J15" s="83">
        <v>0.49765512299999998</v>
      </c>
      <c r="K15" s="83">
        <v>0.2</v>
      </c>
      <c r="L15" s="83">
        <v>0</v>
      </c>
      <c r="M15" s="83">
        <v>0.3</v>
      </c>
      <c r="N15" s="83">
        <v>0</v>
      </c>
    </row>
    <row r="16" spans="1:46" ht="15" customHeight="1" x14ac:dyDescent="0.15">
      <c r="C16" s="83">
        <v>15</v>
      </c>
      <c r="D16"/>
      <c r="E16" s="181" t="s">
        <v>207</v>
      </c>
      <c r="F16" s="83">
        <v>0</v>
      </c>
      <c r="G16" s="83">
        <v>0.151</v>
      </c>
      <c r="H16" s="83">
        <v>0.65</v>
      </c>
      <c r="I16" s="83">
        <v>1.825</v>
      </c>
      <c r="J16" s="83">
        <v>0.74906890000000004</v>
      </c>
      <c r="K16" s="83">
        <v>0.35616436600000001</v>
      </c>
      <c r="L16" s="83">
        <v>0</v>
      </c>
      <c r="M16" s="83">
        <v>0.15</v>
      </c>
      <c r="N16" s="83">
        <v>0</v>
      </c>
    </row>
    <row r="17" spans="1:22" ht="15" customHeight="1" x14ac:dyDescent="0.15">
      <c r="C17" s="83">
        <v>16</v>
      </c>
      <c r="D17"/>
      <c r="E17" s="181" t="s">
        <v>208</v>
      </c>
      <c r="F17" s="83">
        <v>0</v>
      </c>
      <c r="G17" s="83">
        <v>6.1961250000000003</v>
      </c>
      <c r="H17" s="83">
        <v>0.62</v>
      </c>
      <c r="I17" s="83">
        <v>4.59</v>
      </c>
      <c r="J17" s="83">
        <v>0.61446880000000004</v>
      </c>
      <c r="K17" s="83">
        <v>0.13507625500000001</v>
      </c>
      <c r="L17" s="83">
        <v>0</v>
      </c>
      <c r="M17" s="83">
        <v>0.25</v>
      </c>
      <c r="N17" s="83">
        <v>0</v>
      </c>
      <c r="V17" s="1" t="s">
        <v>30</v>
      </c>
    </row>
    <row r="18" spans="1:22" ht="15" customHeight="1" x14ac:dyDescent="0.15">
      <c r="C18" s="83">
        <v>17</v>
      </c>
      <c r="D18"/>
      <c r="E18" s="181" t="s">
        <v>209</v>
      </c>
      <c r="F18" s="83">
        <v>0</v>
      </c>
      <c r="G18" s="83">
        <v>7.5999999999999998E-2</v>
      </c>
      <c r="H18" s="83">
        <v>1.3</v>
      </c>
      <c r="I18" s="83">
        <v>9.4</v>
      </c>
      <c r="J18" s="83">
        <v>0.9032249</v>
      </c>
      <c r="K18" s="83">
        <v>0.13829787099999999</v>
      </c>
      <c r="L18" s="83">
        <v>0</v>
      </c>
      <c r="M18" s="83">
        <v>0.15</v>
      </c>
      <c r="N18" s="83">
        <v>0</v>
      </c>
      <c r="V18" s="1"/>
    </row>
    <row r="19" spans="1:22" ht="15" customHeight="1" x14ac:dyDescent="0.15">
      <c r="C19" s="83">
        <v>18</v>
      </c>
      <c r="D19"/>
      <c r="E19" s="181" t="s">
        <v>210</v>
      </c>
      <c r="F19" s="83">
        <v>0</v>
      </c>
      <c r="G19" s="83">
        <v>1.580921</v>
      </c>
      <c r="H19" s="83">
        <v>1.5</v>
      </c>
      <c r="I19" s="83">
        <v>15.86</v>
      </c>
      <c r="J19" s="83">
        <v>0.53624519999999998</v>
      </c>
      <c r="K19" s="83">
        <v>9.4577560000000005E-2</v>
      </c>
      <c r="L19" s="83">
        <v>0</v>
      </c>
      <c r="M19" s="83">
        <v>0.15</v>
      </c>
      <c r="N19" s="83">
        <v>0</v>
      </c>
    </row>
    <row r="20" spans="1:22" ht="15" customHeight="1" thickBot="1" x14ac:dyDescent="0.2">
      <c r="C20" s="83">
        <v>19</v>
      </c>
      <c r="D20"/>
      <c r="E20" s="181" t="s">
        <v>211</v>
      </c>
      <c r="F20" s="83">
        <v>0</v>
      </c>
      <c r="G20" s="83">
        <v>2.8779240000000001</v>
      </c>
      <c r="H20" s="83">
        <v>0.93</v>
      </c>
      <c r="I20" s="83">
        <v>7.008883</v>
      </c>
      <c r="J20" s="83">
        <v>0.4973687</v>
      </c>
      <c r="K20" s="83">
        <v>0.13268876099999999</v>
      </c>
      <c r="L20" s="83">
        <v>0</v>
      </c>
      <c r="M20" s="83">
        <v>0.15</v>
      </c>
      <c r="N20" s="83">
        <v>0</v>
      </c>
    </row>
    <row r="21" spans="1:22" ht="15" customHeight="1" thickBot="1" x14ac:dyDescent="0.2">
      <c r="A21" s="47" t="s">
        <v>137</v>
      </c>
      <c r="B21" s="101"/>
      <c r="C21" s="83">
        <v>20</v>
      </c>
      <c r="D21"/>
      <c r="E21" s="181" t="s">
        <v>212</v>
      </c>
      <c r="F21" s="83">
        <v>0</v>
      </c>
      <c r="G21" s="83">
        <v>0.48802020000000002</v>
      </c>
      <c r="H21" s="83">
        <v>0.9</v>
      </c>
      <c r="I21" s="83">
        <v>4.3776659999999996</v>
      </c>
      <c r="J21" s="83">
        <v>0.85716250000000005</v>
      </c>
      <c r="K21" s="83">
        <v>0.20558899999999999</v>
      </c>
      <c r="L21" s="83">
        <v>0</v>
      </c>
      <c r="M21" s="83">
        <v>0.15</v>
      </c>
      <c r="N21" s="83">
        <v>0</v>
      </c>
    </row>
    <row r="22" spans="1:22" ht="15" customHeight="1" x14ac:dyDescent="0.15">
      <c r="A22" s="102" t="s">
        <v>58</v>
      </c>
      <c r="B22" s="103">
        <v>0</v>
      </c>
      <c r="C22" s="83">
        <v>21</v>
      </c>
      <c r="D22"/>
      <c r="E22" s="181" t="s">
        <v>213</v>
      </c>
      <c r="F22" s="83">
        <v>0</v>
      </c>
      <c r="G22" s="83">
        <v>2.3199540000000001</v>
      </c>
      <c r="H22" s="83">
        <v>3</v>
      </c>
      <c r="I22" s="83">
        <v>10.9</v>
      </c>
      <c r="J22" s="83">
        <v>0.75590336300000005</v>
      </c>
      <c r="K22" s="83">
        <v>0.275229365</v>
      </c>
      <c r="L22" s="83">
        <v>0</v>
      </c>
      <c r="M22" s="83">
        <v>0.15</v>
      </c>
      <c r="N22" s="83">
        <v>0</v>
      </c>
    </row>
    <row r="23" spans="1:22" ht="15" customHeight="1" x14ac:dyDescent="0.15">
      <c r="A23" s="102" t="s">
        <v>59</v>
      </c>
      <c r="B23" s="103">
        <v>1</v>
      </c>
      <c r="C23" s="83">
        <v>22</v>
      </c>
      <c r="D23"/>
      <c r="E23" s="181" t="s">
        <v>214</v>
      </c>
      <c r="F23" s="83">
        <v>0</v>
      </c>
      <c r="G23" s="83">
        <v>0.77400000000000002</v>
      </c>
      <c r="H23" s="83">
        <v>0.38900000000000001</v>
      </c>
      <c r="I23" s="83">
        <v>1.978</v>
      </c>
      <c r="J23" s="83">
        <v>0.996722</v>
      </c>
      <c r="K23" s="83">
        <v>0.19666328999999999</v>
      </c>
      <c r="L23" s="83">
        <v>0</v>
      </c>
      <c r="M23" s="83">
        <v>0.25</v>
      </c>
      <c r="N23" s="83">
        <v>0</v>
      </c>
    </row>
    <row r="24" spans="1:22" ht="15" customHeight="1" x14ac:dyDescent="0.15">
      <c r="A24" s="102" t="s">
        <v>60</v>
      </c>
      <c r="B24" s="103">
        <v>2</v>
      </c>
      <c r="C24" s="83">
        <v>23</v>
      </c>
      <c r="D24"/>
      <c r="E24" s="181" t="s">
        <v>215</v>
      </c>
      <c r="F24" s="83">
        <v>0</v>
      </c>
      <c r="G24" s="83">
        <v>1.0620000000000001</v>
      </c>
      <c r="H24" s="83">
        <v>0.97899999999999998</v>
      </c>
      <c r="I24" s="83">
        <v>2.7029999999999998</v>
      </c>
      <c r="J24" s="83">
        <v>0.82665429999999995</v>
      </c>
      <c r="K24" s="83">
        <v>0.36219012699999997</v>
      </c>
      <c r="L24" s="83">
        <v>0</v>
      </c>
      <c r="M24" s="83">
        <v>0.15</v>
      </c>
      <c r="N24" s="83">
        <v>0</v>
      </c>
    </row>
    <row r="25" spans="1:22" ht="15" customHeight="1" thickBot="1" x14ac:dyDescent="0.2">
      <c r="A25" s="104" t="s">
        <v>44</v>
      </c>
      <c r="B25" s="105">
        <v>3</v>
      </c>
      <c r="C25" s="83">
        <v>24</v>
      </c>
      <c r="D25"/>
      <c r="E25" s="181" t="s">
        <v>216</v>
      </c>
      <c r="F25" s="83">
        <v>0</v>
      </c>
      <c r="G25" s="83">
        <v>0.89800000000000002</v>
      </c>
      <c r="H25" s="83">
        <v>1.27</v>
      </c>
      <c r="I25" s="83">
        <v>1.978</v>
      </c>
      <c r="J25" s="83">
        <v>0.41772016899999997</v>
      </c>
      <c r="K25" s="83">
        <v>0.64206266400000001</v>
      </c>
      <c r="L25" s="83">
        <v>0</v>
      </c>
      <c r="M25" s="83">
        <v>0.25</v>
      </c>
      <c r="N25" s="83">
        <v>0</v>
      </c>
    </row>
    <row r="26" spans="1:22" ht="15" customHeight="1" x14ac:dyDescent="0.15">
      <c r="A26" s="106" t="s">
        <v>140</v>
      </c>
      <c r="C26" s="83">
        <v>25</v>
      </c>
      <c r="D26"/>
      <c r="E26" s="181" t="s">
        <v>217</v>
      </c>
      <c r="F26" s="83">
        <v>0</v>
      </c>
      <c r="G26" s="83">
        <v>0.28999999999999998</v>
      </c>
      <c r="H26" s="83">
        <v>0.97</v>
      </c>
      <c r="I26" s="83">
        <v>4</v>
      </c>
      <c r="J26" s="83">
        <v>0.88617616899999996</v>
      </c>
      <c r="K26" s="83">
        <v>0.24249999999999999</v>
      </c>
      <c r="L26" s="83">
        <v>0</v>
      </c>
      <c r="M26" s="83">
        <v>0.15</v>
      </c>
      <c r="N26" s="83">
        <v>0</v>
      </c>
    </row>
    <row r="27" spans="1:22" ht="15" customHeight="1" x14ac:dyDescent="0.15">
      <c r="C27" s="83">
        <v>26</v>
      </c>
      <c r="D27"/>
      <c r="E27" s="181" t="s">
        <v>218</v>
      </c>
      <c r="F27" s="83">
        <v>0</v>
      </c>
      <c r="G27" s="83">
        <v>4.4999999999999998E-2</v>
      </c>
      <c r="H27" s="83">
        <v>0.51435285799999997</v>
      </c>
      <c r="I27" s="83">
        <v>18.1113</v>
      </c>
      <c r="J27" s="83">
        <v>0.93724954100000002</v>
      </c>
      <c r="K27" s="83">
        <v>2.8399555E-2</v>
      </c>
      <c r="L27" s="83">
        <v>0</v>
      </c>
      <c r="M27" s="83">
        <v>0.2</v>
      </c>
      <c r="N27" s="83">
        <v>0</v>
      </c>
    </row>
    <row r="28" spans="1:22" ht="15" customHeight="1" x14ac:dyDescent="0.15">
      <c r="C28" s="83">
        <v>27</v>
      </c>
      <c r="D28"/>
      <c r="E28" s="181" t="s">
        <v>219</v>
      </c>
      <c r="F28" s="83">
        <v>0</v>
      </c>
      <c r="G28" s="83">
        <v>5.8999999999999997E-2</v>
      </c>
      <c r="H28" s="83">
        <v>0.51013120000000001</v>
      </c>
      <c r="I28" s="83">
        <v>3.5287630000000001</v>
      </c>
      <c r="J28" s="83">
        <v>0.66771449999999999</v>
      </c>
      <c r="K28" s="83">
        <v>0.144563735</v>
      </c>
      <c r="L28" s="83">
        <v>0</v>
      </c>
      <c r="M28" s="83">
        <v>0.2</v>
      </c>
      <c r="N28" s="83">
        <v>0</v>
      </c>
    </row>
    <row r="29" spans="1:22" customFormat="1" ht="15" customHeight="1" x14ac:dyDescent="0.15">
      <c r="C29" s="83">
        <v>28</v>
      </c>
      <c r="E29" s="181" t="s">
        <v>220</v>
      </c>
      <c r="F29" s="83">
        <v>0</v>
      </c>
      <c r="G29" s="83">
        <v>0.193</v>
      </c>
      <c r="H29" s="83">
        <v>0.49225541900000003</v>
      </c>
      <c r="I29" s="83">
        <v>1.933279</v>
      </c>
      <c r="J29" s="83">
        <v>0.14316663099999999</v>
      </c>
      <c r="K29" s="83">
        <v>0.25462200000000001</v>
      </c>
      <c r="L29" s="83">
        <v>0</v>
      </c>
      <c r="M29" s="83">
        <v>0.2</v>
      </c>
      <c r="N29" s="83">
        <v>0</v>
      </c>
    </row>
    <row r="30" spans="1:22" customFormat="1" ht="15" customHeight="1" x14ac:dyDescent="0.15">
      <c r="C30" s="83">
        <v>29</v>
      </c>
      <c r="E30" s="181" t="s">
        <v>221</v>
      </c>
      <c r="F30" s="83">
        <v>0</v>
      </c>
      <c r="G30" s="83">
        <v>6.6181939999999995E-2</v>
      </c>
      <c r="H30" s="83">
        <v>0.25047615200000001</v>
      </c>
      <c r="I30" s="83">
        <v>23.27</v>
      </c>
      <c r="J30" s="83">
        <v>0.78160273999999996</v>
      </c>
      <c r="K30" s="83">
        <v>1.07639087E-2</v>
      </c>
      <c r="L30" s="83">
        <v>0</v>
      </c>
      <c r="M30" s="83">
        <v>0.2</v>
      </c>
      <c r="N30" s="83">
        <v>0</v>
      </c>
    </row>
    <row r="31" spans="1:22" customFormat="1" ht="15" customHeight="1" x14ac:dyDescent="0.15">
      <c r="C31" s="83">
        <v>30</v>
      </c>
      <c r="E31" s="181" t="s">
        <v>222</v>
      </c>
      <c r="F31" s="83">
        <v>0</v>
      </c>
      <c r="G31" s="83">
        <v>0.36532825200000002</v>
      </c>
      <c r="H31" s="83">
        <v>0.247938409</v>
      </c>
      <c r="I31" s="83">
        <v>6.3455389999999996</v>
      </c>
      <c r="J31" s="83">
        <v>0.192286015</v>
      </c>
      <c r="K31" s="83">
        <v>3.9072867499999997E-2</v>
      </c>
      <c r="L31" s="83">
        <v>0</v>
      </c>
      <c r="M31" s="83">
        <v>0.2</v>
      </c>
      <c r="N31" s="83">
        <v>0</v>
      </c>
    </row>
    <row r="32" spans="1:22" customFormat="1" ht="15" customHeight="1" x14ac:dyDescent="0.15">
      <c r="C32" s="83">
        <v>31</v>
      </c>
      <c r="E32" s="181" t="s">
        <v>223</v>
      </c>
      <c r="F32" s="83">
        <v>0</v>
      </c>
      <c r="G32" s="83">
        <v>0.28803220000000002</v>
      </c>
      <c r="H32" s="83">
        <v>0.24001452300000001</v>
      </c>
      <c r="I32" s="83">
        <v>3.1939310000000001</v>
      </c>
      <c r="J32" s="83">
        <v>0.198721915</v>
      </c>
      <c r="K32" s="83">
        <v>7.5147055099999999E-2</v>
      </c>
      <c r="L32" s="83">
        <v>0</v>
      </c>
      <c r="M32" s="83">
        <v>0.2</v>
      </c>
      <c r="N32" s="83">
        <v>0</v>
      </c>
    </row>
    <row r="33" spans="3:14" customFormat="1" ht="15" customHeight="1" x14ac:dyDescent="0.15">
      <c r="C33" s="83">
        <v>32</v>
      </c>
      <c r="E33" s="181" t="s">
        <v>224</v>
      </c>
      <c r="F33" s="83">
        <v>0</v>
      </c>
      <c r="G33" s="83">
        <v>0.155</v>
      </c>
      <c r="H33" s="83">
        <v>0.44977381799999999</v>
      </c>
      <c r="I33" s="83">
        <v>13.52482</v>
      </c>
      <c r="J33" s="83">
        <v>0.92488079999999995</v>
      </c>
      <c r="K33" s="83">
        <v>3.3255439999999997E-2</v>
      </c>
      <c r="L33" s="83">
        <v>0</v>
      </c>
      <c r="M33" s="83">
        <v>0.2</v>
      </c>
      <c r="N33" s="83">
        <v>0</v>
      </c>
    </row>
    <row r="34" spans="3:14" customFormat="1" ht="15" customHeight="1" x14ac:dyDescent="0.15">
      <c r="C34" s="83">
        <v>33</v>
      </c>
      <c r="E34" s="181" t="s">
        <v>225</v>
      </c>
      <c r="F34" s="83">
        <v>0</v>
      </c>
      <c r="G34" s="83">
        <v>0.30299999999999999</v>
      </c>
      <c r="H34" s="83">
        <v>0.43030715000000003</v>
      </c>
      <c r="I34" s="83">
        <v>4.2157929999999997</v>
      </c>
      <c r="J34" s="83">
        <v>8.7175294799999997E-2</v>
      </c>
      <c r="K34" s="83">
        <v>0.102070272</v>
      </c>
      <c r="L34" s="83">
        <v>0</v>
      </c>
      <c r="M34" s="83">
        <v>0.2</v>
      </c>
      <c r="N34" s="83">
        <v>0</v>
      </c>
    </row>
    <row r="35" spans="3:14" customFormat="1" ht="15" customHeight="1" x14ac:dyDescent="0.15">
      <c r="C35" s="83">
        <v>34</v>
      </c>
      <c r="E35" s="181" t="s">
        <v>226</v>
      </c>
      <c r="F35" s="83">
        <v>0</v>
      </c>
      <c r="G35" s="83">
        <v>3.5999999999999997E-2</v>
      </c>
      <c r="H35" s="83">
        <v>0.42383468200000002</v>
      </c>
      <c r="I35" s="83">
        <v>2.4486629999999998</v>
      </c>
      <c r="J35" s="83">
        <v>0.48103702100000001</v>
      </c>
      <c r="K35" s="83">
        <v>0.17308820799999999</v>
      </c>
      <c r="L35" s="83">
        <v>0</v>
      </c>
      <c r="M35" s="83">
        <v>0.2</v>
      </c>
      <c r="N35" s="83">
        <v>0</v>
      </c>
    </row>
    <row r="36" spans="3:14" customFormat="1" ht="15" customHeight="1" x14ac:dyDescent="0.15">
      <c r="C36" s="83">
        <v>35</v>
      </c>
      <c r="E36" s="181" t="s">
        <v>227</v>
      </c>
      <c r="F36" s="83">
        <v>0</v>
      </c>
      <c r="G36" s="83">
        <v>0.47147359999999999</v>
      </c>
      <c r="H36" s="83">
        <v>0.247321084</v>
      </c>
      <c r="I36" s="83">
        <v>1.473177</v>
      </c>
      <c r="J36" s="83">
        <v>0.78507316100000002</v>
      </c>
      <c r="K36" s="83">
        <v>0.16788281499999999</v>
      </c>
      <c r="L36" s="83">
        <v>0</v>
      </c>
      <c r="M36" s="83">
        <v>0.25</v>
      </c>
      <c r="N36" s="83">
        <v>0</v>
      </c>
    </row>
    <row r="37" spans="3:14" customFormat="1" ht="15" customHeight="1" x14ac:dyDescent="0.15">
      <c r="C37" s="83">
        <v>36</v>
      </c>
      <c r="E37" s="181" t="s">
        <v>228</v>
      </c>
      <c r="F37" s="83">
        <v>0</v>
      </c>
      <c r="G37" s="83">
        <v>2.7</v>
      </c>
      <c r="H37" s="83">
        <v>0.24445846700000001</v>
      </c>
      <c r="I37" s="83">
        <v>0.60609999999999997</v>
      </c>
      <c r="J37" s="83">
        <v>6.7291309999999993E-2</v>
      </c>
      <c r="K37" s="83">
        <v>0.40333023699999998</v>
      </c>
      <c r="L37" s="83">
        <v>0</v>
      </c>
      <c r="M37" s="83">
        <v>0.25</v>
      </c>
      <c r="N37" s="83">
        <v>0</v>
      </c>
    </row>
    <row r="38" spans="3:14" customFormat="1" ht="15" customHeight="1" x14ac:dyDescent="0.15">
      <c r="C38" s="83">
        <v>37</v>
      </c>
      <c r="E38" s="181" t="s">
        <v>229</v>
      </c>
      <c r="F38" s="83">
        <v>0</v>
      </c>
      <c r="G38" s="83">
        <v>2.6592879999999999E-2</v>
      </c>
      <c r="H38" s="83">
        <v>0.479368776</v>
      </c>
      <c r="I38" s="83">
        <v>6.9067920000000003</v>
      </c>
      <c r="J38" s="83">
        <v>0.80598689999999995</v>
      </c>
      <c r="K38" s="83">
        <v>6.9405414200000001E-2</v>
      </c>
      <c r="L38" s="83">
        <v>0</v>
      </c>
      <c r="M38" s="83">
        <v>0.25</v>
      </c>
      <c r="N38" s="83">
        <v>0</v>
      </c>
    </row>
    <row r="39" spans="3:14" customFormat="1" ht="15" customHeight="1" x14ac:dyDescent="0.15">
      <c r="C39" s="83">
        <v>38</v>
      </c>
      <c r="E39" s="181" t="s">
        <v>230</v>
      </c>
      <c r="F39" s="83">
        <v>0</v>
      </c>
      <c r="G39" s="83">
        <v>8.35954E-2</v>
      </c>
      <c r="H39" s="83">
        <v>0.45990779999999998</v>
      </c>
      <c r="I39" s="83">
        <v>3.4942920000000002</v>
      </c>
      <c r="J39" s="83">
        <v>0.96498740000000005</v>
      </c>
      <c r="K39" s="83">
        <v>0.13161687599999999</v>
      </c>
      <c r="L39" s="83">
        <v>0</v>
      </c>
      <c r="M39" s="83">
        <v>0.25</v>
      </c>
      <c r="N39" s="83">
        <v>0</v>
      </c>
    </row>
    <row r="40" spans="3:14" customFormat="1" ht="15" customHeight="1" x14ac:dyDescent="0.15">
      <c r="C40" s="83">
        <v>39</v>
      </c>
      <c r="E40" s="181" t="s">
        <v>231</v>
      </c>
      <c r="F40" s="83">
        <v>0</v>
      </c>
      <c r="G40" s="83">
        <v>8.4328990000000006E-2</v>
      </c>
      <c r="H40" s="83">
        <v>0.43484044100000002</v>
      </c>
      <c r="I40" s="83">
        <v>2.2599999999999998</v>
      </c>
      <c r="J40" s="83">
        <v>0.95769090000000001</v>
      </c>
      <c r="K40" s="83">
        <v>0.19240728000000001</v>
      </c>
      <c r="L40" s="83">
        <v>0</v>
      </c>
      <c r="M40" s="83">
        <v>0.25</v>
      </c>
      <c r="N40" s="83">
        <v>0</v>
      </c>
    </row>
    <row r="41" spans="3:14" customFormat="1" ht="15" customHeight="1" x14ac:dyDescent="0.15">
      <c r="C41" s="83">
        <v>40</v>
      </c>
      <c r="E41" s="181" t="s">
        <v>232</v>
      </c>
      <c r="F41" s="83">
        <v>0</v>
      </c>
      <c r="G41" s="83">
        <v>0.60299999999999998</v>
      </c>
      <c r="H41" s="83">
        <v>0.45300000000000001</v>
      </c>
      <c r="I41" s="83">
        <v>3</v>
      </c>
      <c r="J41" s="83">
        <v>0.44775831700000002</v>
      </c>
      <c r="K41" s="83">
        <v>0.15100000799999999</v>
      </c>
      <c r="L41" s="83">
        <v>0</v>
      </c>
      <c r="M41" s="83">
        <v>0.2</v>
      </c>
      <c r="N41" s="83">
        <v>0</v>
      </c>
    </row>
    <row r="42" spans="3:14" customFormat="1" ht="15" customHeight="1" x14ac:dyDescent="0.15">
      <c r="C42" s="83">
        <v>41</v>
      </c>
      <c r="E42" s="181" t="s">
        <v>233</v>
      </c>
      <c r="F42" s="83">
        <v>0</v>
      </c>
      <c r="G42" s="83">
        <v>0.82699999999999996</v>
      </c>
      <c r="H42" s="83">
        <v>1.115</v>
      </c>
      <c r="I42" s="83">
        <v>3.85</v>
      </c>
      <c r="J42" s="83">
        <v>0.64116399999999996</v>
      </c>
      <c r="K42" s="83">
        <v>0.28961039999999999</v>
      </c>
      <c r="L42" s="83">
        <v>0</v>
      </c>
      <c r="M42" s="83">
        <v>0.25</v>
      </c>
      <c r="N42" s="83">
        <v>0</v>
      </c>
    </row>
    <row r="43" spans="3:14" customFormat="1" ht="15" customHeight="1" x14ac:dyDescent="0.15">
      <c r="C43" s="83">
        <v>42</v>
      </c>
      <c r="E43" s="181" t="s">
        <v>234</v>
      </c>
      <c r="F43" s="83">
        <v>0</v>
      </c>
      <c r="G43" s="83">
        <v>0.81573019999999996</v>
      </c>
      <c r="H43" s="83">
        <v>0.45</v>
      </c>
      <c r="I43" s="83">
        <v>0.90500000000000003</v>
      </c>
      <c r="J43" s="83">
        <v>0.32682168499999997</v>
      </c>
      <c r="K43" s="83">
        <v>0.49723756299999999</v>
      </c>
      <c r="L43" s="83">
        <v>0</v>
      </c>
      <c r="M43" s="83">
        <v>0.25</v>
      </c>
      <c r="N43" s="83">
        <v>0</v>
      </c>
    </row>
    <row r="44" spans="3:14" customFormat="1" ht="15" customHeight="1" x14ac:dyDescent="0.15">
      <c r="C44" s="83">
        <v>43</v>
      </c>
      <c r="E44" s="181" t="s">
        <v>235</v>
      </c>
      <c r="F44" s="83">
        <v>0</v>
      </c>
      <c r="G44" s="83">
        <v>4.3892689999999998E-2</v>
      </c>
      <c r="H44" s="83">
        <v>1.0737185499999999</v>
      </c>
      <c r="I44" s="83">
        <v>4.4091420000000001</v>
      </c>
      <c r="J44" s="83">
        <v>0.169857129</v>
      </c>
      <c r="K44" s="83">
        <v>0.243520975</v>
      </c>
      <c r="L44" s="83">
        <v>0</v>
      </c>
      <c r="M44" s="83">
        <v>0.2</v>
      </c>
      <c r="N44" s="83">
        <v>0</v>
      </c>
    </row>
    <row r="45" spans="3:14" customFormat="1" ht="15" customHeight="1" x14ac:dyDescent="0.15">
      <c r="C45" s="83">
        <v>44</v>
      </c>
      <c r="E45" s="181" t="s">
        <v>236</v>
      </c>
      <c r="F45" s="83">
        <v>0</v>
      </c>
      <c r="G45" s="83">
        <v>0.111153245</v>
      </c>
      <c r="H45" s="83">
        <v>1.09973454</v>
      </c>
      <c r="I45" s="83">
        <v>2.9</v>
      </c>
      <c r="J45" s="83">
        <v>0.462849915</v>
      </c>
      <c r="K45" s="83">
        <v>0.37921880000000002</v>
      </c>
      <c r="L45" s="83">
        <v>0</v>
      </c>
      <c r="M45" s="83">
        <v>0.2</v>
      </c>
      <c r="N45" s="83">
        <v>0</v>
      </c>
    </row>
    <row r="46" spans="3:14" customFormat="1" ht="15" customHeight="1" x14ac:dyDescent="0.15">
      <c r="C46" s="83">
        <v>45</v>
      </c>
      <c r="E46" s="181" t="s">
        <v>237</v>
      </c>
      <c r="F46" s="83">
        <v>0</v>
      </c>
      <c r="G46" s="83">
        <v>2.993796E-2</v>
      </c>
      <c r="H46" s="83">
        <v>0.56362190000000001</v>
      </c>
      <c r="I46" s="83">
        <v>4.4091420000000001</v>
      </c>
      <c r="J46" s="83">
        <v>0.64318790000000003</v>
      </c>
      <c r="K46" s="83">
        <v>0.12783028199999999</v>
      </c>
      <c r="L46" s="83">
        <v>0</v>
      </c>
      <c r="M46" s="83">
        <v>0.2</v>
      </c>
      <c r="N46" s="83">
        <v>0</v>
      </c>
    </row>
    <row r="47" spans="3:14" customFormat="1" ht="15" customHeight="1" x14ac:dyDescent="0.15">
      <c r="C47" s="83">
        <v>46</v>
      </c>
      <c r="E47" s="181" t="s">
        <v>238</v>
      </c>
      <c r="F47" s="83">
        <v>0</v>
      </c>
      <c r="G47" s="83">
        <v>0.175433323</v>
      </c>
      <c r="H47" s="83">
        <v>0.53464840000000002</v>
      </c>
      <c r="I47" s="83">
        <v>2.9</v>
      </c>
      <c r="J47" s="83">
        <v>0.48383910000000002</v>
      </c>
      <c r="K47" s="83">
        <v>0.184361517</v>
      </c>
      <c r="L47" s="83">
        <v>0</v>
      </c>
      <c r="M47" s="83">
        <v>0.25</v>
      </c>
      <c r="N47" s="83">
        <v>0</v>
      </c>
    </row>
    <row r="48" spans="3:14" customFormat="1" ht="15" customHeight="1" x14ac:dyDescent="0.15">
      <c r="C48" s="83">
        <v>47</v>
      </c>
      <c r="E48" s="181" t="s">
        <v>239</v>
      </c>
      <c r="F48" s="83">
        <v>0</v>
      </c>
      <c r="G48" s="83">
        <v>1.655</v>
      </c>
      <c r="H48" s="83">
        <v>0.45300000000000001</v>
      </c>
      <c r="I48" s="83">
        <v>2.4</v>
      </c>
      <c r="J48" s="83">
        <v>0.28955989999999998</v>
      </c>
      <c r="K48" s="83">
        <v>0.18875</v>
      </c>
      <c r="L48" s="83">
        <v>0</v>
      </c>
      <c r="M48" s="83">
        <v>0.25</v>
      </c>
      <c r="N48" s="83">
        <v>0</v>
      </c>
    </row>
    <row r="49" spans="3:14" customFormat="1" ht="15" customHeight="1" x14ac:dyDescent="0.15">
      <c r="C49" s="83">
        <v>48</v>
      </c>
      <c r="E49" s="181" t="s">
        <v>240</v>
      </c>
      <c r="F49" s="83">
        <v>0</v>
      </c>
      <c r="G49" s="83">
        <v>2.0539999999999998</v>
      </c>
      <c r="H49" s="83">
        <v>0.45</v>
      </c>
      <c r="I49" s="83">
        <v>0.90500000000000003</v>
      </c>
      <c r="J49" s="83">
        <v>0.96393126200000001</v>
      </c>
      <c r="K49" s="83">
        <v>0.49723756299999999</v>
      </c>
      <c r="L49" s="83">
        <v>0</v>
      </c>
      <c r="M49" s="83">
        <v>0.1</v>
      </c>
      <c r="N49" s="83">
        <v>0</v>
      </c>
    </row>
    <row r="50" spans="3:14" customFormat="1" ht="15" customHeight="1" x14ac:dyDescent="0.15">
      <c r="C50" s="83">
        <v>49</v>
      </c>
      <c r="E50" s="181" t="s">
        <v>241</v>
      </c>
      <c r="F50" s="83">
        <v>0</v>
      </c>
      <c r="G50" s="83">
        <v>0.54600000000000004</v>
      </c>
      <c r="H50" s="83">
        <v>0.55000000000000004</v>
      </c>
      <c r="I50" s="83">
        <v>1.2130000000000001</v>
      </c>
      <c r="J50" s="83">
        <v>0.94519734399999999</v>
      </c>
      <c r="K50" s="83">
        <v>0.45342126500000002</v>
      </c>
      <c r="L50" s="83">
        <v>0</v>
      </c>
      <c r="M50" s="83">
        <v>0.2</v>
      </c>
      <c r="N50" s="83">
        <v>0</v>
      </c>
    </row>
    <row r="51" spans="3:14" customFormat="1" ht="15" customHeight="1" x14ac:dyDescent="0.15">
      <c r="C51" s="83">
        <v>50</v>
      </c>
      <c r="E51" s="181" t="s">
        <v>242</v>
      </c>
      <c r="F51" s="83">
        <v>0</v>
      </c>
      <c r="G51" s="83">
        <v>1.5</v>
      </c>
      <c r="H51" s="83">
        <v>0.45</v>
      </c>
      <c r="I51" s="83">
        <v>0.81399999999999995</v>
      </c>
      <c r="J51" s="83">
        <v>0.87085690000000004</v>
      </c>
      <c r="K51" s="83">
        <v>0.55282549999999997</v>
      </c>
      <c r="L51" s="83">
        <v>0</v>
      </c>
      <c r="M51" s="83">
        <v>0.25</v>
      </c>
      <c r="N51" s="83">
        <v>0</v>
      </c>
    </row>
    <row r="52" spans="3:14" customFormat="1" ht="15" customHeight="1" x14ac:dyDescent="0.15">
      <c r="C52" s="83">
        <v>51</v>
      </c>
      <c r="E52" s="181" t="s">
        <v>243</v>
      </c>
      <c r="F52" s="83">
        <v>0</v>
      </c>
      <c r="G52" s="83">
        <v>0.121</v>
      </c>
      <c r="H52" s="83">
        <v>0.45</v>
      </c>
      <c r="I52" s="83">
        <v>1.8380000000000001</v>
      </c>
      <c r="J52" s="83">
        <v>6.0267929999999997E-2</v>
      </c>
      <c r="K52" s="83">
        <v>0.24483132399999999</v>
      </c>
      <c r="L52" s="83">
        <v>0</v>
      </c>
      <c r="M52" s="83">
        <v>0.1</v>
      </c>
      <c r="N52" s="83">
        <v>0</v>
      </c>
    </row>
    <row r="53" spans="3:14" customFormat="1" ht="15" customHeight="1" x14ac:dyDescent="0.15">
      <c r="C53" s="83">
        <v>52</v>
      </c>
      <c r="E53" s="181" t="s">
        <v>244</v>
      </c>
      <c r="F53" s="83">
        <v>0</v>
      </c>
      <c r="G53" s="83">
        <v>1.7899999999999999E-2</v>
      </c>
      <c r="H53" s="83">
        <v>0.2</v>
      </c>
      <c r="I53" s="83">
        <v>1.2470000000000001</v>
      </c>
      <c r="J53" s="83">
        <v>0.95488240000000002</v>
      </c>
      <c r="K53" s="83">
        <v>0.16038492300000001</v>
      </c>
      <c r="L53" s="83">
        <v>0</v>
      </c>
      <c r="M53" s="83">
        <v>0</v>
      </c>
      <c r="N53" s="83">
        <v>0</v>
      </c>
    </row>
    <row r="54" spans="3:14" customFormat="1" ht="15" customHeight="1" x14ac:dyDescent="0.15">
      <c r="C54" s="83">
        <v>53</v>
      </c>
      <c r="E54" s="181" t="s">
        <v>245</v>
      </c>
      <c r="F54" s="83">
        <v>0</v>
      </c>
      <c r="G54" s="83">
        <v>1.6E-2</v>
      </c>
      <c r="H54" s="83">
        <v>0.113</v>
      </c>
      <c r="I54" s="83">
        <v>0.69</v>
      </c>
      <c r="J54" s="83">
        <v>0.31570121600000001</v>
      </c>
      <c r="K54" s="83">
        <v>0.16376811299999999</v>
      </c>
      <c r="L54" s="83">
        <v>0</v>
      </c>
      <c r="M54" s="83">
        <v>0.15</v>
      </c>
      <c r="N54" s="83">
        <v>0</v>
      </c>
    </row>
    <row r="55" spans="3:14" customFormat="1" ht="15" customHeight="1" x14ac:dyDescent="0.15">
      <c r="C55" s="83">
        <v>54</v>
      </c>
      <c r="E55" s="181" t="s">
        <v>246</v>
      </c>
      <c r="F55" s="83">
        <v>0</v>
      </c>
      <c r="G55" s="83">
        <v>7.0000000000000007E-2</v>
      </c>
      <c r="H55" s="83">
        <v>0.57899999999999996</v>
      </c>
      <c r="I55" s="83">
        <v>6.7939999999999996</v>
      </c>
      <c r="J55" s="83">
        <v>0.82777849999999997</v>
      </c>
      <c r="K55" s="83">
        <v>8.5222249999999999E-2</v>
      </c>
      <c r="L55" s="83">
        <v>0</v>
      </c>
      <c r="M55" s="83">
        <v>0.15</v>
      </c>
      <c r="N55" s="83">
        <v>0</v>
      </c>
    </row>
    <row r="56" spans="3:14" customFormat="1" ht="15" customHeight="1" x14ac:dyDescent="0.15">
      <c r="C56" s="83">
        <v>55</v>
      </c>
      <c r="E56" s="181" t="s">
        <v>247</v>
      </c>
      <c r="F56" s="83">
        <v>0</v>
      </c>
      <c r="G56" s="83">
        <v>3.5000000000000003E-2</v>
      </c>
      <c r="H56" s="83">
        <v>7.4999999999999997E-2</v>
      </c>
      <c r="I56" s="83">
        <v>5.5</v>
      </c>
      <c r="J56" s="83">
        <v>0.25328072899999998</v>
      </c>
      <c r="K56" s="83">
        <v>1.3636364600000001E-2</v>
      </c>
      <c r="L56" s="83">
        <v>0</v>
      </c>
      <c r="M56" s="83">
        <v>0.15</v>
      </c>
      <c r="N56" s="83">
        <v>0</v>
      </c>
    </row>
    <row r="57" spans="3:14" customFormat="1" ht="15" customHeight="1" x14ac:dyDescent="0.15">
      <c r="C57" s="83">
        <v>56</v>
      </c>
      <c r="E57" s="181" t="s">
        <v>248</v>
      </c>
      <c r="F57" s="83">
        <v>0</v>
      </c>
      <c r="G57" s="83">
        <v>0.46400000000000002</v>
      </c>
      <c r="H57" s="83">
        <v>0.04</v>
      </c>
      <c r="I57" s="83">
        <v>3.2170000000000001</v>
      </c>
      <c r="J57" s="83">
        <v>2.7332505199999999E-2</v>
      </c>
      <c r="K57" s="83">
        <v>1.2433944299999999E-2</v>
      </c>
      <c r="L57" s="83">
        <v>0</v>
      </c>
      <c r="M57" s="83">
        <v>0.2</v>
      </c>
      <c r="N57" s="83">
        <v>0</v>
      </c>
    </row>
    <row r="58" spans="3:14" customFormat="1" ht="15" customHeight="1" x14ac:dyDescent="0.15">
      <c r="C58" s="83">
        <v>57</v>
      </c>
      <c r="E58" s="181" t="s">
        <v>249</v>
      </c>
      <c r="F58" s="83">
        <v>0</v>
      </c>
      <c r="G58" s="83">
        <v>0.06</v>
      </c>
      <c r="H58" s="83">
        <v>0.04</v>
      </c>
      <c r="I58" s="83">
        <v>14.301</v>
      </c>
      <c r="J58" s="83">
        <v>0.59925709999999999</v>
      </c>
      <c r="K58" s="83">
        <v>2.7970069999999998E-3</v>
      </c>
      <c r="L58" s="83">
        <v>0</v>
      </c>
      <c r="M58" s="83">
        <v>0.2</v>
      </c>
      <c r="N58" s="83">
        <v>0</v>
      </c>
    </row>
    <row r="59" spans="3:14" customFormat="1" ht="15" customHeight="1" x14ac:dyDescent="0.15">
      <c r="C59" s="83">
        <v>58</v>
      </c>
      <c r="E59" s="181" t="s">
        <v>250</v>
      </c>
      <c r="F59" s="83">
        <v>0</v>
      </c>
      <c r="G59" s="83">
        <v>7.0000000000000001E-3</v>
      </c>
      <c r="H59" s="83">
        <v>0.27500000000000002</v>
      </c>
      <c r="I59" s="83">
        <v>9.3179999999999996</v>
      </c>
      <c r="J59" s="83">
        <v>0.41888365100000002</v>
      </c>
      <c r="K59" s="83">
        <v>2.95127723E-2</v>
      </c>
      <c r="L59" s="83">
        <v>0</v>
      </c>
      <c r="M59" s="83">
        <v>0.2</v>
      </c>
      <c r="N59" s="83">
        <v>0</v>
      </c>
    </row>
    <row r="60" spans="3:14" customFormat="1" ht="15" customHeight="1" x14ac:dyDescent="0.15">
      <c r="C60" s="83">
        <v>59</v>
      </c>
      <c r="E60" s="181" t="s">
        <v>251</v>
      </c>
      <c r="F60" s="83">
        <v>2</v>
      </c>
      <c r="G60" s="83">
        <v>52.605159999999998</v>
      </c>
      <c r="H60" s="83">
        <v>0</v>
      </c>
      <c r="I60" s="83">
        <v>0</v>
      </c>
      <c r="J60" s="83">
        <v>0</v>
      </c>
      <c r="K60" s="83">
        <v>0</v>
      </c>
      <c r="L60" s="83">
        <v>0</v>
      </c>
      <c r="M60" s="83">
        <v>0</v>
      </c>
      <c r="N60" s="83">
        <v>0</v>
      </c>
    </row>
    <row r="61" spans="3:14" customFormat="1" ht="15" customHeight="1" x14ac:dyDescent="0.15">
      <c r="C61" s="83">
        <v>60</v>
      </c>
      <c r="E61" s="181" t="s">
        <v>252</v>
      </c>
      <c r="F61" s="83">
        <v>2</v>
      </c>
      <c r="G61" s="83">
        <v>5</v>
      </c>
      <c r="H61" s="83">
        <v>0</v>
      </c>
      <c r="I61" s="83">
        <v>0</v>
      </c>
      <c r="J61" s="83">
        <v>0</v>
      </c>
      <c r="K61" s="83">
        <v>0</v>
      </c>
      <c r="L61" s="83">
        <v>0</v>
      </c>
      <c r="M61" s="83">
        <v>0</v>
      </c>
      <c r="N61" s="83">
        <v>0</v>
      </c>
    </row>
    <row r="62" spans="3:14" customFormat="1" ht="15" customHeight="1" x14ac:dyDescent="0.15">
      <c r="C62" s="83">
        <v>61</v>
      </c>
      <c r="E62" s="181" t="s">
        <v>253</v>
      </c>
      <c r="F62" s="83">
        <v>3</v>
      </c>
      <c r="G62" s="83">
        <v>0</v>
      </c>
      <c r="H62" s="83">
        <v>0</v>
      </c>
      <c r="I62" s="83">
        <v>0</v>
      </c>
      <c r="J62" s="83">
        <v>0</v>
      </c>
      <c r="K62" s="83">
        <v>0</v>
      </c>
      <c r="L62" s="83">
        <v>0</v>
      </c>
      <c r="M62" s="83">
        <v>0</v>
      </c>
      <c r="N62" s="83">
        <v>0</v>
      </c>
    </row>
    <row r="63" spans="3:14" customFormat="1" ht="15" customHeight="1" x14ac:dyDescent="0.15">
      <c r="C63" s="83">
        <v>62</v>
      </c>
      <c r="E63" s="181" t="s">
        <v>254</v>
      </c>
      <c r="F63" s="83">
        <v>3</v>
      </c>
      <c r="G63" s="83">
        <v>0</v>
      </c>
      <c r="H63" s="83">
        <v>0</v>
      </c>
      <c r="I63" s="83">
        <v>0</v>
      </c>
      <c r="J63" s="83">
        <v>0</v>
      </c>
      <c r="K63" s="83">
        <v>0</v>
      </c>
      <c r="L63" s="83">
        <v>0</v>
      </c>
      <c r="M63" s="83">
        <v>0</v>
      </c>
      <c r="N63" s="83">
        <v>0</v>
      </c>
    </row>
    <row r="64" spans="3:14" customFormat="1" ht="15" customHeight="1" x14ac:dyDescent="0.15">
      <c r="C64" s="83">
        <v>63</v>
      </c>
      <c r="E64" s="181" t="s">
        <v>255</v>
      </c>
      <c r="F64" s="83">
        <v>3</v>
      </c>
      <c r="G64" s="83">
        <v>0</v>
      </c>
      <c r="H64" s="83">
        <v>0</v>
      </c>
      <c r="I64" s="83">
        <v>0</v>
      </c>
      <c r="J64" s="83">
        <v>0</v>
      </c>
      <c r="K64" s="83">
        <v>0</v>
      </c>
      <c r="L64" s="83">
        <v>0</v>
      </c>
      <c r="M64" s="83">
        <v>0</v>
      </c>
      <c r="N64" s="83">
        <v>0</v>
      </c>
    </row>
    <row r="65" spans="3:14" customFormat="1" ht="15" customHeight="1" x14ac:dyDescent="0.15">
      <c r="C65" s="83">
        <v>64</v>
      </c>
      <c r="E65" s="181" t="s">
        <v>256</v>
      </c>
      <c r="F65" s="83">
        <v>3</v>
      </c>
      <c r="G65" s="83">
        <v>0</v>
      </c>
      <c r="H65" s="83">
        <v>0</v>
      </c>
      <c r="I65" s="83">
        <v>0</v>
      </c>
      <c r="J65" s="83">
        <v>0</v>
      </c>
      <c r="K65" s="83">
        <v>0</v>
      </c>
      <c r="L65" s="83">
        <v>0</v>
      </c>
      <c r="M65" s="83">
        <v>0</v>
      </c>
      <c r="N65" s="83">
        <v>0</v>
      </c>
    </row>
    <row r="66" spans="3:14" customFormat="1" ht="15" customHeight="1" x14ac:dyDescent="0.15">
      <c r="C66" s="83">
        <v>65</v>
      </c>
      <c r="E66" s="181" t="s">
        <v>257</v>
      </c>
      <c r="F66" s="83">
        <v>3</v>
      </c>
      <c r="G66" s="83">
        <v>0</v>
      </c>
      <c r="H66" s="83">
        <v>0</v>
      </c>
      <c r="I66" s="83">
        <v>0</v>
      </c>
      <c r="J66" s="83">
        <v>0</v>
      </c>
      <c r="K66" s="83">
        <v>0</v>
      </c>
      <c r="L66" s="83">
        <v>0</v>
      </c>
      <c r="M66" s="83">
        <v>0</v>
      </c>
      <c r="N66" s="83">
        <v>0</v>
      </c>
    </row>
    <row r="67" spans="3:14" customFormat="1" ht="15" customHeight="1" x14ac:dyDescent="0.15">
      <c r="C67" s="83">
        <v>66</v>
      </c>
      <c r="E67" s="181" t="s">
        <v>258</v>
      </c>
      <c r="F67" s="83">
        <v>3</v>
      </c>
      <c r="G67" s="83">
        <v>0</v>
      </c>
      <c r="H67" s="83">
        <v>0</v>
      </c>
      <c r="I67" s="83">
        <v>0</v>
      </c>
      <c r="J67" s="83">
        <v>0</v>
      </c>
      <c r="K67" s="83">
        <v>0</v>
      </c>
      <c r="L67" s="83">
        <v>0</v>
      </c>
      <c r="M67" s="83">
        <v>0</v>
      </c>
      <c r="N67" s="83">
        <v>0</v>
      </c>
    </row>
    <row r="68" spans="3:14" customFormat="1" ht="15" customHeight="1" x14ac:dyDescent="0.15">
      <c r="C68" s="83">
        <v>67</v>
      </c>
      <c r="E68" s="181" t="s">
        <v>259</v>
      </c>
      <c r="F68" s="83">
        <v>3</v>
      </c>
      <c r="G68" s="83">
        <v>0</v>
      </c>
      <c r="H68" s="83">
        <v>0</v>
      </c>
      <c r="I68" s="83">
        <v>0</v>
      </c>
      <c r="J68" s="83">
        <v>0</v>
      </c>
      <c r="K68" s="83">
        <v>0</v>
      </c>
      <c r="L68" s="83">
        <v>0</v>
      </c>
      <c r="M68" s="83">
        <v>0</v>
      </c>
      <c r="N68" s="83">
        <v>0</v>
      </c>
    </row>
    <row r="69" spans="3:14" customFormat="1" ht="15" customHeight="1" x14ac:dyDescent="0.15"/>
    <row r="70" spans="3:14" customFormat="1" ht="15" customHeight="1" x14ac:dyDescent="0.15"/>
    <row r="71" spans="3:14" customFormat="1" ht="15" customHeight="1" x14ac:dyDescent="0.15"/>
    <row r="72" spans="3:14" customFormat="1" ht="15" customHeight="1" x14ac:dyDescent="0.15"/>
    <row r="73" spans="3:14" customFormat="1" ht="15" customHeight="1" x14ac:dyDescent="0.15"/>
    <row r="74" spans="3:14" customFormat="1" ht="15" customHeight="1" x14ac:dyDescent="0.15"/>
    <row r="75" spans="3:14" customFormat="1" ht="15" customHeight="1" x14ac:dyDescent="0.15"/>
    <row r="76" spans="3:14" customFormat="1" ht="15" customHeight="1" x14ac:dyDescent="0.15"/>
    <row r="77" spans="3:14" customFormat="1" ht="15" customHeight="1" x14ac:dyDescent="0.15"/>
    <row r="78" spans="3:14" customFormat="1" ht="15" customHeight="1" x14ac:dyDescent="0.15"/>
    <row r="79" spans="3:14" customFormat="1" ht="15" customHeight="1" x14ac:dyDescent="0.15"/>
    <row r="80" spans="3:14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I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4.83203125" style="147" bestFit="1" customWidth="1"/>
    <col min="2" max="2" width="2.33203125" style="147" bestFit="1" customWidth="1"/>
    <col min="3" max="3" width="12.83203125" style="147" bestFit="1" customWidth="1"/>
    <col min="4" max="4" width="14.83203125" style="147" bestFit="1" customWidth="1"/>
    <col min="5" max="6" width="15.83203125" style="147" bestFit="1" customWidth="1"/>
    <col min="7" max="7" width="15.5" style="147" bestFit="1" customWidth="1"/>
    <col min="8" max="12" width="15.83203125" style="147" bestFit="1" customWidth="1"/>
    <col min="13" max="13" width="12.83203125" style="147" bestFit="1" customWidth="1"/>
    <col min="14" max="14" width="15.5" style="147" bestFit="1" customWidth="1"/>
    <col min="15" max="15" width="14.83203125" style="147" bestFit="1" customWidth="1"/>
    <col min="16" max="16" width="13.83203125" style="147" bestFit="1" customWidth="1"/>
    <col min="17" max="18" width="15.83203125" style="147" bestFit="1" customWidth="1"/>
    <col min="19" max="19" width="12.83203125" style="147" bestFit="1" customWidth="1"/>
    <col min="20" max="21" width="5.83203125" style="147" bestFit="1" customWidth="1"/>
    <col min="22" max="22" width="13.83203125" style="147" bestFit="1" customWidth="1"/>
    <col min="23" max="23" width="14.83203125" style="147" bestFit="1" customWidth="1"/>
    <col min="24" max="29" width="15.83203125" style="147" bestFit="1" customWidth="1"/>
    <col min="30" max="30" width="15.83203125" style="147" customWidth="1"/>
    <col min="31" max="32" width="14.83203125" style="147" customWidth="1"/>
    <col min="33" max="39" width="15.83203125" style="147" customWidth="1"/>
    <col min="40" max="40" width="15.5" style="147" customWidth="1"/>
    <col min="41" max="41" width="15.83203125" style="147" customWidth="1"/>
    <col min="42" max="42" width="15.5" style="147" customWidth="1"/>
    <col min="43" max="47" width="14.83203125" style="147" customWidth="1"/>
    <col min="48" max="48" width="15.83203125" style="147" customWidth="1"/>
    <col min="49" max="51" width="14.83203125" style="147" customWidth="1"/>
    <col min="52" max="52" width="13.83203125" style="147" customWidth="1"/>
    <col min="53" max="54" width="14.83203125" style="147" customWidth="1"/>
    <col min="55" max="55" width="13.83203125" style="147" customWidth="1"/>
    <col min="56" max="58" width="14.83203125" style="147" customWidth="1"/>
    <col min="59" max="59" width="15.83203125" style="147" customWidth="1"/>
    <col min="60" max="61" width="2.33203125" style="147" customWidth="1"/>
    <col min="62" max="16384" width="8.83203125" style="147"/>
  </cols>
  <sheetData>
    <row r="1" spans="1:61" x14ac:dyDescent="0.15">
      <c r="A1" s="146" t="s">
        <v>19</v>
      </c>
      <c r="B1" s="183" t="s">
        <v>193</v>
      </c>
      <c r="C1" s="183" t="s">
        <v>194</v>
      </c>
      <c r="D1" s="183" t="s">
        <v>195</v>
      </c>
      <c r="E1" s="183" t="s">
        <v>196</v>
      </c>
      <c r="F1" s="183" t="s">
        <v>197</v>
      </c>
      <c r="G1" s="183" t="s">
        <v>198</v>
      </c>
      <c r="H1" s="183" t="s">
        <v>199</v>
      </c>
      <c r="I1" s="183" t="s">
        <v>200</v>
      </c>
      <c r="J1" s="183" t="s">
        <v>201</v>
      </c>
      <c r="K1" s="183" t="s">
        <v>202</v>
      </c>
      <c r="L1" s="183" t="s">
        <v>203</v>
      </c>
      <c r="M1" s="183" t="s">
        <v>204</v>
      </c>
      <c r="N1" s="183" t="s">
        <v>205</v>
      </c>
      <c r="O1" s="183" t="s">
        <v>206</v>
      </c>
      <c r="P1" s="183" t="s">
        <v>207</v>
      </c>
      <c r="Q1" s="183" t="s">
        <v>208</v>
      </c>
      <c r="R1" s="183" t="s">
        <v>209</v>
      </c>
      <c r="S1" s="183" t="s">
        <v>210</v>
      </c>
      <c r="T1" s="183" t="s">
        <v>211</v>
      </c>
      <c r="U1" s="183" t="s">
        <v>212</v>
      </c>
      <c r="V1" s="183" t="s">
        <v>213</v>
      </c>
      <c r="W1" s="183" t="s">
        <v>214</v>
      </c>
      <c r="X1" s="183" t="s">
        <v>215</v>
      </c>
      <c r="Y1" s="183" t="s">
        <v>216</v>
      </c>
      <c r="Z1" s="183" t="s">
        <v>217</v>
      </c>
      <c r="AA1" s="183" t="s">
        <v>218</v>
      </c>
      <c r="AB1" s="183" t="s">
        <v>219</v>
      </c>
      <c r="AC1" s="183" t="s">
        <v>220</v>
      </c>
      <c r="AD1" s="183" t="s">
        <v>221</v>
      </c>
      <c r="AE1" s="183" t="s">
        <v>222</v>
      </c>
      <c r="AF1" s="183" t="s">
        <v>223</v>
      </c>
      <c r="AG1" s="183" t="s">
        <v>224</v>
      </c>
      <c r="AH1" s="183" t="s">
        <v>225</v>
      </c>
      <c r="AI1" s="183" t="s">
        <v>226</v>
      </c>
      <c r="AJ1" s="183" t="s">
        <v>227</v>
      </c>
      <c r="AK1" s="183" t="s">
        <v>228</v>
      </c>
      <c r="AL1" s="183" t="s">
        <v>229</v>
      </c>
      <c r="AM1" s="183" t="s">
        <v>230</v>
      </c>
      <c r="AN1" s="183" t="s">
        <v>231</v>
      </c>
      <c r="AO1" s="183" t="s">
        <v>232</v>
      </c>
      <c r="AP1" s="183" t="s">
        <v>233</v>
      </c>
      <c r="AQ1" s="183" t="s">
        <v>234</v>
      </c>
      <c r="AR1" s="183" t="s">
        <v>235</v>
      </c>
      <c r="AS1" s="183" t="s">
        <v>236</v>
      </c>
      <c r="AT1" s="183" t="s">
        <v>237</v>
      </c>
      <c r="AU1" s="183" t="s">
        <v>238</v>
      </c>
      <c r="AV1" s="183" t="s">
        <v>239</v>
      </c>
      <c r="AW1" s="183" t="s">
        <v>240</v>
      </c>
      <c r="AX1" s="183" t="s">
        <v>241</v>
      </c>
      <c r="AY1" s="183" t="s">
        <v>242</v>
      </c>
      <c r="AZ1" s="183" t="s">
        <v>243</v>
      </c>
      <c r="BA1" s="183" t="s">
        <v>244</v>
      </c>
      <c r="BB1" s="183" t="s">
        <v>245</v>
      </c>
      <c r="BC1" s="183" t="s">
        <v>246</v>
      </c>
      <c r="BD1" s="183" t="s">
        <v>247</v>
      </c>
      <c r="BE1" s="183" t="s">
        <v>248</v>
      </c>
      <c r="BF1" s="183" t="s">
        <v>249</v>
      </c>
      <c r="BG1" s="183" t="s">
        <v>250</v>
      </c>
      <c r="BH1" s="183" t="s">
        <v>251</v>
      </c>
      <c r="BI1" s="183" t="s">
        <v>252</v>
      </c>
    </row>
    <row r="2" spans="1:61" customFormat="1" x14ac:dyDescent="0.15">
      <c r="A2" s="182" t="s">
        <v>193</v>
      </c>
      <c r="B2" s="147">
        <v>0</v>
      </c>
      <c r="C2" s="147">
        <v>0.31407521005040673</v>
      </c>
      <c r="D2" s="147">
        <v>0.23424271332455326</v>
      </c>
      <c r="E2" s="147">
        <v>0.77516838596945226</v>
      </c>
      <c r="F2" s="147">
        <v>0.74038271133617561</v>
      </c>
      <c r="G2" s="147">
        <v>9.3266658603592942E-2</v>
      </c>
      <c r="H2" s="147">
        <v>0.19118218396332387</v>
      </c>
      <c r="I2" s="147">
        <v>0.15276349362976233</v>
      </c>
      <c r="J2" s="147">
        <v>0.1580564031611281</v>
      </c>
      <c r="K2" s="147">
        <v>0.40595426559412284</v>
      </c>
      <c r="L2" s="147">
        <v>0.20831809039653604</v>
      </c>
      <c r="M2" s="147">
        <v>0.71908191355121498</v>
      </c>
      <c r="N2" s="147">
        <v>0</v>
      </c>
      <c r="O2" s="147">
        <v>6.8621985215716885E-2</v>
      </c>
      <c r="P2" s="147">
        <v>0</v>
      </c>
      <c r="Q2" s="147">
        <v>0</v>
      </c>
      <c r="R2" s="147">
        <v>0</v>
      </c>
      <c r="S2" s="147">
        <v>0.30130135126226082</v>
      </c>
      <c r="T2" s="147">
        <v>0.23900000000000002</v>
      </c>
      <c r="U2" s="147">
        <v>0.17699999999999999</v>
      </c>
      <c r="V2" s="147">
        <v>0</v>
      </c>
      <c r="W2" s="147">
        <v>0</v>
      </c>
      <c r="X2" s="147">
        <v>0</v>
      </c>
      <c r="Y2" s="147">
        <v>0</v>
      </c>
      <c r="Z2" s="147">
        <v>0</v>
      </c>
      <c r="AA2" s="147">
        <v>0</v>
      </c>
      <c r="AB2" s="147">
        <v>0</v>
      </c>
      <c r="AC2" s="147">
        <v>0</v>
      </c>
      <c r="AD2" s="147">
        <v>0</v>
      </c>
      <c r="AE2" s="147">
        <v>0</v>
      </c>
      <c r="AF2" s="147">
        <v>0</v>
      </c>
      <c r="AG2" s="147">
        <v>0</v>
      </c>
      <c r="AH2" s="147">
        <v>0</v>
      </c>
      <c r="AI2" s="147">
        <v>0</v>
      </c>
      <c r="AJ2" s="147">
        <v>0</v>
      </c>
      <c r="AK2" s="147">
        <v>0</v>
      </c>
      <c r="AL2" s="147">
        <v>0</v>
      </c>
      <c r="AM2" s="147">
        <v>0</v>
      </c>
      <c r="AN2" s="147">
        <v>0</v>
      </c>
      <c r="AO2" s="147">
        <v>0</v>
      </c>
      <c r="AP2" s="147">
        <v>0</v>
      </c>
      <c r="AQ2" s="147">
        <v>0</v>
      </c>
      <c r="AR2" s="147">
        <v>0</v>
      </c>
      <c r="AS2" s="147">
        <v>0</v>
      </c>
      <c r="AT2" s="147">
        <v>0</v>
      </c>
      <c r="AU2" s="147">
        <v>0</v>
      </c>
      <c r="AV2" s="147">
        <v>0</v>
      </c>
      <c r="AW2" s="147">
        <v>0</v>
      </c>
      <c r="AX2" s="147">
        <v>0</v>
      </c>
      <c r="AY2" s="147">
        <v>0</v>
      </c>
      <c r="AZ2" s="147">
        <v>0</v>
      </c>
      <c r="BA2" s="147">
        <v>0</v>
      </c>
      <c r="BB2" s="147">
        <v>0</v>
      </c>
      <c r="BC2" s="147">
        <v>0</v>
      </c>
      <c r="BD2" s="147">
        <v>0</v>
      </c>
      <c r="BE2" s="147">
        <v>0</v>
      </c>
      <c r="BF2" s="147">
        <v>0</v>
      </c>
      <c r="BG2" s="147">
        <v>0</v>
      </c>
      <c r="BH2" s="147">
        <v>0</v>
      </c>
      <c r="BI2" s="147">
        <v>0</v>
      </c>
    </row>
    <row r="3" spans="1:61" customFormat="1" x14ac:dyDescent="0.15">
      <c r="A3" s="182" t="s">
        <v>194</v>
      </c>
      <c r="B3" s="147">
        <v>0</v>
      </c>
      <c r="C3" s="147">
        <v>0</v>
      </c>
      <c r="D3" s="147">
        <v>0.21811761588917561</v>
      </c>
      <c r="E3" s="147">
        <v>0</v>
      </c>
      <c r="F3" s="147">
        <v>0</v>
      </c>
      <c r="G3" s="147">
        <v>2.1689921275254161E-2</v>
      </c>
      <c r="H3" s="147">
        <v>0</v>
      </c>
      <c r="I3" s="147">
        <v>0.17858839255286404</v>
      </c>
      <c r="J3" s="147">
        <v>0.16073540321470808</v>
      </c>
      <c r="K3" s="147">
        <v>0.19802647487518182</v>
      </c>
      <c r="L3" s="147">
        <v>0.20831809039653604</v>
      </c>
      <c r="M3" s="147">
        <v>0.10800899232769426</v>
      </c>
      <c r="N3" s="147">
        <v>0.1940685764536719</v>
      </c>
      <c r="O3" s="147">
        <v>0.40664879772276669</v>
      </c>
      <c r="P3" s="147">
        <v>0</v>
      </c>
      <c r="Q3" s="147">
        <v>0</v>
      </c>
      <c r="R3" s="147">
        <v>0</v>
      </c>
      <c r="S3" s="147">
        <v>0</v>
      </c>
      <c r="T3" s="147">
        <v>0</v>
      </c>
      <c r="U3" s="147">
        <v>0</v>
      </c>
      <c r="V3" s="147">
        <v>0</v>
      </c>
      <c r="W3" s="147">
        <v>0</v>
      </c>
      <c r="X3" s="147">
        <v>0</v>
      </c>
      <c r="Y3" s="147">
        <v>0</v>
      </c>
      <c r="Z3" s="147">
        <v>0</v>
      </c>
      <c r="AA3" s="147">
        <v>0</v>
      </c>
      <c r="AB3" s="147">
        <v>0</v>
      </c>
      <c r="AC3" s="147">
        <v>0</v>
      </c>
      <c r="AD3" s="147">
        <v>0</v>
      </c>
      <c r="AE3" s="147">
        <v>0</v>
      </c>
      <c r="AF3" s="147">
        <v>0</v>
      </c>
      <c r="AG3" s="147">
        <v>0</v>
      </c>
      <c r="AH3" s="147">
        <v>0</v>
      </c>
      <c r="AI3" s="147">
        <v>0</v>
      </c>
      <c r="AJ3" s="147">
        <v>0</v>
      </c>
      <c r="AK3" s="147">
        <v>0</v>
      </c>
      <c r="AL3" s="147">
        <v>0</v>
      </c>
      <c r="AM3" s="147">
        <v>0</v>
      </c>
      <c r="AN3" s="147">
        <v>0</v>
      </c>
      <c r="AO3" s="147">
        <v>0</v>
      </c>
      <c r="AP3" s="147">
        <v>0</v>
      </c>
      <c r="AQ3" s="147">
        <v>0</v>
      </c>
      <c r="AR3" s="147">
        <v>0</v>
      </c>
      <c r="AS3" s="147">
        <v>0</v>
      </c>
      <c r="AT3" s="147">
        <v>0</v>
      </c>
      <c r="AU3" s="147">
        <v>0</v>
      </c>
      <c r="AV3" s="147">
        <v>0</v>
      </c>
      <c r="AW3" s="147">
        <v>0</v>
      </c>
      <c r="AX3" s="147">
        <v>0</v>
      </c>
      <c r="AY3" s="147">
        <v>0</v>
      </c>
      <c r="AZ3" s="147">
        <v>0</v>
      </c>
      <c r="BA3" s="147">
        <v>0</v>
      </c>
      <c r="BB3" s="147">
        <v>0</v>
      </c>
      <c r="BC3" s="147">
        <v>0</v>
      </c>
      <c r="BD3" s="147">
        <v>0</v>
      </c>
      <c r="BE3" s="147">
        <v>0</v>
      </c>
      <c r="BF3" s="147">
        <v>0</v>
      </c>
      <c r="BG3" s="147">
        <v>0</v>
      </c>
      <c r="BH3" s="147">
        <v>0</v>
      </c>
      <c r="BI3" s="147">
        <v>0</v>
      </c>
    </row>
    <row r="4" spans="1:61" customFormat="1" x14ac:dyDescent="0.15">
      <c r="A4" s="182" t="s">
        <v>195</v>
      </c>
      <c r="B4" s="147">
        <v>0</v>
      </c>
      <c r="C4" s="147">
        <v>0</v>
      </c>
      <c r="D4" s="147">
        <v>1.0733560289806128E-3</v>
      </c>
      <c r="E4" s="147">
        <v>8.4704628466846232E-2</v>
      </c>
      <c r="F4" s="147">
        <v>2.9841830207430833E-2</v>
      </c>
      <c r="G4" s="147">
        <v>2.5743782114558945E-2</v>
      </c>
      <c r="H4" s="147">
        <v>0</v>
      </c>
      <c r="I4" s="147">
        <v>0</v>
      </c>
      <c r="J4" s="147">
        <v>0</v>
      </c>
      <c r="K4" s="147">
        <v>0</v>
      </c>
      <c r="L4" s="147">
        <v>0</v>
      </c>
      <c r="M4" s="147">
        <v>0</v>
      </c>
      <c r="N4" s="147">
        <v>0</v>
      </c>
      <c r="O4" s="147">
        <v>0</v>
      </c>
      <c r="P4" s="147">
        <v>0</v>
      </c>
      <c r="Q4" s="147">
        <v>0</v>
      </c>
      <c r="R4" s="147">
        <v>0</v>
      </c>
      <c r="S4" s="147">
        <v>0.14014011193593676</v>
      </c>
      <c r="T4" s="147">
        <v>0.18000000000000002</v>
      </c>
      <c r="U4" s="147">
        <v>0.22</v>
      </c>
      <c r="V4" s="147">
        <v>0</v>
      </c>
      <c r="W4" s="147">
        <v>0.34123444378197609</v>
      </c>
      <c r="X4" s="147">
        <v>0</v>
      </c>
      <c r="Y4" s="147">
        <v>0</v>
      </c>
      <c r="Z4" s="147">
        <v>0</v>
      </c>
      <c r="AA4" s="147">
        <v>0</v>
      </c>
      <c r="AB4" s="147">
        <v>0</v>
      </c>
      <c r="AC4" s="147">
        <v>0</v>
      </c>
      <c r="AD4" s="147">
        <v>0</v>
      </c>
      <c r="AE4" s="147">
        <v>0</v>
      </c>
      <c r="AF4" s="147">
        <v>0</v>
      </c>
      <c r="AG4" s="147">
        <v>0</v>
      </c>
      <c r="AH4" s="147">
        <v>0</v>
      </c>
      <c r="AI4" s="147">
        <v>0</v>
      </c>
      <c r="AJ4" s="147">
        <v>0</v>
      </c>
      <c r="AK4" s="147">
        <v>0</v>
      </c>
      <c r="AL4" s="147">
        <v>0</v>
      </c>
      <c r="AM4" s="147">
        <v>0</v>
      </c>
      <c r="AN4" s="147">
        <v>0</v>
      </c>
      <c r="AO4" s="147">
        <v>0</v>
      </c>
      <c r="AP4" s="147">
        <v>0</v>
      </c>
      <c r="AQ4" s="147">
        <v>0</v>
      </c>
      <c r="AR4" s="147">
        <v>0</v>
      </c>
      <c r="AS4" s="147">
        <v>0</v>
      </c>
      <c r="AT4" s="147">
        <v>0</v>
      </c>
      <c r="AU4" s="147">
        <v>0</v>
      </c>
      <c r="AV4" s="147">
        <v>0</v>
      </c>
      <c r="AW4" s="147">
        <v>0</v>
      </c>
      <c r="AX4" s="147">
        <v>0</v>
      </c>
      <c r="AY4" s="147">
        <v>0</v>
      </c>
      <c r="AZ4" s="147">
        <v>0</v>
      </c>
      <c r="BA4" s="147">
        <v>0</v>
      </c>
      <c r="BB4" s="147">
        <v>0</v>
      </c>
      <c r="BC4" s="147">
        <v>0</v>
      </c>
      <c r="BD4" s="147">
        <v>0</v>
      </c>
      <c r="BE4" s="147">
        <v>0</v>
      </c>
      <c r="BF4" s="147">
        <v>0</v>
      </c>
      <c r="BG4" s="147">
        <v>0</v>
      </c>
      <c r="BH4" s="147">
        <v>0</v>
      </c>
      <c r="BI4" s="147">
        <v>0</v>
      </c>
    </row>
    <row r="5" spans="1:61" customFormat="1" x14ac:dyDescent="0.15">
      <c r="A5" s="182" t="s">
        <v>196</v>
      </c>
      <c r="B5" s="147">
        <v>0</v>
      </c>
      <c r="C5" s="147">
        <v>0</v>
      </c>
      <c r="D5" s="147">
        <v>0</v>
      </c>
      <c r="E5" s="147">
        <v>3.4258809379915552E-4</v>
      </c>
      <c r="F5" s="147">
        <v>0.12859391858467414</v>
      </c>
      <c r="G5" s="147">
        <v>0.35788383564169163</v>
      </c>
      <c r="H5" s="147">
        <v>0.23143110358718211</v>
      </c>
      <c r="I5" s="147">
        <v>0</v>
      </c>
      <c r="J5" s="147">
        <v>6.3765361275307233E-3</v>
      </c>
      <c r="K5" s="147">
        <v>0</v>
      </c>
      <c r="L5" s="147">
        <v>0</v>
      </c>
      <c r="M5" s="147">
        <v>0</v>
      </c>
      <c r="N5" s="147">
        <v>0</v>
      </c>
      <c r="O5" s="147">
        <v>0</v>
      </c>
      <c r="P5" s="147">
        <v>0.20958274983536429</v>
      </c>
      <c r="Q5" s="147">
        <v>0.120289949654346</v>
      </c>
      <c r="R5" s="147">
        <v>0.48890420769437443</v>
      </c>
      <c r="S5" s="147">
        <v>0.14014011193593676</v>
      </c>
      <c r="T5" s="147">
        <v>0.18000000000000002</v>
      </c>
      <c r="U5" s="147">
        <v>0.22</v>
      </c>
      <c r="V5" s="147">
        <v>5.2376802696381067E-3</v>
      </c>
      <c r="W5" s="147">
        <v>0</v>
      </c>
      <c r="X5" s="147">
        <v>4.3762928118325377E-5</v>
      </c>
      <c r="Y5" s="147">
        <v>2.5314190050501808E-2</v>
      </c>
      <c r="Z5" s="147">
        <v>0.45365175803245056</v>
      </c>
      <c r="AA5" s="147">
        <v>3.6608869733414207E-2</v>
      </c>
      <c r="AB5" s="147">
        <v>0</v>
      </c>
      <c r="AC5" s="147">
        <v>0</v>
      </c>
      <c r="AD5" s="147">
        <v>1.5335735118994298E-2</v>
      </c>
      <c r="AE5" s="147">
        <v>0</v>
      </c>
      <c r="AF5" s="147">
        <v>0</v>
      </c>
      <c r="AG5" s="147">
        <v>1.5176755406580643E-2</v>
      </c>
      <c r="AH5" s="147">
        <v>4.169387346708298E-5</v>
      </c>
      <c r="AI5" s="147">
        <v>2.534419708276042E-5</v>
      </c>
      <c r="AJ5" s="147">
        <v>4.0830069461178631E-5</v>
      </c>
      <c r="AK5" s="147">
        <v>1.6728063168363884E-5</v>
      </c>
      <c r="AL5" s="147">
        <v>1.8312523296524865E-3</v>
      </c>
      <c r="AM5" s="147">
        <v>1.9770211836962097E-4</v>
      </c>
      <c r="AN5" s="147">
        <v>0</v>
      </c>
      <c r="AO5" s="147">
        <v>5.2696175821286895E-4</v>
      </c>
      <c r="AP5" s="147">
        <v>0</v>
      </c>
      <c r="AQ5" s="147">
        <v>1.1063788674459296E-3</v>
      </c>
      <c r="AR5" s="147">
        <v>0</v>
      </c>
      <c r="AS5" s="147">
        <v>4.3010184963662998E-3</v>
      </c>
      <c r="AT5" s="147">
        <v>1.0494390918178388E-3</v>
      </c>
      <c r="AU5" s="147">
        <v>0</v>
      </c>
      <c r="AV5" s="147">
        <v>1.3049990979418081E-3</v>
      </c>
      <c r="AW5" s="147">
        <v>3.4944669016657008E-3</v>
      </c>
      <c r="AX5" s="147">
        <v>0</v>
      </c>
      <c r="AY5" s="147">
        <v>0</v>
      </c>
      <c r="AZ5" s="147">
        <v>0</v>
      </c>
      <c r="BA5" s="147">
        <v>0</v>
      </c>
      <c r="BB5" s="147">
        <v>0</v>
      </c>
      <c r="BC5" s="147">
        <v>0</v>
      </c>
      <c r="BD5" s="147">
        <v>0</v>
      </c>
      <c r="BE5" s="147">
        <v>5.2060869260735644E-2</v>
      </c>
      <c r="BF5" s="147">
        <v>0</v>
      </c>
      <c r="BG5" s="147">
        <v>0</v>
      </c>
      <c r="BH5" s="147">
        <v>0</v>
      </c>
      <c r="BI5" s="147">
        <v>0</v>
      </c>
    </row>
    <row r="6" spans="1:61" customFormat="1" x14ac:dyDescent="0.15">
      <c r="A6" s="182" t="s">
        <v>197</v>
      </c>
      <c r="B6" s="147">
        <v>0</v>
      </c>
      <c r="C6" s="147">
        <v>0</v>
      </c>
      <c r="D6" s="147">
        <v>0</v>
      </c>
      <c r="E6" s="147">
        <v>0</v>
      </c>
      <c r="F6" s="147">
        <v>1.495751160274345E-4</v>
      </c>
      <c r="G6" s="147">
        <v>0.39041869415457325</v>
      </c>
      <c r="H6" s="147">
        <v>0.38404128595263992</v>
      </c>
      <c r="I6" s="147">
        <v>0</v>
      </c>
      <c r="J6" s="147">
        <v>3.2147080642941618E-2</v>
      </c>
      <c r="K6" s="147">
        <v>0</v>
      </c>
      <c r="L6" s="147">
        <v>0</v>
      </c>
      <c r="M6" s="147">
        <v>0</v>
      </c>
      <c r="N6" s="147">
        <v>0</v>
      </c>
      <c r="O6" s="147">
        <v>0</v>
      </c>
      <c r="P6" s="147">
        <v>0.6046462110650257</v>
      </c>
      <c r="Q6" s="147">
        <v>0.36086984796303806</v>
      </c>
      <c r="R6" s="147">
        <v>0</v>
      </c>
      <c r="S6" s="147">
        <v>0.14014011193593676</v>
      </c>
      <c r="T6" s="147">
        <v>0.18000000000000002</v>
      </c>
      <c r="U6" s="147">
        <v>0.22</v>
      </c>
      <c r="V6" s="147">
        <v>0</v>
      </c>
      <c r="W6" s="147">
        <v>0.1915701987547937</v>
      </c>
      <c r="X6" s="147">
        <v>0</v>
      </c>
      <c r="Y6" s="147">
        <v>1.5332088530587513E-4</v>
      </c>
      <c r="Z6" s="147">
        <v>0.17194360077034171</v>
      </c>
      <c r="AA6" s="147">
        <v>0</v>
      </c>
      <c r="AB6" s="147">
        <v>0</v>
      </c>
      <c r="AC6" s="147">
        <v>0</v>
      </c>
      <c r="AD6" s="147">
        <v>1.5335735118994298E-2</v>
      </c>
      <c r="AE6" s="147">
        <v>0</v>
      </c>
      <c r="AF6" s="147">
        <v>0</v>
      </c>
      <c r="AG6" s="147">
        <v>0</v>
      </c>
      <c r="AH6" s="147">
        <v>0</v>
      </c>
      <c r="AI6" s="147">
        <v>0</v>
      </c>
      <c r="AJ6" s="147">
        <v>0</v>
      </c>
      <c r="AK6" s="147">
        <v>0</v>
      </c>
      <c r="AL6" s="147">
        <v>2.151450574346161E-3</v>
      </c>
      <c r="AM6" s="147">
        <v>0</v>
      </c>
      <c r="AN6" s="147">
        <v>0</v>
      </c>
      <c r="AO6" s="147">
        <v>0</v>
      </c>
      <c r="AP6" s="147">
        <v>0</v>
      </c>
      <c r="AQ6" s="147">
        <v>0</v>
      </c>
      <c r="AR6" s="147">
        <v>0</v>
      </c>
      <c r="AS6" s="147">
        <v>0</v>
      </c>
      <c r="AT6" s="147">
        <v>0</v>
      </c>
      <c r="AU6" s="147">
        <v>0</v>
      </c>
      <c r="AV6" s="147">
        <v>0</v>
      </c>
      <c r="AW6" s="147">
        <v>0</v>
      </c>
      <c r="AX6" s="147">
        <v>0</v>
      </c>
      <c r="AY6" s="147">
        <v>0</v>
      </c>
      <c r="AZ6" s="147">
        <v>0</v>
      </c>
      <c r="BA6" s="147">
        <v>0</v>
      </c>
      <c r="BB6" s="147">
        <v>3.3421500122991117E-2</v>
      </c>
      <c r="BC6" s="147">
        <v>0</v>
      </c>
      <c r="BD6" s="147">
        <v>0</v>
      </c>
      <c r="BE6" s="147">
        <v>0.4755560392471041</v>
      </c>
      <c r="BF6" s="147">
        <v>0</v>
      </c>
      <c r="BG6" s="147">
        <v>4.5960423291612457E-2</v>
      </c>
      <c r="BH6" s="147">
        <v>0</v>
      </c>
      <c r="BI6" s="147">
        <v>0</v>
      </c>
    </row>
    <row r="7" spans="1:61" customFormat="1" x14ac:dyDescent="0.15">
      <c r="A7" s="182" t="s">
        <v>198</v>
      </c>
      <c r="B7" s="147">
        <v>0</v>
      </c>
      <c r="C7" s="147">
        <v>0</v>
      </c>
      <c r="D7" s="147">
        <v>0</v>
      </c>
      <c r="E7" s="147">
        <v>0</v>
      </c>
      <c r="F7" s="147">
        <v>2.8038500955325455E-2</v>
      </c>
      <c r="G7" s="147">
        <v>5.2767961409947535E-5</v>
      </c>
      <c r="H7" s="147">
        <v>0</v>
      </c>
      <c r="I7" s="147">
        <v>0</v>
      </c>
      <c r="J7" s="147">
        <v>0</v>
      </c>
      <c r="K7" s="147">
        <v>0</v>
      </c>
      <c r="L7" s="147">
        <v>0</v>
      </c>
      <c r="M7" s="147">
        <v>0</v>
      </c>
      <c r="N7" s="147">
        <v>0</v>
      </c>
      <c r="O7" s="147">
        <v>0</v>
      </c>
      <c r="P7" s="147">
        <v>0</v>
      </c>
      <c r="Q7" s="147">
        <v>2.5003252112436588E-2</v>
      </c>
      <c r="R7" s="147">
        <v>3.4491746342831106E-3</v>
      </c>
      <c r="S7" s="147">
        <v>0</v>
      </c>
      <c r="T7" s="147">
        <v>0</v>
      </c>
      <c r="U7" s="147">
        <v>0</v>
      </c>
      <c r="V7" s="147">
        <v>0</v>
      </c>
      <c r="W7" s="147">
        <v>0</v>
      </c>
      <c r="X7" s="147">
        <v>1.3300770128106783E-3</v>
      </c>
      <c r="Y7" s="147">
        <v>0.45180547290135187</v>
      </c>
      <c r="Z7" s="147">
        <v>1.8367245882288934E-2</v>
      </c>
      <c r="AA7" s="147">
        <v>1.6769962277881134E-2</v>
      </c>
      <c r="AB7" s="147">
        <v>4.3979655009284101E-3</v>
      </c>
      <c r="AC7" s="147">
        <v>1.9794744143598682E-3</v>
      </c>
      <c r="AD7" s="147">
        <v>0</v>
      </c>
      <c r="AE7" s="147">
        <v>0</v>
      </c>
      <c r="AF7" s="147">
        <v>0</v>
      </c>
      <c r="AG7" s="147">
        <v>0</v>
      </c>
      <c r="AH7" s="147">
        <v>0</v>
      </c>
      <c r="AI7" s="147">
        <v>0</v>
      </c>
      <c r="AJ7" s="147">
        <v>0.38168525196302178</v>
      </c>
      <c r="AK7" s="147">
        <v>0.17250963967374974</v>
      </c>
      <c r="AL7" s="147">
        <v>0</v>
      </c>
      <c r="AM7" s="147">
        <v>1.8729132829749812E-4</v>
      </c>
      <c r="AN7" s="147">
        <v>1.0598492902700766E-4</v>
      </c>
      <c r="AO7" s="147">
        <v>1.7352975138730771E-3</v>
      </c>
      <c r="AP7" s="147">
        <v>0</v>
      </c>
      <c r="AQ7" s="147">
        <v>0</v>
      </c>
      <c r="AR7" s="147">
        <v>0</v>
      </c>
      <c r="AS7" s="147">
        <v>1.0752546265915747E-3</v>
      </c>
      <c r="AT7" s="147">
        <v>0</v>
      </c>
      <c r="AU7" s="147">
        <v>0</v>
      </c>
      <c r="AV7" s="147">
        <v>0</v>
      </c>
      <c r="AW7" s="147">
        <v>0</v>
      </c>
      <c r="AX7" s="147">
        <v>0</v>
      </c>
      <c r="AY7" s="147">
        <v>1.2070311956421107E-2</v>
      </c>
      <c r="AZ7" s="147">
        <v>2.3025590200322641E-3</v>
      </c>
      <c r="BA7" s="147">
        <v>1.332691284202793E-3</v>
      </c>
      <c r="BB7" s="147">
        <v>3.7135002336656808E-3</v>
      </c>
      <c r="BC7" s="147">
        <v>0.11874279897881192</v>
      </c>
      <c r="BD7" s="147">
        <v>0</v>
      </c>
      <c r="BE7" s="147">
        <v>7.0081934304836507E-3</v>
      </c>
      <c r="BF7" s="147">
        <v>2.8584999766174693E-2</v>
      </c>
      <c r="BG7" s="147">
        <v>0</v>
      </c>
      <c r="BH7" s="147">
        <v>0</v>
      </c>
      <c r="BI7" s="147">
        <v>0</v>
      </c>
    </row>
    <row r="8" spans="1:61" customFormat="1" x14ac:dyDescent="0.15">
      <c r="A8" s="182" t="s">
        <v>199</v>
      </c>
      <c r="B8" s="147">
        <v>0</v>
      </c>
      <c r="C8" s="147">
        <v>0</v>
      </c>
      <c r="D8" s="147">
        <v>0</v>
      </c>
      <c r="E8" s="147">
        <v>0</v>
      </c>
      <c r="F8" s="147">
        <v>0</v>
      </c>
      <c r="G8" s="147">
        <v>0</v>
      </c>
      <c r="H8" s="147">
        <v>4.8634050753827788E-4</v>
      </c>
      <c r="I8" s="147">
        <v>7.2744516966553638E-2</v>
      </c>
      <c r="J8" s="147">
        <v>6.2954691259093823E-2</v>
      </c>
      <c r="K8" s="147">
        <v>3.4654635353156785E-2</v>
      </c>
      <c r="L8" s="147">
        <v>6.9847806780016106E-2</v>
      </c>
      <c r="M8" s="147">
        <v>0</v>
      </c>
      <c r="N8" s="147">
        <v>0</v>
      </c>
      <c r="O8" s="147">
        <v>0.1372439992314336</v>
      </c>
      <c r="P8" s="147">
        <v>4.7156118762956972E-2</v>
      </c>
      <c r="Q8" s="147">
        <v>0.44084669140348959</v>
      </c>
      <c r="R8" s="147">
        <v>0.24417482684282343</v>
      </c>
      <c r="S8" s="147">
        <v>0</v>
      </c>
      <c r="T8" s="147">
        <v>0</v>
      </c>
      <c r="U8" s="147">
        <v>0</v>
      </c>
      <c r="V8" s="147">
        <v>0.9738223326215627</v>
      </c>
      <c r="W8" s="147">
        <v>0</v>
      </c>
      <c r="X8" s="147">
        <v>0.19838372547009492</v>
      </c>
      <c r="Y8" s="147">
        <v>0.1002948432000882</v>
      </c>
      <c r="Z8" s="147">
        <v>0.18632632583477918</v>
      </c>
      <c r="AA8" s="147">
        <v>8.1709199404993594E-3</v>
      </c>
      <c r="AB8" s="147">
        <v>1.2269953702590188E-3</v>
      </c>
      <c r="AC8" s="147">
        <v>0</v>
      </c>
      <c r="AD8" s="147">
        <v>5.2823063754313358E-2</v>
      </c>
      <c r="AE8" s="147">
        <v>1.6413368485963465E-2</v>
      </c>
      <c r="AF8" s="147">
        <v>2.3518975678464673E-3</v>
      </c>
      <c r="AG8" s="147">
        <v>0.48297575120941832</v>
      </c>
      <c r="AH8" s="147">
        <v>0.27766903378913232</v>
      </c>
      <c r="AI8" s="147">
        <v>0</v>
      </c>
      <c r="AJ8" s="147">
        <v>8.2113704516371705E-2</v>
      </c>
      <c r="AK8" s="147">
        <v>2.2374924257684541E-2</v>
      </c>
      <c r="AL8" s="147">
        <v>0.15484457943391564</v>
      </c>
      <c r="AM8" s="147">
        <v>2.0996786845459438E-2</v>
      </c>
      <c r="AN8" s="147">
        <v>2.645371430754342E-3</v>
      </c>
      <c r="AO8" s="147">
        <v>0.13991896911860163</v>
      </c>
      <c r="AP8" s="147">
        <v>0.82972471917675528</v>
      </c>
      <c r="AQ8" s="147">
        <v>8.1872010550998617E-2</v>
      </c>
      <c r="AR8" s="147">
        <v>0.13563022042316628</v>
      </c>
      <c r="AS8" s="147">
        <v>3.4408149570930378E-2</v>
      </c>
      <c r="AT8" s="147">
        <v>0.26865646758536799</v>
      </c>
      <c r="AU8" s="147">
        <v>3.888479643525302E-2</v>
      </c>
      <c r="AV8" s="147">
        <v>1.4354992567359866E-2</v>
      </c>
      <c r="AW8" s="147">
        <v>5.4746648459429309E-2</v>
      </c>
      <c r="AX8" s="147">
        <v>3.4869719877955972E-2</v>
      </c>
      <c r="AY8" s="147">
        <v>6.035155878210555E-3</v>
      </c>
      <c r="AZ8" s="147">
        <v>7.3681890641032463E-2</v>
      </c>
      <c r="BA8" s="147">
        <v>4.9309573885503361E-2</v>
      </c>
      <c r="BB8" s="147">
        <v>0</v>
      </c>
      <c r="BC8" s="147">
        <v>0</v>
      </c>
      <c r="BD8" s="147">
        <v>0.12170701617325562</v>
      </c>
      <c r="BE8" s="147">
        <v>0.30335464669236389</v>
      </c>
      <c r="BF8" s="147">
        <v>5.0023719590805961E-2</v>
      </c>
      <c r="BG8" s="147">
        <v>0.18941276085028322</v>
      </c>
      <c r="BH8" s="147">
        <v>0</v>
      </c>
      <c r="BI8" s="147">
        <v>0</v>
      </c>
    </row>
    <row r="9" spans="1:61" customFormat="1" x14ac:dyDescent="0.15">
      <c r="A9" s="182" t="s">
        <v>200</v>
      </c>
      <c r="B9" s="147">
        <v>0</v>
      </c>
      <c r="C9" s="147">
        <v>0</v>
      </c>
      <c r="D9" s="147">
        <v>0</v>
      </c>
      <c r="E9" s="147">
        <v>0</v>
      </c>
      <c r="F9" s="147">
        <v>0</v>
      </c>
      <c r="G9" s="147">
        <v>0</v>
      </c>
      <c r="H9" s="147">
        <v>0</v>
      </c>
      <c r="I9" s="147">
        <v>3.2897148628188906E-4</v>
      </c>
      <c r="J9" s="147">
        <v>0.1580564031611281</v>
      </c>
      <c r="K9" s="147">
        <v>0</v>
      </c>
      <c r="L9" s="147">
        <v>6.8061246862376523E-2</v>
      </c>
      <c r="M9" s="147">
        <v>0</v>
      </c>
      <c r="N9" s="147">
        <v>0.10835499046163266</v>
      </c>
      <c r="O9" s="147">
        <v>0</v>
      </c>
      <c r="P9" s="147">
        <v>6.5010691189695644E-2</v>
      </c>
      <c r="Q9" s="147">
        <v>1.3159606343387678E-3</v>
      </c>
      <c r="R9" s="147">
        <v>3.5945922665716931E-2</v>
      </c>
      <c r="S9" s="147">
        <v>0</v>
      </c>
      <c r="T9" s="147">
        <v>0</v>
      </c>
      <c r="U9" s="147">
        <v>0</v>
      </c>
      <c r="V9" s="147">
        <v>5.2376802696381067E-3</v>
      </c>
      <c r="W9" s="147">
        <v>0</v>
      </c>
      <c r="X9" s="147">
        <v>1.4605026772027663E-3</v>
      </c>
      <c r="Y9" s="147">
        <v>1.7367141334647444E-2</v>
      </c>
      <c r="Z9" s="147">
        <v>8.2730470370649038E-4</v>
      </c>
      <c r="AA9" s="147">
        <v>1.3739698199947516E-3</v>
      </c>
      <c r="AB9" s="147">
        <v>4.3849885709256706E-4</v>
      </c>
      <c r="AC9" s="147">
        <v>4.6447629398363856E-4</v>
      </c>
      <c r="AD9" s="147">
        <v>1.0791807554107012E-2</v>
      </c>
      <c r="AE9" s="147">
        <v>3.5904250406795152E-2</v>
      </c>
      <c r="AF9" s="147">
        <v>3.2926560389850472E-2</v>
      </c>
      <c r="AG9" s="147">
        <v>4.5727510019827446E-3</v>
      </c>
      <c r="AH9" s="147">
        <v>3.9761912724212405E-3</v>
      </c>
      <c r="AI9" s="147">
        <v>0</v>
      </c>
      <c r="AJ9" s="147">
        <v>1.8781415852147661E-2</v>
      </c>
      <c r="AK9" s="147">
        <v>6.8158353571098921E-3</v>
      </c>
      <c r="AL9" s="147">
        <v>7.7357954018023992E-2</v>
      </c>
      <c r="AM9" s="147">
        <v>2.070121854341183E-2</v>
      </c>
      <c r="AN9" s="147">
        <v>1.4221933435247587E-2</v>
      </c>
      <c r="AO9" s="147">
        <v>8.3200440665157485E-2</v>
      </c>
      <c r="AP9" s="147">
        <v>0</v>
      </c>
      <c r="AQ9" s="147">
        <v>0.31863704514442731</v>
      </c>
      <c r="AR9" s="147">
        <v>0.25607800079896337</v>
      </c>
      <c r="AS9" s="147">
        <v>0.4978429617918983</v>
      </c>
      <c r="AT9" s="147">
        <v>1.0494390918178388E-3</v>
      </c>
      <c r="AU9" s="147">
        <v>0</v>
      </c>
      <c r="AV9" s="147">
        <v>0.16051500851684131</v>
      </c>
      <c r="AW9" s="147">
        <v>0.25393121685437553</v>
      </c>
      <c r="AX9" s="147">
        <v>2.1643273424248537E-2</v>
      </c>
      <c r="AY9" s="147">
        <v>4.1240229167772181E-2</v>
      </c>
      <c r="AZ9" s="147">
        <v>2.3025590200322641E-3</v>
      </c>
      <c r="BA9" s="147">
        <v>0</v>
      </c>
      <c r="BB9" s="147">
        <v>0</v>
      </c>
      <c r="BC9" s="147">
        <v>0</v>
      </c>
      <c r="BD9" s="147">
        <v>0</v>
      </c>
      <c r="BE9" s="147">
        <v>0</v>
      </c>
      <c r="BF9" s="147">
        <v>0</v>
      </c>
      <c r="BG9" s="147">
        <v>0</v>
      </c>
      <c r="BH9" s="147">
        <v>0</v>
      </c>
      <c r="BI9" s="147">
        <v>0</v>
      </c>
    </row>
    <row r="10" spans="1:61" customFormat="1" x14ac:dyDescent="0.15">
      <c r="A10" s="182" t="s">
        <v>201</v>
      </c>
      <c r="B10" s="147">
        <v>0</v>
      </c>
      <c r="C10" s="147">
        <v>0</v>
      </c>
      <c r="D10" s="147">
        <v>0</v>
      </c>
      <c r="E10" s="147">
        <v>0</v>
      </c>
      <c r="F10" s="147">
        <v>3.8433172879253366E-4</v>
      </c>
      <c r="G10" s="147">
        <v>0</v>
      </c>
      <c r="H10" s="147">
        <v>0</v>
      </c>
      <c r="I10" s="147">
        <v>6.0377307482266289E-3</v>
      </c>
      <c r="J10" s="147">
        <v>3.8715400774308023E-4</v>
      </c>
      <c r="K10" s="147">
        <v>0</v>
      </c>
      <c r="L10" s="147">
        <v>1.0309169524747284E-2</v>
      </c>
      <c r="M10" s="147">
        <v>0</v>
      </c>
      <c r="N10" s="147">
        <v>9.0651827876354035E-2</v>
      </c>
      <c r="O10" s="147">
        <v>7.4114123884960904E-3</v>
      </c>
      <c r="P10" s="147">
        <v>5.4913671004920173E-2</v>
      </c>
      <c r="Q10" s="147">
        <v>0</v>
      </c>
      <c r="R10" s="147">
        <v>0.17557047576312815</v>
      </c>
      <c r="S10" s="147">
        <v>0</v>
      </c>
      <c r="T10" s="147">
        <v>0</v>
      </c>
      <c r="U10" s="147">
        <v>0</v>
      </c>
      <c r="V10" s="147">
        <v>0</v>
      </c>
      <c r="W10" s="147">
        <v>3.3923889779494711E-2</v>
      </c>
      <c r="X10" s="147">
        <v>0.69812606998267324</v>
      </c>
      <c r="Y10" s="147">
        <v>0.28057470055974654</v>
      </c>
      <c r="Z10" s="147">
        <v>0.13465954460330168</v>
      </c>
      <c r="AA10" s="147">
        <v>5.0277772933877252E-2</v>
      </c>
      <c r="AB10" s="147">
        <v>1.2585454402656788E-3</v>
      </c>
      <c r="AC10" s="147">
        <v>3.5722855937281848E-4</v>
      </c>
      <c r="AD10" s="147">
        <v>0.46354723661945457</v>
      </c>
      <c r="AE10" s="147">
        <v>0.24004554971971606</v>
      </c>
      <c r="AF10" s="147">
        <v>3.8806310459466711E-2</v>
      </c>
      <c r="AG10" s="147">
        <v>8.3645455536268662E-2</v>
      </c>
      <c r="AH10" s="147">
        <v>3.1595203065707733E-2</v>
      </c>
      <c r="AI10" s="147">
        <v>1.0179364892253415E-3</v>
      </c>
      <c r="AJ10" s="147">
        <v>3.6555781517585047E-2</v>
      </c>
      <c r="AK10" s="147">
        <v>2.1330442259659865E-2</v>
      </c>
      <c r="AL10" s="147">
        <v>0.48876687090015541</v>
      </c>
      <c r="AM10" s="147">
        <v>0.12728092188176404</v>
      </c>
      <c r="AN10" s="147">
        <v>2.3920899554693745E-2</v>
      </c>
      <c r="AO10" s="147">
        <v>0.24575560196472729</v>
      </c>
      <c r="AP10" s="147">
        <v>1.9462679049825137E-2</v>
      </c>
      <c r="AQ10" s="147">
        <v>0.16485041510944329</v>
      </c>
      <c r="AR10" s="147">
        <v>0.46255988044318685</v>
      </c>
      <c r="AS10" s="147">
        <v>0.35698452154840304</v>
      </c>
      <c r="AT10" s="147">
        <v>0.11543830739996243</v>
      </c>
      <c r="AU10" s="147">
        <v>4.8606004894066336E-2</v>
      </c>
      <c r="AV10" s="147">
        <v>0.18223033631619168</v>
      </c>
      <c r="AW10" s="147">
        <v>0.29062320982186285</v>
      </c>
      <c r="AX10" s="147">
        <v>6.2525029781162367E-2</v>
      </c>
      <c r="AY10" s="147">
        <v>6.3369138721210791E-2</v>
      </c>
      <c r="AZ10" s="147">
        <v>5.756398050080664E-2</v>
      </c>
      <c r="BA10" s="147">
        <v>1.5992291230433532E-2</v>
      </c>
      <c r="BB10" s="147">
        <v>1.3616171750107512E-2</v>
      </c>
      <c r="BC10" s="147">
        <v>0</v>
      </c>
      <c r="BD10" s="147">
        <v>0</v>
      </c>
      <c r="BE10" s="147">
        <v>5.6065554903869101E-2</v>
      </c>
      <c r="BF10" s="147">
        <v>0</v>
      </c>
      <c r="BG10" s="147">
        <v>0</v>
      </c>
      <c r="BH10" s="147">
        <v>0</v>
      </c>
      <c r="BI10" s="147">
        <v>0</v>
      </c>
    </row>
    <row r="11" spans="1:61" customFormat="1" x14ac:dyDescent="0.15">
      <c r="A11" s="182" t="s">
        <v>202</v>
      </c>
      <c r="B11" s="147">
        <v>0</v>
      </c>
      <c r="C11" s="147">
        <v>0</v>
      </c>
      <c r="D11" s="147">
        <v>0</v>
      </c>
      <c r="E11" s="147">
        <v>0</v>
      </c>
      <c r="F11" s="147">
        <v>0</v>
      </c>
      <c r="G11" s="147">
        <v>0</v>
      </c>
      <c r="H11" s="147">
        <v>0</v>
      </c>
      <c r="I11" s="147">
        <v>7.8696716718346929E-4</v>
      </c>
      <c r="J11" s="147">
        <v>2.5687430513748614E-2</v>
      </c>
      <c r="K11" s="147">
        <v>4.3500465113571356E-5</v>
      </c>
      <c r="L11" s="147">
        <v>2.3231898929009457E-2</v>
      </c>
      <c r="M11" s="147">
        <v>0</v>
      </c>
      <c r="N11" s="147">
        <v>0.1709948959942052</v>
      </c>
      <c r="O11" s="147">
        <v>0</v>
      </c>
      <c r="P11" s="147">
        <v>0</v>
      </c>
      <c r="Q11" s="147">
        <v>2.6319212686775357E-3</v>
      </c>
      <c r="R11" s="147">
        <v>9.8980221557750736E-4</v>
      </c>
      <c r="S11" s="147">
        <v>0</v>
      </c>
      <c r="T11" s="147">
        <v>0</v>
      </c>
      <c r="U11" s="147">
        <v>0</v>
      </c>
      <c r="V11" s="147">
        <v>0</v>
      </c>
      <c r="W11" s="147">
        <v>0</v>
      </c>
      <c r="X11" s="147">
        <v>5.2515502341990926E-4</v>
      </c>
      <c r="Y11" s="147">
        <v>2.0889975141675501E-3</v>
      </c>
      <c r="Z11" s="147">
        <v>2.9436827931882874E-4</v>
      </c>
      <c r="AA11" s="147">
        <v>8.9363029349258404E-4</v>
      </c>
      <c r="AB11" s="147">
        <v>5.7990220012241734E-5</v>
      </c>
      <c r="AC11" s="147">
        <v>3.5722855937281848E-4</v>
      </c>
      <c r="AD11" s="147">
        <v>2.8399492505544756E-3</v>
      </c>
      <c r="AE11" s="147">
        <v>4.3085094988154118E-2</v>
      </c>
      <c r="AF11" s="147">
        <v>1.8815184222771779E-2</v>
      </c>
      <c r="AG11" s="147">
        <v>6.2740010027204076E-3</v>
      </c>
      <c r="AH11" s="147">
        <v>1.22773252369509E-2</v>
      </c>
      <c r="AI11" s="147">
        <v>0</v>
      </c>
      <c r="AJ11" s="147">
        <v>9.940691868815868E-2</v>
      </c>
      <c r="AK11" s="147">
        <v>8.535354983857936E-2</v>
      </c>
      <c r="AL11" s="147">
        <v>1.6722358522877075E-2</v>
      </c>
      <c r="AM11" s="147">
        <v>5.2897695866459364E-2</v>
      </c>
      <c r="AN11" s="147">
        <v>4.6938411026204767E-2</v>
      </c>
      <c r="AO11" s="147">
        <v>4.8461523287432383E-2</v>
      </c>
      <c r="AP11" s="147">
        <v>0</v>
      </c>
      <c r="AQ11" s="147">
        <v>0.2456160646529961</v>
      </c>
      <c r="AR11" s="147">
        <v>5.0608324957897976E-3</v>
      </c>
      <c r="AS11" s="147">
        <v>1.9354579758648391E-2</v>
      </c>
      <c r="AT11" s="147">
        <v>8.3955131745427191E-3</v>
      </c>
      <c r="AU11" s="147">
        <v>3.6454506020549764E-3</v>
      </c>
      <c r="AV11" s="147">
        <v>0.15921000952889952</v>
      </c>
      <c r="AW11" s="147">
        <v>0.13628431816495928</v>
      </c>
      <c r="AX11" s="147">
        <v>5.8917805393787659E-2</v>
      </c>
      <c r="AY11" s="147">
        <v>8.5498033274649693E-2</v>
      </c>
      <c r="AZ11" s="147">
        <v>0</v>
      </c>
      <c r="BA11" s="147">
        <v>3.9980739826083788E-3</v>
      </c>
      <c r="BB11" s="147">
        <v>0</v>
      </c>
      <c r="BC11" s="147">
        <v>0</v>
      </c>
      <c r="BD11" s="147">
        <v>0</v>
      </c>
      <c r="BE11" s="147">
        <v>1.1012871543617221E-2</v>
      </c>
      <c r="BF11" s="147">
        <v>0</v>
      </c>
      <c r="BG11" s="147">
        <v>0</v>
      </c>
      <c r="BH11" s="147">
        <v>0</v>
      </c>
      <c r="BI11" s="147">
        <v>0</v>
      </c>
    </row>
    <row r="12" spans="1:61" customFormat="1" x14ac:dyDescent="0.15">
      <c r="A12" s="182" t="s">
        <v>203</v>
      </c>
      <c r="B12" s="147">
        <v>0</v>
      </c>
      <c r="C12" s="147">
        <v>0</v>
      </c>
      <c r="D12" s="147">
        <v>0</v>
      </c>
      <c r="E12" s="147">
        <v>0</v>
      </c>
      <c r="F12" s="147">
        <v>0</v>
      </c>
      <c r="G12" s="147">
        <v>0</v>
      </c>
      <c r="H12" s="147">
        <v>0</v>
      </c>
      <c r="I12" s="147">
        <v>1.2659399472103042E-2</v>
      </c>
      <c r="J12" s="147">
        <v>2.6445850528917014E-2</v>
      </c>
      <c r="K12" s="147">
        <v>1.2130819108578099E-2</v>
      </c>
      <c r="L12" s="147">
        <v>3.7671108263361908E-4</v>
      </c>
      <c r="M12" s="147">
        <v>0</v>
      </c>
      <c r="N12" s="147">
        <v>0.16769179607158491</v>
      </c>
      <c r="O12" s="147">
        <v>9.5308273466273671E-2</v>
      </c>
      <c r="P12" s="147">
        <v>0</v>
      </c>
      <c r="Q12" s="147">
        <v>1.3159606343387678E-3</v>
      </c>
      <c r="R12" s="147">
        <v>1.0299042062086324E-2</v>
      </c>
      <c r="S12" s="147">
        <v>0</v>
      </c>
      <c r="T12" s="147">
        <v>0</v>
      </c>
      <c r="U12" s="147">
        <v>0</v>
      </c>
      <c r="V12" s="147">
        <v>0</v>
      </c>
      <c r="W12" s="147">
        <v>0</v>
      </c>
      <c r="X12" s="147">
        <v>1.0787985736148975E-2</v>
      </c>
      <c r="Y12" s="147">
        <v>5.0760894201267977E-3</v>
      </c>
      <c r="Z12" s="147">
        <v>3.5978122761189182E-3</v>
      </c>
      <c r="AA12" s="147">
        <v>6.1800829549966344E-4</v>
      </c>
      <c r="AB12" s="147">
        <v>8.1526870017210322E-6</v>
      </c>
      <c r="AC12" s="147">
        <v>1.9606662446034899E-4</v>
      </c>
      <c r="AD12" s="147">
        <v>2.8399492505544756E-3</v>
      </c>
      <c r="AE12" s="147">
        <v>2.0516708232454304E-3</v>
      </c>
      <c r="AF12" s="147">
        <v>3.5278457617696937E-3</v>
      </c>
      <c r="AG12" s="147">
        <v>7.6795906433298712E-5</v>
      </c>
      <c r="AH12" s="147">
        <v>3.8849133451203936E-4</v>
      </c>
      <c r="AI12" s="147">
        <v>0</v>
      </c>
      <c r="AJ12" s="147">
        <v>3.3184475762075088E-3</v>
      </c>
      <c r="AK12" s="147">
        <v>4.9778059905859736E-3</v>
      </c>
      <c r="AL12" s="147">
        <v>8.9501334716783884E-2</v>
      </c>
      <c r="AM12" s="147">
        <v>8.2624170572395461E-2</v>
      </c>
      <c r="AN12" s="147">
        <v>1.1897447278519714E-2</v>
      </c>
      <c r="AO12" s="147">
        <v>0.28764668329963139</v>
      </c>
      <c r="AP12" s="147">
        <v>0</v>
      </c>
      <c r="AQ12" s="147">
        <v>6.638269454675552E-3</v>
      </c>
      <c r="AR12" s="147">
        <v>2.3279820072633038E-2</v>
      </c>
      <c r="AS12" s="147">
        <v>4.4085449450254444E-2</v>
      </c>
      <c r="AT12" s="147">
        <v>0</v>
      </c>
      <c r="AU12" s="147">
        <v>0</v>
      </c>
      <c r="AV12" s="147">
        <v>5.2199973217672245E-3</v>
      </c>
      <c r="AW12" s="147">
        <v>4.7757718656097792E-2</v>
      </c>
      <c r="AX12" s="147">
        <v>1.2024039957915856E-3</v>
      </c>
      <c r="AY12" s="147">
        <v>1.307616263612304E-2</v>
      </c>
      <c r="AZ12" s="147">
        <v>0</v>
      </c>
      <c r="BA12" s="147">
        <v>2.5321133289853075E-2</v>
      </c>
      <c r="BB12" s="147">
        <v>1.3616171750107512E-2</v>
      </c>
      <c r="BC12" s="147">
        <v>0</v>
      </c>
      <c r="BD12" s="147">
        <v>0</v>
      </c>
      <c r="BE12" s="147">
        <v>2.1024577001451002E-2</v>
      </c>
      <c r="BF12" s="147">
        <v>0</v>
      </c>
      <c r="BG12" s="147">
        <v>0</v>
      </c>
      <c r="BH12" s="147">
        <v>0</v>
      </c>
      <c r="BI12" s="147">
        <v>0</v>
      </c>
    </row>
    <row r="13" spans="1:61" customFormat="1" x14ac:dyDescent="0.15">
      <c r="A13" s="182" t="s">
        <v>204</v>
      </c>
      <c r="B13" s="147">
        <v>0</v>
      </c>
      <c r="C13" s="147">
        <v>0</v>
      </c>
      <c r="D13" s="147">
        <v>0</v>
      </c>
      <c r="E13" s="147">
        <v>0</v>
      </c>
      <c r="F13" s="147">
        <v>0</v>
      </c>
      <c r="G13" s="147">
        <v>0</v>
      </c>
      <c r="H13" s="147">
        <v>0</v>
      </c>
      <c r="I13" s="147">
        <v>1.2964079459397888E-3</v>
      </c>
      <c r="J13" s="147">
        <v>5.6125071122501433E-3</v>
      </c>
      <c r="K13" s="147">
        <v>3.0288507222053411E-3</v>
      </c>
      <c r="L13" s="147">
        <v>1.1885019452100602E-3</v>
      </c>
      <c r="M13" s="147">
        <v>0</v>
      </c>
      <c r="N13" s="147">
        <v>1.3328779187754689E-2</v>
      </c>
      <c r="O13" s="147">
        <v>0</v>
      </c>
      <c r="P13" s="147">
        <v>0</v>
      </c>
      <c r="Q13" s="147">
        <v>0</v>
      </c>
      <c r="R13" s="147">
        <v>0</v>
      </c>
      <c r="S13" s="147">
        <v>0</v>
      </c>
      <c r="T13" s="147">
        <v>0</v>
      </c>
      <c r="U13" s="147">
        <v>0</v>
      </c>
      <c r="V13" s="147">
        <v>0</v>
      </c>
      <c r="W13" s="147">
        <v>0</v>
      </c>
      <c r="X13" s="147">
        <v>0</v>
      </c>
      <c r="Y13" s="147">
        <v>0</v>
      </c>
      <c r="Z13" s="147">
        <v>0</v>
      </c>
      <c r="AA13" s="147">
        <v>0</v>
      </c>
      <c r="AB13" s="147">
        <v>0</v>
      </c>
      <c r="AC13" s="147">
        <v>3.9121529493258827E-4</v>
      </c>
      <c r="AD13" s="147">
        <v>0</v>
      </c>
      <c r="AE13" s="147">
        <v>8.2066850929817421E-3</v>
      </c>
      <c r="AF13" s="147">
        <v>1.1759487839232336E-3</v>
      </c>
      <c r="AG13" s="147">
        <v>0</v>
      </c>
      <c r="AH13" s="147">
        <v>0</v>
      </c>
      <c r="AI13" s="147">
        <v>0</v>
      </c>
      <c r="AJ13" s="147">
        <v>2.1178524620513783E-2</v>
      </c>
      <c r="AK13" s="147">
        <v>0.1004151328100949</v>
      </c>
      <c r="AL13" s="147">
        <v>1.5040842550743158E-2</v>
      </c>
      <c r="AM13" s="147">
        <v>3.7876480262396886E-2</v>
      </c>
      <c r="AN13" s="147">
        <v>3.0756281127447774E-2</v>
      </c>
      <c r="AO13" s="147">
        <v>6.1952480495287721E-3</v>
      </c>
      <c r="AP13" s="147">
        <v>0</v>
      </c>
      <c r="AQ13" s="147">
        <v>0</v>
      </c>
      <c r="AR13" s="147">
        <v>0</v>
      </c>
      <c r="AS13" s="147">
        <v>1.0752546265915747E-3</v>
      </c>
      <c r="AT13" s="147">
        <v>0</v>
      </c>
      <c r="AU13" s="147">
        <v>0</v>
      </c>
      <c r="AV13" s="147">
        <v>2.609999355883606E-3</v>
      </c>
      <c r="AW13" s="147">
        <v>0</v>
      </c>
      <c r="AX13" s="147">
        <v>1.2024039957915856E-3</v>
      </c>
      <c r="AY13" s="147">
        <v>6.035155878210555E-3</v>
      </c>
      <c r="AZ13" s="147">
        <v>0</v>
      </c>
      <c r="BA13" s="147">
        <v>3.9980739826083788E-3</v>
      </c>
      <c r="BB13" s="147">
        <v>0</v>
      </c>
      <c r="BC13" s="147">
        <v>0</v>
      </c>
      <c r="BD13" s="147">
        <v>0</v>
      </c>
      <c r="BE13" s="147">
        <v>0</v>
      </c>
      <c r="BF13" s="147">
        <v>0</v>
      </c>
      <c r="BG13" s="147">
        <v>0</v>
      </c>
      <c r="BH13" s="147">
        <v>0</v>
      </c>
      <c r="BI13" s="147">
        <v>0</v>
      </c>
    </row>
    <row r="14" spans="1:61" customFormat="1" x14ac:dyDescent="0.15">
      <c r="A14" s="182" t="s">
        <v>205</v>
      </c>
      <c r="B14" s="147">
        <v>0</v>
      </c>
      <c r="C14" s="147">
        <v>0</v>
      </c>
      <c r="D14" s="147">
        <v>0</v>
      </c>
      <c r="E14" s="147">
        <v>0</v>
      </c>
      <c r="F14" s="147">
        <v>0</v>
      </c>
      <c r="G14" s="147">
        <v>0</v>
      </c>
      <c r="H14" s="147">
        <v>0</v>
      </c>
      <c r="I14" s="147">
        <v>1.7285439279197184E-3</v>
      </c>
      <c r="J14" s="147">
        <v>5.1702331034046622E-3</v>
      </c>
      <c r="K14" s="147">
        <v>7.4658233221908002E-4</v>
      </c>
      <c r="L14" s="147">
        <v>6.5011027002991658E-3</v>
      </c>
      <c r="M14" s="147">
        <v>0</v>
      </c>
      <c r="N14" s="147">
        <v>5.6839925068445188E-5</v>
      </c>
      <c r="O14" s="147">
        <v>0</v>
      </c>
      <c r="P14" s="147">
        <v>6.0025651098469411E-3</v>
      </c>
      <c r="Q14" s="147">
        <v>3.9478819230163026E-3</v>
      </c>
      <c r="R14" s="147">
        <v>2.5058521394371012E-2</v>
      </c>
      <c r="S14" s="147">
        <v>0</v>
      </c>
      <c r="T14" s="147">
        <v>0</v>
      </c>
      <c r="U14" s="147">
        <v>0</v>
      </c>
      <c r="V14" s="147">
        <v>0</v>
      </c>
      <c r="W14" s="147">
        <v>0</v>
      </c>
      <c r="X14" s="147">
        <v>2.3150420704601358E-2</v>
      </c>
      <c r="Y14" s="147">
        <v>2.4392450048662937E-4</v>
      </c>
      <c r="Z14" s="147">
        <v>6.221516407873637E-5</v>
      </c>
      <c r="AA14" s="147">
        <v>2.4380691122459806E-2</v>
      </c>
      <c r="AB14" s="147">
        <v>1.8432932003891191E-3</v>
      </c>
      <c r="AC14" s="147">
        <v>1.0959292858044279E-3</v>
      </c>
      <c r="AD14" s="147">
        <v>1.0791807554107012E-2</v>
      </c>
      <c r="AE14" s="147">
        <v>4.0007590453286002E-2</v>
      </c>
      <c r="AF14" s="147">
        <v>2.4694916192387808E-2</v>
      </c>
      <c r="AG14" s="147">
        <v>9.7970430042479979E-3</v>
      </c>
      <c r="AH14" s="147">
        <v>3.7767636883184546E-3</v>
      </c>
      <c r="AI14" s="147">
        <v>0</v>
      </c>
      <c r="AJ14" s="147">
        <v>1.242726563600135E-2</v>
      </c>
      <c r="AK14" s="147">
        <v>2.5634409951520203E-2</v>
      </c>
      <c r="AL14" s="147">
        <v>3.0173213699969503E-2</v>
      </c>
      <c r="AM14" s="147">
        <v>0.1601735511096343</v>
      </c>
      <c r="AN14" s="147">
        <v>0.12154154273740914</v>
      </c>
      <c r="AO14" s="147">
        <v>4.4926878459174167E-2</v>
      </c>
      <c r="AP14" s="147">
        <v>0</v>
      </c>
      <c r="AQ14" s="147">
        <v>8.6297530580782364E-2</v>
      </c>
      <c r="AR14" s="147">
        <v>8.1985466455794659E-2</v>
      </c>
      <c r="AS14" s="147">
        <v>1.6128819798873616E-2</v>
      </c>
      <c r="AT14" s="147">
        <v>6.1916915087252666E-2</v>
      </c>
      <c r="AU14" s="147">
        <v>6.6833260404341233E-2</v>
      </c>
      <c r="AV14" s="147">
        <v>0.24272985575717609</v>
      </c>
      <c r="AW14" s="147">
        <v>0.12929521136163272</v>
      </c>
      <c r="AX14" s="147">
        <v>0.39318626962384789</v>
      </c>
      <c r="AY14" s="147">
        <v>0.56529288859238958</v>
      </c>
      <c r="AZ14" s="147">
        <v>0</v>
      </c>
      <c r="BA14" s="147">
        <v>2.5321133289853075E-2</v>
      </c>
      <c r="BB14" s="147">
        <v>0</v>
      </c>
      <c r="BC14" s="147">
        <v>0</v>
      </c>
      <c r="BD14" s="147">
        <v>0</v>
      </c>
      <c r="BE14" s="147">
        <v>5.0058529289168869E-3</v>
      </c>
      <c r="BF14" s="147">
        <v>0</v>
      </c>
      <c r="BG14" s="147">
        <v>0</v>
      </c>
      <c r="BH14" s="147">
        <v>0</v>
      </c>
      <c r="BI14" s="147">
        <v>0</v>
      </c>
    </row>
    <row r="15" spans="1:61" customFormat="1" x14ac:dyDescent="0.15">
      <c r="A15" s="182" t="s">
        <v>206</v>
      </c>
      <c r="B15" s="147">
        <v>0</v>
      </c>
      <c r="C15" s="147">
        <v>0</v>
      </c>
      <c r="D15" s="147">
        <v>0</v>
      </c>
      <c r="E15" s="147">
        <v>0</v>
      </c>
      <c r="F15" s="147">
        <v>0</v>
      </c>
      <c r="G15" s="147">
        <v>0</v>
      </c>
      <c r="H15" s="147">
        <v>0</v>
      </c>
      <c r="I15" s="147">
        <v>0</v>
      </c>
      <c r="J15" s="147">
        <v>0</v>
      </c>
      <c r="K15" s="147">
        <v>0</v>
      </c>
      <c r="L15" s="147">
        <v>0</v>
      </c>
      <c r="M15" s="147">
        <v>0</v>
      </c>
      <c r="N15" s="147">
        <v>0</v>
      </c>
      <c r="O15" s="147">
        <v>1.143983563593692E-3</v>
      </c>
      <c r="P15" s="147">
        <v>1.0479136591768199E-2</v>
      </c>
      <c r="Q15" s="147">
        <v>1.0433459796547535E-2</v>
      </c>
      <c r="R15" s="147">
        <v>9.3986671479162238E-3</v>
      </c>
      <c r="S15" s="147">
        <v>0</v>
      </c>
      <c r="T15" s="147">
        <v>0</v>
      </c>
      <c r="U15" s="147">
        <v>0</v>
      </c>
      <c r="V15" s="147">
        <v>0</v>
      </c>
      <c r="W15" s="147">
        <v>0</v>
      </c>
      <c r="X15" s="147">
        <v>7.5585764350038871E-3</v>
      </c>
      <c r="Y15" s="147">
        <v>9.8462040196431759E-4</v>
      </c>
      <c r="Z15" s="147">
        <v>7.5281673637276941E-4</v>
      </c>
      <c r="AA15" s="147">
        <v>1.5699079885679299E-3</v>
      </c>
      <c r="AB15" s="147">
        <v>1.2048935802543529E-3</v>
      </c>
      <c r="AC15" s="147">
        <v>5.5375319282723487E-5</v>
      </c>
      <c r="AD15" s="147">
        <v>2.8399492505544756E-3</v>
      </c>
      <c r="AE15" s="147">
        <v>1.0258354116227152E-3</v>
      </c>
      <c r="AF15" s="147">
        <v>0</v>
      </c>
      <c r="AG15" s="147">
        <v>2.0830223309031986E-2</v>
      </c>
      <c r="AH15" s="147">
        <v>3.5948234436985547E-2</v>
      </c>
      <c r="AI15" s="147">
        <v>0.32754447431527589</v>
      </c>
      <c r="AJ15" s="147">
        <v>1.1030400954435327E-2</v>
      </c>
      <c r="AK15" s="147">
        <v>6.9262419869010909E-3</v>
      </c>
      <c r="AL15" s="147">
        <v>0.11150616215211989</v>
      </c>
      <c r="AM15" s="147">
        <v>9.6374500667653629E-2</v>
      </c>
      <c r="AN15" s="147">
        <v>1.5936195603335254E-2</v>
      </c>
      <c r="AO15" s="147">
        <v>1.7862176642801653E-2</v>
      </c>
      <c r="AP15" s="147">
        <v>6.869221158762745E-2</v>
      </c>
      <c r="AQ15" s="147">
        <v>6.638269454675552E-3</v>
      </c>
      <c r="AR15" s="147">
        <v>2.5304160078948978E-2</v>
      </c>
      <c r="AS15" s="147">
        <v>3.2257639597747237E-3</v>
      </c>
      <c r="AT15" s="147">
        <v>2.6235988945446213E-2</v>
      </c>
      <c r="AU15" s="147">
        <v>7.2909010441099516E-3</v>
      </c>
      <c r="AV15" s="147">
        <v>1.6312492849272567E-2</v>
      </c>
      <c r="AW15" s="147">
        <v>1.5142689573884715E-2</v>
      </c>
      <c r="AX15" s="147">
        <v>3.6072127373747549E-2</v>
      </c>
      <c r="AY15" s="147">
        <v>1.307616263612304E-2</v>
      </c>
      <c r="AZ15" s="147">
        <v>0</v>
      </c>
      <c r="BA15" s="147">
        <v>0</v>
      </c>
      <c r="BB15" s="147">
        <v>0</v>
      </c>
      <c r="BC15" s="147">
        <v>0</v>
      </c>
      <c r="BD15" s="147">
        <v>0</v>
      </c>
      <c r="BE15" s="147">
        <v>0</v>
      </c>
      <c r="BF15" s="147">
        <v>0</v>
      </c>
      <c r="BG15" s="147">
        <v>2.6462069198201217E-2</v>
      </c>
      <c r="BH15" s="147">
        <v>0</v>
      </c>
      <c r="BI15" s="147">
        <v>0</v>
      </c>
    </row>
    <row r="16" spans="1:61" customFormat="1" x14ac:dyDescent="0.15">
      <c r="A16" s="182" t="s">
        <v>207</v>
      </c>
      <c r="B16" s="147">
        <v>0</v>
      </c>
      <c r="C16" s="147">
        <v>0</v>
      </c>
      <c r="D16" s="147">
        <v>0</v>
      </c>
      <c r="E16" s="147">
        <v>0</v>
      </c>
      <c r="F16" s="147">
        <v>0</v>
      </c>
      <c r="G16" s="147">
        <v>0</v>
      </c>
      <c r="H16" s="147">
        <v>0</v>
      </c>
      <c r="I16" s="147">
        <v>0</v>
      </c>
      <c r="J16" s="147">
        <v>0</v>
      </c>
      <c r="K16" s="147">
        <v>0</v>
      </c>
      <c r="L16" s="147">
        <v>0</v>
      </c>
      <c r="M16" s="147">
        <v>0</v>
      </c>
      <c r="N16" s="147">
        <v>0</v>
      </c>
      <c r="O16" s="147">
        <v>0</v>
      </c>
      <c r="P16" s="147">
        <v>0</v>
      </c>
      <c r="Q16" s="147">
        <v>0</v>
      </c>
      <c r="R16" s="147">
        <v>0</v>
      </c>
      <c r="S16" s="147">
        <v>0</v>
      </c>
      <c r="T16" s="147">
        <v>0</v>
      </c>
      <c r="U16" s="147">
        <v>0</v>
      </c>
      <c r="V16" s="147">
        <v>0</v>
      </c>
      <c r="W16" s="147">
        <v>0</v>
      </c>
      <c r="X16" s="147">
        <v>0</v>
      </c>
      <c r="Y16" s="147">
        <v>0</v>
      </c>
      <c r="Z16" s="147">
        <v>0</v>
      </c>
      <c r="AA16" s="147">
        <v>1.0080296426595281E-2</v>
      </c>
      <c r="AB16" s="147">
        <v>2.9385080006203188E-4</v>
      </c>
      <c r="AC16" s="147">
        <v>0</v>
      </c>
      <c r="AD16" s="147">
        <v>0</v>
      </c>
      <c r="AE16" s="147">
        <v>0</v>
      </c>
      <c r="AF16" s="147">
        <v>0</v>
      </c>
      <c r="AG16" s="147">
        <v>0</v>
      </c>
      <c r="AH16" s="147">
        <v>0</v>
      </c>
      <c r="AI16" s="147">
        <v>0</v>
      </c>
      <c r="AJ16" s="147">
        <v>3.0723115994556864E-3</v>
      </c>
      <c r="AK16" s="147">
        <v>7.6904709854557797E-4</v>
      </c>
      <c r="AL16" s="147">
        <v>0</v>
      </c>
      <c r="AM16" s="147">
        <v>7.3743463510872588E-6</v>
      </c>
      <c r="AN16" s="147">
        <v>0</v>
      </c>
      <c r="AO16" s="147">
        <v>1.8551525648312748E-5</v>
      </c>
      <c r="AP16" s="147">
        <v>0</v>
      </c>
      <c r="AQ16" s="147">
        <v>0</v>
      </c>
      <c r="AR16" s="147">
        <v>0</v>
      </c>
      <c r="AS16" s="147">
        <v>0</v>
      </c>
      <c r="AT16" s="147">
        <v>1.0494390918178388E-3</v>
      </c>
      <c r="AU16" s="147">
        <v>0</v>
      </c>
      <c r="AV16" s="147">
        <v>1.0315244904687137E-2</v>
      </c>
      <c r="AW16" s="147">
        <v>0</v>
      </c>
      <c r="AX16" s="147">
        <v>1.2024039957915856E-3</v>
      </c>
      <c r="AY16" s="147">
        <v>2.0117184194035223E-3</v>
      </c>
      <c r="AZ16" s="147">
        <v>2.5295317420069265E-2</v>
      </c>
      <c r="BA16" s="147">
        <v>0</v>
      </c>
      <c r="BB16" s="147">
        <v>6.1891680227761378E-3</v>
      </c>
      <c r="BC16" s="147">
        <v>0</v>
      </c>
      <c r="BD16" s="147">
        <v>0</v>
      </c>
      <c r="BE16" s="147">
        <v>2.0023409715667576E-3</v>
      </c>
      <c r="BF16" s="147">
        <v>1.0220819116393698E-2</v>
      </c>
      <c r="BG16" s="147">
        <v>0</v>
      </c>
      <c r="BH16" s="147">
        <v>0</v>
      </c>
      <c r="BI16" s="147">
        <v>0</v>
      </c>
    </row>
    <row r="17" spans="1:61" customFormat="1" x14ac:dyDescent="0.15">
      <c r="A17" s="182" t="s">
        <v>208</v>
      </c>
      <c r="B17" s="147">
        <v>0</v>
      </c>
      <c r="C17" s="147">
        <v>0</v>
      </c>
      <c r="D17" s="147">
        <v>0</v>
      </c>
      <c r="E17" s="147">
        <v>0</v>
      </c>
      <c r="F17" s="147">
        <v>0</v>
      </c>
      <c r="G17" s="147">
        <v>0</v>
      </c>
      <c r="H17" s="147">
        <v>0</v>
      </c>
      <c r="I17" s="147">
        <v>0</v>
      </c>
      <c r="J17" s="147">
        <v>0</v>
      </c>
      <c r="K17" s="147">
        <v>0</v>
      </c>
      <c r="L17" s="147">
        <v>0</v>
      </c>
      <c r="M17" s="147">
        <v>0</v>
      </c>
      <c r="N17" s="147">
        <v>0</v>
      </c>
      <c r="O17" s="147">
        <v>0</v>
      </c>
      <c r="P17" s="147">
        <v>0</v>
      </c>
      <c r="Q17" s="147">
        <v>0</v>
      </c>
      <c r="R17" s="147">
        <v>1.0085639358727793E-4</v>
      </c>
      <c r="S17" s="147">
        <v>0</v>
      </c>
      <c r="T17" s="147">
        <v>0</v>
      </c>
      <c r="U17" s="147">
        <v>0</v>
      </c>
      <c r="V17" s="147">
        <v>0</v>
      </c>
      <c r="W17" s="147">
        <v>0.21940831657384591</v>
      </c>
      <c r="X17" s="147">
        <v>0</v>
      </c>
      <c r="Y17" s="147">
        <v>0</v>
      </c>
      <c r="Z17" s="147">
        <v>0</v>
      </c>
      <c r="AA17" s="147">
        <v>3.8635597718655575E-3</v>
      </c>
      <c r="AB17" s="147">
        <v>0.19160953204044875</v>
      </c>
      <c r="AC17" s="147">
        <v>0.25130269674487615</v>
      </c>
      <c r="AD17" s="147">
        <v>0</v>
      </c>
      <c r="AE17" s="147">
        <v>2.4619495778938887E-2</v>
      </c>
      <c r="AF17" s="147">
        <v>7.8156100925368233E-2</v>
      </c>
      <c r="AG17" s="147">
        <v>0</v>
      </c>
      <c r="AH17" s="147">
        <v>0</v>
      </c>
      <c r="AI17" s="147">
        <v>0</v>
      </c>
      <c r="AJ17" s="147">
        <v>0.10448623262112861</v>
      </c>
      <c r="AK17" s="147">
        <v>0.23419152155709699</v>
      </c>
      <c r="AL17" s="147">
        <v>0</v>
      </c>
      <c r="AM17" s="147">
        <v>0.16252440112592031</v>
      </c>
      <c r="AN17" s="147">
        <v>0.27961641079472183</v>
      </c>
      <c r="AO17" s="147">
        <v>7.9911250638861606E-2</v>
      </c>
      <c r="AP17" s="147">
        <v>3.0000000693365713E-3</v>
      </c>
      <c r="AQ17" s="147">
        <v>0</v>
      </c>
      <c r="AR17" s="147">
        <v>0</v>
      </c>
      <c r="AS17" s="147">
        <v>1.0752546265915747E-3</v>
      </c>
      <c r="AT17" s="147">
        <v>0</v>
      </c>
      <c r="AU17" s="147">
        <v>0.13923935684239813</v>
      </c>
      <c r="AV17" s="147">
        <v>4.0009114530315776E-2</v>
      </c>
      <c r="AW17" s="147">
        <v>0</v>
      </c>
      <c r="AX17" s="147">
        <v>8.7796519692712155E-2</v>
      </c>
      <c r="AY17" s="147">
        <v>1.0262399792904773E-2</v>
      </c>
      <c r="AZ17" s="147">
        <v>0.14631477127293854</v>
      </c>
      <c r="BA17" s="147">
        <v>0.18595896619107852</v>
      </c>
      <c r="BB17" s="147">
        <v>0.1328001624887046</v>
      </c>
      <c r="BC17" s="147">
        <v>0.20877678520451962</v>
      </c>
      <c r="BD17" s="147">
        <v>0.23522490226756801</v>
      </c>
      <c r="BE17" s="147">
        <v>1.5017557686750678E-2</v>
      </c>
      <c r="BF17" s="147">
        <v>0.20721202930500554</v>
      </c>
      <c r="BG17" s="147">
        <v>0.2276102784250795</v>
      </c>
      <c r="BH17" s="147">
        <v>0</v>
      </c>
      <c r="BI17" s="147">
        <v>0</v>
      </c>
    </row>
    <row r="18" spans="1:61" customFormat="1" x14ac:dyDescent="0.15">
      <c r="A18" s="182" t="s">
        <v>209</v>
      </c>
      <c r="B18" s="147">
        <v>0</v>
      </c>
      <c r="C18" s="147">
        <v>0</v>
      </c>
      <c r="D18" s="147">
        <v>0</v>
      </c>
      <c r="E18" s="147">
        <v>0</v>
      </c>
      <c r="F18" s="147">
        <v>0</v>
      </c>
      <c r="G18" s="147">
        <v>0</v>
      </c>
      <c r="H18" s="147">
        <v>0</v>
      </c>
      <c r="I18" s="147">
        <v>0</v>
      </c>
      <c r="J18" s="147">
        <v>0</v>
      </c>
      <c r="K18" s="147">
        <v>0</v>
      </c>
      <c r="L18" s="147">
        <v>0</v>
      </c>
      <c r="M18" s="147">
        <v>0</v>
      </c>
      <c r="N18" s="147">
        <v>0</v>
      </c>
      <c r="O18" s="147">
        <v>0</v>
      </c>
      <c r="P18" s="147">
        <v>0</v>
      </c>
      <c r="Q18" s="147">
        <v>0</v>
      </c>
      <c r="R18" s="147">
        <v>0</v>
      </c>
      <c r="S18" s="147">
        <v>0</v>
      </c>
      <c r="T18" s="147">
        <v>0</v>
      </c>
      <c r="U18" s="147">
        <v>0</v>
      </c>
      <c r="V18" s="147">
        <v>0</v>
      </c>
      <c r="W18" s="147">
        <v>5.0251969673362198E-3</v>
      </c>
      <c r="X18" s="147">
        <v>0</v>
      </c>
      <c r="Y18" s="147">
        <v>0</v>
      </c>
      <c r="Z18" s="147">
        <v>0</v>
      </c>
      <c r="AA18" s="147">
        <v>0</v>
      </c>
      <c r="AB18" s="147">
        <v>7.3489863415513697E-3</v>
      </c>
      <c r="AC18" s="147">
        <v>5.0960409339909814E-3</v>
      </c>
      <c r="AD18" s="147">
        <v>1.8018690257306897E-3</v>
      </c>
      <c r="AE18" s="147">
        <v>4.1214232766957253E-3</v>
      </c>
      <c r="AF18" s="147">
        <v>5.8184783688907836E-3</v>
      </c>
      <c r="AG18" s="147">
        <v>0</v>
      </c>
      <c r="AH18" s="147">
        <v>5.1700278471186582E-4</v>
      </c>
      <c r="AI18" s="147">
        <v>5.2359862131408515E-4</v>
      </c>
      <c r="AJ18" s="147">
        <v>3.1274021187286744E-4</v>
      </c>
      <c r="AK18" s="147">
        <v>3.0446078142420375E-3</v>
      </c>
      <c r="AL18" s="147">
        <v>0</v>
      </c>
      <c r="AM18" s="147">
        <v>5.3823660372874168E-4</v>
      </c>
      <c r="AN18" s="147">
        <v>5.5767091861851975E-3</v>
      </c>
      <c r="AO18" s="147">
        <v>2.6811353914347097E-4</v>
      </c>
      <c r="AP18" s="147">
        <v>2.0118600464984916E-3</v>
      </c>
      <c r="AQ18" s="147">
        <v>0</v>
      </c>
      <c r="AR18" s="147">
        <v>0</v>
      </c>
      <c r="AS18" s="147">
        <v>0</v>
      </c>
      <c r="AT18" s="147">
        <v>0</v>
      </c>
      <c r="AU18" s="147">
        <v>5.230640561645376E-3</v>
      </c>
      <c r="AV18" s="147">
        <v>3.0357974719492312E-3</v>
      </c>
      <c r="AW18" s="147">
        <v>0</v>
      </c>
      <c r="AX18" s="147">
        <v>5.756427509852502E-3</v>
      </c>
      <c r="AY18" s="147">
        <v>1.0061043796968138E-3</v>
      </c>
      <c r="AZ18" s="147">
        <v>1.0100835987877275E-2</v>
      </c>
      <c r="BA18" s="147">
        <v>2.0016269912929228E-2</v>
      </c>
      <c r="BB18" s="147">
        <v>5.0487374185793537E-3</v>
      </c>
      <c r="BC18" s="147">
        <v>1.8145765943946412E-2</v>
      </c>
      <c r="BD18" s="147">
        <v>2.7814189268128779E-2</v>
      </c>
      <c r="BE18" s="147">
        <v>0</v>
      </c>
      <c r="BF18" s="147">
        <v>5.0778486384631975E-3</v>
      </c>
      <c r="BG18" s="147">
        <v>1.0000571750488605E-2</v>
      </c>
      <c r="BH18" s="147">
        <v>0</v>
      </c>
      <c r="BI18" s="147">
        <v>0</v>
      </c>
    </row>
    <row r="19" spans="1:61" customFormat="1" x14ac:dyDescent="0.15">
      <c r="A19" s="182" t="s">
        <v>210</v>
      </c>
      <c r="B19" s="147">
        <v>0</v>
      </c>
      <c r="C19" s="147">
        <v>0</v>
      </c>
      <c r="D19" s="147">
        <v>0</v>
      </c>
      <c r="E19" s="147">
        <v>0</v>
      </c>
      <c r="F19" s="147">
        <v>0</v>
      </c>
      <c r="G19" s="147">
        <v>2.395227284138178E-3</v>
      </c>
      <c r="H19" s="147">
        <v>0</v>
      </c>
      <c r="I19" s="147">
        <v>0</v>
      </c>
      <c r="J19" s="147">
        <v>0</v>
      </c>
      <c r="K19" s="147">
        <v>0</v>
      </c>
      <c r="L19" s="147">
        <v>0</v>
      </c>
      <c r="M19" s="147">
        <v>0</v>
      </c>
      <c r="N19" s="147">
        <v>0</v>
      </c>
      <c r="O19" s="147">
        <v>0</v>
      </c>
      <c r="P19" s="147">
        <v>0</v>
      </c>
      <c r="Q19" s="147">
        <v>0</v>
      </c>
      <c r="R19" s="147">
        <v>0</v>
      </c>
      <c r="S19" s="147">
        <v>0</v>
      </c>
      <c r="T19" s="147">
        <v>0</v>
      </c>
      <c r="U19" s="147">
        <v>0</v>
      </c>
      <c r="V19" s="147">
        <v>0</v>
      </c>
      <c r="W19" s="147">
        <v>0</v>
      </c>
      <c r="X19" s="147">
        <v>0</v>
      </c>
      <c r="Y19" s="147">
        <v>0</v>
      </c>
      <c r="Z19" s="147">
        <v>0</v>
      </c>
      <c r="AA19" s="147">
        <v>0.16088419882844124</v>
      </c>
      <c r="AB19" s="147">
        <v>0.15213093203211484</v>
      </c>
      <c r="AC19" s="147">
        <v>5.2828173415716663E-3</v>
      </c>
      <c r="AD19" s="147">
        <v>6.475083622464195E-2</v>
      </c>
      <c r="AE19" s="147">
        <v>0.11899690134823489</v>
      </c>
      <c r="AF19" s="147">
        <v>0.11877077240624594</v>
      </c>
      <c r="AG19" s="147">
        <v>0</v>
      </c>
      <c r="AH19" s="147">
        <v>4.914476574675488E-2</v>
      </c>
      <c r="AI19" s="147">
        <v>5.4556372386580822E-2</v>
      </c>
      <c r="AJ19" s="147">
        <v>6.6679173920056265E-4</v>
      </c>
      <c r="AK19" s="147">
        <v>5.1035666703481341E-3</v>
      </c>
      <c r="AL19" s="147">
        <v>0</v>
      </c>
      <c r="AM19" s="147">
        <v>0.10512117372824795</v>
      </c>
      <c r="AN19" s="147">
        <v>0</v>
      </c>
      <c r="AO19" s="147">
        <v>0</v>
      </c>
      <c r="AP19" s="147">
        <v>0</v>
      </c>
      <c r="AQ19" s="147">
        <v>0</v>
      </c>
      <c r="AR19" s="147">
        <v>0</v>
      </c>
      <c r="AS19" s="147">
        <v>0</v>
      </c>
      <c r="AT19" s="147">
        <v>0</v>
      </c>
      <c r="AU19" s="147">
        <v>0</v>
      </c>
      <c r="AV19" s="147">
        <v>1.3049990979418081E-3</v>
      </c>
      <c r="AW19" s="147">
        <v>0</v>
      </c>
      <c r="AX19" s="147">
        <v>2.8857692998998069E-2</v>
      </c>
      <c r="AY19" s="147">
        <v>2.2128903753438726E-2</v>
      </c>
      <c r="AZ19" s="147">
        <v>0</v>
      </c>
      <c r="BA19" s="147">
        <v>2.7986509878258684E-2</v>
      </c>
      <c r="BB19" s="147">
        <v>9.9026660364418106E-3</v>
      </c>
      <c r="BC19" s="147">
        <v>0.10232093112004</v>
      </c>
      <c r="BD19" s="147">
        <v>5.4092000521446873E-2</v>
      </c>
      <c r="BE19" s="147">
        <v>1.0011704757833791E-3</v>
      </c>
      <c r="BF19" s="147">
        <v>4.2877483749262174E-2</v>
      </c>
      <c r="BG19" s="147">
        <v>4.0389475107780827E-2</v>
      </c>
      <c r="BH19" s="147">
        <v>0</v>
      </c>
      <c r="BI19" s="147">
        <v>0</v>
      </c>
    </row>
    <row r="20" spans="1:61" customFormat="1" x14ac:dyDescent="0.15">
      <c r="A20" s="182" t="s">
        <v>211</v>
      </c>
      <c r="B20" s="147">
        <v>0</v>
      </c>
      <c r="C20" s="147">
        <v>0</v>
      </c>
      <c r="D20" s="147">
        <v>0</v>
      </c>
      <c r="E20" s="147">
        <v>0</v>
      </c>
      <c r="F20" s="147">
        <v>0</v>
      </c>
      <c r="G20" s="147">
        <v>0</v>
      </c>
      <c r="H20" s="147">
        <v>0</v>
      </c>
      <c r="I20" s="147">
        <v>0</v>
      </c>
      <c r="J20" s="147">
        <v>0</v>
      </c>
      <c r="K20" s="147">
        <v>0</v>
      </c>
      <c r="L20" s="147">
        <v>0</v>
      </c>
      <c r="M20" s="147">
        <v>0</v>
      </c>
      <c r="N20" s="147">
        <v>0</v>
      </c>
      <c r="O20" s="147">
        <v>0</v>
      </c>
      <c r="P20" s="147">
        <v>0</v>
      </c>
      <c r="Q20" s="147">
        <v>0</v>
      </c>
      <c r="R20" s="147">
        <v>0</v>
      </c>
      <c r="S20" s="147">
        <v>0</v>
      </c>
      <c r="T20" s="147">
        <v>0</v>
      </c>
      <c r="U20" s="147">
        <v>0</v>
      </c>
      <c r="V20" s="147">
        <v>0</v>
      </c>
      <c r="W20" s="147">
        <v>0</v>
      </c>
      <c r="X20" s="147">
        <v>0</v>
      </c>
      <c r="Y20" s="147">
        <v>0</v>
      </c>
      <c r="Z20" s="147">
        <v>0</v>
      </c>
      <c r="AA20" s="147">
        <v>0</v>
      </c>
      <c r="AB20" s="147">
        <v>2.9326446406190813E-2</v>
      </c>
      <c r="AC20" s="147">
        <v>4.7409897085899603E-3</v>
      </c>
      <c r="AD20" s="147">
        <v>0</v>
      </c>
      <c r="AE20" s="147">
        <v>7.9830565504480297E-2</v>
      </c>
      <c r="AF20" s="147">
        <v>9.0548051072088923E-2</v>
      </c>
      <c r="AG20" s="147">
        <v>0</v>
      </c>
      <c r="AH20" s="147">
        <v>0</v>
      </c>
      <c r="AI20" s="147">
        <v>1.1076586073942386E-2</v>
      </c>
      <c r="AJ20" s="147">
        <v>0</v>
      </c>
      <c r="AK20" s="147">
        <v>5.940898498764572E-2</v>
      </c>
      <c r="AL20" s="147">
        <v>0</v>
      </c>
      <c r="AM20" s="147">
        <v>0</v>
      </c>
      <c r="AN20" s="147">
        <v>0</v>
      </c>
      <c r="AO20" s="147">
        <v>0</v>
      </c>
      <c r="AP20" s="147">
        <v>0</v>
      </c>
      <c r="AQ20" s="147">
        <v>0</v>
      </c>
      <c r="AR20" s="147">
        <v>0</v>
      </c>
      <c r="AS20" s="147">
        <v>0</v>
      </c>
      <c r="AT20" s="147">
        <v>0</v>
      </c>
      <c r="AU20" s="147">
        <v>0</v>
      </c>
      <c r="AV20" s="147">
        <v>0</v>
      </c>
      <c r="AW20" s="147">
        <v>0</v>
      </c>
      <c r="AX20" s="147">
        <v>0</v>
      </c>
      <c r="AY20" s="147">
        <v>0</v>
      </c>
      <c r="AZ20" s="147">
        <v>0</v>
      </c>
      <c r="BA20" s="147">
        <v>2.7986509878258684E-2</v>
      </c>
      <c r="BB20" s="147">
        <v>9.9026660364418106E-3</v>
      </c>
      <c r="BC20" s="147">
        <v>0.10232093112004</v>
      </c>
      <c r="BD20" s="147">
        <v>2.7046000260723436E-2</v>
      </c>
      <c r="BE20" s="147">
        <v>0</v>
      </c>
      <c r="BF20" s="147">
        <v>4.2877483749262174E-2</v>
      </c>
      <c r="BG20" s="147">
        <v>4.0389475107780827E-2</v>
      </c>
      <c r="BH20" s="147">
        <v>0</v>
      </c>
      <c r="BI20" s="147">
        <v>0</v>
      </c>
    </row>
    <row r="21" spans="1:61" customFormat="1" x14ac:dyDescent="0.15">
      <c r="A21" s="182" t="s">
        <v>212</v>
      </c>
      <c r="B21" s="147">
        <v>0</v>
      </c>
      <c r="C21" s="147">
        <v>0</v>
      </c>
      <c r="D21" s="147">
        <v>0</v>
      </c>
      <c r="E21" s="147">
        <v>0</v>
      </c>
      <c r="F21" s="147">
        <v>0</v>
      </c>
      <c r="G21" s="147">
        <v>0</v>
      </c>
      <c r="H21" s="147">
        <v>0</v>
      </c>
      <c r="I21" s="147">
        <v>0</v>
      </c>
      <c r="J21" s="147">
        <v>0</v>
      </c>
      <c r="K21" s="147">
        <v>0</v>
      </c>
      <c r="L21" s="147">
        <v>0</v>
      </c>
      <c r="M21" s="147">
        <v>0</v>
      </c>
      <c r="N21" s="147">
        <v>0</v>
      </c>
      <c r="O21" s="147">
        <v>0</v>
      </c>
      <c r="P21" s="147">
        <v>0</v>
      </c>
      <c r="Q21" s="147">
        <v>0</v>
      </c>
      <c r="R21" s="147">
        <v>0</v>
      </c>
      <c r="S21" s="147">
        <v>0</v>
      </c>
      <c r="T21" s="147">
        <v>0</v>
      </c>
      <c r="U21" s="147">
        <v>0</v>
      </c>
      <c r="V21" s="147">
        <v>0</v>
      </c>
      <c r="W21" s="147">
        <v>0</v>
      </c>
      <c r="X21" s="147">
        <v>0</v>
      </c>
      <c r="Y21" s="147">
        <v>0</v>
      </c>
      <c r="Z21" s="147">
        <v>0</v>
      </c>
      <c r="AA21" s="147">
        <v>0</v>
      </c>
      <c r="AB21" s="147">
        <v>1.8329032503869257E-3</v>
      </c>
      <c r="AC21" s="147">
        <v>3.8245379504607602E-2</v>
      </c>
      <c r="AD21" s="147">
        <v>0</v>
      </c>
      <c r="AE21" s="147">
        <v>1.0258354116227152E-3</v>
      </c>
      <c r="AF21" s="147">
        <v>8.1928310970031198E-2</v>
      </c>
      <c r="AG21" s="147">
        <v>0</v>
      </c>
      <c r="AH21" s="147">
        <v>0</v>
      </c>
      <c r="AI21" s="147">
        <v>2.5252469484632453E-4</v>
      </c>
      <c r="AJ21" s="147">
        <v>0</v>
      </c>
      <c r="AK21" s="147">
        <v>1.3343481274764807E-2</v>
      </c>
      <c r="AL21" s="147">
        <v>0</v>
      </c>
      <c r="AM21" s="147">
        <v>0</v>
      </c>
      <c r="AN21" s="147">
        <v>0.20744339613827895</v>
      </c>
      <c r="AO21" s="147">
        <v>0</v>
      </c>
      <c r="AP21" s="147">
        <v>0</v>
      </c>
      <c r="AQ21" s="147">
        <v>0</v>
      </c>
      <c r="AR21" s="147">
        <v>0</v>
      </c>
      <c r="AS21" s="147">
        <v>0</v>
      </c>
      <c r="AT21" s="147">
        <v>0</v>
      </c>
      <c r="AU21" s="147">
        <v>0</v>
      </c>
      <c r="AV21" s="147">
        <v>0</v>
      </c>
      <c r="AW21" s="147">
        <v>0</v>
      </c>
      <c r="AX21" s="147">
        <v>0</v>
      </c>
      <c r="AY21" s="147">
        <v>0</v>
      </c>
      <c r="AZ21" s="147">
        <v>0</v>
      </c>
      <c r="BA21" s="147">
        <v>2.2608503601653011E-2</v>
      </c>
      <c r="BB21" s="147">
        <v>9.9026660364418106E-3</v>
      </c>
      <c r="BC21" s="147">
        <v>1.8509527540818062E-2</v>
      </c>
      <c r="BD21" s="147">
        <v>0</v>
      </c>
      <c r="BE21" s="147">
        <v>0</v>
      </c>
      <c r="BF21" s="147">
        <v>4.205249585601057E-2</v>
      </c>
      <c r="BG21" s="147">
        <v>3.6532160549735952E-2</v>
      </c>
      <c r="BH21" s="147">
        <v>0</v>
      </c>
      <c r="BI21" s="147">
        <v>0</v>
      </c>
    </row>
    <row r="22" spans="1:61" customFormat="1" x14ac:dyDescent="0.15">
      <c r="A22" s="182" t="s">
        <v>213</v>
      </c>
      <c r="B22" s="147">
        <v>0</v>
      </c>
      <c r="C22" s="147">
        <v>0</v>
      </c>
      <c r="D22" s="147">
        <v>0</v>
      </c>
      <c r="E22" s="147">
        <v>0</v>
      </c>
      <c r="F22" s="147">
        <v>0</v>
      </c>
      <c r="G22" s="147">
        <v>0</v>
      </c>
      <c r="H22" s="147">
        <v>0</v>
      </c>
      <c r="I22" s="147">
        <v>0</v>
      </c>
      <c r="J22" s="147">
        <v>0</v>
      </c>
      <c r="K22" s="147">
        <v>0</v>
      </c>
      <c r="L22" s="147">
        <v>0</v>
      </c>
      <c r="M22" s="147">
        <v>0</v>
      </c>
      <c r="N22" s="147">
        <v>0</v>
      </c>
      <c r="O22" s="147">
        <v>0</v>
      </c>
      <c r="P22" s="147">
        <v>0</v>
      </c>
      <c r="Q22" s="147">
        <v>3.2899006558469376E-2</v>
      </c>
      <c r="R22" s="147">
        <v>1.0109713959106678E-3</v>
      </c>
      <c r="S22" s="147">
        <v>0</v>
      </c>
      <c r="T22" s="147">
        <v>0</v>
      </c>
      <c r="U22" s="147">
        <v>0</v>
      </c>
      <c r="V22" s="147">
        <v>0</v>
      </c>
      <c r="W22" s="147">
        <v>0.17959710883261878</v>
      </c>
      <c r="X22" s="147">
        <v>0</v>
      </c>
      <c r="Y22" s="147">
        <v>0</v>
      </c>
      <c r="Z22" s="147">
        <v>2.36615558060085E-2</v>
      </c>
      <c r="AA22" s="147">
        <v>0.60364853860423129</v>
      </c>
      <c r="AB22" s="147">
        <v>0.38316333308088574</v>
      </c>
      <c r="AC22" s="147">
        <v>9.7144058741693004E-2</v>
      </c>
      <c r="AD22" s="147">
        <v>0.31434345648882461</v>
      </c>
      <c r="AE22" s="147">
        <v>0.24312300275458362</v>
      </c>
      <c r="AF22" s="147">
        <v>0.30104290356434799</v>
      </c>
      <c r="AG22" s="147">
        <v>0.37474730016249047</v>
      </c>
      <c r="AH22" s="147">
        <v>0.52539558446368484</v>
      </c>
      <c r="AI22" s="147">
        <v>0.48776011704549888</v>
      </c>
      <c r="AJ22" s="147">
        <v>9.459386875167497E-4</v>
      </c>
      <c r="AK22" s="147">
        <v>1.6191519969378596E-2</v>
      </c>
      <c r="AL22" s="147">
        <v>0</v>
      </c>
      <c r="AM22" s="147">
        <v>1.4748690102174499E-5</v>
      </c>
      <c r="AN22" s="147">
        <v>9.1874448289685295E-6</v>
      </c>
      <c r="AO22" s="147">
        <v>0</v>
      </c>
      <c r="AP22" s="147">
        <v>0</v>
      </c>
      <c r="AQ22" s="147">
        <v>3.5454876938611317E-2</v>
      </c>
      <c r="AR22" s="147">
        <v>0</v>
      </c>
      <c r="AS22" s="147">
        <v>0</v>
      </c>
      <c r="AT22" s="147">
        <v>0.13263385275745782</v>
      </c>
      <c r="AU22" s="147">
        <v>0.13002106578662745</v>
      </c>
      <c r="AV22" s="147">
        <v>1.826998573118533E-2</v>
      </c>
      <c r="AW22" s="147">
        <v>4.5428068721654141E-2</v>
      </c>
      <c r="AX22" s="147">
        <v>3.6072132473747528E-3</v>
      </c>
      <c r="AY22" s="147">
        <v>4.0234369188070435E-3</v>
      </c>
      <c r="AZ22" s="147">
        <v>1.3815355620193596E-2</v>
      </c>
      <c r="BA22" s="147">
        <v>8.3959559634775929E-2</v>
      </c>
      <c r="BB22" s="147">
        <v>2.8470164304770201E-2</v>
      </c>
      <c r="BC22" s="147">
        <v>0.31087569732646897</v>
      </c>
      <c r="BD22" s="147">
        <v>8.1138000782170316E-2</v>
      </c>
      <c r="BE22" s="147">
        <v>1.0011704757833791E-3</v>
      </c>
      <c r="BF22" s="147">
        <v>0.12863243994778659</v>
      </c>
      <c r="BG22" s="147">
        <v>0.12116844382334276</v>
      </c>
      <c r="BH22" s="147">
        <v>0</v>
      </c>
      <c r="BI22" s="147">
        <v>0</v>
      </c>
    </row>
    <row r="23" spans="1:61" customFormat="1" x14ac:dyDescent="0.15">
      <c r="A23" s="182" t="s">
        <v>214</v>
      </c>
      <c r="B23" s="147">
        <v>0</v>
      </c>
      <c r="C23" s="147">
        <v>0</v>
      </c>
      <c r="D23" s="147">
        <v>0</v>
      </c>
      <c r="E23" s="147">
        <v>0</v>
      </c>
      <c r="F23" s="147">
        <v>0</v>
      </c>
      <c r="G23" s="147">
        <v>0</v>
      </c>
      <c r="H23" s="147">
        <v>0</v>
      </c>
      <c r="I23" s="147">
        <v>0</v>
      </c>
      <c r="J23" s="147">
        <v>0</v>
      </c>
      <c r="K23" s="147">
        <v>0</v>
      </c>
      <c r="L23" s="147">
        <v>0</v>
      </c>
      <c r="M23" s="147">
        <v>0</v>
      </c>
      <c r="N23" s="147">
        <v>0</v>
      </c>
      <c r="O23" s="147">
        <v>0</v>
      </c>
      <c r="P23" s="147">
        <v>0</v>
      </c>
      <c r="Q23" s="147">
        <v>0</v>
      </c>
      <c r="R23" s="147">
        <v>0</v>
      </c>
      <c r="S23" s="147">
        <v>0</v>
      </c>
      <c r="T23" s="147">
        <v>0</v>
      </c>
      <c r="U23" s="147">
        <v>0</v>
      </c>
      <c r="V23" s="147">
        <v>0</v>
      </c>
      <c r="W23" s="147">
        <v>0</v>
      </c>
      <c r="X23" s="147">
        <v>0</v>
      </c>
      <c r="Y23" s="147">
        <v>0</v>
      </c>
      <c r="Z23" s="147">
        <v>0</v>
      </c>
      <c r="AA23" s="147">
        <v>0</v>
      </c>
      <c r="AB23" s="147">
        <v>9.7718280020628323E-4</v>
      </c>
      <c r="AC23" s="147">
        <v>1.0452616864607255E-2</v>
      </c>
      <c r="AD23" s="147">
        <v>0</v>
      </c>
      <c r="AE23" s="147">
        <v>1.0040566713759621E-3</v>
      </c>
      <c r="AF23" s="147">
        <v>1.0028022418731785E-2</v>
      </c>
      <c r="AG23" s="147">
        <v>1.0000900004336389E-3</v>
      </c>
      <c r="AH23" s="147">
        <v>0</v>
      </c>
      <c r="AI23" s="147">
        <v>0</v>
      </c>
      <c r="AJ23" s="147">
        <v>2.489452777147488E-2</v>
      </c>
      <c r="AK23" s="147">
        <v>2.5380238852000893E-2</v>
      </c>
      <c r="AL23" s="147">
        <v>0</v>
      </c>
      <c r="AM23" s="147">
        <v>4.3081366798454783E-3</v>
      </c>
      <c r="AN23" s="147">
        <v>5.1268409045598469E-3</v>
      </c>
      <c r="AO23" s="147">
        <v>1.0182755181407451E-2</v>
      </c>
      <c r="AP23" s="147">
        <v>2.004533496329159E-2</v>
      </c>
      <c r="AQ23" s="147">
        <v>0</v>
      </c>
      <c r="AR23" s="147">
        <v>0</v>
      </c>
      <c r="AS23" s="147">
        <v>0</v>
      </c>
      <c r="AT23" s="147">
        <v>0</v>
      </c>
      <c r="AU23" s="147">
        <v>1.4253472086233506E-2</v>
      </c>
      <c r="AV23" s="147">
        <v>3.0676601216548202E-3</v>
      </c>
      <c r="AW23" s="147">
        <v>0</v>
      </c>
      <c r="AX23" s="147">
        <v>5.0568505923010215E-3</v>
      </c>
      <c r="AY23" s="147">
        <v>0</v>
      </c>
      <c r="AZ23" s="147">
        <v>0</v>
      </c>
      <c r="BA23" s="147">
        <v>4.0047295225794269E-2</v>
      </c>
      <c r="BB23" s="147">
        <v>4.1426893452450972E-2</v>
      </c>
      <c r="BC23" s="147">
        <v>2.6286508673936025E-2</v>
      </c>
      <c r="BD23" s="147">
        <v>5.1196963093538717E-2</v>
      </c>
      <c r="BE23" s="147">
        <v>1.5017557686750678E-2</v>
      </c>
      <c r="BF23" s="147">
        <v>1.5006373477247861E-2</v>
      </c>
      <c r="BG23" s="147">
        <v>4.6381783397953076E-2</v>
      </c>
      <c r="BH23" s="147">
        <v>0</v>
      </c>
      <c r="BI23" s="147">
        <v>0</v>
      </c>
    </row>
    <row r="24" spans="1:61" customFormat="1" x14ac:dyDescent="0.15">
      <c r="A24" s="182" t="s">
        <v>215</v>
      </c>
      <c r="B24" s="147">
        <v>0</v>
      </c>
      <c r="C24" s="147">
        <v>0</v>
      </c>
      <c r="D24" s="147">
        <v>0</v>
      </c>
      <c r="E24" s="147">
        <v>0</v>
      </c>
      <c r="F24" s="147">
        <v>0</v>
      </c>
      <c r="G24" s="147">
        <v>9.9558588509388911E-5</v>
      </c>
      <c r="H24" s="147">
        <v>0</v>
      </c>
      <c r="I24" s="147">
        <v>0</v>
      </c>
      <c r="J24" s="147">
        <v>0</v>
      </c>
      <c r="K24" s="147">
        <v>0</v>
      </c>
      <c r="L24" s="147">
        <v>0</v>
      </c>
      <c r="M24" s="147">
        <v>0</v>
      </c>
      <c r="N24" s="147">
        <v>0</v>
      </c>
      <c r="O24" s="147">
        <v>0</v>
      </c>
      <c r="P24" s="147">
        <v>0</v>
      </c>
      <c r="Q24" s="147">
        <v>0</v>
      </c>
      <c r="R24" s="147">
        <v>6.7288051058979348E-5</v>
      </c>
      <c r="S24" s="147">
        <v>0</v>
      </c>
      <c r="T24" s="147">
        <v>0</v>
      </c>
      <c r="U24" s="147">
        <v>0</v>
      </c>
      <c r="V24" s="147">
        <v>0</v>
      </c>
      <c r="W24" s="147">
        <v>2.0161347368951241E-2</v>
      </c>
      <c r="X24" s="147">
        <v>2.0009136339667164E-3</v>
      </c>
      <c r="Y24" s="147">
        <v>9.0043040179635849E-3</v>
      </c>
      <c r="Z24" s="147">
        <v>2.0018250089685764E-3</v>
      </c>
      <c r="AA24" s="147">
        <v>0</v>
      </c>
      <c r="AB24" s="147">
        <v>8.8315084618643305E-2</v>
      </c>
      <c r="AC24" s="147">
        <v>5.5034289287140853E-2</v>
      </c>
      <c r="AD24" s="147">
        <v>5.6798980811089458E-4</v>
      </c>
      <c r="AE24" s="147">
        <v>1.010439281448277E-2</v>
      </c>
      <c r="AF24" s="147">
        <v>4.3011375309254682E-2</v>
      </c>
      <c r="AG24" s="147">
        <v>8.1572850035369993E-4</v>
      </c>
      <c r="AH24" s="147">
        <v>1.506436955453605E-2</v>
      </c>
      <c r="AI24" s="147">
        <v>2.4032087509538742E-2</v>
      </c>
      <c r="AJ24" s="147">
        <v>5.7340304543298339E-2</v>
      </c>
      <c r="AK24" s="147">
        <v>0</v>
      </c>
      <c r="AL24" s="147">
        <v>0</v>
      </c>
      <c r="AM24" s="147">
        <v>5.8964620408489196E-3</v>
      </c>
      <c r="AN24" s="147">
        <v>5.6129404255107242E-3</v>
      </c>
      <c r="AO24" s="147">
        <v>1.8069287944457435E-3</v>
      </c>
      <c r="AP24" s="147">
        <v>2.0226022667467678E-2</v>
      </c>
      <c r="AQ24" s="147">
        <v>1.1063789074459299E-2</v>
      </c>
      <c r="AR24" s="147">
        <v>0</v>
      </c>
      <c r="AS24" s="147">
        <v>0</v>
      </c>
      <c r="AT24" s="147">
        <v>0.10441962817088407</v>
      </c>
      <c r="AU24" s="147">
        <v>0.10024990060651191</v>
      </c>
      <c r="AV24" s="147">
        <v>3.0923397914267802E-2</v>
      </c>
      <c r="AW24" s="147">
        <v>1.2813049639440782E-2</v>
      </c>
      <c r="AX24" s="147">
        <v>3.0709253492517605E-2</v>
      </c>
      <c r="AY24" s="147">
        <v>3.7216796748965046E-2</v>
      </c>
      <c r="AZ24" s="147">
        <v>5.5729702584848419E-2</v>
      </c>
      <c r="BA24" s="147">
        <v>5.3875859765640015E-2</v>
      </c>
      <c r="BB24" s="147">
        <v>6.3525550233774028E-2</v>
      </c>
      <c r="BC24" s="147">
        <v>4.5475963108906718E-2</v>
      </c>
      <c r="BD24" s="147">
        <v>0</v>
      </c>
      <c r="BE24" s="147">
        <v>6.0070229147002729E-3</v>
      </c>
      <c r="BF24" s="147">
        <v>0.11262121007875847</v>
      </c>
      <c r="BG24" s="147">
        <v>7.3815241110771757E-2</v>
      </c>
      <c r="BH24" s="147">
        <v>0</v>
      </c>
      <c r="BI24" s="147">
        <v>0</v>
      </c>
    </row>
    <row r="25" spans="1:61" customFormat="1" x14ac:dyDescent="0.15">
      <c r="A25" s="182" t="s">
        <v>216</v>
      </c>
      <c r="B25" s="147">
        <v>0</v>
      </c>
      <c r="C25" s="147">
        <v>0</v>
      </c>
      <c r="D25" s="147">
        <v>0</v>
      </c>
      <c r="E25" s="147">
        <v>0</v>
      </c>
      <c r="F25" s="147">
        <v>0</v>
      </c>
      <c r="G25" s="147">
        <v>0</v>
      </c>
      <c r="H25" s="147">
        <v>0</v>
      </c>
      <c r="I25" s="147">
        <v>0</v>
      </c>
      <c r="J25" s="147">
        <v>0</v>
      </c>
      <c r="K25" s="147">
        <v>0</v>
      </c>
      <c r="L25" s="147">
        <v>0</v>
      </c>
      <c r="M25" s="147">
        <v>0</v>
      </c>
      <c r="N25" s="147">
        <v>0</v>
      </c>
      <c r="O25" s="147">
        <v>0</v>
      </c>
      <c r="P25" s="147">
        <v>0</v>
      </c>
      <c r="Q25" s="147">
        <v>0</v>
      </c>
      <c r="R25" s="147">
        <v>0</v>
      </c>
      <c r="S25" s="147">
        <v>0</v>
      </c>
      <c r="T25" s="147">
        <v>0</v>
      </c>
      <c r="U25" s="147">
        <v>0</v>
      </c>
      <c r="V25" s="147">
        <v>0</v>
      </c>
      <c r="W25" s="147">
        <v>0</v>
      </c>
      <c r="X25" s="147">
        <v>2.5679641195852462E-2</v>
      </c>
      <c r="Y25" s="147">
        <v>0</v>
      </c>
      <c r="Z25" s="147">
        <v>0</v>
      </c>
      <c r="AA25" s="147">
        <v>0</v>
      </c>
      <c r="AB25" s="147">
        <v>5.6614050011951217E-2</v>
      </c>
      <c r="AC25" s="147">
        <v>6.8728975109753579E-2</v>
      </c>
      <c r="AD25" s="147">
        <v>0</v>
      </c>
      <c r="AE25" s="147">
        <v>1.0248720116117998E-2</v>
      </c>
      <c r="AF25" s="147">
        <v>1.6394455194110348E-2</v>
      </c>
      <c r="AG25" s="147">
        <v>1.7353080007524296E-5</v>
      </c>
      <c r="AH25" s="147">
        <v>4.8017168580098716E-3</v>
      </c>
      <c r="AI25" s="147">
        <v>2.1196212167414987E-2</v>
      </c>
      <c r="AJ25" s="147">
        <v>6.8539179095510371E-3</v>
      </c>
      <c r="AK25" s="147">
        <v>1.2139297977042158E-2</v>
      </c>
      <c r="AL25" s="147">
        <v>0</v>
      </c>
      <c r="AM25" s="147">
        <v>1.6705780115732632E-4</v>
      </c>
      <c r="AN25" s="147">
        <v>3.6774407415415648E-3</v>
      </c>
      <c r="AO25" s="147">
        <v>1.0711430085634018E-3</v>
      </c>
      <c r="AP25" s="147">
        <v>6.1461081420500184E-3</v>
      </c>
      <c r="AQ25" s="147">
        <v>6.638269454675552E-3</v>
      </c>
      <c r="AR25" s="147">
        <v>0</v>
      </c>
      <c r="AS25" s="147">
        <v>0</v>
      </c>
      <c r="AT25" s="147">
        <v>3.1483178654535286E-3</v>
      </c>
      <c r="AU25" s="147">
        <v>5.9542358260231271E-2</v>
      </c>
      <c r="AV25" s="147">
        <v>1.696498674324352E-2</v>
      </c>
      <c r="AW25" s="147">
        <v>0</v>
      </c>
      <c r="AX25" s="147">
        <v>1.6833661041082183E-2</v>
      </c>
      <c r="AY25" s="147">
        <v>7.0410141279123352E-3</v>
      </c>
      <c r="AZ25" s="147">
        <v>8.0538390700684012E-2</v>
      </c>
      <c r="BA25" s="147">
        <v>4.0144271925372427E-2</v>
      </c>
      <c r="BB25" s="147">
        <v>9.159968033708682E-2</v>
      </c>
      <c r="BC25" s="147">
        <v>3.615314478908295E-2</v>
      </c>
      <c r="BD25" s="147">
        <v>7.9506025466438063E-2</v>
      </c>
      <c r="BE25" s="147">
        <v>1.5017557686750678E-2</v>
      </c>
      <c r="BF25" s="147">
        <v>7.1385779416064304E-2</v>
      </c>
      <c r="BG25" s="147">
        <v>4.634886069745766E-2</v>
      </c>
      <c r="BH25" s="147">
        <v>0</v>
      </c>
      <c r="BI25" s="147">
        <v>0</v>
      </c>
    </row>
    <row r="26" spans="1:61" customFormat="1" x14ac:dyDescent="0.15">
      <c r="A26" s="182" t="s">
        <v>217</v>
      </c>
      <c r="B26" s="147">
        <v>0</v>
      </c>
      <c r="C26" s="147">
        <v>0</v>
      </c>
      <c r="D26" s="147">
        <v>0</v>
      </c>
      <c r="E26" s="147">
        <v>0</v>
      </c>
      <c r="F26" s="147">
        <v>0</v>
      </c>
      <c r="G26" s="147">
        <v>0</v>
      </c>
      <c r="H26" s="147">
        <v>0</v>
      </c>
      <c r="I26" s="147">
        <v>0</v>
      </c>
      <c r="J26" s="147">
        <v>0</v>
      </c>
      <c r="K26" s="147">
        <v>0</v>
      </c>
      <c r="L26" s="147">
        <v>0</v>
      </c>
      <c r="M26" s="147">
        <v>0</v>
      </c>
      <c r="N26" s="147">
        <v>0</v>
      </c>
      <c r="O26" s="147">
        <v>0</v>
      </c>
      <c r="P26" s="147">
        <v>0</v>
      </c>
      <c r="Q26" s="147">
        <v>5.263841897355084E-5</v>
      </c>
      <c r="R26" s="147">
        <v>5.030243739165976E-3</v>
      </c>
      <c r="S26" s="147">
        <v>0</v>
      </c>
      <c r="T26" s="147">
        <v>0</v>
      </c>
      <c r="U26" s="147">
        <v>0</v>
      </c>
      <c r="V26" s="147">
        <v>0</v>
      </c>
      <c r="W26" s="147">
        <v>9.0794979409832624E-3</v>
      </c>
      <c r="X26" s="147">
        <v>0</v>
      </c>
      <c r="Y26" s="147">
        <v>0</v>
      </c>
      <c r="Z26" s="147">
        <v>5.0046405724217904E-4</v>
      </c>
      <c r="AA26" s="147">
        <v>5.1338379626153915E-3</v>
      </c>
      <c r="AB26" s="147">
        <v>5.3326757611257269E-3</v>
      </c>
      <c r="AC26" s="147">
        <v>1.5890143594174969E-2</v>
      </c>
      <c r="AD26" s="147">
        <v>5.0392617219606577E-3</v>
      </c>
      <c r="AE26" s="147">
        <v>1.2104453237143454E-3</v>
      </c>
      <c r="AF26" s="147">
        <v>8.702019103031906E-3</v>
      </c>
      <c r="AG26" s="147">
        <v>0</v>
      </c>
      <c r="AH26" s="147">
        <v>3.8257717468692517E-3</v>
      </c>
      <c r="AI26" s="147">
        <v>0</v>
      </c>
      <c r="AJ26" s="147">
        <v>1.5142659800167161E-2</v>
      </c>
      <c r="AK26" s="147">
        <v>1.04109020803109E-2</v>
      </c>
      <c r="AL26" s="147">
        <v>1.0706185222577099E-2</v>
      </c>
      <c r="AM26" s="147">
        <v>1.5417558206808216E-2</v>
      </c>
      <c r="AN26" s="147">
        <v>1.1219306591143834E-2</v>
      </c>
      <c r="AO26" s="147">
        <v>1.0145671781110982E-2</v>
      </c>
      <c r="AP26" s="147">
        <v>1.0166332334966204E-2</v>
      </c>
      <c r="AQ26" s="147">
        <v>3.1020974508771154E-3</v>
      </c>
      <c r="AR26" s="147">
        <v>1.0101619231517053E-2</v>
      </c>
      <c r="AS26" s="147">
        <v>2.0442971745076144E-2</v>
      </c>
      <c r="AT26" s="147">
        <v>4.20195478735864E-3</v>
      </c>
      <c r="AU26" s="147">
        <v>1.7443696105534364E-2</v>
      </c>
      <c r="AV26" s="147">
        <v>5.1540159523768918E-4</v>
      </c>
      <c r="AW26" s="147">
        <v>0</v>
      </c>
      <c r="AX26" s="147">
        <v>6.1854749783508359E-3</v>
      </c>
      <c r="AY26" s="147">
        <v>1.0030456597585388E-2</v>
      </c>
      <c r="AZ26" s="147">
        <v>3.9606925444580263E-2</v>
      </c>
      <c r="BA26" s="147">
        <v>3.5372199846130936E-2</v>
      </c>
      <c r="BB26" s="147">
        <v>1.2145212944694384E-2</v>
      </c>
      <c r="BC26" s="147">
        <v>1.2391946193429261E-2</v>
      </c>
      <c r="BD26" s="147">
        <v>1.3304504728255423E-2</v>
      </c>
      <c r="BE26" s="147">
        <v>1.0011704757833791E-3</v>
      </c>
      <c r="BF26" s="147">
        <v>4.6631009618558331E-2</v>
      </c>
      <c r="BG26" s="147">
        <v>2.2170963133628655E-2</v>
      </c>
      <c r="BH26" s="147">
        <v>0</v>
      </c>
      <c r="BI26" s="147">
        <v>0</v>
      </c>
    </row>
    <row r="27" spans="1:61" customFormat="1" x14ac:dyDescent="0.15">
      <c r="A27" s="182" t="s">
        <v>218</v>
      </c>
      <c r="B27" s="147">
        <v>0</v>
      </c>
      <c r="C27" s="147">
        <v>0</v>
      </c>
      <c r="D27" s="147">
        <v>0</v>
      </c>
      <c r="E27" s="147">
        <v>0</v>
      </c>
      <c r="F27" s="147">
        <v>0</v>
      </c>
      <c r="G27" s="147">
        <v>0</v>
      </c>
      <c r="H27" s="147">
        <v>0</v>
      </c>
      <c r="I27" s="147">
        <v>0</v>
      </c>
      <c r="J27" s="147">
        <v>0</v>
      </c>
      <c r="K27" s="147">
        <v>0</v>
      </c>
      <c r="L27" s="147">
        <v>0</v>
      </c>
      <c r="M27" s="147">
        <v>0</v>
      </c>
      <c r="N27" s="147">
        <v>0</v>
      </c>
      <c r="O27" s="147">
        <v>0</v>
      </c>
      <c r="P27" s="147">
        <v>0</v>
      </c>
      <c r="Q27" s="147">
        <v>0</v>
      </c>
      <c r="R27" s="147">
        <v>0</v>
      </c>
      <c r="S27" s="147">
        <v>0</v>
      </c>
      <c r="T27" s="147">
        <v>0</v>
      </c>
      <c r="U27" s="147">
        <v>0</v>
      </c>
      <c r="V27" s="147">
        <v>0</v>
      </c>
      <c r="W27" s="147">
        <v>0</v>
      </c>
      <c r="X27" s="147">
        <v>0</v>
      </c>
      <c r="Y27" s="147">
        <v>0</v>
      </c>
      <c r="Z27" s="147">
        <v>0</v>
      </c>
      <c r="AA27" s="147">
        <v>0</v>
      </c>
      <c r="AB27" s="147">
        <v>5.1197670010807821E-3</v>
      </c>
      <c r="AC27" s="147">
        <v>1.0788066160262179E-2</v>
      </c>
      <c r="AD27" s="147">
        <v>0</v>
      </c>
      <c r="AE27" s="147">
        <v>1.0040349013757154E-3</v>
      </c>
      <c r="AF27" s="147">
        <v>1.0021765618657705E-3</v>
      </c>
      <c r="AG27" s="147">
        <v>0</v>
      </c>
      <c r="AH27" s="147">
        <v>0</v>
      </c>
      <c r="AI27" s="147">
        <v>2.0615526979265959E-2</v>
      </c>
      <c r="AJ27" s="147">
        <v>2.9854723406016765E-4</v>
      </c>
      <c r="AK27" s="147">
        <v>2.3265643856000011E-5</v>
      </c>
      <c r="AL27" s="147">
        <v>0</v>
      </c>
      <c r="AM27" s="147">
        <v>0</v>
      </c>
      <c r="AN27" s="147">
        <v>1.0219215209761318E-2</v>
      </c>
      <c r="AO27" s="147">
        <v>0</v>
      </c>
      <c r="AP27" s="147">
        <v>0</v>
      </c>
      <c r="AQ27" s="147">
        <v>0</v>
      </c>
      <c r="AR27" s="147">
        <v>0</v>
      </c>
      <c r="AS27" s="147">
        <v>0</v>
      </c>
      <c r="AT27" s="147">
        <v>0</v>
      </c>
      <c r="AU27" s="147">
        <v>1.0171690061538726E-3</v>
      </c>
      <c r="AV27" s="147">
        <v>0</v>
      </c>
      <c r="AW27" s="147">
        <v>0</v>
      </c>
      <c r="AX27" s="147">
        <v>1.1963923458126265E-3</v>
      </c>
      <c r="AY27" s="147">
        <v>1.0058592097017612E-3</v>
      </c>
      <c r="AZ27" s="147">
        <v>0</v>
      </c>
      <c r="BA27" s="147">
        <v>0</v>
      </c>
      <c r="BB27" s="147">
        <v>1.2427847845734479E-3</v>
      </c>
      <c r="BC27" s="147">
        <v>0</v>
      </c>
      <c r="BD27" s="147">
        <v>0</v>
      </c>
      <c r="BE27" s="147">
        <v>0</v>
      </c>
      <c r="BF27" s="147">
        <v>0</v>
      </c>
      <c r="BG27" s="147">
        <v>0</v>
      </c>
      <c r="BH27" s="147">
        <v>0</v>
      </c>
      <c r="BI27" s="147">
        <v>0</v>
      </c>
    </row>
    <row r="28" spans="1:61" customFormat="1" x14ac:dyDescent="0.15">
      <c r="A28" s="182" t="s">
        <v>219</v>
      </c>
      <c r="B28" s="147">
        <v>0</v>
      </c>
      <c r="C28" s="147">
        <v>0</v>
      </c>
      <c r="D28" s="147">
        <v>0</v>
      </c>
      <c r="E28" s="147">
        <v>0</v>
      </c>
      <c r="F28" s="147">
        <v>0</v>
      </c>
      <c r="G28" s="147">
        <v>0</v>
      </c>
      <c r="H28" s="147">
        <v>0</v>
      </c>
      <c r="I28" s="147">
        <v>0</v>
      </c>
      <c r="J28" s="147">
        <v>0</v>
      </c>
      <c r="K28" s="147">
        <v>0</v>
      </c>
      <c r="L28" s="147">
        <v>0</v>
      </c>
      <c r="M28" s="147">
        <v>0</v>
      </c>
      <c r="N28" s="147">
        <v>0</v>
      </c>
      <c r="O28" s="147">
        <v>0</v>
      </c>
      <c r="P28" s="147">
        <v>0</v>
      </c>
      <c r="Q28" s="147">
        <v>0</v>
      </c>
      <c r="R28" s="147">
        <v>0</v>
      </c>
      <c r="S28" s="147">
        <v>0</v>
      </c>
      <c r="T28" s="147">
        <v>0</v>
      </c>
      <c r="U28" s="147">
        <v>0</v>
      </c>
      <c r="V28" s="147">
        <v>0</v>
      </c>
      <c r="W28" s="147">
        <v>0</v>
      </c>
      <c r="X28" s="147">
        <v>0</v>
      </c>
      <c r="Y28" s="147">
        <v>0</v>
      </c>
      <c r="Z28" s="147">
        <v>0</v>
      </c>
      <c r="AA28" s="147">
        <v>0</v>
      </c>
      <c r="AB28" s="147">
        <v>0</v>
      </c>
      <c r="AC28" s="147">
        <v>1.2760132434718005E-2</v>
      </c>
      <c r="AD28" s="147">
        <v>0</v>
      </c>
      <c r="AE28" s="147">
        <v>0</v>
      </c>
      <c r="AF28" s="147">
        <v>1.1759487839232336E-3</v>
      </c>
      <c r="AG28" s="147">
        <v>0</v>
      </c>
      <c r="AH28" s="147">
        <v>0</v>
      </c>
      <c r="AI28" s="147">
        <v>0</v>
      </c>
      <c r="AJ28" s="147">
        <v>0</v>
      </c>
      <c r="AK28" s="147">
        <v>2.58506769511112E-6</v>
      </c>
      <c r="AL28" s="147">
        <v>0</v>
      </c>
      <c r="AM28" s="147">
        <v>0</v>
      </c>
      <c r="AN28" s="147">
        <v>3.7236804406807766E-3</v>
      </c>
      <c r="AO28" s="147">
        <v>0</v>
      </c>
      <c r="AP28" s="147">
        <v>0</v>
      </c>
      <c r="AQ28" s="147">
        <v>0</v>
      </c>
      <c r="AR28" s="147">
        <v>0</v>
      </c>
      <c r="AS28" s="147">
        <v>0</v>
      </c>
      <c r="AT28" s="147">
        <v>0</v>
      </c>
      <c r="AU28" s="147">
        <v>0</v>
      </c>
      <c r="AV28" s="147">
        <v>0</v>
      </c>
      <c r="AW28" s="147">
        <v>0</v>
      </c>
      <c r="AX28" s="147">
        <v>0</v>
      </c>
      <c r="AY28" s="147">
        <v>0</v>
      </c>
      <c r="AZ28" s="147">
        <v>0</v>
      </c>
      <c r="BA28" s="147">
        <v>0</v>
      </c>
      <c r="BB28" s="147">
        <v>1.2427847845734479E-3</v>
      </c>
      <c r="BC28" s="147">
        <v>0</v>
      </c>
      <c r="BD28" s="147">
        <v>0</v>
      </c>
      <c r="BE28" s="147">
        <v>0</v>
      </c>
      <c r="BF28" s="147">
        <v>0</v>
      </c>
      <c r="BG28" s="147">
        <v>0</v>
      </c>
      <c r="BH28" s="147">
        <v>0</v>
      </c>
      <c r="BI28" s="147">
        <v>0</v>
      </c>
    </row>
    <row r="29" spans="1:61" customFormat="1" x14ac:dyDescent="0.15">
      <c r="A29" s="182" t="s">
        <v>220</v>
      </c>
      <c r="B29" s="147">
        <v>0</v>
      </c>
      <c r="C29" s="147">
        <v>0</v>
      </c>
      <c r="D29" s="147">
        <v>0</v>
      </c>
      <c r="E29" s="147">
        <v>0</v>
      </c>
      <c r="F29" s="147">
        <v>0</v>
      </c>
      <c r="G29" s="147">
        <v>0</v>
      </c>
      <c r="H29" s="147">
        <v>0</v>
      </c>
      <c r="I29" s="147">
        <v>0</v>
      </c>
      <c r="J29" s="147">
        <v>0</v>
      </c>
      <c r="K29" s="147">
        <v>0</v>
      </c>
      <c r="L29" s="147">
        <v>0</v>
      </c>
      <c r="M29" s="147">
        <v>0</v>
      </c>
      <c r="N29" s="147">
        <v>0</v>
      </c>
      <c r="O29" s="147">
        <v>0</v>
      </c>
      <c r="P29" s="147">
        <v>0</v>
      </c>
      <c r="Q29" s="147">
        <v>0</v>
      </c>
      <c r="R29" s="147">
        <v>0</v>
      </c>
      <c r="S29" s="147">
        <v>0</v>
      </c>
      <c r="T29" s="147">
        <v>0</v>
      </c>
      <c r="U29" s="147">
        <v>0</v>
      </c>
      <c r="V29" s="147">
        <v>0</v>
      </c>
      <c r="W29" s="147">
        <v>0</v>
      </c>
      <c r="X29" s="147">
        <v>0</v>
      </c>
      <c r="Y29" s="147">
        <v>0</v>
      </c>
      <c r="Z29" s="147">
        <v>0</v>
      </c>
      <c r="AA29" s="147">
        <v>0</v>
      </c>
      <c r="AB29" s="147">
        <v>0</v>
      </c>
      <c r="AC29" s="147">
        <v>0</v>
      </c>
      <c r="AD29" s="147">
        <v>0</v>
      </c>
      <c r="AE29" s="147">
        <v>0</v>
      </c>
      <c r="AF29" s="147">
        <v>0</v>
      </c>
      <c r="AG29" s="147">
        <v>0</v>
      </c>
      <c r="AH29" s="147">
        <v>0</v>
      </c>
      <c r="AI29" s="147">
        <v>0</v>
      </c>
      <c r="AJ29" s="147">
        <v>0</v>
      </c>
      <c r="AK29" s="147">
        <v>0</v>
      </c>
      <c r="AL29" s="147">
        <v>0</v>
      </c>
      <c r="AM29" s="147">
        <v>0</v>
      </c>
      <c r="AN29" s="147">
        <v>3.2379832697224093E-4</v>
      </c>
      <c r="AO29" s="147">
        <v>0</v>
      </c>
      <c r="AP29" s="147">
        <v>0</v>
      </c>
      <c r="AQ29" s="147">
        <v>0</v>
      </c>
      <c r="AR29" s="147">
        <v>0</v>
      </c>
      <c r="AS29" s="147">
        <v>0</v>
      </c>
      <c r="AT29" s="147">
        <v>0</v>
      </c>
      <c r="AU29" s="147">
        <v>0</v>
      </c>
      <c r="AV29" s="147">
        <v>0</v>
      </c>
      <c r="AW29" s="147">
        <v>0</v>
      </c>
      <c r="AX29" s="147">
        <v>0</v>
      </c>
      <c r="AY29" s="147">
        <v>0</v>
      </c>
      <c r="AZ29" s="147">
        <v>0</v>
      </c>
      <c r="BA29" s="147">
        <v>0</v>
      </c>
      <c r="BB29" s="147">
        <v>1.2427847845734479E-3</v>
      </c>
      <c r="BC29" s="147">
        <v>0</v>
      </c>
      <c r="BD29" s="147">
        <v>0</v>
      </c>
      <c r="BE29" s="147">
        <v>0</v>
      </c>
      <c r="BF29" s="147">
        <v>0</v>
      </c>
      <c r="BG29" s="147">
        <v>0</v>
      </c>
      <c r="BH29" s="147">
        <v>0</v>
      </c>
      <c r="BI29" s="147">
        <v>0</v>
      </c>
    </row>
    <row r="30" spans="1:61" customFormat="1" x14ac:dyDescent="0.15">
      <c r="A30" s="182" t="s">
        <v>221</v>
      </c>
      <c r="B30" s="147">
        <v>0</v>
      </c>
      <c r="C30" s="147">
        <v>0</v>
      </c>
      <c r="D30" s="147">
        <v>0</v>
      </c>
      <c r="E30" s="147">
        <v>0</v>
      </c>
      <c r="F30" s="147">
        <v>0</v>
      </c>
      <c r="G30" s="147">
        <v>0</v>
      </c>
      <c r="H30" s="147">
        <v>0</v>
      </c>
      <c r="I30" s="147">
        <v>0</v>
      </c>
      <c r="J30" s="147">
        <v>0</v>
      </c>
      <c r="K30" s="147">
        <v>0</v>
      </c>
      <c r="L30" s="147">
        <v>0</v>
      </c>
      <c r="M30" s="147">
        <v>0</v>
      </c>
      <c r="N30" s="147">
        <v>0</v>
      </c>
      <c r="O30" s="147">
        <v>0</v>
      </c>
      <c r="P30" s="147">
        <v>0</v>
      </c>
      <c r="Q30" s="147">
        <v>0</v>
      </c>
      <c r="R30" s="147">
        <v>0</v>
      </c>
      <c r="S30" s="147">
        <v>0</v>
      </c>
      <c r="T30" s="147">
        <v>0</v>
      </c>
      <c r="U30" s="147">
        <v>0</v>
      </c>
      <c r="V30" s="147">
        <v>0</v>
      </c>
      <c r="W30" s="147">
        <v>0</v>
      </c>
      <c r="X30" s="147">
        <v>0</v>
      </c>
      <c r="Y30" s="147">
        <v>0</v>
      </c>
      <c r="Z30" s="147">
        <v>0</v>
      </c>
      <c r="AA30" s="147">
        <v>9.7204349292157911E-4</v>
      </c>
      <c r="AB30" s="147">
        <v>1.1339040002393672E-3</v>
      </c>
      <c r="AC30" s="147">
        <v>0</v>
      </c>
      <c r="AD30" s="147">
        <v>0</v>
      </c>
      <c r="AE30" s="147">
        <v>1.0258354116227152E-3</v>
      </c>
      <c r="AF30" s="147">
        <v>2.3518975678464673E-3</v>
      </c>
      <c r="AG30" s="147">
        <v>0</v>
      </c>
      <c r="AH30" s="147">
        <v>0</v>
      </c>
      <c r="AI30" s="147">
        <v>0</v>
      </c>
      <c r="AJ30" s="147">
        <v>5.0764979330070797E-3</v>
      </c>
      <c r="AK30" s="147">
        <v>2.2921403856651038E-3</v>
      </c>
      <c r="AL30" s="147">
        <v>0</v>
      </c>
      <c r="AM30" s="147">
        <v>0</v>
      </c>
      <c r="AN30" s="147">
        <v>0</v>
      </c>
      <c r="AO30" s="147">
        <v>0</v>
      </c>
      <c r="AP30" s="147">
        <v>0</v>
      </c>
      <c r="AQ30" s="147">
        <v>0</v>
      </c>
      <c r="AR30" s="147">
        <v>0</v>
      </c>
      <c r="AS30" s="147">
        <v>0</v>
      </c>
      <c r="AT30" s="147">
        <v>0</v>
      </c>
      <c r="AU30" s="147">
        <v>0</v>
      </c>
      <c r="AV30" s="147">
        <v>0</v>
      </c>
      <c r="AW30" s="147">
        <v>0</v>
      </c>
      <c r="AX30" s="147">
        <v>0</v>
      </c>
      <c r="AY30" s="147">
        <v>0</v>
      </c>
      <c r="AZ30" s="147">
        <v>0</v>
      </c>
      <c r="BA30" s="147">
        <v>0</v>
      </c>
      <c r="BB30" s="147">
        <v>9.9026660364418106E-3</v>
      </c>
      <c r="BC30" s="147">
        <v>0</v>
      </c>
      <c r="BD30" s="147">
        <v>0</v>
      </c>
      <c r="BE30" s="147">
        <v>0</v>
      </c>
      <c r="BF30" s="147">
        <v>0</v>
      </c>
      <c r="BG30" s="147">
        <v>0</v>
      </c>
      <c r="BH30" s="147">
        <v>0</v>
      </c>
      <c r="BI30" s="147">
        <v>0</v>
      </c>
    </row>
    <row r="31" spans="1:61" customFormat="1" x14ac:dyDescent="0.15">
      <c r="A31" s="182" t="s">
        <v>222</v>
      </c>
      <c r="B31" s="147">
        <v>0</v>
      </c>
      <c r="C31" s="147">
        <v>0</v>
      </c>
      <c r="D31" s="147">
        <v>0</v>
      </c>
      <c r="E31" s="147">
        <v>0</v>
      </c>
      <c r="F31" s="147">
        <v>0</v>
      </c>
      <c r="G31" s="147">
        <v>0</v>
      </c>
      <c r="H31" s="147">
        <v>0</v>
      </c>
      <c r="I31" s="147">
        <v>0</v>
      </c>
      <c r="J31" s="147">
        <v>0</v>
      </c>
      <c r="K31" s="147">
        <v>0</v>
      </c>
      <c r="L31" s="147">
        <v>0</v>
      </c>
      <c r="M31" s="147">
        <v>0</v>
      </c>
      <c r="N31" s="147">
        <v>0</v>
      </c>
      <c r="O31" s="147">
        <v>0</v>
      </c>
      <c r="P31" s="147">
        <v>0</v>
      </c>
      <c r="Q31" s="147">
        <v>0</v>
      </c>
      <c r="R31" s="147">
        <v>0</v>
      </c>
      <c r="S31" s="147">
        <v>0</v>
      </c>
      <c r="T31" s="147">
        <v>0</v>
      </c>
      <c r="U31" s="147">
        <v>0</v>
      </c>
      <c r="V31" s="147">
        <v>0</v>
      </c>
      <c r="W31" s="147">
        <v>0</v>
      </c>
      <c r="X31" s="147">
        <v>0</v>
      </c>
      <c r="Y31" s="147">
        <v>0</v>
      </c>
      <c r="Z31" s="147">
        <v>0</v>
      </c>
      <c r="AA31" s="147">
        <v>0</v>
      </c>
      <c r="AB31" s="147">
        <v>0</v>
      </c>
      <c r="AC31" s="147">
        <v>0</v>
      </c>
      <c r="AD31" s="147">
        <v>0</v>
      </c>
      <c r="AE31" s="147">
        <v>0</v>
      </c>
      <c r="AF31" s="147">
        <v>1.1759487839232336E-3</v>
      </c>
      <c r="AG31" s="147">
        <v>0</v>
      </c>
      <c r="AH31" s="147">
        <v>0</v>
      </c>
      <c r="AI31" s="147">
        <v>0</v>
      </c>
      <c r="AJ31" s="147">
        <v>0</v>
      </c>
      <c r="AK31" s="147">
        <v>2.6822951549272428E-4</v>
      </c>
      <c r="AL31" s="147">
        <v>0</v>
      </c>
      <c r="AM31" s="147">
        <v>0</v>
      </c>
      <c r="AN31" s="147">
        <v>0</v>
      </c>
      <c r="AO31" s="147">
        <v>0</v>
      </c>
      <c r="AP31" s="147">
        <v>0</v>
      </c>
      <c r="AQ31" s="147">
        <v>0</v>
      </c>
      <c r="AR31" s="147">
        <v>0</v>
      </c>
      <c r="AS31" s="147">
        <v>0</v>
      </c>
      <c r="AT31" s="147">
        <v>0</v>
      </c>
      <c r="AU31" s="147">
        <v>0</v>
      </c>
      <c r="AV31" s="147">
        <v>0</v>
      </c>
      <c r="AW31" s="147">
        <v>0</v>
      </c>
      <c r="AX31" s="147">
        <v>0</v>
      </c>
      <c r="AY31" s="147">
        <v>0</v>
      </c>
      <c r="AZ31" s="147">
        <v>0</v>
      </c>
      <c r="BA31" s="147">
        <v>0</v>
      </c>
      <c r="BB31" s="147">
        <v>9.9026660364418106E-3</v>
      </c>
      <c r="BC31" s="147">
        <v>0</v>
      </c>
      <c r="BD31" s="147">
        <v>0</v>
      </c>
      <c r="BE31" s="147">
        <v>0</v>
      </c>
      <c r="BF31" s="147">
        <v>0</v>
      </c>
      <c r="BG31" s="147">
        <v>0</v>
      </c>
      <c r="BH31" s="147">
        <v>0</v>
      </c>
      <c r="BI31" s="147">
        <v>0</v>
      </c>
    </row>
    <row r="32" spans="1:61" customFormat="1" x14ac:dyDescent="0.15">
      <c r="A32" s="182" t="s">
        <v>223</v>
      </c>
      <c r="B32" s="147">
        <v>0</v>
      </c>
      <c r="C32" s="147">
        <v>0</v>
      </c>
      <c r="D32" s="147">
        <v>0</v>
      </c>
      <c r="E32" s="147">
        <v>0</v>
      </c>
      <c r="F32" s="147">
        <v>0</v>
      </c>
      <c r="G32" s="147">
        <v>0</v>
      </c>
      <c r="H32" s="147">
        <v>0</v>
      </c>
      <c r="I32" s="147">
        <v>0</v>
      </c>
      <c r="J32" s="147">
        <v>0</v>
      </c>
      <c r="K32" s="147">
        <v>0</v>
      </c>
      <c r="L32" s="147">
        <v>0</v>
      </c>
      <c r="M32" s="147">
        <v>0</v>
      </c>
      <c r="N32" s="147">
        <v>0</v>
      </c>
      <c r="O32" s="147">
        <v>0</v>
      </c>
      <c r="P32" s="147">
        <v>0</v>
      </c>
      <c r="Q32" s="147">
        <v>0</v>
      </c>
      <c r="R32" s="147">
        <v>0</v>
      </c>
      <c r="S32" s="147">
        <v>0</v>
      </c>
      <c r="T32" s="147">
        <v>0</v>
      </c>
      <c r="U32" s="147">
        <v>0</v>
      </c>
      <c r="V32" s="147">
        <v>0</v>
      </c>
      <c r="W32" s="147">
        <v>0</v>
      </c>
      <c r="X32" s="147">
        <v>0</v>
      </c>
      <c r="Y32" s="147">
        <v>0</v>
      </c>
      <c r="Z32" s="147">
        <v>0</v>
      </c>
      <c r="AA32" s="147">
        <v>0</v>
      </c>
      <c r="AB32" s="147">
        <v>0</v>
      </c>
      <c r="AC32" s="147">
        <v>0</v>
      </c>
      <c r="AD32" s="147">
        <v>0</v>
      </c>
      <c r="AE32" s="147">
        <v>0</v>
      </c>
      <c r="AF32" s="147">
        <v>0</v>
      </c>
      <c r="AG32" s="147">
        <v>0</v>
      </c>
      <c r="AH32" s="147">
        <v>0</v>
      </c>
      <c r="AI32" s="147">
        <v>0</v>
      </c>
      <c r="AJ32" s="147">
        <v>0</v>
      </c>
      <c r="AK32" s="147">
        <v>0</v>
      </c>
      <c r="AL32" s="147">
        <v>0</v>
      </c>
      <c r="AM32" s="147">
        <v>0</v>
      </c>
      <c r="AN32" s="147">
        <v>0</v>
      </c>
      <c r="AO32" s="147">
        <v>0</v>
      </c>
      <c r="AP32" s="147">
        <v>0</v>
      </c>
      <c r="AQ32" s="147">
        <v>0</v>
      </c>
      <c r="AR32" s="147">
        <v>0</v>
      </c>
      <c r="AS32" s="147">
        <v>0</v>
      </c>
      <c r="AT32" s="147">
        <v>0</v>
      </c>
      <c r="AU32" s="147">
        <v>0</v>
      </c>
      <c r="AV32" s="147">
        <v>0</v>
      </c>
      <c r="AW32" s="147">
        <v>0</v>
      </c>
      <c r="AX32" s="147">
        <v>0</v>
      </c>
      <c r="AY32" s="147">
        <v>0</v>
      </c>
      <c r="AZ32" s="147">
        <v>0</v>
      </c>
      <c r="BA32" s="147">
        <v>0</v>
      </c>
      <c r="BB32" s="147">
        <v>9.9026660364418106E-3</v>
      </c>
      <c r="BC32" s="147">
        <v>0</v>
      </c>
      <c r="BD32" s="147">
        <v>0</v>
      </c>
      <c r="BE32" s="147">
        <v>0</v>
      </c>
      <c r="BF32" s="147">
        <v>0</v>
      </c>
      <c r="BG32" s="147">
        <v>0</v>
      </c>
      <c r="BH32" s="147">
        <v>0</v>
      </c>
      <c r="BI32" s="147">
        <v>0</v>
      </c>
    </row>
    <row r="33" spans="1:61" customFormat="1" x14ac:dyDescent="0.15">
      <c r="A33" s="182" t="s">
        <v>224</v>
      </c>
      <c r="B33" s="147">
        <v>0</v>
      </c>
      <c r="C33" s="147">
        <v>0</v>
      </c>
      <c r="D33" s="147">
        <v>0</v>
      </c>
      <c r="E33" s="147">
        <v>0</v>
      </c>
      <c r="F33" s="147">
        <v>0</v>
      </c>
      <c r="G33" s="147">
        <v>0</v>
      </c>
      <c r="H33" s="147">
        <v>0</v>
      </c>
      <c r="I33" s="147">
        <v>0</v>
      </c>
      <c r="J33" s="147">
        <v>0</v>
      </c>
      <c r="K33" s="147">
        <v>0</v>
      </c>
      <c r="L33" s="147">
        <v>0</v>
      </c>
      <c r="M33" s="147">
        <v>0</v>
      </c>
      <c r="N33" s="147">
        <v>0</v>
      </c>
      <c r="O33" s="147">
        <v>0</v>
      </c>
      <c r="P33" s="147">
        <v>0</v>
      </c>
      <c r="Q33" s="147">
        <v>0</v>
      </c>
      <c r="R33" s="147">
        <v>0</v>
      </c>
      <c r="S33" s="147">
        <v>0</v>
      </c>
      <c r="T33" s="147">
        <v>0</v>
      </c>
      <c r="U33" s="147">
        <v>0</v>
      </c>
      <c r="V33" s="147">
        <v>0</v>
      </c>
      <c r="W33" s="147">
        <v>0</v>
      </c>
      <c r="X33" s="147">
        <v>0</v>
      </c>
      <c r="Y33" s="147">
        <v>0</v>
      </c>
      <c r="Z33" s="147">
        <v>0</v>
      </c>
      <c r="AA33" s="147">
        <v>1.5203176889290465E-2</v>
      </c>
      <c r="AB33" s="147">
        <v>5.0575602810676501E-3</v>
      </c>
      <c r="AC33" s="147">
        <v>4.369117323406823E-4</v>
      </c>
      <c r="AD33" s="147">
        <v>1.1359800162217947E-3</v>
      </c>
      <c r="AE33" s="147">
        <v>4.1033416564908607E-3</v>
      </c>
      <c r="AF33" s="147">
        <v>0</v>
      </c>
      <c r="AG33" s="147">
        <v>7.075188003067801E-5</v>
      </c>
      <c r="AH33" s="147">
        <v>5.7310078305300872E-3</v>
      </c>
      <c r="AI33" s="147">
        <v>1.091672737720488E-2</v>
      </c>
      <c r="AJ33" s="147">
        <v>4.7098459378456696E-4</v>
      </c>
      <c r="AK33" s="147">
        <v>6.7216149872880804E-4</v>
      </c>
      <c r="AL33" s="147">
        <v>0</v>
      </c>
      <c r="AM33" s="147">
        <v>0</v>
      </c>
      <c r="AN33" s="147">
        <v>0</v>
      </c>
      <c r="AO33" s="147">
        <v>0</v>
      </c>
      <c r="AP33" s="147">
        <v>0</v>
      </c>
      <c r="AQ33" s="147">
        <v>0</v>
      </c>
      <c r="AR33" s="147">
        <v>0</v>
      </c>
      <c r="AS33" s="147">
        <v>0</v>
      </c>
      <c r="AT33" s="147">
        <v>2.098878193635678E-3</v>
      </c>
      <c r="AU33" s="147">
        <v>2.142416012961617E-2</v>
      </c>
      <c r="AV33" s="147">
        <v>2.609999355883606E-3</v>
      </c>
      <c r="AW33" s="147">
        <v>0</v>
      </c>
      <c r="AX33" s="147">
        <v>4.8096175131663371E-3</v>
      </c>
      <c r="AY33" s="147">
        <v>4.0234369188070435E-3</v>
      </c>
      <c r="AZ33" s="147">
        <v>0</v>
      </c>
      <c r="BA33" s="147">
        <v>0</v>
      </c>
      <c r="BB33" s="147">
        <v>9.9026660364418106E-3</v>
      </c>
      <c r="BC33" s="147">
        <v>0</v>
      </c>
      <c r="BD33" s="147">
        <v>0</v>
      </c>
      <c r="BE33" s="147">
        <v>0</v>
      </c>
      <c r="BF33" s="147">
        <v>0</v>
      </c>
      <c r="BG33" s="147">
        <v>0</v>
      </c>
      <c r="BH33" s="147">
        <v>0</v>
      </c>
      <c r="BI33" s="147">
        <v>0</v>
      </c>
    </row>
    <row r="34" spans="1:61" customFormat="1" x14ac:dyDescent="0.15">
      <c r="A34" s="182" t="s">
        <v>225</v>
      </c>
      <c r="B34" s="147">
        <v>0</v>
      </c>
      <c r="C34" s="147">
        <v>0</v>
      </c>
      <c r="D34" s="147">
        <v>0</v>
      </c>
      <c r="E34" s="147">
        <v>0</v>
      </c>
      <c r="F34" s="147">
        <v>0</v>
      </c>
      <c r="G34" s="147">
        <v>0</v>
      </c>
      <c r="H34" s="147">
        <v>0</v>
      </c>
      <c r="I34" s="147">
        <v>0</v>
      </c>
      <c r="J34" s="147">
        <v>0</v>
      </c>
      <c r="K34" s="147">
        <v>0</v>
      </c>
      <c r="L34" s="147">
        <v>0</v>
      </c>
      <c r="M34" s="147">
        <v>0</v>
      </c>
      <c r="N34" s="147">
        <v>0</v>
      </c>
      <c r="O34" s="147">
        <v>0</v>
      </c>
      <c r="P34" s="147">
        <v>0</v>
      </c>
      <c r="Q34" s="147">
        <v>0</v>
      </c>
      <c r="R34" s="147">
        <v>0</v>
      </c>
      <c r="S34" s="147">
        <v>0</v>
      </c>
      <c r="T34" s="147">
        <v>0</v>
      </c>
      <c r="U34" s="147">
        <v>0</v>
      </c>
      <c r="V34" s="147">
        <v>0</v>
      </c>
      <c r="W34" s="147">
        <v>0</v>
      </c>
      <c r="X34" s="147">
        <v>0</v>
      </c>
      <c r="Y34" s="147">
        <v>0</v>
      </c>
      <c r="Z34" s="147">
        <v>0</v>
      </c>
      <c r="AA34" s="147">
        <v>0</v>
      </c>
      <c r="AB34" s="147">
        <v>3.1401500006628856E-4</v>
      </c>
      <c r="AC34" s="147">
        <v>2.466436968052242E-4</v>
      </c>
      <c r="AD34" s="147">
        <v>0</v>
      </c>
      <c r="AE34" s="147">
        <v>0</v>
      </c>
      <c r="AF34" s="147">
        <v>0</v>
      </c>
      <c r="AG34" s="147">
        <v>0</v>
      </c>
      <c r="AH34" s="147">
        <v>0</v>
      </c>
      <c r="AI34" s="147">
        <v>1.8282523026879303E-2</v>
      </c>
      <c r="AJ34" s="147">
        <v>0</v>
      </c>
      <c r="AK34" s="147">
        <v>2.4614363753449312E-4</v>
      </c>
      <c r="AL34" s="147">
        <v>0</v>
      </c>
      <c r="AM34" s="147">
        <v>0</v>
      </c>
      <c r="AN34" s="147">
        <v>0</v>
      </c>
      <c r="AO34" s="147">
        <v>0</v>
      </c>
      <c r="AP34" s="147">
        <v>0</v>
      </c>
      <c r="AQ34" s="147">
        <v>0</v>
      </c>
      <c r="AR34" s="147">
        <v>0</v>
      </c>
      <c r="AS34" s="147">
        <v>0</v>
      </c>
      <c r="AT34" s="147">
        <v>0</v>
      </c>
      <c r="AU34" s="147">
        <v>3.6454506020549764E-3</v>
      </c>
      <c r="AV34" s="147">
        <v>0</v>
      </c>
      <c r="AW34" s="147">
        <v>0</v>
      </c>
      <c r="AX34" s="147">
        <v>0</v>
      </c>
      <c r="AY34" s="147">
        <v>0</v>
      </c>
      <c r="AZ34" s="147">
        <v>0</v>
      </c>
      <c r="BA34" s="147">
        <v>0</v>
      </c>
      <c r="BB34" s="147">
        <v>9.9026660364418106E-3</v>
      </c>
      <c r="BC34" s="147">
        <v>0</v>
      </c>
      <c r="BD34" s="147">
        <v>0</v>
      </c>
      <c r="BE34" s="147">
        <v>0</v>
      </c>
      <c r="BF34" s="147">
        <v>0</v>
      </c>
      <c r="BG34" s="147">
        <v>0</v>
      </c>
      <c r="BH34" s="147">
        <v>0</v>
      </c>
      <c r="BI34" s="147">
        <v>0</v>
      </c>
    </row>
    <row r="35" spans="1:61" customFormat="1" x14ac:dyDescent="0.15">
      <c r="A35" s="182" t="s">
        <v>226</v>
      </c>
      <c r="B35" s="147">
        <v>0</v>
      </c>
      <c r="C35" s="147">
        <v>0</v>
      </c>
      <c r="D35" s="147">
        <v>0</v>
      </c>
      <c r="E35" s="147">
        <v>0</v>
      </c>
      <c r="F35" s="147">
        <v>0</v>
      </c>
      <c r="G35" s="147">
        <v>0</v>
      </c>
      <c r="H35" s="147">
        <v>0</v>
      </c>
      <c r="I35" s="147">
        <v>0</v>
      </c>
      <c r="J35" s="147">
        <v>0</v>
      </c>
      <c r="K35" s="147">
        <v>0</v>
      </c>
      <c r="L35" s="147">
        <v>0</v>
      </c>
      <c r="M35" s="147">
        <v>0</v>
      </c>
      <c r="N35" s="147">
        <v>0</v>
      </c>
      <c r="O35" s="147">
        <v>0</v>
      </c>
      <c r="P35" s="147">
        <v>0</v>
      </c>
      <c r="Q35" s="147">
        <v>0</v>
      </c>
      <c r="R35" s="147">
        <v>0</v>
      </c>
      <c r="S35" s="147">
        <v>0</v>
      </c>
      <c r="T35" s="147">
        <v>0</v>
      </c>
      <c r="U35" s="147">
        <v>0</v>
      </c>
      <c r="V35" s="147">
        <v>0</v>
      </c>
      <c r="W35" s="147">
        <v>0</v>
      </c>
      <c r="X35" s="147">
        <v>0</v>
      </c>
      <c r="Y35" s="147">
        <v>0</v>
      </c>
      <c r="Z35" s="147">
        <v>0</v>
      </c>
      <c r="AA35" s="147">
        <v>0</v>
      </c>
      <c r="AB35" s="147">
        <v>0</v>
      </c>
      <c r="AC35" s="147">
        <v>0</v>
      </c>
      <c r="AD35" s="147">
        <v>0</v>
      </c>
      <c r="AE35" s="147">
        <v>0</v>
      </c>
      <c r="AF35" s="147">
        <v>0</v>
      </c>
      <c r="AG35" s="147">
        <v>0</v>
      </c>
      <c r="AH35" s="147">
        <v>0</v>
      </c>
      <c r="AI35" s="147">
        <v>0</v>
      </c>
      <c r="AJ35" s="147">
        <v>0</v>
      </c>
      <c r="AK35" s="147">
        <v>0</v>
      </c>
      <c r="AL35" s="147">
        <v>0</v>
      </c>
      <c r="AM35" s="147">
        <v>0</v>
      </c>
      <c r="AN35" s="147">
        <v>0</v>
      </c>
      <c r="AO35" s="147">
        <v>0</v>
      </c>
      <c r="AP35" s="147">
        <v>0</v>
      </c>
      <c r="AQ35" s="147">
        <v>0</v>
      </c>
      <c r="AR35" s="147">
        <v>0</v>
      </c>
      <c r="AS35" s="147">
        <v>0</v>
      </c>
      <c r="AT35" s="147">
        <v>0</v>
      </c>
      <c r="AU35" s="147">
        <v>0</v>
      </c>
      <c r="AV35" s="147">
        <v>0</v>
      </c>
      <c r="AW35" s="147">
        <v>0</v>
      </c>
      <c r="AX35" s="147">
        <v>0</v>
      </c>
      <c r="AY35" s="147">
        <v>0</v>
      </c>
      <c r="AZ35" s="147">
        <v>0</v>
      </c>
      <c r="BA35" s="147">
        <v>0</v>
      </c>
      <c r="BB35" s="147">
        <v>9.9026660364418106E-3</v>
      </c>
      <c r="BC35" s="147">
        <v>0</v>
      </c>
      <c r="BD35" s="147">
        <v>0</v>
      </c>
      <c r="BE35" s="147">
        <v>0</v>
      </c>
      <c r="BF35" s="147">
        <v>0</v>
      </c>
      <c r="BG35" s="147">
        <v>0</v>
      </c>
      <c r="BH35" s="147">
        <v>0</v>
      </c>
      <c r="BI35" s="147">
        <v>0</v>
      </c>
    </row>
    <row r="36" spans="1:61" customFormat="1" x14ac:dyDescent="0.15">
      <c r="A36" s="182" t="s">
        <v>227</v>
      </c>
      <c r="B36" s="147">
        <v>0</v>
      </c>
      <c r="C36" s="147">
        <v>0</v>
      </c>
      <c r="D36" s="147">
        <v>0</v>
      </c>
      <c r="E36" s="147">
        <v>0</v>
      </c>
      <c r="F36" s="147">
        <v>0</v>
      </c>
      <c r="G36" s="147">
        <v>0</v>
      </c>
      <c r="H36" s="147">
        <v>0</v>
      </c>
      <c r="I36" s="147">
        <v>0</v>
      </c>
      <c r="J36" s="147">
        <v>0</v>
      </c>
      <c r="K36" s="147">
        <v>0</v>
      </c>
      <c r="L36" s="147">
        <v>0</v>
      </c>
      <c r="M36" s="147">
        <v>0</v>
      </c>
      <c r="N36" s="147">
        <v>0</v>
      </c>
      <c r="O36" s="147">
        <v>0</v>
      </c>
      <c r="P36" s="147">
        <v>0</v>
      </c>
      <c r="Q36" s="147">
        <v>0</v>
      </c>
      <c r="R36" s="147">
        <v>0</v>
      </c>
      <c r="S36" s="147">
        <v>0</v>
      </c>
      <c r="T36" s="147">
        <v>0</v>
      </c>
      <c r="U36" s="147">
        <v>0</v>
      </c>
      <c r="V36" s="147">
        <v>0</v>
      </c>
      <c r="W36" s="147">
        <v>0</v>
      </c>
      <c r="X36" s="147">
        <v>0</v>
      </c>
      <c r="Y36" s="147">
        <v>0</v>
      </c>
      <c r="Z36" s="147">
        <v>0</v>
      </c>
      <c r="AA36" s="147">
        <v>0</v>
      </c>
      <c r="AB36" s="147">
        <v>1.2893888902721897E-4</v>
      </c>
      <c r="AC36" s="147">
        <v>2.4822386578475628E-3</v>
      </c>
      <c r="AD36" s="147">
        <v>0</v>
      </c>
      <c r="AE36" s="147">
        <v>0</v>
      </c>
      <c r="AF36" s="147">
        <v>0</v>
      </c>
      <c r="AG36" s="147">
        <v>0</v>
      </c>
      <c r="AH36" s="147">
        <v>0</v>
      </c>
      <c r="AI36" s="147">
        <v>0</v>
      </c>
      <c r="AJ36" s="147">
        <v>0</v>
      </c>
      <c r="AK36" s="147">
        <v>1.9993019962189201E-3</v>
      </c>
      <c r="AL36" s="147">
        <v>0</v>
      </c>
      <c r="AM36" s="147">
        <v>0</v>
      </c>
      <c r="AN36" s="147">
        <v>1.8156027362011354E-3</v>
      </c>
      <c r="AO36" s="147">
        <v>0</v>
      </c>
      <c r="AP36" s="147">
        <v>0</v>
      </c>
      <c r="AQ36" s="147">
        <v>0</v>
      </c>
      <c r="AR36" s="147">
        <v>0</v>
      </c>
      <c r="AS36" s="147">
        <v>0</v>
      </c>
      <c r="AT36" s="147">
        <v>0</v>
      </c>
      <c r="AU36" s="147">
        <v>1.2151497673516562E-3</v>
      </c>
      <c r="AV36" s="147">
        <v>0</v>
      </c>
      <c r="AW36" s="147">
        <v>0</v>
      </c>
      <c r="AX36" s="147">
        <v>6.0120215389579228E-3</v>
      </c>
      <c r="AY36" s="147">
        <v>0</v>
      </c>
      <c r="AZ36" s="147">
        <v>0</v>
      </c>
      <c r="BA36" s="147">
        <v>7.9961474652167595E-3</v>
      </c>
      <c r="BB36" s="147">
        <v>9.9026660364418106E-3</v>
      </c>
      <c r="BC36" s="147">
        <v>0</v>
      </c>
      <c r="BD36" s="147">
        <v>2.4040889231754167E-2</v>
      </c>
      <c r="BE36" s="147">
        <v>0</v>
      </c>
      <c r="BF36" s="147">
        <v>1.071937371231552E-2</v>
      </c>
      <c r="BG36" s="147">
        <v>6.9637021047897901E-3</v>
      </c>
      <c r="BH36" s="147">
        <v>0</v>
      </c>
      <c r="BI36" s="147">
        <v>0</v>
      </c>
    </row>
    <row r="37" spans="1:61" customFormat="1" x14ac:dyDescent="0.15">
      <c r="A37" s="182" t="s">
        <v>228</v>
      </c>
      <c r="B37" s="147">
        <v>0</v>
      </c>
      <c r="C37" s="147">
        <v>0</v>
      </c>
      <c r="D37" s="147">
        <v>0</v>
      </c>
      <c r="E37" s="147">
        <v>0</v>
      </c>
      <c r="F37" s="147">
        <v>0</v>
      </c>
      <c r="G37" s="147">
        <v>0</v>
      </c>
      <c r="H37" s="147">
        <v>0</v>
      </c>
      <c r="I37" s="147">
        <v>0</v>
      </c>
      <c r="J37" s="147">
        <v>0</v>
      </c>
      <c r="K37" s="147">
        <v>0</v>
      </c>
      <c r="L37" s="147">
        <v>0</v>
      </c>
      <c r="M37" s="147">
        <v>0</v>
      </c>
      <c r="N37" s="147">
        <v>0</v>
      </c>
      <c r="O37" s="147">
        <v>0</v>
      </c>
      <c r="P37" s="147">
        <v>0</v>
      </c>
      <c r="Q37" s="147">
        <v>0</v>
      </c>
      <c r="R37" s="147">
        <v>0</v>
      </c>
      <c r="S37" s="147">
        <v>0</v>
      </c>
      <c r="T37" s="147">
        <v>0</v>
      </c>
      <c r="U37" s="147">
        <v>0</v>
      </c>
      <c r="V37" s="147">
        <v>0</v>
      </c>
      <c r="W37" s="147">
        <v>0</v>
      </c>
      <c r="X37" s="147">
        <v>0</v>
      </c>
      <c r="Y37" s="147">
        <v>0</v>
      </c>
      <c r="Z37" s="147">
        <v>0</v>
      </c>
      <c r="AA37" s="147">
        <v>0</v>
      </c>
      <c r="AB37" s="147">
        <v>0</v>
      </c>
      <c r="AC37" s="147">
        <v>0</v>
      </c>
      <c r="AD37" s="147">
        <v>0</v>
      </c>
      <c r="AE37" s="147">
        <v>0</v>
      </c>
      <c r="AF37" s="147">
        <v>0</v>
      </c>
      <c r="AG37" s="147">
        <v>0</v>
      </c>
      <c r="AH37" s="147">
        <v>0</v>
      </c>
      <c r="AI37" s="147">
        <v>0</v>
      </c>
      <c r="AJ37" s="147">
        <v>0</v>
      </c>
      <c r="AK37" s="147">
        <v>0</v>
      </c>
      <c r="AL37" s="147">
        <v>0</v>
      </c>
      <c r="AM37" s="147">
        <v>0</v>
      </c>
      <c r="AN37" s="147">
        <v>3.7053109310227393E-5</v>
      </c>
      <c r="AO37" s="147">
        <v>0</v>
      </c>
      <c r="AP37" s="147">
        <v>0</v>
      </c>
      <c r="AQ37" s="147">
        <v>0</v>
      </c>
      <c r="AR37" s="147">
        <v>0</v>
      </c>
      <c r="AS37" s="147">
        <v>0</v>
      </c>
      <c r="AT37" s="147">
        <v>0</v>
      </c>
      <c r="AU37" s="147">
        <v>0</v>
      </c>
      <c r="AV37" s="147">
        <v>0</v>
      </c>
      <c r="AW37" s="147">
        <v>0</v>
      </c>
      <c r="AX37" s="147">
        <v>0</v>
      </c>
      <c r="AY37" s="147">
        <v>0</v>
      </c>
      <c r="AZ37" s="147">
        <v>0</v>
      </c>
      <c r="BA37" s="147">
        <v>7.9961474652167595E-3</v>
      </c>
      <c r="BB37" s="147">
        <v>9.9026660364418106E-3</v>
      </c>
      <c r="BC37" s="147">
        <v>0</v>
      </c>
      <c r="BD37" s="147">
        <v>0</v>
      </c>
      <c r="BE37" s="147">
        <v>0</v>
      </c>
      <c r="BF37" s="147">
        <v>1.071937371231552E-2</v>
      </c>
      <c r="BG37" s="147">
        <v>0</v>
      </c>
      <c r="BH37" s="147">
        <v>0</v>
      </c>
      <c r="BI37" s="147">
        <v>0</v>
      </c>
    </row>
    <row r="38" spans="1:61" customFormat="1" x14ac:dyDescent="0.15">
      <c r="A38" s="182" t="s">
        <v>229</v>
      </c>
      <c r="B38" s="147">
        <v>0</v>
      </c>
      <c r="C38" s="147">
        <v>0</v>
      </c>
      <c r="D38" s="147">
        <v>0</v>
      </c>
      <c r="E38" s="147">
        <v>0</v>
      </c>
      <c r="F38" s="147">
        <v>0</v>
      </c>
      <c r="G38" s="147">
        <v>0</v>
      </c>
      <c r="H38" s="147">
        <v>0</v>
      </c>
      <c r="I38" s="147">
        <v>0</v>
      </c>
      <c r="J38" s="147">
        <v>0</v>
      </c>
      <c r="K38" s="147">
        <v>0</v>
      </c>
      <c r="L38" s="147">
        <v>0</v>
      </c>
      <c r="M38" s="147">
        <v>0</v>
      </c>
      <c r="N38" s="147">
        <v>0</v>
      </c>
      <c r="O38" s="147">
        <v>0</v>
      </c>
      <c r="P38" s="147">
        <v>0</v>
      </c>
      <c r="Q38" s="147">
        <v>0</v>
      </c>
      <c r="R38" s="147">
        <v>0</v>
      </c>
      <c r="S38" s="147">
        <v>0</v>
      </c>
      <c r="T38" s="147">
        <v>0</v>
      </c>
      <c r="U38" s="147">
        <v>0</v>
      </c>
      <c r="V38" s="147">
        <v>0</v>
      </c>
      <c r="W38" s="147">
        <v>0</v>
      </c>
      <c r="X38" s="147">
        <v>0</v>
      </c>
      <c r="Y38" s="147">
        <v>0</v>
      </c>
      <c r="Z38" s="147">
        <v>0</v>
      </c>
      <c r="AA38" s="147">
        <v>0</v>
      </c>
      <c r="AB38" s="147">
        <v>0</v>
      </c>
      <c r="AC38" s="147">
        <v>0</v>
      </c>
      <c r="AD38" s="147">
        <v>0</v>
      </c>
      <c r="AE38" s="147">
        <v>0</v>
      </c>
      <c r="AF38" s="147">
        <v>0</v>
      </c>
      <c r="AG38" s="147">
        <v>0</v>
      </c>
      <c r="AH38" s="147">
        <v>0</v>
      </c>
      <c r="AI38" s="147">
        <v>0</v>
      </c>
      <c r="AJ38" s="147">
        <v>7.4999849010250978E-4</v>
      </c>
      <c r="AK38" s="147">
        <v>7.9283903950058275E-4</v>
      </c>
      <c r="AL38" s="147">
        <v>0</v>
      </c>
      <c r="AM38" s="147">
        <v>3.1555354018606026E-4</v>
      </c>
      <c r="AN38" s="147">
        <v>6.068162887036402E-3</v>
      </c>
      <c r="AO38" s="147">
        <v>0</v>
      </c>
      <c r="AP38" s="147">
        <v>0</v>
      </c>
      <c r="AQ38" s="147">
        <v>0</v>
      </c>
      <c r="AR38" s="147">
        <v>0</v>
      </c>
      <c r="AS38" s="147">
        <v>0</v>
      </c>
      <c r="AT38" s="147">
        <v>0</v>
      </c>
      <c r="AU38" s="147">
        <v>0</v>
      </c>
      <c r="AV38" s="147">
        <v>0</v>
      </c>
      <c r="AW38" s="147">
        <v>0</v>
      </c>
      <c r="AX38" s="147">
        <v>3.1114109891100606E-3</v>
      </c>
      <c r="AY38" s="147">
        <v>0</v>
      </c>
      <c r="AZ38" s="147">
        <v>0</v>
      </c>
      <c r="BA38" s="147">
        <v>5.3307637368111786E-3</v>
      </c>
      <c r="BB38" s="147">
        <v>6.1891680227761378E-3</v>
      </c>
      <c r="BC38" s="147">
        <v>0</v>
      </c>
      <c r="BD38" s="147">
        <v>1.0303840099329017E-2</v>
      </c>
      <c r="BE38" s="147">
        <v>0</v>
      </c>
      <c r="BF38" s="147">
        <v>3.0861487347553025E-3</v>
      </c>
      <c r="BG38" s="147">
        <v>1.8661492780818144E-3</v>
      </c>
      <c r="BH38" s="147">
        <v>0</v>
      </c>
      <c r="BI38" s="147">
        <v>0</v>
      </c>
    </row>
    <row r="39" spans="1:61" x14ac:dyDescent="0.15">
      <c r="A39" s="182" t="s">
        <v>230</v>
      </c>
      <c r="B39" s="147">
        <v>0</v>
      </c>
      <c r="C39" s="147">
        <v>0</v>
      </c>
      <c r="D39" s="147">
        <v>0</v>
      </c>
      <c r="E39" s="147">
        <v>0</v>
      </c>
      <c r="F39" s="147">
        <v>0</v>
      </c>
      <c r="G39" s="147">
        <v>0</v>
      </c>
      <c r="H39" s="147">
        <v>0</v>
      </c>
      <c r="I39" s="147">
        <v>0</v>
      </c>
      <c r="J39" s="147">
        <v>0</v>
      </c>
      <c r="K39" s="147">
        <v>0</v>
      </c>
      <c r="L39" s="147">
        <v>0</v>
      </c>
      <c r="M39" s="147">
        <v>0</v>
      </c>
      <c r="N39" s="147">
        <v>0</v>
      </c>
      <c r="O39" s="147">
        <v>0</v>
      </c>
      <c r="P39" s="147">
        <v>0</v>
      </c>
      <c r="Q39" s="147">
        <v>0</v>
      </c>
      <c r="R39" s="147">
        <v>0</v>
      </c>
      <c r="S39" s="147">
        <v>0</v>
      </c>
      <c r="T39" s="147">
        <v>0</v>
      </c>
      <c r="U39" s="147">
        <v>0</v>
      </c>
      <c r="V39" s="147">
        <v>0</v>
      </c>
      <c r="W39" s="147">
        <v>0</v>
      </c>
      <c r="X39" s="147">
        <v>0</v>
      </c>
      <c r="Y39" s="147">
        <v>0</v>
      </c>
      <c r="Z39" s="147">
        <v>0</v>
      </c>
      <c r="AA39" s="147">
        <v>0</v>
      </c>
      <c r="AB39" s="147">
        <v>0</v>
      </c>
      <c r="AC39" s="147">
        <v>0</v>
      </c>
      <c r="AD39" s="147">
        <v>0</v>
      </c>
      <c r="AE39" s="147">
        <v>0</v>
      </c>
      <c r="AF39" s="147">
        <v>0</v>
      </c>
      <c r="AG39" s="147">
        <v>0</v>
      </c>
      <c r="AH39" s="147">
        <v>0</v>
      </c>
      <c r="AI39" s="147">
        <v>0</v>
      </c>
      <c r="AJ39" s="147">
        <v>0</v>
      </c>
      <c r="AK39" s="147">
        <v>2.0310959961587909E-4</v>
      </c>
      <c r="AL39" s="147">
        <v>0</v>
      </c>
      <c r="AM39" s="147">
        <v>0</v>
      </c>
      <c r="AN39" s="147">
        <v>3.0658305029271672E-3</v>
      </c>
      <c r="AO39" s="147">
        <v>0</v>
      </c>
      <c r="AP39" s="147">
        <v>0</v>
      </c>
      <c r="AQ39" s="147">
        <v>0</v>
      </c>
      <c r="AR39" s="147">
        <v>0</v>
      </c>
      <c r="AS39" s="147">
        <v>0</v>
      </c>
      <c r="AT39" s="147">
        <v>0</v>
      </c>
      <c r="AU39" s="147">
        <v>0</v>
      </c>
      <c r="AV39" s="147">
        <v>0</v>
      </c>
      <c r="AW39" s="147">
        <v>0</v>
      </c>
      <c r="AX39" s="147">
        <v>0</v>
      </c>
      <c r="AY39" s="147">
        <v>0</v>
      </c>
      <c r="AZ39" s="147">
        <v>0</v>
      </c>
      <c r="BA39" s="147">
        <v>4.0060189825738184E-3</v>
      </c>
      <c r="BB39" s="147">
        <v>5.1212290188461223E-3</v>
      </c>
      <c r="BC39" s="147">
        <v>0</v>
      </c>
      <c r="BD39" s="147">
        <v>5.0464678086479487E-3</v>
      </c>
      <c r="BE39" s="147">
        <v>0</v>
      </c>
      <c r="BF39" s="147">
        <v>5.0498449586922666E-3</v>
      </c>
      <c r="BG39" s="147">
        <v>4.6158835894598163E-4</v>
      </c>
      <c r="BH39" s="147">
        <v>0</v>
      </c>
      <c r="BI39" s="147">
        <v>0</v>
      </c>
    </row>
    <row r="40" spans="1:61" x14ac:dyDescent="0.15">
      <c r="A40" s="182" t="s">
        <v>231</v>
      </c>
      <c r="B40" s="147">
        <v>0</v>
      </c>
      <c r="C40" s="147">
        <v>0</v>
      </c>
      <c r="D40" s="147">
        <v>0</v>
      </c>
      <c r="E40" s="147">
        <v>0</v>
      </c>
      <c r="F40" s="147">
        <v>0</v>
      </c>
      <c r="G40" s="147">
        <v>0</v>
      </c>
      <c r="H40" s="147">
        <v>0</v>
      </c>
      <c r="I40" s="147">
        <v>0</v>
      </c>
      <c r="J40" s="147">
        <v>0</v>
      </c>
      <c r="K40" s="147">
        <v>0</v>
      </c>
      <c r="L40" s="147">
        <v>0</v>
      </c>
      <c r="M40" s="147">
        <v>0</v>
      </c>
      <c r="N40" s="147">
        <v>0</v>
      </c>
      <c r="O40" s="147">
        <v>0</v>
      </c>
      <c r="P40" s="147">
        <v>0</v>
      </c>
      <c r="Q40" s="147">
        <v>0</v>
      </c>
      <c r="R40" s="147">
        <v>0</v>
      </c>
      <c r="S40" s="147">
        <v>0</v>
      </c>
      <c r="T40" s="147">
        <v>0</v>
      </c>
      <c r="U40" s="147">
        <v>0</v>
      </c>
      <c r="V40" s="147">
        <v>0</v>
      </c>
      <c r="W40" s="147">
        <v>0</v>
      </c>
      <c r="X40" s="147">
        <v>0</v>
      </c>
      <c r="Y40" s="147">
        <v>0</v>
      </c>
      <c r="Z40" s="147">
        <v>0</v>
      </c>
      <c r="AA40" s="147">
        <v>0</v>
      </c>
      <c r="AB40" s="147">
        <v>0</v>
      </c>
      <c r="AC40" s="147">
        <v>0</v>
      </c>
      <c r="AD40" s="147">
        <v>0</v>
      </c>
      <c r="AE40" s="147">
        <v>0</v>
      </c>
      <c r="AF40" s="147">
        <v>0</v>
      </c>
      <c r="AG40" s="147">
        <v>0</v>
      </c>
      <c r="AH40" s="147">
        <v>0</v>
      </c>
      <c r="AI40" s="147">
        <v>0</v>
      </c>
      <c r="AJ40" s="147">
        <v>0</v>
      </c>
      <c r="AK40" s="147">
        <v>1.1011663379174741E-5</v>
      </c>
      <c r="AL40" s="147">
        <v>0</v>
      </c>
      <c r="AM40" s="147">
        <v>0</v>
      </c>
      <c r="AN40" s="147">
        <v>4.6678182631049126E-10</v>
      </c>
      <c r="AO40" s="147">
        <v>0</v>
      </c>
      <c r="AP40" s="147">
        <v>0</v>
      </c>
      <c r="AQ40" s="147">
        <v>0</v>
      </c>
      <c r="AR40" s="147">
        <v>0</v>
      </c>
      <c r="AS40" s="147">
        <v>0</v>
      </c>
      <c r="AT40" s="147">
        <v>0</v>
      </c>
      <c r="AU40" s="147">
        <v>0</v>
      </c>
      <c r="AV40" s="147">
        <v>0</v>
      </c>
      <c r="AW40" s="147">
        <v>0</v>
      </c>
      <c r="AX40" s="147">
        <v>0</v>
      </c>
      <c r="AY40" s="147">
        <v>0</v>
      </c>
      <c r="AZ40" s="147">
        <v>0</v>
      </c>
      <c r="BA40" s="147">
        <v>5.3307637368111786E-3</v>
      </c>
      <c r="BB40" s="147">
        <v>6.1891680227761378E-3</v>
      </c>
      <c r="BC40" s="147">
        <v>0</v>
      </c>
      <c r="BD40" s="147">
        <v>0</v>
      </c>
      <c r="BE40" s="147">
        <v>0</v>
      </c>
      <c r="BF40" s="147">
        <v>7.1462485315436858E-3</v>
      </c>
      <c r="BG40" s="147">
        <v>0</v>
      </c>
      <c r="BH40" s="147">
        <v>0</v>
      </c>
      <c r="BI40" s="147">
        <v>0</v>
      </c>
    </row>
    <row r="41" spans="1:61" x14ac:dyDescent="0.15">
      <c r="A41" s="182" t="s">
        <v>232</v>
      </c>
      <c r="B41" s="147">
        <v>0</v>
      </c>
      <c r="C41" s="147">
        <v>0</v>
      </c>
      <c r="D41" s="147">
        <v>0</v>
      </c>
      <c r="E41" s="147">
        <v>0</v>
      </c>
      <c r="F41" s="147">
        <v>0</v>
      </c>
      <c r="G41" s="147">
        <v>0</v>
      </c>
      <c r="H41" s="147">
        <v>0</v>
      </c>
      <c r="I41" s="147">
        <v>0</v>
      </c>
      <c r="J41" s="147">
        <v>0</v>
      </c>
      <c r="K41" s="147">
        <v>0</v>
      </c>
      <c r="L41" s="147">
        <v>0</v>
      </c>
      <c r="M41" s="147">
        <v>0</v>
      </c>
      <c r="N41" s="147">
        <v>0</v>
      </c>
      <c r="O41" s="147">
        <v>0</v>
      </c>
      <c r="P41" s="147">
        <v>0</v>
      </c>
      <c r="Q41" s="147">
        <v>0</v>
      </c>
      <c r="R41" s="147">
        <v>0</v>
      </c>
      <c r="S41" s="147">
        <v>0</v>
      </c>
      <c r="T41" s="147">
        <v>0</v>
      </c>
      <c r="U41" s="147">
        <v>0</v>
      </c>
      <c r="V41" s="147">
        <v>0</v>
      </c>
      <c r="W41" s="147">
        <v>0</v>
      </c>
      <c r="X41" s="147">
        <v>0</v>
      </c>
      <c r="Y41" s="147">
        <v>0</v>
      </c>
      <c r="Z41" s="147">
        <v>0</v>
      </c>
      <c r="AA41" s="147">
        <v>0</v>
      </c>
      <c r="AB41" s="147">
        <v>0</v>
      </c>
      <c r="AC41" s="147">
        <v>6.345809917802725E-2</v>
      </c>
      <c r="AD41" s="147">
        <v>0</v>
      </c>
      <c r="AE41" s="147">
        <v>0</v>
      </c>
      <c r="AF41" s="147">
        <v>0</v>
      </c>
      <c r="AG41" s="147">
        <v>0</v>
      </c>
      <c r="AH41" s="147">
        <v>0</v>
      </c>
      <c r="AI41" s="147">
        <v>0</v>
      </c>
      <c r="AJ41" s="147">
        <v>8.82351148355894E-5</v>
      </c>
      <c r="AK41" s="147">
        <v>1.3978305473564229E-3</v>
      </c>
      <c r="AL41" s="147">
        <v>0</v>
      </c>
      <c r="AM41" s="147">
        <v>1.9954121838236167E-3</v>
      </c>
      <c r="AN41" s="147">
        <v>1.3535313948029546E-2</v>
      </c>
      <c r="AO41" s="147">
        <v>1.3820886210492993E-7</v>
      </c>
      <c r="AP41" s="147">
        <v>7.7054171780890652E-3</v>
      </c>
      <c r="AQ41" s="147">
        <v>0</v>
      </c>
      <c r="AR41" s="147">
        <v>0</v>
      </c>
      <c r="AS41" s="147">
        <v>0</v>
      </c>
      <c r="AT41" s="147">
        <v>2.098878193635678E-3</v>
      </c>
      <c r="AU41" s="147">
        <v>3.1593896591143075E-2</v>
      </c>
      <c r="AV41" s="147">
        <v>7.8299939276508558E-3</v>
      </c>
      <c r="AW41" s="147">
        <v>0</v>
      </c>
      <c r="AX41" s="147">
        <v>8.4168299705410926E-3</v>
      </c>
      <c r="AY41" s="147">
        <v>1.0058592097017612E-3</v>
      </c>
      <c r="AZ41" s="147">
        <v>0</v>
      </c>
      <c r="BA41" s="147">
        <v>1.7324991424636289E-2</v>
      </c>
      <c r="BB41" s="147">
        <v>1.3616171750107512E-2</v>
      </c>
      <c r="BC41" s="147">
        <v>0</v>
      </c>
      <c r="BD41" s="147">
        <v>1.9533224588300282E-2</v>
      </c>
      <c r="BE41" s="147">
        <v>0</v>
      </c>
      <c r="BF41" s="147">
        <v>0</v>
      </c>
      <c r="BG41" s="147">
        <v>0</v>
      </c>
      <c r="BH41" s="147">
        <v>0</v>
      </c>
      <c r="BI41" s="147">
        <v>0</v>
      </c>
    </row>
    <row r="42" spans="1:61" x14ac:dyDescent="0.15">
      <c r="A42" s="182" t="s">
        <v>233</v>
      </c>
      <c r="B42" s="147">
        <v>0</v>
      </c>
      <c r="C42" s="147">
        <v>0</v>
      </c>
      <c r="D42" s="147">
        <v>0</v>
      </c>
      <c r="E42" s="147">
        <v>0</v>
      </c>
      <c r="F42" s="147">
        <v>0</v>
      </c>
      <c r="G42" s="147">
        <v>0</v>
      </c>
      <c r="H42" s="147">
        <v>0</v>
      </c>
      <c r="I42" s="147">
        <v>0</v>
      </c>
      <c r="J42" s="147">
        <v>0</v>
      </c>
      <c r="K42" s="147">
        <v>0</v>
      </c>
      <c r="L42" s="147">
        <v>0</v>
      </c>
      <c r="M42" s="147">
        <v>0</v>
      </c>
      <c r="N42" s="147">
        <v>0</v>
      </c>
      <c r="O42" s="147">
        <v>0</v>
      </c>
      <c r="P42" s="147">
        <v>0</v>
      </c>
      <c r="Q42" s="147">
        <v>1.315960664338767E-4</v>
      </c>
      <c r="R42" s="147">
        <v>0</v>
      </c>
      <c r="S42" s="147">
        <v>0</v>
      </c>
      <c r="T42" s="147">
        <v>0</v>
      </c>
      <c r="U42" s="147">
        <v>0</v>
      </c>
      <c r="V42" s="147">
        <v>0</v>
      </c>
      <c r="W42" s="147">
        <v>0</v>
      </c>
      <c r="X42" s="147">
        <v>1.5966848513473411E-3</v>
      </c>
      <c r="Y42" s="147">
        <v>0</v>
      </c>
      <c r="Z42" s="147">
        <v>0</v>
      </c>
      <c r="AA42" s="147">
        <v>0</v>
      </c>
      <c r="AB42" s="147">
        <v>1.0254817102164792E-2</v>
      </c>
      <c r="AC42" s="147">
        <v>0.18989331754031186</v>
      </c>
      <c r="AD42" s="147">
        <v>1.4199748802772413E-2</v>
      </c>
      <c r="AE42" s="147">
        <v>7.1808487013590152E-3</v>
      </c>
      <c r="AF42" s="147">
        <v>1.6463287394925322E-2</v>
      </c>
      <c r="AG42" s="147">
        <v>0</v>
      </c>
      <c r="AH42" s="147">
        <v>0</v>
      </c>
      <c r="AI42" s="147">
        <v>1.3806083918237158E-3</v>
      </c>
      <c r="AJ42" s="147">
        <v>5.293495140143438E-2</v>
      </c>
      <c r="AK42" s="147">
        <v>7.5110849857950357E-2</v>
      </c>
      <c r="AL42" s="147">
        <v>1.2468602293370322E-3</v>
      </c>
      <c r="AM42" s="147">
        <v>5.9299290410807691E-2</v>
      </c>
      <c r="AN42" s="147">
        <v>7.9960538511472043E-2</v>
      </c>
      <c r="AO42" s="147">
        <v>1.1056793988395076E-2</v>
      </c>
      <c r="AP42" s="147">
        <v>1.280919679604859E-2</v>
      </c>
      <c r="AQ42" s="147">
        <v>0</v>
      </c>
      <c r="AR42" s="147">
        <v>0</v>
      </c>
      <c r="AS42" s="147">
        <v>0</v>
      </c>
      <c r="AT42" s="147">
        <v>0.12698212563995839</v>
      </c>
      <c r="AU42" s="147">
        <v>6.6833260404341233E-2</v>
      </c>
      <c r="AV42" s="147">
        <v>1.2358177785810436E-3</v>
      </c>
      <c r="AW42" s="147">
        <v>0</v>
      </c>
      <c r="AX42" s="147">
        <v>2.897372829859194E-2</v>
      </c>
      <c r="AY42" s="147">
        <v>2.0117184194035223E-3</v>
      </c>
      <c r="AZ42" s="147">
        <v>0.26939946634377537</v>
      </c>
      <c r="BA42" s="147">
        <v>1.7324991424636289E-2</v>
      </c>
      <c r="BB42" s="147">
        <v>1.8567495068328381E-2</v>
      </c>
      <c r="BC42" s="147">
        <v>0</v>
      </c>
      <c r="BD42" s="147">
        <v>2.4040889231754167E-2</v>
      </c>
      <c r="BE42" s="147">
        <v>0</v>
      </c>
      <c r="BF42" s="147">
        <v>2.3225296110017071E-2</v>
      </c>
      <c r="BG42" s="147">
        <v>6.9637021047897901E-3</v>
      </c>
      <c r="BH42" s="147">
        <v>0</v>
      </c>
      <c r="BI42" s="147">
        <v>0</v>
      </c>
    </row>
    <row r="43" spans="1:61" x14ac:dyDescent="0.15">
      <c r="A43" s="182" t="s">
        <v>234</v>
      </c>
      <c r="B43" s="147">
        <v>0</v>
      </c>
      <c r="C43" s="147">
        <v>0</v>
      </c>
      <c r="D43" s="147">
        <v>0</v>
      </c>
      <c r="E43" s="147">
        <v>0</v>
      </c>
      <c r="F43" s="147">
        <v>0</v>
      </c>
      <c r="G43" s="147">
        <v>0</v>
      </c>
      <c r="H43" s="147">
        <v>0</v>
      </c>
      <c r="I43" s="147">
        <v>0</v>
      </c>
      <c r="J43" s="147">
        <v>0</v>
      </c>
      <c r="K43" s="147">
        <v>0</v>
      </c>
      <c r="L43" s="147">
        <v>0</v>
      </c>
      <c r="M43" s="147">
        <v>0</v>
      </c>
      <c r="N43" s="147">
        <v>0</v>
      </c>
      <c r="O43" s="147">
        <v>0</v>
      </c>
      <c r="P43" s="147">
        <v>0</v>
      </c>
      <c r="Q43" s="147">
        <v>0</v>
      </c>
      <c r="R43" s="147">
        <v>0</v>
      </c>
      <c r="S43" s="147">
        <v>0</v>
      </c>
      <c r="T43" s="147">
        <v>0</v>
      </c>
      <c r="U43" s="147">
        <v>0</v>
      </c>
      <c r="V43" s="147">
        <v>0</v>
      </c>
      <c r="W43" s="147">
        <v>0</v>
      </c>
      <c r="X43" s="147">
        <v>0</v>
      </c>
      <c r="Y43" s="147">
        <v>0</v>
      </c>
      <c r="Z43" s="147">
        <v>0</v>
      </c>
      <c r="AA43" s="147">
        <v>0</v>
      </c>
      <c r="AB43" s="147">
        <v>3.7448047707905278E-3</v>
      </c>
      <c r="AC43" s="147">
        <v>0</v>
      </c>
      <c r="AD43" s="147">
        <v>1.7039694643326841E-3</v>
      </c>
      <c r="AE43" s="147">
        <v>3.0775065848681494E-3</v>
      </c>
      <c r="AF43" s="147">
        <v>1.1759487139232328E-2</v>
      </c>
      <c r="AG43" s="147">
        <v>0</v>
      </c>
      <c r="AH43" s="147">
        <v>0</v>
      </c>
      <c r="AI43" s="147">
        <v>0</v>
      </c>
      <c r="AJ43" s="147">
        <v>0</v>
      </c>
      <c r="AK43" s="147">
        <v>2.3349604955841224E-3</v>
      </c>
      <c r="AL43" s="147">
        <v>0</v>
      </c>
      <c r="AM43" s="147">
        <v>0</v>
      </c>
      <c r="AN43" s="147">
        <v>0</v>
      </c>
      <c r="AO43" s="147">
        <v>0</v>
      </c>
      <c r="AP43" s="147">
        <v>3.6741913349186081E-6</v>
      </c>
      <c r="AQ43" s="147">
        <v>0</v>
      </c>
      <c r="AR43" s="147">
        <v>0</v>
      </c>
      <c r="AS43" s="147">
        <v>0</v>
      </c>
      <c r="AT43" s="147">
        <v>1.3642707183631884E-2</v>
      </c>
      <c r="AU43" s="147">
        <v>6.0757520367583006E-3</v>
      </c>
      <c r="AV43" s="147">
        <v>6.5249953797090424E-3</v>
      </c>
      <c r="AW43" s="147">
        <v>1.1648221072219057E-3</v>
      </c>
      <c r="AX43" s="147">
        <v>6.0120215389579228E-3</v>
      </c>
      <c r="AY43" s="147">
        <v>4.0234369188070435E-3</v>
      </c>
      <c r="AZ43" s="147">
        <v>0</v>
      </c>
      <c r="BA43" s="147">
        <v>1.7324991424636289E-2</v>
      </c>
      <c r="BB43" s="147">
        <v>1.3616171750107512E-2</v>
      </c>
      <c r="BC43" s="147">
        <v>0</v>
      </c>
      <c r="BD43" s="147">
        <v>1.9533224588300282E-2</v>
      </c>
      <c r="BE43" s="147">
        <v>0</v>
      </c>
      <c r="BF43" s="147">
        <v>0</v>
      </c>
      <c r="BG43" s="147">
        <v>0</v>
      </c>
      <c r="BH43" s="147">
        <v>0</v>
      </c>
      <c r="BI43" s="147">
        <v>0</v>
      </c>
    </row>
    <row r="44" spans="1:61" x14ac:dyDescent="0.15">
      <c r="A44" s="182" t="s">
        <v>235</v>
      </c>
      <c r="B44" s="147">
        <v>0</v>
      </c>
      <c r="C44" s="147">
        <v>0</v>
      </c>
      <c r="D44" s="147">
        <v>0</v>
      </c>
      <c r="E44" s="147">
        <v>0</v>
      </c>
      <c r="F44" s="147">
        <v>0</v>
      </c>
      <c r="G44" s="147">
        <v>0</v>
      </c>
      <c r="H44" s="147">
        <v>0</v>
      </c>
      <c r="I44" s="147">
        <v>0</v>
      </c>
      <c r="J44" s="147">
        <v>0</v>
      </c>
      <c r="K44" s="147">
        <v>0</v>
      </c>
      <c r="L44" s="147">
        <v>0</v>
      </c>
      <c r="M44" s="147">
        <v>0</v>
      </c>
      <c r="N44" s="147">
        <v>0</v>
      </c>
      <c r="O44" s="147">
        <v>0</v>
      </c>
      <c r="P44" s="147">
        <v>0</v>
      </c>
      <c r="Q44" s="147">
        <v>0</v>
      </c>
      <c r="R44" s="147">
        <v>0</v>
      </c>
      <c r="S44" s="147">
        <v>0</v>
      </c>
      <c r="T44" s="147">
        <v>0</v>
      </c>
      <c r="U44" s="147">
        <v>0</v>
      </c>
      <c r="V44" s="147">
        <v>0</v>
      </c>
      <c r="W44" s="147">
        <v>0</v>
      </c>
      <c r="X44" s="147">
        <v>0</v>
      </c>
      <c r="Y44" s="147">
        <v>0</v>
      </c>
      <c r="Z44" s="147">
        <v>0</v>
      </c>
      <c r="AA44" s="147">
        <v>0</v>
      </c>
      <c r="AB44" s="147">
        <v>1.0198076502152813E-3</v>
      </c>
      <c r="AC44" s="147">
        <v>1.0181902768113813E-3</v>
      </c>
      <c r="AD44" s="147">
        <v>0</v>
      </c>
      <c r="AE44" s="147">
        <v>0</v>
      </c>
      <c r="AF44" s="147">
        <v>0</v>
      </c>
      <c r="AG44" s="147">
        <v>0</v>
      </c>
      <c r="AH44" s="147">
        <v>0</v>
      </c>
      <c r="AI44" s="147">
        <v>0</v>
      </c>
      <c r="AJ44" s="147">
        <v>5.953548601432923E-6</v>
      </c>
      <c r="AK44" s="147">
        <v>1.2530863776301631E-3</v>
      </c>
      <c r="AL44" s="147">
        <v>0</v>
      </c>
      <c r="AM44" s="147">
        <v>3.580339564803518E-4</v>
      </c>
      <c r="AN44" s="147">
        <v>2.3017178371517225E-3</v>
      </c>
      <c r="AO44" s="147">
        <v>0</v>
      </c>
      <c r="AP44" s="147">
        <v>3.6205234136782248E-6</v>
      </c>
      <c r="AQ44" s="147">
        <v>0</v>
      </c>
      <c r="AR44" s="147">
        <v>0</v>
      </c>
      <c r="AS44" s="147">
        <v>0</v>
      </c>
      <c r="AT44" s="147">
        <v>0</v>
      </c>
      <c r="AU44" s="147">
        <v>0</v>
      </c>
      <c r="AV44" s="147">
        <v>0</v>
      </c>
      <c r="AW44" s="147">
        <v>0</v>
      </c>
      <c r="AX44" s="147">
        <v>1.2024039957915856E-3</v>
      </c>
      <c r="AY44" s="147">
        <v>0</v>
      </c>
      <c r="AZ44" s="147">
        <v>0</v>
      </c>
      <c r="BA44" s="147">
        <v>7.9961474652167595E-3</v>
      </c>
      <c r="BB44" s="147">
        <v>6.1891680227761378E-3</v>
      </c>
      <c r="BC44" s="147">
        <v>0</v>
      </c>
      <c r="BD44" s="147">
        <v>1.9533224588300282E-2</v>
      </c>
      <c r="BE44" s="147">
        <v>0</v>
      </c>
      <c r="BF44" s="147">
        <v>0</v>
      </c>
      <c r="BG44" s="147">
        <v>0</v>
      </c>
      <c r="BH44" s="147">
        <v>0</v>
      </c>
      <c r="BI44" s="147">
        <v>0</v>
      </c>
    </row>
    <row r="45" spans="1:61" x14ac:dyDescent="0.15">
      <c r="A45" s="182" t="s">
        <v>236</v>
      </c>
      <c r="B45" s="147">
        <v>0</v>
      </c>
      <c r="C45" s="147">
        <v>0</v>
      </c>
      <c r="D45" s="147">
        <v>0</v>
      </c>
      <c r="E45" s="147">
        <v>0</v>
      </c>
      <c r="F45" s="147">
        <v>0</v>
      </c>
      <c r="G45" s="147">
        <v>0</v>
      </c>
      <c r="H45" s="147">
        <v>0</v>
      </c>
      <c r="I45" s="147">
        <v>0</v>
      </c>
      <c r="J45" s="147">
        <v>0</v>
      </c>
      <c r="K45" s="147">
        <v>0</v>
      </c>
      <c r="L45" s="147">
        <v>0</v>
      </c>
      <c r="M45" s="147">
        <v>0</v>
      </c>
      <c r="N45" s="147">
        <v>0</v>
      </c>
      <c r="O45" s="147">
        <v>0</v>
      </c>
      <c r="P45" s="147">
        <v>0</v>
      </c>
      <c r="Q45" s="147">
        <v>0</v>
      </c>
      <c r="R45" s="147">
        <v>0</v>
      </c>
      <c r="S45" s="147">
        <v>0</v>
      </c>
      <c r="T45" s="147">
        <v>0</v>
      </c>
      <c r="U45" s="147">
        <v>0</v>
      </c>
      <c r="V45" s="147">
        <v>0</v>
      </c>
      <c r="W45" s="147">
        <v>0</v>
      </c>
      <c r="X45" s="147">
        <v>0</v>
      </c>
      <c r="Y45" s="147">
        <v>0</v>
      </c>
      <c r="Z45" s="147">
        <v>0</v>
      </c>
      <c r="AA45" s="147">
        <v>0</v>
      </c>
      <c r="AB45" s="147">
        <v>3.1540435906658181E-5</v>
      </c>
      <c r="AC45" s="147">
        <v>0</v>
      </c>
      <c r="AD45" s="147">
        <v>0</v>
      </c>
      <c r="AE45" s="147">
        <v>0</v>
      </c>
      <c r="AF45" s="147">
        <v>0</v>
      </c>
      <c r="AG45" s="147">
        <v>0</v>
      </c>
      <c r="AH45" s="147">
        <v>0</v>
      </c>
      <c r="AI45" s="147">
        <v>0</v>
      </c>
      <c r="AJ45" s="147">
        <v>0</v>
      </c>
      <c r="AK45" s="147">
        <v>4.8731127707839689E-4</v>
      </c>
      <c r="AL45" s="147">
        <v>0</v>
      </c>
      <c r="AM45" s="147">
        <v>0</v>
      </c>
      <c r="AN45" s="147">
        <v>2.0411469620024532E-3</v>
      </c>
      <c r="AO45" s="147">
        <v>0</v>
      </c>
      <c r="AP45" s="147">
        <v>0</v>
      </c>
      <c r="AQ45" s="147">
        <v>0</v>
      </c>
      <c r="AR45" s="147">
        <v>0</v>
      </c>
      <c r="AS45" s="147">
        <v>0</v>
      </c>
      <c r="AT45" s="147">
        <v>0</v>
      </c>
      <c r="AU45" s="147">
        <v>0</v>
      </c>
      <c r="AV45" s="147">
        <v>0</v>
      </c>
      <c r="AW45" s="147">
        <v>0</v>
      </c>
      <c r="AX45" s="147">
        <v>0</v>
      </c>
      <c r="AY45" s="147">
        <v>0</v>
      </c>
      <c r="AZ45" s="147">
        <v>0</v>
      </c>
      <c r="BA45" s="147">
        <v>7.9961474652167595E-3</v>
      </c>
      <c r="BB45" s="147">
        <v>6.1891680227761378E-3</v>
      </c>
      <c r="BC45" s="147">
        <v>0</v>
      </c>
      <c r="BD45" s="147">
        <v>0</v>
      </c>
      <c r="BE45" s="147">
        <v>0</v>
      </c>
      <c r="BF45" s="147">
        <v>0</v>
      </c>
      <c r="BG45" s="147">
        <v>0</v>
      </c>
      <c r="BH45" s="147">
        <v>0</v>
      </c>
      <c r="BI45" s="147">
        <v>0</v>
      </c>
    </row>
    <row r="46" spans="1:61" x14ac:dyDescent="0.15">
      <c r="A46" s="182" t="s">
        <v>237</v>
      </c>
      <c r="B46" s="147">
        <v>0</v>
      </c>
      <c r="C46" s="147">
        <v>0</v>
      </c>
      <c r="D46" s="147">
        <v>0</v>
      </c>
      <c r="E46" s="147">
        <v>0</v>
      </c>
      <c r="F46" s="147">
        <v>0</v>
      </c>
      <c r="G46" s="147">
        <v>0</v>
      </c>
      <c r="H46" s="147">
        <v>0</v>
      </c>
      <c r="I46" s="147">
        <v>0</v>
      </c>
      <c r="J46" s="147">
        <v>0</v>
      </c>
      <c r="K46" s="147">
        <v>0</v>
      </c>
      <c r="L46" s="147">
        <v>0</v>
      </c>
      <c r="M46" s="147">
        <v>0</v>
      </c>
      <c r="N46" s="147">
        <v>0</v>
      </c>
      <c r="O46" s="147">
        <v>0</v>
      </c>
      <c r="P46" s="147">
        <v>0</v>
      </c>
      <c r="Q46" s="147">
        <v>0</v>
      </c>
      <c r="R46" s="147">
        <v>0</v>
      </c>
      <c r="S46" s="147">
        <v>0</v>
      </c>
      <c r="T46" s="147">
        <v>0</v>
      </c>
      <c r="U46" s="147">
        <v>0</v>
      </c>
      <c r="V46" s="147">
        <v>0</v>
      </c>
      <c r="W46" s="147">
        <v>0</v>
      </c>
      <c r="X46" s="147">
        <v>0</v>
      </c>
      <c r="Y46" s="147">
        <v>0</v>
      </c>
      <c r="Z46" s="147">
        <v>0</v>
      </c>
      <c r="AA46" s="147">
        <v>0</v>
      </c>
      <c r="AB46" s="147">
        <v>1.2281346102592592E-3</v>
      </c>
      <c r="AC46" s="147">
        <v>1.6725685883352192E-3</v>
      </c>
      <c r="AD46" s="147">
        <v>0</v>
      </c>
      <c r="AE46" s="147">
        <v>0</v>
      </c>
      <c r="AF46" s="147">
        <v>0</v>
      </c>
      <c r="AG46" s="147">
        <v>0</v>
      </c>
      <c r="AH46" s="147">
        <v>0</v>
      </c>
      <c r="AI46" s="147">
        <v>0</v>
      </c>
      <c r="AJ46" s="147">
        <v>2.6057659656125395E-4</v>
      </c>
      <c r="AK46" s="147">
        <v>1.0154538280795738E-3</v>
      </c>
      <c r="AL46" s="147">
        <v>0</v>
      </c>
      <c r="AM46" s="147">
        <v>0</v>
      </c>
      <c r="AN46" s="147">
        <v>0</v>
      </c>
      <c r="AO46" s="147">
        <v>0</v>
      </c>
      <c r="AP46" s="147">
        <v>2.8232732952520287E-6</v>
      </c>
      <c r="AQ46" s="147">
        <v>0</v>
      </c>
      <c r="AR46" s="147">
        <v>0</v>
      </c>
      <c r="AS46" s="147">
        <v>0</v>
      </c>
      <c r="AT46" s="147">
        <v>0</v>
      </c>
      <c r="AU46" s="147">
        <v>0</v>
      </c>
      <c r="AV46" s="147">
        <v>0</v>
      </c>
      <c r="AW46" s="147">
        <v>0</v>
      </c>
      <c r="AX46" s="147">
        <v>0</v>
      </c>
      <c r="AY46" s="147">
        <v>1.0058592097017612E-3</v>
      </c>
      <c r="AZ46" s="147">
        <v>0</v>
      </c>
      <c r="BA46" s="147">
        <v>7.9961474652167595E-3</v>
      </c>
      <c r="BB46" s="147">
        <v>9.9026660364418106E-3</v>
      </c>
      <c r="BC46" s="147">
        <v>0</v>
      </c>
      <c r="BD46" s="147">
        <v>2.015495689429378E-2</v>
      </c>
      <c r="BE46" s="147">
        <v>0</v>
      </c>
      <c r="BF46" s="147">
        <v>3.1008976246346565E-3</v>
      </c>
      <c r="BG46" s="147">
        <v>0</v>
      </c>
      <c r="BH46" s="147">
        <v>0</v>
      </c>
      <c r="BI46" s="147">
        <v>0</v>
      </c>
    </row>
    <row r="47" spans="1:61" x14ac:dyDescent="0.15">
      <c r="A47" s="182" t="s">
        <v>238</v>
      </c>
      <c r="B47" s="147">
        <v>0</v>
      </c>
      <c r="C47" s="147">
        <v>0</v>
      </c>
      <c r="D47" s="147">
        <v>0</v>
      </c>
      <c r="E47" s="147">
        <v>0</v>
      </c>
      <c r="F47" s="147">
        <v>0</v>
      </c>
      <c r="G47" s="147">
        <v>0</v>
      </c>
      <c r="H47" s="147">
        <v>0</v>
      </c>
      <c r="I47" s="147">
        <v>0</v>
      </c>
      <c r="J47" s="147">
        <v>0</v>
      </c>
      <c r="K47" s="147">
        <v>0</v>
      </c>
      <c r="L47" s="147">
        <v>0</v>
      </c>
      <c r="M47" s="147">
        <v>0</v>
      </c>
      <c r="N47" s="147">
        <v>0</v>
      </c>
      <c r="O47" s="147">
        <v>0</v>
      </c>
      <c r="P47" s="147">
        <v>0</v>
      </c>
      <c r="Q47" s="147">
        <v>0</v>
      </c>
      <c r="R47" s="147">
        <v>0</v>
      </c>
      <c r="S47" s="147">
        <v>0</v>
      </c>
      <c r="T47" s="147">
        <v>0</v>
      </c>
      <c r="U47" s="147">
        <v>0</v>
      </c>
      <c r="V47" s="147">
        <v>0</v>
      </c>
      <c r="W47" s="147">
        <v>0</v>
      </c>
      <c r="X47" s="147">
        <v>0</v>
      </c>
      <c r="Y47" s="147">
        <v>0</v>
      </c>
      <c r="Z47" s="147">
        <v>0</v>
      </c>
      <c r="AA47" s="147">
        <v>0</v>
      </c>
      <c r="AB47" s="147">
        <v>0</v>
      </c>
      <c r="AC47" s="147">
        <v>0</v>
      </c>
      <c r="AD47" s="147">
        <v>0</v>
      </c>
      <c r="AE47" s="147">
        <v>0</v>
      </c>
      <c r="AF47" s="147">
        <v>0</v>
      </c>
      <c r="AG47" s="147">
        <v>0</v>
      </c>
      <c r="AH47" s="147">
        <v>0</v>
      </c>
      <c r="AI47" s="147">
        <v>0</v>
      </c>
      <c r="AJ47" s="147">
        <v>0</v>
      </c>
      <c r="AK47" s="147">
        <v>2.9549229944116496E-4</v>
      </c>
      <c r="AL47" s="147">
        <v>0</v>
      </c>
      <c r="AM47" s="147">
        <v>0</v>
      </c>
      <c r="AN47" s="147">
        <v>0</v>
      </c>
      <c r="AO47" s="147">
        <v>0</v>
      </c>
      <c r="AP47" s="147">
        <v>0</v>
      </c>
      <c r="AQ47" s="147">
        <v>0</v>
      </c>
      <c r="AR47" s="147">
        <v>0</v>
      </c>
      <c r="AS47" s="147">
        <v>0</v>
      </c>
      <c r="AT47" s="147">
        <v>0</v>
      </c>
      <c r="AU47" s="147">
        <v>0</v>
      </c>
      <c r="AV47" s="147">
        <v>0</v>
      </c>
      <c r="AW47" s="147">
        <v>0</v>
      </c>
      <c r="AX47" s="147">
        <v>0</v>
      </c>
      <c r="AY47" s="147">
        <v>0</v>
      </c>
      <c r="AZ47" s="147">
        <v>0</v>
      </c>
      <c r="BA47" s="147">
        <v>7.9961474652167595E-3</v>
      </c>
      <c r="BB47" s="147">
        <v>9.9026660364418106E-3</v>
      </c>
      <c r="BC47" s="147">
        <v>0</v>
      </c>
      <c r="BD47" s="147">
        <v>0</v>
      </c>
      <c r="BE47" s="147">
        <v>0</v>
      </c>
      <c r="BF47" s="147">
        <v>1.071937371231552E-2</v>
      </c>
      <c r="BG47" s="147">
        <v>2.7854817919159302E-3</v>
      </c>
      <c r="BH47" s="147">
        <v>0</v>
      </c>
      <c r="BI47" s="147">
        <v>0</v>
      </c>
    </row>
    <row r="48" spans="1:61" x14ac:dyDescent="0.15">
      <c r="A48" s="182" t="s">
        <v>239</v>
      </c>
      <c r="B48" s="147">
        <v>0</v>
      </c>
      <c r="C48" s="147">
        <v>0</v>
      </c>
      <c r="D48" s="147">
        <v>0</v>
      </c>
      <c r="E48" s="147">
        <v>0</v>
      </c>
      <c r="F48" s="147">
        <v>0</v>
      </c>
      <c r="G48" s="147">
        <v>0</v>
      </c>
      <c r="H48" s="147">
        <v>0</v>
      </c>
      <c r="I48" s="147">
        <v>0</v>
      </c>
      <c r="J48" s="147">
        <v>0</v>
      </c>
      <c r="K48" s="147">
        <v>0</v>
      </c>
      <c r="L48" s="147">
        <v>0</v>
      </c>
      <c r="M48" s="147">
        <v>0</v>
      </c>
      <c r="N48" s="147">
        <v>0</v>
      </c>
      <c r="O48" s="147">
        <v>0</v>
      </c>
      <c r="P48" s="147">
        <v>0</v>
      </c>
      <c r="Q48" s="147">
        <v>0</v>
      </c>
      <c r="R48" s="147">
        <v>0</v>
      </c>
      <c r="S48" s="147">
        <v>0</v>
      </c>
      <c r="T48" s="147">
        <v>0</v>
      </c>
      <c r="U48" s="147">
        <v>0</v>
      </c>
      <c r="V48" s="147">
        <v>0</v>
      </c>
      <c r="W48" s="147">
        <v>0</v>
      </c>
      <c r="X48" s="147">
        <v>2.9231645743126922E-2</v>
      </c>
      <c r="Y48" s="147">
        <v>0</v>
      </c>
      <c r="Z48" s="147">
        <v>0</v>
      </c>
      <c r="AA48" s="147">
        <v>0</v>
      </c>
      <c r="AB48" s="147">
        <v>0</v>
      </c>
      <c r="AC48" s="147">
        <v>3.364737336416557E-3</v>
      </c>
      <c r="AD48" s="147">
        <v>0</v>
      </c>
      <c r="AE48" s="147">
        <v>0</v>
      </c>
      <c r="AF48" s="147">
        <v>0</v>
      </c>
      <c r="AG48" s="147">
        <v>0</v>
      </c>
      <c r="AH48" s="147">
        <v>0</v>
      </c>
      <c r="AI48" s="147">
        <v>0</v>
      </c>
      <c r="AJ48" s="147">
        <v>7.7470428977647525E-4</v>
      </c>
      <c r="AK48" s="147">
        <v>7.2316592463234856E-3</v>
      </c>
      <c r="AL48" s="147">
        <v>0</v>
      </c>
      <c r="AM48" s="147">
        <v>1.0260522871081822E-3</v>
      </c>
      <c r="AN48" s="147">
        <v>3.4767959352767245E-3</v>
      </c>
      <c r="AO48" s="147">
        <v>0</v>
      </c>
      <c r="AP48" s="147">
        <v>0</v>
      </c>
      <c r="AQ48" s="147">
        <v>0</v>
      </c>
      <c r="AR48" s="147">
        <v>0</v>
      </c>
      <c r="AS48" s="147">
        <v>0</v>
      </c>
      <c r="AT48" s="147">
        <v>0</v>
      </c>
      <c r="AU48" s="147">
        <v>0</v>
      </c>
      <c r="AV48" s="147">
        <v>1.3049990979418081E-3</v>
      </c>
      <c r="AW48" s="147">
        <v>0</v>
      </c>
      <c r="AX48" s="147">
        <v>3.8476947565330676E-2</v>
      </c>
      <c r="AY48" s="147">
        <v>5.0292958985088095E-3</v>
      </c>
      <c r="AZ48" s="147">
        <v>0.11512795900161327</v>
      </c>
      <c r="BA48" s="147">
        <v>1.7324991424636289E-2</v>
      </c>
      <c r="BB48" s="147">
        <v>1.3616171750107512E-2</v>
      </c>
      <c r="BC48" s="147">
        <v>0</v>
      </c>
      <c r="BD48" s="147">
        <v>1.9533224588300282E-2</v>
      </c>
      <c r="BE48" s="147">
        <v>0</v>
      </c>
      <c r="BF48" s="147">
        <v>0</v>
      </c>
      <c r="BG48" s="147">
        <v>0</v>
      </c>
      <c r="BH48" s="147">
        <v>0</v>
      </c>
      <c r="BI48" s="147">
        <v>0</v>
      </c>
    </row>
    <row r="49" spans="1:61" x14ac:dyDescent="0.15">
      <c r="A49" s="182" t="s">
        <v>240</v>
      </c>
      <c r="B49" s="147">
        <v>0</v>
      </c>
      <c r="C49" s="147">
        <v>0</v>
      </c>
      <c r="D49" s="147">
        <v>0</v>
      </c>
      <c r="E49" s="147">
        <v>0</v>
      </c>
      <c r="F49" s="147">
        <v>0</v>
      </c>
      <c r="G49" s="147">
        <v>0</v>
      </c>
      <c r="H49" s="147">
        <v>0</v>
      </c>
      <c r="I49" s="147">
        <v>0</v>
      </c>
      <c r="J49" s="147">
        <v>0</v>
      </c>
      <c r="K49" s="147">
        <v>0</v>
      </c>
      <c r="L49" s="147">
        <v>0</v>
      </c>
      <c r="M49" s="147">
        <v>0</v>
      </c>
      <c r="N49" s="147">
        <v>0</v>
      </c>
      <c r="O49" s="147">
        <v>0</v>
      </c>
      <c r="P49" s="147">
        <v>0</v>
      </c>
      <c r="Q49" s="147">
        <v>0</v>
      </c>
      <c r="R49" s="147">
        <v>0</v>
      </c>
      <c r="S49" s="147">
        <v>0</v>
      </c>
      <c r="T49" s="147">
        <v>0</v>
      </c>
      <c r="U49" s="147">
        <v>0</v>
      </c>
      <c r="V49" s="147">
        <v>0</v>
      </c>
      <c r="W49" s="147">
        <v>0</v>
      </c>
      <c r="X49" s="147">
        <v>0</v>
      </c>
      <c r="Y49" s="147">
        <v>0</v>
      </c>
      <c r="Z49" s="147">
        <v>0</v>
      </c>
      <c r="AA49" s="147">
        <v>0</v>
      </c>
      <c r="AB49" s="147">
        <v>3.4421280007266325E-2</v>
      </c>
      <c r="AC49" s="147">
        <v>0.10180906868126713</v>
      </c>
      <c r="AD49" s="147">
        <v>1.1359798862217928E-2</v>
      </c>
      <c r="AE49" s="147">
        <v>4.821427054626768E-2</v>
      </c>
      <c r="AF49" s="147">
        <v>7.5260720891086944E-2</v>
      </c>
      <c r="AG49" s="147">
        <v>0</v>
      </c>
      <c r="AH49" s="147">
        <v>2.9846844317407924E-2</v>
      </c>
      <c r="AI49" s="147">
        <v>1.3161754931387009E-2</v>
      </c>
      <c r="AJ49" s="147">
        <v>2.4206054980560436E-2</v>
      </c>
      <c r="AK49" s="147">
        <v>3.9246759925776524E-2</v>
      </c>
      <c r="AL49" s="147">
        <v>0</v>
      </c>
      <c r="AM49" s="147">
        <v>3.1954903421373984E-2</v>
      </c>
      <c r="AN49" s="147">
        <v>5.864196530833396E-2</v>
      </c>
      <c r="AO49" s="147">
        <v>7.6154173008825118E-3</v>
      </c>
      <c r="AP49" s="147">
        <v>0</v>
      </c>
      <c r="AQ49" s="147">
        <v>2.2127565648918518E-3</v>
      </c>
      <c r="AR49" s="147">
        <v>0</v>
      </c>
      <c r="AS49" s="147">
        <v>0</v>
      </c>
      <c r="AT49" s="147">
        <v>9.0251771876334333E-2</v>
      </c>
      <c r="AU49" s="147">
        <v>0.16647555000717709</v>
      </c>
      <c r="AV49" s="147">
        <v>5.2024922819289707E-2</v>
      </c>
      <c r="AW49" s="147">
        <v>9.3185797377751643E-3</v>
      </c>
      <c r="AX49" s="147">
        <v>5.3258319813595863E-2</v>
      </c>
      <c r="AY49" s="147">
        <v>4.8281249025684397E-2</v>
      </c>
      <c r="AZ49" s="147">
        <v>9.6707490841355173E-2</v>
      </c>
      <c r="BA49" s="147">
        <v>1.7324991424636289E-2</v>
      </c>
      <c r="BB49" s="147">
        <v>1.3616171750107512E-2</v>
      </c>
      <c r="BC49" s="147">
        <v>0</v>
      </c>
      <c r="BD49" s="147">
        <v>1.9533224588300282E-2</v>
      </c>
      <c r="BE49" s="147">
        <v>0</v>
      </c>
      <c r="BF49" s="147">
        <v>0</v>
      </c>
      <c r="BG49" s="147">
        <v>0</v>
      </c>
      <c r="BH49" s="147">
        <v>0</v>
      </c>
      <c r="BI49" s="147">
        <v>0</v>
      </c>
    </row>
    <row r="50" spans="1:61" x14ac:dyDescent="0.15">
      <c r="A50" s="182" t="s">
        <v>241</v>
      </c>
      <c r="B50" s="147">
        <v>0</v>
      </c>
      <c r="C50" s="147">
        <v>0</v>
      </c>
      <c r="D50" s="147">
        <v>0</v>
      </c>
      <c r="E50" s="147">
        <v>0</v>
      </c>
      <c r="F50" s="147">
        <v>0</v>
      </c>
      <c r="G50" s="147">
        <v>0</v>
      </c>
      <c r="H50" s="147">
        <v>0</v>
      </c>
      <c r="I50" s="147">
        <v>0</v>
      </c>
      <c r="J50" s="147">
        <v>0</v>
      </c>
      <c r="K50" s="147">
        <v>0</v>
      </c>
      <c r="L50" s="147">
        <v>0</v>
      </c>
      <c r="M50" s="147">
        <v>0</v>
      </c>
      <c r="N50" s="147">
        <v>0</v>
      </c>
      <c r="O50" s="147">
        <v>0</v>
      </c>
      <c r="P50" s="147">
        <v>0</v>
      </c>
      <c r="Q50" s="147">
        <v>0</v>
      </c>
      <c r="R50" s="147">
        <v>0</v>
      </c>
      <c r="S50" s="147">
        <v>0</v>
      </c>
      <c r="T50" s="147">
        <v>0</v>
      </c>
      <c r="U50" s="147">
        <v>0</v>
      </c>
      <c r="V50" s="147">
        <v>0</v>
      </c>
      <c r="W50" s="147">
        <v>0</v>
      </c>
      <c r="X50" s="147">
        <v>1.2483860563231445E-4</v>
      </c>
      <c r="Y50" s="147">
        <v>0</v>
      </c>
      <c r="Z50" s="147">
        <v>0</v>
      </c>
      <c r="AA50" s="147">
        <v>4.3130519685923552E-6</v>
      </c>
      <c r="AB50" s="147">
        <v>1.5611002503295483E-3</v>
      </c>
      <c r="AC50" s="147">
        <v>2.5428242170627978E-3</v>
      </c>
      <c r="AD50" s="147">
        <v>0</v>
      </c>
      <c r="AE50" s="147">
        <v>9.2325201046044511E-3</v>
      </c>
      <c r="AF50" s="147">
        <v>0</v>
      </c>
      <c r="AG50" s="147">
        <v>0</v>
      </c>
      <c r="AH50" s="147">
        <v>0</v>
      </c>
      <c r="AI50" s="147">
        <v>2.806114732731127E-4</v>
      </c>
      <c r="AJ50" s="147">
        <v>0</v>
      </c>
      <c r="AK50" s="147">
        <v>1.4552584772478151E-2</v>
      </c>
      <c r="AL50" s="147">
        <v>0</v>
      </c>
      <c r="AM50" s="147">
        <v>3.4749927240737069E-3</v>
      </c>
      <c r="AN50" s="147">
        <v>9.6162248209864555E-3</v>
      </c>
      <c r="AO50" s="147">
        <v>1.3340952706656101E-3</v>
      </c>
      <c r="AP50" s="147">
        <v>0</v>
      </c>
      <c r="AQ50" s="147">
        <v>1.8808437626580785E-2</v>
      </c>
      <c r="AR50" s="147">
        <v>0</v>
      </c>
      <c r="AS50" s="147">
        <v>0</v>
      </c>
      <c r="AT50" s="147">
        <v>0</v>
      </c>
      <c r="AU50" s="147">
        <v>1.2151497473516562E-2</v>
      </c>
      <c r="AV50" s="147">
        <v>3.9149969638254279E-3</v>
      </c>
      <c r="AW50" s="147">
        <v>0</v>
      </c>
      <c r="AX50" s="147">
        <v>2.5250486911623286E-2</v>
      </c>
      <c r="AY50" s="147">
        <v>1.2070311956421107E-2</v>
      </c>
      <c r="AZ50" s="147">
        <v>0</v>
      </c>
      <c r="BA50" s="147">
        <v>1.7324991424636289E-2</v>
      </c>
      <c r="BB50" s="147">
        <v>1.8567495068328381E-2</v>
      </c>
      <c r="BC50" s="147">
        <v>0</v>
      </c>
      <c r="BD50" s="147">
        <v>2.4040889231754167E-2</v>
      </c>
      <c r="BE50" s="147">
        <v>0</v>
      </c>
      <c r="BF50" s="147">
        <v>2.3225296110017071E-2</v>
      </c>
      <c r="BG50" s="147">
        <v>6.9637021047897901E-3</v>
      </c>
      <c r="BH50" s="147">
        <v>0</v>
      </c>
      <c r="BI50" s="147">
        <v>0</v>
      </c>
    </row>
    <row r="51" spans="1:61" x14ac:dyDescent="0.15">
      <c r="A51" s="182" t="s">
        <v>242</v>
      </c>
      <c r="B51" s="147">
        <v>0</v>
      </c>
      <c r="C51" s="147">
        <v>0</v>
      </c>
      <c r="D51" s="147">
        <v>0</v>
      </c>
      <c r="E51" s="147">
        <v>0</v>
      </c>
      <c r="F51" s="147">
        <v>0</v>
      </c>
      <c r="G51" s="147">
        <v>0</v>
      </c>
      <c r="H51" s="147">
        <v>0</v>
      </c>
      <c r="I51" s="147">
        <v>0</v>
      </c>
      <c r="J51" s="147">
        <v>0</v>
      </c>
      <c r="K51" s="147">
        <v>0</v>
      </c>
      <c r="L51" s="147">
        <v>0</v>
      </c>
      <c r="M51" s="147">
        <v>0</v>
      </c>
      <c r="N51" s="147">
        <v>0</v>
      </c>
      <c r="O51" s="147">
        <v>0</v>
      </c>
      <c r="P51" s="147">
        <v>0</v>
      </c>
      <c r="Q51" s="147">
        <v>2.6183356589424552E-4</v>
      </c>
      <c r="R51" s="147">
        <v>0</v>
      </c>
      <c r="S51" s="147">
        <v>0</v>
      </c>
      <c r="T51" s="147">
        <v>0</v>
      </c>
      <c r="U51" s="147">
        <v>0</v>
      </c>
      <c r="V51" s="147">
        <v>0</v>
      </c>
      <c r="W51" s="147">
        <v>0</v>
      </c>
      <c r="X51" s="147">
        <v>0</v>
      </c>
      <c r="Y51" s="147">
        <v>0</v>
      </c>
      <c r="Z51" s="147">
        <v>3.4402420154129723E-4</v>
      </c>
      <c r="AA51" s="147">
        <v>5.9546302566383817E-2</v>
      </c>
      <c r="AB51" s="147">
        <v>8.6030180018160964E-3</v>
      </c>
      <c r="AC51" s="147">
        <v>5.2712199317218884E-2</v>
      </c>
      <c r="AD51" s="147">
        <v>7.9518561135525061E-3</v>
      </c>
      <c r="AE51" s="147">
        <v>4.5136757711399467E-2</v>
      </c>
      <c r="AF51" s="147">
        <v>1.4111380167078741E-2</v>
      </c>
      <c r="AG51" s="147">
        <v>0</v>
      </c>
      <c r="AH51" s="147">
        <v>0</v>
      </c>
      <c r="AI51" s="147">
        <v>7.3769943194458747E-3</v>
      </c>
      <c r="AJ51" s="147">
        <v>3.4879529539706002E-2</v>
      </c>
      <c r="AK51" s="147">
        <v>2.4225344854185028E-2</v>
      </c>
      <c r="AL51" s="147">
        <v>1.509356494986944E-4</v>
      </c>
      <c r="AM51" s="147">
        <v>8.2702930572941084E-3</v>
      </c>
      <c r="AN51" s="147">
        <v>1.8926653647665541E-2</v>
      </c>
      <c r="AO51" s="147">
        <v>3.5936000287295348E-4</v>
      </c>
      <c r="AP51" s="147">
        <v>0</v>
      </c>
      <c r="AQ51" s="147">
        <v>1.1063789074459299E-2</v>
      </c>
      <c r="AR51" s="147">
        <v>0</v>
      </c>
      <c r="AS51" s="147">
        <v>0</v>
      </c>
      <c r="AT51" s="147">
        <v>3.6730375863624515E-2</v>
      </c>
      <c r="AU51" s="147">
        <v>5.8327210352879626E-2</v>
      </c>
      <c r="AV51" s="147">
        <v>1.5659995255301644E-2</v>
      </c>
      <c r="AW51" s="147">
        <v>0</v>
      </c>
      <c r="AX51" s="147">
        <v>2.7655288503206484E-2</v>
      </c>
      <c r="AY51" s="147">
        <v>2.2128903753438726E-2</v>
      </c>
      <c r="AZ51" s="147">
        <v>1.1512795600161324E-2</v>
      </c>
      <c r="BA51" s="147">
        <v>8.3959559634775929E-2</v>
      </c>
      <c r="BB51" s="147">
        <v>0.10645369439174959</v>
      </c>
      <c r="BC51" s="147">
        <v>0</v>
      </c>
      <c r="BD51" s="147">
        <v>0.10367634199943992</v>
      </c>
      <c r="BE51" s="147">
        <v>0</v>
      </c>
      <c r="BF51" s="147">
        <v>9.8260889196225901E-2</v>
      </c>
      <c r="BG51" s="147">
        <v>4.7353167812570478E-2</v>
      </c>
      <c r="BH51" s="147">
        <v>0</v>
      </c>
      <c r="BI51" s="147">
        <v>0</v>
      </c>
    </row>
    <row r="52" spans="1:61" x14ac:dyDescent="0.15">
      <c r="A52" s="182" t="s">
        <v>243</v>
      </c>
      <c r="B52" s="147">
        <v>0</v>
      </c>
      <c r="C52" s="147">
        <v>0</v>
      </c>
      <c r="D52" s="147">
        <v>0</v>
      </c>
      <c r="E52" s="147">
        <v>0</v>
      </c>
      <c r="F52" s="147">
        <v>0</v>
      </c>
      <c r="G52" s="147">
        <v>0</v>
      </c>
      <c r="H52" s="147">
        <v>0</v>
      </c>
      <c r="I52" s="147">
        <v>0</v>
      </c>
      <c r="J52" s="147">
        <v>0</v>
      </c>
      <c r="K52" s="147">
        <v>0</v>
      </c>
      <c r="L52" s="147">
        <v>0</v>
      </c>
      <c r="M52" s="147">
        <v>0</v>
      </c>
      <c r="N52" s="147">
        <v>0</v>
      </c>
      <c r="O52" s="147">
        <v>0</v>
      </c>
      <c r="P52" s="147">
        <v>0</v>
      </c>
      <c r="Q52" s="147">
        <v>0</v>
      </c>
      <c r="R52" s="147">
        <v>0</v>
      </c>
      <c r="S52" s="147">
        <v>0</v>
      </c>
      <c r="T52" s="147">
        <v>0</v>
      </c>
      <c r="U52" s="147">
        <v>0</v>
      </c>
      <c r="V52" s="147">
        <v>0</v>
      </c>
      <c r="W52" s="147">
        <v>0</v>
      </c>
      <c r="X52" s="147">
        <v>0</v>
      </c>
      <c r="Y52" s="147">
        <v>0</v>
      </c>
      <c r="Z52" s="147">
        <v>0</v>
      </c>
      <c r="AA52" s="147">
        <v>0</v>
      </c>
      <c r="AB52" s="147">
        <v>0</v>
      </c>
      <c r="AC52" s="147">
        <v>0</v>
      </c>
      <c r="AD52" s="147">
        <v>0</v>
      </c>
      <c r="AE52" s="147">
        <v>0</v>
      </c>
      <c r="AF52" s="147">
        <v>0</v>
      </c>
      <c r="AG52" s="147">
        <v>0</v>
      </c>
      <c r="AH52" s="147">
        <v>0</v>
      </c>
      <c r="AI52" s="147">
        <v>0</v>
      </c>
      <c r="AJ52" s="147">
        <v>0</v>
      </c>
      <c r="AK52" s="147">
        <v>0</v>
      </c>
      <c r="AL52" s="147">
        <v>0</v>
      </c>
      <c r="AM52" s="147">
        <v>0</v>
      </c>
      <c r="AN52" s="147">
        <v>0</v>
      </c>
      <c r="AO52" s="147">
        <v>0</v>
      </c>
      <c r="AP52" s="147">
        <v>0</v>
      </c>
      <c r="AQ52" s="147">
        <v>0</v>
      </c>
      <c r="AR52" s="147">
        <v>0</v>
      </c>
      <c r="AS52" s="147">
        <v>0</v>
      </c>
      <c r="AT52" s="147">
        <v>0</v>
      </c>
      <c r="AU52" s="147">
        <v>0</v>
      </c>
      <c r="AV52" s="147">
        <v>0</v>
      </c>
      <c r="AW52" s="147">
        <v>0</v>
      </c>
      <c r="AX52" s="147">
        <v>0</v>
      </c>
      <c r="AY52" s="147">
        <v>0</v>
      </c>
      <c r="AZ52" s="147">
        <v>0</v>
      </c>
      <c r="BA52" s="147">
        <v>0</v>
      </c>
      <c r="BB52" s="147">
        <v>2.8470164304770201E-2</v>
      </c>
      <c r="BC52" s="147">
        <v>0</v>
      </c>
      <c r="BD52" s="147">
        <v>0</v>
      </c>
      <c r="BE52" s="147">
        <v>0</v>
      </c>
      <c r="BF52" s="147">
        <v>0</v>
      </c>
      <c r="BG52" s="147">
        <v>0</v>
      </c>
      <c r="BH52" s="147">
        <v>0</v>
      </c>
      <c r="BI52" s="147">
        <v>0</v>
      </c>
    </row>
    <row r="53" spans="1:61" x14ac:dyDescent="0.15">
      <c r="A53" s="182" t="s">
        <v>244</v>
      </c>
      <c r="B53" s="147">
        <v>0</v>
      </c>
      <c r="C53" s="147">
        <v>0</v>
      </c>
      <c r="D53" s="147">
        <v>0</v>
      </c>
      <c r="E53" s="147">
        <v>0</v>
      </c>
      <c r="F53" s="147">
        <v>0</v>
      </c>
      <c r="G53" s="147">
        <v>0</v>
      </c>
      <c r="H53" s="147">
        <v>0</v>
      </c>
      <c r="I53" s="147">
        <v>0</v>
      </c>
      <c r="J53" s="147">
        <v>0</v>
      </c>
      <c r="K53" s="147">
        <v>0</v>
      </c>
      <c r="L53" s="147">
        <v>0</v>
      </c>
      <c r="M53" s="147">
        <v>0</v>
      </c>
      <c r="N53" s="147">
        <v>0</v>
      </c>
      <c r="O53" s="147">
        <v>0</v>
      </c>
      <c r="P53" s="147">
        <v>0</v>
      </c>
      <c r="Q53" s="147">
        <v>0</v>
      </c>
      <c r="R53" s="147">
        <v>0</v>
      </c>
      <c r="S53" s="147">
        <v>0</v>
      </c>
      <c r="T53" s="147">
        <v>0</v>
      </c>
      <c r="U53" s="147">
        <v>0</v>
      </c>
      <c r="V53" s="147">
        <v>0</v>
      </c>
      <c r="W53" s="147">
        <v>0</v>
      </c>
      <c r="X53" s="147">
        <v>0</v>
      </c>
      <c r="Y53" s="147">
        <v>0</v>
      </c>
      <c r="Z53" s="147">
        <v>0</v>
      </c>
      <c r="AA53" s="147">
        <v>0</v>
      </c>
      <c r="AB53" s="147">
        <v>0</v>
      </c>
      <c r="AC53" s="147">
        <v>0</v>
      </c>
      <c r="AD53" s="147">
        <v>0</v>
      </c>
      <c r="AE53" s="147">
        <v>0</v>
      </c>
      <c r="AF53" s="147">
        <v>0</v>
      </c>
      <c r="AG53" s="147">
        <v>0</v>
      </c>
      <c r="AH53" s="147">
        <v>0</v>
      </c>
      <c r="AI53" s="147">
        <v>0</v>
      </c>
      <c r="AJ53" s="147">
        <v>0</v>
      </c>
      <c r="AK53" s="147">
        <v>0</v>
      </c>
      <c r="AL53" s="147">
        <v>0</v>
      </c>
      <c r="AM53" s="147">
        <v>0</v>
      </c>
      <c r="AN53" s="147">
        <v>0</v>
      </c>
      <c r="AO53" s="147">
        <v>0</v>
      </c>
      <c r="AP53" s="147">
        <v>0</v>
      </c>
      <c r="AQ53" s="147">
        <v>0</v>
      </c>
      <c r="AR53" s="147">
        <v>0</v>
      </c>
      <c r="AS53" s="147">
        <v>0</v>
      </c>
      <c r="AT53" s="147">
        <v>0</v>
      </c>
      <c r="AU53" s="147">
        <v>0</v>
      </c>
      <c r="AV53" s="147">
        <v>0</v>
      </c>
      <c r="AW53" s="147">
        <v>0</v>
      </c>
      <c r="AX53" s="147">
        <v>0</v>
      </c>
      <c r="AY53" s="147">
        <v>0</v>
      </c>
      <c r="AZ53" s="147">
        <v>0</v>
      </c>
      <c r="BA53" s="147">
        <v>1.8577701319187E-3</v>
      </c>
      <c r="BB53" s="147">
        <v>5.0575253786116926E-3</v>
      </c>
      <c r="BC53" s="147">
        <v>0</v>
      </c>
      <c r="BD53" s="147">
        <v>0</v>
      </c>
      <c r="BE53" s="147">
        <v>0</v>
      </c>
      <c r="BF53" s="147">
        <v>0</v>
      </c>
      <c r="BG53" s="147">
        <v>0</v>
      </c>
      <c r="BH53" s="147">
        <v>0</v>
      </c>
      <c r="BI53" s="147">
        <v>0</v>
      </c>
    </row>
    <row r="54" spans="1:61" x14ac:dyDescent="0.15">
      <c r="A54" s="182" t="s">
        <v>245</v>
      </c>
      <c r="B54" s="147">
        <v>0</v>
      </c>
      <c r="C54" s="147">
        <v>0</v>
      </c>
      <c r="D54" s="147">
        <v>0</v>
      </c>
      <c r="E54" s="147">
        <v>0</v>
      </c>
      <c r="F54" s="147">
        <v>0</v>
      </c>
      <c r="G54" s="147">
        <v>0</v>
      </c>
      <c r="H54" s="147">
        <v>0</v>
      </c>
      <c r="I54" s="147">
        <v>0</v>
      </c>
      <c r="J54" s="147">
        <v>0</v>
      </c>
      <c r="K54" s="147">
        <v>0</v>
      </c>
      <c r="L54" s="147">
        <v>0</v>
      </c>
      <c r="M54" s="147">
        <v>0</v>
      </c>
      <c r="N54" s="147">
        <v>0</v>
      </c>
      <c r="O54" s="147">
        <v>0</v>
      </c>
      <c r="P54" s="147">
        <v>0</v>
      </c>
      <c r="Q54" s="147">
        <v>0</v>
      </c>
      <c r="R54" s="147">
        <v>0</v>
      </c>
      <c r="S54" s="147">
        <v>0</v>
      </c>
      <c r="T54" s="147">
        <v>0</v>
      </c>
      <c r="U54" s="147">
        <v>0</v>
      </c>
      <c r="V54" s="147">
        <v>0</v>
      </c>
      <c r="W54" s="147">
        <v>0</v>
      </c>
      <c r="X54" s="147">
        <v>0</v>
      </c>
      <c r="Y54" s="147">
        <v>0</v>
      </c>
      <c r="Z54" s="147">
        <v>0</v>
      </c>
      <c r="AA54" s="147">
        <v>0</v>
      </c>
      <c r="AB54" s="147">
        <v>0</v>
      </c>
      <c r="AC54" s="147">
        <v>0</v>
      </c>
      <c r="AD54" s="147">
        <v>0</v>
      </c>
      <c r="AE54" s="147">
        <v>0</v>
      </c>
      <c r="AF54" s="147">
        <v>0</v>
      </c>
      <c r="AG54" s="147">
        <v>0</v>
      </c>
      <c r="AH54" s="147">
        <v>0</v>
      </c>
      <c r="AI54" s="147">
        <v>0</v>
      </c>
      <c r="AJ54" s="147">
        <v>0</v>
      </c>
      <c r="AK54" s="147">
        <v>0</v>
      </c>
      <c r="AL54" s="147">
        <v>0</v>
      </c>
      <c r="AM54" s="147">
        <v>0</v>
      </c>
      <c r="AN54" s="147">
        <v>0</v>
      </c>
      <c r="AO54" s="147">
        <v>0</v>
      </c>
      <c r="AP54" s="147">
        <v>0</v>
      </c>
      <c r="AQ54" s="147">
        <v>0</v>
      </c>
      <c r="AR54" s="147">
        <v>0</v>
      </c>
      <c r="AS54" s="147">
        <v>0</v>
      </c>
      <c r="AT54" s="147">
        <v>0</v>
      </c>
      <c r="AU54" s="147">
        <v>0</v>
      </c>
      <c r="AV54" s="147">
        <v>0</v>
      </c>
      <c r="AW54" s="147">
        <v>0</v>
      </c>
      <c r="AX54" s="147">
        <v>0</v>
      </c>
      <c r="AY54" s="147">
        <v>0</v>
      </c>
      <c r="AZ54" s="147">
        <v>0</v>
      </c>
      <c r="BA54" s="147">
        <v>1.3326913942027925E-2</v>
      </c>
      <c r="BB54" s="147">
        <v>2.4756681291104584E-2</v>
      </c>
      <c r="BC54" s="147">
        <v>0</v>
      </c>
      <c r="BD54" s="147">
        <v>0</v>
      </c>
      <c r="BE54" s="147">
        <v>0</v>
      </c>
      <c r="BF54" s="147">
        <v>0</v>
      </c>
      <c r="BG54" s="147">
        <v>0</v>
      </c>
      <c r="BH54" s="147">
        <v>0</v>
      </c>
      <c r="BI54" s="147">
        <v>0</v>
      </c>
    </row>
    <row r="55" spans="1:61" x14ac:dyDescent="0.15">
      <c r="A55" s="182" t="s">
        <v>246</v>
      </c>
      <c r="B55" s="147">
        <v>0</v>
      </c>
      <c r="C55" s="147">
        <v>0</v>
      </c>
      <c r="D55" s="147">
        <v>0</v>
      </c>
      <c r="E55" s="147">
        <v>0</v>
      </c>
      <c r="F55" s="147">
        <v>0</v>
      </c>
      <c r="G55" s="147">
        <v>0</v>
      </c>
      <c r="H55" s="147">
        <v>0</v>
      </c>
      <c r="I55" s="147">
        <v>0</v>
      </c>
      <c r="J55" s="147">
        <v>0</v>
      </c>
      <c r="K55" s="147">
        <v>0</v>
      </c>
      <c r="L55" s="147">
        <v>0</v>
      </c>
      <c r="M55" s="147">
        <v>0</v>
      </c>
      <c r="N55" s="147">
        <v>0</v>
      </c>
      <c r="O55" s="147">
        <v>0</v>
      </c>
      <c r="P55" s="147">
        <v>0</v>
      </c>
      <c r="Q55" s="147">
        <v>0</v>
      </c>
      <c r="R55" s="147">
        <v>0</v>
      </c>
      <c r="S55" s="147">
        <v>0</v>
      </c>
      <c r="T55" s="147">
        <v>0</v>
      </c>
      <c r="U55" s="147">
        <v>0</v>
      </c>
      <c r="V55" s="147">
        <v>0</v>
      </c>
      <c r="W55" s="147">
        <v>0</v>
      </c>
      <c r="X55" s="147">
        <v>0</v>
      </c>
      <c r="Y55" s="147">
        <v>0</v>
      </c>
      <c r="Z55" s="147">
        <v>0</v>
      </c>
      <c r="AA55" s="147">
        <v>0</v>
      </c>
      <c r="AB55" s="147">
        <v>0</v>
      </c>
      <c r="AC55" s="147">
        <v>0</v>
      </c>
      <c r="AD55" s="147">
        <v>0</v>
      </c>
      <c r="AE55" s="147">
        <v>0</v>
      </c>
      <c r="AF55" s="147">
        <v>0</v>
      </c>
      <c r="AG55" s="147">
        <v>0</v>
      </c>
      <c r="AH55" s="147">
        <v>0</v>
      </c>
      <c r="AI55" s="147">
        <v>0</v>
      </c>
      <c r="AJ55" s="147">
        <v>0</v>
      </c>
      <c r="AK55" s="147">
        <v>0</v>
      </c>
      <c r="AL55" s="147">
        <v>0</v>
      </c>
      <c r="AM55" s="147">
        <v>0</v>
      </c>
      <c r="AN55" s="147">
        <v>0</v>
      </c>
      <c r="AO55" s="147">
        <v>0</v>
      </c>
      <c r="AP55" s="147">
        <v>0</v>
      </c>
      <c r="AQ55" s="147">
        <v>0</v>
      </c>
      <c r="AR55" s="147">
        <v>0</v>
      </c>
      <c r="AS55" s="147">
        <v>0</v>
      </c>
      <c r="AT55" s="147">
        <v>0</v>
      </c>
      <c r="AU55" s="147">
        <v>0</v>
      </c>
      <c r="AV55" s="147">
        <v>0</v>
      </c>
      <c r="AW55" s="147">
        <v>0</v>
      </c>
      <c r="AX55" s="147">
        <v>0</v>
      </c>
      <c r="AY55" s="147">
        <v>0</v>
      </c>
      <c r="AZ55" s="147">
        <v>0</v>
      </c>
      <c r="BA55" s="147">
        <v>1.2394033346085957E-2</v>
      </c>
      <c r="BB55" s="147">
        <v>1.216806004477846E-2</v>
      </c>
      <c r="BC55" s="147">
        <v>0</v>
      </c>
      <c r="BD55" s="147">
        <v>0</v>
      </c>
      <c r="BE55" s="147">
        <v>0</v>
      </c>
      <c r="BF55" s="147">
        <v>0</v>
      </c>
      <c r="BG55" s="147">
        <v>0</v>
      </c>
      <c r="BH55" s="147">
        <v>0</v>
      </c>
      <c r="BI55" s="147">
        <v>0</v>
      </c>
    </row>
    <row r="56" spans="1:61" x14ac:dyDescent="0.15">
      <c r="A56" s="182" t="s">
        <v>247</v>
      </c>
      <c r="B56" s="147">
        <v>0</v>
      </c>
      <c r="C56" s="147">
        <v>0</v>
      </c>
      <c r="D56" s="147">
        <v>0</v>
      </c>
      <c r="E56" s="147">
        <v>0</v>
      </c>
      <c r="F56" s="147">
        <v>0</v>
      </c>
      <c r="G56" s="147">
        <v>0</v>
      </c>
      <c r="H56" s="147">
        <v>0</v>
      </c>
      <c r="I56" s="147">
        <v>0</v>
      </c>
      <c r="J56" s="147">
        <v>0</v>
      </c>
      <c r="K56" s="147">
        <v>0</v>
      </c>
      <c r="L56" s="147">
        <v>0</v>
      </c>
      <c r="M56" s="147">
        <v>0</v>
      </c>
      <c r="N56" s="147">
        <v>0</v>
      </c>
      <c r="O56" s="147">
        <v>0</v>
      </c>
      <c r="P56" s="147">
        <v>0</v>
      </c>
      <c r="Q56" s="147">
        <v>0</v>
      </c>
      <c r="R56" s="147">
        <v>0</v>
      </c>
      <c r="S56" s="147">
        <v>0</v>
      </c>
      <c r="T56" s="147">
        <v>0</v>
      </c>
      <c r="U56" s="147">
        <v>0</v>
      </c>
      <c r="V56" s="147">
        <v>0</v>
      </c>
      <c r="W56" s="147">
        <v>0</v>
      </c>
      <c r="X56" s="147">
        <v>0</v>
      </c>
      <c r="Y56" s="147">
        <v>0</v>
      </c>
      <c r="Z56" s="147">
        <v>0</v>
      </c>
      <c r="AA56" s="147">
        <v>0</v>
      </c>
      <c r="AB56" s="147">
        <v>0</v>
      </c>
      <c r="AC56" s="147">
        <v>0</v>
      </c>
      <c r="AD56" s="147">
        <v>0</v>
      </c>
      <c r="AE56" s="147">
        <v>0</v>
      </c>
      <c r="AF56" s="147">
        <v>0</v>
      </c>
      <c r="AG56" s="147">
        <v>0</v>
      </c>
      <c r="AH56" s="147">
        <v>0</v>
      </c>
      <c r="AI56" s="147">
        <v>0</v>
      </c>
      <c r="AJ56" s="147">
        <v>0</v>
      </c>
      <c r="AK56" s="147">
        <v>0</v>
      </c>
      <c r="AL56" s="147">
        <v>0</v>
      </c>
      <c r="AM56" s="147">
        <v>0</v>
      </c>
      <c r="AN56" s="147">
        <v>0</v>
      </c>
      <c r="AO56" s="147">
        <v>0</v>
      </c>
      <c r="AP56" s="147">
        <v>0</v>
      </c>
      <c r="AQ56" s="147">
        <v>0</v>
      </c>
      <c r="AR56" s="147">
        <v>0</v>
      </c>
      <c r="AS56" s="147">
        <v>0</v>
      </c>
      <c r="AT56" s="147">
        <v>0</v>
      </c>
      <c r="AU56" s="147">
        <v>0</v>
      </c>
      <c r="AV56" s="147">
        <v>0</v>
      </c>
      <c r="AW56" s="147">
        <v>0</v>
      </c>
      <c r="AX56" s="147">
        <v>0</v>
      </c>
      <c r="AY56" s="147">
        <v>0</v>
      </c>
      <c r="AZ56" s="147">
        <v>0</v>
      </c>
      <c r="BA56" s="147">
        <v>1.9990375213041867E-2</v>
      </c>
      <c r="BB56" s="147">
        <v>1.9805332672883622E-2</v>
      </c>
      <c r="BC56" s="147">
        <v>0</v>
      </c>
      <c r="BD56" s="147">
        <v>0</v>
      </c>
      <c r="BE56" s="147">
        <v>0</v>
      </c>
      <c r="BF56" s="147">
        <v>0</v>
      </c>
      <c r="BG56" s="147">
        <v>0</v>
      </c>
      <c r="BH56" s="147">
        <v>0</v>
      </c>
      <c r="BI56" s="147">
        <v>0</v>
      </c>
    </row>
    <row r="57" spans="1:61" x14ac:dyDescent="0.15">
      <c r="A57" s="182" t="s">
        <v>248</v>
      </c>
      <c r="B57" s="147">
        <v>0</v>
      </c>
      <c r="C57" s="147">
        <v>0</v>
      </c>
      <c r="D57" s="147">
        <v>0</v>
      </c>
      <c r="E57" s="147">
        <v>0</v>
      </c>
      <c r="F57" s="147">
        <v>0</v>
      </c>
      <c r="G57" s="147">
        <v>0</v>
      </c>
      <c r="H57" s="147">
        <v>0</v>
      </c>
      <c r="I57" s="147">
        <v>0</v>
      </c>
      <c r="J57" s="147">
        <v>0</v>
      </c>
      <c r="K57" s="147">
        <v>0</v>
      </c>
      <c r="L57" s="147">
        <v>0</v>
      </c>
      <c r="M57" s="147">
        <v>0</v>
      </c>
      <c r="N57" s="147">
        <v>0</v>
      </c>
      <c r="O57" s="147">
        <v>0</v>
      </c>
      <c r="P57" s="147">
        <v>0</v>
      </c>
      <c r="Q57" s="147">
        <v>0</v>
      </c>
      <c r="R57" s="147">
        <v>0</v>
      </c>
      <c r="S57" s="147">
        <v>0</v>
      </c>
      <c r="T57" s="147">
        <v>0</v>
      </c>
      <c r="U57" s="147">
        <v>0</v>
      </c>
      <c r="V57" s="147">
        <v>0</v>
      </c>
      <c r="W57" s="147">
        <v>0</v>
      </c>
      <c r="X57" s="147">
        <v>0</v>
      </c>
      <c r="Y57" s="147">
        <v>0</v>
      </c>
      <c r="Z57" s="147">
        <v>0</v>
      </c>
      <c r="AA57" s="147">
        <v>0</v>
      </c>
      <c r="AB57" s="147">
        <v>0</v>
      </c>
      <c r="AC57" s="147">
        <v>0</v>
      </c>
      <c r="AD57" s="147">
        <v>0</v>
      </c>
      <c r="AE57" s="147">
        <v>0</v>
      </c>
      <c r="AF57" s="147">
        <v>0</v>
      </c>
      <c r="AG57" s="147">
        <v>0</v>
      </c>
      <c r="AH57" s="147">
        <v>0</v>
      </c>
      <c r="AI57" s="147">
        <v>0</v>
      </c>
      <c r="AJ57" s="147">
        <v>0</v>
      </c>
      <c r="AK57" s="147">
        <v>0</v>
      </c>
      <c r="AL57" s="147">
        <v>0</v>
      </c>
      <c r="AM57" s="147">
        <v>0</v>
      </c>
      <c r="AN57" s="147">
        <v>0</v>
      </c>
      <c r="AO57" s="147">
        <v>0</v>
      </c>
      <c r="AP57" s="147">
        <v>0</v>
      </c>
      <c r="AQ57" s="147">
        <v>0</v>
      </c>
      <c r="AR57" s="147">
        <v>0</v>
      </c>
      <c r="AS57" s="147">
        <v>0</v>
      </c>
      <c r="AT57" s="147">
        <v>0</v>
      </c>
      <c r="AU57" s="147">
        <v>0</v>
      </c>
      <c r="AV57" s="147">
        <v>0</v>
      </c>
      <c r="AW57" s="147">
        <v>0</v>
      </c>
      <c r="AX57" s="147">
        <v>0</v>
      </c>
      <c r="AY57" s="147">
        <v>0</v>
      </c>
      <c r="AZ57" s="147">
        <v>0</v>
      </c>
      <c r="BA57" s="147">
        <v>1.5992291230433532E-2</v>
      </c>
      <c r="BB57" s="147">
        <v>1.3616171750107512E-2</v>
      </c>
      <c r="BC57" s="147">
        <v>0</v>
      </c>
      <c r="BD57" s="147">
        <v>0</v>
      </c>
      <c r="BE57" s="147">
        <v>0</v>
      </c>
      <c r="BF57" s="147">
        <v>0</v>
      </c>
      <c r="BG57" s="147">
        <v>0</v>
      </c>
      <c r="BH57" s="147">
        <v>0</v>
      </c>
      <c r="BI57" s="147">
        <v>0</v>
      </c>
    </row>
    <row r="58" spans="1:61" x14ac:dyDescent="0.15">
      <c r="A58" s="182" t="s">
        <v>249</v>
      </c>
      <c r="B58" s="147">
        <v>0</v>
      </c>
      <c r="C58" s="147">
        <v>0</v>
      </c>
      <c r="D58" s="147">
        <v>0</v>
      </c>
      <c r="E58" s="147">
        <v>0</v>
      </c>
      <c r="F58" s="147">
        <v>0</v>
      </c>
      <c r="G58" s="147">
        <v>0</v>
      </c>
      <c r="H58" s="147">
        <v>0</v>
      </c>
      <c r="I58" s="147">
        <v>0</v>
      </c>
      <c r="J58" s="147">
        <v>0</v>
      </c>
      <c r="K58" s="147">
        <v>0</v>
      </c>
      <c r="L58" s="147">
        <v>0</v>
      </c>
      <c r="M58" s="147">
        <v>0</v>
      </c>
      <c r="N58" s="147">
        <v>0</v>
      </c>
      <c r="O58" s="147">
        <v>0</v>
      </c>
      <c r="P58" s="147">
        <v>0</v>
      </c>
      <c r="Q58" s="147">
        <v>0</v>
      </c>
      <c r="R58" s="147">
        <v>0</v>
      </c>
      <c r="S58" s="147">
        <v>0</v>
      </c>
      <c r="T58" s="147">
        <v>0</v>
      </c>
      <c r="U58" s="147">
        <v>0</v>
      </c>
      <c r="V58" s="147">
        <v>0</v>
      </c>
      <c r="W58" s="147">
        <v>0</v>
      </c>
      <c r="X58" s="147">
        <v>0</v>
      </c>
      <c r="Y58" s="147">
        <v>0</v>
      </c>
      <c r="Z58" s="147">
        <v>0</v>
      </c>
      <c r="AA58" s="147">
        <v>0</v>
      </c>
      <c r="AB58" s="147">
        <v>0</v>
      </c>
      <c r="AC58" s="147">
        <v>0</v>
      </c>
      <c r="AD58" s="147">
        <v>0</v>
      </c>
      <c r="AE58" s="147">
        <v>0</v>
      </c>
      <c r="AF58" s="147">
        <v>0</v>
      </c>
      <c r="AG58" s="147">
        <v>0</v>
      </c>
      <c r="AH58" s="147">
        <v>0</v>
      </c>
      <c r="AI58" s="147">
        <v>0</v>
      </c>
      <c r="AJ58" s="147">
        <v>0</v>
      </c>
      <c r="AK58" s="147">
        <v>0</v>
      </c>
      <c r="AL58" s="147">
        <v>0</v>
      </c>
      <c r="AM58" s="147">
        <v>0</v>
      </c>
      <c r="AN58" s="147">
        <v>0</v>
      </c>
      <c r="AO58" s="147">
        <v>0</v>
      </c>
      <c r="AP58" s="147">
        <v>0</v>
      </c>
      <c r="AQ58" s="147">
        <v>0</v>
      </c>
      <c r="AR58" s="147">
        <v>0</v>
      </c>
      <c r="AS58" s="147">
        <v>0</v>
      </c>
      <c r="AT58" s="147">
        <v>0</v>
      </c>
      <c r="AU58" s="147">
        <v>0</v>
      </c>
      <c r="AV58" s="147">
        <v>0</v>
      </c>
      <c r="AW58" s="147">
        <v>0</v>
      </c>
      <c r="AX58" s="147">
        <v>0</v>
      </c>
      <c r="AY58" s="147">
        <v>0</v>
      </c>
      <c r="AZ58" s="147">
        <v>0</v>
      </c>
      <c r="BA58" s="147">
        <v>0</v>
      </c>
      <c r="BB58" s="147">
        <v>1.0303034437915165E-2</v>
      </c>
      <c r="BC58" s="147">
        <v>0</v>
      </c>
      <c r="BD58" s="147">
        <v>0</v>
      </c>
      <c r="BE58" s="147">
        <v>0</v>
      </c>
      <c r="BF58" s="147">
        <v>1.5435652873736357E-3</v>
      </c>
      <c r="BG58" s="147">
        <v>0</v>
      </c>
      <c r="BH58" s="147">
        <v>0</v>
      </c>
      <c r="BI58" s="147">
        <v>0</v>
      </c>
    </row>
    <row r="59" spans="1:61" x14ac:dyDescent="0.15">
      <c r="A59" s="182" t="s">
        <v>250</v>
      </c>
      <c r="B59" s="147">
        <v>0</v>
      </c>
      <c r="C59" s="147">
        <v>0</v>
      </c>
      <c r="D59" s="147">
        <v>0</v>
      </c>
      <c r="E59" s="147">
        <v>0</v>
      </c>
      <c r="F59" s="147">
        <v>0</v>
      </c>
      <c r="G59" s="147">
        <v>0</v>
      </c>
      <c r="H59" s="147">
        <v>0</v>
      </c>
      <c r="I59" s="147">
        <v>0</v>
      </c>
      <c r="J59" s="147">
        <v>0</v>
      </c>
      <c r="K59" s="147">
        <v>0</v>
      </c>
      <c r="L59" s="147">
        <v>0</v>
      </c>
      <c r="M59" s="147">
        <v>0</v>
      </c>
      <c r="N59" s="147">
        <v>0</v>
      </c>
      <c r="O59" s="147">
        <v>0</v>
      </c>
      <c r="P59" s="147">
        <v>0</v>
      </c>
      <c r="Q59" s="147">
        <v>0</v>
      </c>
      <c r="R59" s="147">
        <v>0</v>
      </c>
      <c r="S59" s="147">
        <v>0</v>
      </c>
      <c r="T59" s="147">
        <v>0</v>
      </c>
      <c r="U59" s="147">
        <v>0</v>
      </c>
      <c r="V59" s="147">
        <v>0</v>
      </c>
      <c r="W59" s="147">
        <v>0</v>
      </c>
      <c r="X59" s="147">
        <v>0</v>
      </c>
      <c r="Y59" s="147">
        <v>0</v>
      </c>
      <c r="Z59" s="147">
        <v>0</v>
      </c>
      <c r="AA59" s="147">
        <v>0</v>
      </c>
      <c r="AB59" s="147">
        <v>0</v>
      </c>
      <c r="AC59" s="147">
        <v>0</v>
      </c>
      <c r="AD59" s="147">
        <v>0</v>
      </c>
      <c r="AE59" s="147">
        <v>0</v>
      </c>
      <c r="AF59" s="147">
        <v>0</v>
      </c>
      <c r="AG59" s="147">
        <v>0</v>
      </c>
      <c r="AH59" s="147">
        <v>0</v>
      </c>
      <c r="AI59" s="147">
        <v>0</v>
      </c>
      <c r="AJ59" s="147">
        <v>0</v>
      </c>
      <c r="AK59" s="147">
        <v>0</v>
      </c>
      <c r="AL59" s="147">
        <v>0</v>
      </c>
      <c r="AM59" s="147">
        <v>0</v>
      </c>
      <c r="AN59" s="147">
        <v>0</v>
      </c>
      <c r="AO59" s="147">
        <v>0</v>
      </c>
      <c r="AP59" s="147">
        <v>0</v>
      </c>
      <c r="AQ59" s="147">
        <v>0</v>
      </c>
      <c r="AR59" s="147">
        <v>0</v>
      </c>
      <c r="AS59" s="147">
        <v>0</v>
      </c>
      <c r="AT59" s="147">
        <v>0</v>
      </c>
      <c r="AU59" s="147">
        <v>0</v>
      </c>
      <c r="AV59" s="147">
        <v>0</v>
      </c>
      <c r="AW59" s="147">
        <v>0</v>
      </c>
      <c r="AX59" s="147">
        <v>0</v>
      </c>
      <c r="AY59" s="147">
        <v>0</v>
      </c>
      <c r="AZ59" s="147">
        <v>0</v>
      </c>
      <c r="BA59" s="147">
        <v>2.2655759901447445E-2</v>
      </c>
      <c r="BB59" s="147">
        <v>2.7232343400215023E-2</v>
      </c>
      <c r="BC59" s="147">
        <v>0</v>
      </c>
      <c r="BD59" s="147">
        <v>0</v>
      </c>
      <c r="BE59" s="147">
        <v>0</v>
      </c>
      <c r="BF59" s="147">
        <v>0</v>
      </c>
      <c r="BG59" s="147">
        <v>0</v>
      </c>
      <c r="BH59" s="147">
        <v>0</v>
      </c>
      <c r="BI59" s="147">
        <v>0</v>
      </c>
    </row>
    <row r="60" spans="1:61" x14ac:dyDescent="0.15">
      <c r="A60" s="182" t="s">
        <v>251</v>
      </c>
      <c r="B60" s="147">
        <v>0</v>
      </c>
      <c r="C60" s="147">
        <v>0.68592478994959327</v>
      </c>
      <c r="D60" s="147">
        <v>0.54656631475729045</v>
      </c>
      <c r="E60" s="147">
        <v>0.13978439746990243</v>
      </c>
      <c r="F60" s="147">
        <v>7.2609132071574073E-2</v>
      </c>
      <c r="G60" s="147">
        <v>0.10844955437627159</v>
      </c>
      <c r="H60" s="147">
        <v>0.19285908598931584</v>
      </c>
      <c r="I60" s="147">
        <v>0.57306557610316544</v>
      </c>
      <c r="J60" s="147">
        <v>0.35837030716740614</v>
      </c>
      <c r="K60" s="147">
        <v>0.34541487154942235</v>
      </c>
      <c r="L60" s="147">
        <v>0.40384738138263571</v>
      </c>
      <c r="M60" s="147">
        <v>0.17290909412109082</v>
      </c>
      <c r="N60" s="147">
        <v>0.2548522940297282</v>
      </c>
      <c r="O60" s="147">
        <v>0.28362154841171933</v>
      </c>
      <c r="P60" s="147">
        <v>2.2088564404220729E-3</v>
      </c>
      <c r="Q60" s="147">
        <v>0</v>
      </c>
      <c r="R60" s="147">
        <v>0</v>
      </c>
      <c r="S60" s="147">
        <v>0.27827831292992894</v>
      </c>
      <c r="T60" s="147">
        <v>0.22100000000000003</v>
      </c>
      <c r="U60" s="147">
        <v>0.16300000000000001</v>
      </c>
      <c r="V60" s="147">
        <v>1.570230683916099E-2</v>
      </c>
      <c r="W60" s="147">
        <v>0</v>
      </c>
      <c r="X60" s="147">
        <v>0</v>
      </c>
      <c r="Y60" s="147">
        <v>0.10709239521364933</v>
      </c>
      <c r="Z60" s="147">
        <v>3.0091386434815425E-3</v>
      </c>
      <c r="AA60" s="147">
        <v>0</v>
      </c>
      <c r="AB60" s="147">
        <v>0</v>
      </c>
      <c r="AC60" s="147">
        <v>0</v>
      </c>
      <c r="AD60" s="147">
        <v>0</v>
      </c>
      <c r="AE60" s="147">
        <v>0</v>
      </c>
      <c r="AF60" s="147">
        <v>0</v>
      </c>
      <c r="AG60" s="147">
        <v>0</v>
      </c>
      <c r="AH60" s="147">
        <v>0</v>
      </c>
      <c r="AI60" s="147">
        <v>0</v>
      </c>
      <c r="AJ60" s="147">
        <v>0</v>
      </c>
      <c r="AK60" s="147">
        <v>0</v>
      </c>
      <c r="AL60" s="147">
        <v>0</v>
      </c>
      <c r="AM60" s="147">
        <v>0</v>
      </c>
      <c r="AN60" s="147">
        <v>0</v>
      </c>
      <c r="AO60" s="147">
        <v>0</v>
      </c>
      <c r="AP60" s="147">
        <v>0</v>
      </c>
      <c r="AQ60" s="147">
        <v>0</v>
      </c>
      <c r="AR60" s="147">
        <v>0</v>
      </c>
      <c r="AS60" s="147">
        <v>0</v>
      </c>
      <c r="AT60" s="147">
        <v>0</v>
      </c>
      <c r="AU60" s="147">
        <v>0</v>
      </c>
      <c r="AV60" s="147">
        <v>0</v>
      </c>
      <c r="AW60" s="147">
        <v>0</v>
      </c>
      <c r="AX60" s="147">
        <v>0</v>
      </c>
      <c r="AY60" s="147">
        <v>0</v>
      </c>
      <c r="AZ60" s="147">
        <v>0</v>
      </c>
      <c r="BA60" s="147">
        <v>0</v>
      </c>
      <c r="BB60" s="147">
        <v>5.2623488193654436E-2</v>
      </c>
      <c r="BC60" s="147">
        <v>0</v>
      </c>
      <c r="BD60" s="147">
        <v>0</v>
      </c>
      <c r="BE60" s="147">
        <v>1.2845846617588974E-2</v>
      </c>
      <c r="BF60" s="147">
        <v>0</v>
      </c>
      <c r="BG60" s="147">
        <v>0</v>
      </c>
      <c r="BH60" s="147">
        <v>0</v>
      </c>
      <c r="BI60" s="147">
        <v>0</v>
      </c>
    </row>
    <row r="61" spans="1:61" x14ac:dyDescent="0.15">
      <c r="A61" s="182" t="s">
        <v>252</v>
      </c>
      <c r="B61" s="147">
        <v>0</v>
      </c>
      <c r="C61" s="147">
        <v>0</v>
      </c>
      <c r="D61" s="147">
        <v>0</v>
      </c>
      <c r="E61" s="147">
        <v>0</v>
      </c>
      <c r="F61" s="147">
        <v>0</v>
      </c>
      <c r="G61" s="147">
        <v>0</v>
      </c>
      <c r="H61" s="147">
        <v>0</v>
      </c>
      <c r="I61" s="147">
        <v>0</v>
      </c>
      <c r="J61" s="147">
        <v>0</v>
      </c>
      <c r="K61" s="147">
        <v>0</v>
      </c>
      <c r="L61" s="147">
        <v>0</v>
      </c>
      <c r="M61" s="147">
        <v>0</v>
      </c>
      <c r="N61" s="147">
        <v>0</v>
      </c>
      <c r="O61" s="147">
        <v>0</v>
      </c>
      <c r="P61" s="147">
        <v>0</v>
      </c>
      <c r="Q61" s="147">
        <v>0</v>
      </c>
      <c r="R61" s="147">
        <v>0</v>
      </c>
      <c r="S61" s="147">
        <v>0</v>
      </c>
      <c r="T61" s="147">
        <v>0</v>
      </c>
      <c r="U61" s="147">
        <v>0</v>
      </c>
      <c r="V61" s="147">
        <v>0</v>
      </c>
      <c r="W61" s="147">
        <v>0</v>
      </c>
      <c r="X61" s="147">
        <v>0</v>
      </c>
      <c r="Y61" s="147">
        <v>0</v>
      </c>
      <c r="Z61" s="147">
        <v>0</v>
      </c>
      <c r="AA61" s="147">
        <v>0</v>
      </c>
      <c r="AB61" s="147">
        <v>0</v>
      </c>
      <c r="AC61" s="147">
        <v>0</v>
      </c>
      <c r="AD61" s="147">
        <v>0</v>
      </c>
      <c r="AE61" s="147">
        <v>0</v>
      </c>
      <c r="AF61" s="147">
        <v>0</v>
      </c>
      <c r="AG61" s="147">
        <v>0</v>
      </c>
      <c r="AH61" s="147">
        <v>0</v>
      </c>
      <c r="AI61" s="147">
        <v>0</v>
      </c>
      <c r="AJ61" s="147">
        <v>0</v>
      </c>
      <c r="AK61" s="147">
        <v>0</v>
      </c>
      <c r="AL61" s="147">
        <v>0</v>
      </c>
      <c r="AM61" s="147">
        <v>0</v>
      </c>
      <c r="AN61" s="147">
        <v>0</v>
      </c>
      <c r="AO61" s="147">
        <v>0</v>
      </c>
      <c r="AP61" s="147">
        <v>0</v>
      </c>
      <c r="AQ61" s="147">
        <v>0</v>
      </c>
      <c r="AR61" s="147">
        <v>0</v>
      </c>
      <c r="AS61" s="147">
        <v>0</v>
      </c>
      <c r="AT61" s="147">
        <v>0</v>
      </c>
      <c r="AU61" s="147">
        <v>0</v>
      </c>
      <c r="AV61" s="147">
        <v>0</v>
      </c>
      <c r="AW61" s="147">
        <v>0</v>
      </c>
      <c r="AX61" s="147">
        <v>0</v>
      </c>
      <c r="AY61" s="147">
        <v>0</v>
      </c>
      <c r="AZ61" s="147">
        <v>0</v>
      </c>
      <c r="BA61" s="147">
        <v>0</v>
      </c>
      <c r="BB61" s="147">
        <v>0</v>
      </c>
      <c r="BC61" s="147">
        <v>0</v>
      </c>
      <c r="BD61" s="147">
        <v>0</v>
      </c>
      <c r="BE61" s="147">
        <v>0</v>
      </c>
      <c r="BF61" s="147">
        <v>0</v>
      </c>
      <c r="BG61" s="147">
        <v>0</v>
      </c>
      <c r="BH61" s="147">
        <v>0</v>
      </c>
      <c r="BI61" s="147">
        <v>0</v>
      </c>
    </row>
    <row r="62" spans="1:61" x14ac:dyDescent="0.15">
      <c r="A62" s="182" t="s">
        <v>260</v>
      </c>
      <c r="B62" s="147">
        <v>0</v>
      </c>
      <c r="C62" s="147">
        <v>0</v>
      </c>
      <c r="D62" s="147">
        <v>0</v>
      </c>
      <c r="E62" s="147">
        <v>0</v>
      </c>
      <c r="F62" s="147">
        <v>0</v>
      </c>
      <c r="G62" s="147">
        <v>0</v>
      </c>
      <c r="H62" s="147">
        <v>0</v>
      </c>
      <c r="I62" s="147">
        <v>0</v>
      </c>
      <c r="J62" s="147">
        <v>0</v>
      </c>
      <c r="K62" s="147">
        <v>0</v>
      </c>
      <c r="L62" s="147">
        <v>0</v>
      </c>
      <c r="M62" s="147">
        <v>0</v>
      </c>
      <c r="N62" s="147">
        <v>0</v>
      </c>
      <c r="O62" s="147">
        <v>0</v>
      </c>
      <c r="P62" s="147">
        <v>0</v>
      </c>
      <c r="Q62" s="147">
        <v>0</v>
      </c>
      <c r="R62" s="147">
        <v>0</v>
      </c>
      <c r="S62" s="147">
        <v>0</v>
      </c>
      <c r="T62" s="147">
        <v>0</v>
      </c>
      <c r="U62" s="147">
        <v>0</v>
      </c>
      <c r="V62" s="147">
        <v>0</v>
      </c>
      <c r="W62" s="147">
        <v>0</v>
      </c>
      <c r="X62" s="147">
        <v>0</v>
      </c>
      <c r="Y62" s="147">
        <v>0</v>
      </c>
      <c r="Z62" s="147">
        <v>0</v>
      </c>
      <c r="AA62" s="147">
        <v>0</v>
      </c>
      <c r="AB62" s="147">
        <v>0</v>
      </c>
      <c r="AC62" s="147">
        <v>0</v>
      </c>
      <c r="AD62" s="147">
        <v>0</v>
      </c>
      <c r="AE62" s="147">
        <v>0</v>
      </c>
      <c r="AF62" s="147">
        <v>0</v>
      </c>
      <c r="AG62" s="147">
        <v>0</v>
      </c>
      <c r="AH62" s="147">
        <v>0</v>
      </c>
      <c r="AI62" s="147">
        <v>0</v>
      </c>
      <c r="AJ62" s="147">
        <v>0</v>
      </c>
      <c r="AK62" s="147">
        <v>0</v>
      </c>
      <c r="AL62" s="147">
        <v>0</v>
      </c>
      <c r="AM62" s="147">
        <v>0</v>
      </c>
      <c r="AN62" s="147">
        <v>0</v>
      </c>
      <c r="AO62" s="147">
        <v>0</v>
      </c>
      <c r="AP62" s="147">
        <v>0</v>
      </c>
      <c r="AQ62" s="147">
        <v>0</v>
      </c>
      <c r="AR62" s="147">
        <v>0</v>
      </c>
      <c r="AS62" s="147">
        <v>0</v>
      </c>
      <c r="AT62" s="147">
        <v>0</v>
      </c>
      <c r="AU62" s="147">
        <v>0</v>
      </c>
      <c r="AV62" s="147">
        <v>0</v>
      </c>
      <c r="AW62" s="147">
        <v>0</v>
      </c>
      <c r="AX62" s="147">
        <v>0</v>
      </c>
      <c r="AY62" s="147">
        <v>0</v>
      </c>
      <c r="AZ62" s="147">
        <v>0</v>
      </c>
      <c r="BA62" s="147">
        <v>0</v>
      </c>
      <c r="BB62" s="147">
        <v>0</v>
      </c>
      <c r="BC62" s="147">
        <v>0</v>
      </c>
      <c r="BD62" s="147">
        <v>0</v>
      </c>
      <c r="BE62" s="147">
        <v>0</v>
      </c>
      <c r="BF62" s="147">
        <v>0</v>
      </c>
      <c r="BG62" s="147">
        <v>0</v>
      </c>
      <c r="BH62" s="147">
        <v>0</v>
      </c>
      <c r="BI62" s="147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4.83203125" customWidth="1"/>
    <col min="3" max="4" width="2.33203125" style="115" customWidth="1"/>
    <col min="5" max="6" width="2.33203125" style="114" bestFit="1" customWidth="1"/>
    <col min="7" max="8" width="8.83203125" style="115"/>
  </cols>
  <sheetData>
    <row r="1" spans="1:8" ht="70" x14ac:dyDescent="0.15">
      <c r="A1" s="5" t="s">
        <v>20</v>
      </c>
      <c r="B1" s="1" t="s">
        <v>0</v>
      </c>
      <c r="C1" s="185" t="s">
        <v>251</v>
      </c>
      <c r="D1" s="185" t="s">
        <v>252</v>
      </c>
      <c r="E1" s="185" t="s">
        <v>261</v>
      </c>
      <c r="F1" s="185" t="s">
        <v>262</v>
      </c>
      <c r="G1"/>
      <c r="H1"/>
    </row>
    <row r="2" spans="1:8" x14ac:dyDescent="0.15">
      <c r="A2">
        <v>1</v>
      </c>
      <c r="B2" s="184" t="s">
        <v>193</v>
      </c>
      <c r="C2" s="115">
        <v>1</v>
      </c>
      <c r="D2" s="115">
        <v>0</v>
      </c>
      <c r="E2" s="114">
        <v>0</v>
      </c>
      <c r="F2" s="114">
        <v>1</v>
      </c>
      <c r="G2"/>
      <c r="H2"/>
    </row>
    <row r="3" spans="1:8" x14ac:dyDescent="0.15">
      <c r="A3">
        <v>2</v>
      </c>
      <c r="B3" s="184" t="s">
        <v>194</v>
      </c>
      <c r="C3" s="115">
        <v>1</v>
      </c>
      <c r="D3" s="115">
        <v>0</v>
      </c>
      <c r="E3" s="114">
        <v>0</v>
      </c>
      <c r="F3" s="114">
        <v>1</v>
      </c>
      <c r="G3"/>
      <c r="H3"/>
    </row>
    <row r="4" spans="1:8" x14ac:dyDescent="0.15">
      <c r="A4">
        <v>3</v>
      </c>
      <c r="B4" s="184" t="s">
        <v>195</v>
      </c>
      <c r="C4" s="115">
        <v>1</v>
      </c>
      <c r="D4" s="115">
        <v>0</v>
      </c>
      <c r="E4" s="114">
        <v>0</v>
      </c>
      <c r="F4" s="114">
        <v>1</v>
      </c>
      <c r="G4"/>
      <c r="H4"/>
    </row>
    <row r="5" spans="1:8" x14ac:dyDescent="0.15">
      <c r="A5">
        <v>4</v>
      </c>
      <c r="B5" s="184" t="s">
        <v>196</v>
      </c>
      <c r="C5" s="115">
        <v>1</v>
      </c>
      <c r="D5" s="115">
        <v>0</v>
      </c>
      <c r="E5" s="114">
        <v>0</v>
      </c>
      <c r="F5" s="114">
        <v>1</v>
      </c>
      <c r="G5"/>
      <c r="H5"/>
    </row>
    <row r="6" spans="1:8" x14ac:dyDescent="0.15">
      <c r="A6">
        <v>5</v>
      </c>
      <c r="B6" s="184" t="s">
        <v>197</v>
      </c>
      <c r="C6" s="115">
        <v>1</v>
      </c>
      <c r="D6" s="115">
        <v>0</v>
      </c>
      <c r="E6" s="114">
        <v>0</v>
      </c>
      <c r="F6" s="114">
        <v>1</v>
      </c>
      <c r="G6"/>
      <c r="H6"/>
    </row>
    <row r="7" spans="1:8" x14ac:dyDescent="0.15">
      <c r="A7">
        <v>6</v>
      </c>
      <c r="B7" s="184" t="s">
        <v>198</v>
      </c>
      <c r="C7" s="115">
        <v>1</v>
      </c>
      <c r="D7" s="115">
        <v>0</v>
      </c>
      <c r="E7" s="114">
        <v>0</v>
      </c>
      <c r="F7" s="114">
        <v>1</v>
      </c>
      <c r="G7"/>
      <c r="H7"/>
    </row>
    <row r="8" spans="1:8" x14ac:dyDescent="0.15">
      <c r="A8">
        <v>7</v>
      </c>
      <c r="B8" s="184" t="s">
        <v>199</v>
      </c>
      <c r="C8" s="115">
        <v>1</v>
      </c>
      <c r="D8" s="115">
        <v>0</v>
      </c>
      <c r="E8" s="114">
        <v>0</v>
      </c>
      <c r="F8" s="114">
        <v>1</v>
      </c>
      <c r="G8"/>
      <c r="H8"/>
    </row>
    <row r="9" spans="1:8" x14ac:dyDescent="0.15">
      <c r="A9">
        <v>8</v>
      </c>
      <c r="B9" s="184" t="s">
        <v>200</v>
      </c>
      <c r="C9" s="115">
        <v>1</v>
      </c>
      <c r="D9" s="115">
        <v>0</v>
      </c>
      <c r="E9" s="114">
        <v>0</v>
      </c>
      <c r="F9" s="114">
        <v>1</v>
      </c>
      <c r="G9"/>
      <c r="H9"/>
    </row>
    <row r="10" spans="1:8" x14ac:dyDescent="0.15">
      <c r="A10">
        <v>9</v>
      </c>
      <c r="B10" s="184" t="s">
        <v>201</v>
      </c>
      <c r="C10" s="115">
        <v>1</v>
      </c>
      <c r="D10" s="115">
        <v>0</v>
      </c>
      <c r="E10" s="114">
        <v>0</v>
      </c>
      <c r="F10" s="114">
        <v>1</v>
      </c>
      <c r="G10"/>
      <c r="H10"/>
    </row>
    <row r="11" spans="1:8" x14ac:dyDescent="0.15">
      <c r="A11">
        <v>10</v>
      </c>
      <c r="B11" s="184" t="s">
        <v>202</v>
      </c>
      <c r="C11" s="115">
        <v>1</v>
      </c>
      <c r="D11" s="115">
        <v>0</v>
      </c>
      <c r="E11" s="114">
        <v>0</v>
      </c>
      <c r="F11" s="114">
        <v>1</v>
      </c>
      <c r="G11"/>
      <c r="H11"/>
    </row>
    <row r="12" spans="1:8" x14ac:dyDescent="0.15">
      <c r="A12">
        <v>11</v>
      </c>
      <c r="B12" s="184" t="s">
        <v>203</v>
      </c>
      <c r="C12" s="115">
        <v>1</v>
      </c>
      <c r="D12" s="115">
        <v>0</v>
      </c>
      <c r="E12" s="114">
        <v>0</v>
      </c>
      <c r="F12" s="114">
        <v>1</v>
      </c>
      <c r="G12"/>
      <c r="H12"/>
    </row>
    <row r="13" spans="1:8" x14ac:dyDescent="0.15">
      <c r="A13">
        <v>12</v>
      </c>
      <c r="B13" s="184" t="s">
        <v>204</v>
      </c>
      <c r="C13" s="115">
        <v>1</v>
      </c>
      <c r="D13" s="115">
        <v>0</v>
      </c>
      <c r="E13" s="114">
        <v>0</v>
      </c>
      <c r="F13" s="114">
        <v>1</v>
      </c>
      <c r="G13"/>
      <c r="H13"/>
    </row>
    <row r="14" spans="1:8" x14ac:dyDescent="0.15">
      <c r="A14">
        <v>13</v>
      </c>
      <c r="B14" s="184" t="s">
        <v>205</v>
      </c>
      <c r="C14" s="115">
        <v>1</v>
      </c>
      <c r="D14" s="115">
        <v>0</v>
      </c>
      <c r="E14" s="114">
        <v>0</v>
      </c>
      <c r="F14" s="114">
        <v>1</v>
      </c>
      <c r="G14"/>
      <c r="H14"/>
    </row>
    <row r="15" spans="1:8" x14ac:dyDescent="0.15">
      <c r="A15">
        <v>14</v>
      </c>
      <c r="B15" s="184" t="s">
        <v>206</v>
      </c>
      <c r="C15" s="115">
        <v>1</v>
      </c>
      <c r="D15" s="115">
        <v>0</v>
      </c>
      <c r="E15" s="114">
        <v>0</v>
      </c>
      <c r="F15" s="114">
        <v>1</v>
      </c>
      <c r="G15"/>
      <c r="H15"/>
    </row>
    <row r="16" spans="1:8" x14ac:dyDescent="0.15">
      <c r="A16">
        <v>15</v>
      </c>
      <c r="B16" s="184" t="s">
        <v>207</v>
      </c>
      <c r="C16" s="115">
        <v>1</v>
      </c>
      <c r="D16" s="115">
        <v>0</v>
      </c>
      <c r="E16" s="114">
        <v>0</v>
      </c>
      <c r="F16" s="114">
        <v>1</v>
      </c>
      <c r="G16"/>
      <c r="H16"/>
    </row>
    <row r="17" spans="1:8" ht="15" customHeight="1" x14ac:dyDescent="0.15">
      <c r="A17">
        <v>16</v>
      </c>
      <c r="B17" s="184" t="s">
        <v>208</v>
      </c>
      <c r="C17" s="115">
        <v>1</v>
      </c>
      <c r="D17" s="115">
        <v>0</v>
      </c>
      <c r="E17" s="114">
        <v>0</v>
      </c>
      <c r="F17" s="114">
        <v>1</v>
      </c>
      <c r="G17"/>
      <c r="H17"/>
    </row>
    <row r="18" spans="1:8" ht="15" customHeight="1" x14ac:dyDescent="0.15">
      <c r="A18">
        <v>17</v>
      </c>
      <c r="B18" s="184" t="s">
        <v>209</v>
      </c>
      <c r="C18" s="115">
        <v>1</v>
      </c>
      <c r="D18" s="115">
        <v>0</v>
      </c>
      <c r="E18" s="114">
        <v>0</v>
      </c>
      <c r="F18" s="114">
        <v>1</v>
      </c>
      <c r="G18"/>
      <c r="H18"/>
    </row>
    <row r="19" spans="1:8" ht="15" customHeight="1" x14ac:dyDescent="0.15">
      <c r="A19">
        <v>18</v>
      </c>
      <c r="B19" s="184" t="s">
        <v>210</v>
      </c>
      <c r="C19" s="115">
        <v>1</v>
      </c>
      <c r="D19" s="115">
        <v>0</v>
      </c>
      <c r="E19" s="114">
        <v>0</v>
      </c>
      <c r="F19" s="114">
        <v>1</v>
      </c>
      <c r="G19"/>
      <c r="H19"/>
    </row>
    <row r="20" spans="1:8" ht="15" customHeight="1" x14ac:dyDescent="0.15">
      <c r="A20">
        <v>19</v>
      </c>
      <c r="B20" s="184" t="s">
        <v>211</v>
      </c>
      <c r="C20" s="115">
        <v>1</v>
      </c>
      <c r="D20" s="115">
        <v>0</v>
      </c>
      <c r="E20" s="114">
        <v>0</v>
      </c>
      <c r="F20" s="114">
        <v>1</v>
      </c>
      <c r="G20"/>
      <c r="H20"/>
    </row>
    <row r="21" spans="1:8" ht="15" customHeight="1" x14ac:dyDescent="0.15">
      <c r="A21">
        <v>20</v>
      </c>
      <c r="B21" s="184" t="s">
        <v>212</v>
      </c>
      <c r="C21" s="115">
        <v>1</v>
      </c>
      <c r="D21" s="115">
        <v>0</v>
      </c>
      <c r="E21" s="114">
        <v>0</v>
      </c>
      <c r="F21" s="114">
        <v>1</v>
      </c>
      <c r="G21"/>
      <c r="H21"/>
    </row>
    <row r="22" spans="1:8" ht="15" customHeight="1" x14ac:dyDescent="0.15">
      <c r="A22">
        <v>21</v>
      </c>
      <c r="B22" s="184" t="s">
        <v>213</v>
      </c>
      <c r="C22" s="115">
        <v>1</v>
      </c>
      <c r="D22" s="115">
        <v>0</v>
      </c>
      <c r="E22" s="114">
        <v>0</v>
      </c>
      <c r="F22" s="114">
        <v>1</v>
      </c>
      <c r="G22"/>
      <c r="H22"/>
    </row>
    <row r="23" spans="1:8" ht="15" customHeight="1" x14ac:dyDescent="0.15">
      <c r="A23">
        <v>22</v>
      </c>
      <c r="B23" s="184" t="s">
        <v>214</v>
      </c>
      <c r="C23" s="115">
        <v>1</v>
      </c>
      <c r="D23" s="115">
        <v>0</v>
      </c>
      <c r="E23" s="114">
        <v>0</v>
      </c>
      <c r="F23" s="114">
        <v>1</v>
      </c>
      <c r="G23"/>
      <c r="H23"/>
    </row>
    <row r="24" spans="1:8" ht="15" customHeight="1" x14ac:dyDescent="0.15">
      <c r="A24">
        <v>23</v>
      </c>
      <c r="B24" s="184" t="s">
        <v>215</v>
      </c>
      <c r="C24" s="115">
        <v>1</v>
      </c>
      <c r="D24" s="115">
        <v>0</v>
      </c>
      <c r="E24" s="114">
        <v>0</v>
      </c>
      <c r="F24" s="114">
        <v>1</v>
      </c>
      <c r="G24"/>
      <c r="H24"/>
    </row>
    <row r="25" spans="1:8" ht="15" customHeight="1" x14ac:dyDescent="0.15">
      <c r="A25">
        <v>24</v>
      </c>
      <c r="B25" s="184" t="s">
        <v>216</v>
      </c>
      <c r="C25" s="115">
        <v>1</v>
      </c>
      <c r="D25" s="115">
        <v>0</v>
      </c>
      <c r="E25" s="114">
        <v>0</v>
      </c>
      <c r="F25" s="114">
        <v>1</v>
      </c>
      <c r="G25"/>
      <c r="H25"/>
    </row>
    <row r="26" spans="1:8" ht="15" customHeight="1" x14ac:dyDescent="0.15">
      <c r="A26">
        <v>25</v>
      </c>
      <c r="B26" s="184" t="s">
        <v>217</v>
      </c>
      <c r="C26" s="115">
        <v>1</v>
      </c>
      <c r="D26" s="115">
        <v>0</v>
      </c>
      <c r="E26" s="114">
        <v>0</v>
      </c>
      <c r="F26" s="114">
        <v>1</v>
      </c>
      <c r="G26"/>
      <c r="H26"/>
    </row>
    <row r="27" spans="1:8" ht="15" customHeight="1" x14ac:dyDescent="0.15">
      <c r="A27">
        <v>26</v>
      </c>
      <c r="B27" s="184" t="s">
        <v>218</v>
      </c>
      <c r="C27" s="115">
        <v>1</v>
      </c>
      <c r="D27" s="115">
        <v>0</v>
      </c>
      <c r="E27" s="114">
        <v>0</v>
      </c>
      <c r="F27" s="114">
        <v>1</v>
      </c>
      <c r="G27"/>
      <c r="H27"/>
    </row>
    <row r="28" spans="1:8" ht="15" customHeight="1" x14ac:dyDescent="0.15">
      <c r="A28">
        <v>27</v>
      </c>
      <c r="B28" s="184" t="s">
        <v>219</v>
      </c>
      <c r="C28" s="115">
        <v>1</v>
      </c>
      <c r="D28" s="115">
        <v>0</v>
      </c>
      <c r="E28" s="114">
        <v>0</v>
      </c>
      <c r="F28" s="114">
        <v>1</v>
      </c>
      <c r="G28"/>
      <c r="H28"/>
    </row>
    <row r="29" spans="1:8" ht="15" customHeight="1" x14ac:dyDescent="0.15">
      <c r="A29">
        <v>28</v>
      </c>
      <c r="B29" s="184" t="s">
        <v>220</v>
      </c>
      <c r="C29" s="115">
        <v>1</v>
      </c>
      <c r="D29" s="115">
        <v>0</v>
      </c>
      <c r="E29" s="114">
        <v>0</v>
      </c>
      <c r="F29" s="114">
        <v>1</v>
      </c>
      <c r="G29"/>
      <c r="H29"/>
    </row>
    <row r="30" spans="1:8" ht="15" customHeight="1" x14ac:dyDescent="0.15">
      <c r="A30">
        <v>29</v>
      </c>
      <c r="B30" s="184" t="s">
        <v>221</v>
      </c>
      <c r="C30" s="115">
        <v>1</v>
      </c>
      <c r="D30" s="115">
        <v>0</v>
      </c>
      <c r="E30" s="114">
        <v>0</v>
      </c>
      <c r="F30" s="114">
        <v>1</v>
      </c>
      <c r="G30"/>
      <c r="H30"/>
    </row>
    <row r="31" spans="1:8" ht="15" customHeight="1" x14ac:dyDescent="0.15">
      <c r="A31">
        <v>30</v>
      </c>
      <c r="B31" s="184" t="s">
        <v>222</v>
      </c>
      <c r="C31" s="115">
        <v>1</v>
      </c>
      <c r="D31" s="115">
        <v>0</v>
      </c>
      <c r="E31" s="114">
        <v>0</v>
      </c>
      <c r="F31" s="114">
        <v>1</v>
      </c>
      <c r="G31"/>
      <c r="H31"/>
    </row>
    <row r="32" spans="1:8" ht="15" customHeight="1" x14ac:dyDescent="0.15">
      <c r="A32">
        <v>31</v>
      </c>
      <c r="B32" s="184" t="s">
        <v>223</v>
      </c>
      <c r="C32" s="115">
        <v>1</v>
      </c>
      <c r="D32" s="115">
        <v>0</v>
      </c>
      <c r="E32" s="114">
        <v>0</v>
      </c>
      <c r="F32" s="114">
        <v>1</v>
      </c>
    </row>
    <row r="33" spans="1:8" ht="15" customHeight="1" x14ac:dyDescent="0.15">
      <c r="A33">
        <v>32</v>
      </c>
      <c r="B33" s="184" t="s">
        <v>224</v>
      </c>
      <c r="C33" s="115">
        <v>1</v>
      </c>
      <c r="D33" s="115">
        <v>0</v>
      </c>
      <c r="E33" s="114">
        <v>0</v>
      </c>
      <c r="F33" s="114">
        <v>1</v>
      </c>
    </row>
    <row r="34" spans="1:8" ht="15" customHeight="1" x14ac:dyDescent="0.15">
      <c r="A34">
        <v>33</v>
      </c>
      <c r="B34" s="184" t="s">
        <v>225</v>
      </c>
      <c r="C34" s="115">
        <v>1</v>
      </c>
      <c r="D34" s="115">
        <v>0</v>
      </c>
      <c r="E34" s="114">
        <v>0</v>
      </c>
      <c r="F34" s="114">
        <v>1</v>
      </c>
    </row>
    <row r="35" spans="1:8" ht="15" customHeight="1" x14ac:dyDescent="0.15">
      <c r="A35">
        <v>34</v>
      </c>
      <c r="B35" s="184" t="s">
        <v>226</v>
      </c>
      <c r="C35" s="115">
        <v>1</v>
      </c>
      <c r="D35" s="115">
        <v>0</v>
      </c>
      <c r="E35" s="114">
        <v>0</v>
      </c>
      <c r="F35" s="114">
        <v>1</v>
      </c>
    </row>
    <row r="36" spans="1:8" ht="15" customHeight="1" x14ac:dyDescent="0.15">
      <c r="A36">
        <v>35</v>
      </c>
      <c r="B36" s="184" t="s">
        <v>227</v>
      </c>
      <c r="C36" s="115">
        <v>1</v>
      </c>
      <c r="D36" s="115">
        <v>0</v>
      </c>
      <c r="E36" s="115">
        <v>0</v>
      </c>
      <c r="F36" s="115">
        <v>1</v>
      </c>
      <c r="G36"/>
      <c r="H36"/>
    </row>
    <row r="37" spans="1:8" ht="15" customHeight="1" x14ac:dyDescent="0.15">
      <c r="A37">
        <v>36</v>
      </c>
      <c r="B37" s="184" t="s">
        <v>228</v>
      </c>
      <c r="C37" s="115">
        <v>1</v>
      </c>
      <c r="D37" s="115">
        <v>0</v>
      </c>
      <c r="E37" s="115">
        <v>0</v>
      </c>
      <c r="F37" s="115">
        <v>1</v>
      </c>
      <c r="G37"/>
      <c r="H37"/>
    </row>
    <row r="38" spans="1:8" ht="15" customHeight="1" x14ac:dyDescent="0.15">
      <c r="A38">
        <v>37</v>
      </c>
      <c r="B38" s="184" t="s">
        <v>229</v>
      </c>
      <c r="C38" s="115">
        <v>1</v>
      </c>
      <c r="D38" s="115">
        <v>0</v>
      </c>
      <c r="E38" s="115">
        <v>0</v>
      </c>
      <c r="F38" s="115">
        <v>1</v>
      </c>
      <c r="G38"/>
      <c r="H38"/>
    </row>
    <row r="39" spans="1:8" ht="15" customHeight="1" x14ac:dyDescent="0.15">
      <c r="A39">
        <v>38</v>
      </c>
      <c r="B39" s="184" t="s">
        <v>230</v>
      </c>
      <c r="C39" s="115">
        <v>1</v>
      </c>
      <c r="D39" s="115">
        <v>0</v>
      </c>
      <c r="E39" s="115">
        <v>0</v>
      </c>
      <c r="F39" s="115">
        <v>1</v>
      </c>
      <c r="G39"/>
      <c r="H39"/>
    </row>
    <row r="40" spans="1:8" ht="15" customHeight="1" x14ac:dyDescent="0.15">
      <c r="A40">
        <v>39</v>
      </c>
      <c r="B40" s="184" t="s">
        <v>231</v>
      </c>
      <c r="C40" s="115">
        <v>1</v>
      </c>
      <c r="D40" s="115">
        <v>0</v>
      </c>
      <c r="E40" s="115">
        <v>0</v>
      </c>
      <c r="F40" s="115">
        <v>1</v>
      </c>
      <c r="G40"/>
      <c r="H40"/>
    </row>
    <row r="41" spans="1:8" ht="15" customHeight="1" x14ac:dyDescent="0.15">
      <c r="A41">
        <v>40</v>
      </c>
      <c r="B41" s="184" t="s">
        <v>232</v>
      </c>
      <c r="C41" s="115">
        <v>1</v>
      </c>
      <c r="D41" s="115">
        <v>0</v>
      </c>
      <c r="E41" s="115">
        <v>0</v>
      </c>
      <c r="F41" s="115">
        <v>1</v>
      </c>
      <c r="G41"/>
      <c r="H41"/>
    </row>
    <row r="42" spans="1:8" ht="15" customHeight="1" x14ac:dyDescent="0.15">
      <c r="A42">
        <v>41</v>
      </c>
      <c r="B42" s="184" t="s">
        <v>233</v>
      </c>
      <c r="C42" s="115">
        <v>1</v>
      </c>
      <c r="D42" s="115">
        <v>0</v>
      </c>
      <c r="E42" s="115">
        <v>0</v>
      </c>
      <c r="F42" s="115">
        <v>1</v>
      </c>
      <c r="G42"/>
      <c r="H42"/>
    </row>
    <row r="43" spans="1:8" ht="15" customHeight="1" x14ac:dyDescent="0.15">
      <c r="A43">
        <v>42</v>
      </c>
      <c r="B43" s="184" t="s">
        <v>234</v>
      </c>
      <c r="C43" s="115">
        <v>1</v>
      </c>
      <c r="D43" s="115">
        <v>0</v>
      </c>
      <c r="E43" s="115">
        <v>0</v>
      </c>
      <c r="F43" s="115">
        <v>1</v>
      </c>
      <c r="G43"/>
      <c r="H43"/>
    </row>
    <row r="44" spans="1:8" ht="15" customHeight="1" x14ac:dyDescent="0.15">
      <c r="A44">
        <v>43</v>
      </c>
      <c r="B44" s="184" t="s">
        <v>235</v>
      </c>
      <c r="C44" s="115">
        <v>1</v>
      </c>
      <c r="D44" s="115">
        <v>0</v>
      </c>
      <c r="E44" s="114">
        <v>0</v>
      </c>
      <c r="F44" s="114">
        <v>1</v>
      </c>
      <c r="G44"/>
      <c r="H44"/>
    </row>
    <row r="45" spans="1:8" ht="15" customHeight="1" x14ac:dyDescent="0.15">
      <c r="A45">
        <v>44</v>
      </c>
      <c r="B45" s="184" t="s">
        <v>236</v>
      </c>
      <c r="C45" s="115">
        <v>1</v>
      </c>
      <c r="D45" s="115">
        <v>0</v>
      </c>
      <c r="E45" s="114">
        <v>0</v>
      </c>
      <c r="F45" s="114">
        <v>1</v>
      </c>
      <c r="G45"/>
      <c r="H45"/>
    </row>
    <row r="46" spans="1:8" ht="15" customHeight="1" x14ac:dyDescent="0.15">
      <c r="A46">
        <v>45</v>
      </c>
      <c r="B46" s="184" t="s">
        <v>237</v>
      </c>
      <c r="C46" s="115">
        <v>1</v>
      </c>
      <c r="D46" s="115">
        <v>0</v>
      </c>
      <c r="E46" s="115">
        <v>0</v>
      </c>
      <c r="F46" s="115">
        <v>1</v>
      </c>
      <c r="G46"/>
      <c r="H46"/>
    </row>
    <row r="47" spans="1:8" ht="15" customHeight="1" x14ac:dyDescent="0.15">
      <c r="A47">
        <v>46</v>
      </c>
      <c r="B47" s="184" t="s">
        <v>238</v>
      </c>
      <c r="C47" s="115">
        <v>1</v>
      </c>
      <c r="D47" s="115">
        <v>0</v>
      </c>
      <c r="E47" s="114">
        <v>0</v>
      </c>
      <c r="F47" s="114">
        <v>1</v>
      </c>
      <c r="G47"/>
      <c r="H47"/>
    </row>
    <row r="48" spans="1:8" ht="15" customHeight="1" x14ac:dyDescent="0.15">
      <c r="A48">
        <v>47</v>
      </c>
      <c r="B48" s="184" t="s">
        <v>239</v>
      </c>
      <c r="C48" s="115">
        <v>1</v>
      </c>
      <c r="D48" s="115">
        <v>0</v>
      </c>
      <c r="E48" s="114">
        <v>0</v>
      </c>
      <c r="F48" s="114">
        <v>1</v>
      </c>
      <c r="G48"/>
      <c r="H48"/>
    </row>
    <row r="49" spans="1:8" ht="15" customHeight="1" x14ac:dyDescent="0.15">
      <c r="A49">
        <v>48</v>
      </c>
      <c r="B49" s="184" t="s">
        <v>240</v>
      </c>
      <c r="C49" s="115">
        <v>1</v>
      </c>
      <c r="D49" s="115">
        <v>0</v>
      </c>
      <c r="E49" s="114">
        <v>0</v>
      </c>
      <c r="F49" s="114">
        <v>1</v>
      </c>
      <c r="G49"/>
      <c r="H49"/>
    </row>
    <row r="50" spans="1:8" ht="15" customHeight="1" x14ac:dyDescent="0.15">
      <c r="A50">
        <v>49</v>
      </c>
      <c r="B50" s="184" t="s">
        <v>241</v>
      </c>
      <c r="C50" s="115">
        <v>1</v>
      </c>
      <c r="D50" s="115">
        <v>0</v>
      </c>
      <c r="E50" s="114">
        <v>0</v>
      </c>
      <c r="F50" s="114">
        <v>1</v>
      </c>
      <c r="G50"/>
      <c r="H50"/>
    </row>
    <row r="51" spans="1:8" ht="15" customHeight="1" x14ac:dyDescent="0.15">
      <c r="A51">
        <v>50</v>
      </c>
      <c r="B51" s="184" t="s">
        <v>242</v>
      </c>
      <c r="C51" s="115">
        <v>1</v>
      </c>
      <c r="D51" s="115">
        <v>0</v>
      </c>
      <c r="E51" s="114">
        <v>0</v>
      </c>
      <c r="F51" s="114">
        <v>1</v>
      </c>
      <c r="G51"/>
      <c r="H51"/>
    </row>
    <row r="52" spans="1:8" ht="15" customHeight="1" x14ac:dyDescent="0.15">
      <c r="A52">
        <v>51</v>
      </c>
      <c r="B52" s="184" t="s">
        <v>243</v>
      </c>
      <c r="C52" s="115">
        <v>1</v>
      </c>
      <c r="D52" s="115">
        <v>0</v>
      </c>
      <c r="E52" s="114">
        <v>0</v>
      </c>
      <c r="F52" s="114">
        <v>1</v>
      </c>
      <c r="G52"/>
      <c r="H52"/>
    </row>
    <row r="53" spans="1:8" ht="15" customHeight="1" x14ac:dyDescent="0.15">
      <c r="A53">
        <v>52</v>
      </c>
      <c r="B53" s="184" t="s">
        <v>244</v>
      </c>
      <c r="C53" s="115">
        <v>1</v>
      </c>
      <c r="D53" s="115">
        <v>0</v>
      </c>
      <c r="E53" s="114">
        <v>0</v>
      </c>
      <c r="F53" s="114">
        <v>1</v>
      </c>
      <c r="G53"/>
      <c r="H53"/>
    </row>
    <row r="54" spans="1:8" ht="15" customHeight="1" x14ac:dyDescent="0.15">
      <c r="A54">
        <v>53</v>
      </c>
      <c r="B54" s="184" t="s">
        <v>245</v>
      </c>
      <c r="C54" s="115">
        <v>1</v>
      </c>
      <c r="D54" s="115">
        <v>0</v>
      </c>
      <c r="E54" s="114">
        <v>0</v>
      </c>
      <c r="F54" s="114">
        <v>1</v>
      </c>
      <c r="G54"/>
      <c r="H54"/>
    </row>
    <row r="55" spans="1:8" ht="15" customHeight="1" x14ac:dyDescent="0.15">
      <c r="A55">
        <v>54</v>
      </c>
      <c r="B55" s="184" t="s">
        <v>246</v>
      </c>
      <c r="C55" s="115">
        <v>1</v>
      </c>
      <c r="D55" s="115">
        <v>0</v>
      </c>
      <c r="E55" s="114">
        <v>0</v>
      </c>
      <c r="F55" s="114">
        <v>1</v>
      </c>
      <c r="G55"/>
      <c r="H55"/>
    </row>
    <row r="56" spans="1:8" ht="15" customHeight="1" x14ac:dyDescent="0.15">
      <c r="A56">
        <v>55</v>
      </c>
      <c r="B56" s="184" t="s">
        <v>247</v>
      </c>
      <c r="C56" s="115">
        <v>1</v>
      </c>
      <c r="D56" s="115">
        <v>0</v>
      </c>
      <c r="E56" s="114">
        <v>0</v>
      </c>
      <c r="F56" s="114">
        <v>1</v>
      </c>
      <c r="G56"/>
      <c r="H56"/>
    </row>
    <row r="57" spans="1:8" ht="15" customHeight="1" x14ac:dyDescent="0.15">
      <c r="A57">
        <v>56</v>
      </c>
      <c r="B57" s="184" t="s">
        <v>248</v>
      </c>
      <c r="C57" s="115">
        <v>1</v>
      </c>
      <c r="D57" s="115">
        <v>0</v>
      </c>
      <c r="E57" s="114">
        <v>0</v>
      </c>
      <c r="F57" s="114">
        <v>1</v>
      </c>
      <c r="G57"/>
      <c r="H57"/>
    </row>
    <row r="58" spans="1:8" ht="15" customHeight="1" x14ac:dyDescent="0.15">
      <c r="A58">
        <v>57</v>
      </c>
      <c r="B58" s="184" t="s">
        <v>249</v>
      </c>
      <c r="C58" s="115">
        <v>1</v>
      </c>
      <c r="D58" s="115">
        <v>0</v>
      </c>
      <c r="E58" s="114">
        <v>0</v>
      </c>
      <c r="F58" s="114">
        <v>1</v>
      </c>
      <c r="G58"/>
      <c r="H58"/>
    </row>
    <row r="59" spans="1:8" ht="15" customHeight="1" x14ac:dyDescent="0.15">
      <c r="A59">
        <v>58</v>
      </c>
      <c r="B59" s="184" t="s">
        <v>250</v>
      </c>
      <c r="C59" s="115">
        <v>1</v>
      </c>
      <c r="D59" s="115">
        <v>0</v>
      </c>
      <c r="E59" s="114">
        <v>0</v>
      </c>
      <c r="F59" s="114">
        <v>1</v>
      </c>
      <c r="G59"/>
      <c r="H59"/>
    </row>
    <row r="60" spans="1:8" ht="15" customHeight="1" x14ac:dyDescent="0.15">
      <c r="A60">
        <v>59</v>
      </c>
      <c r="B60" s="184" t="s">
        <v>251</v>
      </c>
      <c r="C60" s="115">
        <v>0</v>
      </c>
      <c r="D60" s="115">
        <v>1</v>
      </c>
      <c r="E60" s="114">
        <v>0</v>
      </c>
      <c r="F60" s="114">
        <v>1</v>
      </c>
      <c r="G60"/>
      <c r="H60"/>
    </row>
    <row r="61" spans="1:8" ht="15" customHeight="1" x14ac:dyDescent="0.15">
      <c r="A61">
        <v>60</v>
      </c>
      <c r="B61" s="184" t="s">
        <v>252</v>
      </c>
      <c r="C61" s="115">
        <v>0</v>
      </c>
      <c r="D61" s="115">
        <v>0</v>
      </c>
      <c r="E61" s="114">
        <v>1</v>
      </c>
      <c r="F61" s="114">
        <v>1</v>
      </c>
      <c r="G61"/>
      <c r="H61"/>
    </row>
    <row r="62" spans="1:8" ht="15" customHeight="1" x14ac:dyDescent="0.15">
      <c r="A62">
        <v>61</v>
      </c>
      <c r="B62" s="184" t="s">
        <v>253</v>
      </c>
      <c r="C62" s="115">
        <v>0</v>
      </c>
      <c r="D62" s="115">
        <v>1</v>
      </c>
      <c r="E62" s="114">
        <v>0</v>
      </c>
      <c r="F62" s="114">
        <v>1</v>
      </c>
      <c r="G62"/>
      <c r="H62"/>
    </row>
    <row r="63" spans="1:8" ht="15" customHeight="1" x14ac:dyDescent="0.15">
      <c r="A63">
        <v>62</v>
      </c>
      <c r="B63" s="184" t="s">
        <v>254</v>
      </c>
      <c r="C63" s="115">
        <v>0</v>
      </c>
      <c r="D63" s="115">
        <v>1</v>
      </c>
      <c r="E63" s="114">
        <v>0</v>
      </c>
      <c r="F63" s="114">
        <v>1</v>
      </c>
      <c r="G63"/>
      <c r="H63"/>
    </row>
    <row r="64" spans="1:8" ht="15" customHeight="1" x14ac:dyDescent="0.15">
      <c r="A64">
        <v>63</v>
      </c>
      <c r="B64" s="184" t="s">
        <v>255</v>
      </c>
      <c r="C64" s="115">
        <v>0</v>
      </c>
      <c r="D64" s="115">
        <v>1</v>
      </c>
      <c r="E64" s="114">
        <v>0</v>
      </c>
      <c r="F64" s="114">
        <v>1</v>
      </c>
      <c r="G64"/>
      <c r="H64"/>
    </row>
    <row r="65" spans="1:8" ht="15" customHeight="1" x14ac:dyDescent="0.15">
      <c r="A65">
        <v>64</v>
      </c>
      <c r="B65" s="184" t="s">
        <v>256</v>
      </c>
      <c r="C65" s="115">
        <v>0</v>
      </c>
      <c r="D65" s="115">
        <v>1</v>
      </c>
      <c r="E65" s="114">
        <v>0</v>
      </c>
      <c r="F65" s="114">
        <v>1</v>
      </c>
      <c r="G65"/>
      <c r="H65"/>
    </row>
    <row r="66" spans="1:8" ht="15" customHeight="1" x14ac:dyDescent="0.15">
      <c r="A66">
        <v>65</v>
      </c>
      <c r="B66" s="184" t="s">
        <v>257</v>
      </c>
      <c r="C66" s="115">
        <v>0</v>
      </c>
      <c r="D66" s="115">
        <v>1</v>
      </c>
      <c r="E66" s="114">
        <v>0</v>
      </c>
      <c r="F66" s="114">
        <v>1</v>
      </c>
      <c r="G66"/>
      <c r="H66"/>
    </row>
    <row r="67" spans="1:8" ht="15" customHeight="1" x14ac:dyDescent="0.15">
      <c r="A67">
        <v>66</v>
      </c>
      <c r="B67" s="184" t="s">
        <v>258</v>
      </c>
      <c r="C67" s="115">
        <v>0</v>
      </c>
      <c r="D67" s="115">
        <v>1</v>
      </c>
      <c r="E67" s="114">
        <v>0</v>
      </c>
      <c r="F67" s="114">
        <v>1</v>
      </c>
      <c r="G67"/>
      <c r="H67"/>
    </row>
    <row r="68" spans="1:8" ht="15" customHeight="1" x14ac:dyDescent="0.15">
      <c r="A68">
        <v>67</v>
      </c>
      <c r="B68" s="184" t="s">
        <v>259</v>
      </c>
      <c r="C68" s="115">
        <v>0</v>
      </c>
      <c r="D68" s="115">
        <v>1</v>
      </c>
      <c r="E68" s="114">
        <v>0</v>
      </c>
      <c r="F68" s="114">
        <v>1</v>
      </c>
      <c r="G68"/>
      <c r="H68"/>
    </row>
    <row r="69" spans="1:8" ht="15" customHeight="1" x14ac:dyDescent="0.15">
      <c r="C69"/>
      <c r="D69"/>
      <c r="E69"/>
      <c r="F69"/>
      <c r="G69"/>
      <c r="H69"/>
    </row>
    <row r="70" spans="1:8" ht="15" customHeight="1" x14ac:dyDescent="0.15">
      <c r="C70"/>
      <c r="D70"/>
      <c r="E70"/>
      <c r="F70"/>
      <c r="G70"/>
      <c r="H70"/>
    </row>
    <row r="71" spans="1:8" ht="15" customHeight="1" x14ac:dyDescent="0.15">
      <c r="C71"/>
      <c r="D71"/>
      <c r="E71"/>
      <c r="F71"/>
      <c r="G71"/>
      <c r="H71"/>
    </row>
    <row r="72" spans="1:8" ht="15" customHeight="1" x14ac:dyDescent="0.15">
      <c r="C72"/>
      <c r="D72"/>
      <c r="E72"/>
      <c r="F72"/>
      <c r="G72"/>
      <c r="H72"/>
    </row>
    <row r="73" spans="1:8" ht="15" customHeight="1" x14ac:dyDescent="0.15">
      <c r="C73"/>
      <c r="D73"/>
      <c r="E73"/>
      <c r="F73"/>
      <c r="G73"/>
      <c r="H73"/>
    </row>
    <row r="74" spans="1:8" ht="15" customHeight="1" x14ac:dyDescent="0.15">
      <c r="C74"/>
      <c r="D74"/>
      <c r="E74"/>
      <c r="F74"/>
      <c r="G74"/>
      <c r="H74"/>
    </row>
    <row r="75" spans="1:8" ht="15" customHeight="1" x14ac:dyDescent="0.15">
      <c r="C75"/>
      <c r="D75"/>
      <c r="E75"/>
      <c r="F75"/>
      <c r="G75"/>
      <c r="H75"/>
    </row>
    <row r="76" spans="1:8" ht="15" customHeight="1" x14ac:dyDescent="0.15">
      <c r="C76"/>
      <c r="D76"/>
      <c r="E76"/>
      <c r="F76"/>
      <c r="G76"/>
      <c r="H76"/>
    </row>
    <row r="77" spans="1:8" ht="15" customHeight="1" x14ac:dyDescent="0.15">
      <c r="C77"/>
      <c r="D77"/>
      <c r="E77"/>
      <c r="F77"/>
      <c r="G77"/>
      <c r="H77"/>
    </row>
    <row r="78" spans="1:8" ht="15" customHeight="1" x14ac:dyDescent="0.15">
      <c r="C78"/>
      <c r="D78"/>
      <c r="E78"/>
      <c r="F78"/>
      <c r="G78"/>
      <c r="H78"/>
    </row>
    <row r="79" spans="1:8" ht="15" customHeight="1" x14ac:dyDescent="0.15">
      <c r="C79"/>
      <c r="D79"/>
      <c r="E79"/>
      <c r="F79"/>
      <c r="G79"/>
      <c r="H79"/>
    </row>
    <row r="80" spans="1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J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4.83203125" bestFit="1" customWidth="1"/>
    <col min="3" max="5" width="11.83203125" bestFit="1" customWidth="1"/>
    <col min="6" max="9" width="11.83203125" customWidth="1"/>
    <col min="10" max="10" width="12.83203125" customWidth="1"/>
  </cols>
  <sheetData>
    <row r="1" spans="1:10" s="116" customFormat="1" ht="112" x14ac:dyDescent="0.15">
      <c r="A1" s="5" t="s">
        <v>21</v>
      </c>
      <c r="B1" s="3" t="s">
        <v>0</v>
      </c>
      <c r="C1" s="187" t="s">
        <v>253</v>
      </c>
      <c r="D1" s="187" t="s">
        <v>254</v>
      </c>
      <c r="E1" s="187" t="s">
        <v>255</v>
      </c>
      <c r="F1" s="187" t="s">
        <v>256</v>
      </c>
      <c r="G1" s="187" t="s">
        <v>257</v>
      </c>
      <c r="H1" s="187" t="s">
        <v>258</v>
      </c>
      <c r="I1" s="187" t="s">
        <v>259</v>
      </c>
      <c r="J1" s="187" t="s">
        <v>263</v>
      </c>
    </row>
    <row r="2" spans="1:10" ht="15" customHeight="1" x14ac:dyDescent="0.15">
      <c r="A2">
        <v>1</v>
      </c>
      <c r="B2" s="186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ht="15" customHeight="1" x14ac:dyDescent="0.15">
      <c r="A3">
        <v>2</v>
      </c>
      <c r="B3" s="186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ht="15" customHeight="1" x14ac:dyDescent="0.15">
      <c r="A4">
        <v>3</v>
      </c>
      <c r="B4" s="186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ht="15" customHeight="1" x14ac:dyDescent="0.15">
      <c r="A5">
        <v>4</v>
      </c>
      <c r="B5" s="186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ht="15" customHeight="1" x14ac:dyDescent="0.15">
      <c r="A6">
        <v>5</v>
      </c>
      <c r="B6" s="186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ht="15" customHeight="1" x14ac:dyDescent="0.15">
      <c r="A7">
        <v>6</v>
      </c>
      <c r="B7" s="186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ht="15" customHeight="1" x14ac:dyDescent="0.15">
      <c r="A8">
        <v>7</v>
      </c>
      <c r="B8" s="186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ht="15" customHeight="1" x14ac:dyDescent="0.15">
      <c r="A9">
        <v>8</v>
      </c>
      <c r="B9" s="186" t="s">
        <v>200</v>
      </c>
      <c r="C9">
        <v>0</v>
      </c>
      <c r="D9">
        <v>0</v>
      </c>
      <c r="E9">
        <v>5.2700000000000004E-6</v>
      </c>
      <c r="F9">
        <v>0</v>
      </c>
      <c r="G9">
        <v>0</v>
      </c>
      <c r="H9">
        <v>0</v>
      </c>
      <c r="I9">
        <v>1.0476680000000001E-3</v>
      </c>
      <c r="J9">
        <v>1.052938E-3</v>
      </c>
    </row>
    <row r="10" spans="1:10" ht="15" customHeight="1" x14ac:dyDescent="0.15">
      <c r="A10">
        <v>9</v>
      </c>
      <c r="B10" s="186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ht="15" customHeight="1" x14ac:dyDescent="0.15">
      <c r="A11">
        <v>10</v>
      </c>
      <c r="B11" s="186" t="s">
        <v>202</v>
      </c>
      <c r="C11">
        <v>0.2231523</v>
      </c>
      <c r="D11">
        <v>3.616041E-3</v>
      </c>
      <c r="E11">
        <v>2.2461510000000001E-3</v>
      </c>
      <c r="F11">
        <v>1.95E-5</v>
      </c>
      <c r="G11">
        <v>1.19597E-4</v>
      </c>
      <c r="H11">
        <v>0</v>
      </c>
      <c r="I11">
        <v>2.410091E-2</v>
      </c>
      <c r="J11">
        <v>0.25325449899999997</v>
      </c>
    </row>
    <row r="12" spans="1:10" ht="15" customHeight="1" x14ac:dyDescent="0.15">
      <c r="A12">
        <v>11</v>
      </c>
      <c r="B12" s="186" t="s">
        <v>203</v>
      </c>
      <c r="C12">
        <v>1.6011339999999999E-2</v>
      </c>
      <c r="D12">
        <v>3.8099999999999998E-5</v>
      </c>
      <c r="E12">
        <v>4.9460400000000005E-4</v>
      </c>
      <c r="F12">
        <v>3.8500000000000004E-6</v>
      </c>
      <c r="G12">
        <v>0</v>
      </c>
      <c r="H12">
        <v>0</v>
      </c>
      <c r="I12">
        <v>2.6723650000000002E-2</v>
      </c>
      <c r="J12">
        <v>4.3271543999999995E-2</v>
      </c>
    </row>
    <row r="13" spans="1:10" ht="15" customHeight="1" x14ac:dyDescent="0.15">
      <c r="A13">
        <v>12</v>
      </c>
      <c r="B13" s="186" t="s">
        <v>204</v>
      </c>
      <c r="C13">
        <v>2.1318439999999999E-3</v>
      </c>
      <c r="D13">
        <v>3.7508009999999998E-3</v>
      </c>
      <c r="E13">
        <v>2.4708599999999999E-4</v>
      </c>
      <c r="F13">
        <v>2.7599999999999998E-6</v>
      </c>
      <c r="G13">
        <v>0</v>
      </c>
      <c r="H13">
        <v>0</v>
      </c>
      <c r="I13">
        <v>8.0551930000000004E-3</v>
      </c>
      <c r="J13">
        <v>1.4187683999999999E-2</v>
      </c>
    </row>
    <row r="14" spans="1:10" ht="15" customHeight="1" x14ac:dyDescent="0.15">
      <c r="A14">
        <v>13</v>
      </c>
      <c r="B14" s="186" t="s">
        <v>205</v>
      </c>
      <c r="C14">
        <v>1.1299109999999999E-2</v>
      </c>
      <c r="D14">
        <v>9.4701249999999994E-3</v>
      </c>
      <c r="E14">
        <v>0.35164889999999999</v>
      </c>
      <c r="F14">
        <v>3.9860200000000002E-4</v>
      </c>
      <c r="G14">
        <v>0</v>
      </c>
      <c r="H14">
        <v>0</v>
      </c>
      <c r="I14">
        <v>5.9251360000000003E-2</v>
      </c>
      <c r="J14">
        <v>0.43206809700000004</v>
      </c>
    </row>
    <row r="15" spans="1:10" ht="15" customHeight="1" x14ac:dyDescent="0.15">
      <c r="A15">
        <v>14</v>
      </c>
      <c r="B15" s="186" t="s">
        <v>206</v>
      </c>
      <c r="C15">
        <v>1.0100000000000001E-6</v>
      </c>
      <c r="D15">
        <v>3.1846659999999999E-2</v>
      </c>
      <c r="E15">
        <v>6.98527E-4</v>
      </c>
      <c r="F15">
        <v>3.76E-6</v>
      </c>
      <c r="G15">
        <v>0</v>
      </c>
      <c r="H15">
        <v>0</v>
      </c>
      <c r="I15">
        <v>3.2399999999999999E-6</v>
      </c>
      <c r="J15">
        <v>3.2553196999999999E-2</v>
      </c>
    </row>
    <row r="16" spans="1:10" ht="15" customHeight="1" x14ac:dyDescent="0.15">
      <c r="A16">
        <v>15</v>
      </c>
      <c r="B16" s="186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ht="15" customHeight="1" x14ac:dyDescent="0.15">
      <c r="A17">
        <v>16</v>
      </c>
      <c r="B17" s="186" t="s">
        <v>208</v>
      </c>
      <c r="C17">
        <v>6.30012E-4</v>
      </c>
      <c r="D17">
        <v>0.19226950000000001</v>
      </c>
      <c r="E17">
        <v>4.9176600000000003E-4</v>
      </c>
      <c r="F17">
        <v>1.3606999999999999E-4</v>
      </c>
      <c r="G17">
        <v>0.15146799999999999</v>
      </c>
      <c r="H17">
        <v>0</v>
      </c>
      <c r="I17">
        <v>4.5186330000000002E-3</v>
      </c>
      <c r="J17">
        <v>0.34951398099999997</v>
      </c>
    </row>
    <row r="18" spans="1:10" ht="15" customHeight="1" x14ac:dyDescent="0.15">
      <c r="A18">
        <v>17</v>
      </c>
      <c r="B18" s="186" t="s">
        <v>209</v>
      </c>
      <c r="C18">
        <v>0</v>
      </c>
      <c r="D18">
        <v>1.51908E-4</v>
      </c>
      <c r="E18">
        <v>1.6199999999999999E-6</v>
      </c>
      <c r="F18">
        <v>2.6058330000000001E-3</v>
      </c>
      <c r="G18">
        <v>1.44327E-4</v>
      </c>
      <c r="H18">
        <v>0</v>
      </c>
      <c r="I18">
        <v>2.0084970000000001E-3</v>
      </c>
      <c r="J18">
        <v>4.9121850000000003E-3</v>
      </c>
    </row>
    <row r="19" spans="1:10" ht="15" customHeight="1" x14ac:dyDescent="0.15">
      <c r="A19">
        <v>18</v>
      </c>
      <c r="B19" s="186" t="s">
        <v>210</v>
      </c>
      <c r="C19">
        <v>0</v>
      </c>
      <c r="D19">
        <v>0</v>
      </c>
      <c r="E19">
        <v>0</v>
      </c>
      <c r="F19">
        <v>0</v>
      </c>
      <c r="G19">
        <v>1.026752E-2</v>
      </c>
      <c r="H19">
        <v>0</v>
      </c>
      <c r="I19">
        <v>0</v>
      </c>
      <c r="J19">
        <v>1.026752E-2</v>
      </c>
    </row>
    <row r="20" spans="1:10" ht="15" customHeight="1" x14ac:dyDescent="0.15">
      <c r="A20">
        <v>19</v>
      </c>
      <c r="B20" s="186" t="s">
        <v>211</v>
      </c>
      <c r="C20">
        <v>0</v>
      </c>
      <c r="D20">
        <v>4.27305E-4</v>
      </c>
      <c r="E20">
        <v>5.6352400000000001E-6</v>
      </c>
      <c r="F20">
        <v>1.117643E-3</v>
      </c>
      <c r="G20">
        <v>0.85220430000000003</v>
      </c>
      <c r="H20">
        <v>0</v>
      </c>
      <c r="I20">
        <v>8.9732909999999996E-3</v>
      </c>
      <c r="J20">
        <v>0.86272817424000003</v>
      </c>
    </row>
    <row r="21" spans="1:10" ht="15" customHeight="1" x14ac:dyDescent="0.15">
      <c r="A21">
        <v>20</v>
      </c>
      <c r="B21" s="186" t="s">
        <v>212</v>
      </c>
      <c r="C21">
        <v>0</v>
      </c>
      <c r="D21">
        <v>4.27305E-4</v>
      </c>
      <c r="E21">
        <v>5.6352400000000001E-6</v>
      </c>
      <c r="F21">
        <v>1.117643E-3</v>
      </c>
      <c r="G21">
        <v>0.16428029999999999</v>
      </c>
      <c r="H21">
        <v>0</v>
      </c>
      <c r="I21">
        <v>8.9732909999999996E-3</v>
      </c>
      <c r="J21">
        <v>0.17480417423999997</v>
      </c>
    </row>
    <row r="22" spans="1:10" ht="15" customHeight="1" x14ac:dyDescent="0.15">
      <c r="A22">
        <v>21</v>
      </c>
      <c r="B22" s="186" t="s">
        <v>213</v>
      </c>
      <c r="C22">
        <v>0</v>
      </c>
      <c r="D22">
        <v>2.8399999999999999E-6</v>
      </c>
      <c r="E22">
        <v>0</v>
      </c>
      <c r="F22">
        <v>0</v>
      </c>
      <c r="G22">
        <v>0</v>
      </c>
      <c r="H22">
        <v>0</v>
      </c>
      <c r="I22">
        <v>3.2399999999999999E-6</v>
      </c>
      <c r="J22">
        <v>6.0799999999999994E-6</v>
      </c>
    </row>
    <row r="23" spans="1:10" ht="15" customHeight="1" x14ac:dyDescent="0.15">
      <c r="A23">
        <v>22</v>
      </c>
      <c r="B23" s="186" t="s">
        <v>214</v>
      </c>
      <c r="C23">
        <v>0</v>
      </c>
      <c r="D23">
        <v>4.6289820000000002E-2</v>
      </c>
      <c r="E23">
        <v>2.3E-6</v>
      </c>
      <c r="F23">
        <v>5.7001100000000004E-4</v>
      </c>
      <c r="G23">
        <v>1.7088159999999999E-3</v>
      </c>
      <c r="H23">
        <v>3.9551639999999997E-3</v>
      </c>
      <c r="I23">
        <v>1.703951E-3</v>
      </c>
      <c r="J23">
        <v>5.4230062000000002E-2</v>
      </c>
    </row>
    <row r="24" spans="1:10" ht="15" customHeight="1" x14ac:dyDescent="0.15">
      <c r="A24">
        <v>23</v>
      </c>
      <c r="B24" s="186" t="s">
        <v>215</v>
      </c>
      <c r="C24">
        <v>6.2700000000000001E-6</v>
      </c>
      <c r="D24">
        <v>0.12097289999999999</v>
      </c>
      <c r="E24">
        <v>9.8099999999999992E-6</v>
      </c>
      <c r="F24">
        <v>1.9300000000000002E-5</v>
      </c>
      <c r="G24">
        <v>0</v>
      </c>
      <c r="H24">
        <v>0</v>
      </c>
      <c r="I24">
        <v>9.6293699999999997E-4</v>
      </c>
      <c r="J24">
        <v>0.12197121699999999</v>
      </c>
    </row>
    <row r="25" spans="1:10" ht="15" customHeight="1" x14ac:dyDescent="0.15">
      <c r="A25">
        <v>24</v>
      </c>
      <c r="B25" s="186" t="s">
        <v>216</v>
      </c>
      <c r="C25">
        <v>0</v>
      </c>
      <c r="D25">
        <v>9.0156569999999998E-3</v>
      </c>
      <c r="E25">
        <v>1.22E-6</v>
      </c>
      <c r="F25">
        <v>2.3197699999999999E-4</v>
      </c>
      <c r="G25">
        <v>0</v>
      </c>
      <c r="H25">
        <v>0</v>
      </c>
      <c r="I25">
        <v>4.8560399999999999E-4</v>
      </c>
      <c r="J25">
        <v>9.7344579999999997E-3</v>
      </c>
    </row>
    <row r="26" spans="1:10" ht="15" customHeight="1" x14ac:dyDescent="0.15">
      <c r="A26">
        <v>25</v>
      </c>
      <c r="B26" s="186" t="s">
        <v>217</v>
      </c>
      <c r="C26">
        <v>0</v>
      </c>
      <c r="D26">
        <v>4.0000000000000003E-5</v>
      </c>
      <c r="E26">
        <v>2.0800000000000001E-5</v>
      </c>
      <c r="F26">
        <v>4.3273790000000001E-3</v>
      </c>
      <c r="G26">
        <v>0</v>
      </c>
      <c r="H26">
        <v>0</v>
      </c>
      <c r="I26">
        <v>3.9590820000000001E-3</v>
      </c>
      <c r="J26">
        <v>8.3472609999999999E-3</v>
      </c>
    </row>
    <row r="27" spans="1:10" ht="15" customHeight="1" x14ac:dyDescent="0.15">
      <c r="A27">
        <v>26</v>
      </c>
      <c r="B27" s="186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 ht="15" customHeight="1" x14ac:dyDescent="0.15">
      <c r="A28">
        <v>27</v>
      </c>
      <c r="B28" s="186" t="s">
        <v>219</v>
      </c>
      <c r="C28">
        <v>5.5700000000000002E-7</v>
      </c>
      <c r="D28">
        <v>1.48E-3</v>
      </c>
      <c r="E28">
        <v>1.06E-5</v>
      </c>
      <c r="F28">
        <v>4.8199999999999996E-3</v>
      </c>
      <c r="G28">
        <v>1.65E-4</v>
      </c>
      <c r="H28">
        <v>5.96E-3</v>
      </c>
      <c r="I28">
        <v>1.09E-3</v>
      </c>
      <c r="J28">
        <v>1.3526157E-2</v>
      </c>
    </row>
    <row r="29" spans="1:10" ht="15" customHeight="1" x14ac:dyDescent="0.15">
      <c r="A29">
        <v>28</v>
      </c>
      <c r="B29" s="186" t="s">
        <v>220</v>
      </c>
      <c r="C29">
        <v>5.5700000000000002E-7</v>
      </c>
      <c r="D29">
        <v>1.48E-3</v>
      </c>
      <c r="E29">
        <v>1.06E-5</v>
      </c>
      <c r="F29">
        <v>4.8199999999999996E-3</v>
      </c>
      <c r="G29">
        <v>1.65E-4</v>
      </c>
      <c r="H29">
        <v>5.96E-3</v>
      </c>
      <c r="I29">
        <v>1.09E-3</v>
      </c>
      <c r="J29">
        <v>1.3526157E-2</v>
      </c>
    </row>
    <row r="30" spans="1:10" ht="15" customHeight="1" x14ac:dyDescent="0.15">
      <c r="A30">
        <v>29</v>
      </c>
      <c r="B30" s="186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 ht="15" customHeight="1" x14ac:dyDescent="0.15">
      <c r="A31">
        <v>30</v>
      </c>
      <c r="B31" s="186" t="s">
        <v>222</v>
      </c>
      <c r="C31">
        <v>0</v>
      </c>
      <c r="D31">
        <v>1.6200000000000001E-4</v>
      </c>
      <c r="E31">
        <v>2.4700000000000001E-6</v>
      </c>
      <c r="F31">
        <v>2.2899999999999999E-3</v>
      </c>
      <c r="G31">
        <v>0</v>
      </c>
      <c r="H31">
        <v>7.0400000000000003E-3</v>
      </c>
      <c r="I31">
        <v>3.2399999999999998E-3</v>
      </c>
      <c r="J31">
        <v>1.2734469999999999E-2</v>
      </c>
    </row>
    <row r="32" spans="1:10" ht="15" customHeight="1" x14ac:dyDescent="0.15">
      <c r="A32">
        <v>31</v>
      </c>
      <c r="B32" s="186" t="s">
        <v>223</v>
      </c>
      <c r="C32">
        <v>0</v>
      </c>
      <c r="D32">
        <v>1.6200000000000001E-4</v>
      </c>
      <c r="E32">
        <v>2.4700000000000001E-6</v>
      </c>
      <c r="F32">
        <v>2.2899999999999999E-3</v>
      </c>
      <c r="G32">
        <v>0</v>
      </c>
      <c r="H32">
        <v>7.0400000000000003E-3</v>
      </c>
      <c r="I32">
        <v>3.2399999999999998E-3</v>
      </c>
      <c r="J32">
        <v>1.2734469999999999E-2</v>
      </c>
    </row>
    <row r="33" spans="1:10" ht="15" customHeight="1" x14ac:dyDescent="0.15">
      <c r="A33">
        <v>32</v>
      </c>
      <c r="B33" s="186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 ht="15" customHeight="1" x14ac:dyDescent="0.15">
      <c r="A34">
        <v>33</v>
      </c>
      <c r="B34" s="186" t="s">
        <v>225</v>
      </c>
      <c r="C34">
        <v>0</v>
      </c>
      <c r="D34">
        <v>1.49E-3</v>
      </c>
      <c r="E34">
        <v>6.3600000000000001E-6</v>
      </c>
      <c r="F34">
        <v>3.15E-3</v>
      </c>
      <c r="G34">
        <v>0</v>
      </c>
      <c r="H34">
        <v>8.1400000000000005E-4</v>
      </c>
      <c r="I34">
        <v>1.7700000000000001E-3</v>
      </c>
      <c r="J34">
        <v>7.2303600000000008E-3</v>
      </c>
    </row>
    <row r="35" spans="1:10" ht="15" customHeight="1" x14ac:dyDescent="0.15">
      <c r="A35">
        <v>34</v>
      </c>
      <c r="B35" s="186" t="s">
        <v>226</v>
      </c>
      <c r="C35">
        <v>0</v>
      </c>
      <c r="D35">
        <v>1.49E-3</v>
      </c>
      <c r="E35">
        <v>6.3600000000000001E-6</v>
      </c>
      <c r="F35">
        <v>3.15E-3</v>
      </c>
      <c r="G35">
        <v>0</v>
      </c>
      <c r="H35">
        <v>8.1400000000000005E-4</v>
      </c>
      <c r="I35">
        <v>1.7700000000000001E-3</v>
      </c>
      <c r="J35">
        <v>7.2303600000000008E-3</v>
      </c>
    </row>
    <row r="36" spans="1:10" ht="15" customHeight="1" x14ac:dyDescent="0.15">
      <c r="A36">
        <v>35</v>
      </c>
      <c r="B36" s="186" t="s">
        <v>227</v>
      </c>
      <c r="C36">
        <v>2.03E-7</v>
      </c>
      <c r="D36">
        <v>4.1099999999999999E-3</v>
      </c>
      <c r="E36">
        <v>8.6799999999999999E-6</v>
      </c>
      <c r="F36">
        <v>2.7699999999999999E-2</v>
      </c>
      <c r="G36">
        <v>0</v>
      </c>
      <c r="H36">
        <v>4.32E-5</v>
      </c>
      <c r="I36">
        <v>3.0599999999999998E-3</v>
      </c>
      <c r="J36">
        <v>3.4922083E-2</v>
      </c>
    </row>
    <row r="37" spans="1:10" ht="15" customHeight="1" x14ac:dyDescent="0.15">
      <c r="A37">
        <v>36</v>
      </c>
      <c r="B37" s="186" t="s">
        <v>228</v>
      </c>
      <c r="C37">
        <v>2.03E-7</v>
      </c>
      <c r="D37">
        <v>4.1099999999999999E-3</v>
      </c>
      <c r="E37">
        <v>8.6799999999999999E-6</v>
      </c>
      <c r="F37">
        <v>2.7699999999999999E-2</v>
      </c>
      <c r="G37">
        <v>0</v>
      </c>
      <c r="H37">
        <v>4.32E-5</v>
      </c>
      <c r="I37">
        <v>3.0599999999999998E-3</v>
      </c>
      <c r="J37">
        <v>3.4922083E-2</v>
      </c>
    </row>
    <row r="38" spans="1:10" ht="15" customHeight="1" x14ac:dyDescent="0.15">
      <c r="A38">
        <v>37</v>
      </c>
      <c r="B38" s="186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 ht="15" customHeight="1" x14ac:dyDescent="0.15">
      <c r="A39">
        <v>38</v>
      </c>
      <c r="B39" s="186" t="s">
        <v>230</v>
      </c>
      <c r="C39">
        <v>4.9899999999999997E-6</v>
      </c>
      <c r="D39">
        <v>1.3899999999999999E-2</v>
      </c>
      <c r="E39">
        <v>3.3200000000000001E-5</v>
      </c>
      <c r="F39">
        <v>6.2899999999999996E-3</v>
      </c>
      <c r="G39">
        <v>0</v>
      </c>
      <c r="H39">
        <v>2.9199999999999999E-3</v>
      </c>
      <c r="I39">
        <v>3.9100000000000003E-3</v>
      </c>
      <c r="J39">
        <v>2.7058189999999999E-2</v>
      </c>
    </row>
    <row r="40" spans="1:10" ht="15" customHeight="1" x14ac:dyDescent="0.15">
      <c r="A40">
        <v>39</v>
      </c>
      <c r="B40" s="186" t="s">
        <v>231</v>
      </c>
      <c r="C40">
        <v>4.9899999999999997E-6</v>
      </c>
      <c r="D40">
        <v>1.3899999999999999E-2</v>
      </c>
      <c r="E40">
        <v>3.3200000000000001E-5</v>
      </c>
      <c r="F40">
        <v>6.2899999999999996E-3</v>
      </c>
      <c r="G40">
        <v>0</v>
      </c>
      <c r="H40">
        <v>2.9199999999999999E-3</v>
      </c>
      <c r="I40">
        <v>3.9100000000000003E-3</v>
      </c>
      <c r="J40">
        <v>2.7058189999999999E-2</v>
      </c>
    </row>
    <row r="41" spans="1:10" ht="15" customHeight="1" x14ac:dyDescent="0.15">
      <c r="A41">
        <v>40</v>
      </c>
      <c r="B41" s="186" t="s">
        <v>232</v>
      </c>
      <c r="C41">
        <v>6.0800000000000004E-7</v>
      </c>
      <c r="D41">
        <v>8.7244890000000002E-3</v>
      </c>
      <c r="E41">
        <v>4.0500000000000002E-6</v>
      </c>
      <c r="F41">
        <v>6.5328300000000005E-4</v>
      </c>
      <c r="G41">
        <v>0</v>
      </c>
      <c r="H41">
        <v>2.56858E-4</v>
      </c>
      <c r="I41">
        <v>3.9589900000000001E-4</v>
      </c>
      <c r="J41">
        <v>1.0035186999999999E-2</v>
      </c>
    </row>
    <row r="42" spans="1:10" ht="15" customHeight="1" x14ac:dyDescent="0.15">
      <c r="A42">
        <v>41</v>
      </c>
      <c r="B42" s="186" t="s">
        <v>233</v>
      </c>
      <c r="C42">
        <v>3.4499999999999998E-7</v>
      </c>
      <c r="D42">
        <v>3.5499999999999997E-2</v>
      </c>
      <c r="E42">
        <v>2.6999999999999999E-5</v>
      </c>
      <c r="F42">
        <v>1.7899999999999999E-3</v>
      </c>
      <c r="G42">
        <v>0</v>
      </c>
      <c r="H42">
        <v>0</v>
      </c>
      <c r="I42">
        <v>5.7600000000000001E-4</v>
      </c>
      <c r="J42">
        <v>3.7893344999999995E-2</v>
      </c>
    </row>
    <row r="43" spans="1:10" ht="15" customHeight="1" x14ac:dyDescent="0.15">
      <c r="A43">
        <v>42</v>
      </c>
      <c r="B43" s="186" t="s">
        <v>234</v>
      </c>
      <c r="C43">
        <v>0</v>
      </c>
      <c r="D43">
        <v>1.558641E-2</v>
      </c>
      <c r="E43">
        <v>1.09137E-4</v>
      </c>
      <c r="F43">
        <v>1.6678209999999999E-2</v>
      </c>
      <c r="G43">
        <v>0</v>
      </c>
      <c r="H43">
        <v>2.107388E-3</v>
      </c>
      <c r="I43">
        <v>1.413294E-2</v>
      </c>
      <c r="J43">
        <v>4.8614085000000001E-2</v>
      </c>
    </row>
    <row r="44" spans="1:10" ht="15" customHeight="1" x14ac:dyDescent="0.15">
      <c r="A44">
        <v>43</v>
      </c>
      <c r="B44" s="186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 ht="15" customHeight="1" x14ac:dyDescent="0.15">
      <c r="A45">
        <v>44</v>
      </c>
      <c r="B45" s="186" t="s">
        <v>236</v>
      </c>
      <c r="C45">
        <v>1.8768600000000001E-4</v>
      </c>
      <c r="D45">
        <v>1.4834959999999999E-2</v>
      </c>
      <c r="E45">
        <v>2.3599999999999999E-6</v>
      </c>
      <c r="F45">
        <v>1.2439689999999999E-3</v>
      </c>
      <c r="G45">
        <v>4.0500000000000002E-6</v>
      </c>
      <c r="H45">
        <v>3.0400000000000002E-7</v>
      </c>
      <c r="I45">
        <v>3.8699999999999999E-5</v>
      </c>
      <c r="J45">
        <v>1.6312028999999995E-2</v>
      </c>
    </row>
    <row r="46" spans="1:10" ht="15" customHeight="1" x14ac:dyDescent="0.15">
      <c r="A46">
        <v>45</v>
      </c>
      <c r="B46" s="186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 ht="15" customHeight="1" x14ac:dyDescent="0.15">
      <c r="A47">
        <v>46</v>
      </c>
      <c r="B47" s="186" t="s">
        <v>238</v>
      </c>
      <c r="C47">
        <v>1.7521999999999999E-4</v>
      </c>
      <c r="D47">
        <v>1.8443620000000001E-2</v>
      </c>
      <c r="E47">
        <v>1.26E-5</v>
      </c>
      <c r="F47">
        <v>1.3240800000000001E-4</v>
      </c>
      <c r="G47">
        <v>0</v>
      </c>
      <c r="H47">
        <v>8.7721910000000004E-3</v>
      </c>
      <c r="I47">
        <v>9.9480300000000005E-4</v>
      </c>
      <c r="J47">
        <v>2.8530842000000004E-2</v>
      </c>
    </row>
    <row r="48" spans="1:10" ht="15" customHeight="1" x14ac:dyDescent="0.15">
      <c r="A48">
        <v>47</v>
      </c>
      <c r="B48" s="186" t="s">
        <v>239</v>
      </c>
      <c r="C48">
        <v>1.61192E-4</v>
      </c>
      <c r="D48">
        <v>4.4625520000000002E-2</v>
      </c>
      <c r="E48">
        <v>1.29E-5</v>
      </c>
      <c r="F48">
        <v>6.7592090000000004E-3</v>
      </c>
      <c r="G48">
        <v>0</v>
      </c>
      <c r="H48">
        <v>0</v>
      </c>
      <c r="I48">
        <v>3.1752000000000001E-4</v>
      </c>
      <c r="J48">
        <v>5.1876341000000006E-2</v>
      </c>
    </row>
    <row r="49" spans="1:10" ht="15" customHeight="1" x14ac:dyDescent="0.15">
      <c r="A49">
        <v>48</v>
      </c>
      <c r="B49" s="186" t="s">
        <v>240</v>
      </c>
      <c r="C49">
        <v>1.7424699999999999E-4</v>
      </c>
      <c r="D49">
        <v>3.1367949999999999E-2</v>
      </c>
      <c r="E49">
        <v>3.9675799999999998E-4</v>
      </c>
      <c r="F49">
        <v>9.5985600000000008E-3</v>
      </c>
      <c r="G49">
        <v>1.75544E-4</v>
      </c>
      <c r="H49">
        <v>3.9732090000000001E-3</v>
      </c>
      <c r="I49">
        <v>4.7717929999999999E-3</v>
      </c>
      <c r="J49">
        <v>5.0458060999999998E-2</v>
      </c>
    </row>
    <row r="50" spans="1:10" x14ac:dyDescent="0.15">
      <c r="A50">
        <v>49</v>
      </c>
      <c r="B50" s="186" t="s">
        <v>241</v>
      </c>
      <c r="C50">
        <v>1.9442480000000002E-2</v>
      </c>
      <c r="D50">
        <v>6.8640000000000007E-2</v>
      </c>
      <c r="E50">
        <v>7.7334980000000001E-3</v>
      </c>
      <c r="F50">
        <v>3.9765990000000001E-2</v>
      </c>
      <c r="G50">
        <v>5.0699999999999999E-5</v>
      </c>
      <c r="H50">
        <v>4.3529099999999998E-4</v>
      </c>
      <c r="I50">
        <v>2.9542449999999999E-3</v>
      </c>
      <c r="J50">
        <v>0.13902220399999998</v>
      </c>
    </row>
    <row r="51" spans="1:10" x14ac:dyDescent="0.15">
      <c r="A51">
        <v>50</v>
      </c>
      <c r="B51" s="186" t="s">
        <v>242</v>
      </c>
      <c r="C51">
        <v>5.84E-6</v>
      </c>
      <c r="D51">
        <v>9.1998770000000004E-3</v>
      </c>
      <c r="E51">
        <v>7.4665740000000001E-3</v>
      </c>
      <c r="F51">
        <v>6.2024150000000002E-3</v>
      </c>
      <c r="G51">
        <v>0</v>
      </c>
      <c r="H51">
        <v>5.8503130000000002E-3</v>
      </c>
      <c r="I51">
        <v>1.698494E-2</v>
      </c>
      <c r="J51">
        <v>4.5709958999999994E-2</v>
      </c>
    </row>
    <row r="52" spans="1:10" x14ac:dyDescent="0.15">
      <c r="A52">
        <v>51</v>
      </c>
      <c r="B52" s="186" t="s">
        <v>243</v>
      </c>
      <c r="C52">
        <v>0</v>
      </c>
      <c r="D52">
        <v>9.09E-5</v>
      </c>
      <c r="E52">
        <v>8.1100000000000003E-6</v>
      </c>
      <c r="F52">
        <v>1.770979E-3</v>
      </c>
      <c r="G52">
        <v>0</v>
      </c>
      <c r="H52">
        <v>2.57192E-4</v>
      </c>
      <c r="I52">
        <v>8.4009700000000004E-4</v>
      </c>
      <c r="J52">
        <v>2.9672780000000003E-3</v>
      </c>
    </row>
    <row r="53" spans="1:10" x14ac:dyDescent="0.15">
      <c r="A53">
        <v>52</v>
      </c>
      <c r="B53" s="186" t="s">
        <v>244</v>
      </c>
      <c r="C53">
        <v>0</v>
      </c>
      <c r="D53">
        <v>2.8099999999999999E-5</v>
      </c>
      <c r="E53">
        <v>2.03E-7</v>
      </c>
      <c r="F53">
        <v>9.5466699999999997E-4</v>
      </c>
      <c r="G53">
        <v>8.1100000000000005E-7</v>
      </c>
      <c r="H53">
        <v>6.2700000000000001E-6</v>
      </c>
      <c r="I53">
        <v>2.3311249999999999E-3</v>
      </c>
      <c r="J53">
        <v>3.3211759999999999E-3</v>
      </c>
    </row>
    <row r="54" spans="1:10" x14ac:dyDescent="0.15">
      <c r="A54">
        <v>53</v>
      </c>
      <c r="B54" s="186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 x14ac:dyDescent="0.15">
      <c r="A55">
        <v>54</v>
      </c>
      <c r="B55" s="186" t="s">
        <v>246</v>
      </c>
      <c r="C55">
        <v>4.0499999999999999E-7</v>
      </c>
      <c r="D55">
        <v>6.2500000000000001E-5</v>
      </c>
      <c r="E55">
        <v>2.03E-6</v>
      </c>
      <c r="F55">
        <v>4.0883899999999998E-4</v>
      </c>
      <c r="G55">
        <v>1.0644529999999999E-3</v>
      </c>
      <c r="H55">
        <v>1.671129E-2</v>
      </c>
      <c r="I55">
        <v>1.4889360000000001E-2</v>
      </c>
      <c r="J55">
        <v>3.3138876999999997E-2</v>
      </c>
    </row>
    <row r="56" spans="1:10" x14ac:dyDescent="0.15">
      <c r="A56">
        <v>55</v>
      </c>
      <c r="B56" s="186" t="s">
        <v>247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 x14ac:dyDescent="0.15">
      <c r="A57">
        <v>56</v>
      </c>
      <c r="B57" s="186" t="s">
        <v>248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 x14ac:dyDescent="0.15">
      <c r="A58">
        <v>57</v>
      </c>
      <c r="B58" s="186" t="s">
        <v>249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x14ac:dyDescent="0.15">
      <c r="A59">
        <v>58</v>
      </c>
      <c r="B59" s="186" t="s">
        <v>250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 x14ac:dyDescent="0.15">
      <c r="A60">
        <v>59</v>
      </c>
      <c r="B60" s="186" t="s">
        <v>251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 x14ac:dyDescent="0.15">
      <c r="A61">
        <v>60</v>
      </c>
      <c r="B61" s="186" t="s">
        <v>252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J6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4.83203125" bestFit="1" customWidth="1"/>
    <col min="3" max="3" width="11.83203125" bestFit="1" customWidth="1"/>
    <col min="4" max="5" width="2.33203125" bestFit="1" customWidth="1"/>
    <col min="6" max="9" width="2.33203125" customWidth="1"/>
    <col min="10" max="10" width="11.83203125" customWidth="1"/>
  </cols>
  <sheetData>
    <row r="1" spans="1:10" s="116" customFormat="1" ht="112" x14ac:dyDescent="0.15">
      <c r="A1" s="5" t="s">
        <v>22</v>
      </c>
      <c r="B1" s="3" t="s">
        <v>0</v>
      </c>
      <c r="C1" s="189" t="s">
        <v>253</v>
      </c>
      <c r="D1" s="189" t="s">
        <v>254</v>
      </c>
      <c r="E1" s="189" t="s">
        <v>255</v>
      </c>
      <c r="F1" s="189" t="s">
        <v>256</v>
      </c>
      <c r="G1" s="189" t="s">
        <v>257</v>
      </c>
      <c r="H1" s="189" t="s">
        <v>258</v>
      </c>
      <c r="I1" s="189" t="s">
        <v>259</v>
      </c>
      <c r="J1" s="189" t="s">
        <v>263</v>
      </c>
    </row>
    <row r="2" spans="1:10" x14ac:dyDescent="0.15">
      <c r="A2">
        <v>1</v>
      </c>
      <c r="B2" s="188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15">
      <c r="A3">
        <v>2</v>
      </c>
      <c r="B3" s="188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15">
      <c r="A4">
        <v>3</v>
      </c>
      <c r="B4" s="188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15">
      <c r="A5">
        <v>4</v>
      </c>
      <c r="B5" s="188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15">
      <c r="A6">
        <v>5</v>
      </c>
      <c r="B6" s="188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15">
      <c r="A7">
        <v>6</v>
      </c>
      <c r="B7" s="188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15">
      <c r="A8">
        <v>7</v>
      </c>
      <c r="B8" s="188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15">
      <c r="A9">
        <v>8</v>
      </c>
      <c r="B9" s="188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15">
      <c r="A10">
        <v>9</v>
      </c>
      <c r="B10" s="188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15">
      <c r="A11">
        <v>10</v>
      </c>
      <c r="B11" s="188" t="s">
        <v>202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15">
      <c r="A12">
        <v>11</v>
      </c>
      <c r="B12" s="188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15">
      <c r="A13">
        <v>12</v>
      </c>
      <c r="B13" s="188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15">
      <c r="A14">
        <v>13</v>
      </c>
      <c r="B14" s="188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15">
      <c r="A15">
        <v>14</v>
      </c>
      <c r="B15" s="188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15">
      <c r="A16">
        <v>15</v>
      </c>
      <c r="B16" s="188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15">
      <c r="A17">
        <v>16</v>
      </c>
      <c r="B17" s="188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15">
      <c r="A18">
        <v>17</v>
      </c>
      <c r="B18" s="188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15">
      <c r="A19">
        <v>18</v>
      </c>
      <c r="B19" s="188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 x14ac:dyDescent="0.15">
      <c r="A20">
        <v>19</v>
      </c>
      <c r="B20" s="188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 x14ac:dyDescent="0.15">
      <c r="A21">
        <v>20</v>
      </c>
      <c r="B21" s="188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15">
      <c r="A22">
        <v>21</v>
      </c>
      <c r="B22" s="188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 x14ac:dyDescent="0.15">
      <c r="A23">
        <v>22</v>
      </c>
      <c r="B23" s="188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15">
      <c r="A24">
        <v>23</v>
      </c>
      <c r="B24" s="188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15">
      <c r="A25">
        <v>24</v>
      </c>
      <c r="B25" s="188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 x14ac:dyDescent="0.15">
      <c r="A26">
        <v>25</v>
      </c>
      <c r="B26" s="188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15">
      <c r="A27">
        <v>26</v>
      </c>
      <c r="B27" s="188" t="s">
        <v>218</v>
      </c>
      <c r="C27">
        <v>6.7906759999999998E-3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6.7906759999999998E-3</v>
      </c>
    </row>
    <row r="28" spans="1:10" x14ac:dyDescent="0.15">
      <c r="A28">
        <v>27</v>
      </c>
      <c r="B28" s="188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 x14ac:dyDescent="0.15">
      <c r="A29">
        <v>28</v>
      </c>
      <c r="B29" s="188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 x14ac:dyDescent="0.15">
      <c r="A30">
        <v>29</v>
      </c>
      <c r="B30" s="188" t="s">
        <v>221</v>
      </c>
      <c r="C30">
        <v>2.9400000000000001E-7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2.9400000000000001E-7</v>
      </c>
    </row>
    <row r="31" spans="1:10" x14ac:dyDescent="0.15">
      <c r="A31">
        <v>30</v>
      </c>
      <c r="B31" s="188" t="s">
        <v>222</v>
      </c>
      <c r="C31">
        <v>3.0524900000000002E-3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3.0524900000000002E-3</v>
      </c>
    </row>
    <row r="32" spans="1:10" x14ac:dyDescent="0.15">
      <c r="A32">
        <v>31</v>
      </c>
      <c r="B32" s="188" t="s">
        <v>223</v>
      </c>
      <c r="C32">
        <v>8.9422999999999998E-4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8.9422999999999998E-4</v>
      </c>
    </row>
    <row r="33" spans="1:10" x14ac:dyDescent="0.15">
      <c r="A33">
        <v>32</v>
      </c>
      <c r="B33" s="188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 x14ac:dyDescent="0.15">
      <c r="A34">
        <v>33</v>
      </c>
      <c r="B34" s="188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 x14ac:dyDescent="0.15">
      <c r="A35">
        <v>34</v>
      </c>
      <c r="B35" s="188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 x14ac:dyDescent="0.15">
      <c r="A36">
        <v>35</v>
      </c>
      <c r="B36" s="188" t="s">
        <v>227</v>
      </c>
      <c r="C36">
        <v>3.2883089999999997E-2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3.2883089999999997E-2</v>
      </c>
    </row>
    <row r="37" spans="1:10" x14ac:dyDescent="0.15">
      <c r="A37">
        <v>36</v>
      </c>
      <c r="B37" s="188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 x14ac:dyDescent="0.15">
      <c r="A38">
        <v>37</v>
      </c>
      <c r="B38" s="188" t="s">
        <v>229</v>
      </c>
      <c r="C38">
        <v>2.062E-4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2.062E-4</v>
      </c>
    </row>
    <row r="39" spans="1:10" x14ac:dyDescent="0.15">
      <c r="A39">
        <v>38</v>
      </c>
      <c r="B39" s="188" t="s">
        <v>230</v>
      </c>
      <c r="C39">
        <v>3.644628E-3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3.644628E-3</v>
      </c>
    </row>
    <row r="40" spans="1:10" x14ac:dyDescent="0.15">
      <c r="A40">
        <v>39</v>
      </c>
      <c r="B40" s="188" t="s">
        <v>231</v>
      </c>
      <c r="C40">
        <v>1.722756E-3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1.722756E-3</v>
      </c>
    </row>
    <row r="41" spans="1:10" x14ac:dyDescent="0.15">
      <c r="A41">
        <v>40</v>
      </c>
      <c r="B41" s="188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 x14ac:dyDescent="0.15">
      <c r="A42">
        <v>41</v>
      </c>
      <c r="B42" s="188" t="s">
        <v>233</v>
      </c>
      <c r="C42">
        <v>2.1373189999999999E-3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2.1373189999999999E-3</v>
      </c>
    </row>
    <row r="43" spans="1:10" x14ac:dyDescent="0.15">
      <c r="A43">
        <v>42</v>
      </c>
      <c r="B43" s="188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 x14ac:dyDescent="0.15">
      <c r="A44">
        <v>43</v>
      </c>
      <c r="B44" s="188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 x14ac:dyDescent="0.15">
      <c r="A45">
        <v>44</v>
      </c>
      <c r="B45" s="188" t="s">
        <v>236</v>
      </c>
      <c r="C45">
        <v>3.8826449999999998E-2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3.8826449999999998E-2</v>
      </c>
    </row>
    <row r="46" spans="1:10" x14ac:dyDescent="0.15">
      <c r="A46">
        <v>45</v>
      </c>
      <c r="B46" s="188" t="s">
        <v>237</v>
      </c>
      <c r="C46">
        <v>6.4900000000000005E-5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6.4900000000000005E-5</v>
      </c>
    </row>
    <row r="47" spans="1:10" x14ac:dyDescent="0.15">
      <c r="A47">
        <v>46</v>
      </c>
      <c r="B47" s="188" t="s">
        <v>238</v>
      </c>
      <c r="C47">
        <v>6.7000000000000002E-3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6.7000000000000002E-3</v>
      </c>
    </row>
    <row r="48" spans="1:10" x14ac:dyDescent="0.15">
      <c r="A48">
        <v>47</v>
      </c>
      <c r="B48" s="188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 x14ac:dyDescent="0.15">
      <c r="A49">
        <v>48</v>
      </c>
      <c r="B49" s="188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 x14ac:dyDescent="0.15">
      <c r="A50">
        <v>49</v>
      </c>
      <c r="B50" s="188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 x14ac:dyDescent="0.15">
      <c r="A51">
        <v>50</v>
      </c>
      <c r="B51" s="188" t="s">
        <v>242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 x14ac:dyDescent="0.15">
      <c r="A52">
        <v>51</v>
      </c>
      <c r="B52" s="188" t="s">
        <v>243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 x14ac:dyDescent="0.15">
      <c r="A53">
        <v>52</v>
      </c>
      <c r="B53" s="188" t="s">
        <v>244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 x14ac:dyDescent="0.15">
      <c r="A54">
        <v>53</v>
      </c>
      <c r="B54" s="188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 x14ac:dyDescent="0.15">
      <c r="A55">
        <v>54</v>
      </c>
      <c r="B55" s="188" t="s">
        <v>246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x14ac:dyDescent="0.15">
      <c r="A56">
        <v>55</v>
      </c>
      <c r="B56" s="188" t="s">
        <v>247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 x14ac:dyDescent="0.15">
      <c r="A57">
        <v>56</v>
      </c>
      <c r="B57" s="188" t="s">
        <v>248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 x14ac:dyDescent="0.15">
      <c r="A58">
        <v>57</v>
      </c>
      <c r="B58" s="188" t="s">
        <v>249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x14ac:dyDescent="0.15">
      <c r="A59">
        <v>58</v>
      </c>
      <c r="B59" s="188" t="s">
        <v>250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 x14ac:dyDescent="0.15">
      <c r="A60">
        <v>59</v>
      </c>
      <c r="B60" s="188" t="s">
        <v>251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 x14ac:dyDescent="0.15">
      <c r="A61">
        <v>60</v>
      </c>
      <c r="B61" s="188" t="s">
        <v>252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4.83203125" bestFit="1" customWidth="1"/>
    <col min="6" max="6" width="4.83203125" bestFit="1" customWidth="1"/>
    <col min="7" max="9" width="3.83203125" bestFit="1" customWidth="1"/>
    <col min="10" max="11" width="4.83203125" style="11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7" customFormat="1" ht="14" thickBot="1" x14ac:dyDescent="0.2">
      <c r="D1" s="118" t="s">
        <v>8</v>
      </c>
      <c r="E1" s="118" t="s">
        <v>0</v>
      </c>
      <c r="F1" s="119" t="s">
        <v>99</v>
      </c>
      <c r="G1" s="120" t="s">
        <v>84</v>
      </c>
      <c r="H1" s="120" t="s">
        <v>85</v>
      </c>
      <c r="I1" s="120" t="s">
        <v>86</v>
      </c>
      <c r="J1" s="120" t="s">
        <v>87</v>
      </c>
      <c r="K1" s="120" t="s">
        <v>88</v>
      </c>
      <c r="L1" s="121" t="s">
        <v>89</v>
      </c>
      <c r="M1" s="121" t="s">
        <v>93</v>
      </c>
      <c r="N1" s="121" t="s">
        <v>92</v>
      </c>
      <c r="O1" s="121" t="s">
        <v>90</v>
      </c>
      <c r="P1" s="121" t="s">
        <v>91</v>
      </c>
      <c r="Q1" s="122" t="s">
        <v>94</v>
      </c>
      <c r="R1" s="122" t="s">
        <v>95</v>
      </c>
      <c r="S1" s="122" t="s">
        <v>96</v>
      </c>
      <c r="T1" s="122" t="s">
        <v>97</v>
      </c>
      <c r="U1" s="122" t="s">
        <v>98</v>
      </c>
      <c r="V1" s="120" t="s">
        <v>100</v>
      </c>
      <c r="W1" s="120" t="s">
        <v>101</v>
      </c>
      <c r="X1" s="120" t="s">
        <v>102</v>
      </c>
      <c r="Y1" s="120" t="s">
        <v>134</v>
      </c>
      <c r="Z1" s="121" t="s">
        <v>103</v>
      </c>
      <c r="AA1" s="121" t="s">
        <v>104</v>
      </c>
      <c r="AB1" s="121" t="s">
        <v>105</v>
      </c>
      <c r="AC1" s="123" t="s">
        <v>135</v>
      </c>
      <c r="AD1" s="122" t="s">
        <v>106</v>
      </c>
      <c r="AE1" s="122" t="s">
        <v>107</v>
      </c>
      <c r="AF1" s="122" t="s">
        <v>108</v>
      </c>
      <c r="AG1" s="122" t="s">
        <v>136</v>
      </c>
      <c r="AH1" s="120" t="s">
        <v>109</v>
      </c>
      <c r="AI1" s="120" t="s">
        <v>111</v>
      </c>
      <c r="AJ1" s="120" t="s">
        <v>110</v>
      </c>
      <c r="AK1" s="121" t="s">
        <v>115</v>
      </c>
      <c r="AL1" s="121" t="s">
        <v>116</v>
      </c>
      <c r="AM1" s="121" t="s">
        <v>117</v>
      </c>
      <c r="AN1" s="122" t="s">
        <v>112</v>
      </c>
      <c r="AO1" s="122" t="s">
        <v>113</v>
      </c>
      <c r="AP1" s="122" t="s">
        <v>114</v>
      </c>
    </row>
    <row r="2" spans="1:42" x14ac:dyDescent="0.15">
      <c r="A2" s="124" t="s">
        <v>74</v>
      </c>
      <c r="B2" s="125">
        <v>1</v>
      </c>
      <c r="D2">
        <v>1</v>
      </c>
      <c r="E2" s="190" t="s">
        <v>193</v>
      </c>
      <c r="F2">
        <v>0.98</v>
      </c>
      <c r="G2">
        <v>0.8</v>
      </c>
      <c r="H2">
        <v>0.8</v>
      </c>
      <c r="I2">
        <v>0</v>
      </c>
      <c r="J2" s="115">
        <v>0</v>
      </c>
      <c r="K2" s="115">
        <v>0</v>
      </c>
    </row>
    <row r="3" spans="1:42" x14ac:dyDescent="0.15">
      <c r="A3" s="124" t="s">
        <v>75</v>
      </c>
      <c r="B3" s="126">
        <v>1</v>
      </c>
      <c r="D3">
        <v>2</v>
      </c>
      <c r="E3" s="190" t="s">
        <v>194</v>
      </c>
      <c r="F3">
        <v>0.98</v>
      </c>
      <c r="G3">
        <v>0.8</v>
      </c>
      <c r="H3">
        <v>0.8</v>
      </c>
      <c r="I3">
        <v>0.8</v>
      </c>
      <c r="J3" s="115">
        <v>0.25</v>
      </c>
      <c r="K3" s="115">
        <v>0.05</v>
      </c>
    </row>
    <row r="4" spans="1:42" x14ac:dyDescent="0.15">
      <c r="A4" s="124" t="s">
        <v>76</v>
      </c>
      <c r="B4" s="126">
        <v>1</v>
      </c>
      <c r="D4">
        <v>3</v>
      </c>
      <c r="E4" s="190" t="s">
        <v>195</v>
      </c>
      <c r="F4">
        <v>0.98</v>
      </c>
      <c r="G4">
        <v>0.8</v>
      </c>
      <c r="H4">
        <v>0.8</v>
      </c>
      <c r="I4">
        <v>0.8</v>
      </c>
      <c r="J4" s="115">
        <v>0.25</v>
      </c>
      <c r="K4" s="115">
        <v>0.05</v>
      </c>
    </row>
    <row r="5" spans="1:42" x14ac:dyDescent="0.15">
      <c r="A5" s="124" t="s">
        <v>77</v>
      </c>
      <c r="B5" s="126">
        <v>1</v>
      </c>
      <c r="D5">
        <v>4</v>
      </c>
      <c r="E5" s="190" t="s">
        <v>196</v>
      </c>
      <c r="F5">
        <v>0.98</v>
      </c>
      <c r="G5">
        <v>0.8</v>
      </c>
      <c r="H5">
        <v>0.8</v>
      </c>
      <c r="I5">
        <v>0.8</v>
      </c>
      <c r="J5" s="115">
        <v>0.25</v>
      </c>
      <c r="K5" s="115">
        <v>0.05</v>
      </c>
    </row>
    <row r="6" spans="1:42" x14ac:dyDescent="0.15">
      <c r="A6" s="124" t="s">
        <v>78</v>
      </c>
      <c r="B6" s="126">
        <v>1</v>
      </c>
      <c r="D6">
        <v>5</v>
      </c>
      <c r="E6" s="190" t="s">
        <v>197</v>
      </c>
      <c r="F6">
        <v>0.98</v>
      </c>
      <c r="G6">
        <v>0.8</v>
      </c>
      <c r="H6">
        <v>0.8</v>
      </c>
      <c r="I6">
        <v>0.8</v>
      </c>
      <c r="J6" s="115">
        <v>0.25</v>
      </c>
      <c r="K6" s="115">
        <v>0.05</v>
      </c>
    </row>
    <row r="7" spans="1:42" x14ac:dyDescent="0.15">
      <c r="A7" s="124" t="s">
        <v>79</v>
      </c>
      <c r="B7" s="126">
        <v>1</v>
      </c>
      <c r="D7">
        <v>6</v>
      </c>
      <c r="E7" s="190" t="s">
        <v>198</v>
      </c>
      <c r="F7">
        <v>0.98</v>
      </c>
      <c r="G7">
        <v>0.8</v>
      </c>
      <c r="H7">
        <v>0.8</v>
      </c>
      <c r="I7">
        <v>0.8</v>
      </c>
      <c r="J7" s="115">
        <v>0.25</v>
      </c>
      <c r="K7" s="115">
        <v>0.05</v>
      </c>
    </row>
    <row r="8" spans="1:42" x14ac:dyDescent="0.15">
      <c r="A8" s="124" t="s">
        <v>80</v>
      </c>
      <c r="B8" s="126">
        <v>1</v>
      </c>
      <c r="D8">
        <v>7</v>
      </c>
      <c r="E8" s="190" t="s">
        <v>199</v>
      </c>
      <c r="F8">
        <v>0.98</v>
      </c>
      <c r="G8">
        <v>0.8</v>
      </c>
      <c r="H8">
        <v>0.8</v>
      </c>
      <c r="I8">
        <v>0.8</v>
      </c>
      <c r="J8" s="115">
        <v>0.25</v>
      </c>
      <c r="K8" s="115">
        <v>0.05</v>
      </c>
    </row>
    <row r="9" spans="1:42" x14ac:dyDescent="0.15">
      <c r="A9" s="124" t="s">
        <v>81</v>
      </c>
      <c r="B9" s="126">
        <v>0.1</v>
      </c>
      <c r="C9" s="61" t="s">
        <v>150</v>
      </c>
      <c r="D9">
        <v>8</v>
      </c>
      <c r="E9" s="190" t="s">
        <v>200</v>
      </c>
      <c r="F9">
        <v>0.98</v>
      </c>
      <c r="G9">
        <v>0.8</v>
      </c>
      <c r="H9">
        <v>0.8</v>
      </c>
      <c r="I9">
        <v>0.8</v>
      </c>
      <c r="J9" s="115">
        <v>0.25</v>
      </c>
      <c r="K9" s="115">
        <v>0.05</v>
      </c>
    </row>
    <row r="10" spans="1:42" ht="14" thickBot="1" x14ac:dyDescent="0.2">
      <c r="A10" s="124" t="s">
        <v>149</v>
      </c>
      <c r="B10" s="127">
        <f>1/3</f>
        <v>0.33333333333333331</v>
      </c>
      <c r="C10" s="61" t="s">
        <v>150</v>
      </c>
      <c r="D10">
        <v>9</v>
      </c>
      <c r="E10" s="190" t="s">
        <v>201</v>
      </c>
      <c r="F10">
        <v>0.98</v>
      </c>
      <c r="G10">
        <v>0.8</v>
      </c>
      <c r="H10">
        <v>0.8</v>
      </c>
      <c r="I10">
        <v>0.8</v>
      </c>
      <c r="J10" s="115">
        <v>0.25</v>
      </c>
      <c r="K10" s="115">
        <v>0.05</v>
      </c>
    </row>
    <row r="11" spans="1:42" x14ac:dyDescent="0.15">
      <c r="D11">
        <v>10</v>
      </c>
      <c r="E11" s="190" t="s">
        <v>202</v>
      </c>
      <c r="F11">
        <v>0.98</v>
      </c>
      <c r="G11">
        <v>0.8</v>
      </c>
      <c r="H11">
        <v>0.8</v>
      </c>
      <c r="I11">
        <v>0.8</v>
      </c>
      <c r="J11" s="115">
        <v>0.25</v>
      </c>
      <c r="K11" s="115">
        <v>0.05</v>
      </c>
    </row>
    <row r="12" spans="1:42" x14ac:dyDescent="0.15">
      <c r="D12">
        <v>11</v>
      </c>
      <c r="E12" s="190" t="s">
        <v>203</v>
      </c>
      <c r="F12">
        <v>0.98</v>
      </c>
      <c r="G12">
        <v>0.8</v>
      </c>
      <c r="H12">
        <v>0.8</v>
      </c>
      <c r="I12">
        <v>0.8</v>
      </c>
      <c r="J12" s="115">
        <v>0.25</v>
      </c>
      <c r="K12" s="115">
        <v>0.05</v>
      </c>
    </row>
    <row r="13" spans="1:42" x14ac:dyDescent="0.15">
      <c r="D13">
        <v>12</v>
      </c>
      <c r="E13" s="190" t="s">
        <v>204</v>
      </c>
      <c r="F13">
        <v>0.98</v>
      </c>
      <c r="G13">
        <v>0.8</v>
      </c>
      <c r="H13">
        <v>0.8</v>
      </c>
      <c r="I13">
        <v>0.8</v>
      </c>
      <c r="J13" s="115">
        <v>0.25</v>
      </c>
      <c r="K13" s="115">
        <v>0.05</v>
      </c>
    </row>
    <row r="14" spans="1:42" x14ac:dyDescent="0.15">
      <c r="D14">
        <v>13</v>
      </c>
      <c r="E14" s="190" t="s">
        <v>205</v>
      </c>
      <c r="F14">
        <v>0.98</v>
      </c>
      <c r="G14">
        <v>0.8</v>
      </c>
      <c r="H14">
        <v>0.8</v>
      </c>
      <c r="I14">
        <v>0.8</v>
      </c>
      <c r="J14" s="115">
        <v>0.25</v>
      </c>
      <c r="K14" s="115">
        <v>0.05</v>
      </c>
    </row>
    <row r="15" spans="1:42" x14ac:dyDescent="0.15">
      <c r="D15">
        <v>14</v>
      </c>
      <c r="E15" s="190" t="s">
        <v>206</v>
      </c>
      <c r="F15">
        <v>0.98</v>
      </c>
      <c r="G15">
        <v>0.8</v>
      </c>
      <c r="H15">
        <v>0.8</v>
      </c>
      <c r="I15">
        <v>0.8</v>
      </c>
      <c r="J15" s="115">
        <v>0.25</v>
      </c>
      <c r="K15" s="115">
        <v>0.05</v>
      </c>
    </row>
    <row r="16" spans="1:42" x14ac:dyDescent="0.15">
      <c r="D16">
        <v>15</v>
      </c>
      <c r="E16" s="190" t="s">
        <v>207</v>
      </c>
      <c r="F16">
        <v>0.98</v>
      </c>
      <c r="G16">
        <v>0.8</v>
      </c>
      <c r="H16">
        <v>0.8</v>
      </c>
      <c r="I16">
        <v>0.8</v>
      </c>
      <c r="J16" s="115">
        <v>0.25</v>
      </c>
      <c r="K16" s="115">
        <v>0.05</v>
      </c>
    </row>
    <row r="17" spans="4:33" ht="15" customHeight="1" x14ac:dyDescent="0.15">
      <c r="D17">
        <v>16</v>
      </c>
      <c r="E17" s="190" t="s">
        <v>208</v>
      </c>
      <c r="F17">
        <v>0.98</v>
      </c>
      <c r="G17">
        <v>0.8</v>
      </c>
      <c r="H17">
        <v>0.8</v>
      </c>
      <c r="I17">
        <v>0.8</v>
      </c>
      <c r="J17" s="115">
        <v>0.25</v>
      </c>
      <c r="K17" s="115">
        <v>0.05</v>
      </c>
    </row>
    <row r="18" spans="4:33" ht="15" customHeight="1" x14ac:dyDescent="0.15">
      <c r="D18">
        <v>17</v>
      </c>
      <c r="E18" s="190" t="s">
        <v>209</v>
      </c>
      <c r="F18">
        <v>0.98</v>
      </c>
      <c r="G18">
        <v>0.8</v>
      </c>
      <c r="H18">
        <v>0.8</v>
      </c>
      <c r="I18">
        <v>0.8</v>
      </c>
      <c r="J18" s="115">
        <v>0.25</v>
      </c>
      <c r="K18" s="115">
        <v>0.05</v>
      </c>
    </row>
    <row r="19" spans="4:33" ht="15" customHeight="1" x14ac:dyDescent="0.15">
      <c r="D19">
        <v>18</v>
      </c>
      <c r="E19" s="190" t="s">
        <v>210</v>
      </c>
      <c r="F19">
        <v>0.98</v>
      </c>
      <c r="G19">
        <v>0.8</v>
      </c>
      <c r="H19">
        <v>0.8</v>
      </c>
      <c r="I19">
        <v>0.8</v>
      </c>
      <c r="J19" s="115">
        <v>0.25</v>
      </c>
      <c r="K19" s="115">
        <v>0.05</v>
      </c>
    </row>
    <row r="20" spans="4:33" ht="15" customHeight="1" x14ac:dyDescent="0.15">
      <c r="D20">
        <v>19</v>
      </c>
      <c r="E20" s="190" t="s">
        <v>211</v>
      </c>
      <c r="F20">
        <v>0.98</v>
      </c>
      <c r="G20">
        <v>0.8</v>
      </c>
      <c r="H20">
        <v>0.8</v>
      </c>
      <c r="I20">
        <v>0.8</v>
      </c>
      <c r="J20" s="115">
        <v>0.25</v>
      </c>
      <c r="K20" s="115">
        <v>0.05</v>
      </c>
    </row>
    <row r="21" spans="4:33" ht="15" customHeight="1" x14ac:dyDescent="0.15">
      <c r="D21">
        <v>20</v>
      </c>
      <c r="E21" s="190" t="s">
        <v>212</v>
      </c>
      <c r="F21">
        <v>0.98</v>
      </c>
      <c r="G21">
        <v>0.8</v>
      </c>
      <c r="H21">
        <v>0.8</v>
      </c>
      <c r="I21">
        <v>0.8</v>
      </c>
      <c r="J21" s="115">
        <v>0.25</v>
      </c>
      <c r="K21" s="115">
        <v>0.05</v>
      </c>
    </row>
    <row r="22" spans="4:33" ht="15" customHeight="1" x14ac:dyDescent="0.15">
      <c r="D22">
        <v>21</v>
      </c>
      <c r="E22" s="190" t="s">
        <v>213</v>
      </c>
      <c r="F22">
        <v>0.98</v>
      </c>
      <c r="G22">
        <v>0.8</v>
      </c>
      <c r="H22">
        <v>0.8</v>
      </c>
      <c r="I22">
        <v>0.8</v>
      </c>
      <c r="J22" s="115">
        <v>0.25</v>
      </c>
      <c r="K22" s="115">
        <v>0.05</v>
      </c>
    </row>
    <row r="23" spans="4:33" ht="15" customHeight="1" x14ac:dyDescent="0.15">
      <c r="D23">
        <v>22</v>
      </c>
      <c r="E23" s="190" t="s">
        <v>214</v>
      </c>
      <c r="F23">
        <v>0.98</v>
      </c>
      <c r="G23">
        <v>0.8</v>
      </c>
      <c r="H23">
        <v>0.8</v>
      </c>
      <c r="I23">
        <v>0.8</v>
      </c>
      <c r="J23" s="115">
        <v>0.25</v>
      </c>
      <c r="K23" s="115">
        <v>0.05</v>
      </c>
    </row>
    <row r="24" spans="4:33" ht="15" customHeight="1" x14ac:dyDescent="0.15">
      <c r="D24">
        <v>23</v>
      </c>
      <c r="E24" s="190" t="s">
        <v>215</v>
      </c>
      <c r="F24">
        <v>0.98</v>
      </c>
      <c r="G24">
        <v>0.8</v>
      </c>
      <c r="H24">
        <v>0.8</v>
      </c>
      <c r="I24">
        <v>0.8</v>
      </c>
      <c r="J24" s="115">
        <v>0.25</v>
      </c>
      <c r="K24" s="115">
        <v>0.05</v>
      </c>
    </row>
    <row r="25" spans="4:33" ht="15" customHeight="1" x14ac:dyDescent="0.15">
      <c r="D25">
        <v>24</v>
      </c>
      <c r="E25" s="190" t="s">
        <v>216</v>
      </c>
      <c r="F25">
        <v>0.98</v>
      </c>
      <c r="G25">
        <v>0.8</v>
      </c>
      <c r="H25">
        <v>0.8</v>
      </c>
      <c r="I25">
        <v>0.8</v>
      </c>
      <c r="J25" s="115">
        <v>0.25</v>
      </c>
      <c r="K25" s="115">
        <v>0.05</v>
      </c>
    </row>
    <row r="26" spans="4:33" ht="15" customHeight="1" x14ac:dyDescent="0.15">
      <c r="D26">
        <v>25</v>
      </c>
      <c r="E26" s="190" t="s">
        <v>217</v>
      </c>
      <c r="F26">
        <v>0.98</v>
      </c>
      <c r="G26">
        <v>0.8</v>
      </c>
      <c r="H26">
        <v>0.8</v>
      </c>
      <c r="I26">
        <v>0.8</v>
      </c>
      <c r="J26" s="115">
        <v>0.25</v>
      </c>
      <c r="K26" s="115">
        <v>0.05</v>
      </c>
    </row>
    <row r="27" spans="4:33" ht="15" customHeight="1" x14ac:dyDescent="0.15">
      <c r="D27">
        <v>26</v>
      </c>
      <c r="E27" s="190" t="s">
        <v>218</v>
      </c>
      <c r="F27">
        <v>0.98</v>
      </c>
      <c r="G27">
        <v>0.8</v>
      </c>
      <c r="H27">
        <v>0.8</v>
      </c>
      <c r="I27">
        <v>0.8</v>
      </c>
      <c r="J27" s="115">
        <v>0.25</v>
      </c>
      <c r="K27" s="115">
        <v>0.05</v>
      </c>
    </row>
    <row r="28" spans="4:33" ht="15" customHeight="1" x14ac:dyDescent="0.15">
      <c r="D28">
        <v>27</v>
      </c>
      <c r="E28" s="190" t="s">
        <v>219</v>
      </c>
      <c r="F28">
        <v>0.98</v>
      </c>
      <c r="G28">
        <v>0.8</v>
      </c>
      <c r="H28">
        <v>0.8</v>
      </c>
      <c r="I28">
        <v>0.8</v>
      </c>
      <c r="J28" s="115">
        <v>0.25</v>
      </c>
      <c r="K28" s="115">
        <v>0.05</v>
      </c>
    </row>
    <row r="29" spans="4:33" ht="15" customHeight="1" x14ac:dyDescent="0.15">
      <c r="D29">
        <v>28</v>
      </c>
      <c r="E29" s="190" t="s">
        <v>220</v>
      </c>
      <c r="F29">
        <v>0.98</v>
      </c>
      <c r="G29">
        <v>0.8</v>
      </c>
      <c r="H29">
        <v>0.8</v>
      </c>
      <c r="I29">
        <v>0.8</v>
      </c>
      <c r="J29" s="115">
        <v>0.25</v>
      </c>
      <c r="K29" s="115">
        <v>0.05</v>
      </c>
      <c r="Y29"/>
      <c r="AC29"/>
      <c r="AG29"/>
    </row>
    <row r="30" spans="4:33" ht="15" customHeight="1" x14ac:dyDescent="0.15">
      <c r="D30">
        <v>29</v>
      </c>
      <c r="E30" s="190" t="s">
        <v>221</v>
      </c>
      <c r="F30">
        <v>0.98</v>
      </c>
      <c r="G30">
        <v>0.8</v>
      </c>
      <c r="H30">
        <v>0.8</v>
      </c>
      <c r="I30">
        <v>0.8</v>
      </c>
      <c r="J30" s="115">
        <v>0.25</v>
      </c>
      <c r="K30" s="115">
        <v>0.05</v>
      </c>
      <c r="Y30"/>
      <c r="AC30"/>
      <c r="AG30"/>
    </row>
    <row r="31" spans="4:33" ht="15" customHeight="1" x14ac:dyDescent="0.15">
      <c r="D31">
        <v>30</v>
      </c>
      <c r="E31" s="190" t="s">
        <v>222</v>
      </c>
      <c r="F31">
        <v>0.98</v>
      </c>
      <c r="G31">
        <v>0.8</v>
      </c>
      <c r="H31">
        <v>0.8</v>
      </c>
      <c r="I31">
        <v>0.8</v>
      </c>
      <c r="J31" s="115">
        <v>0.25</v>
      </c>
      <c r="K31" s="115">
        <v>0.05</v>
      </c>
      <c r="Y31"/>
      <c r="AC31"/>
      <c r="AG31"/>
    </row>
    <row r="32" spans="4:33" ht="15" customHeight="1" x14ac:dyDescent="0.15">
      <c r="D32">
        <v>31</v>
      </c>
      <c r="E32" s="190" t="s">
        <v>223</v>
      </c>
      <c r="F32">
        <v>0.98</v>
      </c>
      <c r="G32">
        <v>0.8</v>
      </c>
      <c r="H32">
        <v>0.8</v>
      </c>
      <c r="I32">
        <v>0.8</v>
      </c>
      <c r="J32" s="115">
        <v>0.25</v>
      </c>
      <c r="K32" s="115">
        <v>0.05</v>
      </c>
      <c r="Y32"/>
      <c r="AC32"/>
      <c r="AG32"/>
    </row>
    <row r="33" spans="4:33" ht="15" customHeight="1" x14ac:dyDescent="0.15">
      <c r="D33">
        <v>32</v>
      </c>
      <c r="E33" s="190" t="s">
        <v>224</v>
      </c>
      <c r="F33">
        <v>0.98</v>
      </c>
      <c r="G33">
        <v>0.8</v>
      </c>
      <c r="H33">
        <v>0.8</v>
      </c>
      <c r="I33">
        <v>0.8</v>
      </c>
      <c r="J33" s="115">
        <v>0.25</v>
      </c>
      <c r="K33" s="115">
        <v>0.05</v>
      </c>
      <c r="Y33"/>
      <c r="AC33"/>
      <c r="AG33"/>
    </row>
    <row r="34" spans="4:33" ht="15" customHeight="1" x14ac:dyDescent="0.15">
      <c r="D34">
        <v>33</v>
      </c>
      <c r="E34" s="190" t="s">
        <v>225</v>
      </c>
      <c r="F34">
        <v>0.98</v>
      </c>
      <c r="G34">
        <v>0.8</v>
      </c>
      <c r="H34">
        <v>0.8</v>
      </c>
      <c r="I34">
        <v>0.8</v>
      </c>
      <c r="J34" s="115">
        <v>0.25</v>
      </c>
      <c r="K34" s="115">
        <v>0.05</v>
      </c>
      <c r="Y34"/>
      <c r="AC34"/>
      <c r="AG34"/>
    </row>
    <row r="35" spans="4:33" ht="15" customHeight="1" x14ac:dyDescent="0.15">
      <c r="D35">
        <v>34</v>
      </c>
      <c r="E35" s="190" t="s">
        <v>226</v>
      </c>
      <c r="F35">
        <v>0.98</v>
      </c>
      <c r="G35">
        <v>0.8</v>
      </c>
      <c r="H35">
        <v>0.8</v>
      </c>
      <c r="I35">
        <v>0.8</v>
      </c>
      <c r="J35" s="115">
        <v>0.25</v>
      </c>
      <c r="K35" s="115">
        <v>0.05</v>
      </c>
      <c r="Y35"/>
      <c r="AC35"/>
      <c r="AG35"/>
    </row>
    <row r="36" spans="4:33" ht="15" customHeight="1" x14ac:dyDescent="0.15">
      <c r="D36">
        <v>35</v>
      </c>
      <c r="E36" s="190" t="s">
        <v>227</v>
      </c>
      <c r="F36">
        <v>0.98</v>
      </c>
      <c r="G36">
        <v>0.8</v>
      </c>
      <c r="H36">
        <v>0.8</v>
      </c>
      <c r="I36">
        <v>0.8</v>
      </c>
      <c r="J36" s="115">
        <v>0.25</v>
      </c>
      <c r="K36" s="115">
        <v>0.05</v>
      </c>
      <c r="Y36"/>
      <c r="AC36"/>
      <c r="AG36"/>
    </row>
    <row r="37" spans="4:33" ht="15" customHeight="1" x14ac:dyDescent="0.15">
      <c r="D37">
        <v>36</v>
      </c>
      <c r="E37" s="190" t="s">
        <v>228</v>
      </c>
      <c r="F37">
        <v>0.98</v>
      </c>
      <c r="G37">
        <v>0.8</v>
      </c>
      <c r="H37">
        <v>0.8</v>
      </c>
      <c r="I37">
        <v>0.8</v>
      </c>
      <c r="J37" s="115">
        <v>0.25</v>
      </c>
      <c r="K37" s="115">
        <v>0.05</v>
      </c>
      <c r="Y37"/>
      <c r="AC37"/>
      <c r="AG37"/>
    </row>
    <row r="38" spans="4:33" ht="15" customHeight="1" x14ac:dyDescent="0.15">
      <c r="D38">
        <v>37</v>
      </c>
      <c r="E38" s="190" t="s">
        <v>229</v>
      </c>
      <c r="F38">
        <v>0.98</v>
      </c>
      <c r="G38">
        <v>0.8</v>
      </c>
      <c r="H38">
        <v>0.8</v>
      </c>
      <c r="I38">
        <v>0.8</v>
      </c>
      <c r="J38" s="115">
        <v>0.25</v>
      </c>
      <c r="K38" s="115">
        <v>0.05</v>
      </c>
      <c r="Y38"/>
      <c r="AC38"/>
      <c r="AG38"/>
    </row>
    <row r="39" spans="4:33" ht="15" customHeight="1" x14ac:dyDescent="0.15">
      <c r="D39">
        <v>38</v>
      </c>
      <c r="E39" s="190" t="s">
        <v>230</v>
      </c>
      <c r="F39">
        <v>0.98</v>
      </c>
      <c r="G39">
        <v>0.8</v>
      </c>
      <c r="H39">
        <v>0.8</v>
      </c>
      <c r="I39">
        <v>0.8</v>
      </c>
      <c r="J39" s="115">
        <v>0.25</v>
      </c>
      <c r="K39" s="115">
        <v>0.05</v>
      </c>
    </row>
    <row r="40" spans="4:33" ht="15" customHeight="1" x14ac:dyDescent="0.15">
      <c r="D40">
        <v>39</v>
      </c>
      <c r="E40" s="190" t="s">
        <v>231</v>
      </c>
      <c r="F40">
        <v>0.98</v>
      </c>
      <c r="G40">
        <v>0.8</v>
      </c>
      <c r="H40">
        <v>0.8</v>
      </c>
      <c r="I40">
        <v>0.8</v>
      </c>
      <c r="J40" s="115">
        <v>0.25</v>
      </c>
      <c r="K40" s="115">
        <v>0.05</v>
      </c>
      <c r="Y40"/>
      <c r="AC40"/>
      <c r="AG40"/>
    </row>
    <row r="41" spans="4:33" ht="15" customHeight="1" x14ac:dyDescent="0.15">
      <c r="D41">
        <v>40</v>
      </c>
      <c r="E41" s="190" t="s">
        <v>232</v>
      </c>
      <c r="F41">
        <v>0.98</v>
      </c>
      <c r="G41">
        <v>0.8</v>
      </c>
      <c r="H41">
        <v>0.8</v>
      </c>
      <c r="I41">
        <v>0.8</v>
      </c>
      <c r="J41" s="115">
        <v>0.25</v>
      </c>
      <c r="K41" s="115">
        <v>0.05</v>
      </c>
      <c r="Y41"/>
      <c r="AC41"/>
      <c r="AG41"/>
    </row>
    <row r="42" spans="4:33" ht="15" customHeight="1" x14ac:dyDescent="0.15">
      <c r="D42">
        <v>41</v>
      </c>
      <c r="E42" s="190" t="s">
        <v>233</v>
      </c>
      <c r="F42">
        <v>0.98</v>
      </c>
      <c r="G42">
        <v>0.8</v>
      </c>
      <c r="H42">
        <v>0.8</v>
      </c>
      <c r="I42">
        <v>0.8</v>
      </c>
      <c r="J42" s="115">
        <v>0.25</v>
      </c>
      <c r="K42" s="115">
        <v>0.05</v>
      </c>
      <c r="Y42"/>
      <c r="AC42"/>
      <c r="AG42"/>
    </row>
    <row r="43" spans="4:33" ht="15" customHeight="1" x14ac:dyDescent="0.15">
      <c r="D43">
        <v>42</v>
      </c>
      <c r="E43" s="190" t="s">
        <v>234</v>
      </c>
      <c r="F43">
        <v>0.98</v>
      </c>
      <c r="G43">
        <v>0.8</v>
      </c>
      <c r="H43">
        <v>0.8</v>
      </c>
      <c r="I43">
        <v>0.8</v>
      </c>
      <c r="J43" s="115">
        <v>0.25</v>
      </c>
      <c r="K43" s="115">
        <v>0.05</v>
      </c>
      <c r="Y43"/>
      <c r="AC43"/>
      <c r="AG43"/>
    </row>
    <row r="44" spans="4:33" ht="15" customHeight="1" x14ac:dyDescent="0.15">
      <c r="D44">
        <v>43</v>
      </c>
      <c r="E44" s="190" t="s">
        <v>235</v>
      </c>
      <c r="F44">
        <v>0.98</v>
      </c>
      <c r="G44">
        <v>0.8</v>
      </c>
      <c r="H44">
        <v>0.8</v>
      </c>
      <c r="I44">
        <v>0.8</v>
      </c>
      <c r="J44" s="115">
        <v>0.25</v>
      </c>
      <c r="K44" s="115">
        <v>0.05</v>
      </c>
      <c r="Y44"/>
      <c r="AC44"/>
      <c r="AG44"/>
    </row>
    <row r="45" spans="4:33" ht="15" customHeight="1" x14ac:dyDescent="0.15">
      <c r="D45">
        <v>44</v>
      </c>
      <c r="E45" s="190" t="s">
        <v>236</v>
      </c>
      <c r="F45">
        <v>0.98</v>
      </c>
      <c r="G45">
        <v>0.8</v>
      </c>
      <c r="H45">
        <v>0.8</v>
      </c>
      <c r="I45">
        <v>0.8</v>
      </c>
      <c r="J45" s="115">
        <v>0.25</v>
      </c>
      <c r="K45" s="115">
        <v>0.05</v>
      </c>
      <c r="Y45"/>
      <c r="AC45"/>
      <c r="AG45"/>
    </row>
    <row r="46" spans="4:33" ht="15" customHeight="1" x14ac:dyDescent="0.15">
      <c r="D46">
        <v>45</v>
      </c>
      <c r="E46" s="190" t="s">
        <v>237</v>
      </c>
      <c r="F46">
        <v>0.98</v>
      </c>
      <c r="G46">
        <v>0.8</v>
      </c>
      <c r="H46">
        <v>0.8</v>
      </c>
      <c r="I46">
        <v>0.8</v>
      </c>
      <c r="J46" s="115">
        <v>0.25</v>
      </c>
      <c r="K46" s="115">
        <v>0.05</v>
      </c>
      <c r="Y46"/>
      <c r="AC46"/>
      <c r="AG46"/>
    </row>
    <row r="47" spans="4:33" ht="15" customHeight="1" x14ac:dyDescent="0.15">
      <c r="D47">
        <v>46</v>
      </c>
      <c r="E47" s="190" t="s">
        <v>238</v>
      </c>
      <c r="F47">
        <v>0.98</v>
      </c>
      <c r="G47">
        <v>0.8</v>
      </c>
      <c r="H47">
        <v>0.8</v>
      </c>
      <c r="I47">
        <v>0.8</v>
      </c>
      <c r="J47" s="115">
        <v>0.25</v>
      </c>
      <c r="K47" s="115">
        <v>0.05</v>
      </c>
      <c r="Y47"/>
      <c r="AC47"/>
      <c r="AG47"/>
    </row>
    <row r="48" spans="4:33" ht="15" customHeight="1" x14ac:dyDescent="0.15">
      <c r="D48">
        <v>47</v>
      </c>
      <c r="E48" s="190" t="s">
        <v>239</v>
      </c>
      <c r="F48">
        <v>0.98</v>
      </c>
      <c r="G48">
        <v>0.8</v>
      </c>
      <c r="H48">
        <v>0.8</v>
      </c>
      <c r="I48">
        <v>0.8</v>
      </c>
      <c r="J48" s="115">
        <v>0.25</v>
      </c>
      <c r="K48" s="115">
        <v>0.05</v>
      </c>
      <c r="Y48"/>
      <c r="AC48"/>
      <c r="AG48"/>
    </row>
    <row r="49" spans="4:33" ht="15" customHeight="1" x14ac:dyDescent="0.15">
      <c r="D49">
        <v>48</v>
      </c>
      <c r="E49" s="190" t="s">
        <v>240</v>
      </c>
      <c r="F49">
        <v>0.98</v>
      </c>
      <c r="G49">
        <v>0.8</v>
      </c>
      <c r="H49">
        <v>0.8</v>
      </c>
      <c r="I49">
        <v>0.8</v>
      </c>
      <c r="J49" s="115">
        <v>0.25</v>
      </c>
      <c r="K49" s="115">
        <v>0.05</v>
      </c>
      <c r="Y49"/>
      <c r="AC49"/>
      <c r="AG49"/>
    </row>
    <row r="50" spans="4:33" ht="15" customHeight="1" x14ac:dyDescent="0.15">
      <c r="D50">
        <v>49</v>
      </c>
      <c r="E50" s="190" t="s">
        <v>241</v>
      </c>
      <c r="F50">
        <v>0.98</v>
      </c>
      <c r="G50">
        <v>0.8</v>
      </c>
      <c r="H50">
        <v>0.8</v>
      </c>
      <c r="I50">
        <v>0.8</v>
      </c>
      <c r="J50" s="115">
        <v>0.25</v>
      </c>
      <c r="K50" s="115">
        <v>0.05</v>
      </c>
      <c r="Y50"/>
      <c r="AC50"/>
      <c r="AG50"/>
    </row>
    <row r="51" spans="4:33" ht="15" customHeight="1" x14ac:dyDescent="0.15">
      <c r="D51">
        <v>50</v>
      </c>
      <c r="E51" s="190" t="s">
        <v>242</v>
      </c>
      <c r="F51">
        <v>0.98</v>
      </c>
      <c r="G51">
        <v>0.8</v>
      </c>
      <c r="H51">
        <v>0.8</v>
      </c>
      <c r="I51">
        <v>0.8</v>
      </c>
      <c r="J51" s="115">
        <v>0.25</v>
      </c>
      <c r="K51" s="115">
        <v>0.05</v>
      </c>
      <c r="Y51"/>
      <c r="AC51"/>
      <c r="AG51"/>
    </row>
    <row r="52" spans="4:33" ht="15" customHeight="1" x14ac:dyDescent="0.15">
      <c r="D52">
        <v>51</v>
      </c>
      <c r="E52" s="190" t="s">
        <v>243</v>
      </c>
      <c r="F52">
        <v>0.98</v>
      </c>
      <c r="G52">
        <v>0.8</v>
      </c>
      <c r="H52">
        <v>0.8</v>
      </c>
      <c r="I52">
        <v>0.8</v>
      </c>
      <c r="J52" s="115">
        <v>0.25</v>
      </c>
      <c r="K52" s="115">
        <v>0.05</v>
      </c>
      <c r="Y52"/>
      <c r="AC52"/>
      <c r="AG52"/>
    </row>
    <row r="53" spans="4:33" ht="15" customHeight="1" x14ac:dyDescent="0.15">
      <c r="D53">
        <v>52</v>
      </c>
      <c r="E53" s="190" t="s">
        <v>244</v>
      </c>
      <c r="F53">
        <v>0.98</v>
      </c>
      <c r="G53">
        <v>0.8</v>
      </c>
      <c r="H53">
        <v>0.8</v>
      </c>
      <c r="I53">
        <v>0.8</v>
      </c>
      <c r="J53" s="115">
        <v>0.25</v>
      </c>
      <c r="K53" s="115">
        <v>0.05</v>
      </c>
      <c r="Y53"/>
      <c r="AC53"/>
      <c r="AG53"/>
    </row>
    <row r="54" spans="4:33" ht="15" customHeight="1" x14ac:dyDescent="0.15">
      <c r="D54">
        <v>53</v>
      </c>
      <c r="E54" s="190" t="s">
        <v>245</v>
      </c>
      <c r="F54">
        <v>0.98</v>
      </c>
      <c r="G54">
        <v>0.8</v>
      </c>
      <c r="H54">
        <v>0.8</v>
      </c>
      <c r="I54">
        <v>0.8</v>
      </c>
      <c r="J54" s="115">
        <v>0.25</v>
      </c>
      <c r="K54" s="115">
        <v>0.05</v>
      </c>
      <c r="Y54"/>
      <c r="AC54"/>
      <c r="AG54"/>
    </row>
    <row r="55" spans="4:33" ht="15" customHeight="1" x14ac:dyDescent="0.15">
      <c r="D55">
        <v>54</v>
      </c>
      <c r="E55" s="190" t="s">
        <v>246</v>
      </c>
      <c r="F55">
        <v>0.98</v>
      </c>
      <c r="G55">
        <v>0.8</v>
      </c>
      <c r="H55">
        <v>0.8</v>
      </c>
      <c r="I55">
        <v>0.8</v>
      </c>
      <c r="J55" s="115">
        <v>0.25</v>
      </c>
      <c r="K55" s="115">
        <v>0.05</v>
      </c>
      <c r="Y55"/>
      <c r="AC55"/>
      <c r="AG55"/>
    </row>
    <row r="56" spans="4:33" ht="15" customHeight="1" x14ac:dyDescent="0.15">
      <c r="D56">
        <v>55</v>
      </c>
      <c r="E56" s="190" t="s">
        <v>247</v>
      </c>
      <c r="F56">
        <v>0.98</v>
      </c>
      <c r="G56">
        <v>0.8</v>
      </c>
      <c r="H56">
        <v>0.8</v>
      </c>
      <c r="I56">
        <v>0.8</v>
      </c>
      <c r="J56" s="115">
        <v>0.25</v>
      </c>
      <c r="K56" s="115">
        <v>0.05</v>
      </c>
      <c r="Y56"/>
      <c r="AC56"/>
      <c r="AG56"/>
    </row>
    <row r="57" spans="4:33" ht="15" customHeight="1" x14ac:dyDescent="0.15">
      <c r="D57">
        <v>56</v>
      </c>
      <c r="E57" s="190" t="s">
        <v>248</v>
      </c>
      <c r="F57">
        <v>0.98</v>
      </c>
      <c r="G57">
        <v>0.8</v>
      </c>
      <c r="H57">
        <v>0.8</v>
      </c>
      <c r="I57">
        <v>0.8</v>
      </c>
      <c r="J57" s="115">
        <v>0.25</v>
      </c>
      <c r="K57" s="115">
        <v>0.05</v>
      </c>
      <c r="Y57"/>
      <c r="AC57"/>
      <c r="AG57"/>
    </row>
    <row r="58" spans="4:33" ht="15" customHeight="1" x14ac:dyDescent="0.15">
      <c r="D58">
        <v>57</v>
      </c>
      <c r="E58" s="190" t="s">
        <v>249</v>
      </c>
      <c r="F58">
        <v>0.98</v>
      </c>
      <c r="G58">
        <v>0.8</v>
      </c>
      <c r="H58">
        <v>0.8</v>
      </c>
      <c r="I58">
        <v>0.8</v>
      </c>
      <c r="J58" s="115">
        <v>0.25</v>
      </c>
      <c r="K58" s="115">
        <v>0.05</v>
      </c>
      <c r="Y58"/>
      <c r="AC58"/>
      <c r="AG58"/>
    </row>
    <row r="59" spans="4:33" ht="15" customHeight="1" x14ac:dyDescent="0.15">
      <c r="D59">
        <v>58</v>
      </c>
      <c r="E59" s="190" t="s">
        <v>250</v>
      </c>
      <c r="F59">
        <v>0.98</v>
      </c>
      <c r="G59">
        <v>0.8</v>
      </c>
      <c r="H59">
        <v>0.8</v>
      </c>
      <c r="I59">
        <v>0.8</v>
      </c>
      <c r="J59" s="115">
        <v>0.25</v>
      </c>
      <c r="K59" s="115">
        <v>0.05</v>
      </c>
      <c r="Y59"/>
      <c r="AC59"/>
      <c r="AG59"/>
    </row>
    <row r="60" spans="4:33" ht="15" customHeight="1" x14ac:dyDescent="0.15">
      <c r="D60">
        <v>59</v>
      </c>
      <c r="E60" s="190" t="s">
        <v>251</v>
      </c>
      <c r="F60">
        <v>0.98</v>
      </c>
      <c r="G60">
        <v>0.8</v>
      </c>
      <c r="H60">
        <v>0</v>
      </c>
      <c r="I60">
        <v>0</v>
      </c>
      <c r="J60" s="115">
        <v>0</v>
      </c>
      <c r="K60" s="115">
        <v>0</v>
      </c>
      <c r="Y60"/>
      <c r="AC60"/>
      <c r="AG60"/>
    </row>
    <row r="61" spans="4:33" ht="15" customHeight="1" x14ac:dyDescent="0.15">
      <c r="D61">
        <v>60</v>
      </c>
      <c r="E61" s="190" t="s">
        <v>252</v>
      </c>
      <c r="F61">
        <v>0.98</v>
      </c>
      <c r="G61">
        <v>0.8</v>
      </c>
      <c r="H61">
        <v>0</v>
      </c>
      <c r="I61">
        <v>0</v>
      </c>
      <c r="J61" s="115">
        <v>0</v>
      </c>
      <c r="K61" s="115">
        <v>0</v>
      </c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I62"/>
  <sheetViews>
    <sheetView workbookViewId="0">
      <selection activeCell="A3" sqref="A3"/>
    </sheetView>
  </sheetViews>
  <sheetFormatPr baseColWidth="10" defaultRowHeight="13" x14ac:dyDescent="0.15"/>
  <cols>
    <col min="1" max="1" width="24.83203125" style="112" bestFit="1" customWidth="1"/>
    <col min="2" max="2" width="2.33203125" style="112" customWidth="1"/>
    <col min="3" max="59" width="3.83203125" style="112" customWidth="1"/>
    <col min="60" max="61" width="2.33203125" style="112" customWidth="1"/>
    <col min="62" max="16384" width="10.83203125" style="112"/>
  </cols>
  <sheetData>
    <row r="1" spans="1:61" x14ac:dyDescent="0.15">
      <c r="A1" s="63" t="s">
        <v>118</v>
      </c>
      <c r="B1" s="192" t="s">
        <v>193</v>
      </c>
      <c r="C1" s="192" t="s">
        <v>194</v>
      </c>
      <c r="D1" s="192" t="s">
        <v>195</v>
      </c>
      <c r="E1" s="192" t="s">
        <v>196</v>
      </c>
      <c r="F1" s="192" t="s">
        <v>197</v>
      </c>
      <c r="G1" s="192" t="s">
        <v>198</v>
      </c>
      <c r="H1" s="192" t="s">
        <v>199</v>
      </c>
      <c r="I1" s="192" t="s">
        <v>200</v>
      </c>
      <c r="J1" s="192" t="s">
        <v>201</v>
      </c>
      <c r="K1" s="192" t="s">
        <v>202</v>
      </c>
      <c r="L1" s="192" t="s">
        <v>203</v>
      </c>
      <c r="M1" s="192" t="s">
        <v>204</v>
      </c>
      <c r="N1" s="192" t="s">
        <v>205</v>
      </c>
      <c r="O1" s="192" t="s">
        <v>206</v>
      </c>
      <c r="P1" s="192" t="s">
        <v>207</v>
      </c>
      <c r="Q1" s="192" t="s">
        <v>208</v>
      </c>
      <c r="R1" s="192" t="s">
        <v>209</v>
      </c>
      <c r="S1" s="192" t="s">
        <v>210</v>
      </c>
      <c r="T1" s="192" t="s">
        <v>211</v>
      </c>
      <c r="U1" s="192" t="s">
        <v>212</v>
      </c>
      <c r="V1" s="192" t="s">
        <v>213</v>
      </c>
      <c r="W1" s="192" t="s">
        <v>214</v>
      </c>
      <c r="X1" s="192" t="s">
        <v>215</v>
      </c>
      <c r="Y1" s="192" t="s">
        <v>216</v>
      </c>
      <c r="Z1" s="192" t="s">
        <v>217</v>
      </c>
      <c r="AA1" s="192" t="s">
        <v>218</v>
      </c>
      <c r="AB1" s="192" t="s">
        <v>219</v>
      </c>
      <c r="AC1" s="192" t="s">
        <v>220</v>
      </c>
      <c r="AD1" s="192" t="s">
        <v>221</v>
      </c>
      <c r="AE1" s="192" t="s">
        <v>222</v>
      </c>
      <c r="AF1" s="192" t="s">
        <v>223</v>
      </c>
      <c r="AG1" s="192" t="s">
        <v>224</v>
      </c>
      <c r="AH1" s="192" t="s">
        <v>225</v>
      </c>
      <c r="AI1" s="192" t="s">
        <v>226</v>
      </c>
      <c r="AJ1" s="192" t="s">
        <v>227</v>
      </c>
      <c r="AK1" s="192" t="s">
        <v>228</v>
      </c>
      <c r="AL1" s="192" t="s">
        <v>229</v>
      </c>
      <c r="AM1" s="192" t="s">
        <v>230</v>
      </c>
      <c r="AN1" s="192" t="s">
        <v>231</v>
      </c>
      <c r="AO1" s="192" t="s">
        <v>232</v>
      </c>
      <c r="AP1" s="192" t="s">
        <v>233</v>
      </c>
      <c r="AQ1" s="192" t="s">
        <v>234</v>
      </c>
      <c r="AR1" s="192" t="s">
        <v>235</v>
      </c>
      <c r="AS1" s="192" t="s">
        <v>236</v>
      </c>
      <c r="AT1" s="192" t="s">
        <v>237</v>
      </c>
      <c r="AU1" s="192" t="s">
        <v>238</v>
      </c>
      <c r="AV1" s="192" t="s">
        <v>239</v>
      </c>
      <c r="AW1" s="192" t="s">
        <v>240</v>
      </c>
      <c r="AX1" s="192" t="s">
        <v>241</v>
      </c>
      <c r="AY1" s="192" t="s">
        <v>242</v>
      </c>
      <c r="AZ1" s="192" t="s">
        <v>243</v>
      </c>
      <c r="BA1" s="192" t="s">
        <v>244</v>
      </c>
      <c r="BB1" s="192" t="s">
        <v>245</v>
      </c>
      <c r="BC1" s="192" t="s">
        <v>246</v>
      </c>
      <c r="BD1" s="192" t="s">
        <v>247</v>
      </c>
      <c r="BE1" s="192" t="s">
        <v>248</v>
      </c>
      <c r="BF1" s="192" t="s">
        <v>249</v>
      </c>
      <c r="BG1" s="192" t="s">
        <v>250</v>
      </c>
      <c r="BH1" s="192" t="s">
        <v>251</v>
      </c>
      <c r="BI1" s="192" t="s">
        <v>252</v>
      </c>
    </row>
    <row r="2" spans="1:61" customFormat="1" x14ac:dyDescent="0.15">
      <c r="A2" s="191" t="s">
        <v>193</v>
      </c>
      <c r="B2" s="112">
        <v>0</v>
      </c>
      <c r="C2" s="112">
        <v>0.8</v>
      </c>
      <c r="D2" s="112">
        <v>0.8</v>
      </c>
      <c r="E2" s="112">
        <v>0.8</v>
      </c>
      <c r="F2" s="112">
        <v>0.8</v>
      </c>
      <c r="G2" s="112">
        <v>0.8</v>
      </c>
      <c r="H2" s="112">
        <v>0.8</v>
      </c>
      <c r="I2" s="112">
        <v>0.8</v>
      </c>
      <c r="J2" s="112">
        <v>0.8</v>
      </c>
      <c r="K2" s="112">
        <v>0.8</v>
      </c>
      <c r="L2" s="112">
        <v>0.8</v>
      </c>
      <c r="M2" s="112">
        <v>0.8</v>
      </c>
      <c r="N2" s="112">
        <v>0</v>
      </c>
      <c r="O2" s="112">
        <v>0.8</v>
      </c>
      <c r="P2" s="112">
        <v>0</v>
      </c>
      <c r="Q2" s="112">
        <v>0</v>
      </c>
      <c r="R2" s="112">
        <v>0</v>
      </c>
      <c r="S2" s="112">
        <v>0.8</v>
      </c>
      <c r="T2" s="112">
        <v>0.8</v>
      </c>
      <c r="U2" s="112">
        <v>0.8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  <c r="BD2" s="112">
        <v>0</v>
      </c>
      <c r="BE2" s="112">
        <v>0</v>
      </c>
      <c r="BF2" s="112">
        <v>0</v>
      </c>
      <c r="BG2" s="112">
        <v>0</v>
      </c>
      <c r="BH2" s="112">
        <v>0</v>
      </c>
      <c r="BI2" s="112">
        <v>0</v>
      </c>
    </row>
    <row r="3" spans="1:61" customFormat="1" x14ac:dyDescent="0.15">
      <c r="A3" s="191" t="s">
        <v>194</v>
      </c>
      <c r="B3" s="112">
        <v>0</v>
      </c>
      <c r="C3" s="112">
        <v>0</v>
      </c>
      <c r="D3" s="112">
        <v>0.8</v>
      </c>
      <c r="E3" s="112">
        <v>0</v>
      </c>
      <c r="F3" s="112">
        <v>0</v>
      </c>
      <c r="G3" s="112">
        <v>0.8</v>
      </c>
      <c r="H3" s="112">
        <v>0</v>
      </c>
      <c r="I3" s="112">
        <v>0.8</v>
      </c>
      <c r="J3" s="112">
        <v>0.8</v>
      </c>
      <c r="K3" s="112">
        <v>0.8</v>
      </c>
      <c r="L3" s="112">
        <v>0.8</v>
      </c>
      <c r="M3" s="112">
        <v>0.8</v>
      </c>
      <c r="N3" s="112">
        <v>0.8</v>
      </c>
      <c r="O3" s="112">
        <v>0.8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  <c r="BD3" s="112">
        <v>0</v>
      </c>
      <c r="BE3" s="112">
        <v>0</v>
      </c>
      <c r="BF3" s="112">
        <v>0</v>
      </c>
      <c r="BG3" s="112">
        <v>0</v>
      </c>
      <c r="BH3" s="112">
        <v>0</v>
      </c>
      <c r="BI3" s="112">
        <v>0</v>
      </c>
    </row>
    <row r="4" spans="1:61" customFormat="1" x14ac:dyDescent="0.15">
      <c r="A4" s="191" t="s">
        <v>195</v>
      </c>
      <c r="B4" s="112">
        <v>0</v>
      </c>
      <c r="C4" s="112">
        <v>0</v>
      </c>
      <c r="D4" s="112">
        <v>0.8</v>
      </c>
      <c r="E4" s="112">
        <v>0.8</v>
      </c>
      <c r="F4" s="112">
        <v>0.8</v>
      </c>
      <c r="G4" s="112">
        <v>0.8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0.8</v>
      </c>
      <c r="T4" s="112">
        <v>0.8</v>
      </c>
      <c r="U4" s="112">
        <v>0.8</v>
      </c>
      <c r="V4" s="112">
        <v>0</v>
      </c>
      <c r="W4" s="112">
        <v>0.8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  <c r="BD4" s="112">
        <v>0</v>
      </c>
      <c r="BE4" s="112">
        <v>0</v>
      </c>
      <c r="BF4" s="112">
        <v>0</v>
      </c>
      <c r="BG4" s="112">
        <v>0</v>
      </c>
      <c r="BH4" s="112">
        <v>0</v>
      </c>
      <c r="BI4" s="112">
        <v>0</v>
      </c>
    </row>
    <row r="5" spans="1:61" customFormat="1" x14ac:dyDescent="0.15">
      <c r="A5" s="191" t="s">
        <v>196</v>
      </c>
      <c r="B5" s="112">
        <v>0</v>
      </c>
      <c r="C5" s="112">
        <v>0</v>
      </c>
      <c r="D5" s="112">
        <v>0</v>
      </c>
      <c r="E5" s="112">
        <v>0.8</v>
      </c>
      <c r="F5" s="112">
        <v>0.8</v>
      </c>
      <c r="G5" s="112">
        <v>0.8</v>
      </c>
      <c r="H5" s="112">
        <v>0.8</v>
      </c>
      <c r="I5" s="112">
        <v>0</v>
      </c>
      <c r="J5" s="112">
        <v>0.8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0.8</v>
      </c>
      <c r="Q5" s="112">
        <v>0.8</v>
      </c>
      <c r="R5" s="112">
        <v>0.8</v>
      </c>
      <c r="S5" s="112">
        <v>0.8</v>
      </c>
      <c r="T5" s="112">
        <v>0.8</v>
      </c>
      <c r="U5" s="112">
        <v>0.8</v>
      </c>
      <c r="V5" s="112">
        <v>0.8</v>
      </c>
      <c r="W5" s="112">
        <v>0</v>
      </c>
      <c r="X5" s="112">
        <v>0.8</v>
      </c>
      <c r="Y5" s="112">
        <v>0.8</v>
      </c>
      <c r="Z5" s="112">
        <v>0.8</v>
      </c>
      <c r="AA5" s="112">
        <v>0.8</v>
      </c>
      <c r="AB5" s="112">
        <v>0</v>
      </c>
      <c r="AC5" s="112">
        <v>0</v>
      </c>
      <c r="AD5" s="112">
        <v>0.8</v>
      </c>
      <c r="AE5" s="112">
        <v>0</v>
      </c>
      <c r="AF5" s="112">
        <v>0</v>
      </c>
      <c r="AG5" s="112">
        <v>0.8</v>
      </c>
      <c r="AH5" s="112">
        <v>0.8</v>
      </c>
      <c r="AI5" s="112">
        <v>0.8</v>
      </c>
      <c r="AJ5" s="112">
        <v>0.8</v>
      </c>
      <c r="AK5" s="112">
        <v>0.8</v>
      </c>
      <c r="AL5" s="112">
        <v>0.8</v>
      </c>
      <c r="AM5" s="112">
        <v>0.8</v>
      </c>
      <c r="AN5" s="112">
        <v>0</v>
      </c>
      <c r="AO5" s="112">
        <v>0.8</v>
      </c>
      <c r="AP5" s="112">
        <v>0</v>
      </c>
      <c r="AQ5" s="112">
        <v>0.8</v>
      </c>
      <c r="AR5" s="112">
        <v>0</v>
      </c>
      <c r="AS5" s="112">
        <v>0.8</v>
      </c>
      <c r="AT5" s="112">
        <v>0.8</v>
      </c>
      <c r="AU5" s="112">
        <v>0</v>
      </c>
      <c r="AV5" s="112">
        <v>0.8</v>
      </c>
      <c r="AW5" s="112">
        <v>0.8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  <c r="BD5" s="112">
        <v>0</v>
      </c>
      <c r="BE5" s="112">
        <v>0.8</v>
      </c>
      <c r="BF5" s="112">
        <v>0</v>
      </c>
      <c r="BG5" s="112">
        <v>0</v>
      </c>
      <c r="BH5" s="112">
        <v>0</v>
      </c>
      <c r="BI5" s="112">
        <v>0</v>
      </c>
    </row>
    <row r="6" spans="1:61" customFormat="1" x14ac:dyDescent="0.15">
      <c r="A6" s="191" t="s">
        <v>197</v>
      </c>
      <c r="B6" s="112">
        <v>0</v>
      </c>
      <c r="C6" s="112">
        <v>0</v>
      </c>
      <c r="D6" s="112">
        <v>0</v>
      </c>
      <c r="E6" s="112">
        <v>0</v>
      </c>
      <c r="F6" s="112">
        <v>0.8</v>
      </c>
      <c r="G6" s="112">
        <v>0.8</v>
      </c>
      <c r="H6" s="112">
        <v>0.8</v>
      </c>
      <c r="I6" s="112">
        <v>0</v>
      </c>
      <c r="J6" s="112">
        <v>0.8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0.8</v>
      </c>
      <c r="Q6" s="112">
        <v>0.8</v>
      </c>
      <c r="R6" s="112">
        <v>0</v>
      </c>
      <c r="S6" s="112">
        <v>0.8</v>
      </c>
      <c r="T6" s="112">
        <v>0.8</v>
      </c>
      <c r="U6" s="112">
        <v>0.8</v>
      </c>
      <c r="V6" s="112">
        <v>0</v>
      </c>
      <c r="W6" s="112">
        <v>0.8</v>
      </c>
      <c r="X6" s="112">
        <v>0</v>
      </c>
      <c r="Y6" s="112">
        <v>0.8</v>
      </c>
      <c r="Z6" s="112">
        <v>0.8</v>
      </c>
      <c r="AA6" s="112">
        <v>0</v>
      </c>
      <c r="AB6" s="112">
        <v>0</v>
      </c>
      <c r="AC6" s="112">
        <v>0</v>
      </c>
      <c r="AD6" s="112">
        <v>0.8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0.8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0.8</v>
      </c>
      <c r="BC6" s="112">
        <v>0</v>
      </c>
      <c r="BD6" s="112">
        <v>0</v>
      </c>
      <c r="BE6" s="112">
        <v>0.8</v>
      </c>
      <c r="BF6" s="112">
        <v>0</v>
      </c>
      <c r="BG6" s="112">
        <v>0.8</v>
      </c>
      <c r="BH6" s="112">
        <v>0</v>
      </c>
      <c r="BI6" s="112">
        <v>0</v>
      </c>
    </row>
    <row r="7" spans="1:61" customFormat="1" x14ac:dyDescent="0.15">
      <c r="A7" s="191" t="s">
        <v>198</v>
      </c>
      <c r="B7" s="112">
        <v>0</v>
      </c>
      <c r="C7" s="112">
        <v>0</v>
      </c>
      <c r="D7" s="112">
        <v>0</v>
      </c>
      <c r="E7" s="112">
        <v>0</v>
      </c>
      <c r="F7" s="112">
        <v>0.8</v>
      </c>
      <c r="G7" s="112">
        <v>0.8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0.8</v>
      </c>
      <c r="R7" s="112">
        <v>0.8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0.8</v>
      </c>
      <c r="Y7" s="112">
        <v>0.8</v>
      </c>
      <c r="Z7" s="112">
        <v>0.8</v>
      </c>
      <c r="AA7" s="112">
        <v>0.8</v>
      </c>
      <c r="AB7" s="112">
        <v>0.8</v>
      </c>
      <c r="AC7" s="112">
        <v>0.8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0.8</v>
      </c>
      <c r="AK7" s="112">
        <v>0.8</v>
      </c>
      <c r="AL7" s="112">
        <v>0</v>
      </c>
      <c r="AM7" s="112">
        <v>0.8</v>
      </c>
      <c r="AN7" s="112">
        <v>0.8</v>
      </c>
      <c r="AO7" s="112">
        <v>0.8</v>
      </c>
      <c r="AP7" s="112">
        <v>0</v>
      </c>
      <c r="AQ7" s="112">
        <v>0</v>
      </c>
      <c r="AR7" s="112">
        <v>0</v>
      </c>
      <c r="AS7" s="112">
        <v>0.8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0.8</v>
      </c>
      <c r="AZ7" s="112">
        <v>0.8</v>
      </c>
      <c r="BA7" s="112">
        <v>0.8</v>
      </c>
      <c r="BB7" s="112">
        <v>0.8</v>
      </c>
      <c r="BC7" s="112">
        <v>0.8</v>
      </c>
      <c r="BD7" s="112">
        <v>0</v>
      </c>
      <c r="BE7" s="112">
        <v>0.8</v>
      </c>
      <c r="BF7" s="112">
        <v>0.8</v>
      </c>
      <c r="BG7" s="112">
        <v>0</v>
      </c>
      <c r="BH7" s="112">
        <v>0</v>
      </c>
      <c r="BI7" s="112">
        <v>0</v>
      </c>
    </row>
    <row r="8" spans="1:61" customFormat="1" x14ac:dyDescent="0.15">
      <c r="A8" s="191" t="s">
        <v>199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0</v>
      </c>
      <c r="H8" s="112">
        <v>0.8</v>
      </c>
      <c r="I8" s="112">
        <v>0.8</v>
      </c>
      <c r="J8" s="112">
        <v>0.8</v>
      </c>
      <c r="K8" s="112">
        <v>0.8</v>
      </c>
      <c r="L8" s="112">
        <v>0.8</v>
      </c>
      <c r="M8" s="112">
        <v>0</v>
      </c>
      <c r="N8" s="112">
        <v>0</v>
      </c>
      <c r="O8" s="112">
        <v>0.8</v>
      </c>
      <c r="P8" s="112">
        <v>0.8</v>
      </c>
      <c r="Q8" s="112">
        <v>0.8</v>
      </c>
      <c r="R8" s="112">
        <v>0.8</v>
      </c>
      <c r="S8" s="112">
        <v>0</v>
      </c>
      <c r="T8" s="112">
        <v>0</v>
      </c>
      <c r="U8" s="112">
        <v>0</v>
      </c>
      <c r="V8" s="112">
        <v>0.8</v>
      </c>
      <c r="W8" s="112">
        <v>0</v>
      </c>
      <c r="X8" s="112">
        <v>0.8</v>
      </c>
      <c r="Y8" s="112">
        <v>0.8</v>
      </c>
      <c r="Z8" s="112">
        <v>0.8</v>
      </c>
      <c r="AA8" s="112">
        <v>0.8</v>
      </c>
      <c r="AB8" s="112">
        <v>0.8</v>
      </c>
      <c r="AC8" s="112">
        <v>0</v>
      </c>
      <c r="AD8" s="112">
        <v>0.8</v>
      </c>
      <c r="AE8" s="112">
        <v>0.8</v>
      </c>
      <c r="AF8" s="112">
        <v>0.8</v>
      </c>
      <c r="AG8" s="112">
        <v>0.8</v>
      </c>
      <c r="AH8" s="112">
        <v>0.8</v>
      </c>
      <c r="AI8" s="112">
        <v>0</v>
      </c>
      <c r="AJ8" s="112">
        <v>0.8</v>
      </c>
      <c r="AK8" s="112">
        <v>0.8</v>
      </c>
      <c r="AL8" s="112">
        <v>0.8</v>
      </c>
      <c r="AM8" s="112">
        <v>0.8</v>
      </c>
      <c r="AN8" s="112">
        <v>0.8</v>
      </c>
      <c r="AO8" s="112">
        <v>0.8</v>
      </c>
      <c r="AP8" s="112">
        <v>0.8</v>
      </c>
      <c r="AQ8" s="112">
        <v>0.8</v>
      </c>
      <c r="AR8" s="112">
        <v>0.8</v>
      </c>
      <c r="AS8" s="112">
        <v>0.8</v>
      </c>
      <c r="AT8" s="112">
        <v>0.8</v>
      </c>
      <c r="AU8" s="112">
        <v>0.8</v>
      </c>
      <c r="AV8" s="112">
        <v>0.8</v>
      </c>
      <c r="AW8" s="112">
        <v>0.8</v>
      </c>
      <c r="AX8" s="112">
        <v>0.8</v>
      </c>
      <c r="AY8" s="112">
        <v>0.8</v>
      </c>
      <c r="AZ8" s="112">
        <v>0.8</v>
      </c>
      <c r="BA8" s="112">
        <v>0.8</v>
      </c>
      <c r="BB8" s="112">
        <v>0</v>
      </c>
      <c r="BC8" s="112">
        <v>0</v>
      </c>
      <c r="BD8" s="112">
        <v>0.8</v>
      </c>
      <c r="BE8" s="112">
        <v>0.8</v>
      </c>
      <c r="BF8" s="112">
        <v>0.8</v>
      </c>
      <c r="BG8" s="112">
        <v>0.8</v>
      </c>
      <c r="BH8" s="112">
        <v>0</v>
      </c>
      <c r="BI8" s="112">
        <v>0</v>
      </c>
    </row>
    <row r="9" spans="1:61" customFormat="1" x14ac:dyDescent="0.15">
      <c r="A9" s="191" t="s">
        <v>200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0.8</v>
      </c>
      <c r="J9" s="112">
        <v>0.8</v>
      </c>
      <c r="K9" s="112">
        <v>0</v>
      </c>
      <c r="L9" s="112">
        <v>0.8</v>
      </c>
      <c r="M9" s="112">
        <v>0</v>
      </c>
      <c r="N9" s="112">
        <v>0.8</v>
      </c>
      <c r="O9" s="112">
        <v>0</v>
      </c>
      <c r="P9" s="112">
        <v>0.8</v>
      </c>
      <c r="Q9" s="112">
        <v>0.8</v>
      </c>
      <c r="R9" s="112">
        <v>0.8</v>
      </c>
      <c r="S9" s="112">
        <v>0</v>
      </c>
      <c r="T9" s="112">
        <v>0</v>
      </c>
      <c r="U9" s="112">
        <v>0</v>
      </c>
      <c r="V9" s="112">
        <v>0.8</v>
      </c>
      <c r="W9" s="112">
        <v>0</v>
      </c>
      <c r="X9" s="112">
        <v>0.8</v>
      </c>
      <c r="Y9" s="112">
        <v>0.8</v>
      </c>
      <c r="Z9" s="112">
        <v>0.8</v>
      </c>
      <c r="AA9" s="112">
        <v>0.8</v>
      </c>
      <c r="AB9" s="112">
        <v>0.8</v>
      </c>
      <c r="AC9" s="112">
        <v>0.8</v>
      </c>
      <c r="AD9" s="112">
        <v>0.8</v>
      </c>
      <c r="AE9" s="112">
        <v>0.8</v>
      </c>
      <c r="AF9" s="112">
        <v>0.8</v>
      </c>
      <c r="AG9" s="112">
        <v>0.8</v>
      </c>
      <c r="AH9" s="112">
        <v>0.8</v>
      </c>
      <c r="AI9" s="112">
        <v>0</v>
      </c>
      <c r="AJ9" s="112">
        <v>0.8</v>
      </c>
      <c r="AK9" s="112">
        <v>0.8</v>
      </c>
      <c r="AL9" s="112">
        <v>0.8</v>
      </c>
      <c r="AM9" s="112">
        <v>0.8</v>
      </c>
      <c r="AN9" s="112">
        <v>0.8</v>
      </c>
      <c r="AO9" s="112">
        <v>0.8</v>
      </c>
      <c r="AP9" s="112">
        <v>0</v>
      </c>
      <c r="AQ9" s="112">
        <v>0.8</v>
      </c>
      <c r="AR9" s="112">
        <v>0.8</v>
      </c>
      <c r="AS9" s="112">
        <v>0.8</v>
      </c>
      <c r="AT9" s="112">
        <v>0.8</v>
      </c>
      <c r="AU9" s="112">
        <v>0</v>
      </c>
      <c r="AV9" s="112">
        <v>0.8</v>
      </c>
      <c r="AW9" s="112">
        <v>0.8</v>
      </c>
      <c r="AX9" s="112">
        <v>0.8</v>
      </c>
      <c r="AY9" s="112">
        <v>0.8</v>
      </c>
      <c r="AZ9" s="112">
        <v>0.8</v>
      </c>
      <c r="BA9" s="112">
        <v>0</v>
      </c>
      <c r="BB9" s="112">
        <v>0</v>
      </c>
      <c r="BC9" s="112">
        <v>0</v>
      </c>
      <c r="BD9" s="112">
        <v>0</v>
      </c>
      <c r="BE9" s="112">
        <v>0</v>
      </c>
      <c r="BF9" s="112">
        <v>0</v>
      </c>
      <c r="BG9" s="112">
        <v>0</v>
      </c>
      <c r="BH9" s="112">
        <v>0</v>
      </c>
      <c r="BI9" s="112">
        <v>0</v>
      </c>
    </row>
    <row r="10" spans="1:61" customFormat="1" x14ac:dyDescent="0.15">
      <c r="A10" s="191" t="s">
        <v>201</v>
      </c>
      <c r="B10" s="112">
        <v>0</v>
      </c>
      <c r="C10" s="112">
        <v>0</v>
      </c>
      <c r="D10" s="112">
        <v>0</v>
      </c>
      <c r="E10" s="112">
        <v>0</v>
      </c>
      <c r="F10" s="112">
        <v>0.8</v>
      </c>
      <c r="G10" s="112">
        <v>0</v>
      </c>
      <c r="H10" s="112">
        <v>0</v>
      </c>
      <c r="I10" s="112">
        <v>0.8</v>
      </c>
      <c r="J10" s="112">
        <v>0.8</v>
      </c>
      <c r="K10" s="112">
        <v>0</v>
      </c>
      <c r="L10" s="112">
        <v>0.8</v>
      </c>
      <c r="M10" s="112">
        <v>0</v>
      </c>
      <c r="N10" s="112">
        <v>0.8</v>
      </c>
      <c r="O10" s="112">
        <v>0.8</v>
      </c>
      <c r="P10" s="112">
        <v>0.8</v>
      </c>
      <c r="Q10" s="112">
        <v>0</v>
      </c>
      <c r="R10" s="112">
        <v>0.8</v>
      </c>
      <c r="S10" s="112">
        <v>0</v>
      </c>
      <c r="T10" s="112">
        <v>0</v>
      </c>
      <c r="U10" s="112">
        <v>0</v>
      </c>
      <c r="V10" s="112">
        <v>0</v>
      </c>
      <c r="W10" s="112">
        <v>0.8</v>
      </c>
      <c r="X10" s="112">
        <v>0.8</v>
      </c>
      <c r="Y10" s="112">
        <v>0.8</v>
      </c>
      <c r="Z10" s="112">
        <v>0.8</v>
      </c>
      <c r="AA10" s="112">
        <v>0.8</v>
      </c>
      <c r="AB10" s="112">
        <v>0.8</v>
      </c>
      <c r="AC10" s="112">
        <v>0.8</v>
      </c>
      <c r="AD10" s="112">
        <v>0.8</v>
      </c>
      <c r="AE10" s="112">
        <v>0.8</v>
      </c>
      <c r="AF10" s="112">
        <v>0.8</v>
      </c>
      <c r="AG10" s="112">
        <v>0.8</v>
      </c>
      <c r="AH10" s="112">
        <v>0.8</v>
      </c>
      <c r="AI10" s="112">
        <v>0.8</v>
      </c>
      <c r="AJ10" s="112">
        <v>0.8</v>
      </c>
      <c r="AK10" s="112">
        <v>0.8</v>
      </c>
      <c r="AL10" s="112">
        <v>0.8</v>
      </c>
      <c r="AM10" s="112">
        <v>0.8</v>
      </c>
      <c r="AN10" s="112">
        <v>0.8</v>
      </c>
      <c r="AO10" s="112">
        <v>0.8</v>
      </c>
      <c r="AP10" s="112">
        <v>0.8</v>
      </c>
      <c r="AQ10" s="112">
        <v>0.8</v>
      </c>
      <c r="AR10" s="112">
        <v>0.8</v>
      </c>
      <c r="AS10" s="112">
        <v>0.8</v>
      </c>
      <c r="AT10" s="112">
        <v>0.8</v>
      </c>
      <c r="AU10" s="112">
        <v>0.8</v>
      </c>
      <c r="AV10" s="112">
        <v>0.8</v>
      </c>
      <c r="AW10" s="112">
        <v>0.8</v>
      </c>
      <c r="AX10" s="112">
        <v>0.8</v>
      </c>
      <c r="AY10" s="112">
        <v>0.8</v>
      </c>
      <c r="AZ10" s="112">
        <v>0.8</v>
      </c>
      <c r="BA10" s="112">
        <v>0.8</v>
      </c>
      <c r="BB10" s="112">
        <v>0.8</v>
      </c>
      <c r="BC10" s="112">
        <v>0</v>
      </c>
      <c r="BD10" s="112">
        <v>0</v>
      </c>
      <c r="BE10" s="112">
        <v>0.8</v>
      </c>
      <c r="BF10" s="112">
        <v>0</v>
      </c>
      <c r="BG10" s="112">
        <v>0</v>
      </c>
      <c r="BH10" s="112">
        <v>0</v>
      </c>
      <c r="BI10" s="112">
        <v>0</v>
      </c>
    </row>
    <row r="11" spans="1:61" customFormat="1" x14ac:dyDescent="0.15">
      <c r="A11" s="191" t="s">
        <v>202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0.8</v>
      </c>
      <c r="J11" s="112">
        <v>0.8</v>
      </c>
      <c r="K11" s="112">
        <v>0.8</v>
      </c>
      <c r="L11" s="112">
        <v>0.8</v>
      </c>
      <c r="M11" s="112">
        <v>0</v>
      </c>
      <c r="N11" s="112">
        <v>0.8</v>
      </c>
      <c r="O11" s="112">
        <v>0</v>
      </c>
      <c r="P11" s="112">
        <v>0</v>
      </c>
      <c r="Q11" s="112">
        <v>0.8</v>
      </c>
      <c r="R11" s="112">
        <v>0.8</v>
      </c>
      <c r="S11" s="112">
        <v>0</v>
      </c>
      <c r="T11" s="112">
        <v>0</v>
      </c>
      <c r="U11" s="112">
        <v>0</v>
      </c>
      <c r="V11" s="112">
        <v>0</v>
      </c>
      <c r="W11" s="112">
        <v>0</v>
      </c>
      <c r="X11" s="112">
        <v>0.8</v>
      </c>
      <c r="Y11" s="112">
        <v>0.8</v>
      </c>
      <c r="Z11" s="112">
        <v>0.8</v>
      </c>
      <c r="AA11" s="112">
        <v>0.8</v>
      </c>
      <c r="AB11" s="112">
        <v>0.8</v>
      </c>
      <c r="AC11" s="112">
        <v>0.8</v>
      </c>
      <c r="AD11" s="112">
        <v>0.8</v>
      </c>
      <c r="AE11" s="112">
        <v>0.8</v>
      </c>
      <c r="AF11" s="112">
        <v>0.8</v>
      </c>
      <c r="AG11" s="112">
        <v>0.8</v>
      </c>
      <c r="AH11" s="112">
        <v>0.8</v>
      </c>
      <c r="AI11" s="112">
        <v>0</v>
      </c>
      <c r="AJ11" s="112">
        <v>0.8</v>
      </c>
      <c r="AK11" s="112">
        <v>0.8</v>
      </c>
      <c r="AL11" s="112">
        <v>0.8</v>
      </c>
      <c r="AM11" s="112">
        <v>0.8</v>
      </c>
      <c r="AN11" s="112">
        <v>0.8</v>
      </c>
      <c r="AO11" s="112">
        <v>0.8</v>
      </c>
      <c r="AP11" s="112">
        <v>0</v>
      </c>
      <c r="AQ11" s="112">
        <v>0.8</v>
      </c>
      <c r="AR11" s="112">
        <v>0.8</v>
      </c>
      <c r="AS11" s="112">
        <v>0.8</v>
      </c>
      <c r="AT11" s="112">
        <v>0.8</v>
      </c>
      <c r="AU11" s="112">
        <v>0.8</v>
      </c>
      <c r="AV11" s="112">
        <v>0.8</v>
      </c>
      <c r="AW11" s="112">
        <v>0.8</v>
      </c>
      <c r="AX11" s="112">
        <v>0.8</v>
      </c>
      <c r="AY11" s="112">
        <v>0.8</v>
      </c>
      <c r="AZ11" s="112">
        <v>0</v>
      </c>
      <c r="BA11" s="112">
        <v>0.8</v>
      </c>
      <c r="BB11" s="112">
        <v>0</v>
      </c>
      <c r="BC11" s="112">
        <v>0</v>
      </c>
      <c r="BD11" s="112">
        <v>0</v>
      </c>
      <c r="BE11" s="112">
        <v>0.8</v>
      </c>
      <c r="BF11" s="112">
        <v>0</v>
      </c>
      <c r="BG11" s="112">
        <v>0</v>
      </c>
      <c r="BH11" s="112">
        <v>0</v>
      </c>
      <c r="BI11" s="112">
        <v>0</v>
      </c>
    </row>
    <row r="12" spans="1:61" customFormat="1" x14ac:dyDescent="0.15">
      <c r="A12" s="191" t="s">
        <v>203</v>
      </c>
      <c r="B12" s="112">
        <v>0</v>
      </c>
      <c r="C12" s="112">
        <v>0</v>
      </c>
      <c r="D12" s="112">
        <v>0</v>
      </c>
      <c r="E12" s="112">
        <v>0</v>
      </c>
      <c r="F12" s="112">
        <v>0</v>
      </c>
      <c r="G12" s="112">
        <v>0</v>
      </c>
      <c r="H12" s="112">
        <v>0</v>
      </c>
      <c r="I12" s="112">
        <v>0.8</v>
      </c>
      <c r="J12" s="112">
        <v>0.8</v>
      </c>
      <c r="K12" s="112">
        <v>0.8</v>
      </c>
      <c r="L12" s="112">
        <v>0.8</v>
      </c>
      <c r="M12" s="112">
        <v>0</v>
      </c>
      <c r="N12" s="112">
        <v>0.8</v>
      </c>
      <c r="O12" s="112">
        <v>0.8</v>
      </c>
      <c r="P12" s="112">
        <v>0</v>
      </c>
      <c r="Q12" s="112">
        <v>0.8</v>
      </c>
      <c r="R12" s="112">
        <v>0.8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0.8</v>
      </c>
      <c r="Y12" s="112">
        <v>0.8</v>
      </c>
      <c r="Z12" s="112">
        <v>0.8</v>
      </c>
      <c r="AA12" s="112">
        <v>0.8</v>
      </c>
      <c r="AB12" s="112">
        <v>0.8</v>
      </c>
      <c r="AC12" s="112">
        <v>0.8</v>
      </c>
      <c r="AD12" s="112">
        <v>0.8</v>
      </c>
      <c r="AE12" s="112">
        <v>0.8</v>
      </c>
      <c r="AF12" s="112">
        <v>0.8</v>
      </c>
      <c r="AG12" s="112">
        <v>0.8</v>
      </c>
      <c r="AH12" s="112">
        <v>0.8</v>
      </c>
      <c r="AI12" s="112">
        <v>0</v>
      </c>
      <c r="AJ12" s="112">
        <v>0.8</v>
      </c>
      <c r="AK12" s="112">
        <v>0.8</v>
      </c>
      <c r="AL12" s="112">
        <v>0.8</v>
      </c>
      <c r="AM12" s="112">
        <v>0.8</v>
      </c>
      <c r="AN12" s="112">
        <v>0.8</v>
      </c>
      <c r="AO12" s="112">
        <v>0.8</v>
      </c>
      <c r="AP12" s="112">
        <v>0</v>
      </c>
      <c r="AQ12" s="112">
        <v>0.8</v>
      </c>
      <c r="AR12" s="112">
        <v>0.8</v>
      </c>
      <c r="AS12" s="112">
        <v>0.8</v>
      </c>
      <c r="AT12" s="112">
        <v>0</v>
      </c>
      <c r="AU12" s="112">
        <v>0</v>
      </c>
      <c r="AV12" s="112">
        <v>0.8</v>
      </c>
      <c r="AW12" s="112">
        <v>0.8</v>
      </c>
      <c r="AX12" s="112">
        <v>0.8</v>
      </c>
      <c r="AY12" s="112">
        <v>0.8</v>
      </c>
      <c r="AZ12" s="112">
        <v>0</v>
      </c>
      <c r="BA12" s="112">
        <v>0.8</v>
      </c>
      <c r="BB12" s="112">
        <v>0.8</v>
      </c>
      <c r="BC12" s="112">
        <v>0</v>
      </c>
      <c r="BD12" s="112">
        <v>0</v>
      </c>
      <c r="BE12" s="112">
        <v>0.8</v>
      </c>
      <c r="BF12" s="112">
        <v>0</v>
      </c>
      <c r="BG12" s="112">
        <v>0</v>
      </c>
      <c r="BH12" s="112">
        <v>0</v>
      </c>
      <c r="BI12" s="112">
        <v>0</v>
      </c>
    </row>
    <row r="13" spans="1:61" customFormat="1" x14ac:dyDescent="0.15">
      <c r="A13" s="191" t="s">
        <v>204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0.8</v>
      </c>
      <c r="J13" s="112">
        <v>0.8</v>
      </c>
      <c r="K13" s="112">
        <v>0.8</v>
      </c>
      <c r="L13" s="112">
        <v>0.8</v>
      </c>
      <c r="M13" s="112">
        <v>0</v>
      </c>
      <c r="N13" s="112">
        <v>0.8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0.8</v>
      </c>
      <c r="AD13" s="112">
        <v>0</v>
      </c>
      <c r="AE13" s="112">
        <v>0.8</v>
      </c>
      <c r="AF13" s="112">
        <v>0.8</v>
      </c>
      <c r="AG13" s="112">
        <v>0</v>
      </c>
      <c r="AH13" s="112">
        <v>0</v>
      </c>
      <c r="AI13" s="112">
        <v>0</v>
      </c>
      <c r="AJ13" s="112">
        <v>0.8</v>
      </c>
      <c r="AK13" s="112">
        <v>0.8</v>
      </c>
      <c r="AL13" s="112">
        <v>0.8</v>
      </c>
      <c r="AM13" s="112">
        <v>0.8</v>
      </c>
      <c r="AN13" s="112">
        <v>0.8</v>
      </c>
      <c r="AO13" s="112">
        <v>0.8</v>
      </c>
      <c r="AP13" s="112">
        <v>0</v>
      </c>
      <c r="AQ13" s="112">
        <v>0</v>
      </c>
      <c r="AR13" s="112">
        <v>0</v>
      </c>
      <c r="AS13" s="112">
        <v>0.8</v>
      </c>
      <c r="AT13" s="112">
        <v>0</v>
      </c>
      <c r="AU13" s="112">
        <v>0</v>
      </c>
      <c r="AV13" s="112">
        <v>0.8</v>
      </c>
      <c r="AW13" s="112">
        <v>0</v>
      </c>
      <c r="AX13" s="112">
        <v>0.8</v>
      </c>
      <c r="AY13" s="112">
        <v>0.8</v>
      </c>
      <c r="AZ13" s="112">
        <v>0</v>
      </c>
      <c r="BA13" s="112">
        <v>0.8</v>
      </c>
      <c r="BB13" s="112">
        <v>0</v>
      </c>
      <c r="BC13" s="112">
        <v>0</v>
      </c>
      <c r="BD13" s="112">
        <v>0</v>
      </c>
      <c r="BE13" s="112">
        <v>0</v>
      </c>
      <c r="BF13" s="112">
        <v>0</v>
      </c>
      <c r="BG13" s="112">
        <v>0</v>
      </c>
      <c r="BH13" s="112">
        <v>0</v>
      </c>
      <c r="BI13" s="112">
        <v>0</v>
      </c>
    </row>
    <row r="14" spans="1:61" customFormat="1" x14ac:dyDescent="0.15">
      <c r="A14" s="191" t="s">
        <v>205</v>
      </c>
      <c r="B14" s="112">
        <v>0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0.8</v>
      </c>
      <c r="J14" s="112">
        <v>0.8</v>
      </c>
      <c r="K14" s="112">
        <v>0.8</v>
      </c>
      <c r="L14" s="112">
        <v>0.8</v>
      </c>
      <c r="M14" s="112">
        <v>0</v>
      </c>
      <c r="N14" s="112">
        <v>0.8</v>
      </c>
      <c r="O14" s="112">
        <v>0</v>
      </c>
      <c r="P14" s="112">
        <v>0.8</v>
      </c>
      <c r="Q14" s="112">
        <v>0.8</v>
      </c>
      <c r="R14" s="112">
        <v>0.8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0.8</v>
      </c>
      <c r="Y14" s="112">
        <v>0.8</v>
      </c>
      <c r="Z14" s="112">
        <v>0.8</v>
      </c>
      <c r="AA14" s="112">
        <v>0.8</v>
      </c>
      <c r="AB14" s="112">
        <v>0.8</v>
      </c>
      <c r="AC14" s="112">
        <v>0.8</v>
      </c>
      <c r="AD14" s="112">
        <v>0.8</v>
      </c>
      <c r="AE14" s="112">
        <v>0.8</v>
      </c>
      <c r="AF14" s="112">
        <v>0.8</v>
      </c>
      <c r="AG14" s="112">
        <v>0.8</v>
      </c>
      <c r="AH14" s="112">
        <v>0.8</v>
      </c>
      <c r="AI14" s="112">
        <v>0</v>
      </c>
      <c r="AJ14" s="112">
        <v>0.8</v>
      </c>
      <c r="AK14" s="112">
        <v>0.8</v>
      </c>
      <c r="AL14" s="112">
        <v>0.8</v>
      </c>
      <c r="AM14" s="112">
        <v>0.8</v>
      </c>
      <c r="AN14" s="112">
        <v>0.8</v>
      </c>
      <c r="AO14" s="112">
        <v>0.8</v>
      </c>
      <c r="AP14" s="112">
        <v>0</v>
      </c>
      <c r="AQ14" s="112">
        <v>0.8</v>
      </c>
      <c r="AR14" s="112">
        <v>0.8</v>
      </c>
      <c r="AS14" s="112">
        <v>0.8</v>
      </c>
      <c r="AT14" s="112">
        <v>0.8</v>
      </c>
      <c r="AU14" s="112">
        <v>0.8</v>
      </c>
      <c r="AV14" s="112">
        <v>0.8</v>
      </c>
      <c r="AW14" s="112">
        <v>0.8</v>
      </c>
      <c r="AX14" s="112">
        <v>0.8</v>
      </c>
      <c r="AY14" s="112">
        <v>0.8</v>
      </c>
      <c r="AZ14" s="112">
        <v>0</v>
      </c>
      <c r="BA14" s="112">
        <v>0.8</v>
      </c>
      <c r="BB14" s="112">
        <v>0</v>
      </c>
      <c r="BC14" s="112">
        <v>0</v>
      </c>
      <c r="BD14" s="112">
        <v>0</v>
      </c>
      <c r="BE14" s="112">
        <v>0.8</v>
      </c>
      <c r="BF14" s="112">
        <v>0</v>
      </c>
      <c r="BG14" s="112">
        <v>0</v>
      </c>
      <c r="BH14" s="112">
        <v>0</v>
      </c>
      <c r="BI14" s="112">
        <v>0</v>
      </c>
    </row>
    <row r="15" spans="1:61" customFormat="1" x14ac:dyDescent="0.15">
      <c r="A15" s="191" t="s">
        <v>206</v>
      </c>
      <c r="B15" s="112">
        <v>0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0.8</v>
      </c>
      <c r="P15" s="112">
        <v>0.8</v>
      </c>
      <c r="Q15" s="112">
        <v>0.8</v>
      </c>
      <c r="R15" s="112">
        <v>0.8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0.8</v>
      </c>
      <c r="Y15" s="112">
        <v>0.8</v>
      </c>
      <c r="Z15" s="112">
        <v>0.8</v>
      </c>
      <c r="AA15" s="112">
        <v>0.8</v>
      </c>
      <c r="AB15" s="112">
        <v>0.8</v>
      </c>
      <c r="AC15" s="112">
        <v>0.8</v>
      </c>
      <c r="AD15" s="112">
        <v>0.8</v>
      </c>
      <c r="AE15" s="112">
        <v>0.8</v>
      </c>
      <c r="AF15" s="112">
        <v>0</v>
      </c>
      <c r="AG15" s="112">
        <v>0.8</v>
      </c>
      <c r="AH15" s="112">
        <v>0.8</v>
      </c>
      <c r="AI15" s="112">
        <v>0.8</v>
      </c>
      <c r="AJ15" s="112">
        <v>0.8</v>
      </c>
      <c r="AK15" s="112">
        <v>0.8</v>
      </c>
      <c r="AL15" s="112">
        <v>0.8</v>
      </c>
      <c r="AM15" s="112">
        <v>0.8</v>
      </c>
      <c r="AN15" s="112">
        <v>0.8</v>
      </c>
      <c r="AO15" s="112">
        <v>0.8</v>
      </c>
      <c r="AP15" s="112">
        <v>0.8</v>
      </c>
      <c r="AQ15" s="112">
        <v>0.8</v>
      </c>
      <c r="AR15" s="112">
        <v>0.8</v>
      </c>
      <c r="AS15" s="112">
        <v>0.8</v>
      </c>
      <c r="AT15" s="112">
        <v>0.8</v>
      </c>
      <c r="AU15" s="112">
        <v>0.8</v>
      </c>
      <c r="AV15" s="112">
        <v>0.8</v>
      </c>
      <c r="AW15" s="112">
        <v>0.8</v>
      </c>
      <c r="AX15" s="112">
        <v>0.8</v>
      </c>
      <c r="AY15" s="112">
        <v>0.8</v>
      </c>
      <c r="AZ15" s="112">
        <v>0</v>
      </c>
      <c r="BA15" s="112">
        <v>0</v>
      </c>
      <c r="BB15" s="112">
        <v>0</v>
      </c>
      <c r="BC15" s="112">
        <v>0</v>
      </c>
      <c r="BD15" s="112">
        <v>0</v>
      </c>
      <c r="BE15" s="112">
        <v>0</v>
      </c>
      <c r="BF15" s="112">
        <v>0</v>
      </c>
      <c r="BG15" s="112">
        <v>0.8</v>
      </c>
      <c r="BH15" s="112">
        <v>0</v>
      </c>
      <c r="BI15" s="112">
        <v>0</v>
      </c>
    </row>
    <row r="16" spans="1:61" customFormat="1" x14ac:dyDescent="0.15">
      <c r="A16" s="191" t="s">
        <v>207</v>
      </c>
      <c r="B16" s="112">
        <v>0</v>
      </c>
      <c r="C16" s="112">
        <v>0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0.8</v>
      </c>
      <c r="AB16" s="112">
        <v>0.8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0.8</v>
      </c>
      <c r="AK16" s="112">
        <v>0.8</v>
      </c>
      <c r="AL16" s="112">
        <v>0</v>
      </c>
      <c r="AM16" s="112">
        <v>0.8</v>
      </c>
      <c r="AN16" s="112">
        <v>0</v>
      </c>
      <c r="AO16" s="112">
        <v>0.8</v>
      </c>
      <c r="AP16" s="112">
        <v>0</v>
      </c>
      <c r="AQ16" s="112">
        <v>0</v>
      </c>
      <c r="AR16" s="112">
        <v>0</v>
      </c>
      <c r="AS16" s="112">
        <v>0</v>
      </c>
      <c r="AT16" s="112">
        <v>0.8</v>
      </c>
      <c r="AU16" s="112">
        <v>0</v>
      </c>
      <c r="AV16" s="112">
        <v>0.8</v>
      </c>
      <c r="AW16" s="112">
        <v>0</v>
      </c>
      <c r="AX16" s="112">
        <v>0.8</v>
      </c>
      <c r="AY16" s="112">
        <v>0.8</v>
      </c>
      <c r="AZ16" s="112">
        <v>0.8</v>
      </c>
      <c r="BA16" s="112">
        <v>0</v>
      </c>
      <c r="BB16" s="112">
        <v>0.8</v>
      </c>
      <c r="BC16" s="112">
        <v>0</v>
      </c>
      <c r="BD16" s="112">
        <v>0</v>
      </c>
      <c r="BE16" s="112">
        <v>0.8</v>
      </c>
      <c r="BF16" s="112">
        <v>0.8</v>
      </c>
      <c r="BG16" s="112">
        <v>0</v>
      </c>
      <c r="BH16" s="112">
        <v>0</v>
      </c>
      <c r="BI16" s="112">
        <v>0</v>
      </c>
    </row>
    <row r="17" spans="1:61" customFormat="1" x14ac:dyDescent="0.15">
      <c r="A17" s="191" t="s">
        <v>208</v>
      </c>
      <c r="B17" s="112">
        <v>0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0.8</v>
      </c>
      <c r="S17" s="112">
        <v>0</v>
      </c>
      <c r="T17" s="112">
        <v>0</v>
      </c>
      <c r="U17" s="112">
        <v>0</v>
      </c>
      <c r="V17" s="112">
        <v>0</v>
      </c>
      <c r="W17" s="112">
        <v>0.8</v>
      </c>
      <c r="X17" s="112">
        <v>0</v>
      </c>
      <c r="Y17" s="112">
        <v>0</v>
      </c>
      <c r="Z17" s="112">
        <v>0</v>
      </c>
      <c r="AA17" s="112">
        <v>0.8</v>
      </c>
      <c r="AB17" s="112">
        <v>0.8</v>
      </c>
      <c r="AC17" s="112">
        <v>0.8</v>
      </c>
      <c r="AD17" s="112">
        <v>0</v>
      </c>
      <c r="AE17" s="112">
        <v>0.8</v>
      </c>
      <c r="AF17" s="112">
        <v>0.8</v>
      </c>
      <c r="AG17" s="112">
        <v>0</v>
      </c>
      <c r="AH17" s="112">
        <v>0</v>
      </c>
      <c r="AI17" s="112">
        <v>0</v>
      </c>
      <c r="AJ17" s="112">
        <v>0.8</v>
      </c>
      <c r="AK17" s="112">
        <v>0.8</v>
      </c>
      <c r="AL17" s="112">
        <v>0</v>
      </c>
      <c r="AM17" s="112">
        <v>0.8</v>
      </c>
      <c r="AN17" s="112">
        <v>0.8</v>
      </c>
      <c r="AO17" s="112">
        <v>0.8</v>
      </c>
      <c r="AP17" s="112">
        <v>0.8</v>
      </c>
      <c r="AQ17" s="112">
        <v>0</v>
      </c>
      <c r="AR17" s="112">
        <v>0</v>
      </c>
      <c r="AS17" s="112">
        <v>0.8</v>
      </c>
      <c r="AT17" s="112">
        <v>0</v>
      </c>
      <c r="AU17" s="112">
        <v>0.8</v>
      </c>
      <c r="AV17" s="112">
        <v>0.8</v>
      </c>
      <c r="AW17" s="112">
        <v>0</v>
      </c>
      <c r="AX17" s="112">
        <v>0.8</v>
      </c>
      <c r="AY17" s="112">
        <v>0.8</v>
      </c>
      <c r="AZ17" s="112">
        <v>0.8</v>
      </c>
      <c r="BA17" s="112">
        <v>0.8</v>
      </c>
      <c r="BB17" s="112">
        <v>0.8</v>
      </c>
      <c r="BC17" s="112">
        <v>0.8</v>
      </c>
      <c r="BD17" s="112">
        <v>0.8</v>
      </c>
      <c r="BE17" s="112">
        <v>0.8</v>
      </c>
      <c r="BF17" s="112">
        <v>0.8</v>
      </c>
      <c r="BG17" s="112">
        <v>0.8</v>
      </c>
      <c r="BH17" s="112">
        <v>0</v>
      </c>
      <c r="BI17" s="112">
        <v>0</v>
      </c>
    </row>
    <row r="18" spans="1:61" customFormat="1" x14ac:dyDescent="0.15">
      <c r="A18" s="191" t="s">
        <v>209</v>
      </c>
      <c r="B18" s="112">
        <v>0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0.8</v>
      </c>
      <c r="X18" s="112">
        <v>0</v>
      </c>
      <c r="Y18" s="112">
        <v>0</v>
      </c>
      <c r="Z18" s="112">
        <v>0</v>
      </c>
      <c r="AA18" s="112">
        <v>0</v>
      </c>
      <c r="AB18" s="112">
        <v>0.8</v>
      </c>
      <c r="AC18" s="112">
        <v>0.8</v>
      </c>
      <c r="AD18" s="112">
        <v>0.8</v>
      </c>
      <c r="AE18" s="112">
        <v>0.8</v>
      </c>
      <c r="AF18" s="112">
        <v>0.8</v>
      </c>
      <c r="AG18" s="112">
        <v>0</v>
      </c>
      <c r="AH18" s="112">
        <v>0.8</v>
      </c>
      <c r="AI18" s="112">
        <v>0.8</v>
      </c>
      <c r="AJ18" s="112">
        <v>0.8</v>
      </c>
      <c r="AK18" s="112">
        <v>0.8</v>
      </c>
      <c r="AL18" s="112">
        <v>0</v>
      </c>
      <c r="AM18" s="112">
        <v>0.8</v>
      </c>
      <c r="AN18" s="112">
        <v>0.8</v>
      </c>
      <c r="AO18" s="112">
        <v>0.8</v>
      </c>
      <c r="AP18" s="112">
        <v>0.8</v>
      </c>
      <c r="AQ18" s="112">
        <v>0</v>
      </c>
      <c r="AR18" s="112">
        <v>0</v>
      </c>
      <c r="AS18" s="112">
        <v>0</v>
      </c>
      <c r="AT18" s="112">
        <v>0</v>
      </c>
      <c r="AU18" s="112">
        <v>0.8</v>
      </c>
      <c r="AV18" s="112">
        <v>0.8</v>
      </c>
      <c r="AW18" s="112">
        <v>0</v>
      </c>
      <c r="AX18" s="112">
        <v>0.8</v>
      </c>
      <c r="AY18" s="112">
        <v>0.8</v>
      </c>
      <c r="AZ18" s="112">
        <v>0.8</v>
      </c>
      <c r="BA18" s="112">
        <v>0.8</v>
      </c>
      <c r="BB18" s="112">
        <v>0.8</v>
      </c>
      <c r="BC18" s="112">
        <v>0.8</v>
      </c>
      <c r="BD18" s="112">
        <v>0.8</v>
      </c>
      <c r="BE18" s="112">
        <v>0</v>
      </c>
      <c r="BF18" s="112">
        <v>0.8</v>
      </c>
      <c r="BG18" s="112">
        <v>0.8</v>
      </c>
      <c r="BH18" s="112">
        <v>0</v>
      </c>
      <c r="BI18" s="112">
        <v>0</v>
      </c>
    </row>
    <row r="19" spans="1:61" customFormat="1" x14ac:dyDescent="0.15">
      <c r="A19" s="191" t="s">
        <v>210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0.8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0.8</v>
      </c>
      <c r="AB19" s="112">
        <v>0.8</v>
      </c>
      <c r="AC19" s="112">
        <v>0.8</v>
      </c>
      <c r="AD19" s="112">
        <v>0.8</v>
      </c>
      <c r="AE19" s="112">
        <v>0.8</v>
      </c>
      <c r="AF19" s="112">
        <v>0.8</v>
      </c>
      <c r="AG19" s="112">
        <v>0</v>
      </c>
      <c r="AH19" s="112">
        <v>0.8</v>
      </c>
      <c r="AI19" s="112">
        <v>0.8</v>
      </c>
      <c r="AJ19" s="112">
        <v>0.8</v>
      </c>
      <c r="AK19" s="112">
        <v>0.8</v>
      </c>
      <c r="AL19" s="112">
        <v>0</v>
      </c>
      <c r="AM19" s="112">
        <v>0.8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0.8</v>
      </c>
      <c r="AW19" s="112">
        <v>0</v>
      </c>
      <c r="AX19" s="112">
        <v>0.8</v>
      </c>
      <c r="AY19" s="112">
        <v>0.8</v>
      </c>
      <c r="AZ19" s="112">
        <v>0</v>
      </c>
      <c r="BA19" s="112">
        <v>0.8</v>
      </c>
      <c r="BB19" s="112">
        <v>0.8</v>
      </c>
      <c r="BC19" s="112">
        <v>0.8</v>
      </c>
      <c r="BD19" s="112">
        <v>0.8</v>
      </c>
      <c r="BE19" s="112">
        <v>0.8</v>
      </c>
      <c r="BF19" s="112">
        <v>0.8</v>
      </c>
      <c r="BG19" s="112">
        <v>0.8</v>
      </c>
      <c r="BH19" s="112">
        <v>0</v>
      </c>
      <c r="BI19" s="112">
        <v>0</v>
      </c>
    </row>
    <row r="20" spans="1:61" customFormat="1" x14ac:dyDescent="0.15">
      <c r="A20" s="191" t="s">
        <v>211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0.8</v>
      </c>
      <c r="AC20" s="112">
        <v>0.8</v>
      </c>
      <c r="AD20" s="112">
        <v>0</v>
      </c>
      <c r="AE20" s="112">
        <v>0.8</v>
      </c>
      <c r="AF20" s="112">
        <v>0.8</v>
      </c>
      <c r="AG20" s="112">
        <v>0</v>
      </c>
      <c r="AH20" s="112">
        <v>0</v>
      </c>
      <c r="AI20" s="112">
        <v>0.8</v>
      </c>
      <c r="AJ20" s="112">
        <v>0</v>
      </c>
      <c r="AK20" s="112">
        <v>0.8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0.8</v>
      </c>
      <c r="BB20" s="112">
        <v>0.8</v>
      </c>
      <c r="BC20" s="112">
        <v>0.8</v>
      </c>
      <c r="BD20" s="112">
        <v>0.8</v>
      </c>
      <c r="BE20" s="112">
        <v>0</v>
      </c>
      <c r="BF20" s="112">
        <v>0.8</v>
      </c>
      <c r="BG20" s="112">
        <v>0.8</v>
      </c>
      <c r="BH20" s="112">
        <v>0</v>
      </c>
      <c r="BI20" s="112">
        <v>0</v>
      </c>
    </row>
    <row r="21" spans="1:61" customFormat="1" x14ac:dyDescent="0.15">
      <c r="A21" s="191" t="s">
        <v>212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0.8</v>
      </c>
      <c r="AC21" s="112">
        <v>0.8</v>
      </c>
      <c r="AD21" s="112">
        <v>0</v>
      </c>
      <c r="AE21" s="112">
        <v>0.8</v>
      </c>
      <c r="AF21" s="112">
        <v>0.8</v>
      </c>
      <c r="AG21" s="112">
        <v>0</v>
      </c>
      <c r="AH21" s="112">
        <v>0</v>
      </c>
      <c r="AI21" s="112">
        <v>0.8</v>
      </c>
      <c r="AJ21" s="112">
        <v>0</v>
      </c>
      <c r="AK21" s="112">
        <v>0.8</v>
      </c>
      <c r="AL21" s="112">
        <v>0</v>
      </c>
      <c r="AM21" s="112">
        <v>0</v>
      </c>
      <c r="AN21" s="112">
        <v>0.8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0.8</v>
      </c>
      <c r="BB21" s="112">
        <v>0.8</v>
      </c>
      <c r="BC21" s="112">
        <v>0.8</v>
      </c>
      <c r="BD21" s="112">
        <v>0</v>
      </c>
      <c r="BE21" s="112">
        <v>0</v>
      </c>
      <c r="BF21" s="112">
        <v>0.8</v>
      </c>
      <c r="BG21" s="112">
        <v>0.8</v>
      </c>
      <c r="BH21" s="112">
        <v>0</v>
      </c>
      <c r="BI21" s="112">
        <v>0</v>
      </c>
    </row>
    <row r="22" spans="1:61" customFormat="1" x14ac:dyDescent="0.15">
      <c r="A22" s="191" t="s">
        <v>213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0.8</v>
      </c>
      <c r="R22" s="112">
        <v>0.8</v>
      </c>
      <c r="S22" s="112">
        <v>0</v>
      </c>
      <c r="T22" s="112">
        <v>0</v>
      </c>
      <c r="U22" s="112">
        <v>0</v>
      </c>
      <c r="V22" s="112">
        <v>0</v>
      </c>
      <c r="W22" s="112">
        <v>0.8</v>
      </c>
      <c r="X22" s="112">
        <v>0</v>
      </c>
      <c r="Y22" s="112">
        <v>0</v>
      </c>
      <c r="Z22" s="112">
        <v>0.8</v>
      </c>
      <c r="AA22" s="112">
        <v>0.8</v>
      </c>
      <c r="AB22" s="112">
        <v>0.8</v>
      </c>
      <c r="AC22" s="112">
        <v>0.8</v>
      </c>
      <c r="AD22" s="112">
        <v>0.8</v>
      </c>
      <c r="AE22" s="112">
        <v>0.8</v>
      </c>
      <c r="AF22" s="112">
        <v>0.8</v>
      </c>
      <c r="AG22" s="112">
        <v>0.8</v>
      </c>
      <c r="AH22" s="112">
        <v>0.8</v>
      </c>
      <c r="AI22" s="112">
        <v>0.8</v>
      </c>
      <c r="AJ22" s="112">
        <v>0.8</v>
      </c>
      <c r="AK22" s="112">
        <v>0.8</v>
      </c>
      <c r="AL22" s="112">
        <v>0</v>
      </c>
      <c r="AM22" s="112">
        <v>0.8</v>
      </c>
      <c r="AN22" s="112">
        <v>0.8</v>
      </c>
      <c r="AO22" s="112">
        <v>0</v>
      </c>
      <c r="AP22" s="112">
        <v>0</v>
      </c>
      <c r="AQ22" s="112">
        <v>0.8</v>
      </c>
      <c r="AR22" s="112">
        <v>0</v>
      </c>
      <c r="AS22" s="112">
        <v>0</v>
      </c>
      <c r="AT22" s="112">
        <v>0.8</v>
      </c>
      <c r="AU22" s="112">
        <v>0.8</v>
      </c>
      <c r="AV22" s="112">
        <v>0.8</v>
      </c>
      <c r="AW22" s="112">
        <v>0.8</v>
      </c>
      <c r="AX22" s="112">
        <v>0.8</v>
      </c>
      <c r="AY22" s="112">
        <v>0.8</v>
      </c>
      <c r="AZ22" s="112">
        <v>0.8</v>
      </c>
      <c r="BA22" s="112">
        <v>0.8</v>
      </c>
      <c r="BB22" s="112">
        <v>0.8</v>
      </c>
      <c r="BC22" s="112">
        <v>0.8</v>
      </c>
      <c r="BD22" s="112">
        <v>0.8</v>
      </c>
      <c r="BE22" s="112">
        <v>0.8</v>
      </c>
      <c r="BF22" s="112">
        <v>0.8</v>
      </c>
      <c r="BG22" s="112">
        <v>0.8</v>
      </c>
      <c r="BH22" s="112">
        <v>0</v>
      </c>
      <c r="BI22" s="112">
        <v>0</v>
      </c>
    </row>
    <row r="23" spans="1:61" customFormat="1" x14ac:dyDescent="0.15">
      <c r="A23" s="191" t="s">
        <v>214</v>
      </c>
      <c r="B23" s="112">
        <v>0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0.8</v>
      </c>
      <c r="AC23" s="112">
        <v>0.8</v>
      </c>
      <c r="AD23" s="112">
        <v>0</v>
      </c>
      <c r="AE23" s="112">
        <v>0.8</v>
      </c>
      <c r="AF23" s="112">
        <v>0.8</v>
      </c>
      <c r="AG23" s="112">
        <v>0.8</v>
      </c>
      <c r="AH23" s="112">
        <v>0</v>
      </c>
      <c r="AI23" s="112">
        <v>0</v>
      </c>
      <c r="AJ23" s="112">
        <v>0.8</v>
      </c>
      <c r="AK23" s="112">
        <v>0.8</v>
      </c>
      <c r="AL23" s="112">
        <v>0</v>
      </c>
      <c r="AM23" s="112">
        <v>0.8</v>
      </c>
      <c r="AN23" s="112">
        <v>0.8</v>
      </c>
      <c r="AO23" s="112">
        <v>0.8</v>
      </c>
      <c r="AP23" s="112">
        <v>0.8</v>
      </c>
      <c r="AQ23" s="112">
        <v>0</v>
      </c>
      <c r="AR23" s="112">
        <v>0</v>
      </c>
      <c r="AS23" s="112">
        <v>0</v>
      </c>
      <c r="AT23" s="112">
        <v>0</v>
      </c>
      <c r="AU23" s="112">
        <v>0.8</v>
      </c>
      <c r="AV23" s="112">
        <v>0.8</v>
      </c>
      <c r="AW23" s="112">
        <v>0</v>
      </c>
      <c r="AX23" s="112">
        <v>0.8</v>
      </c>
      <c r="AY23" s="112">
        <v>0</v>
      </c>
      <c r="AZ23" s="112">
        <v>0</v>
      </c>
      <c r="BA23" s="112">
        <v>0.8</v>
      </c>
      <c r="BB23" s="112">
        <v>0.8</v>
      </c>
      <c r="BC23" s="112">
        <v>0.8</v>
      </c>
      <c r="BD23" s="112">
        <v>0.8</v>
      </c>
      <c r="BE23" s="112">
        <v>0.8</v>
      </c>
      <c r="BF23" s="112">
        <v>0.8</v>
      </c>
      <c r="BG23" s="112">
        <v>0.8</v>
      </c>
      <c r="BH23" s="112">
        <v>0</v>
      </c>
      <c r="BI23" s="112">
        <v>0</v>
      </c>
    </row>
    <row r="24" spans="1:61" customFormat="1" x14ac:dyDescent="0.15">
      <c r="A24" s="191" t="s">
        <v>215</v>
      </c>
      <c r="B24" s="112">
        <v>0</v>
      </c>
      <c r="C24" s="112">
        <v>0</v>
      </c>
      <c r="D24" s="112">
        <v>0</v>
      </c>
      <c r="E24" s="112">
        <v>0</v>
      </c>
      <c r="F24" s="112">
        <v>0</v>
      </c>
      <c r="G24" s="112">
        <v>0.8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0.8</v>
      </c>
      <c r="S24" s="112">
        <v>0</v>
      </c>
      <c r="T24" s="112">
        <v>0</v>
      </c>
      <c r="U24" s="112">
        <v>0</v>
      </c>
      <c r="V24" s="112">
        <v>0</v>
      </c>
      <c r="W24" s="112">
        <v>0.8</v>
      </c>
      <c r="X24" s="112">
        <v>0.8</v>
      </c>
      <c r="Y24" s="112">
        <v>0.8</v>
      </c>
      <c r="Z24" s="112">
        <v>0.8</v>
      </c>
      <c r="AA24" s="112">
        <v>0</v>
      </c>
      <c r="AB24" s="112">
        <v>0.8</v>
      </c>
      <c r="AC24" s="112">
        <v>0.8</v>
      </c>
      <c r="AD24" s="112">
        <v>0.8</v>
      </c>
      <c r="AE24" s="112">
        <v>0.8</v>
      </c>
      <c r="AF24" s="112">
        <v>0.8</v>
      </c>
      <c r="AG24" s="112">
        <v>0.8</v>
      </c>
      <c r="AH24" s="112">
        <v>0.8</v>
      </c>
      <c r="AI24" s="112">
        <v>0.8</v>
      </c>
      <c r="AJ24" s="112">
        <v>0.8</v>
      </c>
      <c r="AK24" s="112">
        <v>0</v>
      </c>
      <c r="AL24" s="112">
        <v>0</v>
      </c>
      <c r="AM24" s="112">
        <v>0.8</v>
      </c>
      <c r="AN24" s="112">
        <v>0.8</v>
      </c>
      <c r="AO24" s="112">
        <v>0.8</v>
      </c>
      <c r="AP24" s="112">
        <v>0.8</v>
      </c>
      <c r="AQ24" s="112">
        <v>0.8</v>
      </c>
      <c r="AR24" s="112">
        <v>0</v>
      </c>
      <c r="AS24" s="112">
        <v>0</v>
      </c>
      <c r="AT24" s="112">
        <v>0.8</v>
      </c>
      <c r="AU24" s="112">
        <v>0.8</v>
      </c>
      <c r="AV24" s="112">
        <v>0.8</v>
      </c>
      <c r="AW24" s="112">
        <v>0.8</v>
      </c>
      <c r="AX24" s="112">
        <v>0.8</v>
      </c>
      <c r="AY24" s="112">
        <v>0.8</v>
      </c>
      <c r="AZ24" s="112">
        <v>0.8</v>
      </c>
      <c r="BA24" s="112">
        <v>0.8</v>
      </c>
      <c r="BB24" s="112">
        <v>0.8</v>
      </c>
      <c r="BC24" s="112">
        <v>0.8</v>
      </c>
      <c r="BD24" s="112">
        <v>0</v>
      </c>
      <c r="BE24" s="112">
        <v>0.8</v>
      </c>
      <c r="BF24" s="112">
        <v>0.8</v>
      </c>
      <c r="BG24" s="112">
        <v>0.8</v>
      </c>
      <c r="BH24" s="112">
        <v>0</v>
      </c>
      <c r="BI24" s="112">
        <v>0</v>
      </c>
    </row>
    <row r="25" spans="1:61" customFormat="1" x14ac:dyDescent="0.15">
      <c r="A25" s="191" t="s">
        <v>216</v>
      </c>
      <c r="B25" s="112">
        <v>0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0.8</v>
      </c>
      <c r="Y25" s="112">
        <v>0</v>
      </c>
      <c r="Z25" s="112">
        <v>0</v>
      </c>
      <c r="AA25" s="112">
        <v>0</v>
      </c>
      <c r="AB25" s="112">
        <v>0.8</v>
      </c>
      <c r="AC25" s="112">
        <v>0.8</v>
      </c>
      <c r="AD25" s="112">
        <v>0</v>
      </c>
      <c r="AE25" s="112">
        <v>0.8</v>
      </c>
      <c r="AF25" s="112">
        <v>0.8</v>
      </c>
      <c r="AG25" s="112">
        <v>0.8</v>
      </c>
      <c r="AH25" s="112">
        <v>0.8</v>
      </c>
      <c r="AI25" s="112">
        <v>0.8</v>
      </c>
      <c r="AJ25" s="112">
        <v>0.8</v>
      </c>
      <c r="AK25" s="112">
        <v>0.8</v>
      </c>
      <c r="AL25" s="112">
        <v>0</v>
      </c>
      <c r="AM25" s="112">
        <v>0.8</v>
      </c>
      <c r="AN25" s="112">
        <v>0.8</v>
      </c>
      <c r="AO25" s="112">
        <v>0.8</v>
      </c>
      <c r="AP25" s="112">
        <v>0.8</v>
      </c>
      <c r="AQ25" s="112">
        <v>0.8</v>
      </c>
      <c r="AR25" s="112">
        <v>0</v>
      </c>
      <c r="AS25" s="112">
        <v>0</v>
      </c>
      <c r="AT25" s="112">
        <v>0.8</v>
      </c>
      <c r="AU25" s="112">
        <v>0.8</v>
      </c>
      <c r="AV25" s="112">
        <v>0.8</v>
      </c>
      <c r="AW25" s="112">
        <v>0</v>
      </c>
      <c r="AX25" s="112">
        <v>0.8</v>
      </c>
      <c r="AY25" s="112">
        <v>0.8</v>
      </c>
      <c r="AZ25" s="112">
        <v>0.8</v>
      </c>
      <c r="BA25" s="112">
        <v>0.8</v>
      </c>
      <c r="BB25" s="112">
        <v>0.8</v>
      </c>
      <c r="BC25" s="112">
        <v>0.8</v>
      </c>
      <c r="BD25" s="112">
        <v>0.8</v>
      </c>
      <c r="BE25" s="112">
        <v>0.8</v>
      </c>
      <c r="BF25" s="112">
        <v>0.8</v>
      </c>
      <c r="BG25" s="112">
        <v>0.8</v>
      </c>
      <c r="BH25" s="112">
        <v>0</v>
      </c>
      <c r="BI25" s="112">
        <v>0</v>
      </c>
    </row>
    <row r="26" spans="1:61" customFormat="1" x14ac:dyDescent="0.15">
      <c r="A26" s="191" t="s">
        <v>217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12">
        <v>0</v>
      </c>
      <c r="Q26" s="112">
        <v>0.8</v>
      </c>
      <c r="R26" s="112">
        <v>0.8</v>
      </c>
      <c r="S26" s="112">
        <v>0</v>
      </c>
      <c r="T26" s="112">
        <v>0</v>
      </c>
      <c r="U26" s="112">
        <v>0</v>
      </c>
      <c r="V26" s="112">
        <v>0</v>
      </c>
      <c r="W26" s="112">
        <v>0.8</v>
      </c>
      <c r="X26" s="112">
        <v>0</v>
      </c>
      <c r="Y26" s="112">
        <v>0</v>
      </c>
      <c r="Z26" s="112">
        <v>0.8</v>
      </c>
      <c r="AA26" s="112">
        <v>0.8</v>
      </c>
      <c r="AB26" s="112">
        <v>0.8</v>
      </c>
      <c r="AC26" s="112">
        <v>0.8</v>
      </c>
      <c r="AD26" s="112">
        <v>0.8</v>
      </c>
      <c r="AE26" s="112">
        <v>0.8</v>
      </c>
      <c r="AF26" s="112">
        <v>0.8</v>
      </c>
      <c r="AG26" s="112">
        <v>0</v>
      </c>
      <c r="AH26" s="112">
        <v>0.8</v>
      </c>
      <c r="AI26" s="112">
        <v>0</v>
      </c>
      <c r="AJ26" s="112">
        <v>0.8</v>
      </c>
      <c r="AK26" s="112">
        <v>0.8</v>
      </c>
      <c r="AL26" s="112">
        <v>0.8</v>
      </c>
      <c r="AM26" s="112">
        <v>0.8</v>
      </c>
      <c r="AN26" s="112">
        <v>0.8</v>
      </c>
      <c r="AO26" s="112">
        <v>0.8</v>
      </c>
      <c r="AP26" s="112">
        <v>0.8</v>
      </c>
      <c r="AQ26" s="112">
        <v>0.8</v>
      </c>
      <c r="AR26" s="112">
        <v>0.8</v>
      </c>
      <c r="AS26" s="112">
        <v>0.8</v>
      </c>
      <c r="AT26" s="112">
        <v>0.8</v>
      </c>
      <c r="AU26" s="112">
        <v>0.8</v>
      </c>
      <c r="AV26" s="112">
        <v>0.8</v>
      </c>
      <c r="AW26" s="112">
        <v>0</v>
      </c>
      <c r="AX26" s="112">
        <v>0.8</v>
      </c>
      <c r="AY26" s="112">
        <v>0.8</v>
      </c>
      <c r="AZ26" s="112">
        <v>0.8</v>
      </c>
      <c r="BA26" s="112">
        <v>0.8</v>
      </c>
      <c r="BB26" s="112">
        <v>0.8</v>
      </c>
      <c r="BC26" s="112">
        <v>0.8</v>
      </c>
      <c r="BD26" s="112">
        <v>0.8</v>
      </c>
      <c r="BE26" s="112">
        <v>0.8</v>
      </c>
      <c r="BF26" s="112">
        <v>0.8</v>
      </c>
      <c r="BG26" s="112">
        <v>0.8</v>
      </c>
      <c r="BH26" s="112">
        <v>0</v>
      </c>
      <c r="BI26" s="112">
        <v>0</v>
      </c>
    </row>
    <row r="27" spans="1:61" customFormat="1" x14ac:dyDescent="0.15">
      <c r="A27" s="191" t="s">
        <v>218</v>
      </c>
      <c r="B27" s="112">
        <v>0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0</v>
      </c>
      <c r="Z27" s="112">
        <v>0</v>
      </c>
      <c r="AA27" s="112">
        <v>0</v>
      </c>
      <c r="AB27" s="112">
        <v>0.8</v>
      </c>
      <c r="AC27" s="112">
        <v>0.8</v>
      </c>
      <c r="AD27" s="112">
        <v>0</v>
      </c>
      <c r="AE27" s="112">
        <v>0.8</v>
      </c>
      <c r="AF27" s="112">
        <v>0.8</v>
      </c>
      <c r="AG27" s="112">
        <v>0</v>
      </c>
      <c r="AH27" s="112">
        <v>0</v>
      </c>
      <c r="AI27" s="112">
        <v>0.8</v>
      </c>
      <c r="AJ27" s="112">
        <v>0.8</v>
      </c>
      <c r="AK27" s="112">
        <v>0.8</v>
      </c>
      <c r="AL27" s="112">
        <v>0</v>
      </c>
      <c r="AM27" s="112">
        <v>0</v>
      </c>
      <c r="AN27" s="112">
        <v>0.8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0.8</v>
      </c>
      <c r="AV27" s="112">
        <v>0</v>
      </c>
      <c r="AW27" s="112">
        <v>0</v>
      </c>
      <c r="AX27" s="112">
        <v>0.8</v>
      </c>
      <c r="AY27" s="112">
        <v>0.8</v>
      </c>
      <c r="AZ27" s="112">
        <v>0</v>
      </c>
      <c r="BA27" s="112">
        <v>0</v>
      </c>
      <c r="BB27" s="112">
        <v>0.8</v>
      </c>
      <c r="BC27" s="112">
        <v>0</v>
      </c>
      <c r="BD27" s="112">
        <v>0</v>
      </c>
      <c r="BE27" s="112">
        <v>0</v>
      </c>
      <c r="BF27" s="112">
        <v>0</v>
      </c>
      <c r="BG27" s="112">
        <v>0</v>
      </c>
      <c r="BH27" s="112">
        <v>0</v>
      </c>
      <c r="BI27" s="112">
        <v>0</v>
      </c>
    </row>
    <row r="28" spans="1:61" customFormat="1" x14ac:dyDescent="0.15">
      <c r="A28" s="191" t="s">
        <v>219</v>
      </c>
      <c r="B28" s="112">
        <v>0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0.8</v>
      </c>
      <c r="AD28" s="112">
        <v>0</v>
      </c>
      <c r="AE28" s="112">
        <v>0</v>
      </c>
      <c r="AF28" s="112">
        <v>0.8</v>
      </c>
      <c r="AG28" s="112">
        <v>0</v>
      </c>
      <c r="AH28" s="112">
        <v>0</v>
      </c>
      <c r="AI28" s="112">
        <v>0</v>
      </c>
      <c r="AJ28" s="112">
        <v>0</v>
      </c>
      <c r="AK28" s="112">
        <v>0.8</v>
      </c>
      <c r="AL28" s="112">
        <v>0</v>
      </c>
      <c r="AM28" s="112">
        <v>0</v>
      </c>
      <c r="AN28" s="112">
        <v>0.8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0.8</v>
      </c>
      <c r="BC28" s="112">
        <v>0</v>
      </c>
      <c r="BD28" s="112">
        <v>0</v>
      </c>
      <c r="BE28" s="112">
        <v>0</v>
      </c>
      <c r="BF28" s="112">
        <v>0</v>
      </c>
      <c r="BG28" s="112">
        <v>0</v>
      </c>
      <c r="BH28" s="112">
        <v>0</v>
      </c>
      <c r="BI28" s="112">
        <v>0</v>
      </c>
    </row>
    <row r="29" spans="1:61" customFormat="1" x14ac:dyDescent="0.15">
      <c r="A29" s="191" t="s">
        <v>220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</v>
      </c>
      <c r="AA29" s="112">
        <v>0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0.8</v>
      </c>
      <c r="AO29" s="112">
        <v>0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0.8</v>
      </c>
      <c r="BC29" s="112">
        <v>0</v>
      </c>
      <c r="BD29" s="112">
        <v>0</v>
      </c>
      <c r="BE29" s="112">
        <v>0</v>
      </c>
      <c r="BF29" s="112">
        <v>0</v>
      </c>
      <c r="BG29" s="112">
        <v>0</v>
      </c>
      <c r="BH29" s="112">
        <v>0</v>
      </c>
      <c r="BI29" s="112">
        <v>0</v>
      </c>
    </row>
    <row r="30" spans="1:61" customFormat="1" x14ac:dyDescent="0.15">
      <c r="A30" s="191" t="s">
        <v>221</v>
      </c>
      <c r="B30" s="112">
        <v>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0.8</v>
      </c>
      <c r="AB30" s="112">
        <v>0.8</v>
      </c>
      <c r="AC30" s="112">
        <v>0</v>
      </c>
      <c r="AD30" s="112">
        <v>0</v>
      </c>
      <c r="AE30" s="112">
        <v>0.8</v>
      </c>
      <c r="AF30" s="112">
        <v>0.8</v>
      </c>
      <c r="AG30" s="112">
        <v>0</v>
      </c>
      <c r="AH30" s="112">
        <v>0</v>
      </c>
      <c r="AI30" s="112">
        <v>0</v>
      </c>
      <c r="AJ30" s="112">
        <v>0.8</v>
      </c>
      <c r="AK30" s="112">
        <v>0.8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0.8</v>
      </c>
      <c r="BC30" s="112">
        <v>0</v>
      </c>
      <c r="BD30" s="112">
        <v>0</v>
      </c>
      <c r="BE30" s="112">
        <v>0</v>
      </c>
      <c r="BF30" s="112">
        <v>0</v>
      </c>
      <c r="BG30" s="112">
        <v>0</v>
      </c>
      <c r="BH30" s="112">
        <v>0</v>
      </c>
      <c r="BI30" s="112">
        <v>0</v>
      </c>
    </row>
    <row r="31" spans="1:61" customFormat="1" x14ac:dyDescent="0.15">
      <c r="A31" s="191" t="s">
        <v>222</v>
      </c>
      <c r="B31" s="112">
        <v>0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0.8</v>
      </c>
      <c r="AG31" s="112">
        <v>0</v>
      </c>
      <c r="AH31" s="112">
        <v>0</v>
      </c>
      <c r="AI31" s="112">
        <v>0</v>
      </c>
      <c r="AJ31" s="112">
        <v>0</v>
      </c>
      <c r="AK31" s="112">
        <v>0.8</v>
      </c>
      <c r="AL31" s="112">
        <v>0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0.8</v>
      </c>
      <c r="BC31" s="112">
        <v>0</v>
      </c>
      <c r="BD31" s="112">
        <v>0</v>
      </c>
      <c r="BE31" s="112">
        <v>0</v>
      </c>
      <c r="BF31" s="112">
        <v>0</v>
      </c>
      <c r="BG31" s="112">
        <v>0</v>
      </c>
      <c r="BH31" s="112">
        <v>0</v>
      </c>
      <c r="BI31" s="112">
        <v>0</v>
      </c>
    </row>
    <row r="32" spans="1:61" customFormat="1" x14ac:dyDescent="0.15">
      <c r="A32" s="191" t="s">
        <v>223</v>
      </c>
      <c r="B32" s="112">
        <v>0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0.8</v>
      </c>
      <c r="BC32" s="112">
        <v>0</v>
      </c>
      <c r="BD32" s="112">
        <v>0</v>
      </c>
      <c r="BE32" s="112">
        <v>0</v>
      </c>
      <c r="BF32" s="112">
        <v>0</v>
      </c>
      <c r="BG32" s="112">
        <v>0</v>
      </c>
      <c r="BH32" s="112">
        <v>0</v>
      </c>
      <c r="BI32" s="112">
        <v>0</v>
      </c>
    </row>
    <row r="33" spans="1:61" x14ac:dyDescent="0.15">
      <c r="A33" s="191" t="s">
        <v>224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0</v>
      </c>
      <c r="AA33" s="112">
        <v>0.8</v>
      </c>
      <c r="AB33" s="112">
        <v>0.8</v>
      </c>
      <c r="AC33" s="112">
        <v>0.8</v>
      </c>
      <c r="AD33" s="112">
        <v>0.8</v>
      </c>
      <c r="AE33" s="112">
        <v>0.8</v>
      </c>
      <c r="AF33" s="112">
        <v>0</v>
      </c>
      <c r="AG33" s="112">
        <v>0.8</v>
      </c>
      <c r="AH33" s="112">
        <v>0.8</v>
      </c>
      <c r="AI33" s="112">
        <v>0.8</v>
      </c>
      <c r="AJ33" s="112">
        <v>0.8</v>
      </c>
      <c r="AK33" s="112">
        <v>0.8</v>
      </c>
      <c r="AL33" s="112">
        <v>0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0.8</v>
      </c>
      <c r="AU33" s="112">
        <v>0.8</v>
      </c>
      <c r="AV33" s="112">
        <v>0.8</v>
      </c>
      <c r="AW33" s="112">
        <v>0</v>
      </c>
      <c r="AX33" s="112">
        <v>0.8</v>
      </c>
      <c r="AY33" s="112">
        <v>0.8</v>
      </c>
      <c r="AZ33" s="112">
        <v>0</v>
      </c>
      <c r="BA33" s="112">
        <v>0</v>
      </c>
      <c r="BB33" s="112">
        <v>0.8</v>
      </c>
      <c r="BC33" s="112">
        <v>0</v>
      </c>
      <c r="BD33" s="112">
        <v>0</v>
      </c>
      <c r="BE33" s="112">
        <v>0</v>
      </c>
      <c r="BF33" s="112">
        <v>0</v>
      </c>
      <c r="BG33" s="112">
        <v>0</v>
      </c>
      <c r="BH33" s="112">
        <v>0</v>
      </c>
      <c r="BI33" s="112">
        <v>0</v>
      </c>
    </row>
    <row r="34" spans="1:61" x14ac:dyDescent="0.15">
      <c r="A34" s="191" t="s">
        <v>225</v>
      </c>
      <c r="B34" s="112">
        <v>0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0.8</v>
      </c>
      <c r="AC34" s="112">
        <v>0.8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0.8</v>
      </c>
      <c r="AJ34" s="112">
        <v>0</v>
      </c>
      <c r="AK34" s="112">
        <v>0.8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0.8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0.8</v>
      </c>
      <c r="BC34" s="112">
        <v>0</v>
      </c>
      <c r="BD34" s="112">
        <v>0</v>
      </c>
      <c r="BE34" s="112">
        <v>0</v>
      </c>
      <c r="BF34" s="112">
        <v>0</v>
      </c>
      <c r="BG34" s="112">
        <v>0</v>
      </c>
      <c r="BH34" s="112">
        <v>0</v>
      </c>
      <c r="BI34" s="112">
        <v>0</v>
      </c>
    </row>
    <row r="35" spans="1:61" x14ac:dyDescent="0.15">
      <c r="A35" s="191" t="s">
        <v>226</v>
      </c>
      <c r="B35" s="112">
        <v>0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0.8</v>
      </c>
      <c r="BC35" s="112">
        <v>0</v>
      </c>
      <c r="BD35" s="112">
        <v>0</v>
      </c>
      <c r="BE35" s="112">
        <v>0</v>
      </c>
      <c r="BF35" s="112">
        <v>0</v>
      </c>
      <c r="BG35" s="112">
        <v>0</v>
      </c>
      <c r="BH35" s="112">
        <v>0</v>
      </c>
      <c r="BI35" s="112">
        <v>0</v>
      </c>
    </row>
    <row r="36" spans="1:61" x14ac:dyDescent="0.15">
      <c r="A36" s="191" t="s">
        <v>227</v>
      </c>
      <c r="B36" s="112">
        <v>0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0.8</v>
      </c>
      <c r="AC36" s="112">
        <v>0.8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0.8</v>
      </c>
      <c r="AL36" s="112">
        <v>0</v>
      </c>
      <c r="AM36" s="112">
        <v>0</v>
      </c>
      <c r="AN36" s="112">
        <v>0.8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0.8</v>
      </c>
      <c r="AV36" s="112">
        <v>0</v>
      </c>
      <c r="AW36" s="112">
        <v>0</v>
      </c>
      <c r="AX36" s="112">
        <v>0.8</v>
      </c>
      <c r="AY36" s="112">
        <v>0</v>
      </c>
      <c r="AZ36" s="112">
        <v>0</v>
      </c>
      <c r="BA36" s="112">
        <v>0.8</v>
      </c>
      <c r="BB36" s="112">
        <v>0.8</v>
      </c>
      <c r="BC36" s="112">
        <v>0</v>
      </c>
      <c r="BD36" s="112">
        <v>0.8</v>
      </c>
      <c r="BE36" s="112">
        <v>0</v>
      </c>
      <c r="BF36" s="112">
        <v>0.8</v>
      </c>
      <c r="BG36" s="112">
        <v>0.8</v>
      </c>
      <c r="BH36" s="112">
        <v>0</v>
      </c>
      <c r="BI36" s="112">
        <v>0</v>
      </c>
    </row>
    <row r="37" spans="1:61" x14ac:dyDescent="0.15">
      <c r="A37" s="191" t="s">
        <v>228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0.8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0.8</v>
      </c>
      <c r="BB37" s="112">
        <v>0.8</v>
      </c>
      <c r="BC37" s="112">
        <v>0</v>
      </c>
      <c r="BD37" s="112">
        <v>0</v>
      </c>
      <c r="BE37" s="112">
        <v>0</v>
      </c>
      <c r="BF37" s="112">
        <v>0.8</v>
      </c>
      <c r="BG37" s="112">
        <v>0</v>
      </c>
      <c r="BH37" s="112">
        <v>0</v>
      </c>
      <c r="BI37" s="112">
        <v>0</v>
      </c>
    </row>
    <row r="38" spans="1:61" x14ac:dyDescent="0.15">
      <c r="A38" s="191" t="s">
        <v>229</v>
      </c>
      <c r="B38" s="112">
        <v>0</v>
      </c>
      <c r="C38" s="112">
        <v>0</v>
      </c>
      <c r="D38" s="112">
        <v>0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0.8</v>
      </c>
      <c r="AK38" s="112">
        <v>0.8</v>
      </c>
      <c r="AL38" s="112">
        <v>0</v>
      </c>
      <c r="AM38" s="112">
        <v>0.8</v>
      </c>
      <c r="AN38" s="112">
        <v>0.8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0.8</v>
      </c>
      <c r="AY38" s="112">
        <v>0</v>
      </c>
      <c r="AZ38" s="112">
        <v>0</v>
      </c>
      <c r="BA38" s="112">
        <v>0.8</v>
      </c>
      <c r="BB38" s="112">
        <v>0.8</v>
      </c>
      <c r="BC38" s="112">
        <v>0</v>
      </c>
      <c r="BD38" s="112">
        <v>0.8</v>
      </c>
      <c r="BE38" s="112">
        <v>0</v>
      </c>
      <c r="BF38" s="112">
        <v>0.8</v>
      </c>
      <c r="BG38" s="112">
        <v>0.8</v>
      </c>
      <c r="BH38" s="112">
        <v>0</v>
      </c>
      <c r="BI38" s="112">
        <v>0</v>
      </c>
    </row>
    <row r="39" spans="1:61" x14ac:dyDescent="0.15">
      <c r="A39" s="191" t="s">
        <v>230</v>
      </c>
      <c r="B39" s="112">
        <v>0</v>
      </c>
      <c r="C39" s="112">
        <v>0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0.8</v>
      </c>
      <c r="AL39" s="112">
        <v>0</v>
      </c>
      <c r="AM39" s="112">
        <v>0</v>
      </c>
      <c r="AN39" s="112">
        <v>0.8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0.8</v>
      </c>
      <c r="BB39" s="112">
        <v>0.8</v>
      </c>
      <c r="BC39" s="112">
        <v>0</v>
      </c>
      <c r="BD39" s="112">
        <v>0.8</v>
      </c>
      <c r="BE39" s="112">
        <v>0</v>
      </c>
      <c r="BF39" s="112">
        <v>0.8</v>
      </c>
      <c r="BG39" s="112">
        <v>0.8</v>
      </c>
      <c r="BH39" s="112">
        <v>0</v>
      </c>
      <c r="BI39" s="112">
        <v>0</v>
      </c>
    </row>
    <row r="40" spans="1:61" x14ac:dyDescent="0.15">
      <c r="A40" s="191" t="s">
        <v>231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0.8</v>
      </c>
      <c r="AL40" s="112">
        <v>0</v>
      </c>
      <c r="AM40" s="112">
        <v>0</v>
      </c>
      <c r="AN40" s="112">
        <v>0.8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0.8</v>
      </c>
      <c r="BB40" s="112">
        <v>0.8</v>
      </c>
      <c r="BC40" s="112">
        <v>0</v>
      </c>
      <c r="BD40" s="112">
        <v>0</v>
      </c>
      <c r="BE40" s="112">
        <v>0</v>
      </c>
      <c r="BF40" s="112">
        <v>0.8</v>
      </c>
      <c r="BG40" s="112">
        <v>0</v>
      </c>
      <c r="BH40" s="112">
        <v>0</v>
      </c>
      <c r="BI40" s="112">
        <v>0</v>
      </c>
    </row>
    <row r="41" spans="1:61" x14ac:dyDescent="0.15">
      <c r="A41" s="191" t="s">
        <v>232</v>
      </c>
      <c r="B41" s="112">
        <v>0</v>
      </c>
      <c r="C41" s="112">
        <v>0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0.8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0.8</v>
      </c>
      <c r="AK41" s="112">
        <v>0.8</v>
      </c>
      <c r="AL41" s="112">
        <v>0</v>
      </c>
      <c r="AM41" s="112">
        <v>0.8</v>
      </c>
      <c r="AN41" s="112">
        <v>0.8</v>
      </c>
      <c r="AO41" s="112">
        <v>0.8</v>
      </c>
      <c r="AP41" s="112">
        <v>0.8</v>
      </c>
      <c r="AQ41" s="112">
        <v>0</v>
      </c>
      <c r="AR41" s="112">
        <v>0</v>
      </c>
      <c r="AS41" s="112">
        <v>0</v>
      </c>
      <c r="AT41" s="112">
        <v>0.8</v>
      </c>
      <c r="AU41" s="112">
        <v>0.8</v>
      </c>
      <c r="AV41" s="112">
        <v>0.8</v>
      </c>
      <c r="AW41" s="112">
        <v>0</v>
      </c>
      <c r="AX41" s="112">
        <v>0.8</v>
      </c>
      <c r="AY41" s="112">
        <v>0.8</v>
      </c>
      <c r="AZ41" s="112">
        <v>0</v>
      </c>
      <c r="BA41" s="112">
        <v>0.8</v>
      </c>
      <c r="BB41" s="112">
        <v>0.8</v>
      </c>
      <c r="BC41" s="112">
        <v>0</v>
      </c>
      <c r="BD41" s="112">
        <v>0.8</v>
      </c>
      <c r="BE41" s="112">
        <v>0</v>
      </c>
      <c r="BF41" s="112">
        <v>0</v>
      </c>
      <c r="BG41" s="112">
        <v>0</v>
      </c>
      <c r="BH41" s="112">
        <v>0</v>
      </c>
      <c r="BI41" s="112">
        <v>0</v>
      </c>
    </row>
    <row r="42" spans="1:61" x14ac:dyDescent="0.15">
      <c r="A42" s="191" t="s">
        <v>233</v>
      </c>
      <c r="B42" s="112">
        <v>0</v>
      </c>
      <c r="C42" s="112">
        <v>0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0.8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0.8</v>
      </c>
      <c r="Y42" s="112">
        <v>0</v>
      </c>
      <c r="Z42" s="112">
        <v>0</v>
      </c>
      <c r="AA42" s="112">
        <v>0</v>
      </c>
      <c r="AB42" s="112">
        <v>0.8</v>
      </c>
      <c r="AC42" s="112">
        <v>0.8</v>
      </c>
      <c r="AD42" s="112">
        <v>0.8</v>
      </c>
      <c r="AE42" s="112">
        <v>0.8</v>
      </c>
      <c r="AF42" s="112">
        <v>0.8</v>
      </c>
      <c r="AG42" s="112">
        <v>0</v>
      </c>
      <c r="AH42" s="112">
        <v>0</v>
      </c>
      <c r="AI42" s="112">
        <v>0.8</v>
      </c>
      <c r="AJ42" s="112">
        <v>0.8</v>
      </c>
      <c r="AK42" s="112">
        <v>0.8</v>
      </c>
      <c r="AL42" s="112">
        <v>0.8</v>
      </c>
      <c r="AM42" s="112">
        <v>0.8</v>
      </c>
      <c r="AN42" s="112">
        <v>0.8</v>
      </c>
      <c r="AO42" s="112">
        <v>0.8</v>
      </c>
      <c r="AP42" s="112">
        <v>0.8</v>
      </c>
      <c r="AQ42" s="112">
        <v>0</v>
      </c>
      <c r="AR42" s="112">
        <v>0</v>
      </c>
      <c r="AS42" s="112">
        <v>0</v>
      </c>
      <c r="AT42" s="112">
        <v>0.8</v>
      </c>
      <c r="AU42" s="112">
        <v>0.8</v>
      </c>
      <c r="AV42" s="112">
        <v>0.8</v>
      </c>
      <c r="AW42" s="112">
        <v>0</v>
      </c>
      <c r="AX42" s="112">
        <v>0.8</v>
      </c>
      <c r="AY42" s="112">
        <v>0.8</v>
      </c>
      <c r="AZ42" s="112">
        <v>0.8</v>
      </c>
      <c r="BA42" s="112">
        <v>0.8</v>
      </c>
      <c r="BB42" s="112">
        <v>0.8</v>
      </c>
      <c r="BC42" s="112">
        <v>0</v>
      </c>
      <c r="BD42" s="112">
        <v>0.8</v>
      </c>
      <c r="BE42" s="112">
        <v>0</v>
      </c>
      <c r="BF42" s="112">
        <v>0.8</v>
      </c>
      <c r="BG42" s="112">
        <v>0.8</v>
      </c>
      <c r="BH42" s="112">
        <v>0</v>
      </c>
      <c r="BI42" s="112">
        <v>0</v>
      </c>
    </row>
    <row r="43" spans="1:61" x14ac:dyDescent="0.15">
      <c r="A43" s="191" t="s">
        <v>234</v>
      </c>
      <c r="B43" s="112">
        <v>0</v>
      </c>
      <c r="C43" s="112">
        <v>0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0.8</v>
      </c>
      <c r="AC43" s="112">
        <v>0</v>
      </c>
      <c r="AD43" s="112">
        <v>0.8</v>
      </c>
      <c r="AE43" s="112">
        <v>0.8</v>
      </c>
      <c r="AF43" s="112">
        <v>0.8</v>
      </c>
      <c r="AG43" s="112">
        <v>0</v>
      </c>
      <c r="AH43" s="112">
        <v>0</v>
      </c>
      <c r="AI43" s="112">
        <v>0</v>
      </c>
      <c r="AJ43" s="112">
        <v>0</v>
      </c>
      <c r="AK43" s="112">
        <v>0.8</v>
      </c>
      <c r="AL43" s="112">
        <v>0</v>
      </c>
      <c r="AM43" s="112">
        <v>0</v>
      </c>
      <c r="AN43" s="112">
        <v>0</v>
      </c>
      <c r="AO43" s="112">
        <v>0</v>
      </c>
      <c r="AP43" s="112">
        <v>0.8</v>
      </c>
      <c r="AQ43" s="112">
        <v>0</v>
      </c>
      <c r="AR43" s="112">
        <v>0</v>
      </c>
      <c r="AS43" s="112">
        <v>0</v>
      </c>
      <c r="AT43" s="112">
        <v>0.8</v>
      </c>
      <c r="AU43" s="112">
        <v>0.8</v>
      </c>
      <c r="AV43" s="112">
        <v>0.8</v>
      </c>
      <c r="AW43" s="112">
        <v>0.8</v>
      </c>
      <c r="AX43" s="112">
        <v>0.8</v>
      </c>
      <c r="AY43" s="112">
        <v>0.8</v>
      </c>
      <c r="AZ43" s="112">
        <v>0</v>
      </c>
      <c r="BA43" s="112">
        <v>0.8</v>
      </c>
      <c r="BB43" s="112">
        <v>0.8</v>
      </c>
      <c r="BC43" s="112">
        <v>0</v>
      </c>
      <c r="BD43" s="112">
        <v>0.8</v>
      </c>
      <c r="BE43" s="112">
        <v>0</v>
      </c>
      <c r="BF43" s="112">
        <v>0</v>
      </c>
      <c r="BG43" s="112">
        <v>0</v>
      </c>
      <c r="BH43" s="112">
        <v>0</v>
      </c>
      <c r="BI43" s="112">
        <v>0</v>
      </c>
    </row>
    <row r="44" spans="1:61" x14ac:dyDescent="0.15">
      <c r="A44" s="191" t="s">
        <v>235</v>
      </c>
      <c r="B44" s="112">
        <v>0</v>
      </c>
      <c r="C44" s="112">
        <v>0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0.8</v>
      </c>
      <c r="AC44" s="112">
        <v>0.8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0.8</v>
      </c>
      <c r="AK44" s="112">
        <v>0.8</v>
      </c>
      <c r="AL44" s="112">
        <v>0</v>
      </c>
      <c r="AM44" s="112">
        <v>0.8</v>
      </c>
      <c r="AN44" s="112">
        <v>0.8</v>
      </c>
      <c r="AO44" s="112">
        <v>0</v>
      </c>
      <c r="AP44" s="112">
        <v>0.8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0.8</v>
      </c>
      <c r="AY44" s="112">
        <v>0</v>
      </c>
      <c r="AZ44" s="112">
        <v>0</v>
      </c>
      <c r="BA44" s="112">
        <v>0.8</v>
      </c>
      <c r="BB44" s="112">
        <v>0.8</v>
      </c>
      <c r="BC44" s="112">
        <v>0</v>
      </c>
      <c r="BD44" s="112">
        <v>0.8</v>
      </c>
      <c r="BE44" s="112">
        <v>0</v>
      </c>
      <c r="BF44" s="112">
        <v>0</v>
      </c>
      <c r="BG44" s="112">
        <v>0</v>
      </c>
      <c r="BH44" s="112">
        <v>0</v>
      </c>
      <c r="BI44" s="112">
        <v>0</v>
      </c>
    </row>
    <row r="45" spans="1:61" x14ac:dyDescent="0.15">
      <c r="A45" s="191" t="s">
        <v>236</v>
      </c>
      <c r="B45" s="112">
        <v>0</v>
      </c>
      <c r="C45" s="112">
        <v>0</v>
      </c>
      <c r="D45" s="112">
        <v>0</v>
      </c>
      <c r="E45" s="112">
        <v>0</v>
      </c>
      <c r="F45" s="112">
        <v>0</v>
      </c>
      <c r="G45" s="112">
        <v>0</v>
      </c>
      <c r="H45" s="112">
        <v>0</v>
      </c>
      <c r="I45" s="112">
        <v>0</v>
      </c>
      <c r="J45" s="112">
        <v>0</v>
      </c>
      <c r="K45" s="112">
        <v>0</v>
      </c>
      <c r="L45" s="112">
        <v>0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112">
        <v>0</v>
      </c>
      <c r="W45" s="112">
        <v>0</v>
      </c>
      <c r="X45" s="112">
        <v>0</v>
      </c>
      <c r="Y45" s="112">
        <v>0</v>
      </c>
      <c r="Z45" s="112">
        <v>0</v>
      </c>
      <c r="AA45" s="112">
        <v>0</v>
      </c>
      <c r="AB45" s="112">
        <v>0.8</v>
      </c>
      <c r="AC45" s="112">
        <v>0</v>
      </c>
      <c r="AD45" s="112">
        <v>0</v>
      </c>
      <c r="AE45" s="112">
        <v>0</v>
      </c>
      <c r="AF45" s="112">
        <v>0</v>
      </c>
      <c r="AG45" s="112">
        <v>0</v>
      </c>
      <c r="AH45" s="112">
        <v>0</v>
      </c>
      <c r="AI45" s="112">
        <v>0</v>
      </c>
      <c r="AJ45" s="112">
        <v>0</v>
      </c>
      <c r="AK45" s="112">
        <v>0.8</v>
      </c>
      <c r="AL45" s="112">
        <v>0</v>
      </c>
      <c r="AM45" s="112">
        <v>0</v>
      </c>
      <c r="AN45" s="112">
        <v>0.8</v>
      </c>
      <c r="AO45" s="112">
        <v>0</v>
      </c>
      <c r="AP45" s="112">
        <v>0</v>
      </c>
      <c r="AQ45" s="112">
        <v>0</v>
      </c>
      <c r="AR45" s="112">
        <v>0</v>
      </c>
      <c r="AS45" s="112">
        <v>0</v>
      </c>
      <c r="AT45" s="112">
        <v>0</v>
      </c>
      <c r="AU45" s="112">
        <v>0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  <c r="BA45" s="112">
        <v>0.8</v>
      </c>
      <c r="BB45" s="112">
        <v>0.8</v>
      </c>
      <c r="BC45" s="112">
        <v>0</v>
      </c>
      <c r="BD45" s="112">
        <v>0</v>
      </c>
      <c r="BE45" s="112">
        <v>0</v>
      </c>
      <c r="BF45" s="112">
        <v>0</v>
      </c>
      <c r="BG45" s="112">
        <v>0</v>
      </c>
      <c r="BH45" s="112">
        <v>0</v>
      </c>
      <c r="BI45" s="112">
        <v>0</v>
      </c>
    </row>
    <row r="46" spans="1:61" x14ac:dyDescent="0.15">
      <c r="A46" s="191" t="s">
        <v>237</v>
      </c>
      <c r="B46" s="112">
        <v>0</v>
      </c>
      <c r="C46" s="112">
        <v>0</v>
      </c>
      <c r="D46" s="112">
        <v>0</v>
      </c>
      <c r="E46" s="112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0</v>
      </c>
      <c r="K46" s="112">
        <v>0</v>
      </c>
      <c r="L46" s="112">
        <v>0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112">
        <v>0</v>
      </c>
      <c r="Z46" s="112">
        <v>0</v>
      </c>
      <c r="AA46" s="112">
        <v>0</v>
      </c>
      <c r="AB46" s="112">
        <v>0.8</v>
      </c>
      <c r="AC46" s="112">
        <v>0.8</v>
      </c>
      <c r="AD46" s="112">
        <v>0</v>
      </c>
      <c r="AE46" s="112">
        <v>0</v>
      </c>
      <c r="AF46" s="112">
        <v>0</v>
      </c>
      <c r="AG46" s="112">
        <v>0</v>
      </c>
      <c r="AH46" s="112">
        <v>0</v>
      </c>
      <c r="AI46" s="112">
        <v>0</v>
      </c>
      <c r="AJ46" s="112">
        <v>0.8</v>
      </c>
      <c r="AK46" s="112">
        <v>0.8</v>
      </c>
      <c r="AL46" s="112">
        <v>0</v>
      </c>
      <c r="AM46" s="112">
        <v>0</v>
      </c>
      <c r="AN46" s="112">
        <v>0</v>
      </c>
      <c r="AO46" s="112">
        <v>0</v>
      </c>
      <c r="AP46" s="112">
        <v>0.8</v>
      </c>
      <c r="AQ46" s="112">
        <v>0</v>
      </c>
      <c r="AR46" s="112">
        <v>0</v>
      </c>
      <c r="AS46" s="112">
        <v>0</v>
      </c>
      <c r="AT46" s="112">
        <v>0</v>
      </c>
      <c r="AU46" s="112">
        <v>0</v>
      </c>
      <c r="AV46" s="112">
        <v>0</v>
      </c>
      <c r="AW46" s="112">
        <v>0</v>
      </c>
      <c r="AX46" s="112">
        <v>0</v>
      </c>
      <c r="AY46" s="112">
        <v>0.8</v>
      </c>
      <c r="AZ46" s="112">
        <v>0</v>
      </c>
      <c r="BA46" s="112">
        <v>0.8</v>
      </c>
      <c r="BB46" s="112">
        <v>0.8</v>
      </c>
      <c r="BC46" s="112">
        <v>0</v>
      </c>
      <c r="BD46" s="112">
        <v>0.8</v>
      </c>
      <c r="BE46" s="112">
        <v>0</v>
      </c>
      <c r="BF46" s="112">
        <v>0.8</v>
      </c>
      <c r="BG46" s="112">
        <v>0</v>
      </c>
      <c r="BH46" s="112">
        <v>0</v>
      </c>
      <c r="BI46" s="112">
        <v>0</v>
      </c>
    </row>
    <row r="47" spans="1:61" x14ac:dyDescent="0.15">
      <c r="A47" s="191" t="s">
        <v>238</v>
      </c>
      <c r="B47" s="112">
        <v>0</v>
      </c>
      <c r="C47" s="112">
        <v>0</v>
      </c>
      <c r="D47" s="112">
        <v>0</v>
      </c>
      <c r="E47" s="112">
        <v>0</v>
      </c>
      <c r="F47" s="112">
        <v>0</v>
      </c>
      <c r="G47" s="112">
        <v>0</v>
      </c>
      <c r="H47" s="112">
        <v>0</v>
      </c>
      <c r="I47" s="112">
        <v>0</v>
      </c>
      <c r="J47" s="112">
        <v>0</v>
      </c>
      <c r="K47" s="112">
        <v>0</v>
      </c>
      <c r="L47" s="112">
        <v>0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112">
        <v>0</v>
      </c>
      <c r="Z47" s="112">
        <v>0</v>
      </c>
      <c r="AA47" s="112">
        <v>0</v>
      </c>
      <c r="AB47" s="112">
        <v>0</v>
      </c>
      <c r="AC47" s="112">
        <v>0</v>
      </c>
      <c r="AD47" s="112">
        <v>0</v>
      </c>
      <c r="AE47" s="112">
        <v>0</v>
      </c>
      <c r="AF47" s="112">
        <v>0</v>
      </c>
      <c r="AG47" s="112">
        <v>0</v>
      </c>
      <c r="AH47" s="112">
        <v>0</v>
      </c>
      <c r="AI47" s="112">
        <v>0</v>
      </c>
      <c r="AJ47" s="112">
        <v>0</v>
      </c>
      <c r="AK47" s="112">
        <v>0.8</v>
      </c>
      <c r="AL47" s="112">
        <v>0</v>
      </c>
      <c r="AM47" s="112">
        <v>0</v>
      </c>
      <c r="AN47" s="112">
        <v>0</v>
      </c>
      <c r="AO47" s="112">
        <v>0</v>
      </c>
      <c r="AP47" s="112">
        <v>0</v>
      </c>
      <c r="AQ47" s="112">
        <v>0</v>
      </c>
      <c r="AR47" s="112">
        <v>0</v>
      </c>
      <c r="AS47" s="112">
        <v>0</v>
      </c>
      <c r="AT47" s="112">
        <v>0</v>
      </c>
      <c r="AU47" s="112">
        <v>0</v>
      </c>
      <c r="AV47" s="112">
        <v>0</v>
      </c>
      <c r="AW47" s="112">
        <v>0</v>
      </c>
      <c r="AX47" s="112">
        <v>0</v>
      </c>
      <c r="AY47" s="112">
        <v>0</v>
      </c>
      <c r="AZ47" s="112">
        <v>0</v>
      </c>
      <c r="BA47" s="112">
        <v>0.8</v>
      </c>
      <c r="BB47" s="112">
        <v>0.8</v>
      </c>
      <c r="BC47" s="112">
        <v>0</v>
      </c>
      <c r="BD47" s="112">
        <v>0</v>
      </c>
      <c r="BE47" s="112">
        <v>0</v>
      </c>
      <c r="BF47" s="112">
        <v>0.8</v>
      </c>
      <c r="BG47" s="112">
        <v>0.8</v>
      </c>
      <c r="BH47" s="112">
        <v>0</v>
      </c>
      <c r="BI47" s="112">
        <v>0</v>
      </c>
    </row>
    <row r="48" spans="1:61" x14ac:dyDescent="0.15">
      <c r="A48" s="191" t="s">
        <v>239</v>
      </c>
      <c r="B48" s="112">
        <v>0</v>
      </c>
      <c r="C48" s="112">
        <v>0</v>
      </c>
      <c r="D48" s="112">
        <v>0</v>
      </c>
      <c r="E48" s="112">
        <v>0</v>
      </c>
      <c r="F48" s="112">
        <v>0</v>
      </c>
      <c r="G48" s="112">
        <v>0</v>
      </c>
      <c r="H48" s="112">
        <v>0</v>
      </c>
      <c r="I48" s="112">
        <v>0</v>
      </c>
      <c r="J48" s="112">
        <v>0</v>
      </c>
      <c r="K48" s="112">
        <v>0</v>
      </c>
      <c r="L48" s="112">
        <v>0</v>
      </c>
      <c r="M48" s="112">
        <v>0</v>
      </c>
      <c r="N48" s="112">
        <v>0</v>
      </c>
      <c r="O48" s="112">
        <v>0</v>
      </c>
      <c r="P48" s="112">
        <v>0</v>
      </c>
      <c r="Q48" s="112">
        <v>0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0.8</v>
      </c>
      <c r="Y48" s="112">
        <v>0</v>
      </c>
      <c r="Z48" s="112">
        <v>0</v>
      </c>
      <c r="AA48" s="112">
        <v>0</v>
      </c>
      <c r="AB48" s="112">
        <v>0</v>
      </c>
      <c r="AC48" s="112">
        <v>0.8</v>
      </c>
      <c r="AD48" s="112">
        <v>0</v>
      </c>
      <c r="AE48" s="112">
        <v>0</v>
      </c>
      <c r="AF48" s="112">
        <v>0</v>
      </c>
      <c r="AG48" s="112">
        <v>0</v>
      </c>
      <c r="AH48" s="112">
        <v>0</v>
      </c>
      <c r="AI48" s="112">
        <v>0</v>
      </c>
      <c r="AJ48" s="112">
        <v>0.8</v>
      </c>
      <c r="AK48" s="112">
        <v>0.8</v>
      </c>
      <c r="AL48" s="112">
        <v>0</v>
      </c>
      <c r="AM48" s="112">
        <v>0.8</v>
      </c>
      <c r="AN48" s="112">
        <v>0.8</v>
      </c>
      <c r="AO48" s="112">
        <v>0</v>
      </c>
      <c r="AP48" s="112">
        <v>0</v>
      </c>
      <c r="AQ48" s="112">
        <v>0</v>
      </c>
      <c r="AR48" s="112">
        <v>0</v>
      </c>
      <c r="AS48" s="112">
        <v>0</v>
      </c>
      <c r="AT48" s="112">
        <v>0</v>
      </c>
      <c r="AU48" s="112">
        <v>0</v>
      </c>
      <c r="AV48" s="112">
        <v>0.8</v>
      </c>
      <c r="AW48" s="112">
        <v>0</v>
      </c>
      <c r="AX48" s="112">
        <v>0.8</v>
      </c>
      <c r="AY48" s="112">
        <v>0.8</v>
      </c>
      <c r="AZ48" s="112">
        <v>0.8</v>
      </c>
      <c r="BA48" s="112">
        <v>0.8</v>
      </c>
      <c r="BB48" s="112">
        <v>0.8</v>
      </c>
      <c r="BC48" s="112">
        <v>0</v>
      </c>
      <c r="BD48" s="112">
        <v>0.8</v>
      </c>
      <c r="BE48" s="112">
        <v>0</v>
      </c>
      <c r="BF48" s="112">
        <v>0</v>
      </c>
      <c r="BG48" s="112">
        <v>0</v>
      </c>
      <c r="BH48" s="112">
        <v>0</v>
      </c>
      <c r="BI48" s="112">
        <v>0</v>
      </c>
    </row>
    <row r="49" spans="1:61" x14ac:dyDescent="0.15">
      <c r="A49" s="191" t="s">
        <v>240</v>
      </c>
      <c r="B49" s="112">
        <v>0</v>
      </c>
      <c r="C49" s="112">
        <v>0</v>
      </c>
      <c r="D49" s="112">
        <v>0</v>
      </c>
      <c r="E49" s="112">
        <v>0</v>
      </c>
      <c r="F49" s="112">
        <v>0</v>
      </c>
      <c r="G49" s="112">
        <v>0</v>
      </c>
      <c r="H49" s="112">
        <v>0</v>
      </c>
      <c r="I49" s="112">
        <v>0</v>
      </c>
      <c r="J49" s="112">
        <v>0</v>
      </c>
      <c r="K49" s="112">
        <v>0</v>
      </c>
      <c r="L49" s="112">
        <v>0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112">
        <v>0</v>
      </c>
      <c r="Y49" s="112">
        <v>0</v>
      </c>
      <c r="Z49" s="112">
        <v>0</v>
      </c>
      <c r="AA49" s="112">
        <v>0</v>
      </c>
      <c r="AB49" s="112">
        <v>0.8</v>
      </c>
      <c r="AC49" s="112">
        <v>0.8</v>
      </c>
      <c r="AD49" s="112">
        <v>0.8</v>
      </c>
      <c r="AE49" s="112">
        <v>0.8</v>
      </c>
      <c r="AF49" s="112">
        <v>0.8</v>
      </c>
      <c r="AG49" s="112">
        <v>0</v>
      </c>
      <c r="AH49" s="112">
        <v>0.8</v>
      </c>
      <c r="AI49" s="112">
        <v>0.8</v>
      </c>
      <c r="AJ49" s="112">
        <v>0.8</v>
      </c>
      <c r="AK49" s="112">
        <v>0.8</v>
      </c>
      <c r="AL49" s="112">
        <v>0</v>
      </c>
      <c r="AM49" s="112">
        <v>0.8</v>
      </c>
      <c r="AN49" s="112">
        <v>0.8</v>
      </c>
      <c r="AO49" s="112">
        <v>0.8</v>
      </c>
      <c r="AP49" s="112">
        <v>0</v>
      </c>
      <c r="AQ49" s="112">
        <v>0.8</v>
      </c>
      <c r="AR49" s="112">
        <v>0</v>
      </c>
      <c r="AS49" s="112">
        <v>0</v>
      </c>
      <c r="AT49" s="112">
        <v>0.8</v>
      </c>
      <c r="AU49" s="112">
        <v>0.8</v>
      </c>
      <c r="AV49" s="112">
        <v>0.8</v>
      </c>
      <c r="AW49" s="112">
        <v>0.8</v>
      </c>
      <c r="AX49" s="112">
        <v>0.8</v>
      </c>
      <c r="AY49" s="112">
        <v>0.8</v>
      </c>
      <c r="AZ49" s="112">
        <v>0.8</v>
      </c>
      <c r="BA49" s="112">
        <v>0.8</v>
      </c>
      <c r="BB49" s="112">
        <v>0.8</v>
      </c>
      <c r="BC49" s="112">
        <v>0</v>
      </c>
      <c r="BD49" s="112">
        <v>0.8</v>
      </c>
      <c r="BE49" s="112">
        <v>0</v>
      </c>
      <c r="BF49" s="112">
        <v>0</v>
      </c>
      <c r="BG49" s="112">
        <v>0</v>
      </c>
      <c r="BH49" s="112">
        <v>0</v>
      </c>
      <c r="BI49" s="112">
        <v>0</v>
      </c>
    </row>
    <row r="50" spans="1:61" x14ac:dyDescent="0.15">
      <c r="A50" s="191" t="s">
        <v>241</v>
      </c>
      <c r="B50" s="112">
        <v>0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0</v>
      </c>
      <c r="P50" s="112">
        <v>0</v>
      </c>
      <c r="Q50" s="112">
        <v>0</v>
      </c>
      <c r="R50" s="112">
        <v>0</v>
      </c>
      <c r="S50" s="112">
        <v>0</v>
      </c>
      <c r="T50" s="112">
        <v>0</v>
      </c>
      <c r="U50" s="112">
        <v>0</v>
      </c>
      <c r="V50" s="112">
        <v>0</v>
      </c>
      <c r="W50" s="112">
        <v>0</v>
      </c>
      <c r="X50" s="112">
        <v>0.8</v>
      </c>
      <c r="Y50" s="112">
        <v>0</v>
      </c>
      <c r="Z50" s="112">
        <v>0</v>
      </c>
      <c r="AA50" s="112">
        <v>0.8</v>
      </c>
      <c r="AB50" s="112">
        <v>0.8</v>
      </c>
      <c r="AC50" s="112">
        <v>0.8</v>
      </c>
      <c r="AD50" s="112">
        <v>0</v>
      </c>
      <c r="AE50" s="112">
        <v>0.8</v>
      </c>
      <c r="AF50" s="112">
        <v>0</v>
      </c>
      <c r="AG50" s="112">
        <v>0</v>
      </c>
      <c r="AH50" s="112">
        <v>0</v>
      </c>
      <c r="AI50" s="112">
        <v>0.8</v>
      </c>
      <c r="AJ50" s="112">
        <v>0</v>
      </c>
      <c r="AK50" s="112">
        <v>0.8</v>
      </c>
      <c r="AL50" s="112">
        <v>0</v>
      </c>
      <c r="AM50" s="112">
        <v>0.8</v>
      </c>
      <c r="AN50" s="112">
        <v>0.8</v>
      </c>
      <c r="AO50" s="112">
        <v>0.8</v>
      </c>
      <c r="AP50" s="112">
        <v>0</v>
      </c>
      <c r="AQ50" s="112">
        <v>0.8</v>
      </c>
      <c r="AR50" s="112">
        <v>0</v>
      </c>
      <c r="AS50" s="112">
        <v>0</v>
      </c>
      <c r="AT50" s="112">
        <v>0</v>
      </c>
      <c r="AU50" s="112">
        <v>0.8</v>
      </c>
      <c r="AV50" s="112">
        <v>0.8</v>
      </c>
      <c r="AW50" s="112">
        <v>0</v>
      </c>
      <c r="AX50" s="112">
        <v>0.8</v>
      </c>
      <c r="AY50" s="112">
        <v>0.8</v>
      </c>
      <c r="AZ50" s="112">
        <v>0</v>
      </c>
      <c r="BA50" s="112">
        <v>0.8</v>
      </c>
      <c r="BB50" s="112">
        <v>0.8</v>
      </c>
      <c r="BC50" s="112">
        <v>0</v>
      </c>
      <c r="BD50" s="112">
        <v>0.8</v>
      </c>
      <c r="BE50" s="112">
        <v>0</v>
      </c>
      <c r="BF50" s="112">
        <v>0.8</v>
      </c>
      <c r="BG50" s="112">
        <v>0.8</v>
      </c>
      <c r="BH50" s="112">
        <v>0</v>
      </c>
      <c r="BI50" s="112">
        <v>0</v>
      </c>
    </row>
    <row r="51" spans="1:61" x14ac:dyDescent="0.15">
      <c r="A51" s="191" t="s">
        <v>242</v>
      </c>
      <c r="B51" s="112">
        <v>0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0</v>
      </c>
      <c r="Q51" s="112">
        <v>0.8</v>
      </c>
      <c r="R51" s="112">
        <v>0</v>
      </c>
      <c r="S51" s="112">
        <v>0</v>
      </c>
      <c r="T51" s="112">
        <v>0</v>
      </c>
      <c r="U51" s="112">
        <v>0</v>
      </c>
      <c r="V51" s="112">
        <v>0</v>
      </c>
      <c r="W51" s="112">
        <v>0</v>
      </c>
      <c r="X51" s="112">
        <v>0</v>
      </c>
      <c r="Y51" s="112">
        <v>0</v>
      </c>
      <c r="Z51" s="112">
        <v>0.8</v>
      </c>
      <c r="AA51" s="112">
        <v>0.8</v>
      </c>
      <c r="AB51" s="112">
        <v>0.8</v>
      </c>
      <c r="AC51" s="112">
        <v>0.8</v>
      </c>
      <c r="AD51" s="112">
        <v>0.8</v>
      </c>
      <c r="AE51" s="112">
        <v>0.8</v>
      </c>
      <c r="AF51" s="112">
        <v>0.8</v>
      </c>
      <c r="AG51" s="112">
        <v>0</v>
      </c>
      <c r="AH51" s="112">
        <v>0</v>
      </c>
      <c r="AI51" s="112">
        <v>0.8</v>
      </c>
      <c r="AJ51" s="112">
        <v>0.8</v>
      </c>
      <c r="AK51" s="112">
        <v>0.8</v>
      </c>
      <c r="AL51" s="112">
        <v>0.8</v>
      </c>
      <c r="AM51" s="112">
        <v>0.8</v>
      </c>
      <c r="AN51" s="112">
        <v>0.8</v>
      </c>
      <c r="AO51" s="112">
        <v>0.8</v>
      </c>
      <c r="AP51" s="112">
        <v>0</v>
      </c>
      <c r="AQ51" s="112">
        <v>0.8</v>
      </c>
      <c r="AR51" s="112">
        <v>0</v>
      </c>
      <c r="AS51" s="112">
        <v>0</v>
      </c>
      <c r="AT51" s="112">
        <v>0.8</v>
      </c>
      <c r="AU51" s="112">
        <v>0.8</v>
      </c>
      <c r="AV51" s="112">
        <v>0.8</v>
      </c>
      <c r="AW51" s="112">
        <v>0</v>
      </c>
      <c r="AX51" s="112">
        <v>0.8</v>
      </c>
      <c r="AY51" s="112">
        <v>0.8</v>
      </c>
      <c r="AZ51" s="112">
        <v>0.8</v>
      </c>
      <c r="BA51" s="112">
        <v>0.8</v>
      </c>
      <c r="BB51" s="112">
        <v>0.8</v>
      </c>
      <c r="BC51" s="112">
        <v>0</v>
      </c>
      <c r="BD51" s="112">
        <v>0.8</v>
      </c>
      <c r="BE51" s="112">
        <v>0</v>
      </c>
      <c r="BF51" s="112">
        <v>0.8</v>
      </c>
      <c r="BG51" s="112">
        <v>0.8</v>
      </c>
      <c r="BH51" s="112">
        <v>0</v>
      </c>
      <c r="BI51" s="112">
        <v>0</v>
      </c>
    </row>
    <row r="52" spans="1:61" x14ac:dyDescent="0.15">
      <c r="A52" s="191" t="s">
        <v>243</v>
      </c>
      <c r="B52" s="112">
        <v>0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0</v>
      </c>
      <c r="Q52" s="112">
        <v>0</v>
      </c>
      <c r="R52" s="112">
        <v>0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0</v>
      </c>
      <c r="Y52" s="112">
        <v>0</v>
      </c>
      <c r="Z52" s="112">
        <v>0</v>
      </c>
      <c r="AA52" s="112">
        <v>0</v>
      </c>
      <c r="AB52" s="112">
        <v>0</v>
      </c>
      <c r="AC52" s="112">
        <v>0</v>
      </c>
      <c r="AD52" s="112">
        <v>0</v>
      </c>
      <c r="AE52" s="112">
        <v>0</v>
      </c>
      <c r="AF52" s="112">
        <v>0</v>
      </c>
      <c r="AG52" s="112">
        <v>0</v>
      </c>
      <c r="AH52" s="112">
        <v>0</v>
      </c>
      <c r="AI52" s="112">
        <v>0</v>
      </c>
      <c r="AJ52" s="112">
        <v>0</v>
      </c>
      <c r="AK52" s="112">
        <v>0</v>
      </c>
      <c r="AL52" s="112">
        <v>0</v>
      </c>
      <c r="AM52" s="112">
        <v>0</v>
      </c>
      <c r="AN52" s="112">
        <v>0</v>
      </c>
      <c r="AO52" s="112">
        <v>0</v>
      </c>
      <c r="AP52" s="112">
        <v>0</v>
      </c>
      <c r="AQ52" s="112">
        <v>0</v>
      </c>
      <c r="AR52" s="112">
        <v>0</v>
      </c>
      <c r="AS52" s="112">
        <v>0</v>
      </c>
      <c r="AT52" s="112">
        <v>0</v>
      </c>
      <c r="AU52" s="112">
        <v>0</v>
      </c>
      <c r="AV52" s="112">
        <v>0</v>
      </c>
      <c r="AW52" s="112">
        <v>0</v>
      </c>
      <c r="AX52" s="112">
        <v>0</v>
      </c>
      <c r="AY52" s="112">
        <v>0</v>
      </c>
      <c r="AZ52" s="112">
        <v>0</v>
      </c>
      <c r="BA52" s="112">
        <v>0</v>
      </c>
      <c r="BB52" s="112">
        <v>0.8</v>
      </c>
      <c r="BC52" s="112">
        <v>0</v>
      </c>
      <c r="BD52" s="112">
        <v>0</v>
      </c>
      <c r="BE52" s="112">
        <v>0</v>
      </c>
      <c r="BF52" s="112">
        <v>0</v>
      </c>
      <c r="BG52" s="112">
        <v>0</v>
      </c>
      <c r="BH52" s="112">
        <v>0</v>
      </c>
      <c r="BI52" s="112">
        <v>0</v>
      </c>
    </row>
    <row r="53" spans="1:61" x14ac:dyDescent="0.15">
      <c r="A53" s="191" t="s">
        <v>244</v>
      </c>
      <c r="B53" s="112">
        <v>0</v>
      </c>
      <c r="C53" s="112">
        <v>0</v>
      </c>
      <c r="D53" s="112">
        <v>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0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</v>
      </c>
      <c r="Y53" s="112">
        <v>0</v>
      </c>
      <c r="Z53" s="112">
        <v>0</v>
      </c>
      <c r="AA53" s="112">
        <v>0</v>
      </c>
      <c r="AB53" s="112">
        <v>0</v>
      </c>
      <c r="AC53" s="112">
        <v>0</v>
      </c>
      <c r="AD53" s="112">
        <v>0</v>
      </c>
      <c r="AE53" s="112">
        <v>0</v>
      </c>
      <c r="AF53" s="112">
        <v>0</v>
      </c>
      <c r="AG53" s="112">
        <v>0</v>
      </c>
      <c r="AH53" s="112">
        <v>0</v>
      </c>
      <c r="AI53" s="112">
        <v>0</v>
      </c>
      <c r="AJ53" s="112">
        <v>0</v>
      </c>
      <c r="AK53" s="112">
        <v>0</v>
      </c>
      <c r="AL53" s="112">
        <v>0</v>
      </c>
      <c r="AM53" s="112">
        <v>0</v>
      </c>
      <c r="AN53" s="112">
        <v>0</v>
      </c>
      <c r="AO53" s="112">
        <v>0</v>
      </c>
      <c r="AP53" s="112">
        <v>0</v>
      </c>
      <c r="AQ53" s="112">
        <v>0</v>
      </c>
      <c r="AR53" s="112">
        <v>0</v>
      </c>
      <c r="AS53" s="112">
        <v>0</v>
      </c>
      <c r="AT53" s="112">
        <v>0</v>
      </c>
      <c r="AU53" s="112">
        <v>0</v>
      </c>
      <c r="AV53" s="112">
        <v>0</v>
      </c>
      <c r="AW53" s="112">
        <v>0</v>
      </c>
      <c r="AX53" s="112">
        <v>0</v>
      </c>
      <c r="AY53" s="112">
        <v>0</v>
      </c>
      <c r="AZ53" s="112">
        <v>0</v>
      </c>
      <c r="BA53" s="112">
        <v>0.8</v>
      </c>
      <c r="BB53" s="112">
        <v>0.8</v>
      </c>
      <c r="BC53" s="112">
        <v>0</v>
      </c>
      <c r="BD53" s="112">
        <v>0</v>
      </c>
      <c r="BE53" s="112">
        <v>0</v>
      </c>
      <c r="BF53" s="112">
        <v>0</v>
      </c>
      <c r="BG53" s="112">
        <v>0</v>
      </c>
      <c r="BH53" s="112">
        <v>0</v>
      </c>
      <c r="BI53" s="112">
        <v>0</v>
      </c>
    </row>
    <row r="54" spans="1:61" x14ac:dyDescent="0.15">
      <c r="A54" s="191" t="s">
        <v>245</v>
      </c>
      <c r="B54" s="112">
        <v>0</v>
      </c>
      <c r="C54" s="112">
        <v>0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12">
        <v>0</v>
      </c>
      <c r="O54" s="112">
        <v>0</v>
      </c>
      <c r="P54" s="112">
        <v>0</v>
      </c>
      <c r="Q54" s="112">
        <v>0</v>
      </c>
      <c r="R54" s="112">
        <v>0</v>
      </c>
      <c r="S54" s="112">
        <v>0</v>
      </c>
      <c r="T54" s="112">
        <v>0</v>
      </c>
      <c r="U54" s="112">
        <v>0</v>
      </c>
      <c r="V54" s="112">
        <v>0</v>
      </c>
      <c r="W54" s="112">
        <v>0</v>
      </c>
      <c r="X54" s="112">
        <v>0</v>
      </c>
      <c r="Y54" s="112">
        <v>0</v>
      </c>
      <c r="Z54" s="112">
        <v>0</v>
      </c>
      <c r="AA54" s="112">
        <v>0</v>
      </c>
      <c r="AB54" s="112">
        <v>0</v>
      </c>
      <c r="AC54" s="112">
        <v>0</v>
      </c>
      <c r="AD54" s="112">
        <v>0</v>
      </c>
      <c r="AE54" s="112">
        <v>0</v>
      </c>
      <c r="AF54" s="112">
        <v>0</v>
      </c>
      <c r="AG54" s="112">
        <v>0</v>
      </c>
      <c r="AH54" s="112">
        <v>0</v>
      </c>
      <c r="AI54" s="112">
        <v>0</v>
      </c>
      <c r="AJ54" s="112">
        <v>0</v>
      </c>
      <c r="AK54" s="112">
        <v>0</v>
      </c>
      <c r="AL54" s="112">
        <v>0</v>
      </c>
      <c r="AM54" s="112">
        <v>0</v>
      </c>
      <c r="AN54" s="112">
        <v>0</v>
      </c>
      <c r="AO54" s="112">
        <v>0</v>
      </c>
      <c r="AP54" s="112">
        <v>0</v>
      </c>
      <c r="AQ54" s="112">
        <v>0</v>
      </c>
      <c r="AR54" s="112">
        <v>0</v>
      </c>
      <c r="AS54" s="112">
        <v>0</v>
      </c>
      <c r="AT54" s="112">
        <v>0</v>
      </c>
      <c r="AU54" s="112">
        <v>0</v>
      </c>
      <c r="AV54" s="112">
        <v>0</v>
      </c>
      <c r="AW54" s="112">
        <v>0</v>
      </c>
      <c r="AX54" s="112">
        <v>0</v>
      </c>
      <c r="AY54" s="112">
        <v>0</v>
      </c>
      <c r="AZ54" s="112">
        <v>0</v>
      </c>
      <c r="BA54" s="112">
        <v>0.8</v>
      </c>
      <c r="BB54" s="112">
        <v>0.8</v>
      </c>
      <c r="BC54" s="112">
        <v>0</v>
      </c>
      <c r="BD54" s="112">
        <v>0</v>
      </c>
      <c r="BE54" s="112">
        <v>0</v>
      </c>
      <c r="BF54" s="112">
        <v>0</v>
      </c>
      <c r="BG54" s="112">
        <v>0</v>
      </c>
      <c r="BH54" s="112">
        <v>0</v>
      </c>
      <c r="BI54" s="112">
        <v>0</v>
      </c>
    </row>
    <row r="55" spans="1:61" x14ac:dyDescent="0.15">
      <c r="A55" s="191" t="s">
        <v>246</v>
      </c>
      <c r="B55" s="112">
        <v>0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0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</v>
      </c>
      <c r="Y55" s="112">
        <v>0</v>
      </c>
      <c r="Z55" s="112">
        <v>0</v>
      </c>
      <c r="AA55" s="112">
        <v>0</v>
      </c>
      <c r="AB55" s="112">
        <v>0</v>
      </c>
      <c r="AC55" s="112">
        <v>0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0</v>
      </c>
      <c r="AL55" s="112">
        <v>0</v>
      </c>
      <c r="AM55" s="112">
        <v>0</v>
      </c>
      <c r="AN55" s="112">
        <v>0</v>
      </c>
      <c r="AO55" s="112">
        <v>0</v>
      </c>
      <c r="AP55" s="112">
        <v>0</v>
      </c>
      <c r="AQ55" s="112">
        <v>0</v>
      </c>
      <c r="AR55" s="112">
        <v>0</v>
      </c>
      <c r="AS55" s="112">
        <v>0</v>
      </c>
      <c r="AT55" s="112">
        <v>0</v>
      </c>
      <c r="AU55" s="112">
        <v>0</v>
      </c>
      <c r="AV55" s="112">
        <v>0</v>
      </c>
      <c r="AW55" s="112">
        <v>0</v>
      </c>
      <c r="AX55" s="112">
        <v>0</v>
      </c>
      <c r="AY55" s="112">
        <v>0</v>
      </c>
      <c r="AZ55" s="112">
        <v>0</v>
      </c>
      <c r="BA55" s="112">
        <v>0.8</v>
      </c>
      <c r="BB55" s="112">
        <v>0.8</v>
      </c>
      <c r="BC55" s="112">
        <v>0</v>
      </c>
      <c r="BD55" s="112">
        <v>0</v>
      </c>
      <c r="BE55" s="112">
        <v>0</v>
      </c>
      <c r="BF55" s="112">
        <v>0</v>
      </c>
      <c r="BG55" s="112">
        <v>0</v>
      </c>
      <c r="BH55" s="112">
        <v>0</v>
      </c>
      <c r="BI55" s="112">
        <v>0</v>
      </c>
    </row>
    <row r="56" spans="1:61" x14ac:dyDescent="0.15">
      <c r="A56" s="191" t="s">
        <v>247</v>
      </c>
      <c r="B56" s="112">
        <v>0</v>
      </c>
      <c r="C56" s="112">
        <v>0</v>
      </c>
      <c r="D56" s="112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12">
        <v>0</v>
      </c>
      <c r="O56" s="112">
        <v>0</v>
      </c>
      <c r="P56" s="112">
        <v>0</v>
      </c>
      <c r="Q56" s="112">
        <v>0</v>
      </c>
      <c r="R56" s="112">
        <v>0</v>
      </c>
      <c r="S56" s="112">
        <v>0</v>
      </c>
      <c r="T56" s="112">
        <v>0</v>
      </c>
      <c r="U56" s="112">
        <v>0</v>
      </c>
      <c r="V56" s="112">
        <v>0</v>
      </c>
      <c r="W56" s="112">
        <v>0</v>
      </c>
      <c r="X56" s="112">
        <v>0</v>
      </c>
      <c r="Y56" s="112">
        <v>0</v>
      </c>
      <c r="Z56" s="112">
        <v>0</v>
      </c>
      <c r="AA56" s="112">
        <v>0</v>
      </c>
      <c r="AB56" s="112">
        <v>0</v>
      </c>
      <c r="AC56" s="112">
        <v>0</v>
      </c>
      <c r="AD56" s="112">
        <v>0</v>
      </c>
      <c r="AE56" s="112">
        <v>0</v>
      </c>
      <c r="AF56" s="112">
        <v>0</v>
      </c>
      <c r="AG56" s="112">
        <v>0</v>
      </c>
      <c r="AH56" s="112">
        <v>0</v>
      </c>
      <c r="AI56" s="112">
        <v>0</v>
      </c>
      <c r="AJ56" s="112">
        <v>0</v>
      </c>
      <c r="AK56" s="112">
        <v>0</v>
      </c>
      <c r="AL56" s="112">
        <v>0</v>
      </c>
      <c r="AM56" s="112">
        <v>0</v>
      </c>
      <c r="AN56" s="112">
        <v>0</v>
      </c>
      <c r="AO56" s="112">
        <v>0</v>
      </c>
      <c r="AP56" s="112">
        <v>0</v>
      </c>
      <c r="AQ56" s="112">
        <v>0</v>
      </c>
      <c r="AR56" s="112">
        <v>0</v>
      </c>
      <c r="AS56" s="112">
        <v>0</v>
      </c>
      <c r="AT56" s="112">
        <v>0</v>
      </c>
      <c r="AU56" s="112">
        <v>0</v>
      </c>
      <c r="AV56" s="112">
        <v>0</v>
      </c>
      <c r="AW56" s="112">
        <v>0</v>
      </c>
      <c r="AX56" s="112">
        <v>0</v>
      </c>
      <c r="AY56" s="112">
        <v>0</v>
      </c>
      <c r="AZ56" s="112">
        <v>0</v>
      </c>
      <c r="BA56" s="112">
        <v>0.8</v>
      </c>
      <c r="BB56" s="112">
        <v>0.8</v>
      </c>
      <c r="BC56" s="112">
        <v>0</v>
      </c>
      <c r="BD56" s="112">
        <v>0</v>
      </c>
      <c r="BE56" s="112">
        <v>0</v>
      </c>
      <c r="BF56" s="112">
        <v>0</v>
      </c>
      <c r="BG56" s="112">
        <v>0</v>
      </c>
      <c r="BH56" s="112">
        <v>0</v>
      </c>
      <c r="BI56" s="112">
        <v>0</v>
      </c>
    </row>
    <row r="57" spans="1:61" x14ac:dyDescent="0.15">
      <c r="A57" s="191" t="s">
        <v>248</v>
      </c>
      <c r="B57" s="112">
        <v>0</v>
      </c>
      <c r="C57" s="112">
        <v>0</v>
      </c>
      <c r="D57" s="112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12">
        <v>0</v>
      </c>
      <c r="O57" s="112">
        <v>0</v>
      </c>
      <c r="P57" s="112">
        <v>0</v>
      </c>
      <c r="Q57" s="112">
        <v>0</v>
      </c>
      <c r="R57" s="112">
        <v>0</v>
      </c>
      <c r="S57" s="112">
        <v>0</v>
      </c>
      <c r="T57" s="112">
        <v>0</v>
      </c>
      <c r="U57" s="112">
        <v>0</v>
      </c>
      <c r="V57" s="112">
        <v>0</v>
      </c>
      <c r="W57" s="112">
        <v>0</v>
      </c>
      <c r="X57" s="112">
        <v>0</v>
      </c>
      <c r="Y57" s="112">
        <v>0</v>
      </c>
      <c r="Z57" s="112">
        <v>0</v>
      </c>
      <c r="AA57" s="112">
        <v>0</v>
      </c>
      <c r="AB57" s="112">
        <v>0</v>
      </c>
      <c r="AC57" s="112">
        <v>0</v>
      </c>
      <c r="AD57" s="112">
        <v>0</v>
      </c>
      <c r="AE57" s="112">
        <v>0</v>
      </c>
      <c r="AF57" s="112">
        <v>0</v>
      </c>
      <c r="AG57" s="112">
        <v>0</v>
      </c>
      <c r="AH57" s="112">
        <v>0</v>
      </c>
      <c r="AI57" s="112">
        <v>0</v>
      </c>
      <c r="AJ57" s="112">
        <v>0</v>
      </c>
      <c r="AK57" s="112">
        <v>0</v>
      </c>
      <c r="AL57" s="112">
        <v>0</v>
      </c>
      <c r="AM57" s="112">
        <v>0</v>
      </c>
      <c r="AN57" s="112">
        <v>0</v>
      </c>
      <c r="AO57" s="112">
        <v>0</v>
      </c>
      <c r="AP57" s="112">
        <v>0</v>
      </c>
      <c r="AQ57" s="112">
        <v>0</v>
      </c>
      <c r="AR57" s="112">
        <v>0</v>
      </c>
      <c r="AS57" s="112">
        <v>0</v>
      </c>
      <c r="AT57" s="112">
        <v>0</v>
      </c>
      <c r="AU57" s="112">
        <v>0</v>
      </c>
      <c r="AV57" s="112">
        <v>0</v>
      </c>
      <c r="AW57" s="112">
        <v>0</v>
      </c>
      <c r="AX57" s="112">
        <v>0</v>
      </c>
      <c r="AY57" s="112">
        <v>0</v>
      </c>
      <c r="AZ57" s="112">
        <v>0</v>
      </c>
      <c r="BA57" s="112">
        <v>0.8</v>
      </c>
      <c r="BB57" s="112">
        <v>0.8</v>
      </c>
      <c r="BC57" s="112">
        <v>0</v>
      </c>
      <c r="BD57" s="112">
        <v>0</v>
      </c>
      <c r="BE57" s="112">
        <v>0</v>
      </c>
      <c r="BF57" s="112">
        <v>0</v>
      </c>
      <c r="BG57" s="112">
        <v>0</v>
      </c>
      <c r="BH57" s="112">
        <v>0</v>
      </c>
      <c r="BI57" s="112">
        <v>0</v>
      </c>
    </row>
    <row r="58" spans="1:61" x14ac:dyDescent="0.15">
      <c r="A58" s="191" t="s">
        <v>249</v>
      </c>
      <c r="B58" s="112">
        <v>0</v>
      </c>
      <c r="C58" s="112">
        <v>0</v>
      </c>
      <c r="D58" s="112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12">
        <v>0</v>
      </c>
      <c r="O58" s="112">
        <v>0</v>
      </c>
      <c r="P58" s="112">
        <v>0</v>
      </c>
      <c r="Q58" s="112">
        <v>0</v>
      </c>
      <c r="R58" s="112">
        <v>0</v>
      </c>
      <c r="S58" s="112">
        <v>0</v>
      </c>
      <c r="T58" s="112">
        <v>0</v>
      </c>
      <c r="U58" s="112">
        <v>0</v>
      </c>
      <c r="V58" s="112">
        <v>0</v>
      </c>
      <c r="W58" s="112">
        <v>0</v>
      </c>
      <c r="X58" s="112">
        <v>0</v>
      </c>
      <c r="Y58" s="112">
        <v>0</v>
      </c>
      <c r="Z58" s="112">
        <v>0</v>
      </c>
      <c r="AA58" s="112">
        <v>0</v>
      </c>
      <c r="AB58" s="112">
        <v>0</v>
      </c>
      <c r="AC58" s="112">
        <v>0</v>
      </c>
      <c r="AD58" s="112">
        <v>0</v>
      </c>
      <c r="AE58" s="112">
        <v>0</v>
      </c>
      <c r="AF58" s="112">
        <v>0</v>
      </c>
      <c r="AG58" s="112">
        <v>0</v>
      </c>
      <c r="AH58" s="112">
        <v>0</v>
      </c>
      <c r="AI58" s="112">
        <v>0</v>
      </c>
      <c r="AJ58" s="112">
        <v>0</v>
      </c>
      <c r="AK58" s="112">
        <v>0</v>
      </c>
      <c r="AL58" s="112">
        <v>0</v>
      </c>
      <c r="AM58" s="112">
        <v>0</v>
      </c>
      <c r="AN58" s="112">
        <v>0</v>
      </c>
      <c r="AO58" s="112">
        <v>0</v>
      </c>
      <c r="AP58" s="112">
        <v>0</v>
      </c>
      <c r="AQ58" s="112">
        <v>0</v>
      </c>
      <c r="AR58" s="112">
        <v>0</v>
      </c>
      <c r="AS58" s="112">
        <v>0</v>
      </c>
      <c r="AT58" s="112">
        <v>0</v>
      </c>
      <c r="AU58" s="112">
        <v>0</v>
      </c>
      <c r="AV58" s="112">
        <v>0</v>
      </c>
      <c r="AW58" s="112">
        <v>0</v>
      </c>
      <c r="AX58" s="112">
        <v>0</v>
      </c>
      <c r="AY58" s="112">
        <v>0</v>
      </c>
      <c r="AZ58" s="112">
        <v>0</v>
      </c>
      <c r="BA58" s="112">
        <v>0</v>
      </c>
      <c r="BB58" s="112">
        <v>0.8</v>
      </c>
      <c r="BC58" s="112">
        <v>0</v>
      </c>
      <c r="BD58" s="112">
        <v>0</v>
      </c>
      <c r="BE58" s="112">
        <v>0</v>
      </c>
      <c r="BF58" s="112">
        <v>0.8</v>
      </c>
      <c r="BG58" s="112">
        <v>0</v>
      </c>
      <c r="BH58" s="112">
        <v>0</v>
      </c>
      <c r="BI58" s="112">
        <v>0</v>
      </c>
    </row>
    <row r="59" spans="1:61" x14ac:dyDescent="0.15">
      <c r="A59" s="191" t="s">
        <v>250</v>
      </c>
      <c r="B59" s="112">
        <v>0</v>
      </c>
      <c r="C59" s="112">
        <v>0</v>
      </c>
      <c r="D59" s="112">
        <v>0</v>
      </c>
      <c r="E59" s="112">
        <v>0</v>
      </c>
      <c r="F59" s="112">
        <v>0</v>
      </c>
      <c r="G59" s="112">
        <v>0</v>
      </c>
      <c r="H59" s="112">
        <v>0</v>
      </c>
      <c r="I59" s="112">
        <v>0</v>
      </c>
      <c r="J59" s="112">
        <v>0</v>
      </c>
      <c r="K59" s="112">
        <v>0</v>
      </c>
      <c r="L59" s="112">
        <v>0</v>
      </c>
      <c r="M59" s="112">
        <v>0</v>
      </c>
      <c r="N59" s="112">
        <v>0</v>
      </c>
      <c r="O59" s="112">
        <v>0</v>
      </c>
      <c r="P59" s="112">
        <v>0</v>
      </c>
      <c r="Q59" s="112">
        <v>0</v>
      </c>
      <c r="R59" s="112">
        <v>0</v>
      </c>
      <c r="S59" s="112">
        <v>0</v>
      </c>
      <c r="T59" s="112">
        <v>0</v>
      </c>
      <c r="U59" s="112">
        <v>0</v>
      </c>
      <c r="V59" s="112">
        <v>0</v>
      </c>
      <c r="W59" s="112">
        <v>0</v>
      </c>
      <c r="X59" s="112">
        <v>0</v>
      </c>
      <c r="Y59" s="112">
        <v>0</v>
      </c>
      <c r="Z59" s="112">
        <v>0</v>
      </c>
      <c r="AA59" s="112">
        <v>0</v>
      </c>
      <c r="AB59" s="112">
        <v>0</v>
      </c>
      <c r="AC59" s="112">
        <v>0</v>
      </c>
      <c r="AD59" s="112">
        <v>0</v>
      </c>
      <c r="AE59" s="112">
        <v>0</v>
      </c>
      <c r="AF59" s="112">
        <v>0</v>
      </c>
      <c r="AG59" s="112">
        <v>0</v>
      </c>
      <c r="AH59" s="112">
        <v>0</v>
      </c>
      <c r="AI59" s="112">
        <v>0</v>
      </c>
      <c r="AJ59" s="112">
        <v>0</v>
      </c>
      <c r="AK59" s="112">
        <v>0</v>
      </c>
      <c r="AL59" s="112">
        <v>0</v>
      </c>
      <c r="AM59" s="112">
        <v>0</v>
      </c>
      <c r="AN59" s="112">
        <v>0</v>
      </c>
      <c r="AO59" s="112">
        <v>0</v>
      </c>
      <c r="AP59" s="112">
        <v>0</v>
      </c>
      <c r="AQ59" s="112">
        <v>0</v>
      </c>
      <c r="AR59" s="112">
        <v>0</v>
      </c>
      <c r="AS59" s="112">
        <v>0</v>
      </c>
      <c r="AT59" s="112">
        <v>0</v>
      </c>
      <c r="AU59" s="112">
        <v>0</v>
      </c>
      <c r="AV59" s="112">
        <v>0</v>
      </c>
      <c r="AW59" s="112">
        <v>0</v>
      </c>
      <c r="AX59" s="112">
        <v>0</v>
      </c>
      <c r="AY59" s="112">
        <v>0</v>
      </c>
      <c r="AZ59" s="112">
        <v>0</v>
      </c>
      <c r="BA59" s="112">
        <v>0.8</v>
      </c>
      <c r="BB59" s="112">
        <v>0.8</v>
      </c>
      <c r="BC59" s="112">
        <v>0</v>
      </c>
      <c r="BD59" s="112">
        <v>0</v>
      </c>
      <c r="BE59" s="112">
        <v>0</v>
      </c>
      <c r="BF59" s="112">
        <v>0</v>
      </c>
      <c r="BG59" s="112">
        <v>0</v>
      </c>
      <c r="BH59" s="112">
        <v>0</v>
      </c>
      <c r="BI59" s="112">
        <v>0</v>
      </c>
    </row>
    <row r="60" spans="1:61" x14ac:dyDescent="0.15">
      <c r="A60" s="191" t="s">
        <v>251</v>
      </c>
      <c r="B60" s="112">
        <v>0</v>
      </c>
      <c r="C60" s="112">
        <v>0.8</v>
      </c>
      <c r="D60" s="112">
        <v>0.8</v>
      </c>
      <c r="E60" s="112">
        <v>0.8</v>
      </c>
      <c r="F60" s="112">
        <v>0.8</v>
      </c>
      <c r="G60" s="112">
        <v>0.8</v>
      </c>
      <c r="H60" s="112">
        <v>0.8</v>
      </c>
      <c r="I60" s="112">
        <v>0.8</v>
      </c>
      <c r="J60" s="112">
        <v>0.8</v>
      </c>
      <c r="K60" s="112">
        <v>0.8</v>
      </c>
      <c r="L60" s="112">
        <v>0.8</v>
      </c>
      <c r="M60" s="112">
        <v>0.8</v>
      </c>
      <c r="N60" s="112">
        <v>0.8</v>
      </c>
      <c r="O60" s="112">
        <v>0.8</v>
      </c>
      <c r="P60" s="112">
        <v>0.8</v>
      </c>
      <c r="Q60" s="112">
        <v>0</v>
      </c>
      <c r="R60" s="112">
        <v>0</v>
      </c>
      <c r="S60" s="112">
        <v>0.8</v>
      </c>
      <c r="T60" s="112">
        <v>0.8</v>
      </c>
      <c r="U60" s="112">
        <v>0.8</v>
      </c>
      <c r="V60" s="112">
        <v>0.8</v>
      </c>
      <c r="W60" s="112">
        <v>0</v>
      </c>
      <c r="X60" s="112">
        <v>0</v>
      </c>
      <c r="Y60" s="112">
        <v>0.8</v>
      </c>
      <c r="Z60" s="112">
        <v>0.8</v>
      </c>
      <c r="AA60" s="112">
        <v>0</v>
      </c>
      <c r="AB60" s="112">
        <v>0</v>
      </c>
      <c r="AC60" s="112">
        <v>0</v>
      </c>
      <c r="AD60" s="112">
        <v>0</v>
      </c>
      <c r="AE60" s="112">
        <v>0</v>
      </c>
      <c r="AF60" s="112">
        <v>0</v>
      </c>
      <c r="AG60" s="112">
        <v>0</v>
      </c>
      <c r="AH60" s="112">
        <v>0</v>
      </c>
      <c r="AI60" s="112">
        <v>0</v>
      </c>
      <c r="AJ60" s="112">
        <v>0</v>
      </c>
      <c r="AK60" s="112">
        <v>0</v>
      </c>
      <c r="AL60" s="112">
        <v>0</v>
      </c>
      <c r="AM60" s="112">
        <v>0</v>
      </c>
      <c r="AN60" s="112">
        <v>0</v>
      </c>
      <c r="AO60" s="112">
        <v>0</v>
      </c>
      <c r="AP60" s="112">
        <v>0</v>
      </c>
      <c r="AQ60" s="112">
        <v>0</v>
      </c>
      <c r="AR60" s="112">
        <v>0</v>
      </c>
      <c r="AS60" s="112">
        <v>0</v>
      </c>
      <c r="AT60" s="112">
        <v>0</v>
      </c>
      <c r="AU60" s="112">
        <v>0</v>
      </c>
      <c r="AV60" s="112">
        <v>0</v>
      </c>
      <c r="AW60" s="112">
        <v>0</v>
      </c>
      <c r="AX60" s="112">
        <v>0</v>
      </c>
      <c r="AY60" s="112">
        <v>0</v>
      </c>
      <c r="AZ60" s="112">
        <v>0</v>
      </c>
      <c r="BA60" s="112">
        <v>0</v>
      </c>
      <c r="BB60" s="112">
        <v>0.8</v>
      </c>
      <c r="BC60" s="112">
        <v>0</v>
      </c>
      <c r="BD60" s="112">
        <v>0</v>
      </c>
      <c r="BE60" s="112">
        <v>0.8</v>
      </c>
      <c r="BF60" s="112">
        <v>0</v>
      </c>
      <c r="BG60" s="112">
        <v>0</v>
      </c>
      <c r="BH60" s="112">
        <v>0</v>
      </c>
      <c r="BI60" s="112">
        <v>0</v>
      </c>
    </row>
    <row r="61" spans="1:61" x14ac:dyDescent="0.15">
      <c r="A61" s="191" t="s">
        <v>252</v>
      </c>
      <c r="B61" s="112">
        <v>0</v>
      </c>
      <c r="C61" s="112">
        <v>0</v>
      </c>
      <c r="D61" s="112">
        <v>0</v>
      </c>
      <c r="E61" s="112">
        <v>0</v>
      </c>
      <c r="F61" s="112">
        <v>0</v>
      </c>
      <c r="G61" s="112">
        <v>0</v>
      </c>
      <c r="H61" s="112">
        <v>0</v>
      </c>
      <c r="I61" s="112">
        <v>0</v>
      </c>
      <c r="J61" s="112">
        <v>0</v>
      </c>
      <c r="K61" s="112">
        <v>0</v>
      </c>
      <c r="L61" s="112">
        <v>0</v>
      </c>
      <c r="M61" s="112">
        <v>0</v>
      </c>
      <c r="N61" s="112">
        <v>0</v>
      </c>
      <c r="O61" s="112">
        <v>0</v>
      </c>
      <c r="P61" s="112">
        <v>0</v>
      </c>
      <c r="Q61" s="112">
        <v>0</v>
      </c>
      <c r="R61" s="112">
        <v>0</v>
      </c>
      <c r="S61" s="112">
        <v>0</v>
      </c>
      <c r="T61" s="112">
        <v>0</v>
      </c>
      <c r="U61" s="112">
        <v>0</v>
      </c>
      <c r="V61" s="112">
        <v>0</v>
      </c>
      <c r="W61" s="112">
        <v>0</v>
      </c>
      <c r="X61" s="112">
        <v>0</v>
      </c>
      <c r="Y61" s="112">
        <v>0</v>
      </c>
      <c r="Z61" s="112">
        <v>0</v>
      </c>
      <c r="AA61" s="112">
        <v>0</v>
      </c>
      <c r="AB61" s="112">
        <v>0</v>
      </c>
      <c r="AC61" s="112">
        <v>0</v>
      </c>
      <c r="AD61" s="112">
        <v>0</v>
      </c>
      <c r="AE61" s="112">
        <v>0</v>
      </c>
      <c r="AF61" s="112">
        <v>0</v>
      </c>
      <c r="AG61" s="112">
        <v>0</v>
      </c>
      <c r="AH61" s="112">
        <v>0</v>
      </c>
      <c r="AI61" s="112">
        <v>0</v>
      </c>
      <c r="AJ61" s="112">
        <v>0</v>
      </c>
      <c r="AK61" s="112">
        <v>0</v>
      </c>
      <c r="AL61" s="112">
        <v>0</v>
      </c>
      <c r="AM61" s="112">
        <v>0</v>
      </c>
      <c r="AN61" s="112">
        <v>0</v>
      </c>
      <c r="AO61" s="112">
        <v>0</v>
      </c>
      <c r="AP61" s="112">
        <v>0</v>
      </c>
      <c r="AQ61" s="112">
        <v>0</v>
      </c>
      <c r="AR61" s="112">
        <v>0</v>
      </c>
      <c r="AS61" s="112">
        <v>0</v>
      </c>
      <c r="AT61" s="112">
        <v>0</v>
      </c>
      <c r="AU61" s="112">
        <v>0</v>
      </c>
      <c r="AV61" s="112">
        <v>0</v>
      </c>
      <c r="AW61" s="112">
        <v>0</v>
      </c>
      <c r="AX61" s="112">
        <v>0</v>
      </c>
      <c r="AY61" s="112">
        <v>0</v>
      </c>
      <c r="AZ61" s="112">
        <v>0</v>
      </c>
      <c r="BA61" s="112">
        <v>0</v>
      </c>
      <c r="BB61" s="112">
        <v>0</v>
      </c>
      <c r="BC61" s="112">
        <v>0</v>
      </c>
      <c r="BD61" s="112">
        <v>0</v>
      </c>
      <c r="BE61" s="112">
        <v>0</v>
      </c>
      <c r="BF61" s="112">
        <v>0</v>
      </c>
      <c r="BG61" s="112">
        <v>0</v>
      </c>
      <c r="BH61" s="112">
        <v>0</v>
      </c>
      <c r="BI61" s="112">
        <v>0</v>
      </c>
    </row>
    <row r="62" spans="1:61" x14ac:dyDescent="0.15">
      <c r="A62" s="191" t="s">
        <v>260</v>
      </c>
      <c r="B62" s="112">
        <v>0</v>
      </c>
      <c r="C62" s="112">
        <v>0</v>
      </c>
      <c r="D62" s="112">
        <v>0</v>
      </c>
      <c r="E62" s="112">
        <v>0</v>
      </c>
      <c r="F62" s="112">
        <v>0</v>
      </c>
      <c r="G62" s="112">
        <v>0</v>
      </c>
      <c r="H62" s="112">
        <v>0</v>
      </c>
      <c r="I62" s="112">
        <v>0</v>
      </c>
      <c r="J62" s="112">
        <v>0</v>
      </c>
      <c r="K62" s="112">
        <v>0</v>
      </c>
      <c r="L62" s="112">
        <v>0</v>
      </c>
      <c r="M62" s="112">
        <v>0</v>
      </c>
      <c r="N62" s="112">
        <v>0</v>
      </c>
      <c r="O62" s="112">
        <v>0</v>
      </c>
      <c r="P62" s="112">
        <v>0</v>
      </c>
      <c r="Q62" s="112">
        <v>0</v>
      </c>
      <c r="R62" s="112">
        <v>0</v>
      </c>
      <c r="S62" s="112">
        <v>0</v>
      </c>
      <c r="T62" s="112">
        <v>0</v>
      </c>
      <c r="U62" s="112">
        <v>0</v>
      </c>
      <c r="V62" s="112">
        <v>0</v>
      </c>
      <c r="W62" s="112">
        <v>0</v>
      </c>
      <c r="X62" s="112">
        <v>0</v>
      </c>
      <c r="Y62" s="112">
        <v>0</v>
      </c>
      <c r="Z62" s="112">
        <v>0</v>
      </c>
      <c r="AA62" s="112">
        <v>0</v>
      </c>
      <c r="AB62" s="112">
        <v>0</v>
      </c>
      <c r="AC62" s="112">
        <v>0</v>
      </c>
      <c r="AD62" s="112">
        <v>0</v>
      </c>
      <c r="AE62" s="112">
        <v>0</v>
      </c>
      <c r="AF62" s="112">
        <v>0</v>
      </c>
      <c r="AG62" s="112">
        <v>0</v>
      </c>
      <c r="AH62" s="112">
        <v>0</v>
      </c>
      <c r="AI62" s="112">
        <v>0</v>
      </c>
      <c r="AJ62" s="112">
        <v>0</v>
      </c>
      <c r="AK62" s="112">
        <v>0</v>
      </c>
      <c r="AL62" s="112">
        <v>0</v>
      </c>
      <c r="AM62" s="112">
        <v>0</v>
      </c>
      <c r="AN62" s="112">
        <v>0</v>
      </c>
      <c r="AO62" s="112">
        <v>0</v>
      </c>
      <c r="AP62" s="112">
        <v>0</v>
      </c>
      <c r="AQ62" s="112">
        <v>0</v>
      </c>
      <c r="AR62" s="112">
        <v>0</v>
      </c>
      <c r="AS62" s="112">
        <v>0</v>
      </c>
      <c r="AT62" s="112">
        <v>0</v>
      </c>
      <c r="AU62" s="112">
        <v>0</v>
      </c>
      <c r="AV62" s="112">
        <v>0</v>
      </c>
      <c r="AW62" s="112">
        <v>0</v>
      </c>
      <c r="AX62" s="112">
        <v>0</v>
      </c>
      <c r="AY62" s="112">
        <v>0</v>
      </c>
      <c r="AZ62" s="112">
        <v>0</v>
      </c>
      <c r="BA62" s="112">
        <v>0</v>
      </c>
      <c r="BB62" s="112">
        <v>0</v>
      </c>
      <c r="BC62" s="112">
        <v>0</v>
      </c>
      <c r="BD62" s="112">
        <v>0</v>
      </c>
      <c r="BE62" s="112">
        <v>0</v>
      </c>
      <c r="BF62" s="112">
        <v>0</v>
      </c>
      <c r="BG62" s="112">
        <v>0</v>
      </c>
      <c r="BH62" s="112">
        <v>0</v>
      </c>
      <c r="BI62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I62"/>
  <sheetViews>
    <sheetView workbookViewId="0">
      <selection activeCell="A3" sqref="A3"/>
    </sheetView>
  </sheetViews>
  <sheetFormatPr baseColWidth="10" defaultRowHeight="13" x14ac:dyDescent="0.15"/>
  <cols>
    <col min="1" max="1" width="24.83203125" style="112" bestFit="1" customWidth="1"/>
    <col min="2" max="61" width="2.33203125" style="112" customWidth="1"/>
    <col min="62" max="16384" width="10.83203125" style="112"/>
  </cols>
  <sheetData>
    <row r="1" spans="1:61" x14ac:dyDescent="0.15">
      <c r="A1" s="63" t="s">
        <v>139</v>
      </c>
      <c r="B1" s="194" t="s">
        <v>193</v>
      </c>
      <c r="C1" s="194" t="s">
        <v>194</v>
      </c>
      <c r="D1" s="194" t="s">
        <v>195</v>
      </c>
      <c r="E1" s="194" t="s">
        <v>196</v>
      </c>
      <c r="F1" s="194" t="s">
        <v>197</v>
      </c>
      <c r="G1" s="194" t="s">
        <v>198</v>
      </c>
      <c r="H1" s="194" t="s">
        <v>199</v>
      </c>
      <c r="I1" s="194" t="s">
        <v>200</v>
      </c>
      <c r="J1" s="194" t="s">
        <v>201</v>
      </c>
      <c r="K1" s="194" t="s">
        <v>202</v>
      </c>
      <c r="L1" s="194" t="s">
        <v>203</v>
      </c>
      <c r="M1" s="194" t="s">
        <v>204</v>
      </c>
      <c r="N1" s="194" t="s">
        <v>205</v>
      </c>
      <c r="O1" s="194" t="s">
        <v>206</v>
      </c>
      <c r="P1" s="194" t="s">
        <v>207</v>
      </c>
      <c r="Q1" s="194" t="s">
        <v>208</v>
      </c>
      <c r="R1" s="194" t="s">
        <v>209</v>
      </c>
      <c r="S1" s="194" t="s">
        <v>210</v>
      </c>
      <c r="T1" s="194" t="s">
        <v>211</v>
      </c>
      <c r="U1" s="194" t="s">
        <v>212</v>
      </c>
      <c r="V1" s="194" t="s">
        <v>213</v>
      </c>
      <c r="W1" s="194" t="s">
        <v>214</v>
      </c>
      <c r="X1" s="194" t="s">
        <v>215</v>
      </c>
      <c r="Y1" s="194" t="s">
        <v>216</v>
      </c>
      <c r="Z1" s="194" t="s">
        <v>217</v>
      </c>
      <c r="AA1" s="194" t="s">
        <v>218</v>
      </c>
      <c r="AB1" s="194" t="s">
        <v>219</v>
      </c>
      <c r="AC1" s="194" t="s">
        <v>220</v>
      </c>
      <c r="AD1" s="194" t="s">
        <v>221</v>
      </c>
      <c r="AE1" s="194" t="s">
        <v>222</v>
      </c>
      <c r="AF1" s="194" t="s">
        <v>223</v>
      </c>
      <c r="AG1" s="194" t="s">
        <v>224</v>
      </c>
      <c r="AH1" s="194" t="s">
        <v>225</v>
      </c>
      <c r="AI1" s="194" t="s">
        <v>226</v>
      </c>
      <c r="AJ1" s="194" t="s">
        <v>227</v>
      </c>
      <c r="AK1" s="194" t="s">
        <v>228</v>
      </c>
      <c r="AL1" s="194" t="s">
        <v>229</v>
      </c>
      <c r="AM1" s="194" t="s">
        <v>230</v>
      </c>
      <c r="AN1" s="194" t="s">
        <v>231</v>
      </c>
      <c r="AO1" s="194" t="s">
        <v>232</v>
      </c>
      <c r="AP1" s="194" t="s">
        <v>233</v>
      </c>
      <c r="AQ1" s="194" t="s">
        <v>234</v>
      </c>
      <c r="AR1" s="194" t="s">
        <v>235</v>
      </c>
      <c r="AS1" s="194" t="s">
        <v>236</v>
      </c>
      <c r="AT1" s="194" t="s">
        <v>237</v>
      </c>
      <c r="AU1" s="194" t="s">
        <v>238</v>
      </c>
      <c r="AV1" s="194" t="s">
        <v>239</v>
      </c>
      <c r="AW1" s="194" t="s">
        <v>240</v>
      </c>
      <c r="AX1" s="194" t="s">
        <v>241</v>
      </c>
      <c r="AY1" s="194" t="s">
        <v>242</v>
      </c>
      <c r="AZ1" s="194" t="s">
        <v>243</v>
      </c>
      <c r="BA1" s="194" t="s">
        <v>244</v>
      </c>
      <c r="BB1" s="194" t="s">
        <v>245</v>
      </c>
      <c r="BC1" s="194" t="s">
        <v>246</v>
      </c>
      <c r="BD1" s="194" t="s">
        <v>247</v>
      </c>
      <c r="BE1" s="194" t="s">
        <v>248</v>
      </c>
      <c r="BF1" s="194" t="s">
        <v>249</v>
      </c>
      <c r="BG1" s="194" t="s">
        <v>250</v>
      </c>
      <c r="BH1" s="194" t="s">
        <v>251</v>
      </c>
      <c r="BI1" s="194" t="s">
        <v>252</v>
      </c>
    </row>
    <row r="2" spans="1:61" customFormat="1" x14ac:dyDescent="0.15">
      <c r="A2" s="193" t="s">
        <v>193</v>
      </c>
      <c r="B2" s="112">
        <v>0</v>
      </c>
      <c r="C2" s="112">
        <v>1</v>
      </c>
      <c r="D2" s="112">
        <v>1</v>
      </c>
      <c r="E2" s="112">
        <v>1</v>
      </c>
      <c r="F2" s="112">
        <v>1</v>
      </c>
      <c r="G2" s="112">
        <v>1</v>
      </c>
      <c r="H2" s="112">
        <v>1</v>
      </c>
      <c r="I2" s="112">
        <v>1</v>
      </c>
      <c r="J2" s="112">
        <v>1</v>
      </c>
      <c r="K2" s="112">
        <v>1</v>
      </c>
      <c r="L2" s="112">
        <v>1</v>
      </c>
      <c r="M2" s="112">
        <v>1</v>
      </c>
      <c r="N2" s="112">
        <v>0</v>
      </c>
      <c r="O2" s="112">
        <v>1</v>
      </c>
      <c r="P2" s="112">
        <v>0</v>
      </c>
      <c r="Q2" s="112">
        <v>0</v>
      </c>
      <c r="R2" s="112">
        <v>0</v>
      </c>
      <c r="S2" s="112">
        <v>1</v>
      </c>
      <c r="T2" s="112">
        <v>1</v>
      </c>
      <c r="U2" s="112">
        <v>1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  <c r="BD2" s="112">
        <v>0</v>
      </c>
      <c r="BE2" s="112">
        <v>0</v>
      </c>
      <c r="BF2" s="112">
        <v>0</v>
      </c>
      <c r="BG2" s="112">
        <v>0</v>
      </c>
      <c r="BH2" s="112">
        <v>0</v>
      </c>
      <c r="BI2" s="112">
        <v>0</v>
      </c>
    </row>
    <row r="3" spans="1:61" customFormat="1" x14ac:dyDescent="0.15">
      <c r="A3" s="193" t="s">
        <v>194</v>
      </c>
      <c r="B3" s="112">
        <v>0</v>
      </c>
      <c r="C3" s="112">
        <v>0</v>
      </c>
      <c r="D3" s="112">
        <v>1</v>
      </c>
      <c r="E3" s="112">
        <v>0</v>
      </c>
      <c r="F3" s="112">
        <v>0</v>
      </c>
      <c r="G3" s="112">
        <v>1</v>
      </c>
      <c r="H3" s="112">
        <v>0</v>
      </c>
      <c r="I3" s="112">
        <v>1</v>
      </c>
      <c r="J3" s="112">
        <v>1</v>
      </c>
      <c r="K3" s="112">
        <v>1</v>
      </c>
      <c r="L3" s="112">
        <v>1</v>
      </c>
      <c r="M3" s="112">
        <v>1</v>
      </c>
      <c r="N3" s="112">
        <v>1</v>
      </c>
      <c r="O3" s="112">
        <v>1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  <c r="BD3" s="112">
        <v>0</v>
      </c>
      <c r="BE3" s="112">
        <v>0</v>
      </c>
      <c r="BF3" s="112">
        <v>0</v>
      </c>
      <c r="BG3" s="112">
        <v>0</v>
      </c>
      <c r="BH3" s="112">
        <v>0</v>
      </c>
      <c r="BI3" s="112">
        <v>0</v>
      </c>
    </row>
    <row r="4" spans="1:61" customFormat="1" x14ac:dyDescent="0.15">
      <c r="A4" s="193" t="s">
        <v>195</v>
      </c>
      <c r="B4" s="112">
        <v>0</v>
      </c>
      <c r="C4" s="112">
        <v>0</v>
      </c>
      <c r="D4" s="112">
        <v>1</v>
      </c>
      <c r="E4" s="112">
        <v>1</v>
      </c>
      <c r="F4" s="112">
        <v>1</v>
      </c>
      <c r="G4" s="112">
        <v>1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1</v>
      </c>
      <c r="T4" s="112">
        <v>1</v>
      </c>
      <c r="U4" s="112">
        <v>1</v>
      </c>
      <c r="V4" s="112">
        <v>0</v>
      </c>
      <c r="W4" s="112">
        <v>1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  <c r="BD4" s="112">
        <v>0</v>
      </c>
      <c r="BE4" s="112">
        <v>0</v>
      </c>
      <c r="BF4" s="112">
        <v>0</v>
      </c>
      <c r="BG4" s="112">
        <v>0</v>
      </c>
      <c r="BH4" s="112">
        <v>0</v>
      </c>
      <c r="BI4" s="112">
        <v>0</v>
      </c>
    </row>
    <row r="5" spans="1:61" customFormat="1" x14ac:dyDescent="0.15">
      <c r="A5" s="193" t="s">
        <v>196</v>
      </c>
      <c r="B5" s="112">
        <v>0</v>
      </c>
      <c r="C5" s="112">
        <v>0</v>
      </c>
      <c r="D5" s="112">
        <v>0</v>
      </c>
      <c r="E5" s="112">
        <v>1</v>
      </c>
      <c r="F5" s="112">
        <v>1</v>
      </c>
      <c r="G5" s="112">
        <v>1</v>
      </c>
      <c r="H5" s="112">
        <v>1</v>
      </c>
      <c r="I5" s="112">
        <v>0</v>
      </c>
      <c r="J5" s="112">
        <v>1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1</v>
      </c>
      <c r="Q5" s="112">
        <v>1</v>
      </c>
      <c r="R5" s="112">
        <v>1</v>
      </c>
      <c r="S5" s="112">
        <v>1</v>
      </c>
      <c r="T5" s="112">
        <v>1</v>
      </c>
      <c r="U5" s="112">
        <v>1</v>
      </c>
      <c r="V5" s="112">
        <v>1</v>
      </c>
      <c r="W5" s="112">
        <v>0</v>
      </c>
      <c r="X5" s="112">
        <v>1</v>
      </c>
      <c r="Y5" s="112">
        <v>1</v>
      </c>
      <c r="Z5" s="112">
        <v>1</v>
      </c>
      <c r="AA5" s="112">
        <v>1</v>
      </c>
      <c r="AB5" s="112">
        <v>0</v>
      </c>
      <c r="AC5" s="112">
        <v>0</v>
      </c>
      <c r="AD5" s="112">
        <v>1</v>
      </c>
      <c r="AE5" s="112">
        <v>0</v>
      </c>
      <c r="AF5" s="112">
        <v>0</v>
      </c>
      <c r="AG5" s="112">
        <v>1</v>
      </c>
      <c r="AH5" s="112">
        <v>1</v>
      </c>
      <c r="AI5" s="112">
        <v>1</v>
      </c>
      <c r="AJ5" s="112">
        <v>1</v>
      </c>
      <c r="AK5" s="112">
        <v>1</v>
      </c>
      <c r="AL5" s="112">
        <v>1</v>
      </c>
      <c r="AM5" s="112">
        <v>1</v>
      </c>
      <c r="AN5" s="112">
        <v>0</v>
      </c>
      <c r="AO5" s="112">
        <v>1</v>
      </c>
      <c r="AP5" s="112">
        <v>0</v>
      </c>
      <c r="AQ5" s="112">
        <v>1</v>
      </c>
      <c r="AR5" s="112">
        <v>0</v>
      </c>
      <c r="AS5" s="112">
        <v>1</v>
      </c>
      <c r="AT5" s="112">
        <v>1</v>
      </c>
      <c r="AU5" s="112">
        <v>0</v>
      </c>
      <c r="AV5" s="112">
        <v>1</v>
      </c>
      <c r="AW5" s="112">
        <v>1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  <c r="BD5" s="112">
        <v>0</v>
      </c>
      <c r="BE5" s="112">
        <v>1</v>
      </c>
      <c r="BF5" s="112">
        <v>0</v>
      </c>
      <c r="BG5" s="112">
        <v>0</v>
      </c>
      <c r="BH5" s="112">
        <v>0</v>
      </c>
      <c r="BI5" s="112">
        <v>0</v>
      </c>
    </row>
    <row r="6" spans="1:61" customFormat="1" x14ac:dyDescent="0.15">
      <c r="A6" s="193" t="s">
        <v>197</v>
      </c>
      <c r="B6" s="112">
        <v>0</v>
      </c>
      <c r="C6" s="112">
        <v>0</v>
      </c>
      <c r="D6" s="112">
        <v>0</v>
      </c>
      <c r="E6" s="112">
        <v>0</v>
      </c>
      <c r="F6" s="112">
        <v>1</v>
      </c>
      <c r="G6" s="112">
        <v>1</v>
      </c>
      <c r="H6" s="112">
        <v>1</v>
      </c>
      <c r="I6" s="112">
        <v>0</v>
      </c>
      <c r="J6" s="112">
        <v>1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1</v>
      </c>
      <c r="Q6" s="112">
        <v>1</v>
      </c>
      <c r="R6" s="112">
        <v>0</v>
      </c>
      <c r="S6" s="112">
        <v>1</v>
      </c>
      <c r="T6" s="112">
        <v>1</v>
      </c>
      <c r="U6" s="112">
        <v>1</v>
      </c>
      <c r="V6" s="112">
        <v>0</v>
      </c>
      <c r="W6" s="112">
        <v>1</v>
      </c>
      <c r="X6" s="112">
        <v>0</v>
      </c>
      <c r="Y6" s="112">
        <v>1</v>
      </c>
      <c r="Z6" s="112">
        <v>1</v>
      </c>
      <c r="AA6" s="112">
        <v>0</v>
      </c>
      <c r="AB6" s="112">
        <v>0</v>
      </c>
      <c r="AC6" s="112">
        <v>0</v>
      </c>
      <c r="AD6" s="112">
        <v>1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1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1</v>
      </c>
      <c r="BC6" s="112">
        <v>0</v>
      </c>
      <c r="BD6" s="112">
        <v>0</v>
      </c>
      <c r="BE6" s="112">
        <v>1</v>
      </c>
      <c r="BF6" s="112">
        <v>0</v>
      </c>
      <c r="BG6" s="112">
        <v>1</v>
      </c>
      <c r="BH6" s="112">
        <v>0</v>
      </c>
      <c r="BI6" s="112">
        <v>0</v>
      </c>
    </row>
    <row r="7" spans="1:61" customFormat="1" x14ac:dyDescent="0.15">
      <c r="A7" s="193" t="s">
        <v>198</v>
      </c>
      <c r="B7" s="112">
        <v>0</v>
      </c>
      <c r="C7" s="112">
        <v>0</v>
      </c>
      <c r="D7" s="112">
        <v>0</v>
      </c>
      <c r="E7" s="112">
        <v>0</v>
      </c>
      <c r="F7" s="112">
        <v>1</v>
      </c>
      <c r="G7" s="112">
        <v>1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1</v>
      </c>
      <c r="R7" s="112">
        <v>1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1</v>
      </c>
      <c r="Y7" s="112">
        <v>1</v>
      </c>
      <c r="Z7" s="112">
        <v>1</v>
      </c>
      <c r="AA7" s="112">
        <v>1</v>
      </c>
      <c r="AB7" s="112">
        <v>1</v>
      </c>
      <c r="AC7" s="112">
        <v>1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1</v>
      </c>
      <c r="AK7" s="112">
        <v>1</v>
      </c>
      <c r="AL7" s="112">
        <v>0</v>
      </c>
      <c r="AM7" s="112">
        <v>1</v>
      </c>
      <c r="AN7" s="112">
        <v>1</v>
      </c>
      <c r="AO7" s="112">
        <v>1</v>
      </c>
      <c r="AP7" s="112">
        <v>0</v>
      </c>
      <c r="AQ7" s="112">
        <v>0</v>
      </c>
      <c r="AR7" s="112">
        <v>0</v>
      </c>
      <c r="AS7" s="112">
        <v>1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1</v>
      </c>
      <c r="AZ7" s="112">
        <v>1</v>
      </c>
      <c r="BA7" s="112">
        <v>1</v>
      </c>
      <c r="BB7" s="112">
        <v>1</v>
      </c>
      <c r="BC7" s="112">
        <v>1</v>
      </c>
      <c r="BD7" s="112">
        <v>0</v>
      </c>
      <c r="BE7" s="112">
        <v>1</v>
      </c>
      <c r="BF7" s="112">
        <v>1</v>
      </c>
      <c r="BG7" s="112">
        <v>0</v>
      </c>
      <c r="BH7" s="112">
        <v>0</v>
      </c>
      <c r="BI7" s="112">
        <v>0</v>
      </c>
    </row>
    <row r="8" spans="1:61" customFormat="1" x14ac:dyDescent="0.15">
      <c r="A8" s="193" t="s">
        <v>199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0</v>
      </c>
      <c r="H8" s="112">
        <v>1</v>
      </c>
      <c r="I8" s="112">
        <v>1</v>
      </c>
      <c r="J8" s="112">
        <v>1</v>
      </c>
      <c r="K8" s="112">
        <v>1</v>
      </c>
      <c r="L8" s="112">
        <v>1</v>
      </c>
      <c r="M8" s="112">
        <v>0</v>
      </c>
      <c r="N8" s="112">
        <v>0</v>
      </c>
      <c r="O8" s="112">
        <v>1</v>
      </c>
      <c r="P8" s="112">
        <v>1</v>
      </c>
      <c r="Q8" s="112">
        <v>1</v>
      </c>
      <c r="R8" s="112">
        <v>1</v>
      </c>
      <c r="S8" s="112">
        <v>0</v>
      </c>
      <c r="T8" s="112">
        <v>0</v>
      </c>
      <c r="U8" s="112">
        <v>0</v>
      </c>
      <c r="V8" s="112">
        <v>1</v>
      </c>
      <c r="W8" s="112">
        <v>0</v>
      </c>
      <c r="X8" s="112">
        <v>1</v>
      </c>
      <c r="Y8" s="112">
        <v>1</v>
      </c>
      <c r="Z8" s="112">
        <v>1</v>
      </c>
      <c r="AA8" s="112">
        <v>1</v>
      </c>
      <c r="AB8" s="112">
        <v>1</v>
      </c>
      <c r="AC8" s="112">
        <v>0</v>
      </c>
      <c r="AD8" s="112">
        <v>1</v>
      </c>
      <c r="AE8" s="112">
        <v>1</v>
      </c>
      <c r="AF8" s="112">
        <v>1</v>
      </c>
      <c r="AG8" s="112">
        <v>1</v>
      </c>
      <c r="AH8" s="112">
        <v>1</v>
      </c>
      <c r="AI8" s="112">
        <v>0</v>
      </c>
      <c r="AJ8" s="112">
        <v>1</v>
      </c>
      <c r="AK8" s="112">
        <v>1</v>
      </c>
      <c r="AL8" s="112">
        <v>1</v>
      </c>
      <c r="AM8" s="112">
        <v>1</v>
      </c>
      <c r="AN8" s="112">
        <v>1</v>
      </c>
      <c r="AO8" s="112">
        <v>1</v>
      </c>
      <c r="AP8" s="112">
        <v>1</v>
      </c>
      <c r="AQ8" s="112">
        <v>1</v>
      </c>
      <c r="AR8" s="112">
        <v>1</v>
      </c>
      <c r="AS8" s="112">
        <v>1</v>
      </c>
      <c r="AT8" s="112">
        <v>1</v>
      </c>
      <c r="AU8" s="112">
        <v>1</v>
      </c>
      <c r="AV8" s="112">
        <v>1</v>
      </c>
      <c r="AW8" s="112">
        <v>1</v>
      </c>
      <c r="AX8" s="112">
        <v>1</v>
      </c>
      <c r="AY8" s="112">
        <v>1</v>
      </c>
      <c r="AZ8" s="112">
        <v>1</v>
      </c>
      <c r="BA8" s="112">
        <v>1</v>
      </c>
      <c r="BB8" s="112">
        <v>0</v>
      </c>
      <c r="BC8" s="112">
        <v>0</v>
      </c>
      <c r="BD8" s="112">
        <v>1</v>
      </c>
      <c r="BE8" s="112">
        <v>1</v>
      </c>
      <c r="BF8" s="112">
        <v>1</v>
      </c>
      <c r="BG8" s="112">
        <v>1</v>
      </c>
      <c r="BH8" s="112">
        <v>0</v>
      </c>
      <c r="BI8" s="112">
        <v>0</v>
      </c>
    </row>
    <row r="9" spans="1:61" customFormat="1" x14ac:dyDescent="0.15">
      <c r="A9" s="193" t="s">
        <v>200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1</v>
      </c>
      <c r="J9" s="112">
        <v>1</v>
      </c>
      <c r="K9" s="112">
        <v>0</v>
      </c>
      <c r="L9" s="112">
        <v>1</v>
      </c>
      <c r="M9" s="112">
        <v>0</v>
      </c>
      <c r="N9" s="112">
        <v>1</v>
      </c>
      <c r="O9" s="112">
        <v>0</v>
      </c>
      <c r="P9" s="112">
        <v>1</v>
      </c>
      <c r="Q9" s="112">
        <v>1</v>
      </c>
      <c r="R9" s="112">
        <v>1</v>
      </c>
      <c r="S9" s="112">
        <v>0</v>
      </c>
      <c r="T9" s="112">
        <v>0</v>
      </c>
      <c r="U9" s="112">
        <v>0</v>
      </c>
      <c r="V9" s="112">
        <v>1</v>
      </c>
      <c r="W9" s="112">
        <v>0</v>
      </c>
      <c r="X9" s="112">
        <v>1</v>
      </c>
      <c r="Y9" s="112">
        <v>1</v>
      </c>
      <c r="Z9" s="112">
        <v>1</v>
      </c>
      <c r="AA9" s="112">
        <v>1</v>
      </c>
      <c r="AB9" s="112">
        <v>1</v>
      </c>
      <c r="AC9" s="112">
        <v>1</v>
      </c>
      <c r="AD9" s="112">
        <v>1</v>
      </c>
      <c r="AE9" s="112">
        <v>1</v>
      </c>
      <c r="AF9" s="112">
        <v>1</v>
      </c>
      <c r="AG9" s="112">
        <v>1</v>
      </c>
      <c r="AH9" s="112">
        <v>1</v>
      </c>
      <c r="AI9" s="112">
        <v>0</v>
      </c>
      <c r="AJ9" s="112">
        <v>1</v>
      </c>
      <c r="AK9" s="112">
        <v>1</v>
      </c>
      <c r="AL9" s="112">
        <v>1</v>
      </c>
      <c r="AM9" s="112">
        <v>1</v>
      </c>
      <c r="AN9" s="112">
        <v>1</v>
      </c>
      <c r="AO9" s="112">
        <v>1</v>
      </c>
      <c r="AP9" s="112">
        <v>0</v>
      </c>
      <c r="AQ9" s="112">
        <v>1</v>
      </c>
      <c r="AR9" s="112">
        <v>1</v>
      </c>
      <c r="AS9" s="112">
        <v>1</v>
      </c>
      <c r="AT9" s="112">
        <v>1</v>
      </c>
      <c r="AU9" s="112">
        <v>0</v>
      </c>
      <c r="AV9" s="112">
        <v>1</v>
      </c>
      <c r="AW9" s="112">
        <v>1</v>
      </c>
      <c r="AX9" s="112">
        <v>1</v>
      </c>
      <c r="AY9" s="112">
        <v>1</v>
      </c>
      <c r="AZ9" s="112">
        <v>1</v>
      </c>
      <c r="BA9" s="112">
        <v>0</v>
      </c>
      <c r="BB9" s="112">
        <v>0</v>
      </c>
      <c r="BC9" s="112">
        <v>0</v>
      </c>
      <c r="BD9" s="112">
        <v>0</v>
      </c>
      <c r="BE9" s="112">
        <v>0</v>
      </c>
      <c r="BF9" s="112">
        <v>0</v>
      </c>
      <c r="BG9" s="112">
        <v>0</v>
      </c>
      <c r="BH9" s="112">
        <v>0</v>
      </c>
      <c r="BI9" s="112">
        <v>0</v>
      </c>
    </row>
    <row r="10" spans="1:61" customFormat="1" x14ac:dyDescent="0.15">
      <c r="A10" s="193" t="s">
        <v>201</v>
      </c>
      <c r="B10" s="112">
        <v>0</v>
      </c>
      <c r="C10" s="112">
        <v>0</v>
      </c>
      <c r="D10" s="112">
        <v>0</v>
      </c>
      <c r="E10" s="112">
        <v>0</v>
      </c>
      <c r="F10" s="112">
        <v>1</v>
      </c>
      <c r="G10" s="112">
        <v>0</v>
      </c>
      <c r="H10" s="112">
        <v>0</v>
      </c>
      <c r="I10" s="112">
        <v>1</v>
      </c>
      <c r="J10" s="112">
        <v>1</v>
      </c>
      <c r="K10" s="112">
        <v>0</v>
      </c>
      <c r="L10" s="112">
        <v>1</v>
      </c>
      <c r="M10" s="112">
        <v>0</v>
      </c>
      <c r="N10" s="112">
        <v>1</v>
      </c>
      <c r="O10" s="112">
        <v>1</v>
      </c>
      <c r="P10" s="112">
        <v>1</v>
      </c>
      <c r="Q10" s="112">
        <v>0</v>
      </c>
      <c r="R10" s="112">
        <v>1</v>
      </c>
      <c r="S10" s="112">
        <v>0</v>
      </c>
      <c r="T10" s="112">
        <v>0</v>
      </c>
      <c r="U10" s="112">
        <v>0</v>
      </c>
      <c r="V10" s="112">
        <v>0</v>
      </c>
      <c r="W10" s="112">
        <v>1</v>
      </c>
      <c r="X10" s="112">
        <v>1</v>
      </c>
      <c r="Y10" s="112">
        <v>1</v>
      </c>
      <c r="Z10" s="112">
        <v>1</v>
      </c>
      <c r="AA10" s="112">
        <v>1</v>
      </c>
      <c r="AB10" s="112">
        <v>1</v>
      </c>
      <c r="AC10" s="112">
        <v>1</v>
      </c>
      <c r="AD10" s="112">
        <v>1</v>
      </c>
      <c r="AE10" s="112">
        <v>1</v>
      </c>
      <c r="AF10" s="112">
        <v>1</v>
      </c>
      <c r="AG10" s="112">
        <v>1</v>
      </c>
      <c r="AH10" s="112">
        <v>1</v>
      </c>
      <c r="AI10" s="112">
        <v>1</v>
      </c>
      <c r="AJ10" s="112">
        <v>1</v>
      </c>
      <c r="AK10" s="112">
        <v>1</v>
      </c>
      <c r="AL10" s="112">
        <v>1</v>
      </c>
      <c r="AM10" s="112">
        <v>1</v>
      </c>
      <c r="AN10" s="112">
        <v>1</v>
      </c>
      <c r="AO10" s="112">
        <v>1</v>
      </c>
      <c r="AP10" s="112">
        <v>1</v>
      </c>
      <c r="AQ10" s="112">
        <v>1</v>
      </c>
      <c r="AR10" s="112">
        <v>1</v>
      </c>
      <c r="AS10" s="112">
        <v>1</v>
      </c>
      <c r="AT10" s="112">
        <v>1</v>
      </c>
      <c r="AU10" s="112">
        <v>1</v>
      </c>
      <c r="AV10" s="112">
        <v>1</v>
      </c>
      <c r="AW10" s="112">
        <v>1</v>
      </c>
      <c r="AX10" s="112">
        <v>1</v>
      </c>
      <c r="AY10" s="112">
        <v>1</v>
      </c>
      <c r="AZ10" s="112">
        <v>1</v>
      </c>
      <c r="BA10" s="112">
        <v>1</v>
      </c>
      <c r="BB10" s="112">
        <v>1</v>
      </c>
      <c r="BC10" s="112">
        <v>0</v>
      </c>
      <c r="BD10" s="112">
        <v>0</v>
      </c>
      <c r="BE10" s="112">
        <v>1</v>
      </c>
      <c r="BF10" s="112">
        <v>0</v>
      </c>
      <c r="BG10" s="112">
        <v>0</v>
      </c>
      <c r="BH10" s="112">
        <v>0</v>
      </c>
      <c r="BI10" s="112">
        <v>0</v>
      </c>
    </row>
    <row r="11" spans="1:61" customFormat="1" x14ac:dyDescent="0.15">
      <c r="A11" s="193" t="s">
        <v>202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1</v>
      </c>
      <c r="J11" s="112">
        <v>1</v>
      </c>
      <c r="K11" s="112">
        <v>1</v>
      </c>
      <c r="L11" s="112">
        <v>1</v>
      </c>
      <c r="M11" s="112">
        <v>0</v>
      </c>
      <c r="N11" s="112">
        <v>1</v>
      </c>
      <c r="O11" s="112">
        <v>0</v>
      </c>
      <c r="P11" s="112">
        <v>0</v>
      </c>
      <c r="Q11" s="112">
        <v>1</v>
      </c>
      <c r="R11" s="112">
        <v>1</v>
      </c>
      <c r="S11" s="112">
        <v>0</v>
      </c>
      <c r="T11" s="112">
        <v>0</v>
      </c>
      <c r="U11" s="112">
        <v>0</v>
      </c>
      <c r="V11" s="112">
        <v>0</v>
      </c>
      <c r="W11" s="112">
        <v>0</v>
      </c>
      <c r="X11" s="112">
        <v>1</v>
      </c>
      <c r="Y11" s="112">
        <v>1</v>
      </c>
      <c r="Z11" s="112">
        <v>1</v>
      </c>
      <c r="AA11" s="112">
        <v>1</v>
      </c>
      <c r="AB11" s="112">
        <v>1</v>
      </c>
      <c r="AC11" s="112">
        <v>1</v>
      </c>
      <c r="AD11" s="112">
        <v>1</v>
      </c>
      <c r="AE11" s="112">
        <v>1</v>
      </c>
      <c r="AF11" s="112">
        <v>1</v>
      </c>
      <c r="AG11" s="112">
        <v>1</v>
      </c>
      <c r="AH11" s="112">
        <v>1</v>
      </c>
      <c r="AI11" s="112">
        <v>0</v>
      </c>
      <c r="AJ11" s="112">
        <v>1</v>
      </c>
      <c r="AK11" s="112">
        <v>1</v>
      </c>
      <c r="AL11" s="112">
        <v>1</v>
      </c>
      <c r="AM11" s="112">
        <v>1</v>
      </c>
      <c r="AN11" s="112">
        <v>1</v>
      </c>
      <c r="AO11" s="112">
        <v>1</v>
      </c>
      <c r="AP11" s="112">
        <v>0</v>
      </c>
      <c r="AQ11" s="112">
        <v>1</v>
      </c>
      <c r="AR11" s="112">
        <v>1</v>
      </c>
      <c r="AS11" s="112">
        <v>1</v>
      </c>
      <c r="AT11" s="112">
        <v>1</v>
      </c>
      <c r="AU11" s="112">
        <v>1</v>
      </c>
      <c r="AV11" s="112">
        <v>1</v>
      </c>
      <c r="AW11" s="112">
        <v>1</v>
      </c>
      <c r="AX11" s="112">
        <v>1</v>
      </c>
      <c r="AY11" s="112">
        <v>1</v>
      </c>
      <c r="AZ11" s="112">
        <v>0</v>
      </c>
      <c r="BA11" s="112">
        <v>1</v>
      </c>
      <c r="BB11" s="112">
        <v>0</v>
      </c>
      <c r="BC11" s="112">
        <v>0</v>
      </c>
      <c r="BD11" s="112">
        <v>0</v>
      </c>
      <c r="BE11" s="112">
        <v>1</v>
      </c>
      <c r="BF11" s="112">
        <v>0</v>
      </c>
      <c r="BG11" s="112">
        <v>0</v>
      </c>
      <c r="BH11" s="112">
        <v>0</v>
      </c>
      <c r="BI11" s="112">
        <v>0</v>
      </c>
    </row>
    <row r="12" spans="1:61" customFormat="1" x14ac:dyDescent="0.15">
      <c r="A12" s="193" t="s">
        <v>203</v>
      </c>
      <c r="B12" s="112">
        <v>0</v>
      </c>
      <c r="C12" s="112">
        <v>0</v>
      </c>
      <c r="D12" s="112">
        <v>0</v>
      </c>
      <c r="E12" s="112">
        <v>0</v>
      </c>
      <c r="F12" s="112">
        <v>0</v>
      </c>
      <c r="G12" s="112">
        <v>0</v>
      </c>
      <c r="H12" s="112">
        <v>0</v>
      </c>
      <c r="I12" s="112">
        <v>1</v>
      </c>
      <c r="J12" s="112">
        <v>1</v>
      </c>
      <c r="K12" s="112">
        <v>1</v>
      </c>
      <c r="L12" s="112">
        <v>1</v>
      </c>
      <c r="M12" s="112">
        <v>0</v>
      </c>
      <c r="N12" s="112">
        <v>1</v>
      </c>
      <c r="O12" s="112">
        <v>1</v>
      </c>
      <c r="P12" s="112">
        <v>0</v>
      </c>
      <c r="Q12" s="112">
        <v>1</v>
      </c>
      <c r="R12" s="112">
        <v>1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1</v>
      </c>
      <c r="Y12" s="112">
        <v>1</v>
      </c>
      <c r="Z12" s="112">
        <v>1</v>
      </c>
      <c r="AA12" s="112">
        <v>1</v>
      </c>
      <c r="AB12" s="112">
        <v>1</v>
      </c>
      <c r="AC12" s="112">
        <v>1</v>
      </c>
      <c r="AD12" s="112">
        <v>1</v>
      </c>
      <c r="AE12" s="112">
        <v>1</v>
      </c>
      <c r="AF12" s="112">
        <v>1</v>
      </c>
      <c r="AG12" s="112">
        <v>1</v>
      </c>
      <c r="AH12" s="112">
        <v>1</v>
      </c>
      <c r="AI12" s="112">
        <v>0</v>
      </c>
      <c r="AJ12" s="112">
        <v>1</v>
      </c>
      <c r="AK12" s="112">
        <v>1</v>
      </c>
      <c r="AL12" s="112">
        <v>1</v>
      </c>
      <c r="AM12" s="112">
        <v>1</v>
      </c>
      <c r="AN12" s="112">
        <v>1</v>
      </c>
      <c r="AO12" s="112">
        <v>1</v>
      </c>
      <c r="AP12" s="112">
        <v>0</v>
      </c>
      <c r="AQ12" s="112">
        <v>1</v>
      </c>
      <c r="AR12" s="112">
        <v>1</v>
      </c>
      <c r="AS12" s="112">
        <v>1</v>
      </c>
      <c r="AT12" s="112">
        <v>0</v>
      </c>
      <c r="AU12" s="112">
        <v>0</v>
      </c>
      <c r="AV12" s="112">
        <v>1</v>
      </c>
      <c r="AW12" s="112">
        <v>1</v>
      </c>
      <c r="AX12" s="112">
        <v>1</v>
      </c>
      <c r="AY12" s="112">
        <v>1</v>
      </c>
      <c r="AZ12" s="112">
        <v>0</v>
      </c>
      <c r="BA12" s="112">
        <v>1</v>
      </c>
      <c r="BB12" s="112">
        <v>1</v>
      </c>
      <c r="BC12" s="112">
        <v>0</v>
      </c>
      <c r="BD12" s="112">
        <v>0</v>
      </c>
      <c r="BE12" s="112">
        <v>1</v>
      </c>
      <c r="BF12" s="112">
        <v>0</v>
      </c>
      <c r="BG12" s="112">
        <v>0</v>
      </c>
      <c r="BH12" s="112">
        <v>0</v>
      </c>
      <c r="BI12" s="112">
        <v>0</v>
      </c>
    </row>
    <row r="13" spans="1:61" customFormat="1" x14ac:dyDescent="0.15">
      <c r="A13" s="193" t="s">
        <v>204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1</v>
      </c>
      <c r="J13" s="112">
        <v>1</v>
      </c>
      <c r="K13" s="112">
        <v>1</v>
      </c>
      <c r="L13" s="112">
        <v>1</v>
      </c>
      <c r="M13" s="112">
        <v>0</v>
      </c>
      <c r="N13" s="112">
        <v>1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1</v>
      </c>
      <c r="AD13" s="112">
        <v>0</v>
      </c>
      <c r="AE13" s="112">
        <v>1</v>
      </c>
      <c r="AF13" s="112">
        <v>1</v>
      </c>
      <c r="AG13" s="112">
        <v>0</v>
      </c>
      <c r="AH13" s="112">
        <v>0</v>
      </c>
      <c r="AI13" s="112">
        <v>0</v>
      </c>
      <c r="AJ13" s="112">
        <v>1</v>
      </c>
      <c r="AK13" s="112">
        <v>1</v>
      </c>
      <c r="AL13" s="112">
        <v>1</v>
      </c>
      <c r="AM13" s="112">
        <v>1</v>
      </c>
      <c r="AN13" s="112">
        <v>1</v>
      </c>
      <c r="AO13" s="112">
        <v>1</v>
      </c>
      <c r="AP13" s="112">
        <v>0</v>
      </c>
      <c r="AQ13" s="112">
        <v>0</v>
      </c>
      <c r="AR13" s="112">
        <v>0</v>
      </c>
      <c r="AS13" s="112">
        <v>1</v>
      </c>
      <c r="AT13" s="112">
        <v>0</v>
      </c>
      <c r="AU13" s="112">
        <v>0</v>
      </c>
      <c r="AV13" s="112">
        <v>1</v>
      </c>
      <c r="AW13" s="112">
        <v>0</v>
      </c>
      <c r="AX13" s="112">
        <v>1</v>
      </c>
      <c r="AY13" s="112">
        <v>1</v>
      </c>
      <c r="AZ13" s="112">
        <v>0</v>
      </c>
      <c r="BA13" s="112">
        <v>1</v>
      </c>
      <c r="BB13" s="112">
        <v>0</v>
      </c>
      <c r="BC13" s="112">
        <v>0</v>
      </c>
      <c r="BD13" s="112">
        <v>0</v>
      </c>
      <c r="BE13" s="112">
        <v>0</v>
      </c>
      <c r="BF13" s="112">
        <v>0</v>
      </c>
      <c r="BG13" s="112">
        <v>0</v>
      </c>
      <c r="BH13" s="112">
        <v>0</v>
      </c>
      <c r="BI13" s="112">
        <v>0</v>
      </c>
    </row>
    <row r="14" spans="1:61" customFormat="1" x14ac:dyDescent="0.15">
      <c r="A14" s="193" t="s">
        <v>205</v>
      </c>
      <c r="B14" s="112">
        <v>0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1</v>
      </c>
      <c r="J14" s="112">
        <v>1</v>
      </c>
      <c r="K14" s="112">
        <v>1</v>
      </c>
      <c r="L14" s="112">
        <v>1</v>
      </c>
      <c r="M14" s="112">
        <v>0</v>
      </c>
      <c r="N14" s="112">
        <v>1</v>
      </c>
      <c r="O14" s="112">
        <v>0</v>
      </c>
      <c r="P14" s="112">
        <v>1</v>
      </c>
      <c r="Q14" s="112">
        <v>1</v>
      </c>
      <c r="R14" s="112">
        <v>1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1</v>
      </c>
      <c r="Y14" s="112">
        <v>1</v>
      </c>
      <c r="Z14" s="112">
        <v>1</v>
      </c>
      <c r="AA14" s="112">
        <v>1</v>
      </c>
      <c r="AB14" s="112">
        <v>1</v>
      </c>
      <c r="AC14" s="112">
        <v>1</v>
      </c>
      <c r="AD14" s="112">
        <v>1</v>
      </c>
      <c r="AE14" s="112">
        <v>1</v>
      </c>
      <c r="AF14" s="112">
        <v>1</v>
      </c>
      <c r="AG14" s="112">
        <v>1</v>
      </c>
      <c r="AH14" s="112">
        <v>1</v>
      </c>
      <c r="AI14" s="112">
        <v>0</v>
      </c>
      <c r="AJ14" s="112">
        <v>1</v>
      </c>
      <c r="AK14" s="112">
        <v>1</v>
      </c>
      <c r="AL14" s="112">
        <v>1</v>
      </c>
      <c r="AM14" s="112">
        <v>1</v>
      </c>
      <c r="AN14" s="112">
        <v>1</v>
      </c>
      <c r="AO14" s="112">
        <v>1</v>
      </c>
      <c r="AP14" s="112">
        <v>0</v>
      </c>
      <c r="AQ14" s="112">
        <v>1</v>
      </c>
      <c r="AR14" s="112">
        <v>1</v>
      </c>
      <c r="AS14" s="112">
        <v>1</v>
      </c>
      <c r="AT14" s="112">
        <v>1</v>
      </c>
      <c r="AU14" s="112">
        <v>1</v>
      </c>
      <c r="AV14" s="112">
        <v>1</v>
      </c>
      <c r="AW14" s="112">
        <v>1</v>
      </c>
      <c r="AX14" s="112">
        <v>1</v>
      </c>
      <c r="AY14" s="112">
        <v>1</v>
      </c>
      <c r="AZ14" s="112">
        <v>0</v>
      </c>
      <c r="BA14" s="112">
        <v>1</v>
      </c>
      <c r="BB14" s="112">
        <v>0</v>
      </c>
      <c r="BC14" s="112">
        <v>0</v>
      </c>
      <c r="BD14" s="112">
        <v>0</v>
      </c>
      <c r="BE14" s="112">
        <v>1</v>
      </c>
      <c r="BF14" s="112">
        <v>0</v>
      </c>
      <c r="BG14" s="112">
        <v>0</v>
      </c>
      <c r="BH14" s="112">
        <v>0</v>
      </c>
      <c r="BI14" s="112">
        <v>0</v>
      </c>
    </row>
    <row r="15" spans="1:61" customFormat="1" x14ac:dyDescent="0.15">
      <c r="A15" s="193" t="s">
        <v>206</v>
      </c>
      <c r="B15" s="112">
        <v>0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1</v>
      </c>
      <c r="P15" s="112">
        <v>1</v>
      </c>
      <c r="Q15" s="112">
        <v>1</v>
      </c>
      <c r="R15" s="112">
        <v>1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1</v>
      </c>
      <c r="Y15" s="112">
        <v>1</v>
      </c>
      <c r="Z15" s="112">
        <v>1</v>
      </c>
      <c r="AA15" s="112">
        <v>1</v>
      </c>
      <c r="AB15" s="112">
        <v>1</v>
      </c>
      <c r="AC15" s="112">
        <v>1</v>
      </c>
      <c r="AD15" s="112">
        <v>1</v>
      </c>
      <c r="AE15" s="112">
        <v>1</v>
      </c>
      <c r="AF15" s="112">
        <v>0</v>
      </c>
      <c r="AG15" s="112">
        <v>1</v>
      </c>
      <c r="AH15" s="112">
        <v>1</v>
      </c>
      <c r="AI15" s="112">
        <v>1</v>
      </c>
      <c r="AJ15" s="112">
        <v>1</v>
      </c>
      <c r="AK15" s="112">
        <v>1</v>
      </c>
      <c r="AL15" s="112">
        <v>1</v>
      </c>
      <c r="AM15" s="112">
        <v>1</v>
      </c>
      <c r="AN15" s="112">
        <v>1</v>
      </c>
      <c r="AO15" s="112">
        <v>1</v>
      </c>
      <c r="AP15" s="112">
        <v>1</v>
      </c>
      <c r="AQ15" s="112">
        <v>1</v>
      </c>
      <c r="AR15" s="112">
        <v>1</v>
      </c>
      <c r="AS15" s="112">
        <v>1</v>
      </c>
      <c r="AT15" s="112">
        <v>1</v>
      </c>
      <c r="AU15" s="112">
        <v>1</v>
      </c>
      <c r="AV15" s="112">
        <v>1</v>
      </c>
      <c r="AW15" s="112">
        <v>1</v>
      </c>
      <c r="AX15" s="112">
        <v>1</v>
      </c>
      <c r="AY15" s="112">
        <v>1</v>
      </c>
      <c r="AZ15" s="112">
        <v>0</v>
      </c>
      <c r="BA15" s="112">
        <v>0</v>
      </c>
      <c r="BB15" s="112">
        <v>0</v>
      </c>
      <c r="BC15" s="112">
        <v>0</v>
      </c>
      <c r="BD15" s="112">
        <v>0</v>
      </c>
      <c r="BE15" s="112">
        <v>0</v>
      </c>
      <c r="BF15" s="112">
        <v>0</v>
      </c>
      <c r="BG15" s="112">
        <v>1</v>
      </c>
      <c r="BH15" s="112">
        <v>0</v>
      </c>
      <c r="BI15" s="112">
        <v>0</v>
      </c>
    </row>
    <row r="16" spans="1:61" customFormat="1" x14ac:dyDescent="0.15">
      <c r="A16" s="193" t="s">
        <v>207</v>
      </c>
      <c r="B16" s="112">
        <v>0</v>
      </c>
      <c r="C16" s="112">
        <v>0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1</v>
      </c>
      <c r="AB16" s="112">
        <v>1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1</v>
      </c>
      <c r="AK16" s="112">
        <v>1</v>
      </c>
      <c r="AL16" s="112">
        <v>0</v>
      </c>
      <c r="AM16" s="112">
        <v>1</v>
      </c>
      <c r="AN16" s="112">
        <v>0</v>
      </c>
      <c r="AO16" s="112">
        <v>1</v>
      </c>
      <c r="AP16" s="112">
        <v>0</v>
      </c>
      <c r="AQ16" s="112">
        <v>0</v>
      </c>
      <c r="AR16" s="112">
        <v>0</v>
      </c>
      <c r="AS16" s="112">
        <v>0</v>
      </c>
      <c r="AT16" s="112">
        <v>1</v>
      </c>
      <c r="AU16" s="112">
        <v>0</v>
      </c>
      <c r="AV16" s="112">
        <v>1</v>
      </c>
      <c r="AW16" s="112">
        <v>0</v>
      </c>
      <c r="AX16" s="112">
        <v>1</v>
      </c>
      <c r="AY16" s="112">
        <v>1</v>
      </c>
      <c r="AZ16" s="112">
        <v>1</v>
      </c>
      <c r="BA16" s="112">
        <v>0</v>
      </c>
      <c r="BB16" s="112">
        <v>1</v>
      </c>
      <c r="BC16" s="112">
        <v>0</v>
      </c>
      <c r="BD16" s="112">
        <v>0</v>
      </c>
      <c r="BE16" s="112">
        <v>1</v>
      </c>
      <c r="BF16" s="112">
        <v>1</v>
      </c>
      <c r="BG16" s="112">
        <v>0</v>
      </c>
      <c r="BH16" s="112">
        <v>0</v>
      </c>
      <c r="BI16" s="112">
        <v>0</v>
      </c>
    </row>
    <row r="17" spans="1:61" customFormat="1" x14ac:dyDescent="0.15">
      <c r="A17" s="193" t="s">
        <v>208</v>
      </c>
      <c r="B17" s="112">
        <v>0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1</v>
      </c>
      <c r="S17" s="112">
        <v>0</v>
      </c>
      <c r="T17" s="112">
        <v>0</v>
      </c>
      <c r="U17" s="112">
        <v>0</v>
      </c>
      <c r="V17" s="112">
        <v>0</v>
      </c>
      <c r="W17" s="112">
        <v>1</v>
      </c>
      <c r="X17" s="112">
        <v>0</v>
      </c>
      <c r="Y17" s="112">
        <v>0</v>
      </c>
      <c r="Z17" s="112">
        <v>0</v>
      </c>
      <c r="AA17" s="112">
        <v>1</v>
      </c>
      <c r="AB17" s="112">
        <v>1</v>
      </c>
      <c r="AC17" s="112">
        <v>1</v>
      </c>
      <c r="AD17" s="112">
        <v>0</v>
      </c>
      <c r="AE17" s="112">
        <v>1</v>
      </c>
      <c r="AF17" s="112">
        <v>1</v>
      </c>
      <c r="AG17" s="112">
        <v>0</v>
      </c>
      <c r="AH17" s="112">
        <v>0</v>
      </c>
      <c r="AI17" s="112">
        <v>0</v>
      </c>
      <c r="AJ17" s="112">
        <v>1</v>
      </c>
      <c r="AK17" s="112">
        <v>1</v>
      </c>
      <c r="AL17" s="112">
        <v>0</v>
      </c>
      <c r="AM17" s="112">
        <v>1</v>
      </c>
      <c r="AN17" s="112">
        <v>1</v>
      </c>
      <c r="AO17" s="112">
        <v>1</v>
      </c>
      <c r="AP17" s="112">
        <v>1</v>
      </c>
      <c r="AQ17" s="112">
        <v>0</v>
      </c>
      <c r="AR17" s="112">
        <v>0</v>
      </c>
      <c r="AS17" s="112">
        <v>1</v>
      </c>
      <c r="AT17" s="112">
        <v>0</v>
      </c>
      <c r="AU17" s="112">
        <v>1</v>
      </c>
      <c r="AV17" s="112">
        <v>1</v>
      </c>
      <c r="AW17" s="112">
        <v>0</v>
      </c>
      <c r="AX17" s="112">
        <v>1</v>
      </c>
      <c r="AY17" s="112">
        <v>1</v>
      </c>
      <c r="AZ17" s="112">
        <v>1</v>
      </c>
      <c r="BA17" s="112">
        <v>1</v>
      </c>
      <c r="BB17" s="112">
        <v>1</v>
      </c>
      <c r="BC17" s="112">
        <v>1</v>
      </c>
      <c r="BD17" s="112">
        <v>1</v>
      </c>
      <c r="BE17" s="112">
        <v>1</v>
      </c>
      <c r="BF17" s="112">
        <v>1</v>
      </c>
      <c r="BG17" s="112">
        <v>1</v>
      </c>
      <c r="BH17" s="112">
        <v>0</v>
      </c>
      <c r="BI17" s="112">
        <v>0</v>
      </c>
    </row>
    <row r="18" spans="1:61" customFormat="1" x14ac:dyDescent="0.15">
      <c r="A18" s="193" t="s">
        <v>209</v>
      </c>
      <c r="B18" s="112">
        <v>0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1</v>
      </c>
      <c r="X18" s="112">
        <v>0</v>
      </c>
      <c r="Y18" s="112">
        <v>0</v>
      </c>
      <c r="Z18" s="112">
        <v>0</v>
      </c>
      <c r="AA18" s="112">
        <v>0</v>
      </c>
      <c r="AB18" s="112">
        <v>1</v>
      </c>
      <c r="AC18" s="112">
        <v>1</v>
      </c>
      <c r="AD18" s="112">
        <v>1</v>
      </c>
      <c r="AE18" s="112">
        <v>1</v>
      </c>
      <c r="AF18" s="112">
        <v>1</v>
      </c>
      <c r="AG18" s="112">
        <v>0</v>
      </c>
      <c r="AH18" s="112">
        <v>1</v>
      </c>
      <c r="AI18" s="112">
        <v>1</v>
      </c>
      <c r="AJ18" s="112">
        <v>1</v>
      </c>
      <c r="AK18" s="112">
        <v>1</v>
      </c>
      <c r="AL18" s="112">
        <v>0</v>
      </c>
      <c r="AM18" s="112">
        <v>1</v>
      </c>
      <c r="AN18" s="112">
        <v>1</v>
      </c>
      <c r="AO18" s="112">
        <v>1</v>
      </c>
      <c r="AP18" s="112">
        <v>1</v>
      </c>
      <c r="AQ18" s="112">
        <v>0</v>
      </c>
      <c r="AR18" s="112">
        <v>0</v>
      </c>
      <c r="AS18" s="112">
        <v>0</v>
      </c>
      <c r="AT18" s="112">
        <v>0</v>
      </c>
      <c r="AU18" s="112">
        <v>1</v>
      </c>
      <c r="AV18" s="112">
        <v>1</v>
      </c>
      <c r="AW18" s="112">
        <v>0</v>
      </c>
      <c r="AX18" s="112">
        <v>1</v>
      </c>
      <c r="AY18" s="112">
        <v>1</v>
      </c>
      <c r="AZ18" s="112">
        <v>1</v>
      </c>
      <c r="BA18" s="112">
        <v>1</v>
      </c>
      <c r="BB18" s="112">
        <v>1</v>
      </c>
      <c r="BC18" s="112">
        <v>1</v>
      </c>
      <c r="BD18" s="112">
        <v>1</v>
      </c>
      <c r="BE18" s="112">
        <v>0</v>
      </c>
      <c r="BF18" s="112">
        <v>1</v>
      </c>
      <c r="BG18" s="112">
        <v>1</v>
      </c>
      <c r="BH18" s="112">
        <v>0</v>
      </c>
      <c r="BI18" s="112">
        <v>0</v>
      </c>
    </row>
    <row r="19" spans="1:61" customFormat="1" x14ac:dyDescent="0.15">
      <c r="A19" s="193" t="s">
        <v>210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1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1</v>
      </c>
      <c r="AB19" s="112">
        <v>1</v>
      </c>
      <c r="AC19" s="112">
        <v>1</v>
      </c>
      <c r="AD19" s="112">
        <v>1</v>
      </c>
      <c r="AE19" s="112">
        <v>1</v>
      </c>
      <c r="AF19" s="112">
        <v>1</v>
      </c>
      <c r="AG19" s="112">
        <v>0</v>
      </c>
      <c r="AH19" s="112">
        <v>1</v>
      </c>
      <c r="AI19" s="112">
        <v>1</v>
      </c>
      <c r="AJ19" s="112">
        <v>1</v>
      </c>
      <c r="AK19" s="112">
        <v>1</v>
      </c>
      <c r="AL19" s="112">
        <v>0</v>
      </c>
      <c r="AM19" s="112">
        <v>1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1</v>
      </c>
      <c r="AW19" s="112">
        <v>0</v>
      </c>
      <c r="AX19" s="112">
        <v>1</v>
      </c>
      <c r="AY19" s="112">
        <v>1</v>
      </c>
      <c r="AZ19" s="112">
        <v>0</v>
      </c>
      <c r="BA19" s="112">
        <v>1</v>
      </c>
      <c r="BB19" s="112">
        <v>1</v>
      </c>
      <c r="BC19" s="112">
        <v>1</v>
      </c>
      <c r="BD19" s="112">
        <v>1</v>
      </c>
      <c r="BE19" s="112">
        <v>1</v>
      </c>
      <c r="BF19" s="112">
        <v>1</v>
      </c>
      <c r="BG19" s="112">
        <v>1</v>
      </c>
      <c r="BH19" s="112">
        <v>0</v>
      </c>
      <c r="BI19" s="112">
        <v>0</v>
      </c>
    </row>
    <row r="20" spans="1:61" customFormat="1" x14ac:dyDescent="0.15">
      <c r="A20" s="193" t="s">
        <v>211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1</v>
      </c>
      <c r="AC20" s="112">
        <v>1</v>
      </c>
      <c r="AD20" s="112">
        <v>0</v>
      </c>
      <c r="AE20" s="112">
        <v>1</v>
      </c>
      <c r="AF20" s="112">
        <v>1</v>
      </c>
      <c r="AG20" s="112">
        <v>0</v>
      </c>
      <c r="AH20" s="112">
        <v>0</v>
      </c>
      <c r="AI20" s="112">
        <v>1</v>
      </c>
      <c r="AJ20" s="112">
        <v>0</v>
      </c>
      <c r="AK20" s="112">
        <v>1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1</v>
      </c>
      <c r="BB20" s="112">
        <v>1</v>
      </c>
      <c r="BC20" s="112">
        <v>1</v>
      </c>
      <c r="BD20" s="112">
        <v>1</v>
      </c>
      <c r="BE20" s="112">
        <v>0</v>
      </c>
      <c r="BF20" s="112">
        <v>1</v>
      </c>
      <c r="BG20" s="112">
        <v>1</v>
      </c>
      <c r="BH20" s="112">
        <v>0</v>
      </c>
      <c r="BI20" s="112">
        <v>0</v>
      </c>
    </row>
    <row r="21" spans="1:61" customFormat="1" x14ac:dyDescent="0.15">
      <c r="A21" s="193" t="s">
        <v>212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1</v>
      </c>
      <c r="AC21" s="112">
        <v>1</v>
      </c>
      <c r="AD21" s="112">
        <v>0</v>
      </c>
      <c r="AE21" s="112">
        <v>1</v>
      </c>
      <c r="AF21" s="112">
        <v>1</v>
      </c>
      <c r="AG21" s="112">
        <v>0</v>
      </c>
      <c r="AH21" s="112">
        <v>0</v>
      </c>
      <c r="AI21" s="112">
        <v>1</v>
      </c>
      <c r="AJ21" s="112">
        <v>0</v>
      </c>
      <c r="AK21" s="112">
        <v>1</v>
      </c>
      <c r="AL21" s="112">
        <v>0</v>
      </c>
      <c r="AM21" s="112">
        <v>0</v>
      </c>
      <c r="AN21" s="112">
        <v>1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1</v>
      </c>
      <c r="BB21" s="112">
        <v>1</v>
      </c>
      <c r="BC21" s="112">
        <v>1</v>
      </c>
      <c r="BD21" s="112">
        <v>0</v>
      </c>
      <c r="BE21" s="112">
        <v>0</v>
      </c>
      <c r="BF21" s="112">
        <v>1</v>
      </c>
      <c r="BG21" s="112">
        <v>1</v>
      </c>
      <c r="BH21" s="112">
        <v>0</v>
      </c>
      <c r="BI21" s="112">
        <v>0</v>
      </c>
    </row>
    <row r="22" spans="1:61" customFormat="1" x14ac:dyDescent="0.15">
      <c r="A22" s="193" t="s">
        <v>213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1</v>
      </c>
      <c r="R22" s="112">
        <v>1</v>
      </c>
      <c r="S22" s="112">
        <v>0</v>
      </c>
      <c r="T22" s="112">
        <v>0</v>
      </c>
      <c r="U22" s="112">
        <v>0</v>
      </c>
      <c r="V22" s="112">
        <v>0</v>
      </c>
      <c r="W22" s="112">
        <v>1</v>
      </c>
      <c r="X22" s="112">
        <v>0</v>
      </c>
      <c r="Y22" s="112">
        <v>0</v>
      </c>
      <c r="Z22" s="112">
        <v>1</v>
      </c>
      <c r="AA22" s="112">
        <v>1</v>
      </c>
      <c r="AB22" s="112">
        <v>1</v>
      </c>
      <c r="AC22" s="112">
        <v>1</v>
      </c>
      <c r="AD22" s="112">
        <v>1</v>
      </c>
      <c r="AE22" s="112">
        <v>1</v>
      </c>
      <c r="AF22" s="112">
        <v>1</v>
      </c>
      <c r="AG22" s="112">
        <v>1</v>
      </c>
      <c r="AH22" s="112">
        <v>1</v>
      </c>
      <c r="AI22" s="112">
        <v>1</v>
      </c>
      <c r="AJ22" s="112">
        <v>1</v>
      </c>
      <c r="AK22" s="112">
        <v>1</v>
      </c>
      <c r="AL22" s="112">
        <v>0</v>
      </c>
      <c r="AM22" s="112">
        <v>1</v>
      </c>
      <c r="AN22" s="112">
        <v>1</v>
      </c>
      <c r="AO22" s="112">
        <v>0</v>
      </c>
      <c r="AP22" s="112">
        <v>0</v>
      </c>
      <c r="AQ22" s="112">
        <v>1</v>
      </c>
      <c r="AR22" s="112">
        <v>0</v>
      </c>
      <c r="AS22" s="112">
        <v>0</v>
      </c>
      <c r="AT22" s="112">
        <v>1</v>
      </c>
      <c r="AU22" s="112">
        <v>1</v>
      </c>
      <c r="AV22" s="112">
        <v>1</v>
      </c>
      <c r="AW22" s="112">
        <v>1</v>
      </c>
      <c r="AX22" s="112">
        <v>1</v>
      </c>
      <c r="AY22" s="112">
        <v>1</v>
      </c>
      <c r="AZ22" s="112">
        <v>1</v>
      </c>
      <c r="BA22" s="112">
        <v>1</v>
      </c>
      <c r="BB22" s="112">
        <v>1</v>
      </c>
      <c r="BC22" s="112">
        <v>1</v>
      </c>
      <c r="BD22" s="112">
        <v>1</v>
      </c>
      <c r="BE22" s="112">
        <v>1</v>
      </c>
      <c r="BF22" s="112">
        <v>1</v>
      </c>
      <c r="BG22" s="112">
        <v>1</v>
      </c>
      <c r="BH22" s="112">
        <v>0</v>
      </c>
      <c r="BI22" s="112">
        <v>0</v>
      </c>
    </row>
    <row r="23" spans="1:61" customFormat="1" x14ac:dyDescent="0.15">
      <c r="A23" s="193" t="s">
        <v>214</v>
      </c>
      <c r="B23" s="112">
        <v>0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1</v>
      </c>
      <c r="AC23" s="112">
        <v>1</v>
      </c>
      <c r="AD23" s="112">
        <v>0</v>
      </c>
      <c r="AE23" s="112">
        <v>1</v>
      </c>
      <c r="AF23" s="112">
        <v>1</v>
      </c>
      <c r="AG23" s="112">
        <v>1</v>
      </c>
      <c r="AH23" s="112">
        <v>0</v>
      </c>
      <c r="AI23" s="112">
        <v>0</v>
      </c>
      <c r="AJ23" s="112">
        <v>1</v>
      </c>
      <c r="AK23" s="112">
        <v>1</v>
      </c>
      <c r="AL23" s="112">
        <v>0</v>
      </c>
      <c r="AM23" s="112">
        <v>1</v>
      </c>
      <c r="AN23" s="112">
        <v>1</v>
      </c>
      <c r="AO23" s="112">
        <v>1</v>
      </c>
      <c r="AP23" s="112">
        <v>1</v>
      </c>
      <c r="AQ23" s="112">
        <v>0</v>
      </c>
      <c r="AR23" s="112">
        <v>0</v>
      </c>
      <c r="AS23" s="112">
        <v>0</v>
      </c>
      <c r="AT23" s="112">
        <v>0</v>
      </c>
      <c r="AU23" s="112">
        <v>1</v>
      </c>
      <c r="AV23" s="112">
        <v>1</v>
      </c>
      <c r="AW23" s="112">
        <v>0</v>
      </c>
      <c r="AX23" s="112">
        <v>1</v>
      </c>
      <c r="AY23" s="112">
        <v>0</v>
      </c>
      <c r="AZ23" s="112">
        <v>0</v>
      </c>
      <c r="BA23" s="112">
        <v>1</v>
      </c>
      <c r="BB23" s="112">
        <v>1</v>
      </c>
      <c r="BC23" s="112">
        <v>1</v>
      </c>
      <c r="BD23" s="112">
        <v>1</v>
      </c>
      <c r="BE23" s="112">
        <v>1</v>
      </c>
      <c r="BF23" s="112">
        <v>1</v>
      </c>
      <c r="BG23" s="112">
        <v>1</v>
      </c>
      <c r="BH23" s="112">
        <v>0</v>
      </c>
      <c r="BI23" s="112">
        <v>0</v>
      </c>
    </row>
    <row r="24" spans="1:61" customFormat="1" x14ac:dyDescent="0.15">
      <c r="A24" s="193" t="s">
        <v>215</v>
      </c>
      <c r="B24" s="112">
        <v>0</v>
      </c>
      <c r="C24" s="112">
        <v>0</v>
      </c>
      <c r="D24" s="112">
        <v>0</v>
      </c>
      <c r="E24" s="112">
        <v>0</v>
      </c>
      <c r="F24" s="112">
        <v>0</v>
      </c>
      <c r="G24" s="112">
        <v>1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1</v>
      </c>
      <c r="S24" s="112">
        <v>0</v>
      </c>
      <c r="T24" s="112">
        <v>0</v>
      </c>
      <c r="U24" s="112">
        <v>0</v>
      </c>
      <c r="V24" s="112">
        <v>0</v>
      </c>
      <c r="W24" s="112">
        <v>1</v>
      </c>
      <c r="X24" s="112">
        <v>1</v>
      </c>
      <c r="Y24" s="112">
        <v>1</v>
      </c>
      <c r="Z24" s="112">
        <v>1</v>
      </c>
      <c r="AA24" s="112">
        <v>0</v>
      </c>
      <c r="AB24" s="112">
        <v>1</v>
      </c>
      <c r="AC24" s="112">
        <v>1</v>
      </c>
      <c r="AD24" s="112">
        <v>1</v>
      </c>
      <c r="AE24" s="112">
        <v>1</v>
      </c>
      <c r="AF24" s="112">
        <v>1</v>
      </c>
      <c r="AG24" s="112">
        <v>1</v>
      </c>
      <c r="AH24" s="112">
        <v>1</v>
      </c>
      <c r="AI24" s="112">
        <v>1</v>
      </c>
      <c r="AJ24" s="112">
        <v>1</v>
      </c>
      <c r="AK24" s="112">
        <v>0</v>
      </c>
      <c r="AL24" s="112">
        <v>0</v>
      </c>
      <c r="AM24" s="112">
        <v>1</v>
      </c>
      <c r="AN24" s="112">
        <v>1</v>
      </c>
      <c r="AO24" s="112">
        <v>1</v>
      </c>
      <c r="AP24" s="112">
        <v>1</v>
      </c>
      <c r="AQ24" s="112">
        <v>1</v>
      </c>
      <c r="AR24" s="112">
        <v>0</v>
      </c>
      <c r="AS24" s="112">
        <v>0</v>
      </c>
      <c r="AT24" s="112">
        <v>1</v>
      </c>
      <c r="AU24" s="112">
        <v>1</v>
      </c>
      <c r="AV24" s="112">
        <v>1</v>
      </c>
      <c r="AW24" s="112">
        <v>1</v>
      </c>
      <c r="AX24" s="112">
        <v>1</v>
      </c>
      <c r="AY24" s="112">
        <v>1</v>
      </c>
      <c r="AZ24" s="112">
        <v>1</v>
      </c>
      <c r="BA24" s="112">
        <v>1</v>
      </c>
      <c r="BB24" s="112">
        <v>1</v>
      </c>
      <c r="BC24" s="112">
        <v>1</v>
      </c>
      <c r="BD24" s="112">
        <v>0</v>
      </c>
      <c r="BE24" s="112">
        <v>1</v>
      </c>
      <c r="BF24" s="112">
        <v>1</v>
      </c>
      <c r="BG24" s="112">
        <v>1</v>
      </c>
      <c r="BH24" s="112">
        <v>0</v>
      </c>
      <c r="BI24" s="112">
        <v>0</v>
      </c>
    </row>
    <row r="25" spans="1:61" customFormat="1" x14ac:dyDescent="0.15">
      <c r="A25" s="193" t="s">
        <v>216</v>
      </c>
      <c r="B25" s="112">
        <v>0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1</v>
      </c>
      <c r="Y25" s="112">
        <v>0</v>
      </c>
      <c r="Z25" s="112">
        <v>0</v>
      </c>
      <c r="AA25" s="112">
        <v>0</v>
      </c>
      <c r="AB25" s="112">
        <v>1</v>
      </c>
      <c r="AC25" s="112">
        <v>1</v>
      </c>
      <c r="AD25" s="112">
        <v>0</v>
      </c>
      <c r="AE25" s="112">
        <v>1</v>
      </c>
      <c r="AF25" s="112">
        <v>1</v>
      </c>
      <c r="AG25" s="112">
        <v>1</v>
      </c>
      <c r="AH25" s="112">
        <v>1</v>
      </c>
      <c r="AI25" s="112">
        <v>1</v>
      </c>
      <c r="AJ25" s="112">
        <v>1</v>
      </c>
      <c r="AK25" s="112">
        <v>1</v>
      </c>
      <c r="AL25" s="112">
        <v>0</v>
      </c>
      <c r="AM25" s="112">
        <v>1</v>
      </c>
      <c r="AN25" s="112">
        <v>1</v>
      </c>
      <c r="AO25" s="112">
        <v>1</v>
      </c>
      <c r="AP25" s="112">
        <v>1</v>
      </c>
      <c r="AQ25" s="112">
        <v>1</v>
      </c>
      <c r="AR25" s="112">
        <v>0</v>
      </c>
      <c r="AS25" s="112">
        <v>0</v>
      </c>
      <c r="AT25" s="112">
        <v>1</v>
      </c>
      <c r="AU25" s="112">
        <v>1</v>
      </c>
      <c r="AV25" s="112">
        <v>1</v>
      </c>
      <c r="AW25" s="112">
        <v>0</v>
      </c>
      <c r="AX25" s="112">
        <v>1</v>
      </c>
      <c r="AY25" s="112">
        <v>1</v>
      </c>
      <c r="AZ25" s="112">
        <v>1</v>
      </c>
      <c r="BA25" s="112">
        <v>1</v>
      </c>
      <c r="BB25" s="112">
        <v>1</v>
      </c>
      <c r="BC25" s="112">
        <v>1</v>
      </c>
      <c r="BD25" s="112">
        <v>1</v>
      </c>
      <c r="BE25" s="112">
        <v>1</v>
      </c>
      <c r="BF25" s="112">
        <v>1</v>
      </c>
      <c r="BG25" s="112">
        <v>1</v>
      </c>
      <c r="BH25" s="112">
        <v>0</v>
      </c>
      <c r="BI25" s="112">
        <v>0</v>
      </c>
    </row>
    <row r="26" spans="1:61" customFormat="1" x14ac:dyDescent="0.15">
      <c r="A26" s="193" t="s">
        <v>217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12">
        <v>0</v>
      </c>
      <c r="Q26" s="112">
        <v>1</v>
      </c>
      <c r="R26" s="112">
        <v>1</v>
      </c>
      <c r="S26" s="112">
        <v>0</v>
      </c>
      <c r="T26" s="112">
        <v>0</v>
      </c>
      <c r="U26" s="112">
        <v>0</v>
      </c>
      <c r="V26" s="112">
        <v>0</v>
      </c>
      <c r="W26" s="112">
        <v>1</v>
      </c>
      <c r="X26" s="112">
        <v>0</v>
      </c>
      <c r="Y26" s="112">
        <v>0</v>
      </c>
      <c r="Z26" s="112">
        <v>1</v>
      </c>
      <c r="AA26" s="112">
        <v>1</v>
      </c>
      <c r="AB26" s="112">
        <v>1</v>
      </c>
      <c r="AC26" s="112">
        <v>1</v>
      </c>
      <c r="AD26" s="112">
        <v>1</v>
      </c>
      <c r="AE26" s="112">
        <v>1</v>
      </c>
      <c r="AF26" s="112">
        <v>1</v>
      </c>
      <c r="AG26" s="112">
        <v>0</v>
      </c>
      <c r="AH26" s="112">
        <v>1</v>
      </c>
      <c r="AI26" s="112">
        <v>0</v>
      </c>
      <c r="AJ26" s="112">
        <v>1</v>
      </c>
      <c r="AK26" s="112">
        <v>1</v>
      </c>
      <c r="AL26" s="112">
        <v>1</v>
      </c>
      <c r="AM26" s="112">
        <v>1</v>
      </c>
      <c r="AN26" s="112">
        <v>1</v>
      </c>
      <c r="AO26" s="112">
        <v>1</v>
      </c>
      <c r="AP26" s="112">
        <v>1</v>
      </c>
      <c r="AQ26" s="112">
        <v>1</v>
      </c>
      <c r="AR26" s="112">
        <v>1</v>
      </c>
      <c r="AS26" s="112">
        <v>1</v>
      </c>
      <c r="AT26" s="112">
        <v>1</v>
      </c>
      <c r="AU26" s="112">
        <v>1</v>
      </c>
      <c r="AV26" s="112">
        <v>1</v>
      </c>
      <c r="AW26" s="112">
        <v>0</v>
      </c>
      <c r="AX26" s="112">
        <v>1</v>
      </c>
      <c r="AY26" s="112">
        <v>1</v>
      </c>
      <c r="AZ26" s="112">
        <v>1</v>
      </c>
      <c r="BA26" s="112">
        <v>1</v>
      </c>
      <c r="BB26" s="112">
        <v>1</v>
      </c>
      <c r="BC26" s="112">
        <v>1</v>
      </c>
      <c r="BD26" s="112">
        <v>1</v>
      </c>
      <c r="BE26" s="112">
        <v>1</v>
      </c>
      <c r="BF26" s="112">
        <v>1</v>
      </c>
      <c r="BG26" s="112">
        <v>1</v>
      </c>
      <c r="BH26" s="112">
        <v>0</v>
      </c>
      <c r="BI26" s="112">
        <v>0</v>
      </c>
    </row>
    <row r="27" spans="1:61" customFormat="1" x14ac:dyDescent="0.15">
      <c r="A27" s="193" t="s">
        <v>218</v>
      </c>
      <c r="B27" s="112">
        <v>0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0</v>
      </c>
      <c r="Z27" s="112">
        <v>0</v>
      </c>
      <c r="AA27" s="112">
        <v>0</v>
      </c>
      <c r="AB27" s="112">
        <v>1</v>
      </c>
      <c r="AC27" s="112">
        <v>1</v>
      </c>
      <c r="AD27" s="112">
        <v>0</v>
      </c>
      <c r="AE27" s="112">
        <v>1</v>
      </c>
      <c r="AF27" s="112">
        <v>1</v>
      </c>
      <c r="AG27" s="112">
        <v>0</v>
      </c>
      <c r="AH27" s="112">
        <v>0</v>
      </c>
      <c r="AI27" s="112">
        <v>1</v>
      </c>
      <c r="AJ27" s="112">
        <v>1</v>
      </c>
      <c r="AK27" s="112">
        <v>1</v>
      </c>
      <c r="AL27" s="112">
        <v>0</v>
      </c>
      <c r="AM27" s="112">
        <v>0</v>
      </c>
      <c r="AN27" s="112">
        <v>1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1</v>
      </c>
      <c r="AV27" s="112">
        <v>0</v>
      </c>
      <c r="AW27" s="112">
        <v>0</v>
      </c>
      <c r="AX27" s="112">
        <v>1</v>
      </c>
      <c r="AY27" s="112">
        <v>1</v>
      </c>
      <c r="AZ27" s="112">
        <v>0</v>
      </c>
      <c r="BA27" s="112">
        <v>0</v>
      </c>
      <c r="BB27" s="112">
        <v>1</v>
      </c>
      <c r="BC27" s="112">
        <v>0</v>
      </c>
      <c r="BD27" s="112">
        <v>0</v>
      </c>
      <c r="BE27" s="112">
        <v>0</v>
      </c>
      <c r="BF27" s="112">
        <v>0</v>
      </c>
      <c r="BG27" s="112">
        <v>0</v>
      </c>
      <c r="BH27" s="112">
        <v>0</v>
      </c>
      <c r="BI27" s="112">
        <v>0</v>
      </c>
    </row>
    <row r="28" spans="1:61" customFormat="1" x14ac:dyDescent="0.15">
      <c r="A28" s="193" t="s">
        <v>219</v>
      </c>
      <c r="B28" s="112">
        <v>0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1</v>
      </c>
      <c r="AD28" s="112">
        <v>0</v>
      </c>
      <c r="AE28" s="112">
        <v>0</v>
      </c>
      <c r="AF28" s="112">
        <v>1</v>
      </c>
      <c r="AG28" s="112">
        <v>0</v>
      </c>
      <c r="AH28" s="112">
        <v>0</v>
      </c>
      <c r="AI28" s="112">
        <v>0</v>
      </c>
      <c r="AJ28" s="112">
        <v>0</v>
      </c>
      <c r="AK28" s="112">
        <v>1</v>
      </c>
      <c r="AL28" s="112">
        <v>0</v>
      </c>
      <c r="AM28" s="112">
        <v>0</v>
      </c>
      <c r="AN28" s="112">
        <v>1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1</v>
      </c>
      <c r="BC28" s="112">
        <v>0</v>
      </c>
      <c r="BD28" s="112">
        <v>0</v>
      </c>
      <c r="BE28" s="112">
        <v>0</v>
      </c>
      <c r="BF28" s="112">
        <v>0</v>
      </c>
      <c r="BG28" s="112">
        <v>0</v>
      </c>
      <c r="BH28" s="112">
        <v>0</v>
      </c>
      <c r="BI28" s="112">
        <v>0</v>
      </c>
    </row>
    <row r="29" spans="1:61" customFormat="1" x14ac:dyDescent="0.15">
      <c r="A29" s="193" t="s">
        <v>220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</v>
      </c>
      <c r="AA29" s="112">
        <v>0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1</v>
      </c>
      <c r="AO29" s="112">
        <v>0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1</v>
      </c>
      <c r="BC29" s="112">
        <v>0</v>
      </c>
      <c r="BD29" s="112">
        <v>0</v>
      </c>
      <c r="BE29" s="112">
        <v>0</v>
      </c>
      <c r="BF29" s="112">
        <v>0</v>
      </c>
      <c r="BG29" s="112">
        <v>0</v>
      </c>
      <c r="BH29" s="112">
        <v>0</v>
      </c>
      <c r="BI29" s="112">
        <v>0</v>
      </c>
    </row>
    <row r="30" spans="1:61" customFormat="1" x14ac:dyDescent="0.15">
      <c r="A30" s="193" t="s">
        <v>221</v>
      </c>
      <c r="B30" s="112">
        <v>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1</v>
      </c>
      <c r="AB30" s="112">
        <v>1</v>
      </c>
      <c r="AC30" s="112">
        <v>0</v>
      </c>
      <c r="AD30" s="112">
        <v>0</v>
      </c>
      <c r="AE30" s="112">
        <v>1</v>
      </c>
      <c r="AF30" s="112">
        <v>1</v>
      </c>
      <c r="AG30" s="112">
        <v>0</v>
      </c>
      <c r="AH30" s="112">
        <v>0</v>
      </c>
      <c r="AI30" s="112">
        <v>0</v>
      </c>
      <c r="AJ30" s="112">
        <v>1</v>
      </c>
      <c r="AK30" s="112">
        <v>1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1</v>
      </c>
      <c r="BC30" s="112">
        <v>0</v>
      </c>
      <c r="BD30" s="112">
        <v>0</v>
      </c>
      <c r="BE30" s="112">
        <v>0</v>
      </c>
      <c r="BF30" s="112">
        <v>0</v>
      </c>
      <c r="BG30" s="112">
        <v>0</v>
      </c>
      <c r="BH30" s="112">
        <v>0</v>
      </c>
      <c r="BI30" s="112">
        <v>0</v>
      </c>
    </row>
    <row r="31" spans="1:61" customFormat="1" x14ac:dyDescent="0.15">
      <c r="A31" s="193" t="s">
        <v>222</v>
      </c>
      <c r="B31" s="112">
        <v>0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1</v>
      </c>
      <c r="AG31" s="112">
        <v>0</v>
      </c>
      <c r="AH31" s="112">
        <v>0</v>
      </c>
      <c r="AI31" s="112">
        <v>0</v>
      </c>
      <c r="AJ31" s="112">
        <v>0</v>
      </c>
      <c r="AK31" s="112">
        <v>1</v>
      </c>
      <c r="AL31" s="112">
        <v>0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1</v>
      </c>
      <c r="BC31" s="112">
        <v>0</v>
      </c>
      <c r="BD31" s="112">
        <v>0</v>
      </c>
      <c r="BE31" s="112">
        <v>0</v>
      </c>
      <c r="BF31" s="112">
        <v>0</v>
      </c>
      <c r="BG31" s="112">
        <v>0</v>
      </c>
      <c r="BH31" s="112">
        <v>0</v>
      </c>
      <c r="BI31" s="112">
        <v>0</v>
      </c>
    </row>
    <row r="32" spans="1:61" x14ac:dyDescent="0.15">
      <c r="A32" s="193" t="s">
        <v>223</v>
      </c>
      <c r="B32" s="112">
        <v>0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1</v>
      </c>
      <c r="BC32" s="112">
        <v>0</v>
      </c>
      <c r="BD32" s="112">
        <v>0</v>
      </c>
      <c r="BE32" s="112">
        <v>0</v>
      </c>
      <c r="BF32" s="112">
        <v>0</v>
      </c>
      <c r="BG32" s="112">
        <v>0</v>
      </c>
      <c r="BH32" s="112">
        <v>0</v>
      </c>
      <c r="BI32" s="112">
        <v>0</v>
      </c>
    </row>
    <row r="33" spans="1:61" x14ac:dyDescent="0.15">
      <c r="A33" s="193" t="s">
        <v>224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0</v>
      </c>
      <c r="AA33" s="112">
        <v>1</v>
      </c>
      <c r="AB33" s="112">
        <v>1</v>
      </c>
      <c r="AC33" s="112">
        <v>1</v>
      </c>
      <c r="AD33" s="112">
        <v>1</v>
      </c>
      <c r="AE33" s="112">
        <v>1</v>
      </c>
      <c r="AF33" s="112">
        <v>0</v>
      </c>
      <c r="AG33" s="112">
        <v>1</v>
      </c>
      <c r="AH33" s="112">
        <v>1</v>
      </c>
      <c r="AI33" s="112">
        <v>1</v>
      </c>
      <c r="AJ33" s="112">
        <v>1</v>
      </c>
      <c r="AK33" s="112">
        <v>1</v>
      </c>
      <c r="AL33" s="112">
        <v>0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1</v>
      </c>
      <c r="AU33" s="112">
        <v>1</v>
      </c>
      <c r="AV33" s="112">
        <v>1</v>
      </c>
      <c r="AW33" s="112">
        <v>0</v>
      </c>
      <c r="AX33" s="112">
        <v>1</v>
      </c>
      <c r="AY33" s="112">
        <v>1</v>
      </c>
      <c r="AZ33" s="112">
        <v>0</v>
      </c>
      <c r="BA33" s="112">
        <v>0</v>
      </c>
      <c r="BB33" s="112">
        <v>1</v>
      </c>
      <c r="BC33" s="112">
        <v>0</v>
      </c>
      <c r="BD33" s="112">
        <v>0</v>
      </c>
      <c r="BE33" s="112">
        <v>0</v>
      </c>
      <c r="BF33" s="112">
        <v>0</v>
      </c>
      <c r="BG33" s="112">
        <v>0</v>
      </c>
      <c r="BH33" s="112">
        <v>0</v>
      </c>
      <c r="BI33" s="112">
        <v>0</v>
      </c>
    </row>
    <row r="34" spans="1:61" x14ac:dyDescent="0.15">
      <c r="A34" s="193" t="s">
        <v>225</v>
      </c>
      <c r="B34" s="112">
        <v>0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1</v>
      </c>
      <c r="AC34" s="112">
        <v>1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1</v>
      </c>
      <c r="AJ34" s="112">
        <v>0</v>
      </c>
      <c r="AK34" s="112">
        <v>1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1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1</v>
      </c>
      <c r="BC34" s="112">
        <v>0</v>
      </c>
      <c r="BD34" s="112">
        <v>0</v>
      </c>
      <c r="BE34" s="112">
        <v>0</v>
      </c>
      <c r="BF34" s="112">
        <v>0</v>
      </c>
      <c r="BG34" s="112">
        <v>0</v>
      </c>
      <c r="BH34" s="112">
        <v>0</v>
      </c>
      <c r="BI34" s="112">
        <v>0</v>
      </c>
    </row>
    <row r="35" spans="1:61" x14ac:dyDescent="0.15">
      <c r="A35" s="193" t="s">
        <v>226</v>
      </c>
      <c r="B35" s="112">
        <v>0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1</v>
      </c>
      <c r="BC35" s="112">
        <v>0</v>
      </c>
      <c r="BD35" s="112">
        <v>0</v>
      </c>
      <c r="BE35" s="112">
        <v>0</v>
      </c>
      <c r="BF35" s="112">
        <v>0</v>
      </c>
      <c r="BG35" s="112">
        <v>0</v>
      </c>
      <c r="BH35" s="112">
        <v>0</v>
      </c>
      <c r="BI35" s="112">
        <v>0</v>
      </c>
    </row>
    <row r="36" spans="1:61" x14ac:dyDescent="0.15">
      <c r="A36" s="193" t="s">
        <v>227</v>
      </c>
      <c r="B36" s="112">
        <v>0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1</v>
      </c>
      <c r="AC36" s="112">
        <v>1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1</v>
      </c>
      <c r="AL36" s="112">
        <v>0</v>
      </c>
      <c r="AM36" s="112">
        <v>0</v>
      </c>
      <c r="AN36" s="112">
        <v>1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1</v>
      </c>
      <c r="AV36" s="112">
        <v>0</v>
      </c>
      <c r="AW36" s="112">
        <v>0</v>
      </c>
      <c r="AX36" s="112">
        <v>1</v>
      </c>
      <c r="AY36" s="112">
        <v>0</v>
      </c>
      <c r="AZ36" s="112">
        <v>0</v>
      </c>
      <c r="BA36" s="112">
        <v>1</v>
      </c>
      <c r="BB36" s="112">
        <v>1</v>
      </c>
      <c r="BC36" s="112">
        <v>0</v>
      </c>
      <c r="BD36" s="112">
        <v>1</v>
      </c>
      <c r="BE36" s="112">
        <v>0</v>
      </c>
      <c r="BF36" s="112">
        <v>1</v>
      </c>
      <c r="BG36" s="112">
        <v>1</v>
      </c>
      <c r="BH36" s="112">
        <v>0</v>
      </c>
      <c r="BI36" s="112">
        <v>0</v>
      </c>
    </row>
    <row r="37" spans="1:61" x14ac:dyDescent="0.15">
      <c r="A37" s="193" t="s">
        <v>228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1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1</v>
      </c>
      <c r="BB37" s="112">
        <v>1</v>
      </c>
      <c r="BC37" s="112">
        <v>0</v>
      </c>
      <c r="BD37" s="112">
        <v>0</v>
      </c>
      <c r="BE37" s="112">
        <v>0</v>
      </c>
      <c r="BF37" s="112">
        <v>1</v>
      </c>
      <c r="BG37" s="112">
        <v>0</v>
      </c>
      <c r="BH37" s="112">
        <v>0</v>
      </c>
      <c r="BI37" s="112">
        <v>0</v>
      </c>
    </row>
    <row r="38" spans="1:61" x14ac:dyDescent="0.15">
      <c r="A38" s="193" t="s">
        <v>229</v>
      </c>
      <c r="B38" s="112">
        <v>0</v>
      </c>
      <c r="C38" s="112">
        <v>0</v>
      </c>
      <c r="D38" s="112">
        <v>0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1</v>
      </c>
      <c r="AK38" s="112">
        <v>1</v>
      </c>
      <c r="AL38" s="112">
        <v>0</v>
      </c>
      <c r="AM38" s="112">
        <v>1</v>
      </c>
      <c r="AN38" s="112">
        <v>1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1</v>
      </c>
      <c r="AY38" s="112">
        <v>0</v>
      </c>
      <c r="AZ38" s="112">
        <v>0</v>
      </c>
      <c r="BA38" s="112">
        <v>1</v>
      </c>
      <c r="BB38" s="112">
        <v>1</v>
      </c>
      <c r="BC38" s="112">
        <v>0</v>
      </c>
      <c r="BD38" s="112">
        <v>1</v>
      </c>
      <c r="BE38" s="112">
        <v>0</v>
      </c>
      <c r="BF38" s="112">
        <v>1</v>
      </c>
      <c r="BG38" s="112">
        <v>1</v>
      </c>
      <c r="BH38" s="112">
        <v>0</v>
      </c>
      <c r="BI38" s="112">
        <v>0</v>
      </c>
    </row>
    <row r="39" spans="1:61" x14ac:dyDescent="0.15">
      <c r="A39" s="193" t="s">
        <v>230</v>
      </c>
      <c r="B39" s="112">
        <v>0</v>
      </c>
      <c r="C39" s="112">
        <v>0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1</v>
      </c>
      <c r="AL39" s="112">
        <v>0</v>
      </c>
      <c r="AM39" s="112">
        <v>0</v>
      </c>
      <c r="AN39" s="112">
        <v>1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1</v>
      </c>
      <c r="BB39" s="112">
        <v>1</v>
      </c>
      <c r="BC39" s="112">
        <v>0</v>
      </c>
      <c r="BD39" s="112">
        <v>1</v>
      </c>
      <c r="BE39" s="112">
        <v>0</v>
      </c>
      <c r="BF39" s="112">
        <v>1</v>
      </c>
      <c r="BG39" s="112">
        <v>1</v>
      </c>
      <c r="BH39" s="112">
        <v>0</v>
      </c>
      <c r="BI39" s="112">
        <v>0</v>
      </c>
    </row>
    <row r="40" spans="1:61" x14ac:dyDescent="0.15">
      <c r="A40" s="193" t="s">
        <v>231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1</v>
      </c>
      <c r="AL40" s="112">
        <v>0</v>
      </c>
      <c r="AM40" s="112">
        <v>0</v>
      </c>
      <c r="AN40" s="112">
        <v>1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1</v>
      </c>
      <c r="BB40" s="112">
        <v>1</v>
      </c>
      <c r="BC40" s="112">
        <v>0</v>
      </c>
      <c r="BD40" s="112">
        <v>0</v>
      </c>
      <c r="BE40" s="112">
        <v>0</v>
      </c>
      <c r="BF40" s="112">
        <v>1</v>
      </c>
      <c r="BG40" s="112">
        <v>0</v>
      </c>
      <c r="BH40" s="112">
        <v>0</v>
      </c>
      <c r="BI40" s="112">
        <v>0</v>
      </c>
    </row>
    <row r="41" spans="1:61" x14ac:dyDescent="0.15">
      <c r="A41" s="193" t="s">
        <v>232</v>
      </c>
      <c r="B41" s="112">
        <v>0</v>
      </c>
      <c r="C41" s="112">
        <v>0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1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1</v>
      </c>
      <c r="AK41" s="112">
        <v>1</v>
      </c>
      <c r="AL41" s="112">
        <v>0</v>
      </c>
      <c r="AM41" s="112">
        <v>1</v>
      </c>
      <c r="AN41" s="112">
        <v>1</v>
      </c>
      <c r="AO41" s="112">
        <v>1</v>
      </c>
      <c r="AP41" s="112">
        <v>1</v>
      </c>
      <c r="AQ41" s="112">
        <v>0</v>
      </c>
      <c r="AR41" s="112">
        <v>0</v>
      </c>
      <c r="AS41" s="112">
        <v>0</v>
      </c>
      <c r="AT41" s="112">
        <v>1</v>
      </c>
      <c r="AU41" s="112">
        <v>1</v>
      </c>
      <c r="AV41" s="112">
        <v>1</v>
      </c>
      <c r="AW41" s="112">
        <v>0</v>
      </c>
      <c r="AX41" s="112">
        <v>1</v>
      </c>
      <c r="AY41" s="112">
        <v>1</v>
      </c>
      <c r="AZ41" s="112">
        <v>0</v>
      </c>
      <c r="BA41" s="112">
        <v>1</v>
      </c>
      <c r="BB41" s="112">
        <v>1</v>
      </c>
      <c r="BC41" s="112">
        <v>0</v>
      </c>
      <c r="BD41" s="112">
        <v>1</v>
      </c>
      <c r="BE41" s="112">
        <v>0</v>
      </c>
      <c r="BF41" s="112">
        <v>0</v>
      </c>
      <c r="BG41" s="112">
        <v>0</v>
      </c>
      <c r="BH41" s="112">
        <v>0</v>
      </c>
      <c r="BI41" s="112">
        <v>0</v>
      </c>
    </row>
    <row r="42" spans="1:61" x14ac:dyDescent="0.15">
      <c r="A42" s="193" t="s">
        <v>233</v>
      </c>
      <c r="B42" s="112">
        <v>0</v>
      </c>
      <c r="C42" s="112">
        <v>0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1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1</v>
      </c>
      <c r="Y42" s="112">
        <v>0</v>
      </c>
      <c r="Z42" s="112">
        <v>0</v>
      </c>
      <c r="AA42" s="112">
        <v>0</v>
      </c>
      <c r="AB42" s="112">
        <v>1</v>
      </c>
      <c r="AC42" s="112">
        <v>1</v>
      </c>
      <c r="AD42" s="112">
        <v>1</v>
      </c>
      <c r="AE42" s="112">
        <v>1</v>
      </c>
      <c r="AF42" s="112">
        <v>1</v>
      </c>
      <c r="AG42" s="112">
        <v>0</v>
      </c>
      <c r="AH42" s="112">
        <v>0</v>
      </c>
      <c r="AI42" s="112">
        <v>1</v>
      </c>
      <c r="AJ42" s="112">
        <v>1</v>
      </c>
      <c r="AK42" s="112">
        <v>1</v>
      </c>
      <c r="AL42" s="112">
        <v>1</v>
      </c>
      <c r="AM42" s="112">
        <v>1</v>
      </c>
      <c r="AN42" s="112">
        <v>1</v>
      </c>
      <c r="AO42" s="112">
        <v>1</v>
      </c>
      <c r="AP42" s="112">
        <v>1</v>
      </c>
      <c r="AQ42" s="112">
        <v>0</v>
      </c>
      <c r="AR42" s="112">
        <v>0</v>
      </c>
      <c r="AS42" s="112">
        <v>0</v>
      </c>
      <c r="AT42" s="112">
        <v>1</v>
      </c>
      <c r="AU42" s="112">
        <v>1</v>
      </c>
      <c r="AV42" s="112">
        <v>1</v>
      </c>
      <c r="AW42" s="112">
        <v>0</v>
      </c>
      <c r="AX42" s="112">
        <v>1</v>
      </c>
      <c r="AY42" s="112">
        <v>1</v>
      </c>
      <c r="AZ42" s="112">
        <v>1</v>
      </c>
      <c r="BA42" s="112">
        <v>1</v>
      </c>
      <c r="BB42" s="112">
        <v>1</v>
      </c>
      <c r="BC42" s="112">
        <v>0</v>
      </c>
      <c r="BD42" s="112">
        <v>1</v>
      </c>
      <c r="BE42" s="112">
        <v>0</v>
      </c>
      <c r="BF42" s="112">
        <v>1</v>
      </c>
      <c r="BG42" s="112">
        <v>1</v>
      </c>
      <c r="BH42" s="112">
        <v>0</v>
      </c>
      <c r="BI42" s="112">
        <v>0</v>
      </c>
    </row>
    <row r="43" spans="1:61" x14ac:dyDescent="0.15">
      <c r="A43" s="193" t="s">
        <v>234</v>
      </c>
      <c r="B43" s="112">
        <v>0</v>
      </c>
      <c r="C43" s="112">
        <v>0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1</v>
      </c>
      <c r="AC43" s="112">
        <v>0</v>
      </c>
      <c r="AD43" s="112">
        <v>1</v>
      </c>
      <c r="AE43" s="112">
        <v>1</v>
      </c>
      <c r="AF43" s="112">
        <v>1</v>
      </c>
      <c r="AG43" s="112">
        <v>0</v>
      </c>
      <c r="AH43" s="112">
        <v>0</v>
      </c>
      <c r="AI43" s="112">
        <v>0</v>
      </c>
      <c r="AJ43" s="112">
        <v>0</v>
      </c>
      <c r="AK43" s="112">
        <v>1</v>
      </c>
      <c r="AL43" s="112">
        <v>0</v>
      </c>
      <c r="AM43" s="112">
        <v>0</v>
      </c>
      <c r="AN43" s="112">
        <v>0</v>
      </c>
      <c r="AO43" s="112">
        <v>0</v>
      </c>
      <c r="AP43" s="112">
        <v>1</v>
      </c>
      <c r="AQ43" s="112">
        <v>0</v>
      </c>
      <c r="AR43" s="112">
        <v>0</v>
      </c>
      <c r="AS43" s="112">
        <v>0</v>
      </c>
      <c r="AT43" s="112">
        <v>1</v>
      </c>
      <c r="AU43" s="112">
        <v>1</v>
      </c>
      <c r="AV43" s="112">
        <v>1</v>
      </c>
      <c r="AW43" s="112">
        <v>1</v>
      </c>
      <c r="AX43" s="112">
        <v>1</v>
      </c>
      <c r="AY43" s="112">
        <v>1</v>
      </c>
      <c r="AZ43" s="112">
        <v>0</v>
      </c>
      <c r="BA43" s="112">
        <v>1</v>
      </c>
      <c r="BB43" s="112">
        <v>1</v>
      </c>
      <c r="BC43" s="112">
        <v>0</v>
      </c>
      <c r="BD43" s="112">
        <v>1</v>
      </c>
      <c r="BE43" s="112">
        <v>0</v>
      </c>
      <c r="BF43" s="112">
        <v>0</v>
      </c>
      <c r="BG43" s="112">
        <v>0</v>
      </c>
      <c r="BH43" s="112">
        <v>0</v>
      </c>
      <c r="BI43" s="112">
        <v>0</v>
      </c>
    </row>
    <row r="44" spans="1:61" x14ac:dyDescent="0.15">
      <c r="A44" s="193" t="s">
        <v>235</v>
      </c>
      <c r="B44" s="112">
        <v>0</v>
      </c>
      <c r="C44" s="112">
        <v>0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1</v>
      </c>
      <c r="AC44" s="112">
        <v>1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1</v>
      </c>
      <c r="AK44" s="112">
        <v>1</v>
      </c>
      <c r="AL44" s="112">
        <v>0</v>
      </c>
      <c r="AM44" s="112">
        <v>1</v>
      </c>
      <c r="AN44" s="112">
        <v>1</v>
      </c>
      <c r="AO44" s="112">
        <v>0</v>
      </c>
      <c r="AP44" s="112">
        <v>1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1</v>
      </c>
      <c r="AY44" s="112">
        <v>0</v>
      </c>
      <c r="AZ44" s="112">
        <v>0</v>
      </c>
      <c r="BA44" s="112">
        <v>1</v>
      </c>
      <c r="BB44" s="112">
        <v>1</v>
      </c>
      <c r="BC44" s="112">
        <v>0</v>
      </c>
      <c r="BD44" s="112">
        <v>1</v>
      </c>
      <c r="BE44" s="112">
        <v>0</v>
      </c>
      <c r="BF44" s="112">
        <v>0</v>
      </c>
      <c r="BG44" s="112">
        <v>0</v>
      </c>
      <c r="BH44" s="112">
        <v>0</v>
      </c>
      <c r="BI44" s="112">
        <v>0</v>
      </c>
    </row>
    <row r="45" spans="1:61" x14ac:dyDescent="0.15">
      <c r="A45" s="193" t="s">
        <v>236</v>
      </c>
      <c r="B45" s="112">
        <v>0</v>
      </c>
      <c r="C45" s="112">
        <v>0</v>
      </c>
      <c r="D45" s="112">
        <v>0</v>
      </c>
      <c r="E45" s="112">
        <v>0</v>
      </c>
      <c r="F45" s="112">
        <v>0</v>
      </c>
      <c r="G45" s="112">
        <v>0</v>
      </c>
      <c r="H45" s="112">
        <v>0</v>
      </c>
      <c r="I45" s="112">
        <v>0</v>
      </c>
      <c r="J45" s="112">
        <v>0</v>
      </c>
      <c r="K45" s="112">
        <v>0</v>
      </c>
      <c r="L45" s="112">
        <v>0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112">
        <v>0</v>
      </c>
      <c r="W45" s="112">
        <v>0</v>
      </c>
      <c r="X45" s="112">
        <v>0</v>
      </c>
      <c r="Y45" s="112">
        <v>0</v>
      </c>
      <c r="Z45" s="112">
        <v>0</v>
      </c>
      <c r="AA45" s="112">
        <v>0</v>
      </c>
      <c r="AB45" s="112">
        <v>1</v>
      </c>
      <c r="AC45" s="112">
        <v>0</v>
      </c>
      <c r="AD45" s="112">
        <v>0</v>
      </c>
      <c r="AE45" s="112">
        <v>0</v>
      </c>
      <c r="AF45" s="112">
        <v>0</v>
      </c>
      <c r="AG45" s="112">
        <v>0</v>
      </c>
      <c r="AH45" s="112">
        <v>0</v>
      </c>
      <c r="AI45" s="112">
        <v>0</v>
      </c>
      <c r="AJ45" s="112">
        <v>0</v>
      </c>
      <c r="AK45" s="112">
        <v>1</v>
      </c>
      <c r="AL45" s="112">
        <v>0</v>
      </c>
      <c r="AM45" s="112">
        <v>0</v>
      </c>
      <c r="AN45" s="112">
        <v>1</v>
      </c>
      <c r="AO45" s="112">
        <v>0</v>
      </c>
      <c r="AP45" s="112">
        <v>0</v>
      </c>
      <c r="AQ45" s="112">
        <v>0</v>
      </c>
      <c r="AR45" s="112">
        <v>0</v>
      </c>
      <c r="AS45" s="112">
        <v>0</v>
      </c>
      <c r="AT45" s="112">
        <v>0</v>
      </c>
      <c r="AU45" s="112">
        <v>0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  <c r="BA45" s="112">
        <v>1</v>
      </c>
      <c r="BB45" s="112">
        <v>1</v>
      </c>
      <c r="BC45" s="112">
        <v>0</v>
      </c>
      <c r="BD45" s="112">
        <v>0</v>
      </c>
      <c r="BE45" s="112">
        <v>0</v>
      </c>
      <c r="BF45" s="112">
        <v>0</v>
      </c>
      <c r="BG45" s="112">
        <v>0</v>
      </c>
      <c r="BH45" s="112">
        <v>0</v>
      </c>
      <c r="BI45" s="112">
        <v>0</v>
      </c>
    </row>
    <row r="46" spans="1:61" x14ac:dyDescent="0.15">
      <c r="A46" s="193" t="s">
        <v>237</v>
      </c>
      <c r="B46" s="112">
        <v>0</v>
      </c>
      <c r="C46" s="112">
        <v>0</v>
      </c>
      <c r="D46" s="112">
        <v>0</v>
      </c>
      <c r="E46" s="112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0</v>
      </c>
      <c r="K46" s="112">
        <v>0</v>
      </c>
      <c r="L46" s="112">
        <v>0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112">
        <v>0</v>
      </c>
      <c r="Z46" s="112">
        <v>0</v>
      </c>
      <c r="AA46" s="112">
        <v>0</v>
      </c>
      <c r="AB46" s="112">
        <v>1</v>
      </c>
      <c r="AC46" s="112">
        <v>1</v>
      </c>
      <c r="AD46" s="112">
        <v>0</v>
      </c>
      <c r="AE46" s="112">
        <v>0</v>
      </c>
      <c r="AF46" s="112">
        <v>0</v>
      </c>
      <c r="AG46" s="112">
        <v>0</v>
      </c>
      <c r="AH46" s="112">
        <v>0</v>
      </c>
      <c r="AI46" s="112">
        <v>0</v>
      </c>
      <c r="AJ46" s="112">
        <v>1</v>
      </c>
      <c r="AK46" s="112">
        <v>1</v>
      </c>
      <c r="AL46" s="112">
        <v>0</v>
      </c>
      <c r="AM46" s="112">
        <v>0</v>
      </c>
      <c r="AN46" s="112">
        <v>0</v>
      </c>
      <c r="AO46" s="112">
        <v>0</v>
      </c>
      <c r="AP46" s="112">
        <v>1</v>
      </c>
      <c r="AQ46" s="112">
        <v>0</v>
      </c>
      <c r="AR46" s="112">
        <v>0</v>
      </c>
      <c r="AS46" s="112">
        <v>0</v>
      </c>
      <c r="AT46" s="112">
        <v>0</v>
      </c>
      <c r="AU46" s="112">
        <v>0</v>
      </c>
      <c r="AV46" s="112">
        <v>0</v>
      </c>
      <c r="AW46" s="112">
        <v>0</v>
      </c>
      <c r="AX46" s="112">
        <v>0</v>
      </c>
      <c r="AY46" s="112">
        <v>1</v>
      </c>
      <c r="AZ46" s="112">
        <v>0</v>
      </c>
      <c r="BA46" s="112">
        <v>1</v>
      </c>
      <c r="BB46" s="112">
        <v>1</v>
      </c>
      <c r="BC46" s="112">
        <v>0</v>
      </c>
      <c r="BD46" s="112">
        <v>1</v>
      </c>
      <c r="BE46" s="112">
        <v>0</v>
      </c>
      <c r="BF46" s="112">
        <v>1</v>
      </c>
      <c r="BG46" s="112">
        <v>0</v>
      </c>
      <c r="BH46" s="112">
        <v>0</v>
      </c>
      <c r="BI46" s="112">
        <v>0</v>
      </c>
    </row>
    <row r="47" spans="1:61" x14ac:dyDescent="0.15">
      <c r="A47" s="193" t="s">
        <v>238</v>
      </c>
      <c r="B47" s="112">
        <v>0</v>
      </c>
      <c r="C47" s="112">
        <v>0</v>
      </c>
      <c r="D47" s="112">
        <v>0</v>
      </c>
      <c r="E47" s="112">
        <v>0</v>
      </c>
      <c r="F47" s="112">
        <v>0</v>
      </c>
      <c r="G47" s="112">
        <v>0</v>
      </c>
      <c r="H47" s="112">
        <v>0</v>
      </c>
      <c r="I47" s="112">
        <v>0</v>
      </c>
      <c r="J47" s="112">
        <v>0</v>
      </c>
      <c r="K47" s="112">
        <v>0</v>
      </c>
      <c r="L47" s="112">
        <v>0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112">
        <v>0</v>
      </c>
      <c r="Z47" s="112">
        <v>0</v>
      </c>
      <c r="AA47" s="112">
        <v>0</v>
      </c>
      <c r="AB47" s="112">
        <v>0</v>
      </c>
      <c r="AC47" s="112">
        <v>0</v>
      </c>
      <c r="AD47" s="112">
        <v>0</v>
      </c>
      <c r="AE47" s="112">
        <v>0</v>
      </c>
      <c r="AF47" s="112">
        <v>0</v>
      </c>
      <c r="AG47" s="112">
        <v>0</v>
      </c>
      <c r="AH47" s="112">
        <v>0</v>
      </c>
      <c r="AI47" s="112">
        <v>0</v>
      </c>
      <c r="AJ47" s="112">
        <v>0</v>
      </c>
      <c r="AK47" s="112">
        <v>1</v>
      </c>
      <c r="AL47" s="112">
        <v>0</v>
      </c>
      <c r="AM47" s="112">
        <v>0</v>
      </c>
      <c r="AN47" s="112">
        <v>0</v>
      </c>
      <c r="AO47" s="112">
        <v>0</v>
      </c>
      <c r="AP47" s="112">
        <v>0</v>
      </c>
      <c r="AQ47" s="112">
        <v>0</v>
      </c>
      <c r="AR47" s="112">
        <v>0</v>
      </c>
      <c r="AS47" s="112">
        <v>0</v>
      </c>
      <c r="AT47" s="112">
        <v>0</v>
      </c>
      <c r="AU47" s="112">
        <v>0</v>
      </c>
      <c r="AV47" s="112">
        <v>0</v>
      </c>
      <c r="AW47" s="112">
        <v>0</v>
      </c>
      <c r="AX47" s="112">
        <v>0</v>
      </c>
      <c r="AY47" s="112">
        <v>0</v>
      </c>
      <c r="AZ47" s="112">
        <v>0</v>
      </c>
      <c r="BA47" s="112">
        <v>1</v>
      </c>
      <c r="BB47" s="112">
        <v>1</v>
      </c>
      <c r="BC47" s="112">
        <v>0</v>
      </c>
      <c r="BD47" s="112">
        <v>0</v>
      </c>
      <c r="BE47" s="112">
        <v>0</v>
      </c>
      <c r="BF47" s="112">
        <v>1</v>
      </c>
      <c r="BG47" s="112">
        <v>1</v>
      </c>
      <c r="BH47" s="112">
        <v>0</v>
      </c>
      <c r="BI47" s="112">
        <v>0</v>
      </c>
    </row>
    <row r="48" spans="1:61" x14ac:dyDescent="0.15">
      <c r="A48" s="193" t="s">
        <v>239</v>
      </c>
      <c r="B48" s="112">
        <v>0</v>
      </c>
      <c r="C48" s="112">
        <v>0</v>
      </c>
      <c r="D48" s="112">
        <v>0</v>
      </c>
      <c r="E48" s="112">
        <v>0</v>
      </c>
      <c r="F48" s="112">
        <v>0</v>
      </c>
      <c r="G48" s="112">
        <v>0</v>
      </c>
      <c r="H48" s="112">
        <v>0</v>
      </c>
      <c r="I48" s="112">
        <v>0</v>
      </c>
      <c r="J48" s="112">
        <v>0</v>
      </c>
      <c r="K48" s="112">
        <v>0</v>
      </c>
      <c r="L48" s="112">
        <v>0</v>
      </c>
      <c r="M48" s="112">
        <v>0</v>
      </c>
      <c r="N48" s="112">
        <v>0</v>
      </c>
      <c r="O48" s="112">
        <v>0</v>
      </c>
      <c r="P48" s="112">
        <v>0</v>
      </c>
      <c r="Q48" s="112">
        <v>0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1</v>
      </c>
      <c r="Y48" s="112">
        <v>0</v>
      </c>
      <c r="Z48" s="112">
        <v>0</v>
      </c>
      <c r="AA48" s="112">
        <v>0</v>
      </c>
      <c r="AB48" s="112">
        <v>0</v>
      </c>
      <c r="AC48" s="112">
        <v>1</v>
      </c>
      <c r="AD48" s="112">
        <v>0</v>
      </c>
      <c r="AE48" s="112">
        <v>0</v>
      </c>
      <c r="AF48" s="112">
        <v>0</v>
      </c>
      <c r="AG48" s="112">
        <v>0</v>
      </c>
      <c r="AH48" s="112">
        <v>0</v>
      </c>
      <c r="AI48" s="112">
        <v>0</v>
      </c>
      <c r="AJ48" s="112">
        <v>1</v>
      </c>
      <c r="AK48" s="112">
        <v>1</v>
      </c>
      <c r="AL48" s="112">
        <v>0</v>
      </c>
      <c r="AM48" s="112">
        <v>1</v>
      </c>
      <c r="AN48" s="112">
        <v>1</v>
      </c>
      <c r="AO48" s="112">
        <v>0</v>
      </c>
      <c r="AP48" s="112">
        <v>0</v>
      </c>
      <c r="AQ48" s="112">
        <v>0</v>
      </c>
      <c r="AR48" s="112">
        <v>0</v>
      </c>
      <c r="AS48" s="112">
        <v>0</v>
      </c>
      <c r="AT48" s="112">
        <v>0</v>
      </c>
      <c r="AU48" s="112">
        <v>0</v>
      </c>
      <c r="AV48" s="112">
        <v>1</v>
      </c>
      <c r="AW48" s="112">
        <v>0</v>
      </c>
      <c r="AX48" s="112">
        <v>1</v>
      </c>
      <c r="AY48" s="112">
        <v>1</v>
      </c>
      <c r="AZ48" s="112">
        <v>1</v>
      </c>
      <c r="BA48" s="112">
        <v>1</v>
      </c>
      <c r="BB48" s="112">
        <v>1</v>
      </c>
      <c r="BC48" s="112">
        <v>0</v>
      </c>
      <c r="BD48" s="112">
        <v>1</v>
      </c>
      <c r="BE48" s="112">
        <v>0</v>
      </c>
      <c r="BF48" s="112">
        <v>0</v>
      </c>
      <c r="BG48" s="112">
        <v>0</v>
      </c>
      <c r="BH48" s="112">
        <v>0</v>
      </c>
      <c r="BI48" s="112">
        <v>0</v>
      </c>
    </row>
    <row r="49" spans="1:61" x14ac:dyDescent="0.15">
      <c r="A49" s="193" t="s">
        <v>240</v>
      </c>
      <c r="B49" s="112">
        <v>0</v>
      </c>
      <c r="C49" s="112">
        <v>0</v>
      </c>
      <c r="D49" s="112">
        <v>0</v>
      </c>
      <c r="E49" s="112">
        <v>0</v>
      </c>
      <c r="F49" s="112">
        <v>0</v>
      </c>
      <c r="G49" s="112">
        <v>0</v>
      </c>
      <c r="H49" s="112">
        <v>0</v>
      </c>
      <c r="I49" s="112">
        <v>0</v>
      </c>
      <c r="J49" s="112">
        <v>0</v>
      </c>
      <c r="K49" s="112">
        <v>0</v>
      </c>
      <c r="L49" s="112">
        <v>0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112">
        <v>0</v>
      </c>
      <c r="Y49" s="112">
        <v>0</v>
      </c>
      <c r="Z49" s="112">
        <v>0</v>
      </c>
      <c r="AA49" s="112">
        <v>0</v>
      </c>
      <c r="AB49" s="112">
        <v>1</v>
      </c>
      <c r="AC49" s="112">
        <v>1</v>
      </c>
      <c r="AD49" s="112">
        <v>1</v>
      </c>
      <c r="AE49" s="112">
        <v>1</v>
      </c>
      <c r="AF49" s="112">
        <v>1</v>
      </c>
      <c r="AG49" s="112">
        <v>0</v>
      </c>
      <c r="AH49" s="112">
        <v>1</v>
      </c>
      <c r="AI49" s="112">
        <v>1</v>
      </c>
      <c r="AJ49" s="112">
        <v>1</v>
      </c>
      <c r="AK49" s="112">
        <v>1</v>
      </c>
      <c r="AL49" s="112">
        <v>0</v>
      </c>
      <c r="AM49" s="112">
        <v>1</v>
      </c>
      <c r="AN49" s="112">
        <v>1</v>
      </c>
      <c r="AO49" s="112">
        <v>1</v>
      </c>
      <c r="AP49" s="112">
        <v>0</v>
      </c>
      <c r="AQ49" s="112">
        <v>1</v>
      </c>
      <c r="AR49" s="112">
        <v>0</v>
      </c>
      <c r="AS49" s="112">
        <v>0</v>
      </c>
      <c r="AT49" s="112">
        <v>1</v>
      </c>
      <c r="AU49" s="112">
        <v>1</v>
      </c>
      <c r="AV49" s="112">
        <v>1</v>
      </c>
      <c r="AW49" s="112">
        <v>1</v>
      </c>
      <c r="AX49" s="112">
        <v>1</v>
      </c>
      <c r="AY49" s="112">
        <v>1</v>
      </c>
      <c r="AZ49" s="112">
        <v>1</v>
      </c>
      <c r="BA49" s="112">
        <v>1</v>
      </c>
      <c r="BB49" s="112">
        <v>1</v>
      </c>
      <c r="BC49" s="112">
        <v>0</v>
      </c>
      <c r="BD49" s="112">
        <v>1</v>
      </c>
      <c r="BE49" s="112">
        <v>0</v>
      </c>
      <c r="BF49" s="112">
        <v>0</v>
      </c>
      <c r="BG49" s="112">
        <v>0</v>
      </c>
      <c r="BH49" s="112">
        <v>0</v>
      </c>
      <c r="BI49" s="112">
        <v>0</v>
      </c>
    </row>
    <row r="50" spans="1:61" x14ac:dyDescent="0.15">
      <c r="A50" s="193" t="s">
        <v>241</v>
      </c>
      <c r="B50" s="112">
        <v>0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0</v>
      </c>
      <c r="P50" s="112">
        <v>0</v>
      </c>
      <c r="Q50" s="112">
        <v>0</v>
      </c>
      <c r="R50" s="112">
        <v>0</v>
      </c>
      <c r="S50" s="112">
        <v>0</v>
      </c>
      <c r="T50" s="112">
        <v>0</v>
      </c>
      <c r="U50" s="112">
        <v>0</v>
      </c>
      <c r="V50" s="112">
        <v>0</v>
      </c>
      <c r="W50" s="112">
        <v>0</v>
      </c>
      <c r="X50" s="112">
        <v>1</v>
      </c>
      <c r="Y50" s="112">
        <v>0</v>
      </c>
      <c r="Z50" s="112">
        <v>0</v>
      </c>
      <c r="AA50" s="112">
        <v>1</v>
      </c>
      <c r="AB50" s="112">
        <v>1</v>
      </c>
      <c r="AC50" s="112">
        <v>1</v>
      </c>
      <c r="AD50" s="112">
        <v>0</v>
      </c>
      <c r="AE50" s="112">
        <v>1</v>
      </c>
      <c r="AF50" s="112">
        <v>0</v>
      </c>
      <c r="AG50" s="112">
        <v>0</v>
      </c>
      <c r="AH50" s="112">
        <v>0</v>
      </c>
      <c r="AI50" s="112">
        <v>1</v>
      </c>
      <c r="AJ50" s="112">
        <v>0</v>
      </c>
      <c r="AK50" s="112">
        <v>1</v>
      </c>
      <c r="AL50" s="112">
        <v>0</v>
      </c>
      <c r="AM50" s="112">
        <v>1</v>
      </c>
      <c r="AN50" s="112">
        <v>1</v>
      </c>
      <c r="AO50" s="112">
        <v>1</v>
      </c>
      <c r="AP50" s="112">
        <v>0</v>
      </c>
      <c r="AQ50" s="112">
        <v>1</v>
      </c>
      <c r="AR50" s="112">
        <v>0</v>
      </c>
      <c r="AS50" s="112">
        <v>0</v>
      </c>
      <c r="AT50" s="112">
        <v>0</v>
      </c>
      <c r="AU50" s="112">
        <v>1</v>
      </c>
      <c r="AV50" s="112">
        <v>1</v>
      </c>
      <c r="AW50" s="112">
        <v>0</v>
      </c>
      <c r="AX50" s="112">
        <v>1</v>
      </c>
      <c r="AY50" s="112">
        <v>1</v>
      </c>
      <c r="AZ50" s="112">
        <v>0</v>
      </c>
      <c r="BA50" s="112">
        <v>1</v>
      </c>
      <c r="BB50" s="112">
        <v>1</v>
      </c>
      <c r="BC50" s="112">
        <v>0</v>
      </c>
      <c r="BD50" s="112">
        <v>1</v>
      </c>
      <c r="BE50" s="112">
        <v>0</v>
      </c>
      <c r="BF50" s="112">
        <v>1</v>
      </c>
      <c r="BG50" s="112">
        <v>1</v>
      </c>
      <c r="BH50" s="112">
        <v>0</v>
      </c>
      <c r="BI50" s="112">
        <v>0</v>
      </c>
    </row>
    <row r="51" spans="1:61" x14ac:dyDescent="0.15">
      <c r="A51" s="193" t="s">
        <v>242</v>
      </c>
      <c r="B51" s="112">
        <v>0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0</v>
      </c>
      <c r="Q51" s="112">
        <v>1</v>
      </c>
      <c r="R51" s="112">
        <v>0</v>
      </c>
      <c r="S51" s="112">
        <v>0</v>
      </c>
      <c r="T51" s="112">
        <v>0</v>
      </c>
      <c r="U51" s="112">
        <v>0</v>
      </c>
      <c r="V51" s="112">
        <v>0</v>
      </c>
      <c r="W51" s="112">
        <v>0</v>
      </c>
      <c r="X51" s="112">
        <v>0</v>
      </c>
      <c r="Y51" s="112">
        <v>0</v>
      </c>
      <c r="Z51" s="112">
        <v>1</v>
      </c>
      <c r="AA51" s="112">
        <v>1</v>
      </c>
      <c r="AB51" s="112">
        <v>1</v>
      </c>
      <c r="AC51" s="112">
        <v>1</v>
      </c>
      <c r="AD51" s="112">
        <v>1</v>
      </c>
      <c r="AE51" s="112">
        <v>1</v>
      </c>
      <c r="AF51" s="112">
        <v>1</v>
      </c>
      <c r="AG51" s="112">
        <v>0</v>
      </c>
      <c r="AH51" s="112">
        <v>0</v>
      </c>
      <c r="AI51" s="112">
        <v>1</v>
      </c>
      <c r="AJ51" s="112">
        <v>1</v>
      </c>
      <c r="AK51" s="112">
        <v>1</v>
      </c>
      <c r="AL51" s="112">
        <v>1</v>
      </c>
      <c r="AM51" s="112">
        <v>1</v>
      </c>
      <c r="AN51" s="112">
        <v>1</v>
      </c>
      <c r="AO51" s="112">
        <v>1</v>
      </c>
      <c r="AP51" s="112">
        <v>0</v>
      </c>
      <c r="AQ51" s="112">
        <v>1</v>
      </c>
      <c r="AR51" s="112">
        <v>0</v>
      </c>
      <c r="AS51" s="112">
        <v>0</v>
      </c>
      <c r="AT51" s="112">
        <v>1</v>
      </c>
      <c r="AU51" s="112">
        <v>1</v>
      </c>
      <c r="AV51" s="112">
        <v>1</v>
      </c>
      <c r="AW51" s="112">
        <v>0</v>
      </c>
      <c r="AX51" s="112">
        <v>1</v>
      </c>
      <c r="AY51" s="112">
        <v>1</v>
      </c>
      <c r="AZ51" s="112">
        <v>1</v>
      </c>
      <c r="BA51" s="112">
        <v>1</v>
      </c>
      <c r="BB51" s="112">
        <v>1</v>
      </c>
      <c r="BC51" s="112">
        <v>0</v>
      </c>
      <c r="BD51" s="112">
        <v>1</v>
      </c>
      <c r="BE51" s="112">
        <v>0</v>
      </c>
      <c r="BF51" s="112">
        <v>1</v>
      </c>
      <c r="BG51" s="112">
        <v>1</v>
      </c>
      <c r="BH51" s="112">
        <v>0</v>
      </c>
      <c r="BI51" s="112">
        <v>0</v>
      </c>
    </row>
    <row r="52" spans="1:61" x14ac:dyDescent="0.15">
      <c r="A52" s="193" t="s">
        <v>243</v>
      </c>
      <c r="B52" s="112">
        <v>0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0</v>
      </c>
      <c r="Q52" s="112">
        <v>0</v>
      </c>
      <c r="R52" s="112">
        <v>0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0</v>
      </c>
      <c r="Y52" s="112">
        <v>0</v>
      </c>
      <c r="Z52" s="112">
        <v>0</v>
      </c>
      <c r="AA52" s="112">
        <v>0</v>
      </c>
      <c r="AB52" s="112">
        <v>0</v>
      </c>
      <c r="AC52" s="112">
        <v>0</v>
      </c>
      <c r="AD52" s="112">
        <v>0</v>
      </c>
      <c r="AE52" s="112">
        <v>0</v>
      </c>
      <c r="AF52" s="112">
        <v>0</v>
      </c>
      <c r="AG52" s="112">
        <v>0</v>
      </c>
      <c r="AH52" s="112">
        <v>0</v>
      </c>
      <c r="AI52" s="112">
        <v>0</v>
      </c>
      <c r="AJ52" s="112">
        <v>0</v>
      </c>
      <c r="AK52" s="112">
        <v>0</v>
      </c>
      <c r="AL52" s="112">
        <v>0</v>
      </c>
      <c r="AM52" s="112">
        <v>0</v>
      </c>
      <c r="AN52" s="112">
        <v>0</v>
      </c>
      <c r="AO52" s="112">
        <v>0</v>
      </c>
      <c r="AP52" s="112">
        <v>0</v>
      </c>
      <c r="AQ52" s="112">
        <v>0</v>
      </c>
      <c r="AR52" s="112">
        <v>0</v>
      </c>
      <c r="AS52" s="112">
        <v>0</v>
      </c>
      <c r="AT52" s="112">
        <v>0</v>
      </c>
      <c r="AU52" s="112">
        <v>0</v>
      </c>
      <c r="AV52" s="112">
        <v>0</v>
      </c>
      <c r="AW52" s="112">
        <v>0</v>
      </c>
      <c r="AX52" s="112">
        <v>0</v>
      </c>
      <c r="AY52" s="112">
        <v>0</v>
      </c>
      <c r="AZ52" s="112">
        <v>0</v>
      </c>
      <c r="BA52" s="112">
        <v>0</v>
      </c>
      <c r="BB52" s="112">
        <v>1</v>
      </c>
      <c r="BC52" s="112">
        <v>0</v>
      </c>
      <c r="BD52" s="112">
        <v>0</v>
      </c>
      <c r="BE52" s="112">
        <v>0</v>
      </c>
      <c r="BF52" s="112">
        <v>0</v>
      </c>
      <c r="BG52" s="112">
        <v>0</v>
      </c>
      <c r="BH52" s="112">
        <v>0</v>
      </c>
      <c r="BI52" s="112">
        <v>0</v>
      </c>
    </row>
    <row r="53" spans="1:61" x14ac:dyDescent="0.15">
      <c r="A53" s="193" t="s">
        <v>244</v>
      </c>
      <c r="B53" s="112">
        <v>0</v>
      </c>
      <c r="C53" s="112">
        <v>0</v>
      </c>
      <c r="D53" s="112">
        <v>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0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</v>
      </c>
      <c r="Y53" s="112">
        <v>0</v>
      </c>
      <c r="Z53" s="112">
        <v>0</v>
      </c>
      <c r="AA53" s="112">
        <v>0</v>
      </c>
      <c r="AB53" s="112">
        <v>0</v>
      </c>
      <c r="AC53" s="112">
        <v>0</v>
      </c>
      <c r="AD53" s="112">
        <v>0</v>
      </c>
      <c r="AE53" s="112">
        <v>0</v>
      </c>
      <c r="AF53" s="112">
        <v>0</v>
      </c>
      <c r="AG53" s="112">
        <v>0</v>
      </c>
      <c r="AH53" s="112">
        <v>0</v>
      </c>
      <c r="AI53" s="112">
        <v>0</v>
      </c>
      <c r="AJ53" s="112">
        <v>0</v>
      </c>
      <c r="AK53" s="112">
        <v>0</v>
      </c>
      <c r="AL53" s="112">
        <v>0</v>
      </c>
      <c r="AM53" s="112">
        <v>0</v>
      </c>
      <c r="AN53" s="112">
        <v>0</v>
      </c>
      <c r="AO53" s="112">
        <v>0</v>
      </c>
      <c r="AP53" s="112">
        <v>0</v>
      </c>
      <c r="AQ53" s="112">
        <v>0</v>
      </c>
      <c r="AR53" s="112">
        <v>0</v>
      </c>
      <c r="AS53" s="112">
        <v>0</v>
      </c>
      <c r="AT53" s="112">
        <v>0</v>
      </c>
      <c r="AU53" s="112">
        <v>0</v>
      </c>
      <c r="AV53" s="112">
        <v>0</v>
      </c>
      <c r="AW53" s="112">
        <v>0</v>
      </c>
      <c r="AX53" s="112">
        <v>0</v>
      </c>
      <c r="AY53" s="112">
        <v>0</v>
      </c>
      <c r="AZ53" s="112">
        <v>0</v>
      </c>
      <c r="BA53" s="112">
        <v>1</v>
      </c>
      <c r="BB53" s="112">
        <v>1</v>
      </c>
      <c r="BC53" s="112">
        <v>0</v>
      </c>
      <c r="BD53" s="112">
        <v>0</v>
      </c>
      <c r="BE53" s="112">
        <v>0</v>
      </c>
      <c r="BF53" s="112">
        <v>0</v>
      </c>
      <c r="BG53" s="112">
        <v>0</v>
      </c>
      <c r="BH53" s="112">
        <v>0</v>
      </c>
      <c r="BI53" s="112">
        <v>0</v>
      </c>
    </row>
    <row r="54" spans="1:61" x14ac:dyDescent="0.15">
      <c r="A54" s="193" t="s">
        <v>245</v>
      </c>
      <c r="B54" s="112">
        <v>0</v>
      </c>
      <c r="C54" s="112">
        <v>0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12">
        <v>0</v>
      </c>
      <c r="O54" s="112">
        <v>0</v>
      </c>
      <c r="P54" s="112">
        <v>0</v>
      </c>
      <c r="Q54" s="112">
        <v>0</v>
      </c>
      <c r="R54" s="112">
        <v>0</v>
      </c>
      <c r="S54" s="112">
        <v>0</v>
      </c>
      <c r="T54" s="112">
        <v>0</v>
      </c>
      <c r="U54" s="112">
        <v>0</v>
      </c>
      <c r="V54" s="112">
        <v>0</v>
      </c>
      <c r="W54" s="112">
        <v>0</v>
      </c>
      <c r="X54" s="112">
        <v>0</v>
      </c>
      <c r="Y54" s="112">
        <v>0</v>
      </c>
      <c r="Z54" s="112">
        <v>0</v>
      </c>
      <c r="AA54" s="112">
        <v>0</v>
      </c>
      <c r="AB54" s="112">
        <v>0</v>
      </c>
      <c r="AC54" s="112">
        <v>0</v>
      </c>
      <c r="AD54" s="112">
        <v>0</v>
      </c>
      <c r="AE54" s="112">
        <v>0</v>
      </c>
      <c r="AF54" s="112">
        <v>0</v>
      </c>
      <c r="AG54" s="112">
        <v>0</v>
      </c>
      <c r="AH54" s="112">
        <v>0</v>
      </c>
      <c r="AI54" s="112">
        <v>0</v>
      </c>
      <c r="AJ54" s="112">
        <v>0</v>
      </c>
      <c r="AK54" s="112">
        <v>0</v>
      </c>
      <c r="AL54" s="112">
        <v>0</v>
      </c>
      <c r="AM54" s="112">
        <v>0</v>
      </c>
      <c r="AN54" s="112">
        <v>0</v>
      </c>
      <c r="AO54" s="112">
        <v>0</v>
      </c>
      <c r="AP54" s="112">
        <v>0</v>
      </c>
      <c r="AQ54" s="112">
        <v>0</v>
      </c>
      <c r="AR54" s="112">
        <v>0</v>
      </c>
      <c r="AS54" s="112">
        <v>0</v>
      </c>
      <c r="AT54" s="112">
        <v>0</v>
      </c>
      <c r="AU54" s="112">
        <v>0</v>
      </c>
      <c r="AV54" s="112">
        <v>0</v>
      </c>
      <c r="AW54" s="112">
        <v>0</v>
      </c>
      <c r="AX54" s="112">
        <v>0</v>
      </c>
      <c r="AY54" s="112">
        <v>0</v>
      </c>
      <c r="AZ54" s="112">
        <v>0</v>
      </c>
      <c r="BA54" s="112">
        <v>1</v>
      </c>
      <c r="BB54" s="112">
        <v>1</v>
      </c>
      <c r="BC54" s="112">
        <v>0</v>
      </c>
      <c r="BD54" s="112">
        <v>0</v>
      </c>
      <c r="BE54" s="112">
        <v>0</v>
      </c>
      <c r="BF54" s="112">
        <v>0</v>
      </c>
      <c r="BG54" s="112">
        <v>0</v>
      </c>
      <c r="BH54" s="112">
        <v>0</v>
      </c>
      <c r="BI54" s="112">
        <v>0</v>
      </c>
    </row>
    <row r="55" spans="1:61" x14ac:dyDescent="0.15">
      <c r="A55" s="193" t="s">
        <v>246</v>
      </c>
      <c r="B55" s="112">
        <v>0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0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</v>
      </c>
      <c r="Y55" s="112">
        <v>0</v>
      </c>
      <c r="Z55" s="112">
        <v>0</v>
      </c>
      <c r="AA55" s="112">
        <v>0</v>
      </c>
      <c r="AB55" s="112">
        <v>0</v>
      </c>
      <c r="AC55" s="112">
        <v>0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0</v>
      </c>
      <c r="AL55" s="112">
        <v>0</v>
      </c>
      <c r="AM55" s="112">
        <v>0</v>
      </c>
      <c r="AN55" s="112">
        <v>0</v>
      </c>
      <c r="AO55" s="112">
        <v>0</v>
      </c>
      <c r="AP55" s="112">
        <v>0</v>
      </c>
      <c r="AQ55" s="112">
        <v>0</v>
      </c>
      <c r="AR55" s="112">
        <v>0</v>
      </c>
      <c r="AS55" s="112">
        <v>0</v>
      </c>
      <c r="AT55" s="112">
        <v>0</v>
      </c>
      <c r="AU55" s="112">
        <v>0</v>
      </c>
      <c r="AV55" s="112">
        <v>0</v>
      </c>
      <c r="AW55" s="112">
        <v>0</v>
      </c>
      <c r="AX55" s="112">
        <v>0</v>
      </c>
      <c r="AY55" s="112">
        <v>0</v>
      </c>
      <c r="AZ55" s="112">
        <v>0</v>
      </c>
      <c r="BA55" s="112">
        <v>1</v>
      </c>
      <c r="BB55" s="112">
        <v>1</v>
      </c>
      <c r="BC55" s="112">
        <v>0</v>
      </c>
      <c r="BD55" s="112">
        <v>0</v>
      </c>
      <c r="BE55" s="112">
        <v>0</v>
      </c>
      <c r="BF55" s="112">
        <v>0</v>
      </c>
      <c r="BG55" s="112">
        <v>0</v>
      </c>
      <c r="BH55" s="112">
        <v>0</v>
      </c>
      <c r="BI55" s="112">
        <v>0</v>
      </c>
    </row>
    <row r="56" spans="1:61" x14ac:dyDescent="0.15">
      <c r="A56" s="193" t="s">
        <v>247</v>
      </c>
      <c r="B56" s="112">
        <v>0</v>
      </c>
      <c r="C56" s="112">
        <v>0</v>
      </c>
      <c r="D56" s="112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12">
        <v>0</v>
      </c>
      <c r="O56" s="112">
        <v>0</v>
      </c>
      <c r="P56" s="112">
        <v>0</v>
      </c>
      <c r="Q56" s="112">
        <v>0</v>
      </c>
      <c r="R56" s="112">
        <v>0</v>
      </c>
      <c r="S56" s="112">
        <v>0</v>
      </c>
      <c r="T56" s="112">
        <v>0</v>
      </c>
      <c r="U56" s="112">
        <v>0</v>
      </c>
      <c r="V56" s="112">
        <v>0</v>
      </c>
      <c r="W56" s="112">
        <v>0</v>
      </c>
      <c r="X56" s="112">
        <v>0</v>
      </c>
      <c r="Y56" s="112">
        <v>0</v>
      </c>
      <c r="Z56" s="112">
        <v>0</v>
      </c>
      <c r="AA56" s="112">
        <v>0</v>
      </c>
      <c r="AB56" s="112">
        <v>0</v>
      </c>
      <c r="AC56" s="112">
        <v>0</v>
      </c>
      <c r="AD56" s="112">
        <v>0</v>
      </c>
      <c r="AE56" s="112">
        <v>0</v>
      </c>
      <c r="AF56" s="112">
        <v>0</v>
      </c>
      <c r="AG56" s="112">
        <v>0</v>
      </c>
      <c r="AH56" s="112">
        <v>0</v>
      </c>
      <c r="AI56" s="112">
        <v>0</v>
      </c>
      <c r="AJ56" s="112">
        <v>0</v>
      </c>
      <c r="AK56" s="112">
        <v>0</v>
      </c>
      <c r="AL56" s="112">
        <v>0</v>
      </c>
      <c r="AM56" s="112">
        <v>0</v>
      </c>
      <c r="AN56" s="112">
        <v>0</v>
      </c>
      <c r="AO56" s="112">
        <v>0</v>
      </c>
      <c r="AP56" s="112">
        <v>0</v>
      </c>
      <c r="AQ56" s="112">
        <v>0</v>
      </c>
      <c r="AR56" s="112">
        <v>0</v>
      </c>
      <c r="AS56" s="112">
        <v>0</v>
      </c>
      <c r="AT56" s="112">
        <v>0</v>
      </c>
      <c r="AU56" s="112">
        <v>0</v>
      </c>
      <c r="AV56" s="112">
        <v>0</v>
      </c>
      <c r="AW56" s="112">
        <v>0</v>
      </c>
      <c r="AX56" s="112">
        <v>0</v>
      </c>
      <c r="AY56" s="112">
        <v>0</v>
      </c>
      <c r="AZ56" s="112">
        <v>0</v>
      </c>
      <c r="BA56" s="112">
        <v>1</v>
      </c>
      <c r="BB56" s="112">
        <v>1</v>
      </c>
      <c r="BC56" s="112">
        <v>0</v>
      </c>
      <c r="BD56" s="112">
        <v>0</v>
      </c>
      <c r="BE56" s="112">
        <v>0</v>
      </c>
      <c r="BF56" s="112">
        <v>0</v>
      </c>
      <c r="BG56" s="112">
        <v>0</v>
      </c>
      <c r="BH56" s="112">
        <v>0</v>
      </c>
      <c r="BI56" s="112">
        <v>0</v>
      </c>
    </row>
    <row r="57" spans="1:61" x14ac:dyDescent="0.15">
      <c r="A57" s="193" t="s">
        <v>248</v>
      </c>
      <c r="B57" s="112">
        <v>0</v>
      </c>
      <c r="C57" s="112">
        <v>0</v>
      </c>
      <c r="D57" s="112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12">
        <v>0</v>
      </c>
      <c r="O57" s="112">
        <v>0</v>
      </c>
      <c r="P57" s="112">
        <v>0</v>
      </c>
      <c r="Q57" s="112">
        <v>0</v>
      </c>
      <c r="R57" s="112">
        <v>0</v>
      </c>
      <c r="S57" s="112">
        <v>0</v>
      </c>
      <c r="T57" s="112">
        <v>0</v>
      </c>
      <c r="U57" s="112">
        <v>0</v>
      </c>
      <c r="V57" s="112">
        <v>0</v>
      </c>
      <c r="W57" s="112">
        <v>0</v>
      </c>
      <c r="X57" s="112">
        <v>0</v>
      </c>
      <c r="Y57" s="112">
        <v>0</v>
      </c>
      <c r="Z57" s="112">
        <v>0</v>
      </c>
      <c r="AA57" s="112">
        <v>0</v>
      </c>
      <c r="AB57" s="112">
        <v>0</v>
      </c>
      <c r="AC57" s="112">
        <v>0</v>
      </c>
      <c r="AD57" s="112">
        <v>0</v>
      </c>
      <c r="AE57" s="112">
        <v>0</v>
      </c>
      <c r="AF57" s="112">
        <v>0</v>
      </c>
      <c r="AG57" s="112">
        <v>0</v>
      </c>
      <c r="AH57" s="112">
        <v>0</v>
      </c>
      <c r="AI57" s="112">
        <v>0</v>
      </c>
      <c r="AJ57" s="112">
        <v>0</v>
      </c>
      <c r="AK57" s="112">
        <v>0</v>
      </c>
      <c r="AL57" s="112">
        <v>0</v>
      </c>
      <c r="AM57" s="112">
        <v>0</v>
      </c>
      <c r="AN57" s="112">
        <v>0</v>
      </c>
      <c r="AO57" s="112">
        <v>0</v>
      </c>
      <c r="AP57" s="112">
        <v>0</v>
      </c>
      <c r="AQ57" s="112">
        <v>0</v>
      </c>
      <c r="AR57" s="112">
        <v>0</v>
      </c>
      <c r="AS57" s="112">
        <v>0</v>
      </c>
      <c r="AT57" s="112">
        <v>0</v>
      </c>
      <c r="AU57" s="112">
        <v>0</v>
      </c>
      <c r="AV57" s="112">
        <v>0</v>
      </c>
      <c r="AW57" s="112">
        <v>0</v>
      </c>
      <c r="AX57" s="112">
        <v>0</v>
      </c>
      <c r="AY57" s="112">
        <v>0</v>
      </c>
      <c r="AZ57" s="112">
        <v>0</v>
      </c>
      <c r="BA57" s="112">
        <v>1</v>
      </c>
      <c r="BB57" s="112">
        <v>1</v>
      </c>
      <c r="BC57" s="112">
        <v>0</v>
      </c>
      <c r="BD57" s="112">
        <v>0</v>
      </c>
      <c r="BE57" s="112">
        <v>0</v>
      </c>
      <c r="BF57" s="112">
        <v>0</v>
      </c>
      <c r="BG57" s="112">
        <v>0</v>
      </c>
      <c r="BH57" s="112">
        <v>0</v>
      </c>
      <c r="BI57" s="112">
        <v>0</v>
      </c>
    </row>
    <row r="58" spans="1:61" x14ac:dyDescent="0.15">
      <c r="A58" s="193" t="s">
        <v>249</v>
      </c>
      <c r="B58" s="112">
        <v>0</v>
      </c>
      <c r="C58" s="112">
        <v>0</v>
      </c>
      <c r="D58" s="112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12">
        <v>0</v>
      </c>
      <c r="O58" s="112">
        <v>0</v>
      </c>
      <c r="P58" s="112">
        <v>0</v>
      </c>
      <c r="Q58" s="112">
        <v>0</v>
      </c>
      <c r="R58" s="112">
        <v>0</v>
      </c>
      <c r="S58" s="112">
        <v>0</v>
      </c>
      <c r="T58" s="112">
        <v>0</v>
      </c>
      <c r="U58" s="112">
        <v>0</v>
      </c>
      <c r="V58" s="112">
        <v>0</v>
      </c>
      <c r="W58" s="112">
        <v>0</v>
      </c>
      <c r="X58" s="112">
        <v>0</v>
      </c>
      <c r="Y58" s="112">
        <v>0</v>
      </c>
      <c r="Z58" s="112">
        <v>0</v>
      </c>
      <c r="AA58" s="112">
        <v>0</v>
      </c>
      <c r="AB58" s="112">
        <v>0</v>
      </c>
      <c r="AC58" s="112">
        <v>0</v>
      </c>
      <c r="AD58" s="112">
        <v>0</v>
      </c>
      <c r="AE58" s="112">
        <v>0</v>
      </c>
      <c r="AF58" s="112">
        <v>0</v>
      </c>
      <c r="AG58" s="112">
        <v>0</v>
      </c>
      <c r="AH58" s="112">
        <v>0</v>
      </c>
      <c r="AI58" s="112">
        <v>0</v>
      </c>
      <c r="AJ58" s="112">
        <v>0</v>
      </c>
      <c r="AK58" s="112">
        <v>0</v>
      </c>
      <c r="AL58" s="112">
        <v>0</v>
      </c>
      <c r="AM58" s="112">
        <v>0</v>
      </c>
      <c r="AN58" s="112">
        <v>0</v>
      </c>
      <c r="AO58" s="112">
        <v>0</v>
      </c>
      <c r="AP58" s="112">
        <v>0</v>
      </c>
      <c r="AQ58" s="112">
        <v>0</v>
      </c>
      <c r="AR58" s="112">
        <v>0</v>
      </c>
      <c r="AS58" s="112">
        <v>0</v>
      </c>
      <c r="AT58" s="112">
        <v>0</v>
      </c>
      <c r="AU58" s="112">
        <v>0</v>
      </c>
      <c r="AV58" s="112">
        <v>0</v>
      </c>
      <c r="AW58" s="112">
        <v>0</v>
      </c>
      <c r="AX58" s="112">
        <v>0</v>
      </c>
      <c r="AY58" s="112">
        <v>0</v>
      </c>
      <c r="AZ58" s="112">
        <v>0</v>
      </c>
      <c r="BA58" s="112">
        <v>0</v>
      </c>
      <c r="BB58" s="112">
        <v>1</v>
      </c>
      <c r="BC58" s="112">
        <v>0</v>
      </c>
      <c r="BD58" s="112">
        <v>0</v>
      </c>
      <c r="BE58" s="112">
        <v>0</v>
      </c>
      <c r="BF58" s="112">
        <v>1</v>
      </c>
      <c r="BG58" s="112">
        <v>0</v>
      </c>
      <c r="BH58" s="112">
        <v>0</v>
      </c>
      <c r="BI58" s="112">
        <v>0</v>
      </c>
    </row>
    <row r="59" spans="1:61" x14ac:dyDescent="0.15">
      <c r="A59" s="193" t="s">
        <v>250</v>
      </c>
      <c r="B59" s="112">
        <v>0</v>
      </c>
      <c r="C59" s="112">
        <v>0</v>
      </c>
      <c r="D59" s="112">
        <v>0</v>
      </c>
      <c r="E59" s="112">
        <v>0</v>
      </c>
      <c r="F59" s="112">
        <v>0</v>
      </c>
      <c r="G59" s="112">
        <v>0</v>
      </c>
      <c r="H59" s="112">
        <v>0</v>
      </c>
      <c r="I59" s="112">
        <v>0</v>
      </c>
      <c r="J59" s="112">
        <v>0</v>
      </c>
      <c r="K59" s="112">
        <v>0</v>
      </c>
      <c r="L59" s="112">
        <v>0</v>
      </c>
      <c r="M59" s="112">
        <v>0</v>
      </c>
      <c r="N59" s="112">
        <v>0</v>
      </c>
      <c r="O59" s="112">
        <v>0</v>
      </c>
      <c r="P59" s="112">
        <v>0</v>
      </c>
      <c r="Q59" s="112">
        <v>0</v>
      </c>
      <c r="R59" s="112">
        <v>0</v>
      </c>
      <c r="S59" s="112">
        <v>0</v>
      </c>
      <c r="T59" s="112">
        <v>0</v>
      </c>
      <c r="U59" s="112">
        <v>0</v>
      </c>
      <c r="V59" s="112">
        <v>0</v>
      </c>
      <c r="W59" s="112">
        <v>0</v>
      </c>
      <c r="X59" s="112">
        <v>0</v>
      </c>
      <c r="Y59" s="112">
        <v>0</v>
      </c>
      <c r="Z59" s="112">
        <v>0</v>
      </c>
      <c r="AA59" s="112">
        <v>0</v>
      </c>
      <c r="AB59" s="112">
        <v>0</v>
      </c>
      <c r="AC59" s="112">
        <v>0</v>
      </c>
      <c r="AD59" s="112">
        <v>0</v>
      </c>
      <c r="AE59" s="112">
        <v>0</v>
      </c>
      <c r="AF59" s="112">
        <v>0</v>
      </c>
      <c r="AG59" s="112">
        <v>0</v>
      </c>
      <c r="AH59" s="112">
        <v>0</v>
      </c>
      <c r="AI59" s="112">
        <v>0</v>
      </c>
      <c r="AJ59" s="112">
        <v>0</v>
      </c>
      <c r="AK59" s="112">
        <v>0</v>
      </c>
      <c r="AL59" s="112">
        <v>0</v>
      </c>
      <c r="AM59" s="112">
        <v>0</v>
      </c>
      <c r="AN59" s="112">
        <v>0</v>
      </c>
      <c r="AO59" s="112">
        <v>0</v>
      </c>
      <c r="AP59" s="112">
        <v>0</v>
      </c>
      <c r="AQ59" s="112">
        <v>0</v>
      </c>
      <c r="AR59" s="112">
        <v>0</v>
      </c>
      <c r="AS59" s="112">
        <v>0</v>
      </c>
      <c r="AT59" s="112">
        <v>0</v>
      </c>
      <c r="AU59" s="112">
        <v>0</v>
      </c>
      <c r="AV59" s="112">
        <v>0</v>
      </c>
      <c r="AW59" s="112">
        <v>0</v>
      </c>
      <c r="AX59" s="112">
        <v>0</v>
      </c>
      <c r="AY59" s="112">
        <v>0</v>
      </c>
      <c r="AZ59" s="112">
        <v>0</v>
      </c>
      <c r="BA59" s="112">
        <v>1</v>
      </c>
      <c r="BB59" s="112">
        <v>1</v>
      </c>
      <c r="BC59" s="112">
        <v>0</v>
      </c>
      <c r="BD59" s="112">
        <v>0</v>
      </c>
      <c r="BE59" s="112">
        <v>0</v>
      </c>
      <c r="BF59" s="112">
        <v>0</v>
      </c>
      <c r="BG59" s="112">
        <v>0</v>
      </c>
      <c r="BH59" s="112">
        <v>0</v>
      </c>
      <c r="BI59" s="112">
        <v>0</v>
      </c>
    </row>
    <row r="60" spans="1:61" x14ac:dyDescent="0.15">
      <c r="A60" s="193" t="s">
        <v>251</v>
      </c>
      <c r="B60" s="112">
        <v>0</v>
      </c>
      <c r="C60" s="112">
        <v>1</v>
      </c>
      <c r="D60" s="112">
        <v>1</v>
      </c>
      <c r="E60" s="112">
        <v>1</v>
      </c>
      <c r="F60" s="112">
        <v>1</v>
      </c>
      <c r="G60" s="112">
        <v>1</v>
      </c>
      <c r="H60" s="112">
        <v>1</v>
      </c>
      <c r="I60" s="112">
        <v>1</v>
      </c>
      <c r="J60" s="112">
        <v>1</v>
      </c>
      <c r="K60" s="112">
        <v>1</v>
      </c>
      <c r="L60" s="112">
        <v>1</v>
      </c>
      <c r="M60" s="112">
        <v>1</v>
      </c>
      <c r="N60" s="112">
        <v>1</v>
      </c>
      <c r="O60" s="112">
        <v>1</v>
      </c>
      <c r="P60" s="112">
        <v>1</v>
      </c>
      <c r="Q60" s="112">
        <v>0</v>
      </c>
      <c r="R60" s="112">
        <v>0</v>
      </c>
      <c r="S60" s="112">
        <v>1</v>
      </c>
      <c r="T60" s="112">
        <v>1</v>
      </c>
      <c r="U60" s="112">
        <v>1</v>
      </c>
      <c r="V60" s="112">
        <v>1</v>
      </c>
      <c r="W60" s="112">
        <v>0</v>
      </c>
      <c r="X60" s="112">
        <v>0</v>
      </c>
      <c r="Y60" s="112">
        <v>1</v>
      </c>
      <c r="Z60" s="112">
        <v>1</v>
      </c>
      <c r="AA60" s="112">
        <v>0</v>
      </c>
      <c r="AB60" s="112">
        <v>0</v>
      </c>
      <c r="AC60" s="112">
        <v>0</v>
      </c>
      <c r="AD60" s="112">
        <v>0</v>
      </c>
      <c r="AE60" s="112">
        <v>0</v>
      </c>
      <c r="AF60" s="112">
        <v>0</v>
      </c>
      <c r="AG60" s="112">
        <v>0</v>
      </c>
      <c r="AH60" s="112">
        <v>0</v>
      </c>
      <c r="AI60" s="112">
        <v>0</v>
      </c>
      <c r="AJ60" s="112">
        <v>0</v>
      </c>
      <c r="AK60" s="112">
        <v>0</v>
      </c>
      <c r="AL60" s="112">
        <v>0</v>
      </c>
      <c r="AM60" s="112">
        <v>0</v>
      </c>
      <c r="AN60" s="112">
        <v>0</v>
      </c>
      <c r="AO60" s="112">
        <v>0</v>
      </c>
      <c r="AP60" s="112">
        <v>0</v>
      </c>
      <c r="AQ60" s="112">
        <v>0</v>
      </c>
      <c r="AR60" s="112">
        <v>0</v>
      </c>
      <c r="AS60" s="112">
        <v>0</v>
      </c>
      <c r="AT60" s="112">
        <v>0</v>
      </c>
      <c r="AU60" s="112">
        <v>0</v>
      </c>
      <c r="AV60" s="112">
        <v>0</v>
      </c>
      <c r="AW60" s="112">
        <v>0</v>
      </c>
      <c r="AX60" s="112">
        <v>0</v>
      </c>
      <c r="AY60" s="112">
        <v>0</v>
      </c>
      <c r="AZ60" s="112">
        <v>0</v>
      </c>
      <c r="BA60" s="112">
        <v>0</v>
      </c>
      <c r="BB60" s="112">
        <v>1</v>
      </c>
      <c r="BC60" s="112">
        <v>0</v>
      </c>
      <c r="BD60" s="112">
        <v>0</v>
      </c>
      <c r="BE60" s="112">
        <v>1</v>
      </c>
      <c r="BF60" s="112">
        <v>0</v>
      </c>
      <c r="BG60" s="112">
        <v>0</v>
      </c>
      <c r="BH60" s="112">
        <v>0</v>
      </c>
      <c r="BI60" s="112">
        <v>0</v>
      </c>
    </row>
    <row r="61" spans="1:61" x14ac:dyDescent="0.15">
      <c r="A61" s="193" t="s">
        <v>252</v>
      </c>
      <c r="B61" s="112">
        <v>0</v>
      </c>
      <c r="C61" s="112">
        <v>0</v>
      </c>
      <c r="D61" s="112">
        <v>0</v>
      </c>
      <c r="E61" s="112">
        <v>0</v>
      </c>
      <c r="F61" s="112">
        <v>0</v>
      </c>
      <c r="G61" s="112">
        <v>0</v>
      </c>
      <c r="H61" s="112">
        <v>0</v>
      </c>
      <c r="I61" s="112">
        <v>0</v>
      </c>
      <c r="J61" s="112">
        <v>0</v>
      </c>
      <c r="K61" s="112">
        <v>0</v>
      </c>
      <c r="L61" s="112">
        <v>0</v>
      </c>
      <c r="M61" s="112">
        <v>0</v>
      </c>
      <c r="N61" s="112">
        <v>0</v>
      </c>
      <c r="O61" s="112">
        <v>0</v>
      </c>
      <c r="P61" s="112">
        <v>0</v>
      </c>
      <c r="Q61" s="112">
        <v>0</v>
      </c>
      <c r="R61" s="112">
        <v>0</v>
      </c>
      <c r="S61" s="112">
        <v>0</v>
      </c>
      <c r="T61" s="112">
        <v>0</v>
      </c>
      <c r="U61" s="112">
        <v>0</v>
      </c>
      <c r="V61" s="112">
        <v>0</v>
      </c>
      <c r="W61" s="112">
        <v>0</v>
      </c>
      <c r="X61" s="112">
        <v>0</v>
      </c>
      <c r="Y61" s="112">
        <v>0</v>
      </c>
      <c r="Z61" s="112">
        <v>0</v>
      </c>
      <c r="AA61" s="112">
        <v>0</v>
      </c>
      <c r="AB61" s="112">
        <v>0</v>
      </c>
      <c r="AC61" s="112">
        <v>0</v>
      </c>
      <c r="AD61" s="112">
        <v>0</v>
      </c>
      <c r="AE61" s="112">
        <v>0</v>
      </c>
      <c r="AF61" s="112">
        <v>0</v>
      </c>
      <c r="AG61" s="112">
        <v>0</v>
      </c>
      <c r="AH61" s="112">
        <v>0</v>
      </c>
      <c r="AI61" s="112">
        <v>0</v>
      </c>
      <c r="AJ61" s="112">
        <v>0</v>
      </c>
      <c r="AK61" s="112">
        <v>0</v>
      </c>
      <c r="AL61" s="112">
        <v>0</v>
      </c>
      <c r="AM61" s="112">
        <v>0</v>
      </c>
      <c r="AN61" s="112">
        <v>0</v>
      </c>
      <c r="AO61" s="112">
        <v>0</v>
      </c>
      <c r="AP61" s="112">
        <v>0</v>
      </c>
      <c r="AQ61" s="112">
        <v>0</v>
      </c>
      <c r="AR61" s="112">
        <v>0</v>
      </c>
      <c r="AS61" s="112">
        <v>0</v>
      </c>
      <c r="AT61" s="112">
        <v>0</v>
      </c>
      <c r="AU61" s="112">
        <v>0</v>
      </c>
      <c r="AV61" s="112">
        <v>0</v>
      </c>
      <c r="AW61" s="112">
        <v>0</v>
      </c>
      <c r="AX61" s="112">
        <v>0</v>
      </c>
      <c r="AY61" s="112">
        <v>0</v>
      </c>
      <c r="AZ61" s="112">
        <v>0</v>
      </c>
      <c r="BA61" s="112">
        <v>0</v>
      </c>
      <c r="BB61" s="112">
        <v>0</v>
      </c>
      <c r="BC61" s="112">
        <v>0</v>
      </c>
      <c r="BD61" s="112">
        <v>0</v>
      </c>
      <c r="BE61" s="112">
        <v>0</v>
      </c>
      <c r="BF61" s="112">
        <v>0</v>
      </c>
      <c r="BG61" s="112">
        <v>0</v>
      </c>
      <c r="BH61" s="112">
        <v>0</v>
      </c>
      <c r="BI61" s="112">
        <v>0</v>
      </c>
    </row>
    <row r="62" spans="1:61" x14ac:dyDescent="0.15">
      <c r="A62" s="193" t="s">
        <v>260</v>
      </c>
      <c r="B62" s="112">
        <v>0</v>
      </c>
      <c r="C62" s="112">
        <v>0</v>
      </c>
      <c r="D62" s="112">
        <v>0</v>
      </c>
      <c r="E62" s="112">
        <v>0</v>
      </c>
      <c r="F62" s="112">
        <v>0</v>
      </c>
      <c r="G62" s="112">
        <v>0</v>
      </c>
      <c r="H62" s="112">
        <v>0</v>
      </c>
      <c r="I62" s="112">
        <v>0</v>
      </c>
      <c r="J62" s="112">
        <v>0</v>
      </c>
      <c r="K62" s="112">
        <v>0</v>
      </c>
      <c r="L62" s="112">
        <v>0</v>
      </c>
      <c r="M62" s="112">
        <v>0</v>
      </c>
      <c r="N62" s="112">
        <v>0</v>
      </c>
      <c r="O62" s="112">
        <v>0</v>
      </c>
      <c r="P62" s="112">
        <v>0</v>
      </c>
      <c r="Q62" s="112">
        <v>0</v>
      </c>
      <c r="R62" s="112">
        <v>0</v>
      </c>
      <c r="S62" s="112">
        <v>0</v>
      </c>
      <c r="T62" s="112">
        <v>0</v>
      </c>
      <c r="U62" s="112">
        <v>0</v>
      </c>
      <c r="V62" s="112">
        <v>0</v>
      </c>
      <c r="W62" s="112">
        <v>0</v>
      </c>
      <c r="X62" s="112">
        <v>0</v>
      </c>
      <c r="Y62" s="112">
        <v>0</v>
      </c>
      <c r="Z62" s="112">
        <v>0</v>
      </c>
      <c r="AA62" s="112">
        <v>0</v>
      </c>
      <c r="AB62" s="112">
        <v>0</v>
      </c>
      <c r="AC62" s="112">
        <v>0</v>
      </c>
      <c r="AD62" s="112">
        <v>0</v>
      </c>
      <c r="AE62" s="112">
        <v>0</v>
      </c>
      <c r="AF62" s="112">
        <v>0</v>
      </c>
      <c r="AG62" s="112">
        <v>0</v>
      </c>
      <c r="AH62" s="112">
        <v>0</v>
      </c>
      <c r="AI62" s="112">
        <v>0</v>
      </c>
      <c r="AJ62" s="112">
        <v>0</v>
      </c>
      <c r="AK62" s="112">
        <v>0</v>
      </c>
      <c r="AL62" s="112">
        <v>0</v>
      </c>
      <c r="AM62" s="112">
        <v>0</v>
      </c>
      <c r="AN62" s="112">
        <v>0</v>
      </c>
      <c r="AO62" s="112">
        <v>0</v>
      </c>
      <c r="AP62" s="112">
        <v>0</v>
      </c>
      <c r="AQ62" s="112">
        <v>0</v>
      </c>
      <c r="AR62" s="112">
        <v>0</v>
      </c>
      <c r="AS62" s="112">
        <v>0</v>
      </c>
      <c r="AT62" s="112">
        <v>0</v>
      </c>
      <c r="AU62" s="112">
        <v>0</v>
      </c>
      <c r="AV62" s="112">
        <v>0</v>
      </c>
      <c r="AW62" s="112">
        <v>0</v>
      </c>
      <c r="AX62" s="112">
        <v>0</v>
      </c>
      <c r="AY62" s="112">
        <v>0</v>
      </c>
      <c r="AZ62" s="112">
        <v>0</v>
      </c>
      <c r="BA62" s="112">
        <v>0</v>
      </c>
      <c r="BB62" s="112">
        <v>0</v>
      </c>
      <c r="BC62" s="112">
        <v>0</v>
      </c>
      <c r="BD62" s="112">
        <v>0</v>
      </c>
      <c r="BE62" s="112">
        <v>0</v>
      </c>
      <c r="BF62" s="112">
        <v>0</v>
      </c>
      <c r="BG62" s="112">
        <v>0</v>
      </c>
      <c r="BH62" s="112">
        <v>0</v>
      </c>
      <c r="BI62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I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4.83203125" bestFit="1" customWidth="1"/>
    <col min="3" max="4" width="3.83203125" bestFit="1" customWidth="1"/>
    <col min="5" max="9" width="3.83203125" customWidth="1"/>
  </cols>
  <sheetData>
    <row r="1" spans="1:9" ht="112" x14ac:dyDescent="0.15">
      <c r="A1" s="5" t="s">
        <v>83</v>
      </c>
      <c r="B1" s="3" t="s">
        <v>0</v>
      </c>
      <c r="C1" s="196" t="s">
        <v>253</v>
      </c>
      <c r="D1" s="196" t="s">
        <v>254</v>
      </c>
      <c r="E1" s="196" t="s">
        <v>255</v>
      </c>
      <c r="F1" s="196" t="s">
        <v>256</v>
      </c>
      <c r="G1" s="196" t="s">
        <v>257</v>
      </c>
      <c r="H1" s="196" t="s">
        <v>258</v>
      </c>
      <c r="I1" s="196" t="s">
        <v>259</v>
      </c>
    </row>
    <row r="2" spans="1:9" x14ac:dyDescent="0.15">
      <c r="A2">
        <v>1</v>
      </c>
      <c r="B2" s="195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15">
      <c r="A3">
        <v>2</v>
      </c>
      <c r="B3" s="195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15">
      <c r="A4">
        <v>3</v>
      </c>
      <c r="B4" s="195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15">
      <c r="A5">
        <v>4</v>
      </c>
      <c r="B5" s="195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15">
      <c r="A6">
        <v>5</v>
      </c>
      <c r="B6" s="195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15">
      <c r="A7">
        <v>6</v>
      </c>
      <c r="B7" s="195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15">
      <c r="A8">
        <v>7</v>
      </c>
      <c r="B8" s="195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15">
      <c r="A9">
        <v>8</v>
      </c>
      <c r="B9" s="195" t="s">
        <v>200</v>
      </c>
      <c r="C9">
        <v>0</v>
      </c>
      <c r="D9">
        <v>0</v>
      </c>
      <c r="E9">
        <v>0.8</v>
      </c>
      <c r="F9">
        <v>0</v>
      </c>
      <c r="G9">
        <v>0</v>
      </c>
      <c r="H9">
        <v>0</v>
      </c>
      <c r="I9">
        <v>0.8</v>
      </c>
    </row>
    <row r="10" spans="1:9" x14ac:dyDescent="0.15">
      <c r="A10">
        <v>9</v>
      </c>
      <c r="B10" s="195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15">
      <c r="A11">
        <v>10</v>
      </c>
      <c r="B11" s="195" t="s">
        <v>202</v>
      </c>
      <c r="C11">
        <v>0.8</v>
      </c>
      <c r="D11">
        <v>0.8</v>
      </c>
      <c r="E11">
        <v>0.8</v>
      </c>
      <c r="F11">
        <v>0.8</v>
      </c>
      <c r="G11">
        <v>0.8</v>
      </c>
      <c r="H11">
        <v>0</v>
      </c>
      <c r="I11">
        <v>0.8</v>
      </c>
    </row>
    <row r="12" spans="1:9" x14ac:dyDescent="0.15">
      <c r="A12">
        <v>11</v>
      </c>
      <c r="B12" s="195" t="s">
        <v>203</v>
      </c>
      <c r="C12">
        <v>0.8</v>
      </c>
      <c r="D12">
        <v>0.8</v>
      </c>
      <c r="E12">
        <v>0.8</v>
      </c>
      <c r="F12">
        <v>0.8</v>
      </c>
      <c r="G12">
        <v>0</v>
      </c>
      <c r="H12">
        <v>0</v>
      </c>
      <c r="I12">
        <v>0.8</v>
      </c>
    </row>
    <row r="13" spans="1:9" x14ac:dyDescent="0.15">
      <c r="A13">
        <v>12</v>
      </c>
      <c r="B13" s="195" t="s">
        <v>204</v>
      </c>
      <c r="C13">
        <v>0.8</v>
      </c>
      <c r="D13">
        <v>0.8</v>
      </c>
      <c r="E13">
        <v>0.8</v>
      </c>
      <c r="F13">
        <v>0.8</v>
      </c>
      <c r="G13">
        <v>0</v>
      </c>
      <c r="H13">
        <v>0</v>
      </c>
      <c r="I13">
        <v>0.8</v>
      </c>
    </row>
    <row r="14" spans="1:9" x14ac:dyDescent="0.15">
      <c r="A14">
        <v>13</v>
      </c>
      <c r="B14" s="195" t="s">
        <v>205</v>
      </c>
      <c r="C14">
        <v>0.8</v>
      </c>
      <c r="D14">
        <v>0.8</v>
      </c>
      <c r="E14">
        <v>0.8</v>
      </c>
      <c r="F14">
        <v>0.8</v>
      </c>
      <c r="G14">
        <v>0</v>
      </c>
      <c r="H14">
        <v>0</v>
      </c>
      <c r="I14">
        <v>0.8</v>
      </c>
    </row>
    <row r="15" spans="1:9" x14ac:dyDescent="0.15">
      <c r="A15">
        <v>14</v>
      </c>
      <c r="B15" s="195" t="s">
        <v>206</v>
      </c>
      <c r="C15">
        <v>0.8</v>
      </c>
      <c r="D15">
        <v>0.8</v>
      </c>
      <c r="E15">
        <v>0.8</v>
      </c>
      <c r="F15">
        <v>0.8</v>
      </c>
      <c r="G15">
        <v>0</v>
      </c>
      <c r="H15">
        <v>0</v>
      </c>
      <c r="I15">
        <v>0.8</v>
      </c>
    </row>
    <row r="16" spans="1:9" x14ac:dyDescent="0.15">
      <c r="A16">
        <v>15</v>
      </c>
      <c r="B16" s="195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15">
      <c r="A17">
        <v>16</v>
      </c>
      <c r="B17" s="195" t="s">
        <v>208</v>
      </c>
      <c r="C17">
        <v>0.8</v>
      </c>
      <c r="D17">
        <v>0.8</v>
      </c>
      <c r="E17">
        <v>0.8</v>
      </c>
      <c r="F17">
        <v>0.8</v>
      </c>
      <c r="G17">
        <v>0.8</v>
      </c>
      <c r="H17">
        <v>0</v>
      </c>
      <c r="I17">
        <v>0.8</v>
      </c>
    </row>
    <row r="18" spans="1:9" x14ac:dyDescent="0.15">
      <c r="A18">
        <v>17</v>
      </c>
      <c r="B18" s="195" t="s">
        <v>209</v>
      </c>
      <c r="C18">
        <v>0</v>
      </c>
      <c r="D18">
        <v>0.8</v>
      </c>
      <c r="E18">
        <v>0.8</v>
      </c>
      <c r="F18">
        <v>0.8</v>
      </c>
      <c r="G18">
        <v>0.8</v>
      </c>
      <c r="H18">
        <v>0</v>
      </c>
      <c r="I18">
        <v>0.8</v>
      </c>
    </row>
    <row r="19" spans="1:9" x14ac:dyDescent="0.15">
      <c r="A19">
        <v>18</v>
      </c>
      <c r="B19" s="195" t="s">
        <v>210</v>
      </c>
      <c r="C19">
        <v>0</v>
      </c>
      <c r="D19">
        <v>0</v>
      </c>
      <c r="E19">
        <v>0</v>
      </c>
      <c r="F19">
        <v>0</v>
      </c>
      <c r="G19">
        <v>0.8</v>
      </c>
      <c r="H19">
        <v>0</v>
      </c>
      <c r="I19">
        <v>0</v>
      </c>
    </row>
    <row r="20" spans="1:9" x14ac:dyDescent="0.15">
      <c r="A20">
        <v>19</v>
      </c>
      <c r="B20" s="195" t="s">
        <v>211</v>
      </c>
      <c r="C20">
        <v>0</v>
      </c>
      <c r="D20">
        <v>0.8</v>
      </c>
      <c r="E20">
        <v>0.8</v>
      </c>
      <c r="F20">
        <v>0.8</v>
      </c>
      <c r="G20">
        <v>0.8</v>
      </c>
      <c r="H20">
        <v>0</v>
      </c>
      <c r="I20">
        <v>0.8</v>
      </c>
    </row>
    <row r="21" spans="1:9" x14ac:dyDescent="0.15">
      <c r="A21">
        <v>20</v>
      </c>
      <c r="B21" s="195" t="s">
        <v>212</v>
      </c>
      <c r="C21">
        <v>0</v>
      </c>
      <c r="D21">
        <v>0.8</v>
      </c>
      <c r="E21">
        <v>0.8</v>
      </c>
      <c r="F21">
        <v>0.8</v>
      </c>
      <c r="G21">
        <v>0.8</v>
      </c>
      <c r="H21">
        <v>0</v>
      </c>
      <c r="I21">
        <v>0.8</v>
      </c>
    </row>
    <row r="22" spans="1:9" x14ac:dyDescent="0.15">
      <c r="A22">
        <v>21</v>
      </c>
      <c r="B22" s="195" t="s">
        <v>213</v>
      </c>
      <c r="C22">
        <v>0</v>
      </c>
      <c r="D22">
        <v>0.8</v>
      </c>
      <c r="E22">
        <v>0</v>
      </c>
      <c r="F22">
        <v>0</v>
      </c>
      <c r="G22">
        <v>0</v>
      </c>
      <c r="H22">
        <v>0</v>
      </c>
      <c r="I22">
        <v>0.8</v>
      </c>
    </row>
    <row r="23" spans="1:9" x14ac:dyDescent="0.15">
      <c r="A23">
        <v>22</v>
      </c>
      <c r="B23" s="195" t="s">
        <v>214</v>
      </c>
      <c r="C23">
        <v>0</v>
      </c>
      <c r="D23">
        <v>0.8</v>
      </c>
      <c r="E23">
        <v>0.8</v>
      </c>
      <c r="F23">
        <v>0.8</v>
      </c>
      <c r="G23">
        <v>0.8</v>
      </c>
      <c r="H23">
        <v>0.8</v>
      </c>
      <c r="I23">
        <v>0.8</v>
      </c>
    </row>
    <row r="24" spans="1:9" x14ac:dyDescent="0.15">
      <c r="A24">
        <v>23</v>
      </c>
      <c r="B24" s="195" t="s">
        <v>215</v>
      </c>
      <c r="C24">
        <v>0.8</v>
      </c>
      <c r="D24">
        <v>0.8</v>
      </c>
      <c r="E24">
        <v>0.8</v>
      </c>
      <c r="F24">
        <v>0.8</v>
      </c>
      <c r="G24">
        <v>0</v>
      </c>
      <c r="H24">
        <v>0</v>
      </c>
      <c r="I24">
        <v>0.8</v>
      </c>
    </row>
    <row r="25" spans="1:9" x14ac:dyDescent="0.15">
      <c r="A25">
        <v>24</v>
      </c>
      <c r="B25" s="195" t="s">
        <v>216</v>
      </c>
      <c r="C25">
        <v>0</v>
      </c>
      <c r="D25">
        <v>0.8</v>
      </c>
      <c r="E25">
        <v>0.8</v>
      </c>
      <c r="F25">
        <v>0.8</v>
      </c>
      <c r="G25">
        <v>0</v>
      </c>
      <c r="H25">
        <v>0</v>
      </c>
      <c r="I25">
        <v>0.8</v>
      </c>
    </row>
    <row r="26" spans="1:9" x14ac:dyDescent="0.15">
      <c r="A26">
        <v>25</v>
      </c>
      <c r="B26" s="195" t="s">
        <v>217</v>
      </c>
      <c r="C26">
        <v>0</v>
      </c>
      <c r="D26">
        <v>0.8</v>
      </c>
      <c r="E26">
        <v>0.8</v>
      </c>
      <c r="F26">
        <v>0.8</v>
      </c>
      <c r="G26">
        <v>0</v>
      </c>
      <c r="H26">
        <v>0</v>
      </c>
      <c r="I26">
        <v>0.8</v>
      </c>
    </row>
    <row r="27" spans="1:9" x14ac:dyDescent="0.15">
      <c r="A27">
        <v>26</v>
      </c>
      <c r="B27" s="195" t="s">
        <v>218</v>
      </c>
      <c r="C27">
        <v>0.8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15">
      <c r="A28">
        <v>27</v>
      </c>
      <c r="B28" s="195" t="s">
        <v>219</v>
      </c>
      <c r="C28">
        <v>0.8</v>
      </c>
      <c r="D28">
        <v>0.8</v>
      </c>
      <c r="E28">
        <v>0.8</v>
      </c>
      <c r="F28">
        <v>0.8</v>
      </c>
      <c r="G28">
        <v>0.8</v>
      </c>
      <c r="H28">
        <v>0.8</v>
      </c>
      <c r="I28">
        <v>0.8</v>
      </c>
    </row>
    <row r="29" spans="1:9" x14ac:dyDescent="0.15">
      <c r="A29">
        <v>28</v>
      </c>
      <c r="B29" s="195" t="s">
        <v>220</v>
      </c>
      <c r="C29">
        <v>0.8</v>
      </c>
      <c r="D29">
        <v>0.8</v>
      </c>
      <c r="E29">
        <v>0.8</v>
      </c>
      <c r="F29">
        <v>0.8</v>
      </c>
      <c r="G29">
        <v>0.8</v>
      </c>
      <c r="H29">
        <v>0.8</v>
      </c>
      <c r="I29">
        <v>0.8</v>
      </c>
    </row>
    <row r="30" spans="1:9" x14ac:dyDescent="0.15">
      <c r="A30">
        <v>29</v>
      </c>
      <c r="B30" s="195" t="s">
        <v>221</v>
      </c>
      <c r="C30">
        <v>0.8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15">
      <c r="A31">
        <v>30</v>
      </c>
      <c r="B31" s="195" t="s">
        <v>222</v>
      </c>
      <c r="C31">
        <v>0.8</v>
      </c>
      <c r="D31">
        <v>0.8</v>
      </c>
      <c r="E31">
        <v>0.8</v>
      </c>
      <c r="F31">
        <v>0.8</v>
      </c>
      <c r="G31">
        <v>0</v>
      </c>
      <c r="H31">
        <v>0.8</v>
      </c>
      <c r="I31">
        <v>0.8</v>
      </c>
    </row>
    <row r="32" spans="1:9" x14ac:dyDescent="0.15">
      <c r="A32">
        <v>31</v>
      </c>
      <c r="B32" s="195" t="s">
        <v>223</v>
      </c>
      <c r="C32">
        <v>0.8</v>
      </c>
      <c r="D32">
        <v>0.8</v>
      </c>
      <c r="E32">
        <v>0.8</v>
      </c>
      <c r="F32">
        <v>0.8</v>
      </c>
      <c r="G32">
        <v>0</v>
      </c>
      <c r="H32">
        <v>0.8</v>
      </c>
      <c r="I32">
        <v>0.8</v>
      </c>
    </row>
    <row r="33" spans="1:9" x14ac:dyDescent="0.15">
      <c r="A33">
        <v>32</v>
      </c>
      <c r="B33" s="195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15">
      <c r="A34">
        <v>33</v>
      </c>
      <c r="B34" s="195" t="s">
        <v>225</v>
      </c>
      <c r="C34">
        <v>0</v>
      </c>
      <c r="D34">
        <v>0.8</v>
      </c>
      <c r="E34">
        <v>0.8</v>
      </c>
      <c r="F34">
        <v>0.8</v>
      </c>
      <c r="G34">
        <v>0</v>
      </c>
      <c r="H34">
        <v>0.8</v>
      </c>
      <c r="I34">
        <v>0.8</v>
      </c>
    </row>
    <row r="35" spans="1:9" x14ac:dyDescent="0.15">
      <c r="A35">
        <v>34</v>
      </c>
      <c r="B35" s="195" t="s">
        <v>226</v>
      </c>
      <c r="C35">
        <v>0</v>
      </c>
      <c r="D35">
        <v>0.8</v>
      </c>
      <c r="E35">
        <v>0.8</v>
      </c>
      <c r="F35">
        <v>0.8</v>
      </c>
      <c r="G35">
        <v>0</v>
      </c>
      <c r="H35">
        <v>0.8</v>
      </c>
      <c r="I35">
        <v>0.8</v>
      </c>
    </row>
    <row r="36" spans="1:9" x14ac:dyDescent="0.15">
      <c r="A36">
        <v>35</v>
      </c>
      <c r="B36" s="195" t="s">
        <v>227</v>
      </c>
      <c r="C36">
        <v>0.8</v>
      </c>
      <c r="D36">
        <v>0.8</v>
      </c>
      <c r="E36">
        <v>0.8</v>
      </c>
      <c r="F36">
        <v>0.8</v>
      </c>
      <c r="G36">
        <v>0</v>
      </c>
      <c r="H36">
        <v>0.8</v>
      </c>
      <c r="I36">
        <v>0.8</v>
      </c>
    </row>
    <row r="37" spans="1:9" x14ac:dyDescent="0.15">
      <c r="A37">
        <v>36</v>
      </c>
      <c r="B37" s="195" t="s">
        <v>228</v>
      </c>
      <c r="C37">
        <v>0.8</v>
      </c>
      <c r="D37">
        <v>0.8</v>
      </c>
      <c r="E37">
        <v>0.8</v>
      </c>
      <c r="F37">
        <v>0.8</v>
      </c>
      <c r="G37">
        <v>0</v>
      </c>
      <c r="H37">
        <v>0.8</v>
      </c>
      <c r="I37">
        <v>0.8</v>
      </c>
    </row>
    <row r="38" spans="1:9" x14ac:dyDescent="0.15">
      <c r="A38">
        <v>37</v>
      </c>
      <c r="B38" s="195" t="s">
        <v>229</v>
      </c>
      <c r="C38">
        <v>0.8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15">
      <c r="A39">
        <v>38</v>
      </c>
      <c r="B39" s="195" t="s">
        <v>230</v>
      </c>
      <c r="C39">
        <v>0.8</v>
      </c>
      <c r="D39">
        <v>0.8</v>
      </c>
      <c r="E39">
        <v>0.8</v>
      </c>
      <c r="F39">
        <v>0.8</v>
      </c>
      <c r="G39">
        <v>0</v>
      </c>
      <c r="H39">
        <v>0.8</v>
      </c>
      <c r="I39">
        <v>0.8</v>
      </c>
    </row>
    <row r="40" spans="1:9" x14ac:dyDescent="0.15">
      <c r="A40">
        <v>39</v>
      </c>
      <c r="B40" s="195" t="s">
        <v>231</v>
      </c>
      <c r="C40">
        <v>0.8</v>
      </c>
      <c r="D40">
        <v>0.8</v>
      </c>
      <c r="E40">
        <v>0.8</v>
      </c>
      <c r="F40">
        <v>0.8</v>
      </c>
      <c r="G40">
        <v>0</v>
      </c>
      <c r="H40">
        <v>0.8</v>
      </c>
      <c r="I40">
        <v>0.8</v>
      </c>
    </row>
    <row r="41" spans="1:9" x14ac:dyDescent="0.15">
      <c r="A41">
        <v>40</v>
      </c>
      <c r="B41" s="195" t="s">
        <v>232</v>
      </c>
      <c r="C41">
        <v>0.8</v>
      </c>
      <c r="D41">
        <v>0.8</v>
      </c>
      <c r="E41">
        <v>0.8</v>
      </c>
      <c r="F41">
        <v>0.8</v>
      </c>
      <c r="G41">
        <v>0</v>
      </c>
      <c r="H41">
        <v>0.8</v>
      </c>
      <c r="I41">
        <v>0.8</v>
      </c>
    </row>
    <row r="42" spans="1:9" x14ac:dyDescent="0.15">
      <c r="A42">
        <v>41</v>
      </c>
      <c r="B42" s="195" t="s">
        <v>233</v>
      </c>
      <c r="C42">
        <v>0.8</v>
      </c>
      <c r="D42">
        <v>0.8</v>
      </c>
      <c r="E42">
        <v>0.8</v>
      </c>
      <c r="F42">
        <v>0.8</v>
      </c>
      <c r="G42">
        <v>0</v>
      </c>
      <c r="H42">
        <v>0</v>
      </c>
      <c r="I42">
        <v>0.8</v>
      </c>
    </row>
    <row r="43" spans="1:9" x14ac:dyDescent="0.15">
      <c r="A43">
        <v>42</v>
      </c>
      <c r="B43" s="195" t="s">
        <v>234</v>
      </c>
      <c r="C43">
        <v>0</v>
      </c>
      <c r="D43">
        <v>0.8</v>
      </c>
      <c r="E43">
        <v>0.8</v>
      </c>
      <c r="F43">
        <v>0.8</v>
      </c>
      <c r="G43">
        <v>0</v>
      </c>
      <c r="H43">
        <v>0.8</v>
      </c>
      <c r="I43">
        <v>0.8</v>
      </c>
    </row>
    <row r="44" spans="1:9" x14ac:dyDescent="0.15">
      <c r="A44">
        <v>43</v>
      </c>
      <c r="B44" s="195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15">
      <c r="A45">
        <v>44</v>
      </c>
      <c r="B45" s="195" t="s">
        <v>236</v>
      </c>
      <c r="C45">
        <v>0.8</v>
      </c>
      <c r="D45">
        <v>0.8</v>
      </c>
      <c r="E45">
        <v>0.8</v>
      </c>
      <c r="F45">
        <v>0.8</v>
      </c>
      <c r="G45">
        <v>0.8</v>
      </c>
      <c r="H45">
        <v>0.8</v>
      </c>
      <c r="I45">
        <v>0.8</v>
      </c>
    </row>
    <row r="46" spans="1:9" x14ac:dyDescent="0.15">
      <c r="A46">
        <v>45</v>
      </c>
      <c r="B46" s="195" t="s">
        <v>237</v>
      </c>
      <c r="C46">
        <v>0.8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15">
      <c r="A47">
        <v>46</v>
      </c>
      <c r="B47" s="195" t="s">
        <v>238</v>
      </c>
      <c r="C47">
        <v>0.8</v>
      </c>
      <c r="D47">
        <v>0.8</v>
      </c>
      <c r="E47">
        <v>0.8</v>
      </c>
      <c r="F47">
        <v>0.8</v>
      </c>
      <c r="G47">
        <v>0</v>
      </c>
      <c r="H47">
        <v>0.8</v>
      </c>
      <c r="I47">
        <v>0.8</v>
      </c>
    </row>
    <row r="48" spans="1:9" x14ac:dyDescent="0.15">
      <c r="A48">
        <v>47</v>
      </c>
      <c r="B48" s="195" t="s">
        <v>239</v>
      </c>
      <c r="C48">
        <v>0.8</v>
      </c>
      <c r="D48">
        <v>0.8</v>
      </c>
      <c r="E48">
        <v>0.8</v>
      </c>
      <c r="F48">
        <v>0.8</v>
      </c>
      <c r="G48">
        <v>0</v>
      </c>
      <c r="H48">
        <v>0</v>
      </c>
      <c r="I48">
        <v>0.8</v>
      </c>
    </row>
    <row r="49" spans="1:9" x14ac:dyDescent="0.15">
      <c r="A49">
        <v>48</v>
      </c>
      <c r="B49" s="195" t="s">
        <v>240</v>
      </c>
      <c r="C49">
        <v>0.8</v>
      </c>
      <c r="D49">
        <v>0.8</v>
      </c>
      <c r="E49">
        <v>0.8</v>
      </c>
      <c r="F49">
        <v>0.8</v>
      </c>
      <c r="G49">
        <v>0.8</v>
      </c>
      <c r="H49">
        <v>0.8</v>
      </c>
      <c r="I49">
        <v>0.8</v>
      </c>
    </row>
    <row r="50" spans="1:9" x14ac:dyDescent="0.15">
      <c r="A50">
        <v>49</v>
      </c>
      <c r="B50" s="195" t="s">
        <v>241</v>
      </c>
      <c r="C50">
        <v>0.8</v>
      </c>
      <c r="D50">
        <v>0.8</v>
      </c>
      <c r="E50">
        <v>0.8</v>
      </c>
      <c r="F50">
        <v>0.8</v>
      </c>
      <c r="G50">
        <v>0.8</v>
      </c>
      <c r="H50">
        <v>0.8</v>
      </c>
      <c r="I50">
        <v>0.8</v>
      </c>
    </row>
    <row r="51" spans="1:9" x14ac:dyDescent="0.15">
      <c r="A51">
        <v>50</v>
      </c>
      <c r="B51" s="195" t="s">
        <v>242</v>
      </c>
      <c r="C51">
        <v>0.8</v>
      </c>
      <c r="D51">
        <v>0.8</v>
      </c>
      <c r="E51">
        <v>0.8</v>
      </c>
      <c r="F51">
        <v>0.8</v>
      </c>
      <c r="G51">
        <v>0</v>
      </c>
      <c r="H51">
        <v>0.8</v>
      </c>
      <c r="I51">
        <v>0.8</v>
      </c>
    </row>
    <row r="52" spans="1:9" x14ac:dyDescent="0.15">
      <c r="A52">
        <v>51</v>
      </c>
      <c r="B52" s="195" t="s">
        <v>243</v>
      </c>
      <c r="C52">
        <v>0</v>
      </c>
      <c r="D52">
        <v>0.8</v>
      </c>
      <c r="E52">
        <v>0.8</v>
      </c>
      <c r="F52">
        <v>0.8</v>
      </c>
      <c r="G52">
        <v>0</v>
      </c>
      <c r="H52">
        <v>0.8</v>
      </c>
      <c r="I52">
        <v>0.8</v>
      </c>
    </row>
    <row r="53" spans="1:9" x14ac:dyDescent="0.15">
      <c r="A53">
        <v>52</v>
      </c>
      <c r="B53" s="195" t="s">
        <v>244</v>
      </c>
      <c r="C53">
        <v>0</v>
      </c>
      <c r="D53">
        <v>0.8</v>
      </c>
      <c r="E53">
        <v>0.8</v>
      </c>
      <c r="F53">
        <v>0.8</v>
      </c>
      <c r="G53">
        <v>0.8</v>
      </c>
      <c r="H53">
        <v>0.8</v>
      </c>
      <c r="I53">
        <v>0.8</v>
      </c>
    </row>
    <row r="54" spans="1:9" x14ac:dyDescent="0.15">
      <c r="A54">
        <v>53</v>
      </c>
      <c r="B54" s="195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</row>
    <row r="55" spans="1:9" x14ac:dyDescent="0.15">
      <c r="A55">
        <v>54</v>
      </c>
      <c r="B55" s="195" t="s">
        <v>246</v>
      </c>
      <c r="C55">
        <v>0.8</v>
      </c>
      <c r="D55">
        <v>0.8</v>
      </c>
      <c r="E55">
        <v>0.8</v>
      </c>
      <c r="F55">
        <v>0.8</v>
      </c>
      <c r="G55">
        <v>0.8</v>
      </c>
      <c r="H55">
        <v>0.8</v>
      </c>
      <c r="I55">
        <v>0.8</v>
      </c>
    </row>
    <row r="56" spans="1:9" x14ac:dyDescent="0.15">
      <c r="A56">
        <v>55</v>
      </c>
      <c r="B56" s="195" t="s">
        <v>247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</row>
    <row r="57" spans="1:9" x14ac:dyDescent="0.15">
      <c r="A57">
        <v>56</v>
      </c>
      <c r="B57" s="195" t="s">
        <v>248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</row>
    <row r="58" spans="1:9" x14ac:dyDescent="0.15">
      <c r="A58">
        <v>57</v>
      </c>
      <c r="B58" s="195" t="s">
        <v>249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</row>
    <row r="59" spans="1:9" x14ac:dyDescent="0.15">
      <c r="A59">
        <v>58</v>
      </c>
      <c r="B59" s="195" t="s">
        <v>250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</row>
    <row r="60" spans="1:9" x14ac:dyDescent="0.15">
      <c r="A60">
        <v>59</v>
      </c>
      <c r="B60" s="195" t="s">
        <v>251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</row>
    <row r="61" spans="1:9" x14ac:dyDescent="0.15">
      <c r="A61">
        <v>60</v>
      </c>
      <c r="B61" s="195" t="s">
        <v>252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I6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4.83203125" bestFit="1" customWidth="1"/>
    <col min="3" max="4" width="3.83203125" bestFit="1" customWidth="1"/>
    <col min="5" max="9" width="3.83203125" customWidth="1"/>
  </cols>
  <sheetData>
    <row r="1" spans="1:9" ht="112" x14ac:dyDescent="0.15">
      <c r="A1" s="5" t="s">
        <v>82</v>
      </c>
      <c r="B1" s="3" t="s">
        <v>0</v>
      </c>
      <c r="C1" s="198" t="s">
        <v>253</v>
      </c>
      <c r="D1" s="198" t="s">
        <v>254</v>
      </c>
      <c r="E1" s="198" t="s">
        <v>255</v>
      </c>
      <c r="F1" s="198" t="s">
        <v>256</v>
      </c>
      <c r="G1" s="198" t="s">
        <v>257</v>
      </c>
      <c r="H1" s="198" t="s">
        <v>258</v>
      </c>
      <c r="I1" s="198" t="s">
        <v>259</v>
      </c>
    </row>
    <row r="2" spans="1:9" x14ac:dyDescent="0.15">
      <c r="A2">
        <v>1</v>
      </c>
      <c r="B2" s="197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15">
      <c r="A3">
        <v>2</v>
      </c>
      <c r="B3" s="197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15">
      <c r="A4">
        <v>3</v>
      </c>
      <c r="B4" s="197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15">
      <c r="A5">
        <v>4</v>
      </c>
      <c r="B5" s="197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15">
      <c r="A6">
        <v>5</v>
      </c>
      <c r="B6" s="197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15">
      <c r="A7">
        <v>6</v>
      </c>
      <c r="B7" s="197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15">
      <c r="A8">
        <v>7</v>
      </c>
      <c r="B8" s="197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15">
      <c r="A9">
        <v>8</v>
      </c>
      <c r="B9" s="197" t="s">
        <v>200</v>
      </c>
      <c r="C9">
        <v>0</v>
      </c>
      <c r="D9">
        <v>0</v>
      </c>
      <c r="E9">
        <v>0.8</v>
      </c>
      <c r="F9">
        <v>0</v>
      </c>
      <c r="G9">
        <v>0</v>
      </c>
      <c r="H9">
        <v>0</v>
      </c>
      <c r="I9">
        <v>0.8</v>
      </c>
    </row>
    <row r="10" spans="1:9" x14ac:dyDescent="0.15">
      <c r="A10">
        <v>9</v>
      </c>
      <c r="B10" s="197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15">
      <c r="A11">
        <v>10</v>
      </c>
      <c r="B11" s="197" t="s">
        <v>202</v>
      </c>
      <c r="C11">
        <v>0.8</v>
      </c>
      <c r="D11">
        <v>0.8</v>
      </c>
      <c r="E11">
        <v>0.8</v>
      </c>
      <c r="F11">
        <v>0.8</v>
      </c>
      <c r="G11">
        <v>0.8</v>
      </c>
      <c r="H11">
        <v>0</v>
      </c>
      <c r="I11">
        <v>0.8</v>
      </c>
    </row>
    <row r="12" spans="1:9" x14ac:dyDescent="0.15">
      <c r="A12">
        <v>11</v>
      </c>
      <c r="B12" s="197" t="s">
        <v>203</v>
      </c>
      <c r="C12">
        <v>0.8</v>
      </c>
      <c r="D12">
        <v>0.8</v>
      </c>
      <c r="E12">
        <v>0.8</v>
      </c>
      <c r="F12">
        <v>0.8</v>
      </c>
      <c r="G12">
        <v>0</v>
      </c>
      <c r="H12">
        <v>0</v>
      </c>
      <c r="I12">
        <v>0.8</v>
      </c>
    </row>
    <row r="13" spans="1:9" x14ac:dyDescent="0.15">
      <c r="A13">
        <v>12</v>
      </c>
      <c r="B13" s="197" t="s">
        <v>204</v>
      </c>
      <c r="C13">
        <v>0.8</v>
      </c>
      <c r="D13">
        <v>0.8</v>
      </c>
      <c r="E13">
        <v>0.8</v>
      </c>
      <c r="F13">
        <v>0.8</v>
      </c>
      <c r="G13">
        <v>0</v>
      </c>
      <c r="H13">
        <v>0</v>
      </c>
      <c r="I13">
        <v>0.8</v>
      </c>
    </row>
    <row r="14" spans="1:9" x14ac:dyDescent="0.15">
      <c r="A14">
        <v>13</v>
      </c>
      <c r="B14" s="197" t="s">
        <v>205</v>
      </c>
      <c r="C14">
        <v>0.8</v>
      </c>
      <c r="D14">
        <v>0.8</v>
      </c>
      <c r="E14">
        <v>0.8</v>
      </c>
      <c r="F14">
        <v>0.8</v>
      </c>
      <c r="G14">
        <v>0</v>
      </c>
      <c r="H14">
        <v>0</v>
      </c>
      <c r="I14">
        <v>0.8</v>
      </c>
    </row>
    <row r="15" spans="1:9" x14ac:dyDescent="0.15">
      <c r="A15">
        <v>14</v>
      </c>
      <c r="B15" s="197" t="s">
        <v>206</v>
      </c>
      <c r="C15">
        <v>0.8</v>
      </c>
      <c r="D15">
        <v>0.8</v>
      </c>
      <c r="E15">
        <v>0.8</v>
      </c>
      <c r="F15">
        <v>0.8</v>
      </c>
      <c r="G15">
        <v>0</v>
      </c>
      <c r="H15">
        <v>0</v>
      </c>
      <c r="I15">
        <v>0.8</v>
      </c>
    </row>
    <row r="16" spans="1:9" x14ac:dyDescent="0.15">
      <c r="A16">
        <v>15</v>
      </c>
      <c r="B16" s="197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15">
      <c r="A17">
        <v>16</v>
      </c>
      <c r="B17" s="197" t="s">
        <v>208</v>
      </c>
      <c r="C17">
        <v>0.8</v>
      </c>
      <c r="D17">
        <v>0.8</v>
      </c>
      <c r="E17">
        <v>0.8</v>
      </c>
      <c r="F17">
        <v>0.8</v>
      </c>
      <c r="G17">
        <v>0.8</v>
      </c>
      <c r="H17">
        <v>0</v>
      </c>
      <c r="I17">
        <v>0.8</v>
      </c>
    </row>
    <row r="18" spans="1:9" x14ac:dyDescent="0.15">
      <c r="A18">
        <v>17</v>
      </c>
      <c r="B18" s="197" t="s">
        <v>209</v>
      </c>
      <c r="C18">
        <v>0</v>
      </c>
      <c r="D18">
        <v>0.8</v>
      </c>
      <c r="E18">
        <v>0.8</v>
      </c>
      <c r="F18">
        <v>0.8</v>
      </c>
      <c r="G18">
        <v>0.8</v>
      </c>
      <c r="H18">
        <v>0</v>
      </c>
      <c r="I18">
        <v>0.8</v>
      </c>
    </row>
    <row r="19" spans="1:9" x14ac:dyDescent="0.15">
      <c r="A19">
        <v>18</v>
      </c>
      <c r="B19" s="197" t="s">
        <v>210</v>
      </c>
      <c r="C19">
        <v>0</v>
      </c>
      <c r="D19">
        <v>0</v>
      </c>
      <c r="E19">
        <v>0</v>
      </c>
      <c r="F19">
        <v>0</v>
      </c>
      <c r="G19">
        <v>0.8</v>
      </c>
      <c r="H19">
        <v>0</v>
      </c>
      <c r="I19">
        <v>0</v>
      </c>
    </row>
    <row r="20" spans="1:9" x14ac:dyDescent="0.15">
      <c r="A20">
        <v>19</v>
      </c>
      <c r="B20" s="197" t="s">
        <v>211</v>
      </c>
      <c r="C20">
        <v>0</v>
      </c>
      <c r="D20">
        <v>0.8</v>
      </c>
      <c r="E20">
        <v>0.8</v>
      </c>
      <c r="F20">
        <v>0.8</v>
      </c>
      <c r="G20">
        <v>0.8</v>
      </c>
      <c r="H20">
        <v>0</v>
      </c>
      <c r="I20">
        <v>0.8</v>
      </c>
    </row>
    <row r="21" spans="1:9" x14ac:dyDescent="0.15">
      <c r="A21">
        <v>20</v>
      </c>
      <c r="B21" s="197" t="s">
        <v>212</v>
      </c>
      <c r="C21">
        <v>0</v>
      </c>
      <c r="D21">
        <v>0.8</v>
      </c>
      <c r="E21">
        <v>0.8</v>
      </c>
      <c r="F21">
        <v>0.8</v>
      </c>
      <c r="G21">
        <v>0.8</v>
      </c>
      <c r="H21">
        <v>0</v>
      </c>
      <c r="I21">
        <v>0.8</v>
      </c>
    </row>
    <row r="22" spans="1:9" x14ac:dyDescent="0.15">
      <c r="A22">
        <v>21</v>
      </c>
      <c r="B22" s="197" t="s">
        <v>213</v>
      </c>
      <c r="C22">
        <v>0</v>
      </c>
      <c r="D22">
        <v>0.8</v>
      </c>
      <c r="E22">
        <v>0</v>
      </c>
      <c r="F22">
        <v>0</v>
      </c>
      <c r="G22">
        <v>0</v>
      </c>
      <c r="H22">
        <v>0</v>
      </c>
      <c r="I22">
        <v>0.8</v>
      </c>
    </row>
    <row r="23" spans="1:9" x14ac:dyDescent="0.15">
      <c r="A23">
        <v>22</v>
      </c>
      <c r="B23" s="197" t="s">
        <v>214</v>
      </c>
      <c r="C23">
        <v>0</v>
      </c>
      <c r="D23">
        <v>0.8</v>
      </c>
      <c r="E23">
        <v>0.8</v>
      </c>
      <c r="F23">
        <v>0.8</v>
      </c>
      <c r="G23">
        <v>0.8</v>
      </c>
      <c r="H23">
        <v>0.8</v>
      </c>
      <c r="I23">
        <v>0.8</v>
      </c>
    </row>
    <row r="24" spans="1:9" x14ac:dyDescent="0.15">
      <c r="A24">
        <v>23</v>
      </c>
      <c r="B24" s="197" t="s">
        <v>215</v>
      </c>
      <c r="C24">
        <v>0.8</v>
      </c>
      <c r="D24">
        <v>0.8</v>
      </c>
      <c r="E24">
        <v>0.8</v>
      </c>
      <c r="F24">
        <v>0.8</v>
      </c>
      <c r="G24">
        <v>0</v>
      </c>
      <c r="H24">
        <v>0</v>
      </c>
      <c r="I24">
        <v>0.8</v>
      </c>
    </row>
    <row r="25" spans="1:9" x14ac:dyDescent="0.15">
      <c r="A25">
        <v>24</v>
      </c>
      <c r="B25" s="197" t="s">
        <v>216</v>
      </c>
      <c r="C25">
        <v>0</v>
      </c>
      <c r="D25">
        <v>0.8</v>
      </c>
      <c r="E25">
        <v>0.8</v>
      </c>
      <c r="F25">
        <v>0.8</v>
      </c>
      <c r="G25">
        <v>0</v>
      </c>
      <c r="H25">
        <v>0</v>
      </c>
      <c r="I25">
        <v>0.8</v>
      </c>
    </row>
    <row r="26" spans="1:9" x14ac:dyDescent="0.15">
      <c r="A26">
        <v>25</v>
      </c>
      <c r="B26" s="197" t="s">
        <v>217</v>
      </c>
      <c r="C26">
        <v>0</v>
      </c>
      <c r="D26">
        <v>0.8</v>
      </c>
      <c r="E26">
        <v>0.8</v>
      </c>
      <c r="F26">
        <v>0.8</v>
      </c>
      <c r="G26">
        <v>0</v>
      </c>
      <c r="H26">
        <v>0</v>
      </c>
      <c r="I26">
        <v>0.8</v>
      </c>
    </row>
    <row r="27" spans="1:9" x14ac:dyDescent="0.15">
      <c r="A27">
        <v>26</v>
      </c>
      <c r="B27" s="197" t="s">
        <v>218</v>
      </c>
      <c r="C27">
        <v>0.8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15">
      <c r="A28">
        <v>27</v>
      </c>
      <c r="B28" s="197" t="s">
        <v>219</v>
      </c>
      <c r="C28">
        <v>0.8</v>
      </c>
      <c r="D28">
        <v>0.8</v>
      </c>
      <c r="E28">
        <v>0.8</v>
      </c>
      <c r="F28">
        <v>0.8</v>
      </c>
      <c r="G28">
        <v>0.8</v>
      </c>
      <c r="H28">
        <v>0.8</v>
      </c>
      <c r="I28">
        <v>0.8</v>
      </c>
    </row>
    <row r="29" spans="1:9" x14ac:dyDescent="0.15">
      <c r="A29">
        <v>28</v>
      </c>
      <c r="B29" s="197" t="s">
        <v>220</v>
      </c>
      <c r="C29">
        <v>0.8</v>
      </c>
      <c r="D29">
        <v>0.8</v>
      </c>
      <c r="E29">
        <v>0.8</v>
      </c>
      <c r="F29">
        <v>0.8</v>
      </c>
      <c r="G29">
        <v>0.8</v>
      </c>
      <c r="H29">
        <v>0.8</v>
      </c>
      <c r="I29">
        <v>0.8</v>
      </c>
    </row>
    <row r="30" spans="1:9" x14ac:dyDescent="0.15">
      <c r="A30">
        <v>29</v>
      </c>
      <c r="B30" s="197" t="s">
        <v>221</v>
      </c>
      <c r="C30">
        <v>0.8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15">
      <c r="A31">
        <v>30</v>
      </c>
      <c r="B31" s="197" t="s">
        <v>222</v>
      </c>
      <c r="C31">
        <v>0.8</v>
      </c>
      <c r="D31">
        <v>0.8</v>
      </c>
      <c r="E31">
        <v>0.8</v>
      </c>
      <c r="F31">
        <v>0.8</v>
      </c>
      <c r="G31">
        <v>0</v>
      </c>
      <c r="H31">
        <v>0.8</v>
      </c>
      <c r="I31">
        <v>0.8</v>
      </c>
    </row>
    <row r="32" spans="1:9" x14ac:dyDescent="0.15">
      <c r="A32">
        <v>31</v>
      </c>
      <c r="B32" s="197" t="s">
        <v>223</v>
      </c>
      <c r="C32">
        <v>0.8</v>
      </c>
      <c r="D32">
        <v>0.8</v>
      </c>
      <c r="E32">
        <v>0.8</v>
      </c>
      <c r="F32">
        <v>0.8</v>
      </c>
      <c r="G32">
        <v>0</v>
      </c>
      <c r="H32">
        <v>0.8</v>
      </c>
      <c r="I32">
        <v>0.8</v>
      </c>
    </row>
    <row r="33" spans="1:9" x14ac:dyDescent="0.15">
      <c r="A33">
        <v>32</v>
      </c>
      <c r="B33" s="197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15">
      <c r="A34">
        <v>33</v>
      </c>
      <c r="B34" s="197" t="s">
        <v>225</v>
      </c>
      <c r="C34">
        <v>0</v>
      </c>
      <c r="D34">
        <v>0.8</v>
      </c>
      <c r="E34">
        <v>0.8</v>
      </c>
      <c r="F34">
        <v>0.8</v>
      </c>
      <c r="G34">
        <v>0</v>
      </c>
      <c r="H34">
        <v>0.8</v>
      </c>
      <c r="I34">
        <v>0.8</v>
      </c>
    </row>
    <row r="35" spans="1:9" x14ac:dyDescent="0.15">
      <c r="A35">
        <v>34</v>
      </c>
      <c r="B35" s="197" t="s">
        <v>226</v>
      </c>
      <c r="C35">
        <v>0</v>
      </c>
      <c r="D35">
        <v>0.8</v>
      </c>
      <c r="E35">
        <v>0.8</v>
      </c>
      <c r="F35">
        <v>0.8</v>
      </c>
      <c r="G35">
        <v>0</v>
      </c>
      <c r="H35">
        <v>0.8</v>
      </c>
      <c r="I35">
        <v>0.8</v>
      </c>
    </row>
    <row r="36" spans="1:9" x14ac:dyDescent="0.15">
      <c r="A36">
        <v>35</v>
      </c>
      <c r="B36" s="197" t="s">
        <v>227</v>
      </c>
      <c r="C36">
        <v>0.8</v>
      </c>
      <c r="D36">
        <v>0.8</v>
      </c>
      <c r="E36">
        <v>0.8</v>
      </c>
      <c r="F36">
        <v>0.8</v>
      </c>
      <c r="G36">
        <v>0</v>
      </c>
      <c r="H36">
        <v>0.8</v>
      </c>
      <c r="I36">
        <v>0.8</v>
      </c>
    </row>
    <row r="37" spans="1:9" x14ac:dyDescent="0.15">
      <c r="A37">
        <v>36</v>
      </c>
      <c r="B37" s="197" t="s">
        <v>228</v>
      </c>
      <c r="C37">
        <v>0.8</v>
      </c>
      <c r="D37">
        <v>0.8</v>
      </c>
      <c r="E37">
        <v>0.8</v>
      </c>
      <c r="F37">
        <v>0.8</v>
      </c>
      <c r="G37">
        <v>0</v>
      </c>
      <c r="H37">
        <v>0.8</v>
      </c>
      <c r="I37">
        <v>0.8</v>
      </c>
    </row>
    <row r="38" spans="1:9" x14ac:dyDescent="0.15">
      <c r="A38">
        <v>37</v>
      </c>
      <c r="B38" s="197" t="s">
        <v>229</v>
      </c>
      <c r="C38">
        <v>0.8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15">
      <c r="A39">
        <v>38</v>
      </c>
      <c r="B39" s="197" t="s">
        <v>230</v>
      </c>
      <c r="C39">
        <v>0.8</v>
      </c>
      <c r="D39">
        <v>0.8</v>
      </c>
      <c r="E39">
        <v>0.8</v>
      </c>
      <c r="F39">
        <v>0.8</v>
      </c>
      <c r="G39">
        <v>0</v>
      </c>
      <c r="H39">
        <v>0.8</v>
      </c>
      <c r="I39">
        <v>0.8</v>
      </c>
    </row>
    <row r="40" spans="1:9" x14ac:dyDescent="0.15">
      <c r="A40">
        <v>39</v>
      </c>
      <c r="B40" s="197" t="s">
        <v>231</v>
      </c>
      <c r="C40">
        <v>0.8</v>
      </c>
      <c r="D40">
        <v>0.8</v>
      </c>
      <c r="E40">
        <v>0.8</v>
      </c>
      <c r="F40">
        <v>0.8</v>
      </c>
      <c r="G40">
        <v>0</v>
      </c>
      <c r="H40">
        <v>0.8</v>
      </c>
      <c r="I40">
        <v>0.8</v>
      </c>
    </row>
    <row r="41" spans="1:9" x14ac:dyDescent="0.15">
      <c r="A41">
        <v>40</v>
      </c>
      <c r="B41" s="197" t="s">
        <v>232</v>
      </c>
      <c r="C41">
        <v>0.8</v>
      </c>
      <c r="D41">
        <v>0.8</v>
      </c>
      <c r="E41">
        <v>0.8</v>
      </c>
      <c r="F41">
        <v>0.8</v>
      </c>
      <c r="G41">
        <v>0</v>
      </c>
      <c r="H41">
        <v>0.8</v>
      </c>
      <c r="I41">
        <v>0.8</v>
      </c>
    </row>
    <row r="42" spans="1:9" x14ac:dyDescent="0.15">
      <c r="A42">
        <v>41</v>
      </c>
      <c r="B42" s="197" t="s">
        <v>233</v>
      </c>
      <c r="C42">
        <v>0.8</v>
      </c>
      <c r="D42">
        <v>0.8</v>
      </c>
      <c r="E42">
        <v>0.8</v>
      </c>
      <c r="F42">
        <v>0.8</v>
      </c>
      <c r="G42">
        <v>0</v>
      </c>
      <c r="H42">
        <v>0</v>
      </c>
      <c r="I42">
        <v>0.8</v>
      </c>
    </row>
    <row r="43" spans="1:9" x14ac:dyDescent="0.15">
      <c r="A43">
        <v>42</v>
      </c>
      <c r="B43" s="197" t="s">
        <v>234</v>
      </c>
      <c r="C43">
        <v>0</v>
      </c>
      <c r="D43">
        <v>0.8</v>
      </c>
      <c r="E43">
        <v>0.8</v>
      </c>
      <c r="F43">
        <v>0.8</v>
      </c>
      <c r="G43">
        <v>0</v>
      </c>
      <c r="H43">
        <v>0.8</v>
      </c>
      <c r="I43">
        <v>0.8</v>
      </c>
    </row>
    <row r="44" spans="1:9" x14ac:dyDescent="0.15">
      <c r="A44">
        <v>43</v>
      </c>
      <c r="B44" s="197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15">
      <c r="A45">
        <v>44</v>
      </c>
      <c r="B45" s="197" t="s">
        <v>236</v>
      </c>
      <c r="C45">
        <v>0.8</v>
      </c>
      <c r="D45">
        <v>0.8</v>
      </c>
      <c r="E45">
        <v>0.8</v>
      </c>
      <c r="F45">
        <v>0.8</v>
      </c>
      <c r="G45">
        <v>0.8</v>
      </c>
      <c r="H45">
        <v>0.8</v>
      </c>
      <c r="I45">
        <v>0.8</v>
      </c>
    </row>
    <row r="46" spans="1:9" x14ac:dyDescent="0.15">
      <c r="A46">
        <v>45</v>
      </c>
      <c r="B46" s="197" t="s">
        <v>237</v>
      </c>
      <c r="C46">
        <v>0.8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15">
      <c r="A47">
        <v>46</v>
      </c>
      <c r="B47" s="197" t="s">
        <v>238</v>
      </c>
      <c r="C47">
        <v>0.8</v>
      </c>
      <c r="D47">
        <v>0.8</v>
      </c>
      <c r="E47">
        <v>0.8</v>
      </c>
      <c r="F47">
        <v>0.8</v>
      </c>
      <c r="G47">
        <v>0</v>
      </c>
      <c r="H47">
        <v>0.8</v>
      </c>
      <c r="I47">
        <v>0.8</v>
      </c>
    </row>
    <row r="48" spans="1:9" x14ac:dyDescent="0.15">
      <c r="A48">
        <v>47</v>
      </c>
      <c r="B48" s="197" t="s">
        <v>239</v>
      </c>
      <c r="C48">
        <v>0.8</v>
      </c>
      <c r="D48">
        <v>0.8</v>
      </c>
      <c r="E48">
        <v>0.8</v>
      </c>
      <c r="F48">
        <v>0.8</v>
      </c>
      <c r="G48">
        <v>0</v>
      </c>
      <c r="H48">
        <v>0</v>
      </c>
      <c r="I48">
        <v>0.8</v>
      </c>
    </row>
    <row r="49" spans="1:9" x14ac:dyDescent="0.15">
      <c r="A49">
        <v>48</v>
      </c>
      <c r="B49" s="197" t="s">
        <v>240</v>
      </c>
      <c r="C49">
        <v>0.8</v>
      </c>
      <c r="D49">
        <v>0.8</v>
      </c>
      <c r="E49">
        <v>0.8</v>
      </c>
      <c r="F49">
        <v>0.8</v>
      </c>
      <c r="G49">
        <v>0.8</v>
      </c>
      <c r="H49">
        <v>0.8</v>
      </c>
      <c r="I49">
        <v>0.8</v>
      </c>
    </row>
    <row r="50" spans="1:9" x14ac:dyDescent="0.15">
      <c r="A50">
        <v>49</v>
      </c>
      <c r="B50" s="197" t="s">
        <v>241</v>
      </c>
      <c r="C50">
        <v>0.8</v>
      </c>
      <c r="D50">
        <v>0.8</v>
      </c>
      <c r="E50">
        <v>0.8</v>
      </c>
      <c r="F50">
        <v>0.8</v>
      </c>
      <c r="G50">
        <v>0.8</v>
      </c>
      <c r="H50">
        <v>0.8</v>
      </c>
      <c r="I50">
        <v>0.8</v>
      </c>
    </row>
    <row r="51" spans="1:9" x14ac:dyDescent="0.15">
      <c r="A51">
        <v>50</v>
      </c>
      <c r="B51" s="197" t="s">
        <v>242</v>
      </c>
      <c r="C51">
        <v>0.8</v>
      </c>
      <c r="D51">
        <v>0.8</v>
      </c>
      <c r="E51">
        <v>0.8</v>
      </c>
      <c r="F51">
        <v>0.8</v>
      </c>
      <c r="G51">
        <v>0</v>
      </c>
      <c r="H51">
        <v>0.8</v>
      </c>
      <c r="I51">
        <v>0.8</v>
      </c>
    </row>
    <row r="52" spans="1:9" x14ac:dyDescent="0.15">
      <c r="A52">
        <v>51</v>
      </c>
      <c r="B52" s="197" t="s">
        <v>243</v>
      </c>
      <c r="C52">
        <v>0</v>
      </c>
      <c r="D52">
        <v>0.8</v>
      </c>
      <c r="E52">
        <v>0.8</v>
      </c>
      <c r="F52">
        <v>0.8</v>
      </c>
      <c r="G52">
        <v>0</v>
      </c>
      <c r="H52">
        <v>0.8</v>
      </c>
      <c r="I52">
        <v>0.8</v>
      </c>
    </row>
    <row r="53" spans="1:9" x14ac:dyDescent="0.15">
      <c r="A53">
        <v>52</v>
      </c>
      <c r="B53" s="197" t="s">
        <v>244</v>
      </c>
      <c r="C53">
        <v>0</v>
      </c>
      <c r="D53">
        <v>0.8</v>
      </c>
      <c r="E53">
        <v>0.8</v>
      </c>
      <c r="F53">
        <v>0.8</v>
      </c>
      <c r="G53">
        <v>0.8</v>
      </c>
      <c r="H53">
        <v>0.8</v>
      </c>
      <c r="I53">
        <v>0.8</v>
      </c>
    </row>
    <row r="54" spans="1:9" x14ac:dyDescent="0.15">
      <c r="A54">
        <v>53</v>
      </c>
      <c r="B54" s="197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</row>
    <row r="55" spans="1:9" x14ac:dyDescent="0.15">
      <c r="A55">
        <v>54</v>
      </c>
      <c r="B55" s="197" t="s">
        <v>246</v>
      </c>
      <c r="C55">
        <v>0.8</v>
      </c>
      <c r="D55">
        <v>0.8</v>
      </c>
      <c r="E55">
        <v>0.8</v>
      </c>
      <c r="F55">
        <v>0.8</v>
      </c>
      <c r="G55">
        <v>0.8</v>
      </c>
      <c r="H55">
        <v>0.8</v>
      </c>
      <c r="I55">
        <v>0.8</v>
      </c>
    </row>
    <row r="56" spans="1:9" x14ac:dyDescent="0.15">
      <c r="A56">
        <v>55</v>
      </c>
      <c r="B56" s="197" t="s">
        <v>247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</row>
    <row r="57" spans="1:9" x14ac:dyDescent="0.15">
      <c r="A57">
        <v>56</v>
      </c>
      <c r="B57" s="197" t="s">
        <v>248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</row>
    <row r="58" spans="1:9" x14ac:dyDescent="0.15">
      <c r="A58">
        <v>57</v>
      </c>
      <c r="B58" s="197" t="s">
        <v>249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</row>
    <row r="59" spans="1:9" x14ac:dyDescent="0.15">
      <c r="A59">
        <v>58</v>
      </c>
      <c r="B59" s="197" t="s">
        <v>250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</row>
    <row r="60" spans="1:9" x14ac:dyDescent="0.15">
      <c r="A60">
        <v>59</v>
      </c>
      <c r="B60" s="197" t="s">
        <v>251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</row>
    <row r="61" spans="1:9" x14ac:dyDescent="0.15">
      <c r="A61">
        <v>60</v>
      </c>
      <c r="B61" s="197" t="s">
        <v>252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5" sqref="K5"/>
    </sheetView>
  </sheetViews>
  <sheetFormatPr baseColWidth="10" defaultColWidth="8.83203125" defaultRowHeight="15" customHeight="1" x14ac:dyDescent="0.15"/>
  <cols>
    <col min="1" max="1" width="8.83203125" style="83"/>
    <col min="2" max="2" width="41.83203125" style="83" bestFit="1" customWidth="1"/>
    <col min="3" max="3" width="9.33203125" style="83" bestFit="1" customWidth="1"/>
    <col min="4" max="4" width="13" style="83" bestFit="1" customWidth="1"/>
    <col min="5" max="6" width="9.33203125" style="83" bestFit="1" customWidth="1"/>
    <col min="7" max="7" width="9.33203125" style="99" bestFit="1" customWidth="1"/>
    <col min="8" max="8" width="9.33203125" style="83" bestFit="1" customWidth="1"/>
    <col min="9" max="9" width="11" style="83" customWidth="1"/>
    <col min="10" max="10" width="8.83203125" style="83"/>
    <col min="15" max="16384" width="8.83203125" style="8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0">
        <v>1</v>
      </c>
      <c r="B2" s="150" t="s">
        <v>193</v>
      </c>
      <c r="C2" s="8">
        <v>1</v>
      </c>
      <c r="D2" s="9">
        <v>20.129999160766602</v>
      </c>
      <c r="E2" s="9">
        <v>180.69200134277344</v>
      </c>
      <c r="F2" s="10"/>
      <c r="G2" s="9">
        <v>0.58137601613998413</v>
      </c>
      <c r="H2" s="10"/>
      <c r="I2">
        <v>0</v>
      </c>
      <c r="J2"/>
    </row>
    <row r="3" spans="1:10" ht="15" customHeight="1" x14ac:dyDescent="0.15">
      <c r="A3" s="151">
        <v>2</v>
      </c>
      <c r="B3" s="151" t="s">
        <v>194</v>
      </c>
      <c r="C3" s="8">
        <v>2</v>
      </c>
      <c r="D3" s="9">
        <v>3.8269999027252197</v>
      </c>
      <c r="E3" s="9">
        <v>91.25</v>
      </c>
      <c r="F3" s="9">
        <v>182.5</v>
      </c>
      <c r="G3" s="9">
        <v>0.87792617082595825</v>
      </c>
      <c r="H3" s="9">
        <v>0.5</v>
      </c>
      <c r="I3">
        <v>0</v>
      </c>
      <c r="J3"/>
    </row>
    <row r="4" spans="1:10" ht="15" customHeight="1" x14ac:dyDescent="0.15">
      <c r="A4" s="152">
        <v>3</v>
      </c>
      <c r="B4" s="152" t="s">
        <v>195</v>
      </c>
      <c r="C4" s="8">
        <v>2.2194263935089111</v>
      </c>
      <c r="D4" s="9">
        <v>3.1610000133514404</v>
      </c>
      <c r="E4" s="9">
        <v>72</v>
      </c>
      <c r="F4" s="9">
        <v>242.42399597167969</v>
      </c>
      <c r="G4" s="9">
        <v>0.53689461946487427</v>
      </c>
      <c r="H4" s="9">
        <v>0.29700028896331787</v>
      </c>
      <c r="I4">
        <v>0</v>
      </c>
      <c r="J4"/>
    </row>
    <row r="5" spans="1:10" ht="15" customHeight="1" x14ac:dyDescent="0.15">
      <c r="A5" s="153">
        <v>4</v>
      </c>
      <c r="B5" s="153" t="s">
        <v>196</v>
      </c>
      <c r="C5" s="8">
        <v>2.1036691665649414</v>
      </c>
      <c r="D5" s="9">
        <v>7.8090000152587891</v>
      </c>
      <c r="E5" s="9">
        <v>42.576999664306641</v>
      </c>
      <c r="F5" s="9">
        <v>127.75</v>
      </c>
      <c r="G5" s="9">
        <v>0.97770142555236816</v>
      </c>
      <c r="H5" s="9">
        <v>0.33328375220298767</v>
      </c>
      <c r="I5">
        <v>0</v>
      </c>
      <c r="J5"/>
    </row>
    <row r="6" spans="1:10" ht="15" customHeight="1" x14ac:dyDescent="0.15">
      <c r="A6" s="154">
        <v>5</v>
      </c>
      <c r="B6" s="154" t="s">
        <v>197</v>
      </c>
      <c r="C6" s="8">
        <v>2.233335018157959</v>
      </c>
      <c r="D6" s="9">
        <v>7.6329998970031738</v>
      </c>
      <c r="E6" s="9">
        <v>48.522998809814453</v>
      </c>
      <c r="F6" s="9">
        <v>109.5</v>
      </c>
      <c r="G6" s="9">
        <v>0.89684504270553589</v>
      </c>
      <c r="H6" s="9">
        <v>0.44313240051269531</v>
      </c>
      <c r="I6">
        <v>0</v>
      </c>
      <c r="J6"/>
    </row>
    <row r="7" spans="1:10" ht="15" customHeight="1" x14ac:dyDescent="0.15">
      <c r="A7" s="155">
        <v>6</v>
      </c>
      <c r="B7" s="155" t="s">
        <v>198</v>
      </c>
      <c r="C7" s="8">
        <v>2.9335458278656006</v>
      </c>
      <c r="D7" s="9">
        <v>1.0130000114440918</v>
      </c>
      <c r="E7" s="9">
        <v>37.966999053955078</v>
      </c>
      <c r="F7" s="9">
        <v>145.32600402832031</v>
      </c>
      <c r="G7" s="9">
        <v>0.66709893941879272</v>
      </c>
      <c r="H7" s="9">
        <v>0.26125398278236389</v>
      </c>
      <c r="I7">
        <v>0</v>
      </c>
      <c r="J7"/>
    </row>
    <row r="8" spans="1:10" ht="15" customHeight="1" x14ac:dyDescent="0.15">
      <c r="A8" s="156">
        <v>7</v>
      </c>
      <c r="B8" s="156" t="s">
        <v>199</v>
      </c>
      <c r="C8" s="8">
        <v>2.7299160957336426</v>
      </c>
      <c r="D8" s="9">
        <v>7.6539998054504395</v>
      </c>
      <c r="E8" s="9">
        <v>14.25</v>
      </c>
      <c r="F8" s="9">
        <v>85.497001647949219</v>
      </c>
      <c r="G8" s="9">
        <v>0.78745341300964355</v>
      </c>
      <c r="H8" s="9">
        <v>0.16667251288890839</v>
      </c>
      <c r="I8">
        <v>0</v>
      </c>
      <c r="J8"/>
    </row>
    <row r="9" spans="1:10" ht="15" customHeight="1" x14ac:dyDescent="0.15">
      <c r="A9" s="157">
        <v>8</v>
      </c>
      <c r="B9" s="157" t="s">
        <v>200</v>
      </c>
      <c r="C9" s="8">
        <v>2.3392343521118164</v>
      </c>
      <c r="D9" s="9">
        <v>14.682000160217285</v>
      </c>
      <c r="E9" s="9">
        <v>2.5139999389648438</v>
      </c>
      <c r="F9" s="9">
        <v>17.5</v>
      </c>
      <c r="G9" s="9">
        <v>0.98188179731369019</v>
      </c>
      <c r="H9" s="9">
        <v>0.1436571329832077</v>
      </c>
      <c r="I9">
        <v>1.0529380524531007E-3</v>
      </c>
      <c r="J9"/>
    </row>
    <row r="10" spans="1:10" ht="15" customHeight="1" x14ac:dyDescent="0.15">
      <c r="A10" s="158">
        <v>9</v>
      </c>
      <c r="B10" s="158" t="s">
        <v>201</v>
      </c>
      <c r="C10" s="8">
        <v>2.6170997619628906</v>
      </c>
      <c r="D10" s="9">
        <v>5.8959999084472656</v>
      </c>
      <c r="E10" s="9">
        <v>3.062000036239624</v>
      </c>
      <c r="F10" s="9">
        <v>21</v>
      </c>
      <c r="G10" s="9">
        <v>0.79276615381240845</v>
      </c>
      <c r="H10" s="9">
        <v>0.14580953121185303</v>
      </c>
      <c r="I10">
        <v>0</v>
      </c>
      <c r="J10"/>
    </row>
    <row r="11" spans="1:10" ht="15" customHeight="1" x14ac:dyDescent="0.15">
      <c r="A11" s="159">
        <v>10</v>
      </c>
      <c r="B11" s="159" t="s">
        <v>202</v>
      </c>
      <c r="C11" s="8">
        <v>2.280827522277832</v>
      </c>
      <c r="D11" s="9">
        <v>8.3400001525878906</v>
      </c>
      <c r="E11" s="9">
        <v>2.0429999828338623</v>
      </c>
      <c r="F11" s="9">
        <v>13.949000358581543</v>
      </c>
      <c r="G11" s="9">
        <v>0.94412899017333984</v>
      </c>
      <c r="H11" s="9">
        <v>0.14646211266517639</v>
      </c>
      <c r="I11">
        <v>0.25325450301170349</v>
      </c>
      <c r="J11"/>
    </row>
    <row r="12" spans="1:10" ht="15" customHeight="1" x14ac:dyDescent="0.15">
      <c r="A12" s="160">
        <v>11</v>
      </c>
      <c r="B12" s="160" t="s">
        <v>203</v>
      </c>
      <c r="C12" s="8">
        <v>2.4813952445983887</v>
      </c>
      <c r="D12" s="9">
        <v>8.8990001678466797</v>
      </c>
      <c r="E12" s="9">
        <v>2.0190000534057617</v>
      </c>
      <c r="F12" s="9">
        <v>16.059000015258789</v>
      </c>
      <c r="G12" s="9">
        <v>0.94718444347381592</v>
      </c>
      <c r="H12" s="9">
        <v>0.12572389841079712</v>
      </c>
      <c r="I12">
        <v>4.3271541595458984E-2</v>
      </c>
      <c r="J12"/>
    </row>
    <row r="13" spans="1:10" ht="15" customHeight="1" x14ac:dyDescent="0.15">
      <c r="A13" s="161">
        <v>12</v>
      </c>
      <c r="B13" s="161" t="s">
        <v>204</v>
      </c>
      <c r="C13" s="8">
        <v>2.1080090999603271</v>
      </c>
      <c r="D13" s="9">
        <v>2.996999979019165</v>
      </c>
      <c r="E13" s="9">
        <v>3.937999963760376</v>
      </c>
      <c r="F13" s="9">
        <v>16.511999130249023</v>
      </c>
      <c r="G13" s="9">
        <v>0.20208878815174103</v>
      </c>
      <c r="H13" s="9">
        <v>0.23849323391914368</v>
      </c>
      <c r="I13">
        <v>1.4187684282660484E-2</v>
      </c>
      <c r="J13"/>
    </row>
    <row r="14" spans="1:10" ht="15" customHeight="1" x14ac:dyDescent="0.15">
      <c r="A14" s="162">
        <v>13</v>
      </c>
      <c r="B14" s="162" t="s">
        <v>205</v>
      </c>
      <c r="C14" s="8">
        <v>2.9680874347686768</v>
      </c>
      <c r="D14" s="9">
        <v>4.4980001449584961</v>
      </c>
      <c r="E14" s="9">
        <v>1.8980000019073486</v>
      </c>
      <c r="F14" s="9">
        <v>9.5329999923706055</v>
      </c>
      <c r="G14" s="9">
        <v>0.63358438014984131</v>
      </c>
      <c r="H14" s="9">
        <v>0.19909787178039551</v>
      </c>
      <c r="I14">
        <v>0.4320681095123291</v>
      </c>
      <c r="J14"/>
    </row>
    <row r="15" spans="1:10" ht="15" customHeight="1" x14ac:dyDescent="0.15">
      <c r="A15" s="163">
        <v>14</v>
      </c>
      <c r="B15" s="163" t="s">
        <v>206</v>
      </c>
      <c r="C15" s="8">
        <v>2.7993018627166748</v>
      </c>
      <c r="D15" s="9">
        <v>1.9600000381469727</v>
      </c>
      <c r="E15" s="9">
        <v>1</v>
      </c>
      <c r="F15" s="9">
        <v>5</v>
      </c>
      <c r="G15" s="9">
        <v>0.49765512347221375</v>
      </c>
      <c r="H15" s="9">
        <v>0.20000000298023224</v>
      </c>
      <c r="I15">
        <v>3.2553195953369141E-2</v>
      </c>
      <c r="J15"/>
    </row>
    <row r="16" spans="1:10" ht="15" customHeight="1" x14ac:dyDescent="0.15">
      <c r="A16" s="164">
        <v>15</v>
      </c>
      <c r="B16" s="164" t="s">
        <v>207</v>
      </c>
      <c r="C16" s="8">
        <v>3.2651519775390625</v>
      </c>
      <c r="D16" s="9">
        <v>0.15099999308586121</v>
      </c>
      <c r="E16" s="9">
        <v>0.64999997615814209</v>
      </c>
      <c r="F16" s="9">
        <v>1.8250000476837158</v>
      </c>
      <c r="G16" s="9">
        <v>0.74906885623931885</v>
      </c>
      <c r="H16" s="9">
        <v>0.3561643660068512</v>
      </c>
      <c r="I16">
        <v>0</v>
      </c>
      <c r="J16"/>
    </row>
    <row r="17" spans="1:10" ht="15" customHeight="1" x14ac:dyDescent="0.15">
      <c r="A17" s="165">
        <v>16</v>
      </c>
      <c r="B17" s="165" t="s">
        <v>208</v>
      </c>
      <c r="C17" s="8">
        <v>3.5124456882476807</v>
      </c>
      <c r="D17" s="9">
        <v>6.1961250305175781</v>
      </c>
      <c r="E17" s="9">
        <v>0.62000000476837158</v>
      </c>
      <c r="F17" s="9">
        <v>4.5900001525878906</v>
      </c>
      <c r="G17" s="9">
        <v>0.61446887254714966</v>
      </c>
      <c r="H17" s="9">
        <v>0.13507625460624695</v>
      </c>
      <c r="I17">
        <v>0.34951397776603699</v>
      </c>
      <c r="J17"/>
    </row>
    <row r="18" spans="1:10" ht="15" customHeight="1" x14ac:dyDescent="0.15">
      <c r="A18" s="166">
        <v>17</v>
      </c>
      <c r="B18" s="166" t="s">
        <v>209</v>
      </c>
      <c r="C18" s="8">
        <v>3.3985424041748047</v>
      </c>
      <c r="D18" s="9">
        <v>7.5999997556209564E-2</v>
      </c>
      <c r="E18" s="9">
        <v>1.2999999523162842</v>
      </c>
      <c r="F18" s="9">
        <v>9.3999996185302734</v>
      </c>
      <c r="G18" s="9">
        <v>0.90322482585906982</v>
      </c>
      <c r="H18" s="9">
        <v>0.13829787075519562</v>
      </c>
      <c r="I18">
        <v>4.9121854826807976E-3</v>
      </c>
      <c r="J18"/>
    </row>
    <row r="19" spans="1:10" ht="15" customHeight="1" x14ac:dyDescent="0.15">
      <c r="A19" s="167">
        <v>18</v>
      </c>
      <c r="B19" s="167" t="s">
        <v>210</v>
      </c>
      <c r="C19" s="8">
        <v>2.4983987808227539</v>
      </c>
      <c r="D19" s="9">
        <v>1.5809210538864136</v>
      </c>
      <c r="E19" s="9">
        <v>1.5</v>
      </c>
      <c r="F19" s="9">
        <v>15.859999656677246</v>
      </c>
      <c r="G19" s="9">
        <v>0.53624522686004639</v>
      </c>
      <c r="H19" s="9">
        <v>9.457755833864212E-2</v>
      </c>
      <c r="I19">
        <v>1.0267520323395729E-2</v>
      </c>
      <c r="J19"/>
    </row>
    <row r="20" spans="1:10" ht="15" customHeight="1" x14ac:dyDescent="0.15">
      <c r="A20" s="168">
        <v>19</v>
      </c>
      <c r="B20" s="168" t="s">
        <v>211</v>
      </c>
      <c r="C20" s="8">
        <v>2.6401574611663818</v>
      </c>
      <c r="D20" s="9">
        <v>2.8779239654541016</v>
      </c>
      <c r="E20" s="9">
        <v>0.93000000715255737</v>
      </c>
      <c r="F20" s="9">
        <v>7.008882999420166</v>
      </c>
      <c r="G20" s="9">
        <v>0.49736866354942322</v>
      </c>
      <c r="H20" s="9">
        <v>0.13268876075744629</v>
      </c>
      <c r="I20">
        <v>0.86272817850112915</v>
      </c>
      <c r="J20"/>
    </row>
    <row r="21" spans="1:10" ht="15" customHeight="1" x14ac:dyDescent="0.15">
      <c r="A21" s="169">
        <v>20</v>
      </c>
      <c r="B21" s="169" t="s">
        <v>212</v>
      </c>
      <c r="C21" s="8">
        <v>2.7824146747589111</v>
      </c>
      <c r="D21" s="9">
        <v>0.48802021145820618</v>
      </c>
      <c r="E21" s="9">
        <v>0.89999997615814209</v>
      </c>
      <c r="F21" s="9">
        <v>4.3776659965515137</v>
      </c>
      <c r="G21" s="9">
        <v>0.85716253519058228</v>
      </c>
      <c r="H21" s="9">
        <v>0.20558899641036987</v>
      </c>
      <c r="I21">
        <v>0.17480416595935822</v>
      </c>
      <c r="J21"/>
    </row>
    <row r="22" spans="1:10" ht="15" customHeight="1" x14ac:dyDescent="0.15">
      <c r="A22" s="170">
        <v>21</v>
      </c>
      <c r="B22" s="170" t="s">
        <v>213</v>
      </c>
      <c r="C22" s="8">
        <v>3.6974260807037354</v>
      </c>
      <c r="D22" s="9">
        <v>2.3199539184570312</v>
      </c>
      <c r="E22" s="9">
        <v>3</v>
      </c>
      <c r="F22" s="9">
        <v>10.899999618530273</v>
      </c>
      <c r="G22" s="9">
        <v>0.75590336322784424</v>
      </c>
      <c r="H22" s="9">
        <v>0.27522936463356018</v>
      </c>
      <c r="I22">
        <v>6.0800002756877802E-6</v>
      </c>
      <c r="J22"/>
    </row>
    <row r="23" spans="1:10" ht="15" customHeight="1" x14ac:dyDescent="0.15">
      <c r="A23" s="171">
        <v>22</v>
      </c>
      <c r="B23" s="171" t="s">
        <v>214</v>
      </c>
      <c r="C23" s="8">
        <v>3.8311707973480225</v>
      </c>
      <c r="D23" s="9">
        <v>0.77399998903274536</v>
      </c>
      <c r="E23" s="9">
        <v>0.38899999856948853</v>
      </c>
      <c r="F23" s="9">
        <v>1.9780000448226929</v>
      </c>
      <c r="G23" s="9">
        <v>0.99672204256057739</v>
      </c>
      <c r="H23" s="9">
        <v>0.19666329026222229</v>
      </c>
      <c r="I23">
        <v>5.4230060428380966E-2</v>
      </c>
      <c r="J23"/>
    </row>
    <row r="24" spans="1:10" ht="15" customHeight="1" x14ac:dyDescent="0.15">
      <c r="A24" s="172">
        <v>23</v>
      </c>
      <c r="B24" s="172" t="s">
        <v>215</v>
      </c>
      <c r="C24" s="8">
        <v>3.7119126319885254</v>
      </c>
      <c r="D24" s="9">
        <v>1.062000036239624</v>
      </c>
      <c r="E24" s="9">
        <v>0.97899997234344482</v>
      </c>
      <c r="F24" s="9">
        <v>2.7030000686645508</v>
      </c>
      <c r="G24" s="9">
        <v>0.82665431499481201</v>
      </c>
      <c r="H24" s="9">
        <v>0.3621901273727417</v>
      </c>
      <c r="I24">
        <v>0.12197121977806091</v>
      </c>
      <c r="J24"/>
    </row>
    <row r="25" spans="1:10" ht="15" customHeight="1" x14ac:dyDescent="0.15">
      <c r="A25" s="173">
        <v>24</v>
      </c>
      <c r="B25" s="173" t="s">
        <v>216</v>
      </c>
      <c r="C25" s="8">
        <v>3.589057445526123</v>
      </c>
      <c r="D25" s="9">
        <v>0.89800000190734863</v>
      </c>
      <c r="E25" s="9">
        <v>1.2699999809265137</v>
      </c>
      <c r="F25" s="9">
        <v>1.9780000448226929</v>
      </c>
      <c r="G25" s="9">
        <v>0.41772013902664185</v>
      </c>
      <c r="H25" s="9">
        <v>0.64206266403198242</v>
      </c>
      <c r="I25">
        <v>9.7344573587179184E-3</v>
      </c>
      <c r="J25"/>
    </row>
    <row r="26" spans="1:10" ht="15" customHeight="1" x14ac:dyDescent="0.15">
      <c r="A26" s="174">
        <v>25</v>
      </c>
      <c r="B26" s="174" t="s">
        <v>217</v>
      </c>
      <c r="C26" s="8">
        <v>3.3680970668792725</v>
      </c>
      <c r="D26" s="9">
        <v>0.28999999165534973</v>
      </c>
      <c r="E26" s="9">
        <v>0.97000002861022949</v>
      </c>
      <c r="F26" s="9">
        <v>4</v>
      </c>
      <c r="G26" s="9">
        <v>0.88617628812789917</v>
      </c>
      <c r="H26" s="9">
        <v>0.24250000715255737</v>
      </c>
      <c r="I26">
        <v>8.3472616970539093E-3</v>
      </c>
      <c r="J26"/>
    </row>
    <row r="27" spans="1:10" ht="15" customHeight="1" x14ac:dyDescent="0.15">
      <c r="A27" s="175">
        <v>26</v>
      </c>
      <c r="B27" s="175" t="s">
        <v>218</v>
      </c>
      <c r="C27" s="8">
        <v>4.3632445335388184</v>
      </c>
      <c r="D27" s="9">
        <v>4.5000001788139343E-2</v>
      </c>
      <c r="E27" s="9">
        <v>0.51435285806655884</v>
      </c>
      <c r="F27" s="9">
        <v>18.111299514770508</v>
      </c>
      <c r="G27" s="9">
        <v>0.93724954128265381</v>
      </c>
      <c r="H27" s="9">
        <v>2.8399555012583733E-2</v>
      </c>
      <c r="I27">
        <v>6.7906761541962624E-3</v>
      </c>
      <c r="J27"/>
    </row>
    <row r="28" spans="1:10" ht="15" customHeight="1" x14ac:dyDescent="0.15">
      <c r="A28" s="176">
        <v>27</v>
      </c>
      <c r="B28" s="176" t="s">
        <v>219</v>
      </c>
      <c r="C28" s="8">
        <v>4.4365925788879395</v>
      </c>
      <c r="D28" s="9">
        <v>5.9000000357627869E-2</v>
      </c>
      <c r="E28" s="9">
        <v>0.51013118028640747</v>
      </c>
      <c r="F28" s="9">
        <v>3.5287630558013916</v>
      </c>
      <c r="G28" s="9">
        <v>0.66771453619003296</v>
      </c>
      <c r="H28" s="9">
        <v>0.14456373453140259</v>
      </c>
      <c r="I28">
        <v>1.3526157476007938E-2</v>
      </c>
      <c r="J28"/>
    </row>
    <row r="29" spans="1:10" ht="15" customHeight="1" x14ac:dyDescent="0.15">
      <c r="A29" s="177">
        <v>28</v>
      </c>
      <c r="B29" s="177" t="s">
        <v>220</v>
      </c>
      <c r="C29" s="8">
        <v>4.6352872848510742</v>
      </c>
      <c r="D29" s="9">
        <v>0.19300000369548798</v>
      </c>
      <c r="E29" s="9">
        <v>0.49225541949272156</v>
      </c>
      <c r="F29" s="9">
        <v>1.9332790374755859</v>
      </c>
      <c r="G29" s="9">
        <v>0.14316663146018982</v>
      </c>
      <c r="H29" s="9">
        <v>0.25462201237678528</v>
      </c>
      <c r="I29">
        <v>1.3526157476007938E-2</v>
      </c>
      <c r="J29"/>
    </row>
    <row r="30" spans="1:10" ht="15" customHeight="1" x14ac:dyDescent="0.15">
      <c r="A30" s="178">
        <v>29</v>
      </c>
      <c r="B30" s="178" t="s">
        <v>221</v>
      </c>
      <c r="C30" s="8">
        <v>3.989370584487915</v>
      </c>
      <c r="D30" s="9">
        <v>6.6181942820549011E-2</v>
      </c>
      <c r="E30" s="9">
        <v>0.25047615170478821</v>
      </c>
      <c r="F30" s="9">
        <v>23.270000457763672</v>
      </c>
      <c r="G30" s="9">
        <v>0.78160268068313599</v>
      </c>
      <c r="H30" s="9">
        <v>1.0763908736407757E-2</v>
      </c>
      <c r="I30">
        <v>2.9399998879853229E-7</v>
      </c>
      <c r="J30"/>
    </row>
    <row r="31" spans="1:10" ht="15" customHeight="1" x14ac:dyDescent="0.15">
      <c r="A31" s="179">
        <v>30</v>
      </c>
      <c r="B31" s="179" t="s">
        <v>222</v>
      </c>
      <c r="C31" s="8">
        <v>4.0470981597900391</v>
      </c>
      <c r="D31" s="9">
        <v>0.36532825231552124</v>
      </c>
      <c r="E31" s="9">
        <v>0.24793840944766998</v>
      </c>
      <c r="F31" s="9">
        <v>6.3455390930175781</v>
      </c>
      <c r="G31" s="9">
        <v>0.19228599965572357</v>
      </c>
      <c r="H31" s="9">
        <v>3.907286748290062E-2</v>
      </c>
      <c r="I31">
        <v>1.578696072101593E-2</v>
      </c>
      <c r="J31"/>
    </row>
    <row r="32" spans="1:10" ht="15" customHeight="1" x14ac:dyDescent="0.15">
      <c r="A32" s="207">
        <v>31</v>
      </c>
      <c r="B32" s="207" t="s">
        <v>223</v>
      </c>
      <c r="C32" s="8">
        <v>4.2269144058227539</v>
      </c>
      <c r="D32" s="9">
        <v>0.28803220391273499</v>
      </c>
      <c r="E32" s="9">
        <v>0.24001452326774597</v>
      </c>
      <c r="F32" s="9">
        <v>3.1939311027526855</v>
      </c>
      <c r="G32" s="9">
        <v>0.19872191548347473</v>
      </c>
      <c r="H32" s="9">
        <v>7.5147055089473724E-2</v>
      </c>
      <c r="I32">
        <v>1.3628700748085976E-2</v>
      </c>
      <c r="J32"/>
    </row>
    <row r="33" spans="1:10" ht="15" customHeight="1" x14ac:dyDescent="0.15">
      <c r="A33" s="208">
        <v>32</v>
      </c>
      <c r="B33" s="208" t="s">
        <v>224</v>
      </c>
      <c r="C33" s="8">
        <v>4.0747151374816895</v>
      </c>
      <c r="D33" s="9">
        <v>0.1550000011920929</v>
      </c>
      <c r="E33" s="9">
        <v>0.44977381825447083</v>
      </c>
      <c r="F33" s="9">
        <v>13.524820327758789</v>
      </c>
      <c r="G33" s="9">
        <v>0.92488086223602295</v>
      </c>
      <c r="H33" s="9">
        <v>3.3255439251661301E-2</v>
      </c>
      <c r="I33">
        <v>0</v>
      </c>
      <c r="J33"/>
    </row>
    <row r="34" spans="1:10" ht="15" customHeight="1" x14ac:dyDescent="0.15">
      <c r="A34" s="209">
        <v>33</v>
      </c>
      <c r="B34" s="209" t="s">
        <v>225</v>
      </c>
      <c r="C34" s="8">
        <v>4.2754926681518555</v>
      </c>
      <c r="D34" s="9">
        <v>0.30300000309944153</v>
      </c>
      <c r="E34" s="9">
        <v>0.43030714988708496</v>
      </c>
      <c r="F34" s="9">
        <v>4.2157931327819824</v>
      </c>
      <c r="G34" s="9">
        <v>8.717530220746994E-2</v>
      </c>
      <c r="H34" s="9">
        <v>0.10207027196884155</v>
      </c>
      <c r="I34">
        <v>7.2303600609302521E-3</v>
      </c>
      <c r="J34"/>
    </row>
    <row r="35" spans="1:10" ht="15" customHeight="1" x14ac:dyDescent="0.15">
      <c r="A35" s="210">
        <v>34</v>
      </c>
      <c r="B35" s="210" t="s">
        <v>226</v>
      </c>
      <c r="C35" s="8">
        <v>4.3522987365722656</v>
      </c>
      <c r="D35" s="9">
        <v>3.5999998450279236E-2</v>
      </c>
      <c r="E35" s="9">
        <v>0.42383468151092529</v>
      </c>
      <c r="F35" s="9">
        <v>2.4486629962921143</v>
      </c>
      <c r="G35" s="9">
        <v>0.48103699088096619</v>
      </c>
      <c r="H35" s="9">
        <v>0.17308820784091949</v>
      </c>
      <c r="I35">
        <v>7.2303600609302521E-3</v>
      </c>
      <c r="J35"/>
    </row>
    <row r="36" spans="1:10" ht="15" customHeight="1" x14ac:dyDescent="0.15">
      <c r="A36" s="211">
        <v>35</v>
      </c>
      <c r="B36" s="211" t="s">
        <v>227</v>
      </c>
      <c r="C36" s="8">
        <v>4.056269645690918</v>
      </c>
      <c r="D36" s="9">
        <v>0.47147360444068909</v>
      </c>
      <c r="E36" s="9">
        <v>0.24732108414173126</v>
      </c>
      <c r="F36" s="9">
        <v>1.4731769561767578</v>
      </c>
      <c r="G36" s="9">
        <v>0.78507316112518311</v>
      </c>
      <c r="H36" s="9">
        <v>0.16788281500339508</v>
      </c>
      <c r="I36">
        <v>6.7805171012878418E-2</v>
      </c>
      <c r="J36"/>
    </row>
    <row r="37" spans="1:10" ht="15" customHeight="1" x14ac:dyDescent="0.15">
      <c r="A37" s="212">
        <v>36</v>
      </c>
      <c r="B37" s="212" t="s">
        <v>228</v>
      </c>
      <c r="C37" s="8">
        <v>4.0945701599121094</v>
      </c>
      <c r="D37" s="9">
        <v>2.7000000476837158</v>
      </c>
      <c r="E37" s="9">
        <v>0.24445846676826477</v>
      </c>
      <c r="F37" s="9">
        <v>0.60610002279281616</v>
      </c>
      <c r="G37" s="9">
        <v>6.7291311919689178E-2</v>
      </c>
      <c r="H37" s="9">
        <v>0.4033302366733551</v>
      </c>
      <c r="I37">
        <v>3.4922078251838684E-2</v>
      </c>
      <c r="J37"/>
    </row>
    <row r="38" spans="1:10" ht="15" customHeight="1" x14ac:dyDescent="0.15">
      <c r="A38" s="213">
        <v>37</v>
      </c>
      <c r="B38" s="213" t="s">
        <v>229</v>
      </c>
      <c r="C38" s="8">
        <v>3.626521110534668</v>
      </c>
      <c r="D38" s="9">
        <v>2.6592880487442017E-2</v>
      </c>
      <c r="E38" s="9">
        <v>0.47936877608299255</v>
      </c>
      <c r="F38" s="9">
        <v>6.906792163848877</v>
      </c>
      <c r="G38" s="9">
        <v>0.80598688125610352</v>
      </c>
      <c r="H38" s="9">
        <v>6.9405414164066315E-2</v>
      </c>
      <c r="I38">
        <v>2.0619999850168824E-4</v>
      </c>
      <c r="J38"/>
    </row>
    <row r="39" spans="1:10" ht="15" customHeight="1" x14ac:dyDescent="0.15">
      <c r="A39" s="214">
        <v>38</v>
      </c>
      <c r="B39" s="214" t="s">
        <v>230</v>
      </c>
      <c r="C39" s="8">
        <v>3.9193935394287109</v>
      </c>
      <c r="D39" s="9">
        <v>8.3595402538776398E-2</v>
      </c>
      <c r="E39" s="9">
        <v>0.45990779995918274</v>
      </c>
      <c r="F39" s="9">
        <v>3.4942920207977295</v>
      </c>
      <c r="G39" s="9">
        <v>0.96498739719390869</v>
      </c>
      <c r="H39" s="9">
        <v>0.13161687552928925</v>
      </c>
      <c r="I39">
        <v>3.0702816322445869E-2</v>
      </c>
      <c r="J39"/>
    </row>
    <row r="40" spans="1:10" ht="15" customHeight="1" x14ac:dyDescent="0.15">
      <c r="A40" s="215">
        <v>39</v>
      </c>
      <c r="B40" s="215" t="s">
        <v>231</v>
      </c>
      <c r="C40" s="8">
        <v>4.1945476531982422</v>
      </c>
      <c r="D40" s="9">
        <v>8.4328986704349518E-2</v>
      </c>
      <c r="E40" s="9">
        <v>0.43484044075012207</v>
      </c>
      <c r="F40" s="9">
        <v>2.2599999904632568</v>
      </c>
      <c r="G40" s="9">
        <v>0.95769089460372925</v>
      </c>
      <c r="H40" s="9">
        <v>0.1924072802066803</v>
      </c>
      <c r="I40">
        <v>2.8780944645404816E-2</v>
      </c>
      <c r="J40"/>
    </row>
    <row r="41" spans="1:10" ht="15" customHeight="1" x14ac:dyDescent="0.15">
      <c r="A41" s="216">
        <v>40</v>
      </c>
      <c r="B41" s="216" t="s">
        <v>232</v>
      </c>
      <c r="C41" s="8">
        <v>3.6887001991271973</v>
      </c>
      <c r="D41" s="9">
        <v>0.6029999852180481</v>
      </c>
      <c r="E41" s="9">
        <v>0.45300000905990601</v>
      </c>
      <c r="F41" s="9">
        <v>3</v>
      </c>
      <c r="G41" s="9">
        <v>0.44775834679603577</v>
      </c>
      <c r="H41" s="9">
        <v>0.1510000079870224</v>
      </c>
      <c r="I41">
        <v>1.0035187005996704E-2</v>
      </c>
      <c r="J41"/>
    </row>
    <row r="42" spans="1:10" ht="15" customHeight="1" x14ac:dyDescent="0.15">
      <c r="A42" s="217">
        <v>41</v>
      </c>
      <c r="B42" s="217" t="s">
        <v>233</v>
      </c>
      <c r="C42" s="8">
        <v>3.8111321926116943</v>
      </c>
      <c r="D42" s="9">
        <v>0.82700002193450928</v>
      </c>
      <c r="E42" s="9">
        <v>1.1150000095367432</v>
      </c>
      <c r="F42" s="9">
        <v>3.8499999046325684</v>
      </c>
      <c r="G42" s="9">
        <v>0.64116394519805908</v>
      </c>
      <c r="H42" s="9">
        <v>0.28961038589477539</v>
      </c>
      <c r="I42">
        <v>4.0030665695667267E-2</v>
      </c>
      <c r="J42"/>
    </row>
    <row r="43" spans="1:10" ht="15" customHeight="1" x14ac:dyDescent="0.15">
      <c r="A43" s="218">
        <v>42</v>
      </c>
      <c r="B43" s="218" t="s">
        <v>234</v>
      </c>
      <c r="C43" s="8">
        <v>3.5900373458862305</v>
      </c>
      <c r="D43" s="9">
        <v>0.81573021411895752</v>
      </c>
      <c r="E43" s="9">
        <v>0.44999998807907104</v>
      </c>
      <c r="F43" s="9">
        <v>0.90499997138977051</v>
      </c>
      <c r="G43" s="9">
        <v>0.32682168483734131</v>
      </c>
      <c r="H43" s="9">
        <v>0.49723756313323975</v>
      </c>
      <c r="I43">
        <v>4.8614084720611572E-2</v>
      </c>
      <c r="J43"/>
    </row>
    <row r="44" spans="1:10" ht="15" customHeight="1" x14ac:dyDescent="0.15">
      <c r="A44" s="219">
        <v>43</v>
      </c>
      <c r="B44" s="219" t="s">
        <v>235</v>
      </c>
      <c r="C44" s="8">
        <v>3.5973577499389648</v>
      </c>
      <c r="D44" s="9">
        <v>4.3892689049243927E-2</v>
      </c>
      <c r="E44" s="9">
        <v>1.0737185478210449</v>
      </c>
      <c r="F44" s="9">
        <v>4.409142017364502</v>
      </c>
      <c r="G44" s="9">
        <v>0.16985712945461273</v>
      </c>
      <c r="H44" s="9">
        <v>0.24352097511291504</v>
      </c>
      <c r="I44">
        <v>0</v>
      </c>
      <c r="J44"/>
    </row>
    <row r="45" spans="1:10" ht="15" customHeight="1" x14ac:dyDescent="0.15">
      <c r="A45" s="220">
        <v>44</v>
      </c>
      <c r="B45" s="220" t="s">
        <v>236</v>
      </c>
      <c r="C45" s="8">
        <v>3.4903059005737305</v>
      </c>
      <c r="D45" s="9">
        <v>0.111153244972229</v>
      </c>
      <c r="E45" s="9">
        <v>1.0997345447540283</v>
      </c>
      <c r="F45" s="9">
        <v>2.9000000953674316</v>
      </c>
      <c r="G45" s="9">
        <v>0.46284991502761841</v>
      </c>
      <c r="H45" s="9">
        <v>0.37921878695487976</v>
      </c>
      <c r="I45">
        <v>5.5138479918241501E-2</v>
      </c>
      <c r="J45"/>
    </row>
    <row r="46" spans="1:10" ht="15" customHeight="1" x14ac:dyDescent="0.15">
      <c r="A46" s="221">
        <v>45</v>
      </c>
      <c r="B46" s="221" t="s">
        <v>237</v>
      </c>
      <c r="C46" s="8">
        <v>4.2450160980224609</v>
      </c>
      <c r="D46" s="9">
        <v>2.9937960207462311E-2</v>
      </c>
      <c r="E46" s="9">
        <v>0.5636218786239624</v>
      </c>
      <c r="F46" s="9">
        <v>4.409142017364502</v>
      </c>
      <c r="G46" s="9">
        <v>0.64318794012069702</v>
      </c>
      <c r="H46" s="9">
        <v>0.12783028185367584</v>
      </c>
      <c r="I46">
        <v>6.4899999415501952E-5</v>
      </c>
      <c r="J46"/>
    </row>
    <row r="47" spans="1:10" ht="15" customHeight="1" x14ac:dyDescent="0.15">
      <c r="A47" s="222">
        <v>46</v>
      </c>
      <c r="B47" s="222" t="s">
        <v>238</v>
      </c>
      <c r="C47" s="8">
        <v>4.5366806983947754</v>
      </c>
      <c r="D47" s="9">
        <v>0.17543332278728485</v>
      </c>
      <c r="E47" s="9">
        <v>0.53464841842651367</v>
      </c>
      <c r="F47" s="9">
        <v>2.9000000953674316</v>
      </c>
      <c r="G47" s="9">
        <v>0.48383912444114685</v>
      </c>
      <c r="H47" s="9">
        <v>0.18436151742935181</v>
      </c>
      <c r="I47">
        <v>3.5230837762355804E-2</v>
      </c>
      <c r="J47"/>
    </row>
    <row r="48" spans="1:10" ht="15" customHeight="1" x14ac:dyDescent="0.15">
      <c r="A48" s="223">
        <v>47</v>
      </c>
      <c r="B48" s="223" t="s">
        <v>239</v>
      </c>
      <c r="C48" s="8">
        <v>3.8257791996002197</v>
      </c>
      <c r="D48" s="9">
        <v>1.6549999713897705</v>
      </c>
      <c r="E48" s="9">
        <v>0.45300000905990601</v>
      </c>
      <c r="F48" s="9">
        <v>2.4000000953674316</v>
      </c>
      <c r="G48" s="9">
        <v>0.28955990076065063</v>
      </c>
      <c r="H48" s="9">
        <v>0.1887499988079071</v>
      </c>
      <c r="I48">
        <v>5.1876343786716461E-2</v>
      </c>
      <c r="J48"/>
    </row>
    <row r="49" spans="1:10" ht="15" customHeight="1" x14ac:dyDescent="0.15">
      <c r="A49" s="224">
        <v>48</v>
      </c>
      <c r="B49" s="224" t="s">
        <v>240</v>
      </c>
      <c r="C49" s="8">
        <v>3.6203405857086182</v>
      </c>
      <c r="D49" s="9">
        <v>2.0539999008178711</v>
      </c>
      <c r="E49" s="9">
        <v>0.44999998807907104</v>
      </c>
      <c r="F49" s="9">
        <v>0.90499997138977051</v>
      </c>
      <c r="G49" s="9">
        <v>0.96393126249313354</v>
      </c>
      <c r="H49" s="9">
        <v>0.49723756313323975</v>
      </c>
      <c r="I49">
        <v>5.0458058714866638E-2</v>
      </c>
      <c r="J49"/>
    </row>
    <row r="50" spans="1:10" ht="15" customHeight="1" x14ac:dyDescent="0.15">
      <c r="A50" s="225">
        <v>49</v>
      </c>
      <c r="B50" s="225" t="s">
        <v>241</v>
      </c>
      <c r="C50" s="8">
        <v>4.131103515625</v>
      </c>
      <c r="D50" s="9">
        <v>0.54600000381469727</v>
      </c>
      <c r="E50" s="9">
        <v>0.55000001192092896</v>
      </c>
      <c r="F50" s="9">
        <v>1.2130000591278076</v>
      </c>
      <c r="G50" s="9">
        <v>0.94519728422164917</v>
      </c>
      <c r="H50" s="9">
        <v>0.45342126488685608</v>
      </c>
      <c r="I50">
        <v>0.13902220129966736</v>
      </c>
      <c r="J50"/>
    </row>
    <row r="51" spans="1:10" ht="15" customHeight="1" x14ac:dyDescent="0.15">
      <c r="A51" s="226">
        <v>50</v>
      </c>
      <c r="B51" s="226" t="s">
        <v>242</v>
      </c>
      <c r="C51" s="8">
        <v>3.9647216796875</v>
      </c>
      <c r="D51" s="9">
        <v>1.5</v>
      </c>
      <c r="E51" s="9">
        <v>0.44999998807907104</v>
      </c>
      <c r="F51" s="9">
        <v>0.81400001049041748</v>
      </c>
      <c r="G51" s="9">
        <v>0.87085682153701782</v>
      </c>
      <c r="H51" s="9">
        <v>0.55282551050186157</v>
      </c>
      <c r="I51">
        <v>4.5709960162639618E-2</v>
      </c>
      <c r="J51"/>
    </row>
    <row r="52" spans="1:10" ht="15" customHeight="1" x14ac:dyDescent="0.15">
      <c r="A52" s="227">
        <v>51</v>
      </c>
      <c r="B52" s="227" t="s">
        <v>243</v>
      </c>
      <c r="C52" s="8">
        <v>4.5381131172180176</v>
      </c>
      <c r="D52" s="9">
        <v>0.12099999934434891</v>
      </c>
      <c r="E52" s="9">
        <v>0.44999998807907104</v>
      </c>
      <c r="F52" s="9">
        <v>1.8380000591278076</v>
      </c>
      <c r="G52" s="9">
        <v>6.026792898774147E-2</v>
      </c>
      <c r="H52" s="9">
        <v>0.24483132362365723</v>
      </c>
      <c r="I52">
        <v>2.9672780074179173E-3</v>
      </c>
      <c r="J52"/>
    </row>
    <row r="53" spans="1:10" ht="15" customHeight="1" x14ac:dyDescent="0.15">
      <c r="A53" s="228">
        <v>52</v>
      </c>
      <c r="B53" s="228" t="s">
        <v>244</v>
      </c>
      <c r="C53" s="8">
        <v>4.5309271812438965</v>
      </c>
      <c r="D53" s="9">
        <v>1.7899999395012856E-2</v>
      </c>
      <c r="E53" s="9">
        <v>0.20000000298023224</v>
      </c>
      <c r="F53" s="9">
        <v>1.246999979019165</v>
      </c>
      <c r="G53" s="9">
        <v>0.95488238334655762</v>
      </c>
      <c r="H53" s="9">
        <v>0.16038492321968079</v>
      </c>
      <c r="I53">
        <v>3.321175929158926E-3</v>
      </c>
      <c r="J53"/>
    </row>
    <row r="54" spans="1:10" ht="15" customHeight="1" x14ac:dyDescent="0.15">
      <c r="A54" s="229">
        <v>53</v>
      </c>
      <c r="B54" s="229" t="s">
        <v>245</v>
      </c>
      <c r="C54" s="8">
        <v>4.5901732444763184</v>
      </c>
      <c r="D54" s="9">
        <v>1.6000000759959221E-2</v>
      </c>
      <c r="E54" s="9">
        <v>0.11299999803304672</v>
      </c>
      <c r="F54" s="9">
        <v>0.68999999761581421</v>
      </c>
      <c r="G54" s="9">
        <v>0.31570124626159668</v>
      </c>
      <c r="H54" s="9">
        <v>0.16376811265945435</v>
      </c>
      <c r="I54">
        <v>0</v>
      </c>
      <c r="J54"/>
    </row>
    <row r="55" spans="1:10" ht="15" customHeight="1" x14ac:dyDescent="0.15">
      <c r="A55" s="230">
        <v>54</v>
      </c>
      <c r="B55" s="230" t="s">
        <v>246</v>
      </c>
      <c r="C55" s="8">
        <v>4.3110513687133789</v>
      </c>
      <c r="D55" s="9">
        <v>7.0000000298023224E-2</v>
      </c>
      <c r="E55" s="9">
        <v>0.57899999618530273</v>
      </c>
      <c r="F55" s="9">
        <v>6.7940001487731934</v>
      </c>
      <c r="G55" s="9">
        <v>0.82777857780456543</v>
      </c>
      <c r="H55" s="9">
        <v>8.5222251713275909E-2</v>
      </c>
      <c r="I55">
        <v>3.3138878643512726E-2</v>
      </c>
      <c r="J55"/>
    </row>
    <row r="56" spans="1:10" ht="15" customHeight="1" x14ac:dyDescent="0.15">
      <c r="A56" s="231">
        <v>55</v>
      </c>
      <c r="B56" s="231" t="s">
        <v>247</v>
      </c>
      <c r="C56" s="8">
        <v>4.4859480857849121</v>
      </c>
      <c r="D56" s="9">
        <v>3.5000000149011612E-2</v>
      </c>
      <c r="E56" s="9">
        <v>7.5000002980232239E-2</v>
      </c>
      <c r="F56" s="9">
        <v>5.5</v>
      </c>
      <c r="G56" s="9">
        <v>0.25328078866004944</v>
      </c>
      <c r="H56" s="9">
        <v>1.3636364601552486E-2</v>
      </c>
      <c r="I56">
        <v>0</v>
      </c>
      <c r="J56"/>
    </row>
    <row r="57" spans="1:10" ht="15" customHeight="1" x14ac:dyDescent="0.15">
      <c r="A57" s="232">
        <v>56</v>
      </c>
      <c r="B57" s="232" t="s">
        <v>248</v>
      </c>
      <c r="C57" s="8">
        <v>3.4746003150939941</v>
      </c>
      <c r="D57" s="9">
        <v>0.46399998664855957</v>
      </c>
      <c r="E57" s="9">
        <v>3.9999999105930328E-2</v>
      </c>
      <c r="F57" s="9">
        <v>3.2170000076293945</v>
      </c>
      <c r="G57" s="9">
        <v>2.7332508936524391E-2</v>
      </c>
      <c r="H57" s="9">
        <v>1.2433944270014763E-2</v>
      </c>
      <c r="I57">
        <v>0</v>
      </c>
      <c r="J57"/>
    </row>
    <row r="58" spans="1:10" ht="15" customHeight="1" x14ac:dyDescent="0.15">
      <c r="A58" s="233">
        <v>57</v>
      </c>
      <c r="B58" s="233" t="s">
        <v>249</v>
      </c>
      <c r="C58" s="8">
        <v>4.4917054176330566</v>
      </c>
      <c r="D58" s="9">
        <v>5.9999998658895493E-2</v>
      </c>
      <c r="E58" s="9">
        <v>3.9999999105930328E-2</v>
      </c>
      <c r="F58" s="9">
        <v>14.300999641418457</v>
      </c>
      <c r="G58" s="9">
        <v>0.59925723075866699</v>
      </c>
      <c r="H58" s="9">
        <v>2.7970070950686932E-3</v>
      </c>
      <c r="I58">
        <v>0</v>
      </c>
      <c r="J58"/>
    </row>
    <row r="59" spans="1:10" ht="15" customHeight="1" x14ac:dyDescent="0.15">
      <c r="A59" s="234">
        <v>58</v>
      </c>
      <c r="B59" s="234" t="s">
        <v>250</v>
      </c>
      <c r="C59" s="8">
        <v>4.269683837890625</v>
      </c>
      <c r="D59" s="9">
        <v>7.0000002160668373E-3</v>
      </c>
      <c r="E59" s="9">
        <v>0.27500000596046448</v>
      </c>
      <c r="F59" s="9">
        <v>9.3179998397827148</v>
      </c>
      <c r="G59" s="9">
        <v>0.41888368129730225</v>
      </c>
      <c r="H59" s="9">
        <v>2.9512772336602211E-2</v>
      </c>
      <c r="I59">
        <v>0</v>
      </c>
      <c r="J59"/>
    </row>
    <row r="60" spans="1:10" ht="15" customHeight="1" x14ac:dyDescent="0.15">
      <c r="A60" s="235">
        <v>59</v>
      </c>
      <c r="B60" s="235" t="s">
        <v>251</v>
      </c>
      <c r="C60" s="8">
        <v>1</v>
      </c>
      <c r="D60" s="9">
        <v>52.605159759521484</v>
      </c>
      <c r="E60" s="10"/>
      <c r="F60" s="10"/>
      <c r="G60" s="7">
        <v>0.50802284479141235</v>
      </c>
      <c r="H60" s="10"/>
      <c r="I60">
        <v>0</v>
      </c>
      <c r="J60"/>
    </row>
    <row r="61" spans="1:10" ht="15" customHeight="1" x14ac:dyDescent="0.15">
      <c r="A61" s="236">
        <v>60</v>
      </c>
      <c r="B61" s="236" t="s">
        <v>252</v>
      </c>
      <c r="C61" s="8">
        <v>1</v>
      </c>
      <c r="D61" s="9">
        <v>5</v>
      </c>
      <c r="E61" s="10"/>
      <c r="F61" s="10"/>
      <c r="G61" s="7">
        <v>0</v>
      </c>
      <c r="H61" s="10"/>
      <c r="I61">
        <v>0</v>
      </c>
      <c r="J61"/>
    </row>
    <row r="62" spans="1:10" ht="15" customHeight="1" x14ac:dyDescent="0.15">
      <c r="A62" s="237">
        <v>61</v>
      </c>
      <c r="B62" s="237" t="s">
        <v>253</v>
      </c>
      <c r="C62" s="8">
        <v>3.8294947147369385</v>
      </c>
      <c r="D62" s="10"/>
      <c r="E62" s="10"/>
      <c r="F62" s="10"/>
      <c r="G62" s="10"/>
      <c r="H62" s="10"/>
      <c r="I62">
        <v>0.37031447887420654</v>
      </c>
      <c r="J62"/>
    </row>
    <row r="63" spans="1:10" ht="15" customHeight="1" x14ac:dyDescent="0.15">
      <c r="A63" s="238">
        <v>62</v>
      </c>
      <c r="B63" s="238" t="s">
        <v>254</v>
      </c>
      <c r="C63" s="8">
        <v>4.685826301574707</v>
      </c>
      <c r="D63" s="10"/>
      <c r="E63" s="10"/>
      <c r="F63" s="10"/>
      <c r="G63" s="10"/>
      <c r="H63" s="10"/>
      <c r="I63">
        <v>0.70770734548568726</v>
      </c>
      <c r="J63"/>
    </row>
    <row r="64" spans="1:10" ht="15" customHeight="1" x14ac:dyDescent="0.15">
      <c r="A64" s="239">
        <v>63</v>
      </c>
      <c r="B64" s="239" t="s">
        <v>255</v>
      </c>
      <c r="C64" s="8">
        <v>4.0088353157043457</v>
      </c>
      <c r="D64" s="10"/>
      <c r="E64" s="10"/>
      <c r="F64" s="10"/>
      <c r="G64" s="10"/>
      <c r="H64" s="10"/>
      <c r="I64">
        <v>0.37177714705467224</v>
      </c>
      <c r="J64"/>
    </row>
    <row r="65" spans="1:10" ht="15" customHeight="1" x14ac:dyDescent="0.15">
      <c r="A65" s="240">
        <v>64</v>
      </c>
      <c r="B65" s="240" t="s">
        <v>256</v>
      </c>
      <c r="C65" s="8">
        <v>4.9923148155212402</v>
      </c>
      <c r="D65" s="10"/>
      <c r="E65" s="10"/>
      <c r="F65" s="10"/>
      <c r="G65" s="10"/>
      <c r="H65" s="10"/>
      <c r="I65">
        <v>0.18501286208629608</v>
      </c>
      <c r="J65"/>
    </row>
    <row r="66" spans="1:10" ht="15" customHeight="1" x14ac:dyDescent="0.15">
      <c r="A66" s="241">
        <v>65</v>
      </c>
      <c r="B66" s="241" t="s">
        <v>257</v>
      </c>
      <c r="C66" s="8">
        <v>3.7745242118835449</v>
      </c>
      <c r="D66" s="10"/>
      <c r="E66" s="10"/>
      <c r="F66" s="10"/>
      <c r="G66" s="10"/>
      <c r="H66" s="10"/>
      <c r="I66">
        <v>1.1818184852600098</v>
      </c>
      <c r="J66"/>
    </row>
    <row r="67" spans="1:10" ht="15" customHeight="1" x14ac:dyDescent="0.15">
      <c r="A67" s="242">
        <v>66</v>
      </c>
      <c r="B67" s="242" t="s">
        <v>258</v>
      </c>
      <c r="C67" s="8">
        <v>5.21014404296875</v>
      </c>
      <c r="D67" s="10"/>
      <c r="E67" s="10"/>
      <c r="F67" s="10"/>
      <c r="G67" s="10"/>
      <c r="H67" s="10"/>
      <c r="I67">
        <v>7.5879871845245361E-2</v>
      </c>
      <c r="J67"/>
    </row>
    <row r="68" spans="1:10" ht="15" customHeight="1" x14ac:dyDescent="0.15">
      <c r="A68" s="243">
        <v>67</v>
      </c>
      <c r="B68" s="243" t="s">
        <v>259</v>
      </c>
      <c r="C68" s="8">
        <v>4.2074780464172363</v>
      </c>
      <c r="D68" s="10"/>
      <c r="E68" s="10"/>
      <c r="F68" s="10"/>
      <c r="G68" s="10"/>
      <c r="H68" s="10"/>
      <c r="I68">
        <v>0.23613797128200531</v>
      </c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3" bestFit="1" customWidth="1"/>
    <col min="2" max="4" width="9.5" style="83" bestFit="1" customWidth="1"/>
    <col min="5" max="7" width="9" style="83" bestFit="1" customWidth="1"/>
    <col min="8" max="16" width="12.6640625" style="83" bestFit="1" customWidth="1"/>
    <col min="17" max="17" width="12.33203125" style="83" bestFit="1" customWidth="1"/>
    <col min="18" max="18" width="8.83203125" style="83"/>
    <col min="19" max="21" width="9.33203125" style="83" bestFit="1" customWidth="1"/>
    <col min="22" max="23" width="8.83203125" style="83"/>
    <col min="24" max="24" width="9.33203125" style="83" bestFit="1" customWidth="1"/>
    <col min="25" max="27" width="8.83203125" style="83"/>
    <col min="28" max="58" width="9" style="83" bestFit="1" customWidth="1"/>
    <col min="59" max="59" width="12.33203125" style="83" bestFit="1" customWidth="1"/>
    <col min="60" max="60" width="9" style="83" bestFit="1" customWidth="1"/>
    <col min="61" max="61" width="11.33203125" style="83" bestFit="1" customWidth="1"/>
    <col min="62" max="77" width="9" style="83" bestFit="1" customWidth="1"/>
    <col min="78" max="78" width="12.33203125" style="83" bestFit="1" customWidth="1"/>
    <col min="79" max="79" width="9" style="83" bestFit="1" customWidth="1"/>
    <col min="80" max="80" width="12.33203125" style="83" bestFit="1" customWidth="1"/>
    <col min="81" max="107" width="9" style="83" bestFit="1" customWidth="1"/>
    <col min="108" max="108" width="11.33203125" style="83" bestFit="1" customWidth="1"/>
    <col min="109" max="124" width="9" style="83" bestFit="1" customWidth="1"/>
    <col min="125" max="125" width="10.33203125" style="83" bestFit="1" customWidth="1"/>
    <col min="126" max="129" width="9.33203125" style="83" bestFit="1" customWidth="1"/>
    <col min="130" max="130" width="9" style="83" bestFit="1" customWidth="1"/>
    <col min="131" max="134" width="9.33203125" style="83" bestFit="1" customWidth="1"/>
    <col min="135" max="165" width="9" style="83" bestFit="1" customWidth="1"/>
    <col min="166" max="166" width="12.33203125" style="83" bestFit="1" customWidth="1"/>
    <col min="167" max="170" width="9" style="83" bestFit="1" customWidth="1"/>
    <col min="171" max="176" width="8.83203125" style="83"/>
    <col min="177" max="177" width="13.83203125" style="83" bestFit="1" customWidth="1"/>
    <col min="178" max="16384" width="8.83203125" style="8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264</v>
      </c>
      <c r="E1" t="s">
        <v>265</v>
      </c>
      <c r="F1" t="s">
        <v>266</v>
      </c>
      <c r="G1" t="s">
        <v>267</v>
      </c>
      <c r="H1" t="s">
        <v>268</v>
      </c>
      <c r="I1" t="s">
        <v>269</v>
      </c>
      <c r="J1" t="s">
        <v>270</v>
      </c>
      <c r="K1" t="s">
        <v>193</v>
      </c>
      <c r="L1" t="s">
        <v>194</v>
      </c>
      <c r="M1" t="s">
        <v>195</v>
      </c>
      <c r="N1" t="s">
        <v>196</v>
      </c>
      <c r="O1" t="s">
        <v>197</v>
      </c>
      <c r="P1" t="s">
        <v>198</v>
      </c>
      <c r="Q1" t="s">
        <v>199</v>
      </c>
      <c r="R1" t="s">
        <v>200</v>
      </c>
      <c r="S1" t="s">
        <v>201</v>
      </c>
      <c r="T1" t="s">
        <v>202</v>
      </c>
      <c r="U1" t="s">
        <v>203</v>
      </c>
      <c r="V1" t="s">
        <v>204</v>
      </c>
      <c r="W1" t="s">
        <v>205</v>
      </c>
      <c r="X1" t="s">
        <v>206</v>
      </c>
      <c r="Y1" t="s">
        <v>207</v>
      </c>
      <c r="Z1" t="s">
        <v>208</v>
      </c>
      <c r="AA1" t="s">
        <v>209</v>
      </c>
      <c r="AB1" t="s">
        <v>210</v>
      </c>
      <c r="AC1" t="s">
        <v>211</v>
      </c>
      <c r="AD1" t="s">
        <v>212</v>
      </c>
      <c r="AE1" t="s">
        <v>213</v>
      </c>
      <c r="AF1" t="s">
        <v>214</v>
      </c>
      <c r="AG1" t="s">
        <v>215</v>
      </c>
      <c r="AH1" t="s">
        <v>216</v>
      </c>
      <c r="AI1" t="s">
        <v>217</v>
      </c>
      <c r="AJ1" t="s">
        <v>218</v>
      </c>
      <c r="AK1" t="s">
        <v>219</v>
      </c>
      <c r="AL1" t="s">
        <v>220</v>
      </c>
      <c r="AM1" t="s">
        <v>221</v>
      </c>
      <c r="AN1" t="s">
        <v>222</v>
      </c>
      <c r="AO1" t="s">
        <v>223</v>
      </c>
      <c r="AP1" t="s">
        <v>224</v>
      </c>
      <c r="AQ1" t="s">
        <v>225</v>
      </c>
      <c r="AR1" t="s">
        <v>226</v>
      </c>
      <c r="AS1" t="s">
        <v>227</v>
      </c>
      <c r="AT1" t="s">
        <v>228</v>
      </c>
      <c r="AU1" t="s">
        <v>229</v>
      </c>
      <c r="AV1" t="s">
        <v>230</v>
      </c>
      <c r="AW1" t="s">
        <v>231</v>
      </c>
      <c r="AX1" t="s">
        <v>232</v>
      </c>
      <c r="AY1" t="s">
        <v>233</v>
      </c>
      <c r="AZ1" t="s">
        <v>234</v>
      </c>
      <c r="BA1" t="s">
        <v>235</v>
      </c>
      <c r="BB1" t="s">
        <v>236</v>
      </c>
      <c r="BC1" t="s">
        <v>237</v>
      </c>
      <c r="BD1" t="s">
        <v>238</v>
      </c>
      <c r="BE1" t="s">
        <v>239</v>
      </c>
      <c r="BF1" t="s">
        <v>240</v>
      </c>
      <c r="BG1" t="s">
        <v>241</v>
      </c>
      <c r="BH1" t="s">
        <v>242</v>
      </c>
      <c r="BI1" t="s">
        <v>243</v>
      </c>
      <c r="BJ1" t="s">
        <v>244</v>
      </c>
      <c r="BK1" t="s">
        <v>245</v>
      </c>
      <c r="BL1" t="s">
        <v>246</v>
      </c>
      <c r="BM1" t="s">
        <v>247</v>
      </c>
      <c r="BN1" t="s">
        <v>248</v>
      </c>
      <c r="BO1" t="s">
        <v>249</v>
      </c>
      <c r="BP1" t="s">
        <v>250</v>
      </c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180.69200134277344</v>
      </c>
      <c r="C2">
        <v>75.642005920410156</v>
      </c>
      <c r="D2"/>
      <c r="E2"/>
      <c r="F2"/>
      <c r="G2"/>
      <c r="H2"/>
      <c r="I2"/>
      <c r="J2"/>
      <c r="K2"/>
      <c r="L2" s="149">
        <v>10.897107124328613</v>
      </c>
      <c r="M2" s="251">
        <v>8.9170751571655273</v>
      </c>
      <c r="N2" s="287">
        <v>38.415687561035156</v>
      </c>
      <c r="O2" s="263">
        <v>30.741277694702148</v>
      </c>
      <c r="P2" s="12">
        <v>0.68208020925521851</v>
      </c>
      <c r="Q2" s="28">
        <v>6.21502685546875</v>
      </c>
      <c r="R2" s="18">
        <v>1.9498406648635864</v>
      </c>
      <c r="S2" s="23">
        <v>0.97217649221420288</v>
      </c>
      <c r="T2" s="17">
        <v>2.3460783958435059</v>
      </c>
      <c r="U2" s="22">
        <v>1.4789140224456787</v>
      </c>
      <c r="V2" s="15">
        <v>1.7677507400512695</v>
      </c>
      <c r="W2"/>
      <c r="X2" s="11">
        <v>3.3407624810934067E-2</v>
      </c>
      <c r="Y2"/>
      <c r="Z2"/>
      <c r="AA2"/>
      <c r="AB2" s="14">
        <v>0.37529319524765015</v>
      </c>
      <c r="AC2" s="14">
        <v>0.2394871711730957</v>
      </c>
      <c r="AD2" s="11">
        <v>1.8784945830702782E-2</v>
      </c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91.25</v>
      </c>
      <c r="C3">
        <v>11.139236450195312</v>
      </c>
      <c r="D3"/>
      <c r="E3"/>
      <c r="F3"/>
      <c r="G3"/>
      <c r="H3"/>
      <c r="I3"/>
      <c r="J3"/>
      <c r="K3"/>
      <c r="L3"/>
      <c r="M3" s="318">
        <v>43.674945831298828</v>
      </c>
      <c r="N3"/>
      <c r="O3"/>
      <c r="P3" s="15">
        <v>0.83435779809951782</v>
      </c>
      <c r="Q3"/>
      <c r="R3" s="284">
        <v>11.989968299865723</v>
      </c>
      <c r="S3" s="292">
        <v>5.2003173828125</v>
      </c>
      <c r="T3" s="108">
        <v>6.0196876525878906</v>
      </c>
      <c r="U3" s="282">
        <v>7.7790799140930176</v>
      </c>
      <c r="V3" s="16">
        <v>1.3966509103775024</v>
      </c>
      <c r="W3" s="259">
        <v>2.1744320392608643</v>
      </c>
      <c r="X3" s="18">
        <v>1.0413269996643066</v>
      </c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72</v>
      </c>
      <c r="C4">
        <v>33.343585968017578</v>
      </c>
      <c r="D4"/>
      <c r="E4"/>
      <c r="F4"/>
      <c r="G4"/>
      <c r="H4"/>
      <c r="I4"/>
      <c r="J4"/>
      <c r="K4"/>
      <c r="L4"/>
      <c r="M4" s="12">
        <v>0.26020726561546326</v>
      </c>
      <c r="N4" s="315">
        <v>26.732463836669922</v>
      </c>
      <c r="O4" s="307">
        <v>7.8906059265136719</v>
      </c>
      <c r="P4" s="16">
        <v>1.198948860168457</v>
      </c>
      <c r="Q4"/>
      <c r="R4"/>
      <c r="S4"/>
      <c r="T4"/>
      <c r="U4"/>
      <c r="V4"/>
      <c r="W4"/>
      <c r="X4"/>
      <c r="Y4"/>
      <c r="Z4"/>
      <c r="AA4"/>
      <c r="AB4" s="16">
        <v>1.1116070747375488</v>
      </c>
      <c r="AC4" s="16">
        <v>1.1486194133758545</v>
      </c>
      <c r="AD4" s="14">
        <v>0.14868892729282379</v>
      </c>
      <c r="AE4"/>
      <c r="AF4" s="14">
        <v>0.1652706116437912</v>
      </c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42.576999664306641</v>
      </c>
      <c r="C5">
        <v>0.94940638542175293</v>
      </c>
      <c r="D5"/>
      <c r="E5"/>
      <c r="F5"/>
      <c r="G5"/>
      <c r="H5"/>
      <c r="I5"/>
      <c r="J5"/>
      <c r="K5"/>
      <c r="L5"/>
      <c r="M5"/>
      <c r="N5" s="14">
        <v>4.3765626847743988E-2</v>
      </c>
      <c r="O5" s="316">
        <v>13.763674736022949</v>
      </c>
      <c r="P5" s="291">
        <v>6.7468247413635254</v>
      </c>
      <c r="Q5" s="317">
        <v>19.3939208984375</v>
      </c>
      <c r="R5"/>
      <c r="S5" s="14">
        <v>0.10110349208116531</v>
      </c>
      <c r="T5"/>
      <c r="U5"/>
      <c r="V5"/>
      <c r="W5"/>
      <c r="X5"/>
      <c r="Y5" s="11">
        <v>7.3960516601800919E-3</v>
      </c>
      <c r="Z5" s="15">
        <v>0.43809351325035095</v>
      </c>
      <c r="AA5" s="14">
        <v>4.4727005064487457E-2</v>
      </c>
      <c r="AB5" s="15">
        <v>0.44996672868728638</v>
      </c>
      <c r="AC5" s="18">
        <v>0.46494889259338379</v>
      </c>
      <c r="AD5" s="14">
        <v>6.0187693685293198E-2</v>
      </c>
      <c r="AE5" s="11">
        <v>1.6960920765995979E-2</v>
      </c>
      <c r="AF5"/>
      <c r="AG5" s="11">
        <v>1.6087238691397943E-5</v>
      </c>
      <c r="AH5" s="11">
        <v>5.7579940184950829E-3</v>
      </c>
      <c r="AI5" s="14">
        <v>6.738840788602829E-2</v>
      </c>
      <c r="AJ5" s="11">
        <v>3.8207890465855598E-3</v>
      </c>
      <c r="AK5"/>
      <c r="AL5"/>
      <c r="AM5" s="11">
        <v>3.0244407244026661E-3</v>
      </c>
      <c r="AN5"/>
      <c r="AO5"/>
      <c r="AP5" s="11">
        <v>4.0742405690252781E-3</v>
      </c>
      <c r="AQ5" s="11">
        <v>6.8202257352822926E-6</v>
      </c>
      <c r="AR5" s="11">
        <v>2.8609787250388763E-7</v>
      </c>
      <c r="AS5" s="11">
        <v>3.6315914258011617E-6</v>
      </c>
      <c r="AT5" s="11">
        <v>3.505566837702645E-6</v>
      </c>
      <c r="AU5" s="11">
        <v>4.3071951949968934E-5</v>
      </c>
      <c r="AV5" s="11">
        <v>7.3953287937911227E-6</v>
      </c>
      <c r="AW5"/>
      <c r="AX5" s="11">
        <v>1.2207373220007867E-4</v>
      </c>
      <c r="AY5"/>
      <c r="AZ5" s="11">
        <v>1.0459321492817253E-4</v>
      </c>
      <c r="BA5"/>
      <c r="BB5" s="11">
        <v>1.7753992869984359E-4</v>
      </c>
      <c r="BC5" s="11">
        <v>1.7739366739988327E-5</v>
      </c>
      <c r="BD5"/>
      <c r="BE5" s="11">
        <v>6.637797923758626E-4</v>
      </c>
      <c r="BF5" s="11">
        <v>8.3182984963059425E-4</v>
      </c>
      <c r="BG5"/>
      <c r="BH5"/>
      <c r="BI5"/>
      <c r="BJ5"/>
      <c r="BK5"/>
      <c r="BL5"/>
      <c r="BM5"/>
      <c r="BN5" s="11">
        <v>9.9514173343777657E-3</v>
      </c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48.522998809814453</v>
      </c>
      <c r="C6">
        <v>5.0053877830505371</v>
      </c>
      <c r="D6"/>
      <c r="E6"/>
      <c r="F6"/>
      <c r="G6"/>
      <c r="H6"/>
      <c r="I6"/>
      <c r="J6"/>
      <c r="K6"/>
      <c r="L6"/>
      <c r="M6"/>
      <c r="N6"/>
      <c r="O6" s="11">
        <v>1.6378475353121758E-2</v>
      </c>
      <c r="P6" s="283">
        <v>7.529881477355957</v>
      </c>
      <c r="Q6" s="319">
        <v>32.924709320068359</v>
      </c>
      <c r="R6"/>
      <c r="S6" s="15">
        <v>0.52146244049072266</v>
      </c>
      <c r="T6"/>
      <c r="U6"/>
      <c r="V6"/>
      <c r="W6"/>
      <c r="X6"/>
      <c r="Y6" s="11">
        <v>2.1829608827829361E-2</v>
      </c>
      <c r="Z6" s="24">
        <v>1.3445849418640137</v>
      </c>
      <c r="AA6"/>
      <c r="AB6" s="15">
        <v>0.46034196019172668</v>
      </c>
      <c r="AC6" s="15">
        <v>0.47566959261894226</v>
      </c>
      <c r="AD6" s="14">
        <v>6.157548725605011E-2</v>
      </c>
      <c r="AE6"/>
      <c r="AF6" s="11">
        <v>3.8423765450716019E-2</v>
      </c>
      <c r="AG6"/>
      <c r="AH6" s="11">
        <v>3.5678673157235608E-5</v>
      </c>
      <c r="AI6" s="11">
        <v>2.6130564510822296E-2</v>
      </c>
      <c r="AJ6"/>
      <c r="AK6"/>
      <c r="AL6"/>
      <c r="AM6" s="11">
        <v>3.0941776931285858E-3</v>
      </c>
      <c r="AN6"/>
      <c r="AO6"/>
      <c r="AP6"/>
      <c r="AQ6"/>
      <c r="AR6"/>
      <c r="AS6"/>
      <c r="AT6"/>
      <c r="AU6" s="11">
        <v>5.1769970013992861E-5</v>
      </c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 s="11">
        <v>4.8339246859541163E-5</v>
      </c>
      <c r="BL6"/>
      <c r="BM6"/>
      <c r="BN6" s="14">
        <v>9.2998385429382324E-2</v>
      </c>
      <c r="BO6"/>
      <c r="BP6" s="11">
        <v>3.927439684048295E-4</v>
      </c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37.966999053955078</v>
      </c>
      <c r="C7">
        <v>12.639254570007324</v>
      </c>
      <c r="D7"/>
      <c r="E7"/>
      <c r="F7"/>
      <c r="G7"/>
      <c r="H7"/>
      <c r="I7"/>
      <c r="J7"/>
      <c r="K7"/>
      <c r="L7"/>
      <c r="M7"/>
      <c r="N7"/>
      <c r="O7" s="314">
        <v>23.134212493896484</v>
      </c>
      <c r="P7" s="11">
        <v>7.6685571111738682E-3</v>
      </c>
      <c r="Q7"/>
      <c r="R7"/>
      <c r="S7"/>
      <c r="T7"/>
      <c r="U7"/>
      <c r="V7"/>
      <c r="W7"/>
      <c r="X7"/>
      <c r="Y7"/>
      <c r="Z7" s="19">
        <v>0.70197230577468872</v>
      </c>
      <c r="AA7" s="11">
        <v>2.4324681144207716E-3</v>
      </c>
      <c r="AB7"/>
      <c r="AC7"/>
      <c r="AD7"/>
      <c r="AE7"/>
      <c r="AF7"/>
      <c r="AG7" s="11">
        <v>3.7691022735089064E-3</v>
      </c>
      <c r="AH7" s="65">
        <v>0.79221785068511963</v>
      </c>
      <c r="AI7" s="11">
        <v>2.1032582968473434E-2</v>
      </c>
      <c r="AJ7" s="11">
        <v>1.3492261990904808E-2</v>
      </c>
      <c r="AK7" s="11">
        <v>9.0389279648661613E-4</v>
      </c>
      <c r="AL7" s="11">
        <v>7.2910881135612726E-4</v>
      </c>
      <c r="AM7"/>
      <c r="AN7"/>
      <c r="AO7"/>
      <c r="AP7"/>
      <c r="AQ7"/>
      <c r="AR7"/>
      <c r="AS7" s="22">
        <v>0.26170271635055542</v>
      </c>
      <c r="AT7" s="22">
        <v>0.27868396043777466</v>
      </c>
      <c r="AU7"/>
      <c r="AV7" s="11">
        <v>5.4006970458431169E-5</v>
      </c>
      <c r="AW7" s="11">
        <v>1.9939763660659082E-5</v>
      </c>
      <c r="AX7" s="11">
        <v>3.0988676007837057E-3</v>
      </c>
      <c r="AY7"/>
      <c r="AZ7"/>
      <c r="BA7"/>
      <c r="BB7" s="11">
        <v>3.4215432242490351E-4</v>
      </c>
      <c r="BC7"/>
      <c r="BD7"/>
      <c r="BE7"/>
      <c r="BF7"/>
      <c r="BG7"/>
      <c r="BH7" s="11">
        <v>1.4548716135323048E-2</v>
      </c>
      <c r="BI7" s="11">
        <v>5.0551292952150106E-4</v>
      </c>
      <c r="BJ7" s="11">
        <v>2.9365650334511884E-5</v>
      </c>
      <c r="BK7" s="11">
        <v>4.0470931708114222E-5</v>
      </c>
      <c r="BL7" s="14">
        <v>5.5746994912624359E-2</v>
      </c>
      <c r="BM7"/>
      <c r="BN7" s="11">
        <v>1.032679621130228E-2</v>
      </c>
      <c r="BO7" s="11">
        <v>2.4212876334786415E-2</v>
      </c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14.25</v>
      </c>
      <c r="C8">
        <v>3.0287888050079346</v>
      </c>
      <c r="D8"/>
      <c r="E8"/>
      <c r="F8"/>
      <c r="G8"/>
      <c r="H8"/>
      <c r="I8"/>
      <c r="J8"/>
      <c r="K8"/>
      <c r="L8"/>
      <c r="M8"/>
      <c r="N8"/>
      <c r="O8"/>
      <c r="P8"/>
      <c r="Q8" s="14">
        <v>4.1580658406019211E-2</v>
      </c>
      <c r="R8" s="263">
        <v>2.4419405460357666</v>
      </c>
      <c r="S8" s="72">
        <v>1.0183954238891602</v>
      </c>
      <c r="T8" s="13">
        <v>0.52672272920608521</v>
      </c>
      <c r="U8" s="69">
        <v>1.3041394948959351</v>
      </c>
      <c r="V8"/>
      <c r="W8"/>
      <c r="X8" s="18">
        <v>0.17572396993637085</v>
      </c>
      <c r="Y8" s="11">
        <v>1.6978112980723381E-3</v>
      </c>
      <c r="Z8" s="250">
        <v>1.6380683183670044</v>
      </c>
      <c r="AA8" s="14">
        <v>2.2790500894188881E-2</v>
      </c>
      <c r="AB8"/>
      <c r="AC8"/>
      <c r="AD8"/>
      <c r="AE8" s="288">
        <v>3.217341423034668</v>
      </c>
      <c r="AF8"/>
      <c r="AG8" s="23">
        <v>7.4402600526809692E-2</v>
      </c>
      <c r="AH8" s="14">
        <v>2.3275164887309074E-2</v>
      </c>
      <c r="AI8" s="14">
        <v>2.8238639235496521E-2</v>
      </c>
      <c r="AJ8" s="11">
        <v>8.7005086243152618E-4</v>
      </c>
      <c r="AK8" s="11">
        <v>3.3375596103724092E-5</v>
      </c>
      <c r="AL8"/>
      <c r="AM8" s="11">
        <v>1.0628477670252323E-2</v>
      </c>
      <c r="AN8" s="11">
        <v>4.9711973406374454E-3</v>
      </c>
      <c r="AO8" s="11">
        <v>2.8268099413253367E-4</v>
      </c>
      <c r="AP8" s="15">
        <v>0.13228179514408112</v>
      </c>
      <c r="AQ8" s="12">
        <v>4.6340525150299072E-2</v>
      </c>
      <c r="AR8"/>
      <c r="AS8" s="11">
        <v>7.4514281004667282E-3</v>
      </c>
      <c r="AT8" s="11">
        <v>4.7838897444307804E-3</v>
      </c>
      <c r="AU8" s="11">
        <v>3.7157745100557804E-3</v>
      </c>
      <c r="AV8" s="11">
        <v>8.0132001312449574E-4</v>
      </c>
      <c r="AW8" s="11">
        <v>6.586937524843961E-5</v>
      </c>
      <c r="AX8" s="14">
        <v>3.3069431781768799E-2</v>
      </c>
      <c r="AY8" s="259">
        <v>0.34515312314033508</v>
      </c>
      <c r="AZ8" s="11">
        <v>7.8966356813907623E-3</v>
      </c>
      <c r="BA8" s="11">
        <v>3.4293695352971554E-3</v>
      </c>
      <c r="BB8" s="11">
        <v>1.4490821631625295E-3</v>
      </c>
      <c r="BC8" s="11">
        <v>4.6332436613738537E-3</v>
      </c>
      <c r="BD8" s="11">
        <v>2.5846485514193773E-3</v>
      </c>
      <c r="BE8" s="11">
        <v>7.449442520737648E-3</v>
      </c>
      <c r="BF8" s="11">
        <v>1.3295911252498627E-2</v>
      </c>
      <c r="BG8" s="11">
        <v>3.0172651167958975E-3</v>
      </c>
      <c r="BH8" s="11">
        <v>9.6275476971641183E-4</v>
      </c>
      <c r="BI8" s="11">
        <v>2.1409336477518082E-3</v>
      </c>
      <c r="BJ8" s="11">
        <v>1.438011386198923E-4</v>
      </c>
      <c r="BK8"/>
      <c r="BL8"/>
      <c r="BM8" s="11">
        <v>3.0609618406742811E-3</v>
      </c>
      <c r="BN8" s="12">
        <v>5.9160415083169937E-2</v>
      </c>
      <c r="BO8" s="11">
        <v>5.607963539659977E-3</v>
      </c>
      <c r="BP8" s="11">
        <v>1.6141410451382399E-3</v>
      </c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2.5139999389648438</v>
      </c>
      <c r="C9">
        <v>4.5549161732196808E-2</v>
      </c>
      <c r="D9"/>
      <c r="E9"/>
      <c r="F9" s="11">
        <v>3.5894294114768854E-7</v>
      </c>
      <c r="G9"/>
      <c r="H9"/>
      <c r="I9"/>
      <c r="J9" s="11">
        <v>7.1357309934683144E-5</v>
      </c>
      <c r="K9"/>
      <c r="L9"/>
      <c r="M9"/>
      <c r="N9"/>
      <c r="O9"/>
      <c r="P9"/>
      <c r="Q9"/>
      <c r="R9" s="14">
        <v>5.7570007629692554E-3</v>
      </c>
      <c r="S9" s="313">
        <v>1.332918643951416</v>
      </c>
      <c r="T9"/>
      <c r="U9" s="279">
        <v>0.66248250007629395</v>
      </c>
      <c r="V9"/>
      <c r="W9" s="304">
        <v>0.31645560264587402</v>
      </c>
      <c r="X9"/>
      <c r="Y9" s="11">
        <v>1.220223493874073E-3</v>
      </c>
      <c r="Z9" s="14">
        <v>2.549121854826808E-3</v>
      </c>
      <c r="AA9" s="11">
        <v>1.7490646569058299E-3</v>
      </c>
      <c r="AB9"/>
      <c r="AC9"/>
      <c r="AD9"/>
      <c r="AE9" s="12">
        <v>9.0211024507880211E-3</v>
      </c>
      <c r="AF9"/>
      <c r="AG9" s="11">
        <v>2.8555362951010466E-4</v>
      </c>
      <c r="AH9" s="11">
        <v>2.1010953933000565E-3</v>
      </c>
      <c r="AI9" s="11">
        <v>6.5363950852770358E-5</v>
      </c>
      <c r="AJ9" s="11">
        <v>7.627006561961025E-5</v>
      </c>
      <c r="AK9" s="11">
        <v>6.2181015891837887E-6</v>
      </c>
      <c r="AL9" s="11">
        <v>1.1804027053585742E-5</v>
      </c>
      <c r="AM9" s="11">
        <v>1.1319958139210939E-3</v>
      </c>
      <c r="AN9" s="14">
        <v>5.669077392667532E-3</v>
      </c>
      <c r="AO9" s="11">
        <v>2.0631356164813042E-3</v>
      </c>
      <c r="AP9" s="11">
        <v>6.5291329519823194E-4</v>
      </c>
      <c r="AQ9" s="11">
        <v>3.4594256430864334E-4</v>
      </c>
      <c r="AR9"/>
      <c r="AS9" s="11">
        <v>8.8849588064476848E-4</v>
      </c>
      <c r="AT9" s="11">
        <v>7.5969955651089549E-4</v>
      </c>
      <c r="AU9" s="11">
        <v>9.6774630947038531E-4</v>
      </c>
      <c r="AV9" s="11">
        <v>4.1186253656633198E-4</v>
      </c>
      <c r="AW9" s="11">
        <v>1.846115046646446E-4</v>
      </c>
      <c r="AX9" s="12">
        <v>1.0251300409436226E-2</v>
      </c>
      <c r="AY9"/>
      <c r="AZ9" s="23">
        <v>1.60216074436903E-2</v>
      </c>
      <c r="BA9" s="14">
        <v>3.3754629548639059E-3</v>
      </c>
      <c r="BB9" s="12">
        <v>1.0930179618299007E-2</v>
      </c>
      <c r="BC9" s="11">
        <v>9.4351389634539373E-6</v>
      </c>
      <c r="BD9"/>
      <c r="BE9" s="19">
        <v>4.3424982577562332E-2</v>
      </c>
      <c r="BF9" s="17">
        <v>3.2149918377399445E-2</v>
      </c>
      <c r="BG9" s="11">
        <v>9.7631779499351978E-4</v>
      </c>
      <c r="BH9" s="14">
        <v>3.4296636004000902E-3</v>
      </c>
      <c r="BI9" s="11">
        <v>3.487839421723038E-5</v>
      </c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3.062000036239624</v>
      </c>
      <c r="C10">
        <v>0.63455003499984741</v>
      </c>
      <c r="D10"/>
      <c r="E10"/>
      <c r="F10"/>
      <c r="G10"/>
      <c r="H10"/>
      <c r="I10"/>
      <c r="J10"/>
      <c r="K10"/>
      <c r="L10"/>
      <c r="M10"/>
      <c r="N10"/>
      <c r="O10" s="19">
        <v>5.4482642561197281E-2</v>
      </c>
      <c r="P10"/>
      <c r="Q10"/>
      <c r="R10" s="300">
        <v>0.26311132311820984</v>
      </c>
      <c r="S10" s="14">
        <v>8.1302337348461151E-3</v>
      </c>
      <c r="T10"/>
      <c r="U10" s="276">
        <v>0.24987678229808807</v>
      </c>
      <c r="V10"/>
      <c r="W10" s="143">
        <v>0.65927731990814209</v>
      </c>
      <c r="X10" s="12">
        <v>1.2318833731114864E-2</v>
      </c>
      <c r="Y10" s="11">
        <v>2.5666274596005678E-3</v>
      </c>
      <c r="Z10"/>
      <c r="AA10" s="22">
        <v>2.1273327991366386E-2</v>
      </c>
      <c r="AB10"/>
      <c r="AC10"/>
      <c r="AD10"/>
      <c r="AE10"/>
      <c r="AF10" s="14">
        <v>8.808773010969162E-3</v>
      </c>
      <c r="AG10" s="290">
        <v>0.33989670872688293</v>
      </c>
      <c r="AH10" s="24">
        <v>8.4526658058166504E-2</v>
      </c>
      <c r="AI10" s="22">
        <v>2.649340033531189E-2</v>
      </c>
      <c r="AJ10" s="14">
        <v>6.9499346427619457E-3</v>
      </c>
      <c r="AK10" s="11">
        <v>4.444121805136092E-5</v>
      </c>
      <c r="AL10" s="11">
        <v>2.2606878701481037E-5</v>
      </c>
      <c r="AM10" s="254">
        <v>0.12108000367879868</v>
      </c>
      <c r="AN10" s="25">
        <v>9.4381719827651978E-2</v>
      </c>
      <c r="AO10" s="14">
        <v>6.0549634508788586E-3</v>
      </c>
      <c r="AP10" s="15">
        <v>2.9740490019321442E-2</v>
      </c>
      <c r="AQ10" s="14">
        <v>6.845192052423954E-3</v>
      </c>
      <c r="AR10" s="11">
        <v>1.5219301531033125E-5</v>
      </c>
      <c r="AS10" s="14">
        <v>4.3063657358288765E-3</v>
      </c>
      <c r="AT10" s="14">
        <v>5.920391995459795E-3</v>
      </c>
      <c r="AU10" s="23">
        <v>1.5226008370518684E-2</v>
      </c>
      <c r="AV10" s="14">
        <v>6.3059050589799881E-3</v>
      </c>
      <c r="AW10" s="11">
        <v>7.7322404831647873E-4</v>
      </c>
      <c r="AX10" s="26">
        <v>7.5402282178401947E-2</v>
      </c>
      <c r="AY10" s="12">
        <v>1.0510209947824478E-2</v>
      </c>
      <c r="AZ10" s="23">
        <v>2.064085379242897E-2</v>
      </c>
      <c r="BA10" s="23">
        <v>1.5182971954345703E-2</v>
      </c>
      <c r="BB10" s="23">
        <v>1.9516956061124802E-2</v>
      </c>
      <c r="BC10" s="11">
        <v>2.584453672170639E-3</v>
      </c>
      <c r="BD10" s="14">
        <v>4.1941362433135509E-3</v>
      </c>
      <c r="BE10" s="254">
        <v>0.12276440113782883</v>
      </c>
      <c r="BF10" s="148">
        <v>9.1626651585102081E-2</v>
      </c>
      <c r="BG10" s="14">
        <v>7.023440208286047E-3</v>
      </c>
      <c r="BH10" s="12">
        <v>1.3123087584972382E-2</v>
      </c>
      <c r="BI10" s="11">
        <v>2.1713220048695803E-3</v>
      </c>
      <c r="BJ10" s="11">
        <v>6.0544225561898202E-5</v>
      </c>
      <c r="BK10" s="11">
        <v>2.5495688532828353E-5</v>
      </c>
      <c r="BL10"/>
      <c r="BM10"/>
      <c r="BN10" s="12">
        <v>1.4194092713296413E-2</v>
      </c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2.0429999828338623</v>
      </c>
      <c r="C11">
        <v>0.11414447426795959</v>
      </c>
      <c r="D11" s="17">
        <v>2.6756869629025459E-2</v>
      </c>
      <c r="E11" s="11">
        <v>4.3357806862331927E-4</v>
      </c>
      <c r="F11" s="11">
        <v>2.6932265609502792E-4</v>
      </c>
      <c r="G11" s="11">
        <v>2.3381294340651948E-6</v>
      </c>
      <c r="H11" s="11">
        <v>1.434016758139478E-5</v>
      </c>
      <c r="I11"/>
      <c r="J11" s="14">
        <v>2.8897973243147135E-3</v>
      </c>
      <c r="K11"/>
      <c r="L11"/>
      <c r="M11"/>
      <c r="N11"/>
      <c r="O11"/>
      <c r="P11"/>
      <c r="Q11"/>
      <c r="R11" s="18">
        <v>2.4244533851742744E-2</v>
      </c>
      <c r="S11" s="309">
        <v>0.38135668635368347</v>
      </c>
      <c r="T11" s="11">
        <v>6.0678803129121661E-4</v>
      </c>
      <c r="U11" s="111">
        <v>0.39808735251426697</v>
      </c>
      <c r="V11"/>
      <c r="W11" s="312">
        <v>0.87915635108947754</v>
      </c>
      <c r="X11"/>
      <c r="Y11"/>
      <c r="Z11" s="12">
        <v>8.9751090854406357E-3</v>
      </c>
      <c r="AA11" s="11">
        <v>8.4785933722741902E-5</v>
      </c>
      <c r="AB11"/>
      <c r="AC11"/>
      <c r="AD11"/>
      <c r="AE11"/>
      <c r="AF11"/>
      <c r="AG11" s="11">
        <v>1.8075571279041469E-4</v>
      </c>
      <c r="AH11" s="11">
        <v>4.4491238077171147E-4</v>
      </c>
      <c r="AI11" s="11">
        <v>4.0943312342278659E-5</v>
      </c>
      <c r="AJ11" s="11">
        <v>8.7328095105476677E-5</v>
      </c>
      <c r="AK11" s="11">
        <v>1.4476488559012068E-6</v>
      </c>
      <c r="AL11" s="11">
        <v>1.5982033801265061E-5</v>
      </c>
      <c r="AM11" s="11">
        <v>5.2442139713093638E-4</v>
      </c>
      <c r="AN11" s="23">
        <v>1.1976025998592377E-2</v>
      </c>
      <c r="AO11" s="14">
        <v>2.0754346624016762E-3</v>
      </c>
      <c r="AP11" s="11">
        <v>1.5770364552736282E-3</v>
      </c>
      <c r="AQ11" s="11">
        <v>1.8804407445713878E-3</v>
      </c>
      <c r="AR11"/>
      <c r="AS11" s="12">
        <v>8.2787135615944862E-3</v>
      </c>
      <c r="AT11" s="22">
        <v>1.6748024150729179E-2</v>
      </c>
      <c r="AU11" s="11">
        <v>3.6827585427090526E-4</v>
      </c>
      <c r="AV11" s="11">
        <v>1.8527306383475661E-3</v>
      </c>
      <c r="AW11" s="11">
        <v>1.0726243490353227E-3</v>
      </c>
      <c r="AX11" s="23">
        <v>1.0511616244912148E-2</v>
      </c>
      <c r="AY11"/>
      <c r="AZ11" s="15">
        <v>2.1741313859820366E-2</v>
      </c>
      <c r="BA11" s="11">
        <v>1.1743625509552658E-4</v>
      </c>
      <c r="BB11" s="11">
        <v>7.4806244811043143E-4</v>
      </c>
      <c r="BC11" s="11">
        <v>1.3287934416439384E-4</v>
      </c>
      <c r="BD11" s="11">
        <v>2.2237974917516112E-4</v>
      </c>
      <c r="BE11" s="13">
        <v>7.5825199484825134E-2</v>
      </c>
      <c r="BF11" s="16">
        <v>3.0375877395272255E-2</v>
      </c>
      <c r="BG11" s="14">
        <v>4.6787941828370094E-3</v>
      </c>
      <c r="BH11" s="23">
        <v>1.2517157942056656E-2</v>
      </c>
      <c r="BI11"/>
      <c r="BJ11" s="11">
        <v>1.0700505299610086E-5</v>
      </c>
      <c r="BK11"/>
      <c r="BL11"/>
      <c r="BM11"/>
      <c r="BN11" s="11">
        <v>1.9710767082870007E-3</v>
      </c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2.0190000534057617</v>
      </c>
      <c r="C12">
        <v>0.10663460940122604</v>
      </c>
      <c r="D12" s="11">
        <v>1.7992291832342744E-3</v>
      </c>
      <c r="E12" s="11">
        <v>4.2813799154828303E-6</v>
      </c>
      <c r="F12" s="11">
        <v>5.557972690439783E-5</v>
      </c>
      <c r="G12" s="11">
        <v>4.3263290194772708E-7</v>
      </c>
      <c r="H12"/>
      <c r="I12"/>
      <c r="J12" s="14">
        <v>3.0029946938157082E-3</v>
      </c>
      <c r="K12"/>
      <c r="L12"/>
      <c r="M12"/>
      <c r="N12"/>
      <c r="O12"/>
      <c r="P12"/>
      <c r="Q12"/>
      <c r="R12" s="310">
        <v>0.36550655961036682</v>
      </c>
      <c r="S12" s="110">
        <v>0.36795362830162048</v>
      </c>
      <c r="T12" s="76">
        <v>0.15858353674411774</v>
      </c>
      <c r="U12" s="12">
        <v>6.0496032238006592E-3</v>
      </c>
      <c r="V12"/>
      <c r="W12" s="311">
        <v>0.80801540613174438</v>
      </c>
      <c r="X12" s="270">
        <v>0.10495798289775848</v>
      </c>
      <c r="Y12"/>
      <c r="Z12" s="14">
        <v>4.2056641541421413E-3</v>
      </c>
      <c r="AA12" s="11">
        <v>8.267934899777174E-4</v>
      </c>
      <c r="AB12"/>
      <c r="AC12"/>
      <c r="AD12"/>
      <c r="AE12"/>
      <c r="AF12"/>
      <c r="AG12" s="14">
        <v>3.4799233544617891E-3</v>
      </c>
      <c r="AH12" s="11">
        <v>1.0131894377991557E-3</v>
      </c>
      <c r="AI12" s="11">
        <v>4.6898104483261704E-4</v>
      </c>
      <c r="AJ12" s="11">
        <v>5.6599841627757996E-5</v>
      </c>
      <c r="AK12" s="11">
        <v>1.9073662826940563E-7</v>
      </c>
      <c r="AL12" s="11">
        <v>8.2208052845089696E-6</v>
      </c>
      <c r="AM12" s="11">
        <v>4.9147935351356864E-4</v>
      </c>
      <c r="AN12" s="11">
        <v>5.3446367383003235E-4</v>
      </c>
      <c r="AO12" s="11">
        <v>3.6469934275373816E-4</v>
      </c>
      <c r="AP12" s="11">
        <v>1.8090895537170582E-5</v>
      </c>
      <c r="AQ12" s="11">
        <v>5.5765045544831082E-5</v>
      </c>
      <c r="AR12"/>
      <c r="AS12" s="11">
        <v>2.5900374748744071E-4</v>
      </c>
      <c r="AT12" s="11">
        <v>9.1538712149485946E-4</v>
      </c>
      <c r="AU12" s="11">
        <v>1.84726866427809E-3</v>
      </c>
      <c r="AV12" s="14">
        <v>2.7121112216264009E-3</v>
      </c>
      <c r="AW12" s="11">
        <v>2.5479911710135639E-4</v>
      </c>
      <c r="AX12" s="148">
        <v>5.847318097949028E-2</v>
      </c>
      <c r="AY12"/>
      <c r="AZ12" s="11">
        <v>5.5069196969270706E-4</v>
      </c>
      <c r="BA12" s="11">
        <v>5.0627288874238729E-4</v>
      </c>
      <c r="BB12" s="11">
        <v>1.5968871302902699E-3</v>
      </c>
      <c r="BC12"/>
      <c r="BD12"/>
      <c r="BE12" s="14">
        <v>2.3299055173993111E-3</v>
      </c>
      <c r="BF12" s="23">
        <v>9.9758822470903397E-3</v>
      </c>
      <c r="BG12" s="11">
        <v>8.9487562945578247E-5</v>
      </c>
      <c r="BH12" s="11">
        <v>1.7941335681825876E-3</v>
      </c>
      <c r="BI12"/>
      <c r="BJ12" s="11">
        <v>6.3512830820400268E-5</v>
      </c>
      <c r="BK12" s="11">
        <v>1.6892076018848456E-5</v>
      </c>
      <c r="BL12"/>
      <c r="BM12"/>
      <c r="BN12" s="14">
        <v>3.5265905316919088E-3</v>
      </c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3.937999963760376</v>
      </c>
      <c r="C13">
        <v>3.142174243927002</v>
      </c>
      <c r="D13" s="11">
        <v>7.1132596349343657E-4</v>
      </c>
      <c r="E13" s="11">
        <v>1.2515186099335551E-3</v>
      </c>
      <c r="F13" s="11">
        <v>8.2444443251006305E-5</v>
      </c>
      <c r="G13" s="11">
        <v>9.2092091108497698E-7</v>
      </c>
      <c r="H13"/>
      <c r="I13"/>
      <c r="J13" s="11">
        <v>2.6877522468566895E-3</v>
      </c>
      <c r="K13"/>
      <c r="L13"/>
      <c r="M13"/>
      <c r="N13"/>
      <c r="O13"/>
      <c r="P13"/>
      <c r="Q13"/>
      <c r="R13" s="24">
        <v>0.11114200204610825</v>
      </c>
      <c r="S13" s="67">
        <v>0.23187126219272614</v>
      </c>
      <c r="T13" s="148">
        <v>0.11757101863622665</v>
      </c>
      <c r="U13" s="17">
        <v>5.6672565639019012E-2</v>
      </c>
      <c r="V13"/>
      <c r="W13" s="251">
        <v>0.19070087373256683</v>
      </c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 s="11">
        <v>4.8705835069995373E-5</v>
      </c>
      <c r="AM13"/>
      <c r="AN13" s="14">
        <v>6.3479393720626831E-3</v>
      </c>
      <c r="AO13" s="11">
        <v>3.6096767871640623E-4</v>
      </c>
      <c r="AP13"/>
      <c r="AQ13"/>
      <c r="AR13"/>
      <c r="AS13" s="14">
        <v>4.9081891775131226E-3</v>
      </c>
      <c r="AT13" s="17">
        <v>5.4830275475978851E-2</v>
      </c>
      <c r="AU13" s="11">
        <v>9.2177989427000284E-4</v>
      </c>
      <c r="AV13" s="11">
        <v>3.6916835233569145E-3</v>
      </c>
      <c r="AW13" s="11">
        <v>1.955835847184062E-3</v>
      </c>
      <c r="AX13" s="11">
        <v>3.7394736427813768E-3</v>
      </c>
      <c r="AY13"/>
      <c r="AZ13"/>
      <c r="BA13"/>
      <c r="BB13" s="11">
        <v>1.1564976011868566E-4</v>
      </c>
      <c r="BC13"/>
      <c r="BD13"/>
      <c r="BE13" s="11">
        <v>3.4590982832014561E-3</v>
      </c>
      <c r="BF13"/>
      <c r="BG13" s="11">
        <v>2.6571567286737263E-4</v>
      </c>
      <c r="BH13" s="11">
        <v>2.4587670341134071E-3</v>
      </c>
      <c r="BI13"/>
      <c r="BJ13" s="11">
        <v>2.9777183954138309E-5</v>
      </c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1.8980000019073486</v>
      </c>
      <c r="C14">
        <v>0.695456862449646</v>
      </c>
      <c r="D14" s="14">
        <v>2.51202960498631E-3</v>
      </c>
      <c r="E14" s="14">
        <v>2.1054078824818134E-3</v>
      </c>
      <c r="F14" s="66">
        <v>7.8178942203521729E-2</v>
      </c>
      <c r="G14" s="11">
        <v>8.8617605797480792E-5</v>
      </c>
      <c r="H14"/>
      <c r="I14"/>
      <c r="J14" s="22">
        <v>1.3172823004424572E-2</v>
      </c>
      <c r="K14"/>
      <c r="L14"/>
      <c r="M14"/>
      <c r="N14"/>
      <c r="O14"/>
      <c r="P14"/>
      <c r="Q14"/>
      <c r="R14" s="270">
        <v>9.8737969994544983E-2</v>
      </c>
      <c r="S14" s="299">
        <v>0.14232048392295837</v>
      </c>
      <c r="T14" s="15">
        <v>1.9309338182210922E-2</v>
      </c>
      <c r="U14" s="307">
        <v>0.20655098557472229</v>
      </c>
      <c r="V14"/>
      <c r="W14" s="11">
        <v>5.4185499902814627E-4</v>
      </c>
      <c r="X14"/>
      <c r="Y14" s="11">
        <v>3.6775387707166374E-4</v>
      </c>
      <c r="Z14" s="17">
        <v>2.4961898103356361E-2</v>
      </c>
      <c r="AA14" s="14">
        <v>3.9799483492970467E-3</v>
      </c>
      <c r="AB14"/>
      <c r="AC14"/>
      <c r="AD14"/>
      <c r="AE14"/>
      <c r="AF14"/>
      <c r="AG14" s="22">
        <v>1.4774403534829617E-2</v>
      </c>
      <c r="AH14" s="11">
        <v>9.6324904006905854E-5</v>
      </c>
      <c r="AI14" s="11">
        <v>1.604481803951785E-5</v>
      </c>
      <c r="AJ14" s="14">
        <v>4.4176233932375908E-3</v>
      </c>
      <c r="AK14" s="11">
        <v>8.5319741629064083E-5</v>
      </c>
      <c r="AL14" s="11">
        <v>9.091069659916684E-5</v>
      </c>
      <c r="AM14" s="14">
        <v>3.6949673667550087E-3</v>
      </c>
      <c r="AN14" s="18">
        <v>2.0619336515665054E-2</v>
      </c>
      <c r="AO14" s="14">
        <v>5.0507364794611931E-3</v>
      </c>
      <c r="AP14" s="14">
        <v>4.5660301111638546E-3</v>
      </c>
      <c r="AQ14" s="11">
        <v>1.0725617175921798E-3</v>
      </c>
      <c r="AR14"/>
      <c r="AS14" s="14">
        <v>1.9189710728824139E-3</v>
      </c>
      <c r="AT14" s="23">
        <v>9.3263536691665649E-3</v>
      </c>
      <c r="AU14" s="11">
        <v>1.2320940149948001E-3</v>
      </c>
      <c r="AV14" s="23">
        <v>1.0401906445622444E-2</v>
      </c>
      <c r="AW14" s="14">
        <v>5.1498026587069035E-3</v>
      </c>
      <c r="AX14" s="15">
        <v>1.806863397359848E-2</v>
      </c>
      <c r="AY14"/>
      <c r="AZ14" s="22">
        <v>1.4163609594106674E-2</v>
      </c>
      <c r="BA14" s="14">
        <v>3.527472959831357E-3</v>
      </c>
      <c r="BB14" s="11">
        <v>1.1558547848835588E-3</v>
      </c>
      <c r="BC14" s="11">
        <v>1.8170467810705304E-3</v>
      </c>
      <c r="BD14" s="12">
        <v>7.5593292713165283E-3</v>
      </c>
      <c r="BE14" s="301">
        <v>0.2143448144197464</v>
      </c>
      <c r="BF14" s="24">
        <v>5.3433295339345932E-2</v>
      </c>
      <c r="BG14" s="25">
        <v>5.7893838733434677E-2</v>
      </c>
      <c r="BH14" s="271">
        <v>0.15345099568367004</v>
      </c>
      <c r="BI14"/>
      <c r="BJ14" s="11">
        <v>1.2565599172376096E-4</v>
      </c>
      <c r="BK14"/>
      <c r="BL14"/>
      <c r="BM14"/>
      <c r="BN14" s="11">
        <v>1.6612217295914888E-3</v>
      </c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1</v>
      </c>
      <c r="C15">
        <v>0.50234484672546387</v>
      </c>
      <c r="D15" s="11">
        <v>5.1530611244743341E-7</v>
      </c>
      <c r="E15" s="16">
        <v>1.6248296946287155E-2</v>
      </c>
      <c r="F15" s="11">
        <v>3.5639130510389805E-4</v>
      </c>
      <c r="G15" s="11">
        <v>1.9183673884981545E-6</v>
      </c>
      <c r="H15"/>
      <c r="I15"/>
      <c r="J15" s="11">
        <v>1.6530611901544034E-6</v>
      </c>
      <c r="K15"/>
      <c r="L15"/>
      <c r="M15"/>
      <c r="N15"/>
      <c r="O15"/>
      <c r="P15"/>
      <c r="Q15"/>
      <c r="R15"/>
      <c r="S15"/>
      <c r="T15"/>
      <c r="U15"/>
      <c r="V15"/>
      <c r="W15"/>
      <c r="X15" s="23">
        <v>5.7199178263545036E-3</v>
      </c>
      <c r="Y15" s="14">
        <v>1.4733612770214677E-3</v>
      </c>
      <c r="Z15" s="277">
        <v>0.15139278769493103</v>
      </c>
      <c r="AA15" s="12">
        <v>3.4257182851433754E-3</v>
      </c>
      <c r="AB15"/>
      <c r="AC15"/>
      <c r="AD15"/>
      <c r="AE15"/>
      <c r="AF15"/>
      <c r="AG15" s="18">
        <v>1.1070174165070057E-2</v>
      </c>
      <c r="AH15" s="11">
        <v>8.9230923913419247E-4</v>
      </c>
      <c r="AI15" s="11">
        <v>4.4554463238455355E-4</v>
      </c>
      <c r="AJ15" s="11">
        <v>6.5280013950541615E-4</v>
      </c>
      <c r="AK15" s="11">
        <v>1.2798738316632807E-4</v>
      </c>
      <c r="AL15" s="11">
        <v>1.0541733900026884E-5</v>
      </c>
      <c r="AM15" s="14">
        <v>2.2314665839076042E-3</v>
      </c>
      <c r="AN15" s="14">
        <v>1.2133143609389663E-3</v>
      </c>
      <c r="AO15"/>
      <c r="AP15" s="65">
        <v>2.2279275581240654E-2</v>
      </c>
      <c r="AQ15" s="259">
        <v>2.3428443819284439E-2</v>
      </c>
      <c r="AR15" s="16">
        <v>1.4731456525623798E-2</v>
      </c>
      <c r="AS15" s="12">
        <v>3.9088367484509945E-3</v>
      </c>
      <c r="AT15" s="23">
        <v>5.7829520665109158E-3</v>
      </c>
      <c r="AU15" s="15">
        <v>1.0449236258864403E-2</v>
      </c>
      <c r="AV15" s="17">
        <v>1.4363083057105541E-2</v>
      </c>
      <c r="AW15" s="14">
        <v>1.5495795523747802E-3</v>
      </c>
      <c r="AX15" s="16">
        <v>1.6486059874296188E-2</v>
      </c>
      <c r="AY15" s="290">
        <v>0.11158805340528488</v>
      </c>
      <c r="AZ15" s="14">
        <v>2.5003100745379925E-3</v>
      </c>
      <c r="BA15" s="14">
        <v>2.4985158815979958E-3</v>
      </c>
      <c r="BB15" s="11">
        <v>5.3051376016810536E-4</v>
      </c>
      <c r="BC15" s="14">
        <v>1.7669230001047254E-3</v>
      </c>
      <c r="BD15" s="14">
        <v>1.8924970645457506E-3</v>
      </c>
      <c r="BE15" s="245">
        <v>3.3057764172554016E-2</v>
      </c>
      <c r="BF15" s="17">
        <v>1.4361372217535973E-2</v>
      </c>
      <c r="BG15" s="18">
        <v>1.2189029715955257E-2</v>
      </c>
      <c r="BH15" s="22">
        <v>8.1459153443574905E-3</v>
      </c>
      <c r="BI15"/>
      <c r="BJ15"/>
      <c r="BK15"/>
      <c r="BL15"/>
      <c r="BM15"/>
      <c r="BN15"/>
      <c r="BO15"/>
      <c r="BP15" s="11">
        <v>8.8061974383890629E-4</v>
      </c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0.64999997615814209</v>
      </c>
      <c r="C16">
        <v>0.16310523450374603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 s="282">
        <v>5.4407466202974319E-2</v>
      </c>
      <c r="AK16" s="11">
        <v>4.0515809087082744E-4</v>
      </c>
      <c r="AL16"/>
      <c r="AM16"/>
      <c r="AN16"/>
      <c r="AO16"/>
      <c r="AP16"/>
      <c r="AQ16"/>
      <c r="AR16"/>
      <c r="AS16" s="65">
        <v>1.4131903648376465E-2</v>
      </c>
      <c r="AT16" s="17">
        <v>8.334585465490818E-3</v>
      </c>
      <c r="AU16"/>
      <c r="AV16" s="11">
        <v>1.4265539903135505E-5</v>
      </c>
      <c r="AW16"/>
      <c r="AX16" s="11">
        <v>2.2224974236451089E-4</v>
      </c>
      <c r="AY16"/>
      <c r="AZ16"/>
      <c r="BA16"/>
      <c r="BB16"/>
      <c r="BC16" s="14">
        <v>9.1739546041935682E-4</v>
      </c>
      <c r="BD16"/>
      <c r="BE16" s="302">
        <v>0.27133879065513611</v>
      </c>
      <c r="BF16"/>
      <c r="BG16" s="22">
        <v>5.2738403901457787E-3</v>
      </c>
      <c r="BH16" s="26">
        <v>1.6266943886876106E-2</v>
      </c>
      <c r="BI16" s="292">
        <v>3.7255816161632538E-2</v>
      </c>
      <c r="BJ16"/>
      <c r="BK16" s="11">
        <v>4.5250618131831288E-4</v>
      </c>
      <c r="BL16"/>
      <c r="BM16"/>
      <c r="BN16" s="25">
        <v>1.9793841987848282E-2</v>
      </c>
      <c r="BO16" s="280">
        <v>5.8079980313777924E-2</v>
      </c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0.62000000476837158</v>
      </c>
      <c r="C17">
        <v>0.23902930319309235</v>
      </c>
      <c r="D17" s="11">
        <v>1.0167838627239689E-4</v>
      </c>
      <c r="E17" s="70">
        <v>3.1030604615807533E-2</v>
      </c>
      <c r="F17" s="11">
        <v>7.9366705904249102E-5</v>
      </c>
      <c r="G17" s="11">
        <v>2.1960498997941613E-5</v>
      </c>
      <c r="H17" s="254">
        <v>2.4445600807666779E-2</v>
      </c>
      <c r="I17"/>
      <c r="J17" s="14">
        <v>7.2926754364743829E-4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 s="11">
        <v>1.162852731795283E-5</v>
      </c>
      <c r="AB17"/>
      <c r="AC17"/>
      <c r="AD17"/>
      <c r="AE17"/>
      <c r="AF17" s="294">
        <v>5.4212592542171478E-2</v>
      </c>
      <c r="AG17"/>
      <c r="AH17"/>
      <c r="AI17"/>
      <c r="AJ17" s="11">
        <v>5.081940907984972E-4</v>
      </c>
      <c r="AK17" s="15">
        <v>6.4383046701550484E-3</v>
      </c>
      <c r="AL17" s="259">
        <v>1.513313315808773E-2</v>
      </c>
      <c r="AM17"/>
      <c r="AN17" s="16">
        <v>9.2110829427838326E-3</v>
      </c>
      <c r="AO17" s="21">
        <v>1.160404272377491E-2</v>
      </c>
      <c r="AP17"/>
      <c r="AQ17"/>
      <c r="AR17"/>
      <c r="AS17" s="21">
        <v>1.1712542735040188E-2</v>
      </c>
      <c r="AT17" s="145">
        <v>6.1852749437093735E-2</v>
      </c>
      <c r="AU17"/>
      <c r="AV17" s="18">
        <v>7.6619619503617287E-3</v>
      </c>
      <c r="AW17" s="17">
        <v>8.6005814373493195E-3</v>
      </c>
      <c r="AX17" s="13">
        <v>2.3330623283982277E-2</v>
      </c>
      <c r="AY17" s="14">
        <v>1.5415843809023499E-3</v>
      </c>
      <c r="AZ17"/>
      <c r="BA17"/>
      <c r="BB17" s="11">
        <v>5.5938562582014129E-5</v>
      </c>
      <c r="BC17"/>
      <c r="BD17" s="19">
        <v>1.1432782746851444E-2</v>
      </c>
      <c r="BE17" s="66">
        <v>2.564767561852932E-2</v>
      </c>
      <c r="BF17"/>
      <c r="BG17" s="16">
        <v>9.3844877555966377E-3</v>
      </c>
      <c r="BH17" s="12">
        <v>2.0222945604473352E-3</v>
      </c>
      <c r="BI17" s="22">
        <v>5.2516874857246876E-3</v>
      </c>
      <c r="BJ17" s="14">
        <v>6.6990999039262533E-4</v>
      </c>
      <c r="BK17" s="11">
        <v>2.3661791055928916E-4</v>
      </c>
      <c r="BL17" s="26">
        <v>1.6024542972445488E-2</v>
      </c>
      <c r="BM17" s="18">
        <v>7.3079215362668037E-3</v>
      </c>
      <c r="BN17" s="23">
        <v>3.6178296431899071E-3</v>
      </c>
      <c r="BO17" s="29">
        <v>2.869541198015213E-2</v>
      </c>
      <c r="BP17" s="12">
        <v>2.396030817180872E-3</v>
      </c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1.2999999523162842</v>
      </c>
      <c r="C18">
        <v>0.12580771744251251</v>
      </c>
      <c r="D18"/>
      <c r="E18" s="14">
        <v>1.9987893756479025E-3</v>
      </c>
      <c r="F18" s="11">
        <v>2.1315790945664048E-5</v>
      </c>
      <c r="G18" s="26">
        <v>3.4287277609109879E-2</v>
      </c>
      <c r="H18" s="14">
        <v>1.8990396056324244E-3</v>
      </c>
      <c r="I18"/>
      <c r="J18" s="21">
        <v>2.642759308218956E-2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76">
        <v>0.10122942179441452</v>
      </c>
      <c r="AG18"/>
      <c r="AH18"/>
      <c r="AI18"/>
      <c r="AJ18"/>
      <c r="AK18" s="16">
        <v>2.0132070407271385E-2</v>
      </c>
      <c r="AL18" s="21">
        <v>2.5019075721502304E-2</v>
      </c>
      <c r="AM18" s="24">
        <v>3.6512833088636398E-2</v>
      </c>
      <c r="AN18" s="296">
        <v>0.1257144957780838</v>
      </c>
      <c r="AO18" s="64">
        <v>7.0430777966976166E-2</v>
      </c>
      <c r="AP18"/>
      <c r="AQ18" s="23">
        <v>8.6896289139986038E-3</v>
      </c>
      <c r="AR18" s="11">
        <v>6.0731836128979921E-4</v>
      </c>
      <c r="AS18" s="14">
        <v>2.8581330552697182E-3</v>
      </c>
      <c r="AT18" s="70">
        <v>6.5558016300201416E-2</v>
      </c>
      <c r="AU18"/>
      <c r="AV18" s="14">
        <v>2.068717498332262E-3</v>
      </c>
      <c r="AW18" s="15">
        <v>1.3984589837491512E-2</v>
      </c>
      <c r="AX18" s="23">
        <v>6.3818078488111496E-3</v>
      </c>
      <c r="AY18" s="78">
        <v>8.4285028278827667E-2</v>
      </c>
      <c r="AZ18"/>
      <c r="BA18"/>
      <c r="BB18"/>
      <c r="BC18"/>
      <c r="BD18" s="24">
        <v>3.501477837562561E-2</v>
      </c>
      <c r="BE18" s="255">
        <v>0.15866038203239441</v>
      </c>
      <c r="BF18"/>
      <c r="BG18" s="254">
        <v>5.0164088606834412E-2</v>
      </c>
      <c r="BH18" s="18">
        <v>1.6163861379027367E-2</v>
      </c>
      <c r="BI18" s="259">
        <v>2.9557971283793449E-2</v>
      </c>
      <c r="BJ18" s="12">
        <v>5.8788051828742027E-3</v>
      </c>
      <c r="BK18" s="11">
        <v>7.3339574737474322E-4</v>
      </c>
      <c r="BL18" s="294">
        <v>0.11354953795671463</v>
      </c>
      <c r="BM18" s="64">
        <v>7.0450417697429657E-2</v>
      </c>
      <c r="BN18"/>
      <c r="BO18" s="20">
        <v>5.7330254465341568E-2</v>
      </c>
      <c r="BP18" s="23">
        <v>8.5828593000769615E-3</v>
      </c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1.5</v>
      </c>
      <c r="C19">
        <v>0.69563215970993042</v>
      </c>
      <c r="D19"/>
      <c r="E19"/>
      <c r="F19"/>
      <c r="G19"/>
      <c r="H19" s="12">
        <v>6.4946445636451244E-3</v>
      </c>
      <c r="I19"/>
      <c r="J19"/>
      <c r="K19"/>
      <c r="L19"/>
      <c r="M19"/>
      <c r="N19"/>
      <c r="O19"/>
      <c r="P19" s="297">
        <v>0.22304338216781616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 s="64">
        <v>8.2940250635147095E-2</v>
      </c>
      <c r="AK19" s="17">
        <v>2.0034657791256905E-2</v>
      </c>
      <c r="AL19" s="11">
        <v>1.2468300992622972E-3</v>
      </c>
      <c r="AM19" s="66">
        <v>6.3077010214328766E-2</v>
      </c>
      <c r="AN19" s="250">
        <v>0.17449267208576202</v>
      </c>
      <c r="AO19" s="264">
        <v>6.9113992154598236E-2</v>
      </c>
      <c r="AP19"/>
      <c r="AQ19" s="24">
        <v>3.9709005504846573E-2</v>
      </c>
      <c r="AR19" s="14">
        <v>3.0420531984418631E-3</v>
      </c>
      <c r="AS19" s="11">
        <v>2.9294920386746526E-4</v>
      </c>
      <c r="AT19" s="12">
        <v>5.2828909829258919E-3</v>
      </c>
      <c r="AU19"/>
      <c r="AV19" s="17">
        <v>1.9423237070441246E-2</v>
      </c>
      <c r="AW19"/>
      <c r="AX19"/>
      <c r="AY19"/>
      <c r="AZ19"/>
      <c r="BA19"/>
      <c r="BB19"/>
      <c r="BC19"/>
      <c r="BD19"/>
      <c r="BE19" s="14">
        <v>3.2787572126835585E-3</v>
      </c>
      <c r="BF19"/>
      <c r="BG19" s="22">
        <v>1.208940427750349E-2</v>
      </c>
      <c r="BH19" s="18">
        <v>1.7090918496251106E-2</v>
      </c>
      <c r="BI19"/>
      <c r="BJ19" s="11">
        <v>3.9514643140137196E-4</v>
      </c>
      <c r="BK19" s="11">
        <v>6.915301491972059E-5</v>
      </c>
      <c r="BL19" s="21">
        <v>3.078065998852253E-2</v>
      </c>
      <c r="BM19" s="12">
        <v>6.5864836797118187E-3</v>
      </c>
      <c r="BN19" s="11">
        <v>9.4529386842623353E-4</v>
      </c>
      <c r="BO19" s="16">
        <v>2.3272164165973663E-2</v>
      </c>
      <c r="BP19" s="14">
        <v>1.6663981368765235E-3</v>
      </c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0.93000000715255737</v>
      </c>
      <c r="C20">
        <v>0.46744713187217712</v>
      </c>
      <c r="D20"/>
      <c r="E20" s="11">
        <v>1.4847681450191885E-4</v>
      </c>
      <c r="F20" s="11">
        <v>1.958092070708517E-6</v>
      </c>
      <c r="G20" s="11">
        <v>3.8835042505525053E-4</v>
      </c>
      <c r="H20" s="267">
        <v>0.29611772298812866</v>
      </c>
      <c r="I20"/>
      <c r="J20" s="12">
        <v>3.1179736834019423E-3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 s="14">
        <v>2.1215570159256458E-3</v>
      </c>
      <c r="AL20" s="11">
        <v>6.1466940678656101E-4</v>
      </c>
      <c r="AM20"/>
      <c r="AN20" s="303">
        <v>6.4304538071155548E-2</v>
      </c>
      <c r="AO20" s="25">
        <v>2.8944525867700577E-2</v>
      </c>
      <c r="AP20"/>
      <c r="AQ20"/>
      <c r="AR20" s="11">
        <v>3.3927991171367466E-4</v>
      </c>
      <c r="AS20"/>
      <c r="AT20" s="13">
        <v>3.3781647682189941E-2</v>
      </c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 s="11">
        <v>2.1706457482650876E-4</v>
      </c>
      <c r="BK20" s="11">
        <v>3.7987614632584155E-5</v>
      </c>
      <c r="BL20" s="19">
        <v>1.6908645629882812E-2</v>
      </c>
      <c r="BM20" s="14">
        <v>1.8090662779286504E-3</v>
      </c>
      <c r="BN20"/>
      <c r="BO20" s="17">
        <v>1.2784025631844997E-2</v>
      </c>
      <c r="BP20" s="14">
        <v>9.1539730783551931E-4</v>
      </c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0.89999997615814209</v>
      </c>
      <c r="C21">
        <v>0.12855371832847595</v>
      </c>
      <c r="D21"/>
      <c r="E21" s="11">
        <v>8.7558873929083347E-4</v>
      </c>
      <c r="F21" s="11">
        <v>1.1547144822543487E-5</v>
      </c>
      <c r="G21" s="14">
        <v>2.2901571355760098E-3</v>
      </c>
      <c r="H21" s="113">
        <v>0.33662599325180054</v>
      </c>
      <c r="I21"/>
      <c r="J21" s="21">
        <v>1.8387129530310631E-2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 s="11">
        <v>7.8194518573582172E-4</v>
      </c>
      <c r="AL21" s="245">
        <v>2.9241058975458145E-2</v>
      </c>
      <c r="AM21"/>
      <c r="AN21" s="23">
        <v>4.8729460686445236E-3</v>
      </c>
      <c r="AO21" s="109">
        <v>0.15444108843803406</v>
      </c>
      <c r="AP21"/>
      <c r="AQ21"/>
      <c r="AR21" s="11">
        <v>4.5613931433763355E-5</v>
      </c>
      <c r="AS21"/>
      <c r="AT21" s="251">
        <v>4.4744469225406647E-2</v>
      </c>
      <c r="AU21"/>
      <c r="AV21"/>
      <c r="AW21" s="280">
        <v>8.1011585891246796E-2</v>
      </c>
      <c r="AX21"/>
      <c r="AY21"/>
      <c r="AZ21"/>
      <c r="BA21"/>
      <c r="BB21"/>
      <c r="BC21"/>
      <c r="BD21"/>
      <c r="BE21"/>
      <c r="BF21"/>
      <c r="BG21"/>
      <c r="BH21"/>
      <c r="BI21"/>
      <c r="BJ21" s="14">
        <v>1.0340785374864936E-3</v>
      </c>
      <c r="BK21" s="11">
        <v>2.2401830938179046E-4</v>
      </c>
      <c r="BL21" s="21">
        <v>1.8037701025605202E-2</v>
      </c>
      <c r="BM21"/>
      <c r="BN21"/>
      <c r="BO21" s="276">
        <v>7.3938675224781036E-2</v>
      </c>
      <c r="BP21" s="23">
        <v>4.8826807178556919E-3</v>
      </c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3</v>
      </c>
      <c r="C22">
        <v>0.73228991031646729</v>
      </c>
      <c r="D22"/>
      <c r="E22" s="11">
        <v>1.2241622471265146E-6</v>
      </c>
      <c r="F22"/>
      <c r="G22"/>
      <c r="H22"/>
      <c r="I22"/>
      <c r="J22" s="11">
        <v>1.396579477841442E-6</v>
      </c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 s="308">
        <v>0.40330755710601807</v>
      </c>
      <c r="AA22" s="11">
        <v>3.1131567084230483E-4</v>
      </c>
      <c r="AB22"/>
      <c r="AC22"/>
      <c r="AD22"/>
      <c r="AE22"/>
      <c r="AF22" s="254">
        <v>0.11851879209280014</v>
      </c>
      <c r="AG22"/>
      <c r="AH22"/>
      <c r="AI22" s="12">
        <v>1.1831013485789299E-2</v>
      </c>
      <c r="AJ22" s="72">
        <v>0.2120639979839325</v>
      </c>
      <c r="AK22" s="18">
        <v>3.4385804086923599E-2</v>
      </c>
      <c r="AL22" s="23">
        <v>1.5623875893652439E-2</v>
      </c>
      <c r="AM22" s="303">
        <v>0.20867046713829041</v>
      </c>
      <c r="AN22" s="271">
        <v>0.24293966591358185</v>
      </c>
      <c r="AO22" s="254">
        <v>0.11937563866376877</v>
      </c>
      <c r="AP22" s="301">
        <v>0.33862760663032532</v>
      </c>
      <c r="AQ22" s="296">
        <v>0.28928706049919128</v>
      </c>
      <c r="AR22" s="23">
        <v>1.853354275226593E-2</v>
      </c>
      <c r="AS22" s="11">
        <v>2.8320174897089601E-4</v>
      </c>
      <c r="AT22" s="12">
        <v>1.1421320028603077E-2</v>
      </c>
      <c r="AU22"/>
      <c r="AV22" s="11">
        <v>1.8570161728348467E-6</v>
      </c>
      <c r="AW22" s="11">
        <v>7.547457698819926E-7</v>
      </c>
      <c r="AX22"/>
      <c r="AY22"/>
      <c r="AZ22" s="12">
        <v>1.1282145045697689E-2</v>
      </c>
      <c r="BA22"/>
      <c r="BB22"/>
      <c r="BC22" s="14">
        <v>7.5465994887053967E-3</v>
      </c>
      <c r="BD22" s="15">
        <v>2.8513103723526001E-2</v>
      </c>
      <c r="BE22" s="15">
        <v>3.1280096620321274E-2</v>
      </c>
      <c r="BF22" s="18">
        <v>3.6399371922016144E-2</v>
      </c>
      <c r="BG22" s="11">
        <v>1.0297835106030107E-3</v>
      </c>
      <c r="BH22" s="11">
        <v>2.1175493020564318E-3</v>
      </c>
      <c r="BI22" s="11">
        <v>1.3243829598650336E-3</v>
      </c>
      <c r="BJ22" s="11">
        <v>8.0781197175383568E-4</v>
      </c>
      <c r="BK22" s="11">
        <v>1.3548143033403903E-4</v>
      </c>
      <c r="BL22" s="65">
        <v>6.3728109002113342E-2</v>
      </c>
      <c r="BM22" s="14">
        <v>6.7324899137020111E-3</v>
      </c>
      <c r="BN22" s="11">
        <v>6.4416578970849514E-4</v>
      </c>
      <c r="BO22" s="16">
        <v>4.7576099634170532E-2</v>
      </c>
      <c r="BP22" s="14">
        <v>3.406676696613431E-3</v>
      </c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0.38899999856948853</v>
      </c>
      <c r="C23">
        <v>1.2751254253089428E-3</v>
      </c>
      <c r="D23"/>
      <c r="E23" s="249">
        <v>5.9805970638990402E-2</v>
      </c>
      <c r="F23" s="11">
        <v>2.9715763503190828E-6</v>
      </c>
      <c r="G23" s="14">
        <v>7.3644827352836728E-4</v>
      </c>
      <c r="H23" s="23">
        <v>2.2077728062868118E-3</v>
      </c>
      <c r="I23" s="17">
        <v>5.1100309938192368E-3</v>
      </c>
      <c r="J23" s="23">
        <v>2.2014870774000883E-3</v>
      </c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 s="11">
        <v>2.6285086642019451E-4</v>
      </c>
      <c r="AL23" s="17">
        <v>5.0389026291668415E-3</v>
      </c>
      <c r="AM23"/>
      <c r="AN23" s="22">
        <v>3.0072464141994715E-3</v>
      </c>
      <c r="AO23" s="25">
        <v>1.1919031850993633E-2</v>
      </c>
      <c r="AP23" s="22">
        <v>2.708702813833952E-3</v>
      </c>
      <c r="AQ23"/>
      <c r="AR23"/>
      <c r="AS23" s="292">
        <v>2.2339591756463051E-2</v>
      </c>
      <c r="AT23" s="295">
        <v>5.3661491721868515E-2</v>
      </c>
      <c r="AU23"/>
      <c r="AV23" s="12">
        <v>1.6258860705420375E-3</v>
      </c>
      <c r="AW23" s="12">
        <v>1.2623919174075127E-3</v>
      </c>
      <c r="AX23" s="149">
        <v>2.379922941327095E-2</v>
      </c>
      <c r="AY23" s="287">
        <v>8.2459099590778351E-2</v>
      </c>
      <c r="AZ23"/>
      <c r="BA23"/>
      <c r="BB23"/>
      <c r="BC23"/>
      <c r="BD23" s="259">
        <v>9.3689262866973877E-3</v>
      </c>
      <c r="BE23" s="66">
        <v>1.574256643652916E-2</v>
      </c>
      <c r="BF23"/>
      <c r="BG23" s="18">
        <v>4.3270569294691086E-3</v>
      </c>
      <c r="BH23"/>
      <c r="BI23"/>
      <c r="BJ23" s="12">
        <v>1.154919620603323E-3</v>
      </c>
      <c r="BK23" s="14">
        <v>5.9089536080136895E-4</v>
      </c>
      <c r="BL23" s="66">
        <v>1.6151601448655128E-2</v>
      </c>
      <c r="BM23" s="245">
        <v>1.2733095325529575E-2</v>
      </c>
      <c r="BN23" s="299">
        <v>2.8961919248104095E-2</v>
      </c>
      <c r="BO23" s="20">
        <v>1.6636135056614876E-2</v>
      </c>
      <c r="BP23" s="15">
        <v>3.9086542092263699E-3</v>
      </c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0.97899997234344482</v>
      </c>
      <c r="C24">
        <v>0.16970542073249817</v>
      </c>
      <c r="D24" s="11">
        <v>5.9039548432338051E-6</v>
      </c>
      <c r="E24" s="250">
        <v>0.11391045153141022</v>
      </c>
      <c r="F24" s="11">
        <v>9.2372874860302545E-6</v>
      </c>
      <c r="G24" s="11">
        <v>1.8173257558373734E-5</v>
      </c>
      <c r="H24"/>
      <c r="I24"/>
      <c r="J24" s="11">
        <v>9.0672035003080964E-4</v>
      </c>
      <c r="K24"/>
      <c r="L24"/>
      <c r="M24"/>
      <c r="N24"/>
      <c r="O24"/>
      <c r="P24" s="17">
        <v>1.3800886459648609E-2</v>
      </c>
      <c r="Q24"/>
      <c r="R24"/>
      <c r="S24"/>
      <c r="T24"/>
      <c r="U24"/>
      <c r="V24"/>
      <c r="W24"/>
      <c r="X24"/>
      <c r="Y24"/>
      <c r="Z24"/>
      <c r="AA24" s="11">
        <v>4.5264201617101207E-5</v>
      </c>
      <c r="AB24"/>
      <c r="AC24"/>
      <c r="AD24"/>
      <c r="AE24"/>
      <c r="AF24" s="148">
        <v>2.9064461588859558E-2</v>
      </c>
      <c r="AG24" s="23">
        <v>5.4084691219031811E-3</v>
      </c>
      <c r="AH24" s="16">
        <v>1.5060113742947578E-2</v>
      </c>
      <c r="AI24" s="14">
        <v>2.1865509916096926E-3</v>
      </c>
      <c r="AJ24"/>
      <c r="AK24" s="19">
        <v>1.7313502728939056E-2</v>
      </c>
      <c r="AL24" s="21">
        <v>1.9335735589265823E-2</v>
      </c>
      <c r="AM24" s="11">
        <v>8.2366750575602055E-4</v>
      </c>
      <c r="AN24" s="65">
        <v>2.2056542336940765E-2</v>
      </c>
      <c r="AO24" s="13">
        <v>3.7258502095937729E-2</v>
      </c>
      <c r="AP24" s="14">
        <v>1.6102165682241321E-3</v>
      </c>
      <c r="AQ24" s="19">
        <v>1.8119590356945992E-2</v>
      </c>
      <c r="AR24" s="14">
        <v>1.994796097278595E-3</v>
      </c>
      <c r="AS24" s="254">
        <v>3.7501424551010132E-2</v>
      </c>
      <c r="AT24"/>
      <c r="AU24"/>
      <c r="AV24" s="14">
        <v>1.6218420350924134E-3</v>
      </c>
      <c r="AW24" s="14">
        <v>1.0072822915390134E-3</v>
      </c>
      <c r="AX24" s="12">
        <v>3.0779037624597549E-3</v>
      </c>
      <c r="AY24" s="68">
        <v>6.0639023780822754E-2</v>
      </c>
      <c r="AZ24" s="22">
        <v>7.6908520422875881E-3</v>
      </c>
      <c r="BA24"/>
      <c r="BB24"/>
      <c r="BC24" s="17">
        <v>1.2978780083358288E-2</v>
      </c>
      <c r="BD24" s="251">
        <v>4.8025239259004593E-2</v>
      </c>
      <c r="BE24" s="305">
        <v>0.11565700173377991</v>
      </c>
      <c r="BF24" s="259">
        <v>2.2427298128604889E-2</v>
      </c>
      <c r="BG24" s="21">
        <v>1.9151298329234123E-2</v>
      </c>
      <c r="BH24" s="20">
        <v>4.2788803577423096E-2</v>
      </c>
      <c r="BI24" s="18">
        <v>1.1670597828924656E-2</v>
      </c>
      <c r="BJ24" s="14">
        <v>1.1323721846565604E-3</v>
      </c>
      <c r="BK24" s="11">
        <v>6.6037877695634961E-4</v>
      </c>
      <c r="BL24" s="65">
        <v>2.0364841446280479E-2</v>
      </c>
      <c r="BM24"/>
      <c r="BN24" s="22">
        <v>8.4431339055299759E-3</v>
      </c>
      <c r="BO24" s="69">
        <v>9.0994119644165039E-2</v>
      </c>
      <c r="BP24" s="12">
        <v>4.5335902832448483E-3</v>
      </c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>
        <v>1.2699999809265137</v>
      </c>
      <c r="C25">
        <v>0.73949539661407471</v>
      </c>
      <c r="D25"/>
      <c r="E25" s="22">
        <v>1.0039706714451313E-2</v>
      </c>
      <c r="F25" s="11">
        <v>1.3585745364252944E-6</v>
      </c>
      <c r="G25" s="11">
        <v>2.5832626852206886E-4</v>
      </c>
      <c r="H25"/>
      <c r="I25"/>
      <c r="J25" s="11">
        <v>5.4076168453320861E-4</v>
      </c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 s="78">
        <v>8.2088656723499298E-2</v>
      </c>
      <c r="AH25"/>
      <c r="AI25"/>
      <c r="AJ25"/>
      <c r="AK25" s="15">
        <v>1.3125699013471603E-2</v>
      </c>
      <c r="AL25" s="65">
        <v>2.855718694627285E-2</v>
      </c>
      <c r="AM25"/>
      <c r="AN25" s="65">
        <v>2.6457268744707108E-2</v>
      </c>
      <c r="AO25" s="17">
        <v>1.6795281320810318E-2</v>
      </c>
      <c r="AP25" s="11">
        <v>4.0510112739866599E-5</v>
      </c>
      <c r="AQ25" s="23">
        <v>6.8303369916975498E-3</v>
      </c>
      <c r="AR25" s="14">
        <v>2.0807189866900444E-3</v>
      </c>
      <c r="AS25" s="12">
        <v>5.3012082353234291E-3</v>
      </c>
      <c r="AT25" s="19">
        <v>2.2122042253613472E-2</v>
      </c>
      <c r="AU25"/>
      <c r="AV25" s="11">
        <v>5.4341551731340587E-5</v>
      </c>
      <c r="AW25" s="11">
        <v>7.8046723501756787E-4</v>
      </c>
      <c r="AX25" s="14">
        <v>2.1577924489974976E-3</v>
      </c>
      <c r="AY25" s="19">
        <v>2.1791648119688034E-2</v>
      </c>
      <c r="AZ25" s="12">
        <v>5.4572471417486668E-3</v>
      </c>
      <c r="BA25"/>
      <c r="BB25"/>
      <c r="BC25" s="11">
        <v>4.6278416994027793E-4</v>
      </c>
      <c r="BD25" s="24">
        <v>3.3733375370502472E-2</v>
      </c>
      <c r="BE25" s="67">
        <v>7.5038895010948181E-2</v>
      </c>
      <c r="BF25"/>
      <c r="BG25" s="15">
        <v>1.2415257282555103E-2</v>
      </c>
      <c r="BH25" s="22">
        <v>9.5735834911465645E-3</v>
      </c>
      <c r="BI25" s="16">
        <v>1.9946077838540077E-2</v>
      </c>
      <c r="BJ25" s="11">
        <v>9.9785346537828445E-4</v>
      </c>
      <c r="BK25" s="11">
        <v>1.1261254549026489E-3</v>
      </c>
      <c r="BL25" s="16">
        <v>1.9146675243973732E-2</v>
      </c>
      <c r="BM25" s="17">
        <v>1.7043329775333405E-2</v>
      </c>
      <c r="BN25" s="21">
        <v>2.4962721392512321E-2</v>
      </c>
      <c r="BO25" s="270">
        <v>6.8210780620574951E-2</v>
      </c>
      <c r="BP25" s="14">
        <v>3.3665376249700785E-3</v>
      </c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>
        <v>0.97000002861022949</v>
      </c>
      <c r="C26">
        <v>0.11040900647640228</v>
      </c>
      <c r="D26"/>
      <c r="E26" s="11">
        <v>1.3793104153592139E-4</v>
      </c>
      <c r="F26" s="11">
        <v>7.172414188971743E-5</v>
      </c>
      <c r="G26" s="16">
        <v>1.4921997673809528E-2</v>
      </c>
      <c r="H26"/>
      <c r="I26"/>
      <c r="J26" s="17">
        <v>1.3652007095515728E-2</v>
      </c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 s="23">
        <v>5.1622344180941582E-3</v>
      </c>
      <c r="AA26" s="17">
        <v>1.2391746044158936E-2</v>
      </c>
      <c r="AB26"/>
      <c r="AC26"/>
      <c r="AD26"/>
      <c r="AE26"/>
      <c r="AF26" s="251">
        <v>4.7932613641023636E-2</v>
      </c>
      <c r="AG26"/>
      <c r="AH26"/>
      <c r="AI26" s="14">
        <v>2.0018564537167549E-3</v>
      </c>
      <c r="AJ26" s="16">
        <v>1.4428006485104561E-2</v>
      </c>
      <c r="AK26" s="12">
        <v>3.828439163044095E-3</v>
      </c>
      <c r="AL26" s="65">
        <v>2.0444747060537338E-2</v>
      </c>
      <c r="AM26" s="24">
        <v>2.676115371286869E-2</v>
      </c>
      <c r="AN26" s="15">
        <v>9.676068089902401E-3</v>
      </c>
      <c r="AO26" s="148">
        <v>2.7605060487985611E-2</v>
      </c>
      <c r="AP26"/>
      <c r="AQ26" s="19">
        <v>1.6851672902703285E-2</v>
      </c>
      <c r="AR26"/>
      <c r="AS26" s="13">
        <v>3.626740351319313E-2</v>
      </c>
      <c r="AT26" s="149">
        <v>5.8748722076416016E-2</v>
      </c>
      <c r="AU26" s="22">
        <v>6.7807622253894806E-3</v>
      </c>
      <c r="AV26" s="16">
        <v>1.5529561787843704E-2</v>
      </c>
      <c r="AW26" s="22">
        <v>7.3731550946831703E-3</v>
      </c>
      <c r="AX26" s="78">
        <v>6.3288003206253052E-2</v>
      </c>
      <c r="AY26" s="250">
        <v>0.1116175651550293</v>
      </c>
      <c r="AZ26" s="22">
        <v>7.8968247398734093E-3</v>
      </c>
      <c r="BA26" s="22">
        <v>6.7412327043712139E-3</v>
      </c>
      <c r="BB26" s="259">
        <v>2.2723028436303139E-2</v>
      </c>
      <c r="BC26" s="14">
        <v>1.912624342367053E-3</v>
      </c>
      <c r="BD26" s="25">
        <v>3.0602056533098221E-2</v>
      </c>
      <c r="BE26" s="22">
        <v>7.0592244155704975E-3</v>
      </c>
      <c r="BF26"/>
      <c r="BG26" s="17">
        <v>1.4126302674412727E-2</v>
      </c>
      <c r="BH26" s="20">
        <v>4.2231682687997818E-2</v>
      </c>
      <c r="BI26" s="25">
        <v>3.0374143272638321E-2</v>
      </c>
      <c r="BJ26" s="14">
        <v>2.7225986123085022E-3</v>
      </c>
      <c r="BK26" s="11">
        <v>4.6235581976361573E-4</v>
      </c>
      <c r="BL26" s="65">
        <v>2.0321939140558243E-2</v>
      </c>
      <c r="BM26" s="15">
        <v>8.8314395397901535E-3</v>
      </c>
      <c r="BN26" s="23">
        <v>5.1532243378460407E-3</v>
      </c>
      <c r="BO26" s="285">
        <v>0.1379731148481369</v>
      </c>
      <c r="BP26" s="23">
        <v>4.9866321496665478E-3</v>
      </c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218</v>
      </c>
      <c r="B27">
        <v>0.51435285806655884</v>
      </c>
      <c r="C27">
        <v>3.2275877892971039E-2</v>
      </c>
      <c r="D27" s="244">
        <v>0.15090391039848328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 s="264">
        <v>2.3687116801738739E-2</v>
      </c>
      <c r="AL27" s="289">
        <v>8.9450538158416748E-2</v>
      </c>
      <c r="AM27"/>
      <c r="AN27" s="145">
        <v>5.1723510026931763E-2</v>
      </c>
      <c r="AO27" s="254">
        <v>2.0487941801548004E-2</v>
      </c>
      <c r="AP27"/>
      <c r="AQ27"/>
      <c r="AR27" s="76">
        <v>4.0384382009506226E-2</v>
      </c>
      <c r="AS27" s="15">
        <v>4.6080038882791996E-3</v>
      </c>
      <c r="AT27" s="14">
        <v>8.460783283226192E-4</v>
      </c>
      <c r="AU27"/>
      <c r="AV27"/>
      <c r="AW27" s="282">
        <v>4.3280307203531265E-2</v>
      </c>
      <c r="AX27"/>
      <c r="AY27"/>
      <c r="AZ27"/>
      <c r="BA27"/>
      <c r="BB27"/>
      <c r="BC27"/>
      <c r="BD27" s="65">
        <v>1.149981003254652E-2</v>
      </c>
      <c r="BE27"/>
      <c r="BF27"/>
      <c r="BG27" s="245">
        <v>1.7608184367418289E-2</v>
      </c>
      <c r="BH27" s="270">
        <v>2.7292313054203987E-2</v>
      </c>
      <c r="BI27"/>
      <c r="BJ27"/>
      <c r="BK27" s="11">
        <v>3.0489658820442855E-4</v>
      </c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219</v>
      </c>
      <c r="B28">
        <v>0.51013118028640747</v>
      </c>
      <c r="C28">
        <v>0.1695091724395752</v>
      </c>
      <c r="D28" s="11">
        <v>9.4406786956824362E-6</v>
      </c>
      <c r="E28" s="251">
        <v>2.5084745138883591E-2</v>
      </c>
      <c r="F28" s="11">
        <v>1.7966101586353034E-4</v>
      </c>
      <c r="G28" s="258">
        <v>8.1694915890693665E-2</v>
      </c>
      <c r="H28" s="23">
        <v>2.796610351651907E-3</v>
      </c>
      <c r="I28" s="268">
        <v>0.10101695358753204</v>
      </c>
      <c r="J28" s="28">
        <v>1.8474576994776726E-2</v>
      </c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 s="291">
        <v>8.0696567893028259E-2</v>
      </c>
      <c r="AM28"/>
      <c r="AN28"/>
      <c r="AO28" s="28">
        <v>1.8335934728384018E-2</v>
      </c>
      <c r="AP28"/>
      <c r="AQ28"/>
      <c r="AR28"/>
      <c r="AS28"/>
      <c r="AT28" s="11">
        <v>7.1701448177918792E-5</v>
      </c>
      <c r="AU28"/>
      <c r="AV28"/>
      <c r="AW28" s="259">
        <v>1.2028341181576252E-2</v>
      </c>
      <c r="AX28"/>
      <c r="AY28"/>
      <c r="AZ28"/>
      <c r="BA28"/>
      <c r="BB28"/>
      <c r="BC28"/>
      <c r="BD28"/>
      <c r="BE28"/>
      <c r="BF28"/>
      <c r="BG28"/>
      <c r="BH28"/>
      <c r="BI28"/>
      <c r="BJ28"/>
      <c r="BK28" s="11">
        <v>2.3254824918694794E-4</v>
      </c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220</v>
      </c>
      <c r="B29">
        <v>0.49225541949272156</v>
      </c>
      <c r="C29">
        <v>0.42178085446357727</v>
      </c>
      <c r="D29" s="11">
        <v>2.8860104066552594E-6</v>
      </c>
      <c r="E29" s="16">
        <v>7.6683936640620232E-3</v>
      </c>
      <c r="F29" s="11">
        <v>5.492227865033783E-5</v>
      </c>
      <c r="G29" s="70">
        <v>2.4974092841148376E-2</v>
      </c>
      <c r="H29" s="14">
        <v>8.5492228390648961E-4</v>
      </c>
      <c r="I29" s="68">
        <v>3.0880829319357872E-2</v>
      </c>
      <c r="J29" s="18">
        <v>5.6476686149835587E-3</v>
      </c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 s="11">
        <v>3.1974414014257491E-4</v>
      </c>
      <c r="AX29"/>
      <c r="AY29"/>
      <c r="AZ29"/>
      <c r="BA29"/>
      <c r="BB29"/>
      <c r="BC29"/>
      <c r="BD29"/>
      <c r="BE29"/>
      <c r="BF29"/>
      <c r="BG29"/>
      <c r="BH29"/>
      <c r="BI29"/>
      <c r="BJ29"/>
      <c r="BK29" s="11">
        <v>7.1089882112573832E-5</v>
      </c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221</v>
      </c>
      <c r="B30">
        <v>0.25047615170478821</v>
      </c>
      <c r="C30">
        <v>5.4703321307897568E-2</v>
      </c>
      <c r="D30" s="11">
        <v>4.4422990868042689E-6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 s="29">
        <v>1.1970390565693378E-2</v>
      </c>
      <c r="AK30" s="17">
        <v>3.5670674405992031E-3</v>
      </c>
      <c r="AL30"/>
      <c r="AM30"/>
      <c r="AN30" s="285">
        <v>3.593270480632782E-2</v>
      </c>
      <c r="AO30" s="284">
        <v>3.2692305743694305E-2</v>
      </c>
      <c r="AP30"/>
      <c r="AQ30"/>
      <c r="AR30"/>
      <c r="AS30" s="287">
        <v>5.3276658058166504E-2</v>
      </c>
      <c r="AT30" s="288">
        <v>5.6677374988794327E-2</v>
      </c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 s="23">
        <v>1.6518925549462438E-3</v>
      </c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222</v>
      </c>
      <c r="B31">
        <v>0.24793840944766998</v>
      </c>
      <c r="C31">
        <v>0.20026332139968872</v>
      </c>
      <c r="D31" s="245">
        <v>8.3554722368717194E-3</v>
      </c>
      <c r="E31" s="14">
        <v>4.4343681656755507E-4</v>
      </c>
      <c r="F31" s="11">
        <v>6.7610430960485246E-6</v>
      </c>
      <c r="G31" s="26">
        <v>6.2683355063199997E-3</v>
      </c>
      <c r="H31"/>
      <c r="I31" s="76">
        <v>1.9270341843366623E-2</v>
      </c>
      <c r="J31" s="28">
        <v>8.8687362149357796E-3</v>
      </c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 s="18">
        <v>2.9612276703119278E-3</v>
      </c>
      <c r="AP31"/>
      <c r="AQ31"/>
      <c r="AR31"/>
      <c r="AS31"/>
      <c r="AT31" s="12">
        <v>1.2015209067612886E-3</v>
      </c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 s="14">
        <v>2.9925268609076738E-4</v>
      </c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223</v>
      </c>
      <c r="B32">
        <v>0.24001452326774597</v>
      </c>
      <c r="C32">
        <v>0.1923183798789978</v>
      </c>
      <c r="D32" s="17">
        <v>3.104618052020669E-3</v>
      </c>
      <c r="E32" s="14">
        <v>5.6243711151182652E-4</v>
      </c>
      <c r="F32" s="11">
        <v>8.5754300016560592E-6</v>
      </c>
      <c r="G32" s="245">
        <v>7.9504996538162231E-3</v>
      </c>
      <c r="H32"/>
      <c r="I32" s="269">
        <v>2.4441711604595184E-2</v>
      </c>
      <c r="J32" s="29">
        <v>1.124874223023653E-2</v>
      </c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 s="14">
        <v>3.7955984589643776E-4</v>
      </c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224</v>
      </c>
      <c r="B33">
        <v>0.44977381825447083</v>
      </c>
      <c r="C33">
        <v>3.3786620944738388E-2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 s="298">
        <v>7.994011789560318E-2</v>
      </c>
      <c r="AK33" s="16">
        <v>6.7933490499854088E-3</v>
      </c>
      <c r="AL33" s="14">
        <v>1.0517534101381898E-3</v>
      </c>
      <c r="AM33" s="26">
        <v>1.1286905035376549E-2</v>
      </c>
      <c r="AN33" s="295">
        <v>6.137022003531456E-2</v>
      </c>
      <c r="AO33"/>
      <c r="AP33" s="14">
        <v>9.569064131937921E-4</v>
      </c>
      <c r="AQ33" s="273">
        <v>4.723035916686058E-2</v>
      </c>
      <c r="AR33" s="17">
        <v>6.2085799872875214E-3</v>
      </c>
      <c r="AS33" s="12">
        <v>2.1105092018842697E-3</v>
      </c>
      <c r="AT33" s="16">
        <v>7.0965946651995182E-3</v>
      </c>
      <c r="AU33"/>
      <c r="AV33"/>
      <c r="AW33"/>
      <c r="AX33"/>
      <c r="AY33"/>
      <c r="AZ33"/>
      <c r="BA33"/>
      <c r="BB33"/>
      <c r="BC33" s="12">
        <v>1.7874414334073663E-3</v>
      </c>
      <c r="BD33" s="107">
        <v>7.0320539176464081E-2</v>
      </c>
      <c r="BE33" s="297">
        <v>6.688334047794342E-2</v>
      </c>
      <c r="BF33"/>
      <c r="BG33" s="264">
        <v>2.0550969988107681E-2</v>
      </c>
      <c r="BH33" s="72">
        <v>3.1694300472736359E-2</v>
      </c>
      <c r="BI33"/>
      <c r="BJ33"/>
      <c r="BK33" s="14">
        <v>7.0532556856051087E-4</v>
      </c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225</v>
      </c>
      <c r="B34">
        <v>0.43030714988708496</v>
      </c>
      <c r="C34">
        <v>0.39279499650001526</v>
      </c>
      <c r="D34"/>
      <c r="E34" s="18">
        <v>4.9174916930496693E-3</v>
      </c>
      <c r="F34" s="11">
        <v>2.0990099073969759E-5</v>
      </c>
      <c r="G34" s="259">
        <v>1.0396039113402367E-2</v>
      </c>
      <c r="H34"/>
      <c r="I34" s="23">
        <v>2.6864686515182257E-3</v>
      </c>
      <c r="J34" s="17">
        <v>5.8415839448571205E-3</v>
      </c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 s="11">
        <v>2.1576564176939428E-4</v>
      </c>
      <c r="AL34" s="11">
        <v>3.0372414039447904E-4</v>
      </c>
      <c r="AM34"/>
      <c r="AN34"/>
      <c r="AO34"/>
      <c r="AP34"/>
      <c r="AQ34"/>
      <c r="AR34" s="18">
        <v>5.3189387544989586E-3</v>
      </c>
      <c r="AS34"/>
      <c r="AT34" s="12">
        <v>1.3293948723003268E-3</v>
      </c>
      <c r="AU34"/>
      <c r="AV34"/>
      <c r="AW34"/>
      <c r="AX34"/>
      <c r="AY34"/>
      <c r="AZ34"/>
      <c r="BA34"/>
      <c r="BB34"/>
      <c r="BC34"/>
      <c r="BD34" s="17">
        <v>6.1209476552903652E-3</v>
      </c>
      <c r="BE34"/>
      <c r="BF34"/>
      <c r="BG34"/>
      <c r="BH34"/>
      <c r="BI34"/>
      <c r="BJ34"/>
      <c r="BK34" s="11">
        <v>3.6081011057831347E-4</v>
      </c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226</v>
      </c>
      <c r="B35">
        <v>0.42383468151092529</v>
      </c>
      <c r="C35">
        <v>0.21995452046394348</v>
      </c>
      <c r="D35"/>
      <c r="E35" s="252">
        <v>4.1388891637325287E-2</v>
      </c>
      <c r="F35" s="11">
        <v>1.7666666826698929E-4</v>
      </c>
      <c r="G35" s="260">
        <v>8.7500005960464478E-2</v>
      </c>
      <c r="H35"/>
      <c r="I35" s="270">
        <v>2.2611113265156746E-2</v>
      </c>
      <c r="J35" s="250">
        <v>4.9166668206453323E-2</v>
      </c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 s="22">
        <v>3.0368184670805931E-3</v>
      </c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227</v>
      </c>
      <c r="B36">
        <v>0.24732108414173126</v>
      </c>
      <c r="C36">
        <v>5.3155940026044846E-2</v>
      </c>
      <c r="D36" s="246">
        <v>6.9745771586894989E-2</v>
      </c>
      <c r="E36" s="28">
        <v>8.7173497304320335E-3</v>
      </c>
      <c r="F36" s="11">
        <v>1.8410362827125937E-5</v>
      </c>
      <c r="G36" s="261">
        <v>5.8751963078975677E-2</v>
      </c>
      <c r="H36"/>
      <c r="I36" s="11">
        <v>9.1627611254807562E-5</v>
      </c>
      <c r="J36" s="26">
        <v>6.4902892336249352E-3</v>
      </c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 s="11">
        <v>5.6937857152661309E-5</v>
      </c>
      <c r="AL36" s="22">
        <v>1.9644368439912796E-3</v>
      </c>
      <c r="AM36"/>
      <c r="AN36"/>
      <c r="AO36"/>
      <c r="AP36"/>
      <c r="AQ36"/>
      <c r="AR36"/>
      <c r="AS36"/>
      <c r="AT36" s="24">
        <v>6.9395140744745731E-3</v>
      </c>
      <c r="AU36"/>
      <c r="AV36"/>
      <c r="AW36" s="12">
        <v>7.3392008198425174E-4</v>
      </c>
      <c r="AX36"/>
      <c r="AY36"/>
      <c r="AZ36"/>
      <c r="BA36"/>
      <c r="BB36"/>
      <c r="BC36"/>
      <c r="BD36" s="23">
        <v>1.3112410670146346E-3</v>
      </c>
      <c r="BE36"/>
      <c r="BF36"/>
      <c r="BG36" s="245">
        <v>8.4453299641609192E-3</v>
      </c>
      <c r="BH36"/>
      <c r="BI36"/>
      <c r="BJ36" s="14">
        <v>3.7856714334338903E-4</v>
      </c>
      <c r="BK36" s="11">
        <v>2.3188034538179636E-4</v>
      </c>
      <c r="BL36"/>
      <c r="BM36" s="254">
        <v>9.8157590255141258E-3</v>
      </c>
      <c r="BN36"/>
      <c r="BO36" s="76">
        <v>1.9508762285113335E-2</v>
      </c>
      <c r="BP36" s="12">
        <v>9.6339307492598891E-4</v>
      </c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228</v>
      </c>
      <c r="B37">
        <v>0.24445846676826477</v>
      </c>
      <c r="C37">
        <v>0.22800853848457336</v>
      </c>
      <c r="D37" s="11">
        <v>7.5185184300607943E-8</v>
      </c>
      <c r="E37" s="23">
        <v>1.5222221845760942E-3</v>
      </c>
      <c r="F37" s="11">
        <v>3.214814796592691E-6</v>
      </c>
      <c r="G37" s="66">
        <v>1.0259258560836315E-2</v>
      </c>
      <c r="H37"/>
      <c r="I37" s="11">
        <v>1.5999999959603883E-5</v>
      </c>
      <c r="J37" s="12">
        <v>1.1333333095535636E-3</v>
      </c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 s="11">
        <v>2.6154486931773135E-6</v>
      </c>
      <c r="AX37"/>
      <c r="AY37"/>
      <c r="AZ37"/>
      <c r="BA37"/>
      <c r="BB37"/>
      <c r="BC37"/>
      <c r="BD37"/>
      <c r="BE37"/>
      <c r="BF37"/>
      <c r="BG37"/>
      <c r="BH37"/>
      <c r="BI37"/>
      <c r="BJ37" s="11">
        <v>6.6105341829825193E-5</v>
      </c>
      <c r="BK37" s="11">
        <v>4.0490911487722769E-5</v>
      </c>
      <c r="BL37"/>
      <c r="BM37"/>
      <c r="BN37"/>
      <c r="BO37" s="17">
        <v>3.4066170919686556E-3</v>
      </c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229</v>
      </c>
      <c r="B38">
        <v>0.47936877608299255</v>
      </c>
      <c r="C38">
        <v>9.3003831803798676E-2</v>
      </c>
      <c r="D38" s="16">
        <v>7.7539552003145218E-3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 s="66">
        <v>1.9588777795433998E-2</v>
      </c>
      <c r="AT38" s="269">
        <v>4.8789642751216888E-2</v>
      </c>
      <c r="AU38"/>
      <c r="AV38" s="22">
        <v>3.4661651588976383E-3</v>
      </c>
      <c r="AW38" s="280">
        <v>4.3488774448633194E-2</v>
      </c>
      <c r="AX38"/>
      <c r="AY38"/>
      <c r="AZ38"/>
      <c r="BA38"/>
      <c r="BB38"/>
      <c r="BC38"/>
      <c r="BD38"/>
      <c r="BE38"/>
      <c r="BF38"/>
      <c r="BG38" s="258">
        <v>7.7489964663982391E-2</v>
      </c>
      <c r="BH38"/>
      <c r="BI38"/>
      <c r="BJ38" s="15">
        <v>4.4744904153048992E-3</v>
      </c>
      <c r="BK38" s="23">
        <v>2.569425618276E-3</v>
      </c>
      <c r="BL38"/>
      <c r="BM38" s="283">
        <v>7.4587233364582062E-2</v>
      </c>
      <c r="BN38"/>
      <c r="BO38" s="286">
        <v>9.9579319357872009E-2</v>
      </c>
      <c r="BP38" s="15">
        <v>4.5772194862365723E-3</v>
      </c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230</v>
      </c>
      <c r="B39">
        <v>0.45990779995918274</v>
      </c>
      <c r="C39">
        <v>1.6102569177746773E-2</v>
      </c>
      <c r="D39" s="75">
        <v>4.3658118695020676E-2</v>
      </c>
      <c r="E39" s="253">
        <v>0.16627708077430725</v>
      </c>
      <c r="F39" s="11">
        <v>3.9715104503557086E-4</v>
      </c>
      <c r="G39" s="262">
        <v>7.5243368744850159E-2</v>
      </c>
      <c r="H39"/>
      <c r="I39" s="27">
        <v>3.4930150955915451E-2</v>
      </c>
      <c r="J39" s="269">
        <v>4.6772908419370651E-2</v>
      </c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 s="22">
        <v>3.9760889485478401E-3</v>
      </c>
      <c r="AU39"/>
      <c r="AV39"/>
      <c r="AW39" s="16">
        <v>6.989580113440752E-3</v>
      </c>
      <c r="AX39"/>
      <c r="AY39"/>
      <c r="AZ39"/>
      <c r="BA39"/>
      <c r="BB39"/>
      <c r="BC39"/>
      <c r="BD39"/>
      <c r="BE39"/>
      <c r="BF39"/>
      <c r="BG39"/>
      <c r="BH39"/>
      <c r="BI39"/>
      <c r="BJ39" s="14">
        <v>1.0696707759052515E-3</v>
      </c>
      <c r="BK39" s="14">
        <v>6.7633361322805285E-4</v>
      </c>
      <c r="BL39"/>
      <c r="BM39" s="26">
        <v>1.1620796285569668E-2</v>
      </c>
      <c r="BN39"/>
      <c r="BO39" s="290">
        <v>5.1833830773830414E-2</v>
      </c>
      <c r="BP39" s="11">
        <v>3.6015806836076081E-4</v>
      </c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231</v>
      </c>
      <c r="B40">
        <v>0.43484044075012207</v>
      </c>
      <c r="C40">
        <v>1.8397709354758263E-2</v>
      </c>
      <c r="D40" s="29">
        <v>2.0488161593675613E-2</v>
      </c>
      <c r="E40" s="144">
        <v>0.16483062505722046</v>
      </c>
      <c r="F40" s="11">
        <v>3.9369618752971292E-4</v>
      </c>
      <c r="G40" s="263">
        <v>7.4588820338249207E-2</v>
      </c>
      <c r="H40"/>
      <c r="I40" s="271">
        <v>3.4626290202140808E-2</v>
      </c>
      <c r="J40" s="273">
        <v>4.6366024762392044E-2</v>
      </c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 s="11">
        <v>2.1368995658122003E-4</v>
      </c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 s="12">
        <v>1.4110164484009147E-3</v>
      </c>
      <c r="BK40" s="14">
        <v>8.1026030238717794E-4</v>
      </c>
      <c r="BL40"/>
      <c r="BM40"/>
      <c r="BN40"/>
      <c r="BO40" s="293">
        <v>7.2714142501354218E-2</v>
      </c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232</v>
      </c>
      <c r="B41">
        <v>0.45300000905990601</v>
      </c>
      <c r="C41">
        <v>0.25016546249389648</v>
      </c>
      <c r="D41" s="11">
        <v>1.0082918606713065E-6</v>
      </c>
      <c r="E41" s="25">
        <v>1.4468473382294178E-2</v>
      </c>
      <c r="F41" s="11">
        <v>6.7164178290113341E-6</v>
      </c>
      <c r="G41" s="14">
        <v>1.0833879932761192E-3</v>
      </c>
      <c r="H41"/>
      <c r="I41" s="11">
        <v>4.2596686398610473E-4</v>
      </c>
      <c r="J41" s="14">
        <v>6.5654894569888711E-4</v>
      </c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 s="300">
        <v>3.9266455918550491E-2</v>
      </c>
      <c r="AM41"/>
      <c r="AN41"/>
      <c r="AO41"/>
      <c r="AP41"/>
      <c r="AQ41"/>
      <c r="AR41"/>
      <c r="AS41" s="11">
        <v>1.016333990264684E-4</v>
      </c>
      <c r="AT41" s="22">
        <v>3.7935453001409769E-3</v>
      </c>
      <c r="AU41"/>
      <c r="AV41" s="14">
        <v>9.66622494161129E-4</v>
      </c>
      <c r="AW41" s="15">
        <v>4.2779566720128059E-3</v>
      </c>
      <c r="AX41" s="11">
        <v>4.1462661215518892E-7</v>
      </c>
      <c r="AY41" s="280">
        <v>4.0686007589101791E-2</v>
      </c>
      <c r="AZ41"/>
      <c r="BA41"/>
      <c r="BB41"/>
      <c r="BC41" s="14">
        <v>4.5945841702632606E-4</v>
      </c>
      <c r="BD41" s="67">
        <v>2.6656061410903931E-2</v>
      </c>
      <c r="BE41" s="301">
        <v>5.1576677709817886E-2</v>
      </c>
      <c r="BF41"/>
      <c r="BG41" s="21">
        <v>9.244527667760849E-3</v>
      </c>
      <c r="BH41" s="12">
        <v>2.0367400720715523E-3</v>
      </c>
      <c r="BI41"/>
      <c r="BJ41" s="14">
        <v>6.4132065745070577E-4</v>
      </c>
      <c r="BK41" s="11">
        <v>2.4929118808358908E-4</v>
      </c>
      <c r="BL41"/>
      <c r="BM41" s="17">
        <v>6.2357312999665737E-3</v>
      </c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233</v>
      </c>
      <c r="B42">
        <v>1.1150000095367432</v>
      </c>
      <c r="C42">
        <v>0.40010219812393188</v>
      </c>
      <c r="D42" s="14">
        <v>2.5848415680229664E-3</v>
      </c>
      <c r="E42" s="254">
        <v>4.2926240712404251E-2</v>
      </c>
      <c r="F42" s="11">
        <v>3.2648124033585191E-5</v>
      </c>
      <c r="G42" s="14">
        <v>2.1644497755914927E-3</v>
      </c>
      <c r="H42"/>
      <c r="I42"/>
      <c r="J42" s="11">
        <v>6.9649337092414498E-4</v>
      </c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 s="12">
        <v>4.5255389995872974E-3</v>
      </c>
      <c r="AA42"/>
      <c r="AB42"/>
      <c r="AC42"/>
      <c r="AD42"/>
      <c r="AE42"/>
      <c r="AF42"/>
      <c r="AG42" s="23">
        <v>5.5422256700694561E-3</v>
      </c>
      <c r="AH42"/>
      <c r="AI42"/>
      <c r="AJ42"/>
      <c r="AK42" s="14">
        <v>2.5816475972533226E-3</v>
      </c>
      <c r="AL42" s="27">
        <v>8.567538857460022E-2</v>
      </c>
      <c r="AM42" s="259">
        <v>2.6443019509315491E-2</v>
      </c>
      <c r="AN42" s="19">
        <v>2.0128991454839706E-2</v>
      </c>
      <c r="AO42" s="16">
        <v>1.831376738846302E-2</v>
      </c>
      <c r="AP42"/>
      <c r="AQ42"/>
      <c r="AR42" s="11">
        <v>1.4716226723976433E-4</v>
      </c>
      <c r="AS42" s="254">
        <v>4.4457938522100449E-2</v>
      </c>
      <c r="AT42" s="265">
        <v>0.1486295610666275</v>
      </c>
      <c r="AU42" s="11">
        <v>2.7691980358213186E-4</v>
      </c>
      <c r="AV42" s="21">
        <v>2.0945250988006592E-2</v>
      </c>
      <c r="AW42" s="16">
        <v>1.8427036702632904E-2</v>
      </c>
      <c r="AX42" s="65">
        <v>2.4185899645090103E-2</v>
      </c>
      <c r="AY42" s="264">
        <v>4.9315400421619415E-2</v>
      </c>
      <c r="AZ42"/>
      <c r="BA42"/>
      <c r="BB42"/>
      <c r="BC42" s="19">
        <v>2.0268114283680916E-2</v>
      </c>
      <c r="BD42" s="13">
        <v>4.1114706546068192E-2</v>
      </c>
      <c r="BE42" s="23">
        <v>5.93551155179739E-3</v>
      </c>
      <c r="BF42"/>
      <c r="BG42" s="65">
        <v>2.3203438147902489E-2</v>
      </c>
      <c r="BH42" s="14">
        <v>2.9701429884880781E-3</v>
      </c>
      <c r="BI42" s="78">
        <v>7.2447285056114197E-2</v>
      </c>
      <c r="BJ42" s="11">
        <v>4.6761348494328558E-4</v>
      </c>
      <c r="BK42" s="11">
        <v>2.4786600260995328E-4</v>
      </c>
      <c r="BL42"/>
      <c r="BM42" s="23">
        <v>5.5959746241569519E-3</v>
      </c>
      <c r="BN42"/>
      <c r="BO42" s="65">
        <v>2.4097578600049019E-2</v>
      </c>
      <c r="BP42" s="11">
        <v>5.4923142306506634E-4</v>
      </c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234</v>
      </c>
      <c r="B43">
        <v>0.44999998807907104</v>
      </c>
      <c r="C43">
        <v>0.30293023586273193</v>
      </c>
      <c r="D43"/>
      <c r="E43" s="20">
        <v>1.9107310101389885E-2</v>
      </c>
      <c r="F43" s="11">
        <v>1.3379055599216372E-4</v>
      </c>
      <c r="G43" s="264">
        <v>2.0445743575692177E-2</v>
      </c>
      <c r="H43"/>
      <c r="I43" s="23">
        <v>2.5834375992417336E-3</v>
      </c>
      <c r="J43" s="254">
        <v>1.732550747692585E-2</v>
      </c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 s="14">
        <v>9.5577834872528911E-4</v>
      </c>
      <c r="AL43"/>
      <c r="AM43" s="22">
        <v>3.2170007470995188E-3</v>
      </c>
      <c r="AN43" s="21">
        <v>8.7458929046988487E-3</v>
      </c>
      <c r="AO43" s="148">
        <v>1.3261983171105385E-2</v>
      </c>
      <c r="AP43"/>
      <c r="AQ43"/>
      <c r="AR43"/>
      <c r="AS43"/>
      <c r="AT43" s="15">
        <v>4.6842601150274277E-3</v>
      </c>
      <c r="AU43"/>
      <c r="AV43"/>
      <c r="AW43"/>
      <c r="AX43"/>
      <c r="AY43" s="11">
        <v>1.434106525266543E-5</v>
      </c>
      <c r="AZ43"/>
      <c r="BA43"/>
      <c r="BB43"/>
      <c r="BC43" s="23">
        <v>2.2076503373682499E-3</v>
      </c>
      <c r="BD43" s="22">
        <v>3.7893401458859444E-3</v>
      </c>
      <c r="BE43" s="72">
        <v>3.1771879643201828E-2</v>
      </c>
      <c r="BF43" s="23">
        <v>2.6543736457824707E-3</v>
      </c>
      <c r="BG43" s="18">
        <v>4.8812092281877995E-3</v>
      </c>
      <c r="BH43" s="17">
        <v>6.0223545879125595E-3</v>
      </c>
      <c r="BI43"/>
      <c r="BJ43" s="14">
        <v>4.7407383681274951E-4</v>
      </c>
      <c r="BK43" s="11">
        <v>1.8427977920509875E-4</v>
      </c>
      <c r="BL43"/>
      <c r="BM43" s="15">
        <v>4.6095461584627628E-3</v>
      </c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235</v>
      </c>
      <c r="B44">
        <v>1.0737185478210449</v>
      </c>
      <c r="C44">
        <v>0.89133977890014648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 s="12">
        <v>4.8372736200690269E-3</v>
      </c>
      <c r="AL44" s="22">
        <v>8.6554307490587234E-3</v>
      </c>
      <c r="AM44"/>
      <c r="AN44"/>
      <c r="AO44"/>
      <c r="AP44"/>
      <c r="AQ44"/>
      <c r="AR44"/>
      <c r="AS44" s="11">
        <v>9.4209790404420346E-5</v>
      </c>
      <c r="AT44" s="20">
        <v>4.6719357371330261E-2</v>
      </c>
      <c r="AU44"/>
      <c r="AV44" s="14">
        <v>2.382723381742835E-3</v>
      </c>
      <c r="AW44" s="15">
        <v>9.9941352382302284E-3</v>
      </c>
      <c r="AX44"/>
      <c r="AY44" s="11">
        <v>2.626306377351284E-4</v>
      </c>
      <c r="AZ44"/>
      <c r="BA44"/>
      <c r="BB44"/>
      <c r="BC44"/>
      <c r="BD44"/>
      <c r="BE44"/>
      <c r="BF44"/>
      <c r="BG44" s="19">
        <v>1.8143108114600182E-2</v>
      </c>
      <c r="BH44"/>
      <c r="BI44"/>
      <c r="BJ44" s="12">
        <v>4.0663816034793854E-3</v>
      </c>
      <c r="BK44" s="14">
        <v>1.5567155787721276E-3</v>
      </c>
      <c r="BL44"/>
      <c r="BM44" s="271">
        <v>8.5666798055171967E-2</v>
      </c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236</v>
      </c>
      <c r="B45">
        <v>1.0997345447540283</v>
      </c>
      <c r="C45">
        <v>0.59072250127792358</v>
      </c>
      <c r="D45" s="247">
        <v>0.35099413990974426</v>
      </c>
      <c r="E45" s="255">
        <v>0.1334640234708786</v>
      </c>
      <c r="F45" s="11">
        <v>2.1231950086075813E-5</v>
      </c>
      <c r="G45" s="15">
        <v>1.1191477067768574E-2</v>
      </c>
      <c r="H45" s="11">
        <v>3.6436184018384665E-5</v>
      </c>
      <c r="I45" s="11">
        <v>2.7349628908268642E-6</v>
      </c>
      <c r="J45" s="11">
        <v>3.4816795960068703E-4</v>
      </c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 s="11">
        <v>5.9077225159853697E-5</v>
      </c>
      <c r="AL45"/>
      <c r="AM45"/>
      <c r="AN45"/>
      <c r="AO45"/>
      <c r="AP45"/>
      <c r="AQ45"/>
      <c r="AR45"/>
      <c r="AS45"/>
      <c r="AT45" s="23">
        <v>7.1745114400982857E-3</v>
      </c>
      <c r="AU45"/>
      <c r="AV45"/>
      <c r="AW45" s="12">
        <v>3.4997533075511456E-3</v>
      </c>
      <c r="AX45"/>
      <c r="AY45"/>
      <c r="AZ45"/>
      <c r="BA45"/>
      <c r="BB45"/>
      <c r="BC45"/>
      <c r="BD45"/>
      <c r="BE45"/>
      <c r="BF45"/>
      <c r="BG45"/>
      <c r="BH45"/>
      <c r="BI45"/>
      <c r="BJ45" s="14">
        <v>1.6057508764788508E-3</v>
      </c>
      <c r="BK45" s="11">
        <v>6.1472278321161866E-4</v>
      </c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237</v>
      </c>
      <c r="B46">
        <v>0.5636218786239624</v>
      </c>
      <c r="C46">
        <v>0.20110708475112915</v>
      </c>
      <c r="D46" s="12">
        <v>2.167816273868084E-3</v>
      </c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 s="16">
        <v>8.5407961159944534E-3</v>
      </c>
      <c r="AL46" s="13">
        <v>2.0845562219619751E-2</v>
      </c>
      <c r="AM46"/>
      <c r="AN46"/>
      <c r="AO46"/>
      <c r="AP46"/>
      <c r="AQ46"/>
      <c r="AR46"/>
      <c r="AS46" s="15">
        <v>6.0454066842794418E-3</v>
      </c>
      <c r="AT46" s="252">
        <v>5.550677701830864E-2</v>
      </c>
      <c r="AU46"/>
      <c r="AV46"/>
      <c r="AW46"/>
      <c r="AX46"/>
      <c r="AY46" s="11">
        <v>3.0025962041690946E-4</v>
      </c>
      <c r="AZ46"/>
      <c r="BA46"/>
      <c r="BB46"/>
      <c r="BC46"/>
      <c r="BD46"/>
      <c r="BE46"/>
      <c r="BF46"/>
      <c r="BG46"/>
      <c r="BH46" s="248">
        <v>4.1023306548595428E-2</v>
      </c>
      <c r="BI46"/>
      <c r="BJ46" s="15">
        <v>5.9618097729980946E-3</v>
      </c>
      <c r="BK46" s="23">
        <v>3.6517337430268526E-3</v>
      </c>
      <c r="BL46"/>
      <c r="BM46" s="257">
        <v>0.12959565222263336</v>
      </c>
      <c r="BN46"/>
      <c r="BO46" s="107">
        <v>8.8875666260719299E-2</v>
      </c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238</v>
      </c>
      <c r="B47">
        <v>0.53464841842651367</v>
      </c>
      <c r="C47">
        <v>0.27596458792686462</v>
      </c>
      <c r="D47" s="248">
        <v>3.9189931005239487E-2</v>
      </c>
      <c r="E47" s="256">
        <v>0.10513179004192352</v>
      </c>
      <c r="F47" s="11">
        <v>7.1822163590695709E-5</v>
      </c>
      <c r="G47" s="14">
        <v>7.5474823825061321E-4</v>
      </c>
      <c r="H47"/>
      <c r="I47" s="75">
        <v>5.0002988427877426E-2</v>
      </c>
      <c r="J47" s="15">
        <v>5.6705479510128498E-3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 s="23">
        <v>2.7563991025090218E-3</v>
      </c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 s="14">
        <v>1.0173917980864644E-3</v>
      </c>
      <c r="BK47" s="14">
        <v>6.2317383708432317E-4</v>
      </c>
      <c r="BL47"/>
      <c r="BM47"/>
      <c r="BN47"/>
      <c r="BO47" s="252">
        <v>5.2429415285587311E-2</v>
      </c>
      <c r="BP47" s="14">
        <v>1.0356403654441237E-3</v>
      </c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239</v>
      </c>
      <c r="B48">
        <v>0.45300000905990601</v>
      </c>
      <c r="C48">
        <v>0.32182937860488892</v>
      </c>
      <c r="D48" s="11">
        <v>9.7396979981567711E-5</v>
      </c>
      <c r="E48" s="67">
        <v>2.6964060962200165E-2</v>
      </c>
      <c r="F48" s="11">
        <v>7.7945624070707709E-6</v>
      </c>
      <c r="G48" s="15">
        <v>4.0841144509613514E-3</v>
      </c>
      <c r="H48"/>
      <c r="I48"/>
      <c r="J48" s="11">
        <v>1.9185498240403831E-4</v>
      </c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 s="290">
        <v>5.0702083855867386E-2</v>
      </c>
      <c r="AH48"/>
      <c r="AI48"/>
      <c r="AJ48"/>
      <c r="AK48"/>
      <c r="AL48" s="14">
        <v>7.5858645141124725E-4</v>
      </c>
      <c r="AM48"/>
      <c r="AN48"/>
      <c r="AO48"/>
      <c r="AP48"/>
      <c r="AQ48"/>
      <c r="AR48"/>
      <c r="AS48" s="11">
        <v>3.2512491452507675E-4</v>
      </c>
      <c r="AT48" s="16">
        <v>7.1506905369460583E-3</v>
      </c>
      <c r="AU48"/>
      <c r="AV48" s="11">
        <v>1.8109777010977268E-4</v>
      </c>
      <c r="AW48" s="11">
        <v>4.003746435046196E-4</v>
      </c>
      <c r="AX48"/>
      <c r="AY48"/>
      <c r="AZ48"/>
      <c r="BA48"/>
      <c r="BB48"/>
      <c r="BC48"/>
      <c r="BD48"/>
      <c r="BE48" s="22">
        <v>3.1319980043917894E-3</v>
      </c>
      <c r="BF48"/>
      <c r="BG48" s="245">
        <v>1.5397708863019943E-2</v>
      </c>
      <c r="BH48" s="22">
        <v>3.7104352377355099E-3</v>
      </c>
      <c r="BI48" s="245">
        <v>1.5470832586288452E-2</v>
      </c>
      <c r="BJ48" s="11">
        <v>2.3366547247860581E-4</v>
      </c>
      <c r="BK48" s="11">
        <v>9.082935139304027E-5</v>
      </c>
      <c r="BL48"/>
      <c r="BM48" s="23">
        <v>2.2719914559274912E-3</v>
      </c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240</v>
      </c>
      <c r="B49">
        <v>0.44999998807907104</v>
      </c>
      <c r="C49">
        <v>1.6230931505560875E-2</v>
      </c>
      <c r="D49" s="11">
        <v>8.4833016444463283E-5</v>
      </c>
      <c r="E49" s="245">
        <v>1.5271641314029694E-2</v>
      </c>
      <c r="F49" s="11">
        <v>1.9316359248477966E-4</v>
      </c>
      <c r="G49" s="15">
        <v>4.6731061302125454E-3</v>
      </c>
      <c r="H49" s="11">
        <v>8.5464467701967806E-5</v>
      </c>
      <c r="I49" s="12">
        <v>1.9343763124197721E-3</v>
      </c>
      <c r="J49" s="23">
        <v>2.3231708910316229E-3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 s="22">
        <v>3.4890016540884972E-3</v>
      </c>
      <c r="AL49" s="66">
        <v>1.8494302406907082E-2</v>
      </c>
      <c r="AM49" s="21">
        <v>8.5173817351460457E-3</v>
      </c>
      <c r="AN49" s="255">
        <v>5.4416034370660782E-2</v>
      </c>
      <c r="AO49" s="299">
        <v>3.3708125352859497E-2</v>
      </c>
      <c r="AP49"/>
      <c r="AQ49" s="66">
        <v>1.8561793491244316E-2</v>
      </c>
      <c r="AR49" s="14">
        <v>5.6486530229449272E-4</v>
      </c>
      <c r="AS49" s="19">
        <v>8.1853242591023445E-3</v>
      </c>
      <c r="AT49" s="303">
        <v>3.1268816441297531E-2</v>
      </c>
      <c r="AU49"/>
      <c r="AV49" s="15">
        <v>4.5444224961102009E-3</v>
      </c>
      <c r="AW49" s="18">
        <v>5.4411846213042736E-3</v>
      </c>
      <c r="AX49" s="16">
        <v>6.7070540972054005E-3</v>
      </c>
      <c r="AY49"/>
      <c r="AZ49" s="14">
        <v>7.9529505455866456E-4</v>
      </c>
      <c r="BA49"/>
      <c r="BB49"/>
      <c r="BC49" s="17">
        <v>5.8000483550131321E-3</v>
      </c>
      <c r="BD49" s="69">
        <v>4.1234441101551056E-2</v>
      </c>
      <c r="BE49" s="306">
        <v>0.10060516744852066</v>
      </c>
      <c r="BF49" s="21">
        <v>8.4333149716258049E-3</v>
      </c>
      <c r="BG49" s="13">
        <v>1.7172776162624359E-2</v>
      </c>
      <c r="BH49" s="78">
        <v>2.8700780123472214E-2</v>
      </c>
      <c r="BI49" s="259">
        <v>1.0471059009432793E-2</v>
      </c>
      <c r="BJ49" s="11">
        <v>1.8827477470040321E-4</v>
      </c>
      <c r="BK49" s="11">
        <v>7.3185292421840131E-5</v>
      </c>
      <c r="BL49"/>
      <c r="BM49" s="12">
        <v>1.8306456040591002E-3</v>
      </c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241</v>
      </c>
      <c r="B50">
        <v>0.55000001192092896</v>
      </c>
      <c r="C50">
        <v>3.0141495168209076E-2</v>
      </c>
      <c r="D50" s="78">
        <v>3.5608936101198196E-2</v>
      </c>
      <c r="E50" s="257">
        <v>0.12571428716182709</v>
      </c>
      <c r="F50" s="26">
        <v>1.4163915067911148E-2</v>
      </c>
      <c r="G50" s="265">
        <v>7.2831481695175171E-2</v>
      </c>
      <c r="H50" s="11">
        <v>9.2857146228197962E-5</v>
      </c>
      <c r="I50" s="14">
        <v>7.972362800501287E-4</v>
      </c>
      <c r="J50" s="15">
        <v>5.4107052274048328E-3</v>
      </c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 s="14">
        <v>6.5633689519017935E-4</v>
      </c>
      <c r="AH50"/>
      <c r="AI50"/>
      <c r="AJ50" s="11">
        <v>6.4380478761449922E-6</v>
      </c>
      <c r="AK50" s="14">
        <v>5.952682695351541E-4</v>
      </c>
      <c r="AL50" s="12">
        <v>1.7377031035721302E-3</v>
      </c>
      <c r="AM50"/>
      <c r="AN50" s="72">
        <v>3.919939324259758E-2</v>
      </c>
      <c r="AO50"/>
      <c r="AP50"/>
      <c r="AQ50"/>
      <c r="AR50" s="11">
        <v>4.5304805098567158E-5</v>
      </c>
      <c r="AS50"/>
      <c r="AT50" s="76">
        <v>4.3616969138383865E-2</v>
      </c>
      <c r="AU50"/>
      <c r="AV50" s="12">
        <v>1.8591004190966487E-3</v>
      </c>
      <c r="AW50" s="23">
        <v>3.3565822523087263E-3</v>
      </c>
      <c r="AX50" s="22">
        <v>4.420106764882803E-3</v>
      </c>
      <c r="AY50"/>
      <c r="AZ50" s="29">
        <v>2.543051540851593E-2</v>
      </c>
      <c r="BA50"/>
      <c r="BB50"/>
      <c r="BC50"/>
      <c r="BD50" s="21">
        <v>1.1322628706693649E-2</v>
      </c>
      <c r="BE50" s="70">
        <v>2.8480527922511101E-2</v>
      </c>
      <c r="BF50"/>
      <c r="BG50" s="64">
        <v>3.0628841370344162E-2</v>
      </c>
      <c r="BH50" s="251">
        <v>2.6992399245500565E-2</v>
      </c>
      <c r="BI50"/>
      <c r="BJ50" s="14">
        <v>7.0827169110998511E-4</v>
      </c>
      <c r="BK50" s="11">
        <v>3.7543073995038867E-4</v>
      </c>
      <c r="BL50"/>
      <c r="BM50" s="16">
        <v>8.475954644382E-3</v>
      </c>
      <c r="BN50"/>
      <c r="BO50" s="108">
        <v>3.6499444395303726E-2</v>
      </c>
      <c r="BP50" s="14">
        <v>8.3189451834186912E-4</v>
      </c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242</v>
      </c>
      <c r="B51">
        <v>0.44999998807907104</v>
      </c>
      <c r="C51">
        <v>5.8114428073167801E-2</v>
      </c>
      <c r="D51" s="11">
        <v>3.89333354178234E-6</v>
      </c>
      <c r="E51" s="17">
        <v>6.1332513578236103E-3</v>
      </c>
      <c r="F51" s="18">
        <v>4.9777161329984665E-3</v>
      </c>
      <c r="G51" s="15">
        <v>4.1349432431161404E-3</v>
      </c>
      <c r="H51"/>
      <c r="I51" s="22">
        <v>3.900208743289113E-3</v>
      </c>
      <c r="J51" s="26">
        <v>1.132329273968935E-2</v>
      </c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8">
        <v>4.9644024111330509E-3</v>
      </c>
      <c r="AA51"/>
      <c r="AB51"/>
      <c r="AC51"/>
      <c r="AD51"/>
      <c r="AE51"/>
      <c r="AF51"/>
      <c r="AG51"/>
      <c r="AH51"/>
      <c r="AI51" s="11">
        <v>2.6604541926644742E-4</v>
      </c>
      <c r="AJ51" s="248">
        <v>3.2353829592466354E-2</v>
      </c>
      <c r="AK51" s="14">
        <v>1.1940818512812257E-3</v>
      </c>
      <c r="AL51" s="148">
        <v>1.3112085871398449E-2</v>
      </c>
      <c r="AM51" s="19">
        <v>8.1641906872391701E-3</v>
      </c>
      <c r="AN51" s="283">
        <v>6.975749135017395E-2</v>
      </c>
      <c r="AO51" s="21">
        <v>8.6545571684837341E-3</v>
      </c>
      <c r="AP51"/>
      <c r="AQ51"/>
      <c r="AR51" s="11">
        <v>4.3353054206818342E-4</v>
      </c>
      <c r="AS51" s="28">
        <v>1.6150711104273796E-2</v>
      </c>
      <c r="AT51" s="67">
        <v>2.6429364457726479E-2</v>
      </c>
      <c r="AU51" s="11">
        <v>1.8481718143448234E-5</v>
      </c>
      <c r="AV51" s="12">
        <v>1.6105390386655927E-3</v>
      </c>
      <c r="AW51" s="23">
        <v>2.4047386832535267E-3</v>
      </c>
      <c r="AX51" s="11">
        <v>4.3338816612958908E-4</v>
      </c>
      <c r="AY51"/>
      <c r="AZ51" s="18">
        <v>5.4451231844723225E-3</v>
      </c>
      <c r="BA51"/>
      <c r="BB51"/>
      <c r="BC51" s="22">
        <v>3.2322907354682684E-3</v>
      </c>
      <c r="BD51" s="20">
        <v>1.9782902672886848E-2</v>
      </c>
      <c r="BE51" s="69">
        <v>4.1467670351266861E-2</v>
      </c>
      <c r="BF51"/>
      <c r="BG51" s="24">
        <v>1.2210696004331112E-2</v>
      </c>
      <c r="BH51" s="254">
        <v>1.801292784512043E-2</v>
      </c>
      <c r="BI51" s="12">
        <v>1.7069485038518906E-3</v>
      </c>
      <c r="BJ51" s="14">
        <v>1.2493910035118461E-3</v>
      </c>
      <c r="BK51" s="14">
        <v>7.8349938848987222E-4</v>
      </c>
      <c r="BL51"/>
      <c r="BM51" s="148">
        <v>1.330513134598732E-2</v>
      </c>
      <c r="BN51"/>
      <c r="BO51" s="304">
        <v>5.6209158152341843E-2</v>
      </c>
      <c r="BP51" s="12">
        <v>2.059105085209012E-3</v>
      </c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243</v>
      </c>
      <c r="B52">
        <v>0.44999998807907104</v>
      </c>
      <c r="C52">
        <v>0.4228794276714325</v>
      </c>
      <c r="D52"/>
      <c r="E52" s="14">
        <v>7.5123965507373214E-4</v>
      </c>
      <c r="F52" s="11">
        <v>6.7024790041614324E-5</v>
      </c>
      <c r="G52" s="245">
        <v>1.4636190608143806E-2</v>
      </c>
      <c r="H52"/>
      <c r="I52" s="12">
        <v>2.1255537867546082E-3</v>
      </c>
      <c r="J52" s="16">
        <v>6.9429506547749043E-3</v>
      </c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 s="23">
        <v>2.59760906919837E-3</v>
      </c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244</v>
      </c>
      <c r="B53">
        <v>0.20000000298023224</v>
      </c>
      <c r="C53">
        <v>9.0235238894820213E-3</v>
      </c>
      <c r="D53"/>
      <c r="E53" s="22">
        <v>1.5698324423283339E-3</v>
      </c>
      <c r="F53" s="11">
        <v>1.1340782293700613E-5</v>
      </c>
      <c r="G53" s="266">
        <v>5.3333353251218796E-2</v>
      </c>
      <c r="H53" s="11">
        <v>4.5307264372240752E-5</v>
      </c>
      <c r="I53" s="14">
        <v>3.5027935518883169E-4</v>
      </c>
      <c r="J53" s="274">
        <v>0.13023045659065247</v>
      </c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 s="18">
        <v>2.3166395258158445E-3</v>
      </c>
      <c r="BK53" s="16">
        <v>3.1192789319902658E-3</v>
      </c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245</v>
      </c>
      <c r="B54">
        <v>0.11299999803304672</v>
      </c>
      <c r="C54">
        <v>7.7325761318206787E-2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 s="278">
        <v>1.8592128530144691E-2</v>
      </c>
      <c r="BK54" s="277">
        <v>1.7082111909985542E-2</v>
      </c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246</v>
      </c>
      <c r="B55">
        <v>0.57899999618530273</v>
      </c>
      <c r="C55">
        <v>9.9716201424598694E-2</v>
      </c>
      <c r="D55" s="11">
        <v>5.7857141655404121E-6</v>
      </c>
      <c r="E55" s="14">
        <v>8.9285720605403185E-4</v>
      </c>
      <c r="F55" s="11">
        <v>2.8999998903600499E-5</v>
      </c>
      <c r="G55" s="15">
        <v>5.8405571617186069E-3</v>
      </c>
      <c r="H55" s="26">
        <v>1.5206472016870975E-2</v>
      </c>
      <c r="I55" s="272">
        <v>0.2387327253818512</v>
      </c>
      <c r="J55" s="275">
        <v>0.21270515024662018</v>
      </c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 s="23">
        <v>3.9521567523479462E-3</v>
      </c>
      <c r="BK55" s="12">
        <v>1.91907724365592E-3</v>
      </c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 t="s">
        <v>247</v>
      </c>
      <c r="B56">
        <v>7.5000002980232239E-2</v>
      </c>
      <c r="C56">
        <v>5.6003943085670471E-2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 s="263">
        <v>1.2748890556395054E-2</v>
      </c>
      <c r="BK56" s="276">
        <v>6.2471693381667137E-3</v>
      </c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 t="s">
        <v>248</v>
      </c>
      <c r="B57">
        <v>3.9999999105930328E-2</v>
      </c>
      <c r="C57">
        <v>3.8906697183847427E-2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 s="21">
        <v>7.693292573094368E-4</v>
      </c>
      <c r="BK57" s="22">
        <v>3.2397109316661954E-4</v>
      </c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 t="s">
        <v>249</v>
      </c>
      <c r="B58">
        <v>3.9999999105930328E-2</v>
      </c>
      <c r="C58">
        <v>1.6029709950089455E-2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 s="29">
        <v>1.8957587890326977E-3</v>
      </c>
      <c r="BL58"/>
      <c r="BM58"/>
      <c r="BN58"/>
      <c r="BO58" s="281">
        <v>2.207452803850174E-2</v>
      </c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 t="s">
        <v>250</v>
      </c>
      <c r="B59">
        <v>0.27500000596046448</v>
      </c>
      <c r="C59">
        <v>0.1598069965839386</v>
      </c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 s="279">
        <v>7.2243712842464447E-2</v>
      </c>
      <c r="BK59" s="107">
        <v>4.2949307709932327E-2</v>
      </c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 t="s">
        <v>251</v>
      </c>
      <c r="B60"/>
      <c r="C60">
        <v>0.50802284479141235</v>
      </c>
      <c r="D60"/>
      <c r="E60"/>
      <c r="F60"/>
      <c r="G60"/>
      <c r="H60"/>
      <c r="I60"/>
      <c r="J60"/>
      <c r="K60"/>
      <c r="L60" s="9">
        <v>479.06869506835938</v>
      </c>
      <c r="M60" s="9">
        <v>418.83499145507812</v>
      </c>
      <c r="N60" s="9">
        <v>139.44888305664062</v>
      </c>
      <c r="O60" s="9">
        <v>60.687694549560547</v>
      </c>
      <c r="P60" s="9">
        <v>15.965427398681641</v>
      </c>
      <c r="Q60" s="9">
        <v>126.20583343505859</v>
      </c>
      <c r="R60" s="9">
        <v>147.2406005859375</v>
      </c>
      <c r="S60" s="9">
        <v>44.371978759765625</v>
      </c>
      <c r="T60" s="9">
        <v>40.183723449707031</v>
      </c>
      <c r="U60" s="9">
        <v>57.71343994140625</v>
      </c>
      <c r="V60" s="9">
        <v>8.5566596984863281</v>
      </c>
      <c r="W60" s="9">
        <v>10.927922248840332</v>
      </c>
      <c r="X60" s="9">
        <v>2.7794911861419678</v>
      </c>
      <c r="Y60" s="9">
        <v>6.087056826800108E-4</v>
      </c>
      <c r="Z60"/>
      <c r="AA60"/>
      <c r="AB60" s="9">
        <v>6.9773855209350586</v>
      </c>
      <c r="AC60" s="9">
        <v>4.4577980041503906</v>
      </c>
      <c r="AD60" s="9">
        <v>0.34823149442672729</v>
      </c>
      <c r="AE60" s="9">
        <v>0.39707204699516296</v>
      </c>
      <c r="AF60"/>
      <c r="AG60"/>
      <c r="AH60" s="9">
        <v>0.19022221863269806</v>
      </c>
      <c r="AI60" s="9">
        <v>3.4906009677797556E-3</v>
      </c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 s="9">
        <v>5.8096344582736492E-4</v>
      </c>
      <c r="BL60"/>
      <c r="BM60"/>
      <c r="BN60" s="9">
        <v>1.9174838438630104E-2</v>
      </c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 t="s">
        <v>252</v>
      </c>
      <c r="B61"/>
      <c r="C61">
        <v>0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4.83203125" bestFit="1" customWidth="1"/>
    <col min="5" max="5" width="3.33203125" bestFit="1" customWidth="1"/>
    <col min="6" max="6" width="5.83203125" bestFit="1" customWidth="1"/>
    <col min="7" max="7" width="3.33203125" bestFit="1" customWidth="1"/>
    <col min="8" max="8" width="24.8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9" t="s">
        <v>193</v>
      </c>
      <c r="E5">
        <v>4</v>
      </c>
      <c r="F5">
        <v>2.1</v>
      </c>
      <c r="G5">
        <v>4</v>
      </c>
      <c r="H5" s="200" t="s">
        <v>193</v>
      </c>
      <c r="J5" s="57"/>
      <c r="K5" s="58"/>
    </row>
    <row r="6" spans="1:12" ht="14" thickBot="1" x14ac:dyDescent="0.2">
      <c r="A6" s="41" t="s">
        <v>121</v>
      </c>
      <c r="D6" s="199" t="s">
        <v>194</v>
      </c>
      <c r="E6">
        <v>5</v>
      </c>
      <c r="F6">
        <v>9</v>
      </c>
      <c r="G6">
        <v>5</v>
      </c>
      <c r="H6" s="200" t="s">
        <v>194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9" t="s">
        <v>195</v>
      </c>
      <c r="E7">
        <v>6</v>
      </c>
      <c r="F7">
        <v>3.1110000000000002</v>
      </c>
      <c r="G7">
        <v>6</v>
      </c>
      <c r="H7" s="200" t="s">
        <v>195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9" t="s">
        <v>196</v>
      </c>
      <c r="E8">
        <v>7</v>
      </c>
      <c r="F8">
        <v>3.11</v>
      </c>
      <c r="G8">
        <v>7</v>
      </c>
      <c r="H8" s="200" t="s">
        <v>196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9" t="s">
        <v>197</v>
      </c>
      <c r="E9">
        <v>8</v>
      </c>
      <c r="F9">
        <v>3.11</v>
      </c>
      <c r="G9">
        <v>8</v>
      </c>
      <c r="H9" s="200" t="s">
        <v>197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9" t="s">
        <v>198</v>
      </c>
      <c r="E10">
        <v>9</v>
      </c>
      <c r="F10">
        <v>3.11</v>
      </c>
      <c r="G10">
        <v>9</v>
      </c>
      <c r="H10" s="200" t="s">
        <v>198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9" t="s">
        <v>199</v>
      </c>
      <c r="E11">
        <v>10</v>
      </c>
      <c r="F11">
        <v>3.12</v>
      </c>
      <c r="G11">
        <v>10</v>
      </c>
      <c r="H11" s="200" t="s">
        <v>199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9" t="s">
        <v>200</v>
      </c>
      <c r="E12">
        <v>11</v>
      </c>
      <c r="F12">
        <v>3.21</v>
      </c>
      <c r="G12">
        <v>11</v>
      </c>
      <c r="H12" s="200" t="s">
        <v>200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9" t="s">
        <v>201</v>
      </c>
      <c r="E13">
        <v>12</v>
      </c>
      <c r="F13">
        <v>3.21</v>
      </c>
      <c r="G13">
        <v>12</v>
      </c>
      <c r="H13" s="200" t="s">
        <v>201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9" t="s">
        <v>202</v>
      </c>
      <c r="E14">
        <v>13</v>
      </c>
      <c r="F14">
        <v>3.21</v>
      </c>
      <c r="G14">
        <v>13</v>
      </c>
      <c r="H14" s="200" t="s">
        <v>202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9" t="s">
        <v>203</v>
      </c>
      <c r="E15">
        <v>14</v>
      </c>
      <c r="F15">
        <v>3.21</v>
      </c>
      <c r="G15">
        <v>14</v>
      </c>
      <c r="H15" s="200" t="s">
        <v>203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9" t="s">
        <v>204</v>
      </c>
      <c r="E16">
        <v>15</v>
      </c>
      <c r="F16">
        <v>3.21</v>
      </c>
      <c r="G16">
        <v>15</v>
      </c>
      <c r="H16" s="200" t="s">
        <v>204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9" t="s">
        <v>205</v>
      </c>
      <c r="E17">
        <v>16</v>
      </c>
      <c r="F17">
        <v>3.21</v>
      </c>
      <c r="G17">
        <v>16</v>
      </c>
      <c r="H17" s="200" t="s">
        <v>205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9" t="s">
        <v>206</v>
      </c>
      <c r="E18">
        <v>17</v>
      </c>
      <c r="F18">
        <v>3.02</v>
      </c>
      <c r="G18">
        <v>17</v>
      </c>
      <c r="H18" s="200" t="s">
        <v>206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9" t="s">
        <v>207</v>
      </c>
      <c r="E19">
        <v>18</v>
      </c>
      <c r="F19">
        <v>3.14</v>
      </c>
      <c r="G19">
        <v>18</v>
      </c>
      <c r="H19" s="200" t="s">
        <v>207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9" t="s">
        <v>208</v>
      </c>
      <c r="E20">
        <v>19</v>
      </c>
      <c r="F20">
        <v>3.14</v>
      </c>
      <c r="G20">
        <v>19</v>
      </c>
      <c r="H20" s="200" t="s">
        <v>208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9" t="s">
        <v>209</v>
      </c>
      <c r="E21">
        <v>20</v>
      </c>
      <c r="F21">
        <v>3.14</v>
      </c>
      <c r="G21">
        <v>20</v>
      </c>
      <c r="H21" s="200" t="s">
        <v>209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9" t="s">
        <v>210</v>
      </c>
      <c r="E22">
        <v>21</v>
      </c>
      <c r="F22">
        <v>3.14</v>
      </c>
      <c r="G22">
        <v>21</v>
      </c>
      <c r="H22" s="200" t="s">
        <v>210</v>
      </c>
    </row>
    <row r="23" spans="1:12" x14ac:dyDescent="0.15">
      <c r="A23" s="36" t="s">
        <v>129</v>
      </c>
      <c r="B23" s="44">
        <v>4</v>
      </c>
      <c r="C23" s="38"/>
      <c r="D23" s="199" t="s">
        <v>211</v>
      </c>
      <c r="E23">
        <v>22</v>
      </c>
      <c r="F23">
        <v>3.14</v>
      </c>
      <c r="G23">
        <v>22</v>
      </c>
      <c r="H23" s="200" t="s">
        <v>211</v>
      </c>
    </row>
    <row r="24" spans="1:12" x14ac:dyDescent="0.15">
      <c r="A24" s="36" t="s">
        <v>122</v>
      </c>
      <c r="B24" s="44">
        <v>4.0999999999999996</v>
      </c>
      <c r="C24" s="38"/>
      <c r="D24" s="199" t="s">
        <v>212</v>
      </c>
      <c r="E24">
        <v>23</v>
      </c>
      <c r="F24">
        <v>3.14</v>
      </c>
      <c r="G24">
        <v>23</v>
      </c>
      <c r="H24" s="200" t="s">
        <v>212</v>
      </c>
    </row>
    <row r="25" spans="1:12" x14ac:dyDescent="0.15">
      <c r="A25" s="36" t="s">
        <v>70</v>
      </c>
      <c r="B25" s="44">
        <v>4.2</v>
      </c>
      <c r="C25" s="38"/>
      <c r="D25" s="199" t="s">
        <v>213</v>
      </c>
      <c r="E25">
        <v>24</v>
      </c>
      <c r="F25">
        <v>3.14</v>
      </c>
      <c r="G25">
        <v>24</v>
      </c>
      <c r="H25" s="200" t="s">
        <v>213</v>
      </c>
    </row>
    <row r="26" spans="1:12" x14ac:dyDescent="0.15">
      <c r="A26" s="36" t="s">
        <v>123</v>
      </c>
      <c r="B26" s="44">
        <v>4.3</v>
      </c>
      <c r="C26" s="38"/>
      <c r="D26" s="199" t="s">
        <v>214</v>
      </c>
      <c r="E26">
        <v>25</v>
      </c>
      <c r="F26">
        <v>3.14</v>
      </c>
      <c r="G26">
        <v>25</v>
      </c>
      <c r="H26" s="200" t="s">
        <v>214</v>
      </c>
    </row>
    <row r="27" spans="1:12" x14ac:dyDescent="0.15">
      <c r="A27" s="36" t="s">
        <v>125</v>
      </c>
      <c r="B27" s="44">
        <v>6.1</v>
      </c>
      <c r="D27" s="199" t="s">
        <v>215</v>
      </c>
      <c r="E27">
        <v>26</v>
      </c>
      <c r="F27">
        <v>3.13</v>
      </c>
      <c r="G27">
        <v>26</v>
      </c>
      <c r="H27" s="200" t="s">
        <v>215</v>
      </c>
    </row>
    <row r="28" spans="1:12" x14ac:dyDescent="0.15">
      <c r="A28" s="36" t="s">
        <v>124</v>
      </c>
      <c r="B28" s="44">
        <v>6.2</v>
      </c>
      <c r="D28" s="199" t="s">
        <v>216</v>
      </c>
      <c r="E28">
        <v>27</v>
      </c>
      <c r="F28">
        <v>3.24</v>
      </c>
      <c r="G28">
        <v>27</v>
      </c>
      <c r="H28" s="200" t="s">
        <v>216</v>
      </c>
    </row>
    <row r="29" spans="1:12" x14ac:dyDescent="0.15">
      <c r="A29" s="36" t="s">
        <v>44</v>
      </c>
      <c r="B29" s="44">
        <v>5</v>
      </c>
      <c r="D29" s="199" t="s">
        <v>217</v>
      </c>
      <c r="E29">
        <v>28</v>
      </c>
      <c r="F29">
        <v>3.14</v>
      </c>
      <c r="G29">
        <v>28</v>
      </c>
      <c r="H29" s="200" t="s">
        <v>217</v>
      </c>
    </row>
    <row r="30" spans="1:12" x14ac:dyDescent="0.15">
      <c r="A30" s="36" t="s">
        <v>73</v>
      </c>
      <c r="B30" s="44">
        <v>7</v>
      </c>
      <c r="D30" s="199" t="s">
        <v>218</v>
      </c>
      <c r="E30">
        <v>29</v>
      </c>
      <c r="F30">
        <v>3.14</v>
      </c>
      <c r="G30">
        <v>29</v>
      </c>
      <c r="H30" s="200" t="s">
        <v>218</v>
      </c>
    </row>
    <row r="31" spans="1:12" x14ac:dyDescent="0.15">
      <c r="A31" s="36" t="s">
        <v>169</v>
      </c>
      <c r="B31" s="44">
        <v>3.14</v>
      </c>
      <c r="D31" s="199" t="s">
        <v>219</v>
      </c>
      <c r="E31">
        <v>30</v>
      </c>
      <c r="F31">
        <v>3.14</v>
      </c>
      <c r="G31">
        <v>30</v>
      </c>
      <c r="H31" s="200" t="s">
        <v>219</v>
      </c>
    </row>
    <row r="32" spans="1:12" ht="12" customHeight="1" thickBot="1" x14ac:dyDescent="0.2">
      <c r="A32" s="42" t="s">
        <v>170</v>
      </c>
      <c r="B32" s="45">
        <v>9</v>
      </c>
      <c r="D32" s="199" t="s">
        <v>220</v>
      </c>
      <c r="E32">
        <v>31</v>
      </c>
      <c r="F32">
        <v>3.14</v>
      </c>
      <c r="G32">
        <v>31</v>
      </c>
      <c r="H32" s="200" t="s">
        <v>220</v>
      </c>
    </row>
    <row r="33" spans="4:8" customFormat="1" ht="12" customHeight="1" x14ac:dyDescent="0.15">
      <c r="D33" s="199" t="s">
        <v>221</v>
      </c>
      <c r="E33">
        <v>32</v>
      </c>
      <c r="F33">
        <v>3.14</v>
      </c>
      <c r="G33">
        <v>32</v>
      </c>
      <c r="H33" s="200" t="s">
        <v>221</v>
      </c>
    </row>
    <row r="34" spans="4:8" customFormat="1" ht="12" customHeight="1" x14ac:dyDescent="0.15">
      <c r="D34" s="199" t="s">
        <v>222</v>
      </c>
      <c r="E34">
        <v>33</v>
      </c>
      <c r="F34">
        <v>3.14</v>
      </c>
      <c r="G34">
        <v>33</v>
      </c>
      <c r="H34" s="200" t="s">
        <v>222</v>
      </c>
    </row>
    <row r="35" spans="4:8" customFormat="1" x14ac:dyDescent="0.15">
      <c r="D35" s="199" t="s">
        <v>223</v>
      </c>
      <c r="E35">
        <v>34</v>
      </c>
      <c r="F35">
        <v>3.14</v>
      </c>
      <c r="G35">
        <v>34</v>
      </c>
      <c r="H35" s="200" t="s">
        <v>223</v>
      </c>
    </row>
    <row r="36" spans="4:8" customFormat="1" x14ac:dyDescent="0.15">
      <c r="D36" s="199" t="s">
        <v>224</v>
      </c>
      <c r="E36">
        <v>35</v>
      </c>
      <c r="F36">
        <v>3.24</v>
      </c>
      <c r="G36">
        <v>35</v>
      </c>
      <c r="H36" s="200" t="s">
        <v>224</v>
      </c>
    </row>
    <row r="37" spans="4:8" customFormat="1" ht="12" customHeight="1" x14ac:dyDescent="0.15">
      <c r="D37" s="199" t="s">
        <v>225</v>
      </c>
      <c r="E37">
        <v>36</v>
      </c>
      <c r="F37">
        <v>3.24</v>
      </c>
      <c r="G37">
        <v>36</v>
      </c>
      <c r="H37" s="200" t="s">
        <v>225</v>
      </c>
    </row>
    <row r="38" spans="4:8" customFormat="1" x14ac:dyDescent="0.15">
      <c r="D38" s="199" t="s">
        <v>226</v>
      </c>
      <c r="E38">
        <v>37</v>
      </c>
      <c r="F38">
        <v>3.24</v>
      </c>
      <c r="G38">
        <v>37</v>
      </c>
      <c r="H38" s="200" t="s">
        <v>226</v>
      </c>
    </row>
    <row r="39" spans="4:8" customFormat="1" x14ac:dyDescent="0.15">
      <c r="D39" s="199" t="s">
        <v>227</v>
      </c>
      <c r="E39">
        <v>38</v>
      </c>
      <c r="F39">
        <v>3.24</v>
      </c>
      <c r="G39">
        <v>38</v>
      </c>
      <c r="H39" s="200" t="s">
        <v>227</v>
      </c>
    </row>
    <row r="40" spans="4:8" customFormat="1" x14ac:dyDescent="0.15">
      <c r="D40" s="199" t="s">
        <v>228</v>
      </c>
      <c r="E40">
        <v>39</v>
      </c>
      <c r="F40">
        <v>3.24</v>
      </c>
      <c r="G40">
        <v>39</v>
      </c>
      <c r="H40" s="200" t="s">
        <v>228</v>
      </c>
    </row>
    <row r="41" spans="4:8" customFormat="1" x14ac:dyDescent="0.15">
      <c r="D41" s="199" t="s">
        <v>229</v>
      </c>
      <c r="E41">
        <v>40</v>
      </c>
      <c r="F41">
        <v>3.24</v>
      </c>
      <c r="G41">
        <v>40</v>
      </c>
      <c r="H41" s="200" t="s">
        <v>229</v>
      </c>
    </row>
    <row r="42" spans="4:8" customFormat="1" x14ac:dyDescent="0.15">
      <c r="D42" s="199" t="s">
        <v>230</v>
      </c>
      <c r="E42">
        <v>41</v>
      </c>
      <c r="F42">
        <v>3.24</v>
      </c>
      <c r="G42">
        <v>41</v>
      </c>
      <c r="H42" s="200" t="s">
        <v>230</v>
      </c>
    </row>
    <row r="43" spans="4:8" customFormat="1" x14ac:dyDescent="0.15">
      <c r="D43" s="199" t="s">
        <v>231</v>
      </c>
      <c r="E43">
        <v>42</v>
      </c>
      <c r="F43">
        <v>3.24</v>
      </c>
      <c r="G43">
        <v>42</v>
      </c>
      <c r="H43" s="200" t="s">
        <v>231</v>
      </c>
    </row>
    <row r="44" spans="4:8" customFormat="1" x14ac:dyDescent="0.15">
      <c r="D44" s="199" t="s">
        <v>232</v>
      </c>
      <c r="E44">
        <v>43</v>
      </c>
      <c r="F44">
        <v>3.24</v>
      </c>
      <c r="G44">
        <v>43</v>
      </c>
      <c r="H44" s="200" t="s">
        <v>232</v>
      </c>
    </row>
    <row r="45" spans="4:8" customFormat="1" x14ac:dyDescent="0.15">
      <c r="D45" s="199" t="s">
        <v>233</v>
      </c>
      <c r="E45">
        <v>44</v>
      </c>
      <c r="F45">
        <v>3.14</v>
      </c>
      <c r="G45">
        <v>44</v>
      </c>
      <c r="H45" s="200" t="s">
        <v>233</v>
      </c>
    </row>
    <row r="46" spans="4:8" customFormat="1" x14ac:dyDescent="0.15">
      <c r="D46" s="199" t="s">
        <v>234</v>
      </c>
      <c r="E46">
        <v>45</v>
      </c>
      <c r="F46">
        <v>3.24</v>
      </c>
      <c r="G46">
        <v>45</v>
      </c>
      <c r="H46" s="200" t="s">
        <v>234</v>
      </c>
    </row>
    <row r="47" spans="4:8" customFormat="1" x14ac:dyDescent="0.15">
      <c r="D47" s="199" t="s">
        <v>235</v>
      </c>
      <c r="E47">
        <v>46</v>
      </c>
      <c r="F47">
        <v>3.24</v>
      </c>
      <c r="G47">
        <v>46</v>
      </c>
      <c r="H47" s="200" t="s">
        <v>235</v>
      </c>
    </row>
    <row r="48" spans="4:8" customFormat="1" x14ac:dyDescent="0.15">
      <c r="D48" s="199" t="s">
        <v>236</v>
      </c>
      <c r="E48">
        <v>47</v>
      </c>
      <c r="F48">
        <v>3.24</v>
      </c>
      <c r="G48">
        <v>47</v>
      </c>
      <c r="H48" s="200" t="s">
        <v>236</v>
      </c>
    </row>
    <row r="49" spans="4:8" customFormat="1" x14ac:dyDescent="0.15">
      <c r="D49" s="199" t="s">
        <v>237</v>
      </c>
      <c r="E49">
        <v>48</v>
      </c>
      <c r="F49">
        <v>3.24</v>
      </c>
      <c r="G49">
        <v>48</v>
      </c>
      <c r="H49" s="200" t="s">
        <v>237</v>
      </c>
    </row>
    <row r="50" spans="4:8" customFormat="1" ht="12" customHeight="1" x14ac:dyDescent="0.15">
      <c r="D50" s="199" t="s">
        <v>238</v>
      </c>
      <c r="E50">
        <v>49</v>
      </c>
      <c r="F50">
        <v>3.24</v>
      </c>
      <c r="G50">
        <v>49</v>
      </c>
      <c r="H50" s="200" t="s">
        <v>238</v>
      </c>
    </row>
    <row r="51" spans="4:8" customFormat="1" x14ac:dyDescent="0.15">
      <c r="D51" s="199" t="s">
        <v>239</v>
      </c>
      <c r="E51">
        <v>50</v>
      </c>
      <c r="F51">
        <v>3.24</v>
      </c>
      <c r="G51">
        <v>50</v>
      </c>
      <c r="H51" s="200" t="s">
        <v>239</v>
      </c>
    </row>
    <row r="52" spans="4:8" customFormat="1" ht="12" customHeight="1" x14ac:dyDescent="0.15">
      <c r="D52" s="199" t="s">
        <v>240</v>
      </c>
      <c r="E52">
        <v>51</v>
      </c>
      <c r="F52">
        <v>3.2</v>
      </c>
      <c r="G52">
        <v>51</v>
      </c>
      <c r="H52" s="200" t="s">
        <v>240</v>
      </c>
    </row>
    <row r="53" spans="4:8" customFormat="1" x14ac:dyDescent="0.15">
      <c r="D53" s="199" t="s">
        <v>241</v>
      </c>
      <c r="E53">
        <v>52</v>
      </c>
      <c r="F53">
        <v>3.24</v>
      </c>
      <c r="G53">
        <v>52</v>
      </c>
      <c r="H53" s="200" t="s">
        <v>241</v>
      </c>
    </row>
    <row r="54" spans="4:8" customFormat="1" ht="12" customHeight="1" x14ac:dyDescent="0.15">
      <c r="D54" s="199" t="s">
        <v>242</v>
      </c>
      <c r="E54">
        <v>53</v>
      </c>
      <c r="F54">
        <v>3.24</v>
      </c>
      <c r="G54">
        <v>53</v>
      </c>
      <c r="H54" s="200" t="s">
        <v>242</v>
      </c>
    </row>
    <row r="55" spans="4:8" customFormat="1" ht="12" customHeight="1" x14ac:dyDescent="0.15">
      <c r="D55" s="199" t="s">
        <v>243</v>
      </c>
      <c r="E55">
        <v>54</v>
      </c>
      <c r="F55">
        <v>3.1</v>
      </c>
      <c r="G55">
        <v>54</v>
      </c>
      <c r="H55" s="200" t="s">
        <v>243</v>
      </c>
    </row>
    <row r="56" spans="4:8" customFormat="1" x14ac:dyDescent="0.15">
      <c r="D56" s="199" t="s">
        <v>244</v>
      </c>
      <c r="E56">
        <v>55</v>
      </c>
      <c r="F56">
        <v>3.14</v>
      </c>
      <c r="G56">
        <v>55</v>
      </c>
      <c r="H56" s="200" t="s">
        <v>244</v>
      </c>
    </row>
    <row r="57" spans="4:8" customFormat="1" x14ac:dyDescent="0.15">
      <c r="D57" s="199" t="s">
        <v>245</v>
      </c>
      <c r="E57">
        <v>56</v>
      </c>
      <c r="F57">
        <v>3.14</v>
      </c>
      <c r="G57">
        <v>56</v>
      </c>
      <c r="H57" s="200" t="s">
        <v>245</v>
      </c>
    </row>
    <row r="58" spans="4:8" customFormat="1" x14ac:dyDescent="0.15">
      <c r="D58" s="199" t="s">
        <v>246</v>
      </c>
      <c r="E58">
        <v>57</v>
      </c>
      <c r="F58">
        <v>3.14</v>
      </c>
      <c r="G58">
        <v>57</v>
      </c>
      <c r="H58" s="200" t="s">
        <v>246</v>
      </c>
    </row>
    <row r="59" spans="4:8" customFormat="1" x14ac:dyDescent="0.15">
      <c r="D59" s="199" t="s">
        <v>247</v>
      </c>
      <c r="E59">
        <v>58</v>
      </c>
      <c r="F59">
        <v>3.16</v>
      </c>
      <c r="G59">
        <v>58</v>
      </c>
      <c r="H59" s="200" t="s">
        <v>247</v>
      </c>
    </row>
    <row r="60" spans="4:8" customFormat="1" x14ac:dyDescent="0.15">
      <c r="D60" s="199" t="s">
        <v>248</v>
      </c>
      <c r="E60">
        <v>59</v>
      </c>
      <c r="F60">
        <v>3.16</v>
      </c>
      <c r="G60">
        <v>59</v>
      </c>
      <c r="H60" s="200" t="s">
        <v>248</v>
      </c>
    </row>
    <row r="61" spans="4:8" customFormat="1" x14ac:dyDescent="0.15">
      <c r="D61" s="199" t="s">
        <v>249</v>
      </c>
      <c r="E61">
        <v>60</v>
      </c>
      <c r="F61">
        <v>3.16</v>
      </c>
      <c r="G61">
        <v>60</v>
      </c>
      <c r="H61" s="200" t="s">
        <v>249</v>
      </c>
    </row>
    <row r="62" spans="4:8" customFormat="1" x14ac:dyDescent="0.15">
      <c r="D62" s="199" t="s">
        <v>250</v>
      </c>
      <c r="E62">
        <v>61</v>
      </c>
      <c r="F62">
        <v>3.16</v>
      </c>
      <c r="G62">
        <v>61</v>
      </c>
      <c r="H62" s="200" t="s">
        <v>250</v>
      </c>
    </row>
    <row r="63" spans="4:8" customFormat="1" x14ac:dyDescent="0.15">
      <c r="D63" s="199" t="s">
        <v>251</v>
      </c>
      <c r="E63">
        <v>62</v>
      </c>
      <c r="F63">
        <v>4.0999999999999996</v>
      </c>
      <c r="G63">
        <v>62</v>
      </c>
      <c r="H63" s="200" t="s">
        <v>251</v>
      </c>
    </row>
    <row r="64" spans="4:8" customFormat="1" x14ac:dyDescent="0.15">
      <c r="D64" s="199" t="s">
        <v>252</v>
      </c>
      <c r="E64">
        <v>63</v>
      </c>
      <c r="F64">
        <v>4.3</v>
      </c>
      <c r="G64">
        <v>63</v>
      </c>
      <c r="H64" s="200" t="s">
        <v>252</v>
      </c>
    </row>
    <row r="65" spans="4:8" customFormat="1" x14ac:dyDescent="0.15">
      <c r="D65" s="199" t="s">
        <v>253</v>
      </c>
      <c r="E65">
        <v>64</v>
      </c>
      <c r="F65">
        <v>5</v>
      </c>
      <c r="G65">
        <v>64</v>
      </c>
      <c r="H65" s="200" t="s">
        <v>253</v>
      </c>
    </row>
    <row r="66" spans="4:8" customFormat="1" x14ac:dyDescent="0.15">
      <c r="D66" s="199" t="s">
        <v>254</v>
      </c>
      <c r="E66">
        <v>65</v>
      </c>
      <c r="F66">
        <v>5</v>
      </c>
      <c r="G66">
        <v>65</v>
      </c>
      <c r="H66" s="200" t="s">
        <v>254</v>
      </c>
    </row>
    <row r="67" spans="4:8" customFormat="1" x14ac:dyDescent="0.15">
      <c r="D67" s="199" t="s">
        <v>255</v>
      </c>
      <c r="E67">
        <v>66</v>
      </c>
      <c r="F67">
        <v>5</v>
      </c>
      <c r="G67">
        <v>66</v>
      </c>
      <c r="H67" s="200" t="s">
        <v>255</v>
      </c>
    </row>
    <row r="68" spans="4:8" customFormat="1" x14ac:dyDescent="0.15">
      <c r="D68" s="199" t="s">
        <v>256</v>
      </c>
      <c r="E68">
        <v>67</v>
      </c>
      <c r="F68">
        <v>5</v>
      </c>
      <c r="G68">
        <v>67</v>
      </c>
      <c r="H68" s="200" t="s">
        <v>256</v>
      </c>
    </row>
    <row r="69" spans="4:8" customFormat="1" x14ac:dyDescent="0.15">
      <c r="D69" s="199" t="s">
        <v>257</v>
      </c>
      <c r="E69">
        <v>68</v>
      </c>
      <c r="F69">
        <v>5</v>
      </c>
      <c r="G69">
        <v>68</v>
      </c>
      <c r="H69" s="200" t="s">
        <v>257</v>
      </c>
    </row>
    <row r="70" spans="4:8" customFormat="1" x14ac:dyDescent="0.15">
      <c r="D70" s="199" t="s">
        <v>258</v>
      </c>
      <c r="E70">
        <v>69</v>
      </c>
      <c r="F70">
        <v>5</v>
      </c>
      <c r="G70">
        <v>69</v>
      </c>
      <c r="H70" s="200" t="s">
        <v>258</v>
      </c>
    </row>
    <row r="71" spans="4:8" customFormat="1" x14ac:dyDescent="0.15">
      <c r="D71" s="199" t="s">
        <v>259</v>
      </c>
      <c r="E71">
        <v>70</v>
      </c>
      <c r="F71">
        <v>5</v>
      </c>
      <c r="G71">
        <v>70</v>
      </c>
      <c r="H71" s="200" t="s">
        <v>259</v>
      </c>
    </row>
    <row r="72" spans="4:8" customFormat="1" x14ac:dyDescent="0.15">
      <c r="D72" s="199" t="s">
        <v>138</v>
      </c>
      <c r="E72">
        <v>71</v>
      </c>
      <c r="F72">
        <v>6.1</v>
      </c>
      <c r="G72">
        <v>71</v>
      </c>
      <c r="H72" s="200" t="s">
        <v>138</v>
      </c>
    </row>
    <row r="73" spans="4:8" customFormat="1" x14ac:dyDescent="0.15">
      <c r="D73" s="199" t="s">
        <v>45</v>
      </c>
      <c r="E73">
        <v>72</v>
      </c>
      <c r="F73">
        <v>6.2</v>
      </c>
      <c r="G73">
        <v>72</v>
      </c>
      <c r="H73" s="200" t="s">
        <v>45</v>
      </c>
    </row>
    <row r="74" spans="4:8" customFormat="1" x14ac:dyDescent="0.15"/>
    <row r="75" spans="4:8" customFormat="1" x14ac:dyDescent="0.15"/>
    <row r="76" spans="4:8" customFormat="1" x14ac:dyDescent="0.15"/>
    <row r="77" spans="4:8" customFormat="1" x14ac:dyDescent="0.15"/>
    <row r="78" spans="4:8" customFormat="1" x14ac:dyDescent="0.15"/>
    <row r="79" spans="4:8" customFormat="1" x14ac:dyDescent="0.15"/>
    <row r="80" spans="4:8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4" bestFit="1" customWidth="1"/>
    <col min="2" max="2" width="5.83203125" style="83" customWidth="1"/>
    <col min="3" max="3" width="13.1640625" style="83" customWidth="1"/>
    <col min="4" max="4" width="39.6640625" style="83" customWidth="1"/>
    <col min="5" max="5" width="8.1640625" style="83" customWidth="1"/>
    <col min="6" max="6" width="24.83203125" style="83" bestFit="1" customWidth="1"/>
    <col min="7" max="9" width="2.33203125" style="83" customWidth="1"/>
    <col min="10" max="10" width="2.33203125" style="83" bestFit="1" customWidth="1"/>
    <col min="11" max="15" width="2.33203125" style="83" customWidth="1"/>
    <col min="16" max="16" width="2.33203125" style="73" customWidth="1"/>
    <col min="17" max="17" width="2.33203125" style="83" customWidth="1"/>
    <col min="18" max="18" width="2.33203125" style="74" customWidth="1"/>
    <col min="19" max="16384" width="11.5" style="83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5" t="s">
        <v>48</v>
      </c>
      <c r="L1" s="74"/>
      <c r="M1" s="85" t="s">
        <v>119</v>
      </c>
      <c r="N1" s="74"/>
      <c r="O1" s="85" t="s">
        <v>49</v>
      </c>
      <c r="P1" s="77"/>
      <c r="Q1" s="85" t="s">
        <v>50</v>
      </c>
      <c r="R1" s="71" t="s">
        <v>154</v>
      </c>
    </row>
    <row r="2" spans="1:23" ht="15" customHeight="1" x14ac:dyDescent="0.15">
      <c r="A2" s="85" t="s">
        <v>51</v>
      </c>
      <c r="B2" s="86">
        <v>0.5</v>
      </c>
      <c r="C2" s="84" t="s">
        <v>52</v>
      </c>
      <c r="D2" s="87"/>
      <c r="F2" s="1"/>
      <c r="G2" s="88"/>
      <c r="H2" s="88"/>
      <c r="I2" s="88" t="s">
        <v>133</v>
      </c>
      <c r="J2" s="88" t="s">
        <v>133</v>
      </c>
      <c r="K2" s="88" t="s">
        <v>52</v>
      </c>
      <c r="L2" s="88" t="s">
        <v>53</v>
      </c>
      <c r="M2" s="88" t="s">
        <v>52</v>
      </c>
      <c r="N2" s="88" t="s">
        <v>53</v>
      </c>
      <c r="O2" s="88" t="s">
        <v>52</v>
      </c>
      <c r="P2" s="89" t="s">
        <v>53</v>
      </c>
      <c r="Q2" s="88"/>
      <c r="R2" s="90" t="s">
        <v>155</v>
      </c>
    </row>
    <row r="3" spans="1:23" ht="15" customHeight="1" thickBot="1" x14ac:dyDescent="0.2">
      <c r="A3" s="85" t="s">
        <v>54</v>
      </c>
      <c r="B3" s="91">
        <v>0.5</v>
      </c>
      <c r="C3" s="84" t="s">
        <v>53</v>
      </c>
      <c r="D3" s="8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2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2">
        <v>0</v>
      </c>
      <c r="R4" s="114">
        <v>0</v>
      </c>
    </row>
    <row r="5" spans="1:23" ht="15" customHeight="1" x14ac:dyDescent="0.15">
      <c r="A5" s="85" t="s">
        <v>55</v>
      </c>
      <c r="B5" s="92">
        <v>0.5</v>
      </c>
      <c r="C5" s="84" t="s">
        <v>52</v>
      </c>
      <c r="D5" s="8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2">
        <v>0</v>
      </c>
      <c r="R5" s="114">
        <v>0</v>
      </c>
    </row>
    <row r="6" spans="1:23" ht="15" customHeight="1" thickBot="1" x14ac:dyDescent="0.2">
      <c r="A6" s="85"/>
      <c r="B6" s="93">
        <v>0.5</v>
      </c>
      <c r="C6" s="84" t="s">
        <v>53</v>
      </c>
      <c r="D6" s="87"/>
      <c r="F6" s="201" t="s">
        <v>193</v>
      </c>
      <c r="G6" s="83">
        <v>0</v>
      </c>
      <c r="H6" s="83">
        <v>0</v>
      </c>
      <c r="I6" s="83">
        <v>0</v>
      </c>
      <c r="J6" s="83">
        <v>0</v>
      </c>
      <c r="K6" s="83">
        <v>0</v>
      </c>
      <c r="L6" s="83">
        <v>0</v>
      </c>
      <c r="M6" s="83">
        <v>1</v>
      </c>
      <c r="N6" s="83">
        <v>0</v>
      </c>
      <c r="O6" s="83">
        <v>0</v>
      </c>
      <c r="P6" s="73">
        <v>0</v>
      </c>
      <c r="Q6" s="83">
        <v>0</v>
      </c>
      <c r="R6" s="74">
        <v>1</v>
      </c>
      <c r="S6"/>
      <c r="T6"/>
    </row>
    <row r="7" spans="1:23" ht="15" customHeight="1" thickBot="1" x14ac:dyDescent="0.2">
      <c r="F7" s="201" t="s">
        <v>194</v>
      </c>
      <c r="G7" s="83">
        <v>0</v>
      </c>
      <c r="H7" s="83">
        <v>0</v>
      </c>
      <c r="I7" s="83">
        <v>0</v>
      </c>
      <c r="J7" s="83">
        <v>0</v>
      </c>
      <c r="K7" s="83">
        <v>1</v>
      </c>
      <c r="L7" s="83">
        <v>0</v>
      </c>
      <c r="M7" s="83">
        <v>1</v>
      </c>
      <c r="N7" s="83">
        <v>0</v>
      </c>
      <c r="O7" s="83">
        <v>1</v>
      </c>
      <c r="P7" s="73">
        <v>0</v>
      </c>
      <c r="Q7" s="83">
        <v>0</v>
      </c>
      <c r="R7" s="74">
        <v>1</v>
      </c>
      <c r="S7"/>
      <c r="T7"/>
    </row>
    <row r="8" spans="1:23" ht="15" customHeight="1" x14ac:dyDescent="0.15">
      <c r="A8" s="85" t="s">
        <v>56</v>
      </c>
      <c r="B8" s="92">
        <v>1</v>
      </c>
      <c r="C8" s="202" t="s">
        <v>193</v>
      </c>
      <c r="D8" s="87" t="s">
        <v>160</v>
      </c>
      <c r="F8" s="201" t="s">
        <v>195</v>
      </c>
      <c r="G8" s="83">
        <v>0</v>
      </c>
      <c r="H8" s="83">
        <v>0</v>
      </c>
      <c r="I8" s="83">
        <v>0</v>
      </c>
      <c r="J8" s="83">
        <v>0</v>
      </c>
      <c r="K8" s="83">
        <v>1</v>
      </c>
      <c r="L8" s="83">
        <v>0</v>
      </c>
      <c r="M8" s="83">
        <v>1</v>
      </c>
      <c r="N8" s="83">
        <v>0</v>
      </c>
      <c r="O8" s="83">
        <v>1</v>
      </c>
      <c r="P8" s="73">
        <v>0</v>
      </c>
      <c r="Q8" s="83">
        <v>0</v>
      </c>
      <c r="R8" s="74">
        <v>1</v>
      </c>
      <c r="S8"/>
      <c r="T8"/>
      <c r="W8"/>
    </row>
    <row r="9" spans="1:23" ht="15" customHeight="1" x14ac:dyDescent="0.15">
      <c r="A9" s="128" t="s">
        <v>168</v>
      </c>
      <c r="B9" s="94"/>
      <c r="C9" s="82"/>
      <c r="D9" s="87" t="s">
        <v>160</v>
      </c>
      <c r="F9" s="201" t="s">
        <v>196</v>
      </c>
      <c r="G9" s="83">
        <v>0</v>
      </c>
      <c r="H9" s="83">
        <v>0</v>
      </c>
      <c r="I9" s="83">
        <v>0</v>
      </c>
      <c r="J9" s="83">
        <v>0</v>
      </c>
      <c r="K9" s="83">
        <v>1</v>
      </c>
      <c r="L9" s="83">
        <v>0</v>
      </c>
      <c r="M9" s="83">
        <v>1</v>
      </c>
      <c r="N9" s="83">
        <v>0</v>
      </c>
      <c r="O9" s="83">
        <v>1</v>
      </c>
      <c r="P9" s="73">
        <v>0</v>
      </c>
      <c r="Q9" s="83">
        <v>0</v>
      </c>
      <c r="R9" s="74">
        <v>1</v>
      </c>
      <c r="S9"/>
      <c r="T9"/>
      <c r="W9"/>
    </row>
    <row r="10" spans="1:23" ht="15" customHeight="1" x14ac:dyDescent="0.15">
      <c r="B10" s="94"/>
      <c r="C10" s="82"/>
      <c r="D10" s="87" t="s">
        <v>160</v>
      </c>
      <c r="F10" s="201" t="s">
        <v>197</v>
      </c>
      <c r="G10" s="83">
        <v>0</v>
      </c>
      <c r="H10" s="83">
        <v>0</v>
      </c>
      <c r="I10" s="83">
        <v>0</v>
      </c>
      <c r="J10" s="83">
        <v>0</v>
      </c>
      <c r="K10" s="83">
        <v>1</v>
      </c>
      <c r="L10" s="83">
        <v>0</v>
      </c>
      <c r="M10" s="83">
        <v>1</v>
      </c>
      <c r="N10" s="83">
        <v>0</v>
      </c>
      <c r="O10" s="83">
        <v>1</v>
      </c>
      <c r="P10" s="73">
        <v>0</v>
      </c>
      <c r="Q10" s="83">
        <v>0</v>
      </c>
      <c r="R10" s="74">
        <v>1</v>
      </c>
      <c r="S10"/>
      <c r="T10"/>
      <c r="W10"/>
    </row>
    <row r="11" spans="1:23" ht="15" customHeight="1" x14ac:dyDescent="0.15">
      <c r="A11" s="85"/>
      <c r="B11" s="94"/>
      <c r="C11" s="97"/>
      <c r="D11" s="87" t="s">
        <v>160</v>
      </c>
      <c r="F11" s="201" t="s">
        <v>198</v>
      </c>
      <c r="G11" s="83">
        <v>0</v>
      </c>
      <c r="H11" s="83">
        <v>0</v>
      </c>
      <c r="I11" s="83">
        <v>0</v>
      </c>
      <c r="J11" s="83">
        <v>0</v>
      </c>
      <c r="K11" s="83">
        <v>1</v>
      </c>
      <c r="L11" s="83">
        <v>0</v>
      </c>
      <c r="M11" s="83">
        <v>1</v>
      </c>
      <c r="N11" s="83">
        <v>0</v>
      </c>
      <c r="O11" s="83">
        <v>1</v>
      </c>
      <c r="P11" s="73">
        <v>0</v>
      </c>
      <c r="Q11" s="83">
        <v>0</v>
      </c>
      <c r="R11" s="74">
        <v>1</v>
      </c>
      <c r="S11"/>
      <c r="T11"/>
      <c r="W11"/>
    </row>
    <row r="12" spans="1:23" ht="15" customHeight="1" x14ac:dyDescent="0.15">
      <c r="B12" s="94"/>
      <c r="C12" s="98"/>
      <c r="D12" s="87" t="s">
        <v>160</v>
      </c>
      <c r="F12" s="201" t="s">
        <v>199</v>
      </c>
      <c r="G12" s="83">
        <v>0</v>
      </c>
      <c r="H12" s="83">
        <v>0</v>
      </c>
      <c r="I12" s="83">
        <v>0</v>
      </c>
      <c r="J12" s="83">
        <v>0</v>
      </c>
      <c r="K12" s="83">
        <v>1</v>
      </c>
      <c r="L12" s="83">
        <v>0</v>
      </c>
      <c r="M12" s="83">
        <v>1</v>
      </c>
      <c r="N12" s="83">
        <v>0</v>
      </c>
      <c r="O12" s="83">
        <v>1</v>
      </c>
      <c r="P12" s="73">
        <v>0</v>
      </c>
      <c r="Q12" s="83">
        <v>0</v>
      </c>
      <c r="R12" s="74">
        <v>1</v>
      </c>
      <c r="S12"/>
      <c r="T12"/>
      <c r="W12"/>
    </row>
    <row r="13" spans="1:23" ht="15" customHeight="1" x14ac:dyDescent="0.15">
      <c r="B13" s="94"/>
      <c r="C13" s="98"/>
      <c r="D13" s="87" t="s">
        <v>160</v>
      </c>
      <c r="F13" s="201" t="s">
        <v>200</v>
      </c>
      <c r="G13" s="83">
        <v>0</v>
      </c>
      <c r="H13" s="83">
        <v>0</v>
      </c>
      <c r="I13" s="83">
        <v>0</v>
      </c>
      <c r="J13" s="83">
        <v>0</v>
      </c>
      <c r="K13" s="83">
        <v>1</v>
      </c>
      <c r="L13" s="83">
        <v>0</v>
      </c>
      <c r="M13" s="83">
        <v>1</v>
      </c>
      <c r="N13" s="83">
        <v>0</v>
      </c>
      <c r="O13" s="83">
        <v>1</v>
      </c>
      <c r="P13" s="73">
        <v>0</v>
      </c>
      <c r="Q13" s="83">
        <v>0</v>
      </c>
      <c r="R13" s="74">
        <v>1</v>
      </c>
      <c r="S13"/>
      <c r="T13"/>
      <c r="W13"/>
    </row>
    <row r="14" spans="1:23" ht="15" customHeight="1" x14ac:dyDescent="0.15">
      <c r="B14" s="94"/>
      <c r="C14" s="82"/>
      <c r="D14" s="87" t="s">
        <v>160</v>
      </c>
      <c r="F14" s="201" t="s">
        <v>201</v>
      </c>
      <c r="G14" s="83">
        <v>0</v>
      </c>
      <c r="H14" s="83">
        <v>0</v>
      </c>
      <c r="I14" s="83">
        <v>0</v>
      </c>
      <c r="J14" s="83">
        <v>0</v>
      </c>
      <c r="K14" s="83">
        <v>1</v>
      </c>
      <c r="L14" s="83">
        <v>0</v>
      </c>
      <c r="M14" s="83">
        <v>1</v>
      </c>
      <c r="N14" s="83">
        <v>0</v>
      </c>
      <c r="O14" s="83">
        <v>1</v>
      </c>
      <c r="P14" s="73">
        <v>0</v>
      </c>
      <c r="Q14" s="83">
        <v>0</v>
      </c>
      <c r="R14" s="74">
        <v>1</v>
      </c>
      <c r="S14"/>
      <c r="T14"/>
      <c r="W14"/>
    </row>
    <row r="15" spans="1:23" ht="15" customHeight="1" x14ac:dyDescent="0.15">
      <c r="B15" s="94"/>
      <c r="C15" s="82"/>
      <c r="D15" s="87" t="s">
        <v>160</v>
      </c>
      <c r="F15" s="201" t="s">
        <v>202</v>
      </c>
      <c r="G15" s="83">
        <v>0</v>
      </c>
      <c r="H15" s="83">
        <v>0</v>
      </c>
      <c r="I15" s="83">
        <v>0</v>
      </c>
      <c r="J15" s="83">
        <v>0</v>
      </c>
      <c r="K15" s="83">
        <v>1</v>
      </c>
      <c r="L15" s="83">
        <v>0</v>
      </c>
      <c r="M15" s="83">
        <v>1</v>
      </c>
      <c r="N15" s="83">
        <v>0</v>
      </c>
      <c r="O15" s="83">
        <v>1</v>
      </c>
      <c r="P15" s="73">
        <v>0</v>
      </c>
      <c r="Q15" s="83">
        <v>0</v>
      </c>
      <c r="R15" s="74">
        <v>1</v>
      </c>
      <c r="S15"/>
      <c r="T15"/>
      <c r="W15"/>
    </row>
    <row r="16" spans="1:23" ht="15" customHeight="1" x14ac:dyDescent="0.15">
      <c r="B16" s="94"/>
      <c r="C16" s="82"/>
      <c r="D16" s="87" t="s">
        <v>160</v>
      </c>
      <c r="F16" s="201" t="s">
        <v>203</v>
      </c>
      <c r="G16" s="83">
        <v>0</v>
      </c>
      <c r="H16" s="83">
        <v>0</v>
      </c>
      <c r="I16" s="83">
        <v>0</v>
      </c>
      <c r="J16" s="83">
        <v>0</v>
      </c>
      <c r="K16" s="83">
        <v>1</v>
      </c>
      <c r="L16" s="83">
        <v>0</v>
      </c>
      <c r="M16" s="83">
        <v>1</v>
      </c>
      <c r="N16" s="83">
        <v>0</v>
      </c>
      <c r="O16" s="83">
        <v>1</v>
      </c>
      <c r="P16" s="73">
        <v>0</v>
      </c>
      <c r="Q16" s="83">
        <v>0</v>
      </c>
      <c r="R16" s="74">
        <v>1</v>
      </c>
      <c r="S16"/>
      <c r="T16"/>
    </row>
    <row r="17" spans="1:20" ht="15" customHeight="1" thickBot="1" x14ac:dyDescent="0.2">
      <c r="B17" s="93"/>
      <c r="C17" s="82"/>
      <c r="D17" s="87" t="s">
        <v>160</v>
      </c>
      <c r="F17" s="201" t="s">
        <v>204</v>
      </c>
      <c r="G17" s="83">
        <v>0</v>
      </c>
      <c r="H17" s="83">
        <v>0</v>
      </c>
      <c r="I17" s="83">
        <v>0</v>
      </c>
      <c r="J17" s="83">
        <v>0</v>
      </c>
      <c r="K17" s="83">
        <v>1</v>
      </c>
      <c r="L17" s="83">
        <v>0</v>
      </c>
      <c r="M17" s="83">
        <v>1</v>
      </c>
      <c r="N17" s="83">
        <v>0</v>
      </c>
      <c r="O17" s="83">
        <v>1</v>
      </c>
      <c r="P17" s="73">
        <v>0</v>
      </c>
      <c r="Q17" s="83">
        <v>0</v>
      </c>
      <c r="R17" s="74">
        <v>1</v>
      </c>
      <c r="S17"/>
      <c r="T17"/>
    </row>
    <row r="18" spans="1:20" ht="15" customHeight="1" thickBot="1" x14ac:dyDescent="0.2">
      <c r="B18" s="95"/>
      <c r="F18" s="201" t="s">
        <v>205</v>
      </c>
      <c r="G18" s="83">
        <v>0</v>
      </c>
      <c r="H18" s="83">
        <v>0</v>
      </c>
      <c r="I18" s="83">
        <v>0</v>
      </c>
      <c r="J18" s="83">
        <v>0</v>
      </c>
      <c r="K18" s="83">
        <v>1</v>
      </c>
      <c r="L18" s="83">
        <v>0</v>
      </c>
      <c r="M18" s="83">
        <v>1</v>
      </c>
      <c r="N18" s="83">
        <v>0</v>
      </c>
      <c r="O18" s="83">
        <v>1</v>
      </c>
      <c r="P18" s="73">
        <v>0</v>
      </c>
      <c r="Q18" s="83">
        <v>0</v>
      </c>
      <c r="R18" s="74">
        <v>1</v>
      </c>
      <c r="S18"/>
      <c r="T18"/>
    </row>
    <row r="19" spans="1:20" ht="15" customHeight="1" x14ac:dyDescent="0.15">
      <c r="A19" s="85" t="s">
        <v>57</v>
      </c>
      <c r="B19" s="92">
        <v>1</v>
      </c>
      <c r="C19" s="203" t="s">
        <v>193</v>
      </c>
      <c r="D19" s="87" t="s">
        <v>160</v>
      </c>
      <c r="F19" s="201" t="s">
        <v>206</v>
      </c>
      <c r="G19" s="83">
        <v>0</v>
      </c>
      <c r="H19" s="83">
        <v>0</v>
      </c>
      <c r="I19" s="83">
        <v>0</v>
      </c>
      <c r="J19" s="83">
        <v>0</v>
      </c>
      <c r="K19" s="83">
        <v>1</v>
      </c>
      <c r="L19" s="83">
        <v>0</v>
      </c>
      <c r="M19" s="83">
        <v>1</v>
      </c>
      <c r="N19" s="83">
        <v>0</v>
      </c>
      <c r="O19" s="83">
        <v>1</v>
      </c>
      <c r="P19" s="73">
        <v>0</v>
      </c>
      <c r="Q19" s="83">
        <v>0</v>
      </c>
      <c r="R19" s="74">
        <v>1</v>
      </c>
      <c r="S19"/>
      <c r="T19"/>
    </row>
    <row r="20" spans="1:20" ht="15" customHeight="1" x14ac:dyDescent="0.15">
      <c r="A20" s="128" t="s">
        <v>168</v>
      </c>
      <c r="B20" s="94"/>
      <c r="C20" s="82"/>
      <c r="D20" s="87" t="s">
        <v>160</v>
      </c>
      <c r="F20" s="201" t="s">
        <v>207</v>
      </c>
      <c r="G20" s="83">
        <v>0</v>
      </c>
      <c r="H20" s="83">
        <v>0</v>
      </c>
      <c r="I20" s="83">
        <v>0</v>
      </c>
      <c r="J20" s="83">
        <v>0</v>
      </c>
      <c r="K20" s="83">
        <v>1</v>
      </c>
      <c r="L20" s="83">
        <v>0</v>
      </c>
      <c r="M20" s="83">
        <v>1</v>
      </c>
      <c r="N20" s="83">
        <v>0</v>
      </c>
      <c r="O20" s="83">
        <v>1</v>
      </c>
      <c r="P20" s="73">
        <v>0</v>
      </c>
      <c r="Q20" s="83">
        <v>0</v>
      </c>
      <c r="R20" s="74">
        <v>1</v>
      </c>
      <c r="S20"/>
      <c r="T20"/>
    </row>
    <row r="21" spans="1:20" ht="15" customHeight="1" x14ac:dyDescent="0.15">
      <c r="B21" s="94"/>
      <c r="C21" s="82"/>
      <c r="D21" s="87" t="s">
        <v>160</v>
      </c>
      <c r="F21" s="201" t="s">
        <v>208</v>
      </c>
      <c r="G21" s="83">
        <v>0</v>
      </c>
      <c r="H21" s="83">
        <v>0</v>
      </c>
      <c r="I21" s="83">
        <v>0</v>
      </c>
      <c r="J21" s="83">
        <v>0</v>
      </c>
      <c r="K21" s="83">
        <v>1</v>
      </c>
      <c r="L21" s="83">
        <v>0</v>
      </c>
      <c r="M21" s="83">
        <v>1</v>
      </c>
      <c r="N21" s="83">
        <v>0</v>
      </c>
      <c r="O21" s="83">
        <v>1</v>
      </c>
      <c r="P21" s="73">
        <v>0</v>
      </c>
      <c r="Q21" s="83">
        <v>0</v>
      </c>
      <c r="R21" s="74">
        <v>1</v>
      </c>
      <c r="S21"/>
      <c r="T21"/>
    </row>
    <row r="22" spans="1:20" ht="15" customHeight="1" x14ac:dyDescent="0.15">
      <c r="A22" s="83"/>
      <c r="B22" s="94"/>
      <c r="C22" s="97"/>
      <c r="D22" s="87" t="s">
        <v>160</v>
      </c>
      <c r="F22" s="201" t="s">
        <v>209</v>
      </c>
      <c r="G22" s="83">
        <v>0</v>
      </c>
      <c r="H22" s="83">
        <v>0</v>
      </c>
      <c r="I22" s="83">
        <v>0</v>
      </c>
      <c r="J22" s="83">
        <v>0</v>
      </c>
      <c r="K22" s="83">
        <v>1</v>
      </c>
      <c r="L22" s="83">
        <v>0</v>
      </c>
      <c r="M22" s="83">
        <v>1</v>
      </c>
      <c r="N22" s="83">
        <v>0</v>
      </c>
      <c r="O22" s="83">
        <v>1</v>
      </c>
      <c r="P22" s="73">
        <v>0</v>
      </c>
      <c r="Q22" s="83">
        <v>0</v>
      </c>
      <c r="R22" s="74">
        <v>1</v>
      </c>
      <c r="S22"/>
      <c r="T22"/>
    </row>
    <row r="23" spans="1:20" ht="15" customHeight="1" x14ac:dyDescent="0.15">
      <c r="A23" s="83"/>
      <c r="B23" s="94"/>
      <c r="C23" s="98"/>
      <c r="D23" s="87" t="s">
        <v>160</v>
      </c>
      <c r="F23" s="201" t="s">
        <v>210</v>
      </c>
      <c r="G23" s="83">
        <v>0</v>
      </c>
      <c r="H23" s="83">
        <v>0</v>
      </c>
      <c r="I23" s="83">
        <v>0</v>
      </c>
      <c r="J23" s="83">
        <v>0</v>
      </c>
      <c r="K23" s="83">
        <v>1</v>
      </c>
      <c r="L23" s="83">
        <v>0</v>
      </c>
      <c r="M23" s="83">
        <v>1</v>
      </c>
      <c r="N23" s="83">
        <v>0</v>
      </c>
      <c r="O23" s="83">
        <v>1</v>
      </c>
      <c r="P23" s="73">
        <v>0</v>
      </c>
      <c r="Q23" s="83">
        <v>0</v>
      </c>
      <c r="R23" s="74">
        <v>1</v>
      </c>
      <c r="S23"/>
      <c r="T23"/>
    </row>
    <row r="24" spans="1:20" ht="15" customHeight="1" x14ac:dyDescent="0.15">
      <c r="A24" s="83"/>
      <c r="B24" s="94"/>
      <c r="C24" s="98"/>
      <c r="D24" s="87" t="s">
        <v>160</v>
      </c>
      <c r="F24" s="201" t="s">
        <v>211</v>
      </c>
      <c r="G24" s="83">
        <v>0</v>
      </c>
      <c r="H24" s="83">
        <v>0</v>
      </c>
      <c r="I24" s="83">
        <v>0</v>
      </c>
      <c r="J24" s="83">
        <v>0</v>
      </c>
      <c r="K24" s="83">
        <v>1</v>
      </c>
      <c r="L24" s="83">
        <v>0</v>
      </c>
      <c r="M24" s="83">
        <v>1</v>
      </c>
      <c r="N24" s="83">
        <v>0</v>
      </c>
      <c r="O24" s="83">
        <v>1</v>
      </c>
      <c r="P24" s="73">
        <v>0</v>
      </c>
      <c r="Q24" s="83">
        <v>0</v>
      </c>
      <c r="R24" s="74">
        <v>1</v>
      </c>
      <c r="S24"/>
      <c r="T24"/>
    </row>
    <row r="25" spans="1:20" ht="15" customHeight="1" x14ac:dyDescent="0.15">
      <c r="A25" s="83"/>
      <c r="B25" s="94"/>
      <c r="C25" s="82"/>
      <c r="D25" s="87" t="s">
        <v>160</v>
      </c>
      <c r="F25" s="201" t="s">
        <v>212</v>
      </c>
      <c r="G25" s="83">
        <v>0</v>
      </c>
      <c r="H25" s="83">
        <v>0</v>
      </c>
      <c r="I25" s="83">
        <v>0</v>
      </c>
      <c r="J25" s="83">
        <v>0</v>
      </c>
      <c r="K25" s="83">
        <v>1</v>
      </c>
      <c r="L25" s="83">
        <v>0</v>
      </c>
      <c r="M25" s="83">
        <v>1</v>
      </c>
      <c r="N25" s="83">
        <v>0</v>
      </c>
      <c r="O25" s="83">
        <v>1</v>
      </c>
      <c r="P25" s="73">
        <v>0</v>
      </c>
      <c r="Q25" s="83">
        <v>0</v>
      </c>
      <c r="R25" s="74">
        <v>1</v>
      </c>
      <c r="S25"/>
      <c r="T25"/>
    </row>
    <row r="26" spans="1:20" ht="15" customHeight="1" x14ac:dyDescent="0.15">
      <c r="B26" s="94"/>
      <c r="C26" s="82"/>
      <c r="D26" s="87" t="s">
        <v>160</v>
      </c>
      <c r="F26" s="201" t="s">
        <v>213</v>
      </c>
      <c r="G26" s="83">
        <v>0</v>
      </c>
      <c r="H26" s="83">
        <v>0</v>
      </c>
      <c r="I26" s="83">
        <v>0</v>
      </c>
      <c r="J26" s="83">
        <v>0</v>
      </c>
      <c r="K26" s="83">
        <v>1</v>
      </c>
      <c r="L26" s="83">
        <v>0</v>
      </c>
      <c r="M26" s="83">
        <v>1</v>
      </c>
      <c r="N26" s="83">
        <v>0</v>
      </c>
      <c r="O26" s="83">
        <v>1</v>
      </c>
      <c r="P26" s="73">
        <v>0</v>
      </c>
      <c r="Q26" s="83">
        <v>0</v>
      </c>
      <c r="R26" s="74">
        <v>1</v>
      </c>
      <c r="S26"/>
      <c r="T26"/>
    </row>
    <row r="27" spans="1:20" ht="15" customHeight="1" x14ac:dyDescent="0.15">
      <c r="B27" s="94"/>
      <c r="C27" s="82"/>
      <c r="D27" s="87" t="s">
        <v>160</v>
      </c>
      <c r="F27" s="201" t="s">
        <v>214</v>
      </c>
      <c r="G27" s="83">
        <v>0</v>
      </c>
      <c r="H27" s="83">
        <v>0</v>
      </c>
      <c r="I27" s="83">
        <v>0</v>
      </c>
      <c r="J27" s="83">
        <v>0</v>
      </c>
      <c r="K27" s="83">
        <v>1</v>
      </c>
      <c r="L27" s="83">
        <v>0</v>
      </c>
      <c r="M27" s="83">
        <v>1</v>
      </c>
      <c r="N27" s="83">
        <v>0</v>
      </c>
      <c r="O27" s="83">
        <v>1</v>
      </c>
      <c r="P27" s="73">
        <v>0</v>
      </c>
      <c r="Q27" s="83">
        <v>0</v>
      </c>
      <c r="R27" s="74">
        <v>1</v>
      </c>
      <c r="S27"/>
      <c r="T27"/>
    </row>
    <row r="28" spans="1:20" ht="15" customHeight="1" thickBot="1" x14ac:dyDescent="0.2">
      <c r="B28" s="93"/>
      <c r="C28" s="82"/>
      <c r="D28" s="87" t="s">
        <v>160</v>
      </c>
      <c r="F28" s="201" t="s">
        <v>215</v>
      </c>
      <c r="G28" s="83">
        <v>0</v>
      </c>
      <c r="H28" s="83">
        <v>0</v>
      </c>
      <c r="I28" s="83">
        <v>0</v>
      </c>
      <c r="J28" s="83">
        <v>0</v>
      </c>
      <c r="K28" s="83">
        <v>1</v>
      </c>
      <c r="L28" s="83">
        <v>0</v>
      </c>
      <c r="M28" s="83">
        <v>1</v>
      </c>
      <c r="N28" s="83">
        <v>0</v>
      </c>
      <c r="O28" s="83">
        <v>1</v>
      </c>
      <c r="P28" s="73">
        <v>0</v>
      </c>
      <c r="Q28" s="83">
        <v>0</v>
      </c>
      <c r="R28" s="74">
        <v>1</v>
      </c>
      <c r="S28"/>
      <c r="T28"/>
    </row>
    <row r="29" spans="1:20" ht="15" customHeight="1" x14ac:dyDescent="0.15">
      <c r="F29" s="201" t="s">
        <v>216</v>
      </c>
      <c r="G29" s="83">
        <v>0</v>
      </c>
      <c r="H29" s="83">
        <v>0</v>
      </c>
      <c r="I29" s="83">
        <v>0</v>
      </c>
      <c r="J29" s="83">
        <v>0</v>
      </c>
      <c r="K29" s="83">
        <v>1</v>
      </c>
      <c r="L29" s="83">
        <v>0</v>
      </c>
      <c r="M29" s="83">
        <v>1</v>
      </c>
      <c r="N29" s="83">
        <v>0</v>
      </c>
      <c r="O29" s="83">
        <v>1</v>
      </c>
      <c r="P29" s="73">
        <v>0</v>
      </c>
      <c r="Q29" s="83">
        <v>0</v>
      </c>
      <c r="R29" s="74">
        <v>1</v>
      </c>
      <c r="S29"/>
      <c r="T29"/>
    </row>
    <row r="30" spans="1:20" ht="15" customHeight="1" x14ac:dyDescent="0.15">
      <c r="F30" s="201" t="s">
        <v>217</v>
      </c>
      <c r="G30" s="83">
        <v>0</v>
      </c>
      <c r="H30" s="83">
        <v>0</v>
      </c>
      <c r="I30" s="83">
        <v>0</v>
      </c>
      <c r="J30" s="83">
        <v>0</v>
      </c>
      <c r="K30" s="83">
        <v>1</v>
      </c>
      <c r="L30" s="83">
        <v>0</v>
      </c>
      <c r="M30" s="83">
        <v>1</v>
      </c>
      <c r="N30" s="83">
        <v>0</v>
      </c>
      <c r="O30" s="83">
        <v>1</v>
      </c>
      <c r="P30" s="73">
        <v>0</v>
      </c>
      <c r="Q30" s="83">
        <v>0</v>
      </c>
      <c r="R30" s="74">
        <v>1</v>
      </c>
      <c r="S30"/>
      <c r="T30"/>
    </row>
    <row r="31" spans="1:20" ht="15" customHeight="1" x14ac:dyDescent="0.15">
      <c r="A31" s="129"/>
      <c r="B31" s="140" t="s">
        <v>17</v>
      </c>
      <c r="C31" s="140" t="s">
        <v>1</v>
      </c>
      <c r="D31" s="140" t="s">
        <v>161</v>
      </c>
      <c r="E31" s="141" t="s">
        <v>163</v>
      </c>
      <c r="F31" s="201" t="s">
        <v>218</v>
      </c>
      <c r="G31" s="83">
        <v>0</v>
      </c>
      <c r="H31" s="83">
        <v>0</v>
      </c>
      <c r="I31" s="83">
        <v>0</v>
      </c>
      <c r="J31" s="83">
        <v>0</v>
      </c>
      <c r="K31" s="83">
        <v>1</v>
      </c>
      <c r="L31" s="83">
        <v>0</v>
      </c>
      <c r="M31" s="83">
        <v>1</v>
      </c>
      <c r="N31" s="83">
        <v>0</v>
      </c>
      <c r="O31" s="83">
        <v>1</v>
      </c>
      <c r="P31" s="73">
        <v>0</v>
      </c>
      <c r="Q31" s="83">
        <v>0</v>
      </c>
      <c r="R31" s="74">
        <v>1</v>
      </c>
      <c r="S31"/>
      <c r="T31"/>
    </row>
    <row r="32" spans="1:20" ht="15" customHeight="1" x14ac:dyDescent="0.15">
      <c r="A32" s="204" t="s">
        <v>193</v>
      </c>
      <c r="B32" s="95">
        <v>20.13</v>
      </c>
      <c r="C32" s="95">
        <v>180.69200000000001</v>
      </c>
      <c r="D32" s="95">
        <v>3637.32996</v>
      </c>
      <c r="E32" s="131">
        <v>1</v>
      </c>
      <c r="F32" s="201" t="s">
        <v>219</v>
      </c>
      <c r="G32" s="83">
        <v>0</v>
      </c>
      <c r="H32" s="83">
        <v>0</v>
      </c>
      <c r="I32" s="83">
        <v>0</v>
      </c>
      <c r="J32" s="83">
        <v>0</v>
      </c>
      <c r="K32" s="83">
        <v>1</v>
      </c>
      <c r="L32" s="83">
        <v>0</v>
      </c>
      <c r="M32" s="83">
        <v>1</v>
      </c>
      <c r="N32" s="83">
        <v>0</v>
      </c>
      <c r="O32" s="83">
        <v>1</v>
      </c>
      <c r="P32" s="73">
        <v>0</v>
      </c>
      <c r="Q32" s="83">
        <v>0</v>
      </c>
      <c r="R32" s="74">
        <v>1</v>
      </c>
      <c r="S32"/>
      <c r="T32"/>
    </row>
    <row r="33" spans="1:20" ht="15" customHeight="1" x14ac:dyDescent="0.15">
      <c r="A33" s="130"/>
      <c r="B33" s="95"/>
      <c r="C33" s="95"/>
      <c r="D33" s="95"/>
      <c r="E33" s="131"/>
      <c r="F33" s="201" t="s">
        <v>220</v>
      </c>
      <c r="G33" s="83">
        <v>0</v>
      </c>
      <c r="H33" s="83">
        <v>0</v>
      </c>
      <c r="I33" s="83">
        <v>0</v>
      </c>
      <c r="J33" s="83">
        <v>0</v>
      </c>
      <c r="K33" s="83">
        <v>1</v>
      </c>
      <c r="L33" s="83">
        <v>0</v>
      </c>
      <c r="M33" s="83">
        <v>1</v>
      </c>
      <c r="N33" s="83">
        <v>0</v>
      </c>
      <c r="O33" s="83">
        <v>1</v>
      </c>
      <c r="P33" s="73">
        <v>0</v>
      </c>
      <c r="Q33" s="83">
        <v>0</v>
      </c>
      <c r="R33" s="74">
        <v>1</v>
      </c>
      <c r="S33"/>
      <c r="T33"/>
    </row>
    <row r="34" spans="1:20" ht="15" customHeight="1" x14ac:dyDescent="0.15">
      <c r="A34" s="132"/>
      <c r="B34" s="95"/>
      <c r="C34" s="95"/>
      <c r="D34" s="95"/>
      <c r="E34" s="131"/>
      <c r="F34" s="201" t="s">
        <v>221</v>
      </c>
      <c r="G34" s="83">
        <v>0</v>
      </c>
      <c r="H34" s="83">
        <v>0</v>
      </c>
      <c r="I34" s="83">
        <v>0</v>
      </c>
      <c r="J34" s="83">
        <v>0</v>
      </c>
      <c r="K34" s="83">
        <v>1</v>
      </c>
      <c r="L34" s="83">
        <v>0</v>
      </c>
      <c r="M34" s="83">
        <v>1</v>
      </c>
      <c r="N34" s="83">
        <v>0</v>
      </c>
      <c r="O34" s="83">
        <v>1</v>
      </c>
      <c r="P34" s="73">
        <v>0</v>
      </c>
      <c r="Q34" s="83">
        <v>0</v>
      </c>
      <c r="R34" s="74">
        <v>1</v>
      </c>
      <c r="S34"/>
      <c r="T34"/>
    </row>
    <row r="35" spans="1:20" ht="15" customHeight="1" x14ac:dyDescent="0.15">
      <c r="A35" s="133"/>
      <c r="B35" s="95"/>
      <c r="C35" s="95"/>
      <c r="D35" s="95"/>
      <c r="E35" s="131"/>
      <c r="F35" s="201" t="s">
        <v>222</v>
      </c>
      <c r="G35" s="83">
        <v>0</v>
      </c>
      <c r="H35" s="83">
        <v>0</v>
      </c>
      <c r="I35" s="83">
        <v>0</v>
      </c>
      <c r="J35" s="83">
        <v>0</v>
      </c>
      <c r="K35" s="83">
        <v>1</v>
      </c>
      <c r="L35" s="83">
        <v>0</v>
      </c>
      <c r="M35" s="83">
        <v>1</v>
      </c>
      <c r="N35" s="83">
        <v>0</v>
      </c>
      <c r="O35" s="83">
        <v>1</v>
      </c>
      <c r="P35" s="73">
        <v>0</v>
      </c>
      <c r="Q35" s="83">
        <v>0</v>
      </c>
      <c r="R35" s="74">
        <v>1</v>
      </c>
      <c r="S35"/>
      <c r="T35"/>
    </row>
    <row r="36" spans="1:20" ht="15" customHeight="1" x14ac:dyDescent="0.15">
      <c r="A36" s="134"/>
      <c r="B36" s="95"/>
      <c r="C36" s="95"/>
      <c r="D36" s="95"/>
      <c r="E36" s="131"/>
      <c r="F36" s="201" t="s">
        <v>223</v>
      </c>
      <c r="G36" s="83">
        <v>0</v>
      </c>
      <c r="H36" s="83">
        <v>0</v>
      </c>
      <c r="I36" s="83">
        <v>0</v>
      </c>
      <c r="J36" s="83">
        <v>0</v>
      </c>
      <c r="K36" s="83">
        <v>1</v>
      </c>
      <c r="L36" s="83">
        <v>0</v>
      </c>
      <c r="M36" s="83">
        <v>1</v>
      </c>
      <c r="N36" s="83">
        <v>0</v>
      </c>
      <c r="O36" s="83">
        <v>1</v>
      </c>
      <c r="P36" s="73">
        <v>0</v>
      </c>
      <c r="Q36" s="83">
        <v>0</v>
      </c>
      <c r="R36" s="74">
        <v>1</v>
      </c>
      <c r="S36"/>
      <c r="T36"/>
    </row>
    <row r="37" spans="1:20" ht="15" customHeight="1" x14ac:dyDescent="0.15">
      <c r="A37" s="134"/>
      <c r="B37" s="95"/>
      <c r="C37" s="95"/>
      <c r="D37" s="95"/>
      <c r="E37" s="131"/>
      <c r="F37" s="201" t="s">
        <v>224</v>
      </c>
      <c r="G37" s="83">
        <v>0</v>
      </c>
      <c r="H37" s="83">
        <v>0</v>
      </c>
      <c r="I37" s="83">
        <v>0</v>
      </c>
      <c r="J37" s="83">
        <v>0</v>
      </c>
      <c r="K37" s="83">
        <v>1</v>
      </c>
      <c r="L37" s="83">
        <v>0</v>
      </c>
      <c r="M37" s="83">
        <v>1</v>
      </c>
      <c r="N37" s="83">
        <v>0</v>
      </c>
      <c r="O37" s="83">
        <v>1</v>
      </c>
      <c r="P37" s="73">
        <v>0</v>
      </c>
      <c r="Q37" s="83">
        <v>0</v>
      </c>
      <c r="R37" s="74">
        <v>1</v>
      </c>
      <c r="S37"/>
      <c r="T37"/>
    </row>
    <row r="38" spans="1:20" ht="15" customHeight="1" x14ac:dyDescent="0.15">
      <c r="A38" s="135"/>
      <c r="B38" s="95"/>
      <c r="C38" s="95"/>
      <c r="D38" s="95"/>
      <c r="E38" s="131"/>
      <c r="F38" s="201" t="s">
        <v>225</v>
      </c>
      <c r="G38" s="83">
        <v>0</v>
      </c>
      <c r="H38" s="83">
        <v>0</v>
      </c>
      <c r="I38" s="83">
        <v>0</v>
      </c>
      <c r="J38" s="83">
        <v>0</v>
      </c>
      <c r="K38" s="83">
        <v>1</v>
      </c>
      <c r="L38" s="83">
        <v>0</v>
      </c>
      <c r="M38" s="83">
        <v>1</v>
      </c>
      <c r="N38" s="83">
        <v>0</v>
      </c>
      <c r="O38" s="83">
        <v>1</v>
      </c>
      <c r="P38" s="73">
        <v>0</v>
      </c>
      <c r="Q38" s="83">
        <v>0</v>
      </c>
      <c r="R38" s="74">
        <v>1</v>
      </c>
      <c r="S38"/>
      <c r="T38"/>
    </row>
    <row r="39" spans="1:20" ht="15" customHeight="1" x14ac:dyDescent="0.15">
      <c r="A39" s="135"/>
      <c r="B39" s="95"/>
      <c r="C39" s="95"/>
      <c r="D39" s="95"/>
      <c r="E39" s="131"/>
      <c r="F39" s="201" t="s">
        <v>226</v>
      </c>
      <c r="G39" s="83">
        <v>0</v>
      </c>
      <c r="H39" s="83">
        <v>0</v>
      </c>
      <c r="I39" s="83">
        <v>0</v>
      </c>
      <c r="J39" s="83">
        <v>0</v>
      </c>
      <c r="K39" s="83">
        <v>1</v>
      </c>
      <c r="L39" s="83">
        <v>0</v>
      </c>
      <c r="M39" s="83">
        <v>1</v>
      </c>
      <c r="N39" s="83">
        <v>0</v>
      </c>
      <c r="O39" s="83">
        <v>1</v>
      </c>
      <c r="P39" s="73">
        <v>0</v>
      </c>
      <c r="Q39" s="83">
        <v>0</v>
      </c>
      <c r="R39" s="74">
        <v>1</v>
      </c>
      <c r="S39"/>
      <c r="T39"/>
    </row>
    <row r="40" spans="1:20" ht="15" customHeight="1" x14ac:dyDescent="0.15">
      <c r="A40" s="135"/>
      <c r="B40" s="95"/>
      <c r="C40" s="95"/>
      <c r="D40" s="95"/>
      <c r="E40" s="131"/>
      <c r="F40" s="201" t="s">
        <v>227</v>
      </c>
      <c r="G40" s="83">
        <v>0</v>
      </c>
      <c r="H40" s="83">
        <v>0</v>
      </c>
      <c r="I40" s="83">
        <v>0</v>
      </c>
      <c r="J40" s="83">
        <v>0</v>
      </c>
      <c r="K40" s="83">
        <v>1</v>
      </c>
      <c r="L40" s="83">
        <v>0</v>
      </c>
      <c r="M40" s="83">
        <v>1</v>
      </c>
      <c r="N40" s="83">
        <v>0</v>
      </c>
      <c r="O40" s="83">
        <v>1</v>
      </c>
      <c r="P40" s="73">
        <v>0</v>
      </c>
      <c r="Q40" s="83">
        <v>0</v>
      </c>
      <c r="R40" s="74">
        <v>1</v>
      </c>
      <c r="S40"/>
      <c r="T40"/>
    </row>
    <row r="41" spans="1:20" ht="15" customHeight="1" thickBot="1" x14ac:dyDescent="0.2">
      <c r="A41" s="135"/>
      <c r="B41" s="95"/>
      <c r="C41" s="95"/>
      <c r="D41" s="96"/>
      <c r="E41" s="136"/>
      <c r="F41" s="201" t="s">
        <v>228</v>
      </c>
      <c r="G41" s="83">
        <v>0</v>
      </c>
      <c r="H41" s="83">
        <v>0</v>
      </c>
      <c r="I41" s="83">
        <v>0</v>
      </c>
      <c r="J41" s="83">
        <v>0</v>
      </c>
      <c r="K41" s="83">
        <v>1</v>
      </c>
      <c r="L41" s="83">
        <v>0</v>
      </c>
      <c r="M41" s="83">
        <v>1</v>
      </c>
      <c r="N41" s="83">
        <v>0</v>
      </c>
      <c r="O41" s="83">
        <v>1</v>
      </c>
      <c r="P41" s="73">
        <v>0</v>
      </c>
      <c r="Q41" s="83">
        <v>0</v>
      </c>
      <c r="R41" s="74">
        <v>1</v>
      </c>
      <c r="S41"/>
      <c r="T41"/>
    </row>
    <row r="42" spans="1:20" ht="15" customHeight="1" x14ac:dyDescent="0.15">
      <c r="A42" s="137"/>
      <c r="B42" s="138"/>
      <c r="C42" s="138" t="s">
        <v>162</v>
      </c>
      <c r="D42" s="138">
        <f>SUM(D32:D41)</f>
        <v>3637.32996</v>
      </c>
      <c r="E42" s="139">
        <f>SUM(E32:E41)</f>
        <v>1</v>
      </c>
      <c r="F42" s="201" t="s">
        <v>229</v>
      </c>
      <c r="G42" s="83">
        <v>0</v>
      </c>
      <c r="H42" s="83">
        <v>0</v>
      </c>
      <c r="I42" s="83">
        <v>0</v>
      </c>
      <c r="J42" s="83">
        <v>0</v>
      </c>
      <c r="K42" s="83">
        <v>1</v>
      </c>
      <c r="L42" s="83">
        <v>0</v>
      </c>
      <c r="M42" s="83">
        <v>1</v>
      </c>
      <c r="N42" s="83">
        <v>0</v>
      </c>
      <c r="O42" s="83">
        <v>1</v>
      </c>
      <c r="P42" s="73">
        <v>0</v>
      </c>
      <c r="Q42" s="83">
        <v>0</v>
      </c>
      <c r="R42" s="74">
        <v>1</v>
      </c>
      <c r="S42"/>
      <c r="T42"/>
    </row>
    <row r="43" spans="1:20" ht="15" customHeight="1" x14ac:dyDescent="0.15">
      <c r="A43" s="83"/>
      <c r="F43" s="201" t="s">
        <v>230</v>
      </c>
      <c r="G43" s="83">
        <v>0</v>
      </c>
      <c r="H43" s="83">
        <v>0</v>
      </c>
      <c r="I43" s="83">
        <v>0</v>
      </c>
      <c r="J43" s="83">
        <v>0</v>
      </c>
      <c r="K43" s="83">
        <v>1</v>
      </c>
      <c r="L43" s="83">
        <v>0</v>
      </c>
      <c r="M43" s="83">
        <v>1</v>
      </c>
      <c r="N43" s="83">
        <v>0</v>
      </c>
      <c r="O43" s="83">
        <v>1</v>
      </c>
      <c r="P43" s="73">
        <v>0</v>
      </c>
      <c r="Q43" s="83">
        <v>0</v>
      </c>
      <c r="R43" s="74">
        <v>1</v>
      </c>
      <c r="S43"/>
      <c r="T43"/>
    </row>
    <row r="44" spans="1:20" ht="15" customHeight="1" x14ac:dyDescent="0.15">
      <c r="A44" s="83"/>
      <c r="F44" s="201" t="s">
        <v>231</v>
      </c>
      <c r="G44" s="83">
        <v>0</v>
      </c>
      <c r="H44" s="83">
        <v>0</v>
      </c>
      <c r="I44" s="83">
        <v>0</v>
      </c>
      <c r="J44" s="83">
        <v>0</v>
      </c>
      <c r="K44" s="83">
        <v>1</v>
      </c>
      <c r="L44" s="83">
        <v>0</v>
      </c>
      <c r="M44" s="83">
        <v>1</v>
      </c>
      <c r="N44" s="83">
        <v>0</v>
      </c>
      <c r="O44" s="83">
        <v>1</v>
      </c>
      <c r="P44" s="73">
        <v>0</v>
      </c>
      <c r="Q44" s="83">
        <v>0</v>
      </c>
      <c r="R44" s="74">
        <v>1</v>
      </c>
    </row>
    <row r="45" spans="1:20" ht="15" customHeight="1" x14ac:dyDescent="0.15">
      <c r="A45" s="83"/>
      <c r="F45" s="201" t="s">
        <v>232</v>
      </c>
      <c r="G45" s="83">
        <v>0</v>
      </c>
      <c r="H45" s="83">
        <v>0</v>
      </c>
      <c r="I45" s="83">
        <v>0</v>
      </c>
      <c r="J45" s="83">
        <v>0</v>
      </c>
      <c r="K45" s="83">
        <v>1</v>
      </c>
      <c r="L45" s="83">
        <v>0</v>
      </c>
      <c r="M45" s="83">
        <v>1</v>
      </c>
      <c r="N45" s="83">
        <v>0</v>
      </c>
      <c r="O45" s="83">
        <v>1</v>
      </c>
      <c r="P45" s="73">
        <v>0</v>
      </c>
      <c r="Q45" s="83">
        <v>0</v>
      </c>
      <c r="R45" s="74">
        <v>1</v>
      </c>
    </row>
    <row r="46" spans="1:20" ht="15" customHeight="1" x14ac:dyDescent="0.15">
      <c r="A46" s="83"/>
      <c r="F46" s="201" t="s">
        <v>233</v>
      </c>
      <c r="G46" s="83">
        <v>0</v>
      </c>
      <c r="H46" s="83">
        <v>0</v>
      </c>
      <c r="I46" s="83">
        <v>0</v>
      </c>
      <c r="J46" s="83">
        <v>0</v>
      </c>
      <c r="K46" s="83">
        <v>1</v>
      </c>
      <c r="L46" s="83">
        <v>0</v>
      </c>
      <c r="M46" s="83">
        <v>1</v>
      </c>
      <c r="N46" s="83">
        <v>0</v>
      </c>
      <c r="O46" s="83">
        <v>1</v>
      </c>
      <c r="P46" s="73">
        <v>0</v>
      </c>
      <c r="Q46" s="83">
        <v>0</v>
      </c>
      <c r="R46" s="74">
        <v>1</v>
      </c>
    </row>
    <row r="47" spans="1:20" ht="15" customHeight="1" x14ac:dyDescent="0.15">
      <c r="A47" s="83"/>
      <c r="F47" s="201" t="s">
        <v>234</v>
      </c>
      <c r="G47" s="83">
        <v>0</v>
      </c>
      <c r="H47" s="83">
        <v>0</v>
      </c>
      <c r="I47" s="83">
        <v>0</v>
      </c>
      <c r="J47" s="83">
        <v>0</v>
      </c>
      <c r="K47" s="83">
        <v>1</v>
      </c>
      <c r="L47" s="83">
        <v>0</v>
      </c>
      <c r="M47" s="83">
        <v>1</v>
      </c>
      <c r="N47" s="83">
        <v>0</v>
      </c>
      <c r="O47" s="83">
        <v>1</v>
      </c>
      <c r="P47" s="73">
        <v>0</v>
      </c>
      <c r="Q47" s="83">
        <v>0</v>
      </c>
      <c r="R47" s="74">
        <v>1</v>
      </c>
    </row>
    <row r="48" spans="1:20" ht="15" customHeight="1" x14ac:dyDescent="0.15">
      <c r="A48" s="83"/>
      <c r="F48" s="201" t="s">
        <v>235</v>
      </c>
      <c r="G48" s="83">
        <v>0</v>
      </c>
      <c r="H48" s="83">
        <v>0</v>
      </c>
      <c r="I48" s="83">
        <v>0</v>
      </c>
      <c r="J48" s="83">
        <v>0</v>
      </c>
      <c r="K48" s="83">
        <v>1</v>
      </c>
      <c r="L48" s="83">
        <v>0</v>
      </c>
      <c r="M48" s="83">
        <v>1</v>
      </c>
      <c r="N48" s="83">
        <v>0</v>
      </c>
      <c r="O48" s="83">
        <v>1</v>
      </c>
      <c r="P48" s="73">
        <v>0</v>
      </c>
      <c r="Q48" s="83">
        <v>0</v>
      </c>
      <c r="R48" s="74">
        <v>1</v>
      </c>
    </row>
    <row r="49" spans="6:18" s="83" customFormat="1" ht="15" customHeight="1" x14ac:dyDescent="0.15">
      <c r="F49" s="201" t="s">
        <v>236</v>
      </c>
      <c r="G49" s="83">
        <v>0</v>
      </c>
      <c r="H49" s="83">
        <v>0</v>
      </c>
      <c r="I49" s="83">
        <v>0</v>
      </c>
      <c r="J49" s="83">
        <v>0</v>
      </c>
      <c r="K49" s="83">
        <v>1</v>
      </c>
      <c r="L49" s="83">
        <v>0</v>
      </c>
      <c r="M49" s="83">
        <v>1</v>
      </c>
      <c r="N49" s="83">
        <v>0</v>
      </c>
      <c r="O49" s="83">
        <v>1</v>
      </c>
      <c r="P49" s="73">
        <v>0</v>
      </c>
      <c r="Q49" s="83">
        <v>0</v>
      </c>
      <c r="R49" s="74">
        <v>1</v>
      </c>
    </row>
    <row r="50" spans="6:18" s="83" customFormat="1" ht="15" customHeight="1" x14ac:dyDescent="0.15">
      <c r="F50" s="201" t="s">
        <v>237</v>
      </c>
      <c r="G50" s="83">
        <v>0</v>
      </c>
      <c r="H50" s="83">
        <v>0</v>
      </c>
      <c r="I50" s="83">
        <v>0</v>
      </c>
      <c r="J50" s="83">
        <v>0</v>
      </c>
      <c r="K50" s="83">
        <v>1</v>
      </c>
      <c r="L50" s="83">
        <v>0</v>
      </c>
      <c r="M50" s="83">
        <v>1</v>
      </c>
      <c r="N50" s="83">
        <v>0</v>
      </c>
      <c r="O50" s="83">
        <v>1</v>
      </c>
      <c r="P50" s="73">
        <v>0</v>
      </c>
      <c r="Q50" s="83">
        <v>0</v>
      </c>
      <c r="R50" s="74">
        <v>1</v>
      </c>
    </row>
    <row r="51" spans="6:18" s="83" customFormat="1" ht="15" customHeight="1" x14ac:dyDescent="0.15">
      <c r="F51" s="201" t="s">
        <v>238</v>
      </c>
      <c r="G51" s="83">
        <v>0</v>
      </c>
      <c r="H51" s="83">
        <v>0</v>
      </c>
      <c r="I51" s="83">
        <v>0</v>
      </c>
      <c r="J51" s="83">
        <v>0</v>
      </c>
      <c r="K51" s="83">
        <v>1</v>
      </c>
      <c r="L51" s="83">
        <v>0</v>
      </c>
      <c r="M51" s="83">
        <v>1</v>
      </c>
      <c r="N51" s="83">
        <v>0</v>
      </c>
      <c r="O51" s="83">
        <v>1</v>
      </c>
      <c r="P51" s="73">
        <v>0</v>
      </c>
      <c r="Q51" s="83">
        <v>0</v>
      </c>
      <c r="R51" s="74">
        <v>1</v>
      </c>
    </row>
    <row r="52" spans="6:18" s="83" customFormat="1" ht="15" customHeight="1" x14ac:dyDescent="0.15">
      <c r="F52" s="201" t="s">
        <v>239</v>
      </c>
      <c r="G52" s="83">
        <v>0</v>
      </c>
      <c r="H52" s="83">
        <v>0</v>
      </c>
      <c r="I52" s="83">
        <v>0</v>
      </c>
      <c r="J52" s="83">
        <v>0</v>
      </c>
      <c r="K52" s="83">
        <v>1</v>
      </c>
      <c r="L52" s="83">
        <v>0</v>
      </c>
      <c r="M52" s="83">
        <v>1</v>
      </c>
      <c r="N52" s="83">
        <v>0</v>
      </c>
      <c r="O52" s="83">
        <v>1</v>
      </c>
      <c r="P52" s="73">
        <v>0</v>
      </c>
      <c r="Q52" s="83">
        <v>0</v>
      </c>
      <c r="R52" s="74">
        <v>1</v>
      </c>
    </row>
    <row r="53" spans="6:18" s="83" customFormat="1" ht="15" customHeight="1" x14ac:dyDescent="0.15">
      <c r="F53" s="201" t="s">
        <v>240</v>
      </c>
      <c r="G53" s="83">
        <v>0</v>
      </c>
      <c r="H53" s="83">
        <v>0</v>
      </c>
      <c r="I53" s="83">
        <v>0</v>
      </c>
      <c r="J53" s="83">
        <v>0</v>
      </c>
      <c r="K53" s="83">
        <v>1</v>
      </c>
      <c r="L53" s="83">
        <v>0</v>
      </c>
      <c r="M53" s="83">
        <v>1</v>
      </c>
      <c r="N53" s="83">
        <v>0</v>
      </c>
      <c r="O53" s="83">
        <v>1</v>
      </c>
      <c r="P53" s="73">
        <v>0</v>
      </c>
      <c r="Q53" s="83">
        <v>0</v>
      </c>
      <c r="R53" s="74">
        <v>1</v>
      </c>
    </row>
    <row r="54" spans="6:18" s="83" customFormat="1" ht="15" customHeight="1" x14ac:dyDescent="0.15">
      <c r="F54" s="201" t="s">
        <v>241</v>
      </c>
      <c r="G54" s="83">
        <v>0</v>
      </c>
      <c r="H54" s="83">
        <v>0</v>
      </c>
      <c r="I54" s="83">
        <v>0</v>
      </c>
      <c r="J54" s="83">
        <v>0</v>
      </c>
      <c r="K54" s="83">
        <v>1</v>
      </c>
      <c r="L54" s="83">
        <v>0</v>
      </c>
      <c r="M54" s="83">
        <v>1</v>
      </c>
      <c r="N54" s="83">
        <v>0</v>
      </c>
      <c r="O54" s="83">
        <v>1</v>
      </c>
      <c r="P54" s="73">
        <v>0</v>
      </c>
      <c r="Q54" s="83">
        <v>0</v>
      </c>
      <c r="R54" s="74">
        <v>1</v>
      </c>
    </row>
    <row r="55" spans="6:18" s="83" customFormat="1" ht="15" customHeight="1" x14ac:dyDescent="0.15">
      <c r="F55" s="201" t="s">
        <v>242</v>
      </c>
      <c r="G55" s="83">
        <v>0</v>
      </c>
      <c r="H55" s="83">
        <v>0</v>
      </c>
      <c r="I55" s="83">
        <v>0</v>
      </c>
      <c r="J55" s="83">
        <v>0</v>
      </c>
      <c r="K55" s="83">
        <v>1</v>
      </c>
      <c r="L55" s="83">
        <v>0</v>
      </c>
      <c r="M55" s="83">
        <v>1</v>
      </c>
      <c r="N55" s="83">
        <v>0</v>
      </c>
      <c r="O55" s="83">
        <v>1</v>
      </c>
      <c r="P55" s="73">
        <v>0</v>
      </c>
      <c r="Q55" s="83">
        <v>0</v>
      </c>
      <c r="R55" s="74">
        <v>1</v>
      </c>
    </row>
    <row r="56" spans="6:18" s="83" customFormat="1" ht="15" customHeight="1" x14ac:dyDescent="0.15">
      <c r="F56" s="201" t="s">
        <v>243</v>
      </c>
      <c r="G56" s="83">
        <v>0</v>
      </c>
      <c r="H56" s="83">
        <v>0</v>
      </c>
      <c r="I56" s="83">
        <v>0</v>
      </c>
      <c r="J56" s="83">
        <v>0</v>
      </c>
      <c r="K56" s="83">
        <v>1</v>
      </c>
      <c r="L56" s="83">
        <v>0</v>
      </c>
      <c r="M56" s="83">
        <v>1</v>
      </c>
      <c r="N56" s="83">
        <v>0</v>
      </c>
      <c r="O56" s="83">
        <v>1</v>
      </c>
      <c r="P56" s="73">
        <v>0</v>
      </c>
      <c r="Q56" s="83">
        <v>0</v>
      </c>
      <c r="R56" s="74">
        <v>1</v>
      </c>
    </row>
    <row r="57" spans="6:18" s="83" customFormat="1" ht="15" customHeight="1" x14ac:dyDescent="0.15">
      <c r="F57" s="201" t="s">
        <v>244</v>
      </c>
      <c r="G57" s="83">
        <v>0</v>
      </c>
      <c r="H57" s="83">
        <v>0</v>
      </c>
      <c r="I57" s="83">
        <v>0</v>
      </c>
      <c r="J57" s="83">
        <v>0</v>
      </c>
      <c r="K57" s="83">
        <v>1</v>
      </c>
      <c r="L57" s="83">
        <v>0</v>
      </c>
      <c r="M57" s="83">
        <v>1</v>
      </c>
      <c r="N57" s="83">
        <v>0</v>
      </c>
      <c r="O57" s="83">
        <v>1</v>
      </c>
      <c r="P57" s="73">
        <v>0</v>
      </c>
      <c r="Q57" s="83">
        <v>0</v>
      </c>
      <c r="R57" s="74">
        <v>1</v>
      </c>
    </row>
    <row r="58" spans="6:18" s="83" customFormat="1" ht="15" customHeight="1" x14ac:dyDescent="0.15">
      <c r="F58" s="201" t="s">
        <v>245</v>
      </c>
      <c r="G58" s="83">
        <v>0</v>
      </c>
      <c r="H58" s="83">
        <v>0</v>
      </c>
      <c r="I58" s="83">
        <v>0</v>
      </c>
      <c r="J58" s="83">
        <v>0</v>
      </c>
      <c r="K58" s="83">
        <v>1</v>
      </c>
      <c r="L58" s="83">
        <v>0</v>
      </c>
      <c r="M58" s="83">
        <v>1</v>
      </c>
      <c r="N58" s="83">
        <v>0</v>
      </c>
      <c r="O58" s="83">
        <v>1</v>
      </c>
      <c r="P58" s="73">
        <v>0</v>
      </c>
      <c r="Q58" s="83">
        <v>0</v>
      </c>
      <c r="R58" s="74">
        <v>1</v>
      </c>
    </row>
    <row r="59" spans="6:18" s="83" customFormat="1" ht="15" customHeight="1" x14ac:dyDescent="0.15">
      <c r="F59" s="201" t="s">
        <v>246</v>
      </c>
      <c r="G59" s="83">
        <v>0</v>
      </c>
      <c r="H59" s="83">
        <v>0</v>
      </c>
      <c r="I59" s="83">
        <v>0</v>
      </c>
      <c r="J59" s="83">
        <v>0</v>
      </c>
      <c r="K59" s="83">
        <v>1</v>
      </c>
      <c r="L59" s="83">
        <v>0</v>
      </c>
      <c r="M59" s="83">
        <v>1</v>
      </c>
      <c r="N59" s="83">
        <v>0</v>
      </c>
      <c r="O59" s="83">
        <v>1</v>
      </c>
      <c r="P59" s="73">
        <v>0</v>
      </c>
      <c r="Q59" s="83">
        <v>0</v>
      </c>
      <c r="R59" s="74">
        <v>1</v>
      </c>
    </row>
    <row r="60" spans="6:18" s="83" customFormat="1" ht="15" customHeight="1" x14ac:dyDescent="0.15">
      <c r="F60" s="201" t="s">
        <v>247</v>
      </c>
      <c r="G60" s="83">
        <v>0</v>
      </c>
      <c r="H60" s="83">
        <v>0</v>
      </c>
      <c r="I60" s="83">
        <v>0</v>
      </c>
      <c r="J60" s="83">
        <v>0</v>
      </c>
      <c r="K60" s="83">
        <v>1</v>
      </c>
      <c r="L60" s="83">
        <v>0</v>
      </c>
      <c r="M60" s="83">
        <v>1</v>
      </c>
      <c r="N60" s="83">
        <v>0</v>
      </c>
      <c r="O60" s="83">
        <v>1</v>
      </c>
      <c r="P60" s="73">
        <v>0</v>
      </c>
      <c r="Q60" s="83">
        <v>0</v>
      </c>
      <c r="R60" s="74">
        <v>1</v>
      </c>
    </row>
    <row r="61" spans="6:18" s="83" customFormat="1" ht="15" customHeight="1" x14ac:dyDescent="0.15">
      <c r="F61" s="201" t="s">
        <v>248</v>
      </c>
      <c r="G61" s="83">
        <v>0</v>
      </c>
      <c r="H61" s="83">
        <v>0</v>
      </c>
      <c r="I61" s="83">
        <v>0</v>
      </c>
      <c r="J61" s="83">
        <v>0</v>
      </c>
      <c r="K61" s="83">
        <v>1</v>
      </c>
      <c r="L61" s="83">
        <v>0</v>
      </c>
      <c r="M61" s="83">
        <v>1</v>
      </c>
      <c r="N61" s="83">
        <v>0</v>
      </c>
      <c r="O61" s="83">
        <v>1</v>
      </c>
      <c r="P61" s="73">
        <v>0</v>
      </c>
      <c r="Q61" s="83">
        <v>0</v>
      </c>
      <c r="R61" s="74">
        <v>1</v>
      </c>
    </row>
    <row r="62" spans="6:18" s="83" customFormat="1" ht="15" customHeight="1" x14ac:dyDescent="0.15">
      <c r="F62" s="201" t="s">
        <v>249</v>
      </c>
      <c r="G62" s="83">
        <v>0</v>
      </c>
      <c r="H62" s="83">
        <v>0</v>
      </c>
      <c r="I62" s="83">
        <v>0</v>
      </c>
      <c r="J62" s="83">
        <v>0</v>
      </c>
      <c r="K62" s="83">
        <v>1</v>
      </c>
      <c r="L62" s="83">
        <v>0</v>
      </c>
      <c r="M62" s="83">
        <v>1</v>
      </c>
      <c r="N62" s="83">
        <v>0</v>
      </c>
      <c r="O62" s="83">
        <v>1</v>
      </c>
      <c r="P62" s="73">
        <v>0</v>
      </c>
      <c r="Q62" s="83">
        <v>0</v>
      </c>
      <c r="R62" s="74">
        <v>1</v>
      </c>
    </row>
    <row r="63" spans="6:18" s="83" customFormat="1" ht="15" customHeight="1" x14ac:dyDescent="0.15">
      <c r="F63" s="201" t="s">
        <v>250</v>
      </c>
      <c r="G63" s="83">
        <v>0</v>
      </c>
      <c r="H63" s="83">
        <v>0</v>
      </c>
      <c r="I63" s="83">
        <v>0</v>
      </c>
      <c r="J63" s="83">
        <v>0</v>
      </c>
      <c r="K63" s="83">
        <v>1</v>
      </c>
      <c r="L63" s="83">
        <v>0</v>
      </c>
      <c r="M63" s="83">
        <v>1</v>
      </c>
      <c r="N63" s="83">
        <v>0</v>
      </c>
      <c r="O63" s="83">
        <v>1</v>
      </c>
      <c r="P63" s="73">
        <v>0</v>
      </c>
      <c r="Q63" s="83">
        <v>0</v>
      </c>
      <c r="R63" s="74">
        <v>1</v>
      </c>
    </row>
    <row r="64" spans="6:18" s="83" customFormat="1" ht="15" customHeight="1" x14ac:dyDescent="0.15">
      <c r="F64" s="201" t="s">
        <v>251</v>
      </c>
      <c r="G64" s="83">
        <v>0</v>
      </c>
      <c r="H64" s="83">
        <v>0</v>
      </c>
      <c r="I64" s="83">
        <v>0</v>
      </c>
      <c r="J64" s="83">
        <v>0</v>
      </c>
      <c r="K64" s="83">
        <v>0</v>
      </c>
      <c r="L64" s="83">
        <v>1</v>
      </c>
      <c r="M64" s="83">
        <v>0</v>
      </c>
      <c r="N64" s="83">
        <v>1</v>
      </c>
      <c r="O64" s="83">
        <v>0</v>
      </c>
      <c r="P64" s="73">
        <v>1</v>
      </c>
      <c r="Q64" s="83">
        <v>0</v>
      </c>
      <c r="R64" s="74">
        <v>1</v>
      </c>
    </row>
    <row r="65" spans="1:18" ht="15" customHeight="1" x14ac:dyDescent="0.15">
      <c r="F65" s="201" t="s">
        <v>252</v>
      </c>
      <c r="G65" s="83">
        <v>0</v>
      </c>
      <c r="H65" s="83">
        <v>0</v>
      </c>
      <c r="I65" s="83">
        <v>0</v>
      </c>
      <c r="J65" s="83">
        <v>0</v>
      </c>
      <c r="K65" s="83">
        <v>0</v>
      </c>
      <c r="L65" s="83">
        <v>1</v>
      </c>
      <c r="M65" s="83">
        <v>0</v>
      </c>
      <c r="N65" s="83">
        <v>1</v>
      </c>
      <c r="O65" s="83">
        <v>0</v>
      </c>
      <c r="P65" s="73">
        <v>1</v>
      </c>
      <c r="Q65" s="83">
        <v>0</v>
      </c>
      <c r="R65" s="74">
        <v>1</v>
      </c>
    </row>
    <row r="66" spans="1:18" ht="15" customHeight="1" x14ac:dyDescent="0.15">
      <c r="F66" s="201" t="s">
        <v>253</v>
      </c>
      <c r="G66" s="83">
        <v>0</v>
      </c>
      <c r="H66" s="83">
        <v>0</v>
      </c>
      <c r="I66" s="83">
        <v>0</v>
      </c>
      <c r="J66" s="83">
        <v>0</v>
      </c>
      <c r="K66" s="83">
        <v>0</v>
      </c>
      <c r="L66" s="83">
        <v>1</v>
      </c>
      <c r="M66" s="83">
        <v>0</v>
      </c>
      <c r="N66" s="83">
        <v>0</v>
      </c>
      <c r="O66" s="83">
        <v>0</v>
      </c>
      <c r="P66" s="73">
        <v>0</v>
      </c>
      <c r="Q66" s="83">
        <v>0</v>
      </c>
      <c r="R66" s="74">
        <v>1</v>
      </c>
    </row>
    <row r="67" spans="1:18" ht="15" customHeight="1" x14ac:dyDescent="0.15">
      <c r="F67" s="201" t="s">
        <v>254</v>
      </c>
      <c r="G67" s="83">
        <v>0</v>
      </c>
      <c r="H67" s="83">
        <v>0</v>
      </c>
      <c r="I67" s="83">
        <v>0</v>
      </c>
      <c r="J67" s="83">
        <v>0</v>
      </c>
      <c r="K67" s="83">
        <v>0</v>
      </c>
      <c r="L67" s="83">
        <v>1</v>
      </c>
      <c r="M67" s="83">
        <v>0</v>
      </c>
      <c r="N67" s="83">
        <v>0</v>
      </c>
      <c r="O67" s="83">
        <v>0</v>
      </c>
      <c r="P67" s="73">
        <v>0</v>
      </c>
      <c r="Q67" s="83">
        <v>0</v>
      </c>
      <c r="R67" s="74">
        <v>1</v>
      </c>
    </row>
    <row r="68" spans="1:18" ht="15" customHeight="1" x14ac:dyDescent="0.15">
      <c r="F68" s="201" t="s">
        <v>255</v>
      </c>
      <c r="G68" s="83">
        <v>0</v>
      </c>
      <c r="H68" s="83">
        <v>0</v>
      </c>
      <c r="I68" s="83">
        <v>0</v>
      </c>
      <c r="J68" s="83">
        <v>0</v>
      </c>
      <c r="K68" s="83">
        <v>0</v>
      </c>
      <c r="L68" s="83">
        <v>1</v>
      </c>
      <c r="M68" s="83">
        <v>0</v>
      </c>
      <c r="N68" s="83">
        <v>0</v>
      </c>
      <c r="O68" s="83">
        <v>0</v>
      </c>
      <c r="P68" s="73">
        <v>0</v>
      </c>
      <c r="Q68" s="83">
        <v>0</v>
      </c>
      <c r="R68" s="74">
        <v>1</v>
      </c>
    </row>
    <row r="69" spans="1:18" ht="15" customHeight="1" x14ac:dyDescent="0.15">
      <c r="F69" s="201" t="s">
        <v>256</v>
      </c>
      <c r="G69" s="83">
        <v>0</v>
      </c>
      <c r="H69" s="83">
        <v>0</v>
      </c>
      <c r="I69" s="83">
        <v>0</v>
      </c>
      <c r="J69" s="83">
        <v>0</v>
      </c>
      <c r="K69" s="83">
        <v>0</v>
      </c>
      <c r="L69" s="83">
        <v>1</v>
      </c>
      <c r="M69" s="83">
        <v>0</v>
      </c>
      <c r="N69" s="83">
        <v>0</v>
      </c>
      <c r="O69" s="83">
        <v>0</v>
      </c>
      <c r="P69" s="73">
        <v>0</v>
      </c>
      <c r="Q69" s="83">
        <v>0</v>
      </c>
      <c r="R69" s="74">
        <v>1</v>
      </c>
    </row>
    <row r="70" spans="1:18" ht="15" customHeight="1" x14ac:dyDescent="0.15">
      <c r="F70" s="201" t="s">
        <v>257</v>
      </c>
      <c r="G70" s="83">
        <v>0</v>
      </c>
      <c r="H70" s="83">
        <v>0</v>
      </c>
      <c r="I70" s="83">
        <v>0</v>
      </c>
      <c r="J70" s="83">
        <v>0</v>
      </c>
      <c r="K70" s="83">
        <v>0</v>
      </c>
      <c r="L70" s="83">
        <v>1</v>
      </c>
      <c r="M70" s="83">
        <v>0</v>
      </c>
      <c r="N70" s="83">
        <v>0</v>
      </c>
      <c r="O70" s="83">
        <v>0</v>
      </c>
      <c r="P70" s="73">
        <v>0</v>
      </c>
      <c r="Q70" s="83">
        <v>0</v>
      </c>
      <c r="R70" s="74">
        <v>1</v>
      </c>
    </row>
    <row r="71" spans="1:18" ht="15" customHeight="1" x14ac:dyDescent="0.15">
      <c r="F71" s="201" t="s">
        <v>258</v>
      </c>
      <c r="G71" s="83">
        <v>0</v>
      </c>
      <c r="H71" s="83">
        <v>0</v>
      </c>
      <c r="I71" s="83">
        <v>0</v>
      </c>
      <c r="J71" s="83">
        <v>0</v>
      </c>
      <c r="K71" s="83">
        <v>0</v>
      </c>
      <c r="L71" s="83">
        <v>1</v>
      </c>
      <c r="M71" s="83">
        <v>0</v>
      </c>
      <c r="N71" s="83">
        <v>0</v>
      </c>
      <c r="O71" s="83">
        <v>0</v>
      </c>
      <c r="P71" s="73">
        <v>0</v>
      </c>
      <c r="Q71" s="83">
        <v>0</v>
      </c>
      <c r="R71" s="74">
        <v>1</v>
      </c>
    </row>
    <row r="72" spans="1:18" ht="15" customHeight="1" x14ac:dyDescent="0.15">
      <c r="F72" s="201" t="s">
        <v>259</v>
      </c>
      <c r="G72" s="83">
        <v>0</v>
      </c>
      <c r="H72" s="83">
        <v>0</v>
      </c>
      <c r="I72" s="83">
        <v>0</v>
      </c>
      <c r="J72" s="83">
        <v>0</v>
      </c>
      <c r="K72" s="83">
        <v>0</v>
      </c>
      <c r="L72" s="83">
        <v>1</v>
      </c>
      <c r="M72" s="83">
        <v>0</v>
      </c>
      <c r="N72" s="83">
        <v>0</v>
      </c>
      <c r="O72" s="83">
        <v>0</v>
      </c>
      <c r="P72" s="73">
        <v>0</v>
      </c>
      <c r="Q72" s="83">
        <v>0</v>
      </c>
      <c r="R72" s="74">
        <v>1</v>
      </c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3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3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3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3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3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3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3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3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3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3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3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3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3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3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3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3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3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3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3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3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3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3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3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3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3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3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3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W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4.83203125" bestFit="1" customWidth="1"/>
    <col min="2" max="2" width="2.33203125" style="114" customWidth="1"/>
    <col min="3" max="5" width="7.83203125" style="114" customWidth="1"/>
    <col min="6" max="8" width="8.83203125" style="6"/>
    <col min="9" max="9" width="13.1640625" style="6" customWidth="1"/>
    <col min="10" max="10" width="8.1640625" style="6" customWidth="1"/>
    <col min="11" max="11" width="15.83203125" style="6" customWidth="1"/>
    <col min="12" max="12" width="14.83203125" style="6" customWidth="1"/>
    <col min="13" max="13" width="14.6640625" style="6" customWidth="1"/>
    <col min="14" max="14" width="20.6640625" style="6" customWidth="1"/>
    <col min="15" max="15" width="11.5" style="6" customWidth="1"/>
    <col min="16" max="16" width="22.5" style="6" customWidth="1"/>
    <col min="17" max="17" width="23.6640625" style="6" customWidth="1"/>
    <col min="18" max="18" width="21" style="6" customWidth="1"/>
    <col min="19" max="19" width="18.6640625" style="6" customWidth="1"/>
    <col min="20" max="20" width="17.5" style="6" customWidth="1"/>
    <col min="21" max="21" width="18.1640625" style="6" customWidth="1"/>
    <col min="22" max="22" width="7.1640625" style="6" customWidth="1"/>
    <col min="23" max="23" width="11.6640625" style="6" customWidth="1"/>
    <col min="24" max="24" width="13.6640625" style="6" customWidth="1"/>
    <col min="25" max="25" width="8.5" style="6" customWidth="1"/>
    <col min="26" max="26" width="22" style="6" customWidth="1"/>
    <col min="27" max="27" width="23.83203125" style="6" customWidth="1"/>
    <col min="28" max="28" width="21.83203125" style="6" customWidth="1"/>
    <col min="29" max="29" width="9.6640625" style="6" customWidth="1"/>
    <col min="30" max="30" width="8.83203125" style="6" customWidth="1"/>
    <col min="31" max="31" width="6" style="6" customWidth="1"/>
    <col min="32" max="32" width="9.1640625" style="6" customWidth="1"/>
    <col min="33" max="33" width="13.5" style="6" customWidth="1"/>
    <col min="34" max="34" width="12.83203125" style="6" customWidth="1"/>
    <col min="35" max="35" width="14.6640625" style="6" customWidth="1"/>
    <col min="36" max="36" width="12.6640625" style="6" customWidth="1"/>
    <col min="37" max="37" width="16.6640625" style="6" customWidth="1"/>
    <col min="38" max="38" width="18.5" style="6" customWidth="1"/>
    <col min="39" max="39" width="16.5" customWidth="1"/>
    <col min="40" max="40" width="14.33203125" customWidth="1"/>
    <col min="41" max="41" width="15.5" customWidth="1"/>
    <col min="42" max="42" width="13.5" customWidth="1"/>
    <col min="43" max="43" width="12.5" customWidth="1"/>
    <col min="44" max="44" width="12.33203125" customWidth="1"/>
    <col min="45" max="45" width="9.5" customWidth="1"/>
    <col min="46" max="46" width="11.5" customWidth="1"/>
    <col min="47" max="47" width="9.5" customWidth="1"/>
    <col min="48" max="48" width="8.5" customWidth="1"/>
    <col min="49" max="49" width="5.5" customWidth="1"/>
    <col min="50" max="50" width="7.6640625" customWidth="1"/>
    <col min="51" max="51" width="21.1640625" customWidth="1"/>
    <col min="52" max="52" width="21" customWidth="1"/>
    <col min="53" max="53" width="20.83203125" customWidth="1"/>
    <col min="54" max="54" width="20.6640625" customWidth="1"/>
    <col min="55" max="55" width="6.1640625" customWidth="1"/>
    <col min="56" max="56" width="24.83203125" customWidth="1"/>
    <col min="57" max="57" width="23.6640625" customWidth="1"/>
    <col min="58" max="58" width="23.83203125" customWidth="1"/>
    <col min="59" max="59" width="20.1640625" customWidth="1"/>
    <col min="60" max="60" width="14.83203125" customWidth="1"/>
    <col min="61" max="61" width="14.6640625" customWidth="1"/>
    <col min="62" max="62" width="19.1640625" customWidth="1"/>
    <col min="63" max="63" width="9.5" customWidth="1"/>
    <col min="64" max="64" width="13.33203125" customWidth="1"/>
    <col min="65" max="65" width="11.83203125" customWidth="1"/>
    <col min="66" max="66" width="7.5" customWidth="1"/>
    <col min="67" max="67" width="7.6640625" customWidth="1"/>
    <col min="68" max="68" width="21.6640625" customWidth="1"/>
    <col min="69" max="69" width="7.1640625" customWidth="1"/>
    <col min="70" max="70" width="5.5" customWidth="1"/>
    <col min="71" max="71" width="4.83203125" customWidth="1"/>
    <col min="72" max="72" width="7.1640625" customWidth="1"/>
    <col min="73" max="73" width="11.1640625" customWidth="1"/>
    <col min="74" max="74" width="11.5" customWidth="1"/>
    <col min="75" max="75" width="5.83203125" customWidth="1"/>
    <col min="81" max="81" width="22.1640625" bestFit="1" customWidth="1"/>
  </cols>
  <sheetData>
    <row r="1" spans="1:75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6" t="s">
        <v>193</v>
      </c>
      <c r="J1" s="206" t="s">
        <v>194</v>
      </c>
      <c r="K1" s="206" t="s">
        <v>195</v>
      </c>
      <c r="L1" s="206" t="s">
        <v>196</v>
      </c>
      <c r="M1" s="206" t="s">
        <v>197</v>
      </c>
      <c r="N1" s="206" t="s">
        <v>198</v>
      </c>
      <c r="O1" s="206" t="s">
        <v>199</v>
      </c>
      <c r="P1" s="206" t="s">
        <v>200</v>
      </c>
      <c r="Q1" s="206" t="s">
        <v>201</v>
      </c>
      <c r="R1" s="206" t="s">
        <v>202</v>
      </c>
      <c r="S1" s="206" t="s">
        <v>203</v>
      </c>
      <c r="T1" s="206" t="s">
        <v>204</v>
      </c>
      <c r="U1" s="206" t="s">
        <v>205</v>
      </c>
      <c r="V1" s="206" t="s">
        <v>206</v>
      </c>
      <c r="W1" s="206" t="s">
        <v>207</v>
      </c>
      <c r="X1" s="206" t="s">
        <v>208</v>
      </c>
      <c r="Y1" s="206" t="s">
        <v>209</v>
      </c>
      <c r="Z1" s="206" t="s">
        <v>210</v>
      </c>
      <c r="AA1" s="206" t="s">
        <v>211</v>
      </c>
      <c r="AB1" s="206" t="s">
        <v>212</v>
      </c>
      <c r="AC1" s="206" t="s">
        <v>213</v>
      </c>
      <c r="AD1" s="206" t="s">
        <v>214</v>
      </c>
      <c r="AE1" s="206" t="s">
        <v>215</v>
      </c>
      <c r="AF1" s="206" t="s">
        <v>216</v>
      </c>
      <c r="AG1" s="206" t="s">
        <v>217</v>
      </c>
      <c r="AH1" s="206" t="s">
        <v>218</v>
      </c>
      <c r="AI1" s="206" t="s">
        <v>219</v>
      </c>
      <c r="AJ1" s="206" t="s">
        <v>220</v>
      </c>
      <c r="AK1" s="206" t="s">
        <v>221</v>
      </c>
      <c r="AL1" s="206" t="s">
        <v>222</v>
      </c>
      <c r="AM1" s="206" t="s">
        <v>223</v>
      </c>
      <c r="AN1" s="206" t="s">
        <v>224</v>
      </c>
      <c r="AO1" s="206" t="s">
        <v>225</v>
      </c>
      <c r="AP1" s="206" t="s">
        <v>226</v>
      </c>
      <c r="AQ1" s="206" t="s">
        <v>227</v>
      </c>
      <c r="AR1" s="206" t="s">
        <v>228</v>
      </c>
      <c r="AS1" s="206" t="s">
        <v>229</v>
      </c>
      <c r="AT1" s="206" t="s">
        <v>230</v>
      </c>
      <c r="AU1" s="206" t="s">
        <v>231</v>
      </c>
      <c r="AV1" s="206" t="s">
        <v>232</v>
      </c>
      <c r="AW1" s="206" t="s">
        <v>233</v>
      </c>
      <c r="AX1" s="206" t="s">
        <v>234</v>
      </c>
      <c r="AY1" s="206" t="s">
        <v>235</v>
      </c>
      <c r="AZ1" s="206" t="s">
        <v>236</v>
      </c>
      <c r="BA1" s="206" t="s">
        <v>237</v>
      </c>
      <c r="BB1" s="206" t="s">
        <v>238</v>
      </c>
      <c r="BC1" s="206" t="s">
        <v>239</v>
      </c>
      <c r="BD1" s="206" t="s">
        <v>240</v>
      </c>
      <c r="BE1" s="206" t="s">
        <v>241</v>
      </c>
      <c r="BF1" s="206" t="s">
        <v>242</v>
      </c>
      <c r="BG1" s="206" t="s">
        <v>243</v>
      </c>
      <c r="BH1" s="206" t="s">
        <v>244</v>
      </c>
      <c r="BI1" s="206" t="s">
        <v>245</v>
      </c>
      <c r="BJ1" s="206" t="s">
        <v>246</v>
      </c>
      <c r="BK1" s="206" t="s">
        <v>247</v>
      </c>
      <c r="BL1" s="206" t="s">
        <v>248</v>
      </c>
      <c r="BM1" s="206" t="s">
        <v>249</v>
      </c>
      <c r="BN1" s="206" t="s">
        <v>250</v>
      </c>
      <c r="BO1" s="206" t="s">
        <v>251</v>
      </c>
      <c r="BP1" s="206" t="s">
        <v>252</v>
      </c>
      <c r="BQ1" s="206" t="s">
        <v>253</v>
      </c>
      <c r="BR1" s="206" t="s">
        <v>254</v>
      </c>
      <c r="BS1" s="206" t="s">
        <v>255</v>
      </c>
      <c r="BT1" s="206" t="s">
        <v>256</v>
      </c>
      <c r="BU1" s="206" t="s">
        <v>257</v>
      </c>
      <c r="BV1" s="206" t="s">
        <v>258</v>
      </c>
      <c r="BW1" s="206" t="s">
        <v>259</v>
      </c>
    </row>
    <row r="2" spans="1:75" x14ac:dyDescent="0.15">
      <c r="A2" t="s">
        <v>38</v>
      </c>
      <c r="B2" s="11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75" x14ac:dyDescent="0.15">
      <c r="A3" t="s">
        <v>40</v>
      </c>
      <c r="B3" s="11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75" x14ac:dyDescent="0.15">
      <c r="A4" t="s">
        <v>41</v>
      </c>
      <c r="B4" s="11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75" x14ac:dyDescent="0.15">
      <c r="A5" s="205" t="s">
        <v>193</v>
      </c>
      <c r="B5" s="11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75" x14ac:dyDescent="0.15">
      <c r="A6" s="205" t="s">
        <v>194</v>
      </c>
      <c r="B6" s="11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75" x14ac:dyDescent="0.15">
      <c r="A7" s="205" t="s">
        <v>195</v>
      </c>
      <c r="B7" s="11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75" x14ac:dyDescent="0.15">
      <c r="A8" s="205" t="s">
        <v>196</v>
      </c>
      <c r="B8" s="11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75" x14ac:dyDescent="0.15">
      <c r="A9" s="205" t="s">
        <v>197</v>
      </c>
      <c r="B9" s="11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75" x14ac:dyDescent="0.15">
      <c r="A10" s="205" t="s">
        <v>198</v>
      </c>
      <c r="B10" s="11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75" x14ac:dyDescent="0.15">
      <c r="A11" s="205" t="s">
        <v>199</v>
      </c>
      <c r="B11" s="11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75" x14ac:dyDescent="0.15">
      <c r="A12" s="205" t="s">
        <v>200</v>
      </c>
      <c r="B12" s="11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75" x14ac:dyDescent="0.15">
      <c r="A13" s="205" t="s">
        <v>201</v>
      </c>
      <c r="B13" s="11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75" x14ac:dyDescent="0.15">
      <c r="A14" s="205" t="s">
        <v>202</v>
      </c>
      <c r="B14" s="11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75" x14ac:dyDescent="0.15">
      <c r="A15" s="205" t="s">
        <v>203</v>
      </c>
      <c r="B15" s="11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75" x14ac:dyDescent="0.15">
      <c r="A16" s="205" t="s">
        <v>204</v>
      </c>
      <c r="B16" s="11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5" t="s">
        <v>205</v>
      </c>
      <c r="B17" s="11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5" t="s">
        <v>206</v>
      </c>
      <c r="B18" s="11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5" t="s">
        <v>207</v>
      </c>
      <c r="B19" s="11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5" t="s">
        <v>208</v>
      </c>
      <c r="B20" s="11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5" t="s">
        <v>209</v>
      </c>
      <c r="B21" s="11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5" t="s">
        <v>210</v>
      </c>
      <c r="B22" s="11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5" t="s">
        <v>211</v>
      </c>
      <c r="B23" s="11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5" t="s">
        <v>212</v>
      </c>
      <c r="B24" s="11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5" t="s">
        <v>213</v>
      </c>
      <c r="B25" s="11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5" t="s">
        <v>214</v>
      </c>
      <c r="B26" s="11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5" t="s">
        <v>215</v>
      </c>
      <c r="B27" s="11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5" t="s">
        <v>216</v>
      </c>
      <c r="B28" s="11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5" t="s">
        <v>217</v>
      </c>
      <c r="B29" s="114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5" t="s">
        <v>218</v>
      </c>
      <c r="B30" s="114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5" t="s">
        <v>219</v>
      </c>
      <c r="B31" s="114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5" t="s">
        <v>220</v>
      </c>
      <c r="B32" s="114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5" t="s">
        <v>221</v>
      </c>
      <c r="B33" s="114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5" t="s">
        <v>222</v>
      </c>
      <c r="B34" s="114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5" t="s">
        <v>223</v>
      </c>
      <c r="B35" s="114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5" t="s">
        <v>224</v>
      </c>
      <c r="B36" s="114">
        <v>0</v>
      </c>
      <c r="C36"/>
      <c r="D36"/>
    </row>
    <row r="37" spans="1:38" ht="15" customHeight="1" x14ac:dyDescent="0.15">
      <c r="A37" s="205" t="s">
        <v>225</v>
      </c>
      <c r="B37" s="114">
        <v>0</v>
      </c>
      <c r="C37"/>
      <c r="D37"/>
    </row>
    <row r="38" spans="1:38" ht="15" customHeight="1" x14ac:dyDescent="0.15">
      <c r="A38" s="205" t="s">
        <v>226</v>
      </c>
      <c r="B38" s="114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5" t="s">
        <v>227</v>
      </c>
      <c r="B39" s="114">
        <v>0</v>
      </c>
      <c r="C39"/>
      <c r="D39"/>
    </row>
    <row r="40" spans="1:38" ht="15" customHeight="1" x14ac:dyDescent="0.15">
      <c r="A40" s="205" t="s">
        <v>228</v>
      </c>
      <c r="B40" s="114">
        <v>0</v>
      </c>
      <c r="C40"/>
      <c r="D40"/>
    </row>
    <row r="41" spans="1:38" ht="15" customHeight="1" x14ac:dyDescent="0.15">
      <c r="A41" s="205" t="s">
        <v>229</v>
      </c>
      <c r="B41" s="114">
        <v>0</v>
      </c>
      <c r="C41"/>
      <c r="D41"/>
    </row>
    <row r="42" spans="1:38" ht="15" customHeight="1" x14ac:dyDescent="0.15">
      <c r="A42" s="205" t="s">
        <v>230</v>
      </c>
      <c r="B42" s="114">
        <v>0</v>
      </c>
    </row>
    <row r="43" spans="1:38" ht="15" customHeight="1" x14ac:dyDescent="0.15">
      <c r="A43" s="205" t="s">
        <v>231</v>
      </c>
      <c r="B43" s="114">
        <v>0</v>
      </c>
    </row>
    <row r="44" spans="1:38" ht="15" customHeight="1" x14ac:dyDescent="0.15">
      <c r="A44" s="205" t="s">
        <v>232</v>
      </c>
      <c r="B44" s="114">
        <v>0</v>
      </c>
    </row>
    <row r="45" spans="1:38" ht="15" customHeight="1" x14ac:dyDescent="0.15">
      <c r="A45" s="205" t="s">
        <v>233</v>
      </c>
      <c r="B45" s="114">
        <v>0</v>
      </c>
    </row>
    <row r="46" spans="1:38" ht="15" customHeight="1" x14ac:dyDescent="0.15">
      <c r="A46" s="205" t="s">
        <v>234</v>
      </c>
      <c r="B46" s="114">
        <v>0</v>
      </c>
    </row>
    <row r="47" spans="1:38" ht="15" customHeight="1" x14ac:dyDescent="0.15">
      <c r="A47" s="205" t="s">
        <v>235</v>
      </c>
      <c r="B47" s="114">
        <v>0</v>
      </c>
    </row>
    <row r="48" spans="1:38" ht="15" customHeight="1" x14ac:dyDescent="0.15">
      <c r="A48" s="205" t="s">
        <v>236</v>
      </c>
      <c r="B48" s="114">
        <v>0</v>
      </c>
    </row>
    <row r="49" spans="1:38" ht="15" customHeight="1" x14ac:dyDescent="0.15">
      <c r="A49" s="205" t="s">
        <v>237</v>
      </c>
      <c r="B49" s="114">
        <v>0</v>
      </c>
    </row>
    <row r="50" spans="1:38" ht="15" customHeight="1" x14ac:dyDescent="0.15">
      <c r="A50" s="205" t="s">
        <v>238</v>
      </c>
      <c r="B50" s="114">
        <v>0</v>
      </c>
    </row>
    <row r="51" spans="1:38" ht="15" customHeight="1" x14ac:dyDescent="0.15">
      <c r="A51" s="205" t="s">
        <v>239</v>
      </c>
      <c r="B51" s="114">
        <v>0</v>
      </c>
    </row>
    <row r="52" spans="1:38" ht="15" customHeight="1" x14ac:dyDescent="0.15">
      <c r="A52" s="205" t="s">
        <v>240</v>
      </c>
      <c r="B52" s="114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5" t="s">
        <v>241</v>
      </c>
      <c r="B53" s="114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5" t="s">
        <v>242</v>
      </c>
      <c r="B54" s="114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5" t="s">
        <v>243</v>
      </c>
      <c r="B55" s="114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5" t="s">
        <v>244</v>
      </c>
      <c r="B56" s="114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5" t="s">
        <v>245</v>
      </c>
      <c r="B57" s="114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5" t="s">
        <v>246</v>
      </c>
      <c r="B58" s="114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5" t="s">
        <v>247</v>
      </c>
      <c r="B59" s="114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5" t="s">
        <v>248</v>
      </c>
      <c r="B60" s="114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5" t="s">
        <v>249</v>
      </c>
      <c r="B61" s="114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05" t="s">
        <v>250</v>
      </c>
      <c r="B62" s="114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205" t="s">
        <v>251</v>
      </c>
      <c r="B63" s="114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205" t="s">
        <v>252</v>
      </c>
      <c r="B64" s="114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205" t="s">
        <v>253</v>
      </c>
      <c r="B65" s="114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205" t="s">
        <v>254</v>
      </c>
      <c r="B66" s="114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A67" s="205" t="s">
        <v>255</v>
      </c>
      <c r="B67" s="114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A68" s="205" t="s">
        <v>256</v>
      </c>
      <c r="B68" s="114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A69" s="205" t="s">
        <v>257</v>
      </c>
      <c r="B69" s="114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A70" s="205" t="s">
        <v>258</v>
      </c>
      <c r="B70" s="114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A71" s="205" t="s">
        <v>259</v>
      </c>
      <c r="B71" s="114">
        <v>0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2022-10-23T22:19:13Z</dcterms:modified>
</cp:coreProperties>
</file>