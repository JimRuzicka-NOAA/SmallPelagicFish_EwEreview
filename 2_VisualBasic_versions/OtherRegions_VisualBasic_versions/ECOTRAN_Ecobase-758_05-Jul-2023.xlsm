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298A1B75-191E-AA4B-8305-47F32D3AED25}" xr6:coauthVersionLast="45" xr6:coauthVersionMax="45" xr10:uidLastSave="{00000000-0000-0000-0000-000000000000}"/>
  <bookViews>
    <workbookView xWindow="0" yWindow="500" windowWidth="25600" windowHeight="1424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Main!$C$2:$N$31</definedName>
    <definedName name="matDetritus">Detritus!$C$2:$E$31</definedName>
    <definedName name="matDiet">Diets!$B$2:$AB$31</definedName>
    <definedName name="matDiscards">Discards!$C$2:$C$30</definedName>
    <definedName name="matFishery">Fishing!$C$2:$C$30</definedName>
    <definedName name="matFishing">Fishing!#REF!</definedName>
    <definedName name="matMort">Mortalities!$A$1:$AG$30</definedName>
    <definedName name="matOut">MainOutputs!$A$2:$I$31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<sst xmlns="http://schemas.openxmlformats.org/spreadsheetml/2006/main" count="948" uniqueCount="235">
  <si>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</si>
  <si>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</si>
  <si>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</si>
  <si>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</si>
  <si>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</si>
  <si>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</si>
  <si>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</si>
  <si>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</si>
  <si>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</si>
  <si>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</si>
  <si>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</si>
  <si>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</si>
  <si>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</si>
  <si>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</si>
  <si>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</si>
  <si>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</si>
  <si>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</si>
  <si>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</si>
  <si>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</si>
  <si>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</si>
  <si>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</si>
  <si>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</si>
  <si>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</si>
  <si>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</si>
  <si>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</si>
  <si>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</si>
  <si>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</si>
  <si>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</si>
  <si>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</si>
  <si>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</si>
  <si>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</si>
  <si>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</si>
  <si>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</si>
  <si>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</si>
  <si>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</si>
  <si>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</si>
  <si>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</si>
  <si>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</si>
  <si>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</si>
  <si>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</si>
  <si>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</si>
  <si>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</si>
  <si>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</si>
  <si>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</si>
  <si>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</si>
  <si>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</si>
  <si>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</si>
  <si>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</si>
  <si>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</si>
  <si>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</si>
  <si>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</si>
  <si>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</si>
  <si>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</si>
  <si>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</si>
  <si>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</si>
  <si>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</si>
  <si>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</si>
  <si>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</si>
  <si>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</si>
  <si>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</si>
  <si>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</si>
  <si>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</si>
  <si>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</si>
  <si>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</si>
  <si>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</si>
  <si>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</si>
  <si>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</si>
  <si>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</si>
  <si>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</si>
  <si>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</si>
  <si>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</si>
  <si>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</si>
  <si>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</si>
  <si>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</si>
  <si>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</si>
  <si>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</si>
  <si>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</si>
  <si>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</si>
  <si>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</si>
  <si>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</si>
  <si>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</si>
  <si>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</si>
  <si>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</si>
  <si>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</si>
  <si>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</si>
  <si>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</si>
  <si>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</si>
  <si>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</si>
  <si>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</si>
  <si>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</si>
  <si>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</si>
  <si>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</si>
  <si>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</si>
  <si>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</si>
  <si>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</si>
  <si>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</si>
  <si>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</si>
  <si>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</si>
  <si>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</si>
  <si>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</si>
  <si>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</si>
  <si>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</si>
  <si>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</si>
  <si>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</si>
  <si>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</si>
  <si>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</si>
  <si>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</si>
  <si>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</si>
  <si>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</si>
  <si>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</si>
  <si>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</si>
  <si>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</si>
  <si>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</si>
  <si>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</si>
  <si>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</si>
  <si>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</si>
  <si>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</si>
  <si>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</si>
  <si>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</si>
  <si>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</si>
  <si>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</si>
  <si>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</si>
  <si>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</si>
  <si>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</si>
  <si>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</si>
  <si>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</si>
  <si>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</si>
  <si>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</si>
  <si>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</si>
  <si>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</si>
  <si>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</si>
  <si>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</si>
  <si>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</si>
  <si>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</si>
  <si>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</si>
  <si>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</si>
  <si>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</si>
  <si>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</si>
  <si>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</si>
  <si>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</si>
  <si>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</si>
  <si>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</si>
  <si>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</si>
  <si>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</si>
  <si>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</si>
  <si>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</si>
  <si>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</si>
  <si>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</si>
  <si>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</si>
  <si>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</si>
  <si>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</si>
  <si>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</si>
  <si>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</si>
  <si>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</si>
  <si>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</si>
  <si>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</si>
  <si>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</si>
  <si>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</si>
  <si>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</si>
  <si>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</si>
  <si>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</si>
  <si>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</si>
  <si>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</si>
  <si>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</si>
  <si>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</si>
  <si>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</si>
  <si>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</si>
  <si>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</si>
  <si>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</si>
  <si>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</si>
  <si>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</si>
  <si>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</si>
  <si>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</si>
  <si>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</si>
  <si>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</si>
  <si>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</si>
  <si>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</si>
  <si>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</si>
  <si>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</si>
  <si>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</si>
  <si>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</si>
  <si>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</si>
  <si>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</si>
  <si>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</si>
  <si>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</si>
  <si>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Rocas Atoll</t>
  </si>
  <si>
    <t>Brazil</t>
  </si>
  <si>
    <t>BOX(-33.823 -3.87956,-33.78597 -3.8498)</t>
  </si>
  <si>
    <t>Coral reef</t>
  </si>
  <si>
    <t>WetWeight</t>
  </si>
  <si>
    <t xml:space="preserve"> We modeled the food web of a tropical near-pristine reef ecosystem and analyzed changes on living biomass across trophic levels as a response to ocean warming over the twenty-first century. </t>
  </si>
  <si>
    <t>/</t>
  </si>
  <si>
    <t>https://doi.org/10.1007/s10021-021-00691-z</t>
  </si>
  <si>
    <t>Sea birds</t>
  </si>
  <si>
    <t>Negaprion brevirostris</t>
  </si>
  <si>
    <t>Ginglymostoma cirratum</t>
  </si>
  <si>
    <t>Lutjanus jocu</t>
  </si>
  <si>
    <t>Cephalopholis fulva</t>
  </si>
  <si>
    <t>Carangidae</t>
  </si>
  <si>
    <t>Acanthurus spp.</t>
  </si>
  <si>
    <t>Stegastes rocasensis</t>
  </si>
  <si>
    <t>Thalassoma noronhanum</t>
  </si>
  <si>
    <t>Abudefduf saxatilis</t>
  </si>
  <si>
    <t>Sparisoma spp.</t>
  </si>
  <si>
    <t>Melichthys niger</t>
  </si>
  <si>
    <t>Kyphosus spp.</t>
  </si>
  <si>
    <t>Mulloidichthys martinicus</t>
  </si>
  <si>
    <t>Holocentrus adscensionis</t>
  </si>
  <si>
    <t>Haemulidae</t>
  </si>
  <si>
    <t>Small omnivore fish</t>
  </si>
  <si>
    <t>Turtles</t>
  </si>
  <si>
    <t>Panulirus spp.</t>
  </si>
  <si>
    <t>Benthic macroinvertebrates</t>
  </si>
  <si>
    <t>Benthic microinvertebrates</t>
  </si>
  <si>
    <t>Siderastrea stellata</t>
  </si>
  <si>
    <t>Zooplankton</t>
  </si>
  <si>
    <t>Phytoplankton</t>
  </si>
  <si>
    <t>Digenea simplex</t>
  </si>
  <si>
    <t>Other algal turf</t>
  </si>
  <si>
    <t>Detritus</t>
  </si>
  <si>
    <t>detritus_TerminalBenthic</t>
  </si>
  <si>
    <t>Import</t>
  </si>
  <si>
    <t>export</t>
  </si>
  <si>
    <t>sum</t>
  </si>
  <si>
    <t>TOTAL</t>
  </si>
  <si>
    <t>dummy fleet</t>
  </si>
  <si>
    <t>&lt;&lt;--no fleet in model; Jruz added dummy model</t>
  </si>
  <si>
    <t>&lt;&lt;--Jruz redefined flow (think the code put this in export incorrectly)</t>
  </si>
  <si>
    <t>F dummy fleet</t>
  </si>
  <si>
    <t>&lt;&lt;--original ba was 0.5408965</t>
  </si>
  <si>
    <t>&lt;&lt;--original ba was 0.38</t>
  </si>
  <si>
    <t>&lt;&lt;--original ba was 1.05</t>
  </si>
  <si>
    <t>&lt;&lt;--changed name from Cephalopoda</t>
  </si>
  <si>
    <t>&lt;&lt;-- Type was 0.4</t>
  </si>
  <si>
    <t>Cephalopoda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</si>
</sst>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2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32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4" borderId="0" xfId="0" applyFill="1"/>
    <xf numFmtId="0" fontId="0" fillId="0" borderId="0" xfId="0" applyFont="1" applyFill="1" applyAlignment="1">
      <alignment horizontal="center"/>
    </xf>
    <xf numFmtId="0" fontId="0" fillId="3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3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3" borderId="3" xfId="0" applyNumberFormat="1" applyFont="1" applyFill="1" applyBorder="1"/>
    <xf numFmtId="0" fontId="0" fillId="33" borderId="2" xfId="0" applyFont="1" applyFill="1" applyBorder="1"/>
    <xf numFmtId="0" fontId="0" fillId="33" borderId="3" xfId="0" applyFont="1" applyFill="1" applyBorder="1"/>
    <xf numFmtId="0" fontId="0" fillId="33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13" fillId="0" borderId="52" xfId="0" applyNumberFormat="1" applyFont="1" applyBorder="1"/>
    <xf numFmtId="49" fontId="0" fillId="0" borderId="52" xfId="0" applyNumberFormat="1" applyFont="1" applyFill="1" applyBorder="1"/>
    <xf numFmtId="0" fontId="8" fillId="0" borderId="0" xfId="0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topLeftCell="A45"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60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3" x14ac:dyDescent="0.15">
      <c r="B49" s="47" t="s">
        <v>44</v>
      </c>
      <c r="C49" s="31">
        <v>5</v>
      </c>
    </row>
    <row r="50" spans="2:3" x14ac:dyDescent="0.15">
      <c r="B50" s="47"/>
      <c r="C50" s="31"/>
    </row>
    <row r="51" spans="2:3" ht="14" thickBot="1" x14ac:dyDescent="0.2">
      <c r="B51" s="48" t="s">
        <v>73</v>
      </c>
      <c r="C51" s="32">
        <v>7</v>
      </c>
    </row>
    <row r="53" spans="2:3" x14ac:dyDescent="0.15">
      <c r="B53" s="134" t="s">
        <v>171</v>
      </c>
      <c r="C53">
        <v>758</v>
      </c>
    </row>
    <row r="54" spans="2:3" x14ac:dyDescent="0.15">
      <c r="B54" s="134" t="s">
        <v>172</v>
      </c>
      <c r="C54" s="134" t="s">
        <v>185</v>
      </c>
    </row>
    <row r="55" spans="2:3" x14ac:dyDescent="0.15">
      <c r="B55" s="134" t="s">
        <v>173</v>
      </c>
      <c r="C55" s="134" t="s">
        <v>186</v>
      </c>
    </row>
    <row r="56" spans="2:3" x14ac:dyDescent="0.15">
      <c r="B56" s="134" t="s">
        <v>174</v>
      </c>
      <c r="C56">
        <v>7.85</v>
      </c>
    </row>
    <row r="57" spans="2:3" x14ac:dyDescent="0.15">
      <c r="B57" s="134" t="s">
        <v>175</v>
      </c>
      <c r="C57" s="134" t="s">
        <v>187</v>
      </c>
    </row>
    <row r="58" spans="2:3" x14ac:dyDescent="0.15">
      <c r="B58" s="134" t="s">
        <v>176</v>
      </c>
      <c r="C58" s="134" t="s">
        <v>188</v>
      </c>
    </row>
    <row r="59" spans="2:3" x14ac:dyDescent="0.15">
      <c r="B59" s="134" t="s">
        <v>177</v>
      </c>
      <c r="C59" s="134" t="s">
        <v>189</v>
      </c>
    </row>
    <row r="60" spans="2:3" x14ac:dyDescent="0.15">
      <c r="B60" s="134" t="s">
        <v>178</v>
      </c>
      <c r="C60" s="134" t="s">
        <v>190</v>
      </c>
    </row>
    <row r="61" spans="2:3" x14ac:dyDescent="0.15">
      <c r="B61" s="134" t="s">
        <v>179</v>
      </c>
      <c r="C61">
        <v>28</v>
      </c>
    </row>
    <row r="62" spans="2:3" x14ac:dyDescent="0.15">
      <c r="B62" s="134" t="s">
        <v>180</v>
      </c>
      <c r="C62">
        <v>0</v>
      </c>
    </row>
    <row r="63" spans="2:3" x14ac:dyDescent="0.15">
      <c r="B63" s="134" t="s">
        <v>181</v>
      </c>
      <c r="C63">
        <v>2012</v>
      </c>
    </row>
    <row r="64" spans="2:3" x14ac:dyDescent="0.15">
      <c r="B64" s="134" t="s">
        <v>182</v>
      </c>
      <c r="C64">
        <v>7</v>
      </c>
    </row>
    <row r="65" spans="2:3" x14ac:dyDescent="0.15">
      <c r="B65" s="134" t="s">
        <v>183</v>
      </c>
      <c r="C65" s="134" t="s">
        <v>191</v>
      </c>
    </row>
    <row r="66" spans="2:3" x14ac:dyDescent="0.15">
      <c r="B66" s="134" t="s">
        <v>184</v>
      </c>
      <c r="C66" s="134" t="s">
        <v>192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6" activePane="bottomLeft" state="frozenSplit"/>
      <selection activeCell="E1" sqref="E1"/>
      <selection pane="bottomLeft" activeCell="D34" sqref="D34"/>
    </sheetView>
  </sheetViews>
  <sheetFormatPr baseColWidth="10" defaultColWidth="8.83203125" defaultRowHeight="15" customHeight="1" x14ac:dyDescent="0.15"/>
  <cols>
    <col min="1" max="1" width="22.5" style="76" customWidth="1"/>
    <col min="2" max="3" width="12.1640625" style="76" customWidth="1"/>
    <col min="4" max="4" width="14.33203125" style="76" customWidth="1"/>
    <col min="5" max="5" width="23.6640625" style="76" bestFit="1" customWidth="1"/>
    <col min="6" max="6" width="3.83203125" style="76" bestFit="1" customWidth="1"/>
    <col min="7" max="7" width="10.83203125" style="76" bestFit="1" customWidth="1"/>
    <col min="8" max="9" width="5.83203125" style="76" customWidth="1"/>
    <col min="10" max="11" width="12.83203125" style="76" customWidth="1"/>
    <col min="12" max="12" width="12.5" style="76" customWidth="1"/>
    <col min="13" max="13" width="3.83203125" style="76" customWidth="1"/>
    <col min="14" max="14" width="2.33203125" style="76" customWidth="1"/>
    <col min="16" max="25" width="8.83203125" style="7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6"/>
  </cols>
  <sheetData>
    <row r="1" spans="1:46" s="93" customFormat="1" ht="15" customHeight="1" x14ac:dyDescent="0.15">
      <c r="A1" s="72" t="s">
        <v>18</v>
      </c>
      <c r="C1" s="73" t="s">
        <v>8</v>
      </c>
      <c r="D1" s="72" t="s">
        <v>23</v>
      </c>
      <c r="E1" s="72" t="s">
        <v>0</v>
      </c>
      <c r="F1" s="72" t="s">
        <v>7</v>
      </c>
      <c r="G1" s="74" t="s">
        <v>13</v>
      </c>
      <c r="H1" s="72" t="s">
        <v>1</v>
      </c>
      <c r="I1" s="72" t="s">
        <v>2</v>
      </c>
      <c r="J1" s="72" t="s">
        <v>14</v>
      </c>
      <c r="K1" s="72" t="s">
        <v>3</v>
      </c>
      <c r="L1" s="72" t="s">
        <v>4</v>
      </c>
      <c r="M1" s="72" t="s">
        <v>5</v>
      </c>
      <c r="N1" s="7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3">
        <v>1</v>
      </c>
      <c r="D2"/>
      <c r="E2" s="135" t="s">
        <v>193</v>
      </c>
      <c r="F2" s="76">
        <v>0</v>
      </c>
      <c r="G2" s="76">
        <v>0.02</v>
      </c>
      <c r="H2" s="76">
        <v>5.4</v>
      </c>
      <c r="I2" s="6">
        <v>76.5</v>
      </c>
      <c r="J2" s="6">
        <v>0</v>
      </c>
      <c r="K2" s="6">
        <v>7.0588239999999997E-2</v>
      </c>
      <c r="L2" s="6">
        <v>0</v>
      </c>
      <c r="M2" s="76">
        <v>0.2</v>
      </c>
      <c r="N2" s="76">
        <v>0</v>
      </c>
    </row>
    <row r="3" spans="1:46" ht="15" customHeight="1" x14ac:dyDescent="0.15">
      <c r="A3" s="1" t="s">
        <v>9</v>
      </c>
      <c r="B3" s="4">
        <v>27</v>
      </c>
      <c r="C3" s="76">
        <v>2</v>
      </c>
      <c r="D3"/>
      <c r="E3" s="135" t="s">
        <v>194</v>
      </c>
      <c r="F3" s="76">
        <v>0</v>
      </c>
      <c r="G3" s="76">
        <v>0.17</v>
      </c>
      <c r="H3" s="76">
        <v>0.26400000000000001</v>
      </c>
      <c r="I3" s="76">
        <v>3.2</v>
      </c>
      <c r="J3" s="76">
        <v>0</v>
      </c>
      <c r="K3" s="76">
        <v>8.2499995800000003E-2</v>
      </c>
      <c r="L3" s="76">
        <v>0</v>
      </c>
      <c r="M3" s="76">
        <v>0.2</v>
      </c>
      <c r="N3" s="76">
        <v>0</v>
      </c>
    </row>
    <row r="4" spans="1:46" ht="15" customHeight="1" x14ac:dyDescent="0.15">
      <c r="A4" s="1" t="s">
        <v>10</v>
      </c>
      <c r="B4" s="4">
        <v>2</v>
      </c>
      <c r="C4" s="76">
        <v>3</v>
      </c>
      <c r="D4"/>
      <c r="E4" s="135" t="s">
        <v>195</v>
      </c>
      <c r="F4" s="76">
        <v>0</v>
      </c>
      <c r="G4" s="76">
        <v>1.8</v>
      </c>
      <c r="H4" s="76">
        <v>0.56599999999999995</v>
      </c>
      <c r="I4" s="76">
        <v>3.1</v>
      </c>
      <c r="J4" s="76">
        <v>0.54770319999999995</v>
      </c>
      <c r="K4" s="76">
        <v>0.18258065000000001</v>
      </c>
      <c r="L4" s="76">
        <v>0.31</v>
      </c>
      <c r="M4" s="76">
        <v>0.2</v>
      </c>
      <c r="N4" s="7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6">
        <v>4</v>
      </c>
      <c r="D5"/>
      <c r="E5" s="135" t="s">
        <v>196</v>
      </c>
      <c r="F5" s="76">
        <v>0</v>
      </c>
      <c r="G5" s="76">
        <v>2.2200000000000002</v>
      </c>
      <c r="H5" s="76">
        <v>0.52400000000000002</v>
      </c>
      <c r="I5" s="76">
        <v>5.5</v>
      </c>
      <c r="J5" s="76">
        <v>5.063583E-2</v>
      </c>
      <c r="K5" s="76">
        <v>9.527273E-2</v>
      </c>
      <c r="L5" s="76">
        <v>-6.2083430000000002E-2</v>
      </c>
      <c r="M5" s="76">
        <v>0.2</v>
      </c>
      <c r="N5" s="76">
        <v>0</v>
      </c>
      <c r="P5" s="67"/>
      <c r="Q5" s="67"/>
      <c r="R5" s="67"/>
    </row>
    <row r="6" spans="1:46" ht="15" customHeight="1" thickBot="1" x14ac:dyDescent="0.2">
      <c r="B6" s="1"/>
      <c r="C6" s="76">
        <v>5</v>
      </c>
      <c r="D6"/>
      <c r="E6" s="135" t="s">
        <v>197</v>
      </c>
      <c r="F6" s="76">
        <v>0</v>
      </c>
      <c r="G6" s="76">
        <v>0.2</v>
      </c>
      <c r="H6" s="76">
        <v>1.3</v>
      </c>
      <c r="I6" s="76">
        <v>6.7</v>
      </c>
      <c r="J6" s="76">
        <v>0.62623439999999997</v>
      </c>
      <c r="K6" s="76">
        <v>0.194029853</v>
      </c>
      <c r="L6" s="59">
        <v>0.2</v>
      </c>
      <c r="M6" s="76">
        <v>0.2</v>
      </c>
      <c r="N6" s="76">
        <v>0</v>
      </c>
      <c r="P6" s="59" t="s">
        <v>229</v>
      </c>
      <c r="Q6" s="67"/>
      <c r="R6" s="67"/>
      <c r="W6" s="34" t="s">
        <v>31</v>
      </c>
      <c r="X6" s="50">
        <f>MAX(MainOutputs!G:G)</f>
        <v>0.97935014963150024</v>
      </c>
    </row>
    <row r="7" spans="1:46" ht="15" customHeight="1" x14ac:dyDescent="0.15">
      <c r="A7" s="2" t="s">
        <v>27</v>
      </c>
      <c r="B7" s="76">
        <f ca="1">COUNTIF(OFFSET(cornerDiets,1,1,NumLiving+NumDead+1,NumLiving+NumDead),"&gt;0")+NumLiving+NumDead+1</f>
        <v>168</v>
      </c>
      <c r="C7" s="76">
        <v>6</v>
      </c>
      <c r="D7"/>
      <c r="E7" s="135" t="s">
        <v>198</v>
      </c>
      <c r="F7" s="76">
        <v>0</v>
      </c>
      <c r="G7" s="76">
        <v>2.12</v>
      </c>
      <c r="H7" s="76">
        <v>1.163</v>
      </c>
      <c r="I7" s="76">
        <v>11.3</v>
      </c>
      <c r="J7" s="76">
        <v>0.43598100000000001</v>
      </c>
      <c r="K7" s="76">
        <v>0.10292035300000001</v>
      </c>
      <c r="L7" s="76">
        <v>0.44</v>
      </c>
      <c r="M7" s="76">
        <v>0.2</v>
      </c>
      <c r="N7" s="76">
        <v>0</v>
      </c>
      <c r="P7" s="67"/>
      <c r="Q7" s="67"/>
      <c r="R7" s="67"/>
    </row>
    <row r="8" spans="1:46" ht="15" customHeight="1" x14ac:dyDescent="0.15">
      <c r="A8" s="2" t="s">
        <v>28</v>
      </c>
      <c r="B8" s="76">
        <f ca="1">COUNTIF(OFFSET(cornerFishing,1,2,NumLiving+NumDead,NumGears),"&gt;0")+NumDead*COUNTIF(OFFSET(cornerDiscards,1,2,NumLiving+NumDead,NumGears),"&gt;0")+NumLiving+NumDead+1</f>
        <v>30</v>
      </c>
      <c r="C8" s="76">
        <v>7</v>
      </c>
      <c r="D8"/>
      <c r="E8" s="135" t="s">
        <v>199</v>
      </c>
      <c r="F8" s="76">
        <v>0</v>
      </c>
      <c r="G8" s="76">
        <v>9.86</v>
      </c>
      <c r="H8" s="76">
        <v>0.96</v>
      </c>
      <c r="I8" s="76">
        <v>10.9</v>
      </c>
      <c r="J8" s="76">
        <v>0.23067797700000001</v>
      </c>
      <c r="K8" s="76">
        <v>8.8073395200000001E-2</v>
      </c>
      <c r="L8" s="76">
        <v>-8.2772790000000002E-3</v>
      </c>
      <c r="M8" s="76">
        <v>0.4</v>
      </c>
      <c r="N8" s="76">
        <v>0</v>
      </c>
      <c r="P8" s="67"/>
      <c r="Q8" s="67"/>
      <c r="R8" s="67"/>
    </row>
    <row r="9" spans="1:46" ht="15" customHeight="1" x14ac:dyDescent="0.15">
      <c r="B9" s="1"/>
      <c r="C9" s="76">
        <v>8</v>
      </c>
      <c r="D9"/>
      <c r="E9" s="135" t="s">
        <v>200</v>
      </c>
      <c r="F9" s="76">
        <v>0</v>
      </c>
      <c r="G9" s="76">
        <v>0.46</v>
      </c>
      <c r="H9" s="76">
        <v>1.74</v>
      </c>
      <c r="I9" s="76">
        <v>14.7</v>
      </c>
      <c r="J9" s="76">
        <v>0.403104246</v>
      </c>
      <c r="K9" s="76">
        <v>0.118367352</v>
      </c>
      <c r="L9" s="76">
        <v>-1.1667520000000001E-2</v>
      </c>
      <c r="M9" s="76">
        <v>0.4</v>
      </c>
      <c r="N9" s="76">
        <v>0</v>
      </c>
      <c r="P9" s="67"/>
      <c r="Q9" s="67"/>
      <c r="R9" s="67"/>
    </row>
    <row r="10" spans="1:46" ht="15" customHeight="1" x14ac:dyDescent="0.15">
      <c r="B10" s="1"/>
      <c r="C10" s="76">
        <v>9</v>
      </c>
      <c r="D10"/>
      <c r="E10" s="135" t="s">
        <v>201</v>
      </c>
      <c r="F10" s="76">
        <v>0</v>
      </c>
      <c r="G10" s="76">
        <v>0.2</v>
      </c>
      <c r="H10" s="76">
        <v>1.67</v>
      </c>
      <c r="I10" s="76">
        <v>14.1</v>
      </c>
      <c r="J10" s="76">
        <v>0.55419814599999995</v>
      </c>
      <c r="K10" s="76">
        <v>0.118439712</v>
      </c>
      <c r="L10" s="76">
        <v>2.194658E-2</v>
      </c>
      <c r="M10" s="76">
        <v>0.2</v>
      </c>
      <c r="N10" s="76">
        <v>0</v>
      </c>
    </row>
    <row r="11" spans="1:46" ht="15" customHeight="1" x14ac:dyDescent="0.15">
      <c r="C11" s="76">
        <v>10</v>
      </c>
      <c r="D11"/>
      <c r="E11" s="135" t="s">
        <v>202</v>
      </c>
      <c r="F11" s="76">
        <v>0</v>
      </c>
      <c r="G11" s="76">
        <v>0.99</v>
      </c>
      <c r="H11" s="76">
        <v>1.22</v>
      </c>
      <c r="I11" s="76">
        <v>11.2</v>
      </c>
      <c r="J11" s="76">
        <v>0.38937524000000001</v>
      </c>
      <c r="K11" s="76">
        <v>0.108928576</v>
      </c>
      <c r="L11" s="76">
        <v>8.2642729999999998E-2</v>
      </c>
      <c r="M11" s="76">
        <v>0.2</v>
      </c>
      <c r="N11" s="76">
        <v>0</v>
      </c>
    </row>
    <row r="12" spans="1:46" ht="15" customHeight="1" x14ac:dyDescent="0.15">
      <c r="C12" s="76">
        <v>11</v>
      </c>
      <c r="D12"/>
      <c r="E12" s="135" t="s">
        <v>203</v>
      </c>
      <c r="F12" s="76">
        <v>0</v>
      </c>
      <c r="G12" s="76">
        <v>1.1299999999999999</v>
      </c>
      <c r="H12" s="76">
        <v>1.02</v>
      </c>
      <c r="I12" s="76">
        <v>6.2</v>
      </c>
      <c r="J12" s="76">
        <v>0.27009925200000001</v>
      </c>
      <c r="K12" s="76">
        <v>0.16451613600000001</v>
      </c>
      <c r="L12" s="76">
        <v>0.25132349999999998</v>
      </c>
      <c r="M12" s="76">
        <v>0.4</v>
      </c>
      <c r="N12" s="76">
        <v>0</v>
      </c>
    </row>
    <row r="13" spans="1:46" ht="15" customHeight="1" x14ac:dyDescent="0.15">
      <c r="C13" s="76">
        <v>12</v>
      </c>
      <c r="D13"/>
      <c r="E13" s="135" t="s">
        <v>204</v>
      </c>
      <c r="F13" s="76">
        <v>0</v>
      </c>
      <c r="G13" s="76">
        <v>0.27</v>
      </c>
      <c r="H13" s="76">
        <v>1.32</v>
      </c>
      <c r="I13" s="76">
        <v>10</v>
      </c>
      <c r="J13" s="76">
        <v>0.34920499999999999</v>
      </c>
      <c r="K13" s="76">
        <v>0.13200000000000001</v>
      </c>
      <c r="L13" s="59">
        <v>0.3</v>
      </c>
      <c r="M13" s="76">
        <v>0.2</v>
      </c>
      <c r="N13" s="76">
        <v>0</v>
      </c>
      <c r="P13" s="59" t="s">
        <v>230</v>
      </c>
    </row>
    <row r="14" spans="1:46" ht="15" customHeight="1" x14ac:dyDescent="0.15">
      <c r="C14" s="76">
        <v>13</v>
      </c>
      <c r="D14"/>
      <c r="E14" s="135" t="s">
        <v>205</v>
      </c>
      <c r="F14" s="76">
        <v>0</v>
      </c>
      <c r="G14" s="76">
        <v>0.46</v>
      </c>
      <c r="H14" s="76">
        <v>0.73</v>
      </c>
      <c r="I14" s="76">
        <v>27.5</v>
      </c>
      <c r="J14" s="76">
        <v>8.1360440000000006E-2</v>
      </c>
      <c r="K14" s="76">
        <v>2.6545455700000001E-2</v>
      </c>
      <c r="L14" s="76">
        <v>0</v>
      </c>
      <c r="M14" s="76">
        <v>0.2</v>
      </c>
      <c r="N14" s="76">
        <v>0</v>
      </c>
    </row>
    <row r="15" spans="1:46" ht="15" customHeight="1" x14ac:dyDescent="0.15">
      <c r="C15" s="76">
        <v>14</v>
      </c>
      <c r="D15"/>
      <c r="E15" s="135" t="s">
        <v>206</v>
      </c>
      <c r="F15" s="76">
        <v>0</v>
      </c>
      <c r="G15" s="76">
        <v>0.41599999999999998</v>
      </c>
      <c r="H15" s="76">
        <v>1.92</v>
      </c>
      <c r="I15" s="76">
        <v>9.6</v>
      </c>
      <c r="J15" s="76">
        <v>0.56049680000000002</v>
      </c>
      <c r="K15" s="76">
        <v>0.19999998799999999</v>
      </c>
      <c r="L15" s="59">
        <v>0.75</v>
      </c>
      <c r="M15" s="76">
        <v>0.2</v>
      </c>
      <c r="N15" s="76">
        <v>0</v>
      </c>
      <c r="P15" s="59" t="s">
        <v>231</v>
      </c>
    </row>
    <row r="16" spans="1:46" ht="15" customHeight="1" x14ac:dyDescent="0.15">
      <c r="C16" s="76">
        <v>15</v>
      </c>
      <c r="D16"/>
      <c r="E16" s="135" t="s">
        <v>207</v>
      </c>
      <c r="F16" s="76">
        <v>0</v>
      </c>
      <c r="G16" s="76">
        <v>2.1179999999999999</v>
      </c>
      <c r="H16" s="76">
        <v>1.24</v>
      </c>
      <c r="I16" s="76">
        <v>8.3000000000000007</v>
      </c>
      <c r="J16" s="76">
        <v>0.66167843299999995</v>
      </c>
      <c r="K16" s="76">
        <v>0.149397582</v>
      </c>
      <c r="L16" s="76">
        <v>0.42506490000000002</v>
      </c>
      <c r="M16" s="76">
        <v>0.2</v>
      </c>
      <c r="N16" s="76">
        <v>0</v>
      </c>
    </row>
    <row r="17" spans="1:22" ht="15" customHeight="1" x14ac:dyDescent="0.15">
      <c r="C17" s="76">
        <v>16</v>
      </c>
      <c r="D17"/>
      <c r="E17" s="135" t="s">
        <v>208</v>
      </c>
      <c r="F17" s="76">
        <v>0</v>
      </c>
      <c r="G17" s="76">
        <v>0.96199999999999997</v>
      </c>
      <c r="H17" s="76">
        <v>1.07</v>
      </c>
      <c r="I17" s="76">
        <v>11.6</v>
      </c>
      <c r="J17" s="76">
        <v>0.52367705099999995</v>
      </c>
      <c r="K17" s="76">
        <v>9.2241384100000004E-2</v>
      </c>
      <c r="L17" s="76">
        <v>8.7245139999999999E-2</v>
      </c>
      <c r="M17" s="76">
        <v>0.2</v>
      </c>
      <c r="N17" s="76">
        <v>0</v>
      </c>
      <c r="V17" s="1" t="s">
        <v>30</v>
      </c>
    </row>
    <row r="18" spans="1:22" ht="15" customHeight="1" x14ac:dyDescent="0.15">
      <c r="C18" s="76">
        <v>17</v>
      </c>
      <c r="D18"/>
      <c r="E18" s="135" t="s">
        <v>209</v>
      </c>
      <c r="F18" s="76">
        <v>0</v>
      </c>
      <c r="G18" s="76">
        <v>0.79</v>
      </c>
      <c r="H18" s="76">
        <v>2.73</v>
      </c>
      <c r="I18" s="76">
        <v>25.1</v>
      </c>
      <c r="J18" s="76">
        <v>0.20767381800000001</v>
      </c>
      <c r="K18" s="76">
        <v>0.108764939</v>
      </c>
      <c r="L18" s="76">
        <v>-0.17</v>
      </c>
      <c r="M18" s="76">
        <v>0.2</v>
      </c>
      <c r="N18" s="76">
        <v>0</v>
      </c>
      <c r="V18" s="1"/>
    </row>
    <row r="19" spans="1:22" ht="15" customHeight="1" x14ac:dyDescent="0.15">
      <c r="C19" s="76">
        <v>18</v>
      </c>
      <c r="D19"/>
      <c r="E19" s="135" t="s">
        <v>210</v>
      </c>
      <c r="F19" s="76">
        <v>0</v>
      </c>
      <c r="G19" s="76">
        <v>2.1999999999999999E-2</v>
      </c>
      <c r="H19" s="76">
        <v>0.28999999999999998</v>
      </c>
      <c r="I19" s="76">
        <v>2.35</v>
      </c>
      <c r="J19" s="76">
        <v>0</v>
      </c>
      <c r="K19" s="76">
        <v>0.123404257</v>
      </c>
      <c r="L19" s="76">
        <v>0</v>
      </c>
      <c r="M19" s="76">
        <v>0.2</v>
      </c>
      <c r="N19" s="76">
        <v>0</v>
      </c>
    </row>
    <row r="20" spans="1:22" ht="15" customHeight="1" thickBot="1" x14ac:dyDescent="0.2">
      <c r="C20" s="76">
        <v>19</v>
      </c>
      <c r="D20"/>
      <c r="E20" s="135" t="s">
        <v>234</v>
      </c>
      <c r="F20" s="76">
        <v>0</v>
      </c>
      <c r="G20" s="76">
        <v>0.40500000000000003</v>
      </c>
      <c r="H20" s="76">
        <v>6.4</v>
      </c>
      <c r="I20" s="76">
        <v>36.5</v>
      </c>
      <c r="J20" s="76">
        <v>0.81488099999999997</v>
      </c>
      <c r="K20" s="76">
        <v>0.17534247</v>
      </c>
      <c r="L20" s="76">
        <v>0</v>
      </c>
      <c r="M20" s="76">
        <v>0.2</v>
      </c>
      <c r="N20" s="76">
        <v>0</v>
      </c>
      <c r="P20" s="59" t="s">
        <v>232</v>
      </c>
    </row>
    <row r="21" spans="1:22" ht="15" customHeight="1" thickBot="1" x14ac:dyDescent="0.2">
      <c r="A21" s="45" t="s">
        <v>137</v>
      </c>
      <c r="B21" s="94"/>
      <c r="C21" s="76">
        <v>20</v>
      </c>
      <c r="D21"/>
      <c r="E21" s="135" t="s">
        <v>211</v>
      </c>
      <c r="F21" s="76">
        <v>0</v>
      </c>
      <c r="G21" s="76">
        <v>5.10000038</v>
      </c>
      <c r="H21" s="76">
        <v>1.28</v>
      </c>
      <c r="I21" s="76">
        <v>7.4</v>
      </c>
      <c r="J21" s="76">
        <v>0.30113703000000003</v>
      </c>
      <c r="K21" s="76">
        <v>0.17297296200000001</v>
      </c>
      <c r="L21" s="76">
        <v>0</v>
      </c>
      <c r="M21" s="76">
        <v>0.2</v>
      </c>
      <c r="N21" s="76">
        <v>0</v>
      </c>
    </row>
    <row r="22" spans="1:22" ht="15" customHeight="1" x14ac:dyDescent="0.15">
      <c r="A22" s="95" t="s">
        <v>58</v>
      </c>
      <c r="B22" s="96">
        <v>0</v>
      </c>
      <c r="C22" s="76">
        <v>21</v>
      </c>
      <c r="D22"/>
      <c r="E22" s="135" t="s">
        <v>212</v>
      </c>
      <c r="F22" s="76">
        <v>0</v>
      </c>
      <c r="G22" s="76">
        <v>16.2330246</v>
      </c>
      <c r="H22" s="76">
        <v>3.8</v>
      </c>
      <c r="I22" s="76">
        <v>10</v>
      </c>
      <c r="J22" s="76">
        <v>0.9</v>
      </c>
      <c r="K22" s="76">
        <v>0.38</v>
      </c>
      <c r="L22" s="76">
        <v>0</v>
      </c>
      <c r="M22" s="76">
        <v>0.4</v>
      </c>
      <c r="N22" s="76">
        <v>0</v>
      </c>
    </row>
    <row r="23" spans="1:22" ht="15" customHeight="1" x14ac:dyDescent="0.15">
      <c r="A23" s="95" t="s">
        <v>59</v>
      </c>
      <c r="B23" s="96">
        <v>1</v>
      </c>
      <c r="C23" s="76">
        <v>22</v>
      </c>
      <c r="D23"/>
      <c r="E23" s="135" t="s">
        <v>213</v>
      </c>
      <c r="F23" s="76">
        <v>0</v>
      </c>
      <c r="G23" s="76">
        <v>24.359497099999999</v>
      </c>
      <c r="H23" s="76">
        <v>4.9400000000000004</v>
      </c>
      <c r="I23" s="76">
        <v>16.690000000000001</v>
      </c>
      <c r="J23" s="76">
        <v>0.85</v>
      </c>
      <c r="K23" s="76">
        <v>0.29598560000000002</v>
      </c>
      <c r="L23" s="76">
        <v>0</v>
      </c>
      <c r="M23" s="76">
        <v>0.4</v>
      </c>
      <c r="N23" s="76">
        <v>0</v>
      </c>
    </row>
    <row r="24" spans="1:22" ht="15" customHeight="1" x14ac:dyDescent="0.15">
      <c r="A24" s="95" t="s">
        <v>60</v>
      </c>
      <c r="B24" s="96">
        <v>2</v>
      </c>
      <c r="C24" s="76">
        <v>23</v>
      </c>
      <c r="D24"/>
      <c r="E24" s="135" t="s">
        <v>214</v>
      </c>
      <c r="F24" s="59">
        <v>0</v>
      </c>
      <c r="G24" s="76">
        <v>0.71099999999999997</v>
      </c>
      <c r="H24" s="76">
        <v>1.66</v>
      </c>
      <c r="I24" s="76">
        <v>9.4</v>
      </c>
      <c r="J24" s="76">
        <v>0</v>
      </c>
      <c r="K24" s="76">
        <v>0.176595747</v>
      </c>
      <c r="L24" s="76">
        <v>0</v>
      </c>
      <c r="M24" s="76">
        <v>0.2</v>
      </c>
      <c r="N24" s="76">
        <v>0</v>
      </c>
      <c r="P24" s="59" t="s">
        <v>233</v>
      </c>
    </row>
    <row r="25" spans="1:22" ht="15" customHeight="1" thickBot="1" x14ac:dyDescent="0.2">
      <c r="A25" s="97" t="s">
        <v>44</v>
      </c>
      <c r="B25" s="98">
        <v>3</v>
      </c>
      <c r="C25" s="76">
        <v>24</v>
      </c>
      <c r="D25"/>
      <c r="E25" s="135" t="s">
        <v>215</v>
      </c>
      <c r="F25" s="76">
        <v>0</v>
      </c>
      <c r="G25" s="76">
        <v>0.23749999999999999</v>
      </c>
      <c r="H25" s="76">
        <v>87</v>
      </c>
      <c r="I25" s="76">
        <v>160</v>
      </c>
      <c r="J25" s="76">
        <v>0.78972715100000002</v>
      </c>
      <c r="K25" s="76">
        <v>0.54374999999999996</v>
      </c>
      <c r="L25" s="76">
        <v>0</v>
      </c>
      <c r="M25" s="76">
        <v>0.4</v>
      </c>
      <c r="N25" s="76">
        <v>0</v>
      </c>
    </row>
    <row r="26" spans="1:22" ht="15" customHeight="1" x14ac:dyDescent="0.15">
      <c r="A26" s="99" t="s">
        <v>140</v>
      </c>
      <c r="C26" s="76">
        <v>25</v>
      </c>
      <c r="D26"/>
      <c r="E26" s="135" t="s">
        <v>216</v>
      </c>
      <c r="F26" s="76">
        <v>1</v>
      </c>
      <c r="G26" s="76">
        <v>0.13</v>
      </c>
      <c r="H26" s="76">
        <v>109.5</v>
      </c>
      <c r="I26" s="76">
        <v>0</v>
      </c>
      <c r="J26" s="76">
        <v>0.72838705800000003</v>
      </c>
      <c r="K26" s="76">
        <v>0</v>
      </c>
      <c r="L26" s="76">
        <v>0</v>
      </c>
      <c r="M26" s="76">
        <v>0</v>
      </c>
      <c r="N26" s="76">
        <v>0</v>
      </c>
    </row>
    <row r="27" spans="1:22" ht="15" customHeight="1" x14ac:dyDescent="0.15">
      <c r="C27" s="76">
        <v>26</v>
      </c>
      <c r="D27"/>
      <c r="E27" s="135" t="s">
        <v>217</v>
      </c>
      <c r="F27" s="76">
        <v>1</v>
      </c>
      <c r="G27" s="76">
        <v>211.63801599999999</v>
      </c>
      <c r="H27" s="76">
        <v>274</v>
      </c>
      <c r="I27" s="76">
        <v>0</v>
      </c>
      <c r="J27" s="76">
        <v>8.8566329999999996E-4</v>
      </c>
      <c r="K27" s="76">
        <v>0</v>
      </c>
      <c r="L27" s="76">
        <v>0</v>
      </c>
      <c r="M27" s="76">
        <v>0</v>
      </c>
      <c r="N27" s="76">
        <v>0</v>
      </c>
    </row>
    <row r="28" spans="1:22" ht="15" customHeight="1" x14ac:dyDescent="0.15">
      <c r="C28" s="76">
        <v>27</v>
      </c>
      <c r="D28"/>
      <c r="E28" s="135" t="s">
        <v>218</v>
      </c>
      <c r="F28" s="76">
        <v>1</v>
      </c>
      <c r="G28" s="76">
        <v>802.3125</v>
      </c>
      <c r="H28" s="76">
        <v>323</v>
      </c>
      <c r="I28" s="76">
        <v>0</v>
      </c>
      <c r="J28" s="76">
        <v>3.9037579999999999E-4</v>
      </c>
      <c r="K28" s="76">
        <v>0</v>
      </c>
      <c r="L28" s="76">
        <v>0</v>
      </c>
      <c r="M28" s="76">
        <v>0</v>
      </c>
      <c r="N28" s="76">
        <v>0</v>
      </c>
    </row>
    <row r="29" spans="1:22" customFormat="1" ht="15" customHeight="1" x14ac:dyDescent="0.15">
      <c r="C29" s="76">
        <v>28</v>
      </c>
      <c r="E29" s="135" t="s">
        <v>219</v>
      </c>
      <c r="F29" s="76">
        <v>2</v>
      </c>
      <c r="G29" s="76">
        <v>1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</row>
    <row r="30" spans="1:22" customFormat="1" ht="15" customHeight="1" x14ac:dyDescent="0.15">
      <c r="C30" s="76">
        <v>29</v>
      </c>
      <c r="E30" s="135" t="s">
        <v>220</v>
      </c>
      <c r="F30" s="76">
        <v>2</v>
      </c>
      <c r="G30" s="76">
        <v>5</v>
      </c>
      <c r="H30" s="76">
        <v>0</v>
      </c>
      <c r="I30" s="76">
        <v>0</v>
      </c>
      <c r="J30" s="76">
        <v>0</v>
      </c>
      <c r="K30" s="76">
        <v>0</v>
      </c>
      <c r="L30" s="76">
        <v>0</v>
      </c>
      <c r="M30" s="76">
        <v>0</v>
      </c>
      <c r="N30" s="76">
        <v>0</v>
      </c>
    </row>
    <row r="31" spans="1:22" customFormat="1" ht="15" customHeight="1" x14ac:dyDescent="0.15">
      <c r="C31" s="76">
        <v>30</v>
      </c>
      <c r="E31" s="159" t="s">
        <v>225</v>
      </c>
      <c r="F31">
        <v>3</v>
      </c>
      <c r="P31" s="59" t="s">
        <v>226</v>
      </c>
    </row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20" sqref="A20"/>
    </sheetView>
  </sheetViews>
  <sheetFormatPr baseColWidth="10" defaultColWidth="8.83203125" defaultRowHeight="13" x14ac:dyDescent="0.15"/>
  <cols>
    <col min="1" max="1" width="23.6640625" style="131" bestFit="1" customWidth="1"/>
    <col min="2" max="30" width="22.83203125" style="131" customWidth="1"/>
    <col min="31" max="16384" width="8.83203125" style="131"/>
  </cols>
  <sheetData>
    <row r="1" spans="1:34" x14ac:dyDescent="0.15">
      <c r="A1" s="130" t="s">
        <v>19</v>
      </c>
      <c r="B1" s="137" t="s">
        <v>193</v>
      </c>
      <c r="C1" s="137" t="s">
        <v>194</v>
      </c>
      <c r="D1" s="137" t="s">
        <v>195</v>
      </c>
      <c r="E1" s="137" t="s">
        <v>196</v>
      </c>
      <c r="F1" s="137" t="s">
        <v>197</v>
      </c>
      <c r="G1" s="137" t="s">
        <v>198</v>
      </c>
      <c r="H1" s="137" t="s">
        <v>199</v>
      </c>
      <c r="I1" s="137" t="s">
        <v>200</v>
      </c>
      <c r="J1" s="137" t="s">
        <v>201</v>
      </c>
      <c r="K1" s="137" t="s">
        <v>202</v>
      </c>
      <c r="L1" s="137" t="s">
        <v>203</v>
      </c>
      <c r="M1" s="137" t="s">
        <v>204</v>
      </c>
      <c r="N1" s="137" t="s">
        <v>205</v>
      </c>
      <c r="O1" s="137" t="s">
        <v>206</v>
      </c>
      <c r="P1" s="137" t="s">
        <v>207</v>
      </c>
      <c r="Q1" s="137" t="s">
        <v>208</v>
      </c>
      <c r="R1" s="137" t="s">
        <v>209</v>
      </c>
      <c r="S1" s="137" t="s">
        <v>210</v>
      </c>
      <c r="T1" s="137" t="s">
        <v>234</v>
      </c>
      <c r="U1" s="137" t="s">
        <v>211</v>
      </c>
      <c r="V1" s="137" t="s">
        <v>212</v>
      </c>
      <c r="W1" s="137" t="s">
        <v>213</v>
      </c>
      <c r="X1" s="137" t="s">
        <v>214</v>
      </c>
      <c r="Y1" s="137" t="s">
        <v>215</v>
      </c>
      <c r="Z1" s="137" t="s">
        <v>216</v>
      </c>
      <c r="AA1" s="137" t="s">
        <v>217</v>
      </c>
      <c r="AB1" s="137" t="s">
        <v>218</v>
      </c>
      <c r="AC1" s="137" t="s">
        <v>219</v>
      </c>
      <c r="AD1" s="137" t="s">
        <v>220</v>
      </c>
      <c r="AE1"/>
      <c r="AF1"/>
      <c r="AG1"/>
      <c r="AH1"/>
    </row>
    <row r="2" spans="1:34" customFormat="1" x14ac:dyDescent="0.15">
      <c r="A2" s="136" t="s">
        <v>193</v>
      </c>
      <c r="B2" s="131">
        <v>0</v>
      </c>
      <c r="C2" s="131">
        <v>0</v>
      </c>
      <c r="D2" s="131">
        <v>0</v>
      </c>
      <c r="E2" s="131">
        <v>0</v>
      </c>
      <c r="F2" s="131">
        <v>0</v>
      </c>
      <c r="G2" s="131">
        <v>0</v>
      </c>
      <c r="H2" s="131">
        <v>0</v>
      </c>
      <c r="I2" s="131">
        <v>0</v>
      </c>
      <c r="J2" s="131">
        <v>0</v>
      </c>
      <c r="K2" s="131">
        <v>0</v>
      </c>
      <c r="L2" s="131">
        <v>0</v>
      </c>
      <c r="M2" s="131">
        <v>0</v>
      </c>
      <c r="N2" s="131">
        <v>0</v>
      </c>
      <c r="O2" s="131">
        <v>0</v>
      </c>
      <c r="P2" s="131">
        <v>0</v>
      </c>
      <c r="Q2" s="131">
        <v>0</v>
      </c>
      <c r="R2" s="131">
        <v>0</v>
      </c>
      <c r="S2" s="131">
        <v>0</v>
      </c>
      <c r="T2" s="131">
        <v>0</v>
      </c>
      <c r="U2" s="131">
        <v>0</v>
      </c>
      <c r="V2" s="131">
        <v>0</v>
      </c>
      <c r="W2" s="131">
        <v>0</v>
      </c>
      <c r="X2" s="131">
        <v>0</v>
      </c>
      <c r="Y2" s="131">
        <v>0</v>
      </c>
      <c r="Z2" s="131">
        <v>0</v>
      </c>
      <c r="AA2" s="131">
        <v>0</v>
      </c>
      <c r="AB2" s="131">
        <v>0</v>
      </c>
      <c r="AC2" s="131">
        <v>0</v>
      </c>
      <c r="AD2" s="131">
        <v>0</v>
      </c>
    </row>
    <row r="3" spans="1:34" customFormat="1" x14ac:dyDescent="0.15">
      <c r="A3" s="136" t="s">
        <v>194</v>
      </c>
      <c r="B3" s="131">
        <v>0</v>
      </c>
      <c r="C3" s="131">
        <v>0</v>
      </c>
      <c r="D3" s="131">
        <v>0</v>
      </c>
      <c r="E3" s="131">
        <v>0</v>
      </c>
      <c r="F3" s="131">
        <v>0</v>
      </c>
      <c r="G3" s="131">
        <v>0</v>
      </c>
      <c r="H3" s="131">
        <v>0</v>
      </c>
      <c r="I3" s="131">
        <v>0</v>
      </c>
      <c r="J3" s="131">
        <v>0</v>
      </c>
      <c r="K3" s="131">
        <v>0</v>
      </c>
      <c r="L3" s="131">
        <v>0</v>
      </c>
      <c r="M3" s="131">
        <v>0</v>
      </c>
      <c r="N3" s="131">
        <v>0</v>
      </c>
      <c r="O3" s="131">
        <v>0</v>
      </c>
      <c r="P3" s="131">
        <v>0</v>
      </c>
      <c r="Q3" s="131">
        <v>0</v>
      </c>
      <c r="R3" s="131">
        <v>0</v>
      </c>
      <c r="S3" s="131">
        <v>0</v>
      </c>
      <c r="T3" s="131">
        <v>0</v>
      </c>
      <c r="U3" s="131">
        <v>0</v>
      </c>
      <c r="V3" s="131">
        <v>0</v>
      </c>
      <c r="W3" s="131">
        <v>0</v>
      </c>
      <c r="X3" s="131">
        <v>0</v>
      </c>
      <c r="Y3" s="131">
        <v>0</v>
      </c>
      <c r="Z3" s="131">
        <v>0</v>
      </c>
      <c r="AA3" s="131">
        <v>0</v>
      </c>
      <c r="AB3" s="131">
        <v>0</v>
      </c>
      <c r="AC3" s="131">
        <v>0</v>
      </c>
      <c r="AD3" s="131">
        <v>0</v>
      </c>
    </row>
    <row r="4" spans="1:34" customFormat="1" x14ac:dyDescent="0.15">
      <c r="A4" s="136" t="s">
        <v>195</v>
      </c>
      <c r="B4" s="131">
        <v>0</v>
      </c>
      <c r="C4" s="131">
        <v>0</v>
      </c>
      <c r="D4" s="131">
        <v>0</v>
      </c>
      <c r="E4" s="131">
        <v>0</v>
      </c>
      <c r="F4" s="131">
        <v>0</v>
      </c>
      <c r="G4" s="131">
        <v>0</v>
      </c>
      <c r="H4" s="131">
        <v>0</v>
      </c>
      <c r="I4" s="131">
        <v>0</v>
      </c>
      <c r="J4" s="131">
        <v>0</v>
      </c>
      <c r="K4" s="131">
        <v>0</v>
      </c>
      <c r="L4" s="131">
        <v>0</v>
      </c>
      <c r="M4" s="131">
        <v>0</v>
      </c>
      <c r="N4" s="131">
        <v>0</v>
      </c>
      <c r="O4" s="131">
        <v>0</v>
      </c>
      <c r="P4" s="131">
        <v>0</v>
      </c>
      <c r="Q4" s="131">
        <v>0</v>
      </c>
      <c r="R4" s="131">
        <v>0</v>
      </c>
      <c r="S4" s="131">
        <v>0</v>
      </c>
      <c r="T4" s="131">
        <v>0</v>
      </c>
      <c r="U4" s="131">
        <v>0</v>
      </c>
      <c r="V4" s="131">
        <v>0</v>
      </c>
      <c r="W4" s="131">
        <v>0</v>
      </c>
      <c r="X4" s="131">
        <v>0</v>
      </c>
      <c r="Y4" s="131">
        <v>0</v>
      </c>
      <c r="Z4" s="131">
        <v>0</v>
      </c>
      <c r="AA4" s="131">
        <v>0</v>
      </c>
      <c r="AB4" s="131">
        <v>0</v>
      </c>
      <c r="AC4" s="131">
        <v>0</v>
      </c>
      <c r="AD4" s="131">
        <v>0</v>
      </c>
    </row>
    <row r="5" spans="1:34" customFormat="1" x14ac:dyDescent="0.15">
      <c r="A5" s="136" t="s">
        <v>196</v>
      </c>
      <c r="B5" s="131">
        <v>0</v>
      </c>
      <c r="C5" s="131">
        <v>1.0042468145891164E-2</v>
      </c>
      <c r="D5" s="131">
        <v>9.9960799000392009E-3</v>
      </c>
      <c r="E5" s="131">
        <v>9.999009830016831E-3</v>
      </c>
      <c r="F5" s="131">
        <v>9.99900870012887E-3</v>
      </c>
      <c r="G5" s="131">
        <v>0</v>
      </c>
      <c r="H5" s="131">
        <v>0</v>
      </c>
      <c r="I5" s="131">
        <v>0</v>
      </c>
      <c r="J5" s="131">
        <v>0</v>
      </c>
      <c r="K5" s="131">
        <v>0</v>
      </c>
      <c r="L5" s="131">
        <v>0</v>
      </c>
      <c r="M5" s="131">
        <v>0</v>
      </c>
      <c r="N5" s="131">
        <v>0</v>
      </c>
      <c r="O5" s="131">
        <v>0</v>
      </c>
      <c r="P5" s="131">
        <v>0</v>
      </c>
      <c r="Q5" s="131">
        <v>0</v>
      </c>
      <c r="R5" s="131">
        <v>0</v>
      </c>
      <c r="S5" s="131">
        <v>0</v>
      </c>
      <c r="T5" s="131">
        <v>0</v>
      </c>
      <c r="U5" s="131">
        <v>0</v>
      </c>
      <c r="V5" s="131">
        <v>0</v>
      </c>
      <c r="W5" s="131">
        <v>0</v>
      </c>
      <c r="X5" s="131">
        <v>0</v>
      </c>
      <c r="Y5" s="131">
        <v>0</v>
      </c>
      <c r="Z5" s="131">
        <v>0</v>
      </c>
      <c r="AA5" s="131">
        <v>0</v>
      </c>
      <c r="AB5" s="131">
        <v>0</v>
      </c>
      <c r="AC5" s="131">
        <v>0</v>
      </c>
      <c r="AD5" s="131">
        <v>0</v>
      </c>
    </row>
    <row r="6" spans="1:34" customFormat="1" x14ac:dyDescent="0.15">
      <c r="A6" s="136" t="s">
        <v>197</v>
      </c>
      <c r="B6" s="131">
        <v>0</v>
      </c>
      <c r="C6" s="131">
        <v>0.10042468145891163</v>
      </c>
      <c r="D6" s="131">
        <v>0</v>
      </c>
      <c r="E6" s="131">
        <v>0</v>
      </c>
      <c r="F6" s="131">
        <v>0</v>
      </c>
      <c r="G6" s="131">
        <v>0</v>
      </c>
      <c r="H6" s="131">
        <v>0</v>
      </c>
      <c r="I6" s="131">
        <v>0</v>
      </c>
      <c r="J6" s="131">
        <v>0</v>
      </c>
      <c r="K6" s="131">
        <v>0</v>
      </c>
      <c r="L6" s="131">
        <v>0</v>
      </c>
      <c r="M6" s="131">
        <v>0</v>
      </c>
      <c r="N6" s="131">
        <v>0</v>
      </c>
      <c r="O6" s="131">
        <v>0</v>
      </c>
      <c r="P6" s="131">
        <v>0</v>
      </c>
      <c r="Q6" s="131">
        <v>0</v>
      </c>
      <c r="R6" s="131">
        <v>0</v>
      </c>
      <c r="S6" s="131">
        <v>0</v>
      </c>
      <c r="T6" s="131">
        <v>0</v>
      </c>
      <c r="U6" s="131">
        <v>0</v>
      </c>
      <c r="V6" s="131">
        <v>0</v>
      </c>
      <c r="W6" s="131">
        <v>0</v>
      </c>
      <c r="X6" s="131">
        <v>0</v>
      </c>
      <c r="Y6" s="131">
        <v>0</v>
      </c>
      <c r="Z6" s="131">
        <v>0</v>
      </c>
      <c r="AA6" s="131">
        <v>0</v>
      </c>
      <c r="AB6" s="131">
        <v>0</v>
      </c>
      <c r="AC6" s="131">
        <v>0</v>
      </c>
      <c r="AD6" s="131">
        <v>0</v>
      </c>
    </row>
    <row r="7" spans="1:34" customFormat="1" x14ac:dyDescent="0.15">
      <c r="A7" s="136" t="s">
        <v>198</v>
      </c>
      <c r="B7" s="131">
        <v>7.0351758592964816E-2</v>
      </c>
      <c r="C7" s="131">
        <v>6.3405296546563197E-2</v>
      </c>
      <c r="D7" s="131">
        <v>0</v>
      </c>
      <c r="E7" s="131">
        <v>0</v>
      </c>
      <c r="F7" s="131">
        <v>0</v>
      </c>
      <c r="G7" s="131">
        <v>0</v>
      </c>
      <c r="H7" s="131">
        <v>0</v>
      </c>
      <c r="I7" s="131">
        <v>0</v>
      </c>
      <c r="J7" s="131">
        <v>0</v>
      </c>
      <c r="K7" s="131">
        <v>0</v>
      </c>
      <c r="L7" s="131">
        <v>0</v>
      </c>
      <c r="M7" s="131">
        <v>0</v>
      </c>
      <c r="N7" s="131">
        <v>0</v>
      </c>
      <c r="O7" s="131">
        <v>0</v>
      </c>
      <c r="P7" s="131">
        <v>0</v>
      </c>
      <c r="Q7" s="131">
        <v>0</v>
      </c>
      <c r="R7" s="131">
        <v>0</v>
      </c>
      <c r="S7" s="131">
        <v>0</v>
      </c>
      <c r="T7" s="131">
        <v>0</v>
      </c>
      <c r="U7" s="131">
        <v>0</v>
      </c>
      <c r="V7" s="131">
        <v>0</v>
      </c>
      <c r="W7" s="131">
        <v>0</v>
      </c>
      <c r="X7" s="131">
        <v>0</v>
      </c>
      <c r="Y7" s="131">
        <v>0</v>
      </c>
      <c r="Z7" s="131">
        <v>0</v>
      </c>
      <c r="AA7" s="131">
        <v>0</v>
      </c>
      <c r="AB7" s="131">
        <v>0</v>
      </c>
      <c r="AC7" s="131">
        <v>0</v>
      </c>
      <c r="AD7" s="131">
        <v>0</v>
      </c>
    </row>
    <row r="8" spans="1:34" customFormat="1" x14ac:dyDescent="0.15">
      <c r="A8" s="136" t="s">
        <v>199</v>
      </c>
      <c r="B8" s="131">
        <v>5.0251258994974811E-2</v>
      </c>
      <c r="C8" s="131">
        <v>0.20078347572365832</v>
      </c>
      <c r="D8" s="131">
        <v>9.9960799000392009E-3</v>
      </c>
      <c r="E8" s="131">
        <v>4.9124379164885552E-2</v>
      </c>
      <c r="F8" s="131">
        <v>0.11034418565525589</v>
      </c>
      <c r="G8" s="131">
        <v>5.3245084089795676E-2</v>
      </c>
      <c r="H8" s="131">
        <v>0</v>
      </c>
      <c r="I8" s="131">
        <v>0</v>
      </c>
      <c r="J8" s="131">
        <v>0</v>
      </c>
      <c r="K8" s="131">
        <v>0</v>
      </c>
      <c r="L8" s="131">
        <v>0</v>
      </c>
      <c r="M8" s="131">
        <v>0</v>
      </c>
      <c r="N8" s="131">
        <v>0</v>
      </c>
      <c r="O8" s="131">
        <v>0</v>
      </c>
      <c r="P8" s="131">
        <v>0</v>
      </c>
      <c r="Q8" s="131">
        <v>0</v>
      </c>
      <c r="R8" s="131">
        <v>0</v>
      </c>
      <c r="S8" s="131">
        <v>0</v>
      </c>
      <c r="T8" s="131">
        <v>0</v>
      </c>
      <c r="U8" s="131">
        <v>0</v>
      </c>
      <c r="V8" s="131">
        <v>0</v>
      </c>
      <c r="W8" s="131">
        <v>0</v>
      </c>
      <c r="X8" s="131">
        <v>0</v>
      </c>
      <c r="Y8" s="131">
        <v>0</v>
      </c>
      <c r="Z8" s="131">
        <v>0</v>
      </c>
      <c r="AA8" s="131">
        <v>0</v>
      </c>
      <c r="AB8" s="131">
        <v>0</v>
      </c>
      <c r="AC8" s="131">
        <v>0</v>
      </c>
      <c r="AD8" s="131">
        <v>0</v>
      </c>
    </row>
    <row r="9" spans="1:34" customFormat="1" x14ac:dyDescent="0.15">
      <c r="A9" s="136" t="s">
        <v>200</v>
      </c>
      <c r="B9" s="131">
        <v>0</v>
      </c>
      <c r="C9" s="131">
        <v>5.021236072556938E-2</v>
      </c>
      <c r="D9" s="131">
        <v>0</v>
      </c>
      <c r="E9" s="131">
        <v>1.9800449663392356E-2</v>
      </c>
      <c r="F9" s="131">
        <v>4.3975644283166249E-2</v>
      </c>
      <c r="G9" s="131">
        <v>0</v>
      </c>
      <c r="H9" s="131">
        <v>0</v>
      </c>
      <c r="I9" s="131">
        <v>0</v>
      </c>
      <c r="J9" s="131">
        <v>0</v>
      </c>
      <c r="K9" s="131">
        <v>0</v>
      </c>
      <c r="L9" s="131">
        <v>0</v>
      </c>
      <c r="M9" s="131">
        <v>0</v>
      </c>
      <c r="N9" s="131">
        <v>0</v>
      </c>
      <c r="O9" s="131">
        <v>0</v>
      </c>
      <c r="P9" s="131">
        <v>0</v>
      </c>
      <c r="Q9" s="131">
        <v>0</v>
      </c>
      <c r="R9" s="131">
        <v>0</v>
      </c>
      <c r="S9" s="131">
        <v>0</v>
      </c>
      <c r="T9" s="131">
        <v>0</v>
      </c>
      <c r="U9" s="131">
        <v>0</v>
      </c>
      <c r="V9" s="131">
        <v>0</v>
      </c>
      <c r="W9" s="131">
        <v>0</v>
      </c>
      <c r="X9" s="131">
        <v>0</v>
      </c>
      <c r="Y9" s="131">
        <v>0</v>
      </c>
      <c r="Z9" s="131">
        <v>0</v>
      </c>
      <c r="AA9" s="131">
        <v>0</v>
      </c>
      <c r="AB9" s="131">
        <v>0</v>
      </c>
      <c r="AC9" s="131">
        <v>0</v>
      </c>
      <c r="AD9" s="131">
        <v>0</v>
      </c>
    </row>
    <row r="10" spans="1:34" customFormat="1" x14ac:dyDescent="0.15">
      <c r="A10" s="136" t="s">
        <v>201</v>
      </c>
      <c r="B10" s="131">
        <v>0</v>
      </c>
      <c r="C10" s="131">
        <v>0</v>
      </c>
      <c r="D10" s="131">
        <v>0</v>
      </c>
      <c r="E10" s="131">
        <v>0</v>
      </c>
      <c r="F10" s="131">
        <v>3.9670834842791478E-2</v>
      </c>
      <c r="G10" s="131">
        <v>5.3245084089795676E-3</v>
      </c>
      <c r="H10" s="131">
        <v>0</v>
      </c>
      <c r="I10" s="131">
        <v>0</v>
      </c>
      <c r="J10" s="131">
        <v>0</v>
      </c>
      <c r="K10" s="131">
        <v>0</v>
      </c>
      <c r="L10" s="131">
        <v>0</v>
      </c>
      <c r="M10" s="131">
        <v>0</v>
      </c>
      <c r="N10" s="131">
        <v>0</v>
      </c>
      <c r="O10" s="131">
        <v>0</v>
      </c>
      <c r="P10" s="131">
        <v>0</v>
      </c>
      <c r="Q10" s="131">
        <v>0</v>
      </c>
      <c r="R10" s="131">
        <v>0</v>
      </c>
      <c r="S10" s="131">
        <v>0</v>
      </c>
      <c r="T10" s="131">
        <v>0</v>
      </c>
      <c r="U10" s="131">
        <v>0</v>
      </c>
      <c r="V10" s="131">
        <v>0</v>
      </c>
      <c r="W10" s="131">
        <v>0</v>
      </c>
      <c r="X10" s="131">
        <v>0</v>
      </c>
      <c r="Y10" s="131">
        <v>0</v>
      </c>
      <c r="Z10" s="131">
        <v>0</v>
      </c>
      <c r="AA10" s="131">
        <v>0</v>
      </c>
      <c r="AB10" s="131">
        <v>0</v>
      </c>
      <c r="AC10" s="131">
        <v>0</v>
      </c>
      <c r="AD10" s="131">
        <v>0</v>
      </c>
    </row>
    <row r="11" spans="1:34" customFormat="1" x14ac:dyDescent="0.15">
      <c r="A11" s="136" t="s">
        <v>202</v>
      </c>
      <c r="B11" s="131">
        <v>0</v>
      </c>
      <c r="C11" s="131">
        <v>0</v>
      </c>
      <c r="D11" s="131">
        <v>0</v>
      </c>
      <c r="E11" s="131">
        <v>9.817267833106446E-3</v>
      </c>
      <c r="F11" s="131">
        <v>1.0070418690845571E-2</v>
      </c>
      <c r="G11" s="131">
        <v>1.0649018817958914E-2</v>
      </c>
      <c r="H11" s="131">
        <v>0</v>
      </c>
      <c r="I11" s="131">
        <v>0</v>
      </c>
      <c r="J11" s="131">
        <v>0</v>
      </c>
      <c r="K11" s="131">
        <v>0</v>
      </c>
      <c r="L11" s="131">
        <v>0</v>
      </c>
      <c r="M11" s="131">
        <v>0</v>
      </c>
      <c r="N11" s="131">
        <v>0</v>
      </c>
      <c r="O11" s="131">
        <v>0</v>
      </c>
      <c r="P11" s="131">
        <v>0</v>
      </c>
      <c r="Q11" s="131">
        <v>0</v>
      </c>
      <c r="R11" s="131">
        <v>0</v>
      </c>
      <c r="S11" s="131">
        <v>0</v>
      </c>
      <c r="T11" s="131">
        <v>0</v>
      </c>
      <c r="U11" s="131">
        <v>0</v>
      </c>
      <c r="V11" s="131">
        <v>0</v>
      </c>
      <c r="W11" s="131">
        <v>0</v>
      </c>
      <c r="X11" s="131">
        <v>0</v>
      </c>
      <c r="Y11" s="131">
        <v>0</v>
      </c>
      <c r="Z11" s="131">
        <v>0</v>
      </c>
      <c r="AA11" s="131">
        <v>0</v>
      </c>
      <c r="AB11" s="131">
        <v>0</v>
      </c>
      <c r="AC11" s="131">
        <v>0</v>
      </c>
      <c r="AD11" s="131">
        <v>0</v>
      </c>
    </row>
    <row r="12" spans="1:34" customFormat="1" x14ac:dyDescent="0.15">
      <c r="A12" s="136" t="s">
        <v>203</v>
      </c>
      <c r="B12" s="131">
        <v>0</v>
      </c>
      <c r="C12" s="131">
        <v>5.021236072556938E-2</v>
      </c>
      <c r="D12" s="131">
        <v>0</v>
      </c>
      <c r="E12" s="131">
        <v>0</v>
      </c>
      <c r="F12" s="131">
        <v>0</v>
      </c>
      <c r="G12" s="131">
        <v>0</v>
      </c>
      <c r="H12" s="131">
        <v>0</v>
      </c>
      <c r="I12" s="131">
        <v>0</v>
      </c>
      <c r="J12" s="131">
        <v>0</v>
      </c>
      <c r="K12" s="131">
        <v>0</v>
      </c>
      <c r="L12" s="131">
        <v>0</v>
      </c>
      <c r="M12" s="131">
        <v>0</v>
      </c>
      <c r="N12" s="131">
        <v>0</v>
      </c>
      <c r="O12" s="131">
        <v>0</v>
      </c>
      <c r="P12" s="131">
        <v>0</v>
      </c>
      <c r="Q12" s="131">
        <v>0</v>
      </c>
      <c r="R12" s="131">
        <v>0</v>
      </c>
      <c r="S12" s="131">
        <v>0</v>
      </c>
      <c r="T12" s="131">
        <v>0</v>
      </c>
      <c r="U12" s="131">
        <v>0</v>
      </c>
      <c r="V12" s="131">
        <v>0</v>
      </c>
      <c r="W12" s="131">
        <v>0</v>
      </c>
      <c r="X12" s="131">
        <v>0</v>
      </c>
      <c r="Y12" s="131">
        <v>0</v>
      </c>
      <c r="Z12" s="131">
        <v>0</v>
      </c>
      <c r="AA12" s="131">
        <v>0</v>
      </c>
      <c r="AB12" s="131">
        <v>0</v>
      </c>
      <c r="AC12" s="131">
        <v>0</v>
      </c>
      <c r="AD12" s="131">
        <v>0</v>
      </c>
    </row>
    <row r="13" spans="1:34" customFormat="1" x14ac:dyDescent="0.15">
      <c r="A13" s="136" t="s">
        <v>204</v>
      </c>
      <c r="B13" s="131">
        <v>0</v>
      </c>
      <c r="C13" s="131">
        <v>4.0169892579678207E-2</v>
      </c>
      <c r="D13" s="131">
        <v>0</v>
      </c>
      <c r="E13" s="131">
        <v>0</v>
      </c>
      <c r="F13" s="131">
        <v>0</v>
      </c>
      <c r="G13" s="131">
        <v>0</v>
      </c>
      <c r="H13" s="131">
        <v>0</v>
      </c>
      <c r="I13" s="131">
        <v>0</v>
      </c>
      <c r="J13" s="131">
        <v>0</v>
      </c>
      <c r="K13" s="131">
        <v>0</v>
      </c>
      <c r="L13" s="131">
        <v>0</v>
      </c>
      <c r="M13" s="131">
        <v>0</v>
      </c>
      <c r="N13" s="131">
        <v>0</v>
      </c>
      <c r="O13" s="131">
        <v>0</v>
      </c>
      <c r="P13" s="131">
        <v>0</v>
      </c>
      <c r="Q13" s="131">
        <v>0</v>
      </c>
      <c r="R13" s="131">
        <v>0</v>
      </c>
      <c r="S13" s="131">
        <v>0</v>
      </c>
      <c r="T13" s="131">
        <v>0</v>
      </c>
      <c r="U13" s="131">
        <v>0</v>
      </c>
      <c r="V13" s="131">
        <v>0</v>
      </c>
      <c r="W13" s="131">
        <v>0</v>
      </c>
      <c r="X13" s="131">
        <v>0</v>
      </c>
      <c r="Y13" s="131">
        <v>0</v>
      </c>
      <c r="Z13" s="131">
        <v>0</v>
      </c>
      <c r="AA13" s="131">
        <v>0</v>
      </c>
      <c r="AB13" s="131">
        <v>0</v>
      </c>
      <c r="AC13" s="131">
        <v>0</v>
      </c>
      <c r="AD13" s="131">
        <v>0</v>
      </c>
    </row>
    <row r="14" spans="1:34" customFormat="1" x14ac:dyDescent="0.15">
      <c r="A14" s="136" t="s">
        <v>205</v>
      </c>
      <c r="B14" s="131">
        <v>0</v>
      </c>
      <c r="C14" s="131">
        <v>5.021236072556938E-2</v>
      </c>
      <c r="D14" s="131">
        <v>0</v>
      </c>
      <c r="E14" s="131">
        <v>0</v>
      </c>
      <c r="F14" s="131">
        <v>0</v>
      </c>
      <c r="G14" s="131">
        <v>0</v>
      </c>
      <c r="H14" s="131">
        <v>0</v>
      </c>
      <c r="I14" s="131">
        <v>0</v>
      </c>
      <c r="J14" s="131">
        <v>0</v>
      </c>
      <c r="K14" s="131">
        <v>0</v>
      </c>
      <c r="L14" s="131">
        <v>0</v>
      </c>
      <c r="M14" s="131">
        <v>0</v>
      </c>
      <c r="N14" s="131">
        <v>0</v>
      </c>
      <c r="O14" s="131">
        <v>0</v>
      </c>
      <c r="P14" s="131">
        <v>0</v>
      </c>
      <c r="Q14" s="131">
        <v>0</v>
      </c>
      <c r="R14" s="131">
        <v>0</v>
      </c>
      <c r="S14" s="131">
        <v>0</v>
      </c>
      <c r="T14" s="131">
        <v>0</v>
      </c>
      <c r="U14" s="131">
        <v>0</v>
      </c>
      <c r="V14" s="131">
        <v>0</v>
      </c>
      <c r="W14" s="131">
        <v>0</v>
      </c>
      <c r="X14" s="131">
        <v>0</v>
      </c>
      <c r="Y14" s="131">
        <v>0</v>
      </c>
      <c r="Z14" s="131">
        <v>0</v>
      </c>
      <c r="AA14" s="131">
        <v>0</v>
      </c>
      <c r="AB14" s="131">
        <v>0</v>
      </c>
      <c r="AC14" s="131">
        <v>0</v>
      </c>
      <c r="AD14" s="131">
        <v>0</v>
      </c>
    </row>
    <row r="15" spans="1:34" customFormat="1" x14ac:dyDescent="0.15">
      <c r="A15" s="136" t="s">
        <v>206</v>
      </c>
      <c r="B15" s="131">
        <v>0</v>
      </c>
      <c r="C15" s="131">
        <v>1.9996113555369378E-2</v>
      </c>
      <c r="D15" s="131">
        <v>0</v>
      </c>
      <c r="E15" s="131">
        <v>0</v>
      </c>
      <c r="F15" s="131">
        <v>0</v>
      </c>
      <c r="G15" s="131">
        <v>0</v>
      </c>
      <c r="H15" s="131">
        <v>0</v>
      </c>
      <c r="I15" s="131">
        <v>0</v>
      </c>
      <c r="J15" s="131">
        <v>0</v>
      </c>
      <c r="K15" s="131">
        <v>0</v>
      </c>
      <c r="L15" s="131">
        <v>0</v>
      </c>
      <c r="M15" s="131">
        <v>0</v>
      </c>
      <c r="N15" s="131">
        <v>0</v>
      </c>
      <c r="O15" s="131">
        <v>0</v>
      </c>
      <c r="P15" s="131">
        <v>0</v>
      </c>
      <c r="Q15" s="131">
        <v>0</v>
      </c>
      <c r="R15" s="131">
        <v>0</v>
      </c>
      <c r="S15" s="131">
        <v>0</v>
      </c>
      <c r="T15" s="131">
        <v>0</v>
      </c>
      <c r="U15" s="131">
        <v>0</v>
      </c>
      <c r="V15" s="131">
        <v>0</v>
      </c>
      <c r="W15" s="131">
        <v>0</v>
      </c>
      <c r="X15" s="131">
        <v>0</v>
      </c>
      <c r="Y15" s="131">
        <v>0</v>
      </c>
      <c r="Z15" s="131">
        <v>0</v>
      </c>
      <c r="AA15" s="131">
        <v>0</v>
      </c>
      <c r="AB15" s="131">
        <v>0</v>
      </c>
      <c r="AC15" s="131">
        <v>0</v>
      </c>
      <c r="AD15" s="131">
        <v>0</v>
      </c>
    </row>
    <row r="16" spans="1:34" customFormat="1" x14ac:dyDescent="0.15">
      <c r="A16" s="136" t="s">
        <v>207</v>
      </c>
      <c r="B16" s="131">
        <v>0</v>
      </c>
      <c r="C16" s="131">
        <v>4.1636137600296004E-2</v>
      </c>
      <c r="D16" s="131">
        <v>1.1344689886553102E-2</v>
      </c>
      <c r="E16" s="131">
        <v>3.7037729370358596E-2</v>
      </c>
      <c r="F16" s="131">
        <v>3.2981745712373056E-2</v>
      </c>
      <c r="G16" s="131">
        <v>1.0649018817958914E-2</v>
      </c>
      <c r="H16" s="131">
        <v>0</v>
      </c>
      <c r="I16" s="131">
        <v>0</v>
      </c>
      <c r="J16" s="131">
        <v>0</v>
      </c>
      <c r="K16" s="131">
        <v>0</v>
      </c>
      <c r="L16" s="131">
        <v>0</v>
      </c>
      <c r="M16" s="131">
        <v>0</v>
      </c>
      <c r="N16" s="131">
        <v>0</v>
      </c>
      <c r="O16" s="131">
        <v>0</v>
      </c>
      <c r="P16" s="131">
        <v>0</v>
      </c>
      <c r="Q16" s="131">
        <v>0</v>
      </c>
      <c r="R16" s="131">
        <v>0</v>
      </c>
      <c r="S16" s="131">
        <v>0</v>
      </c>
      <c r="T16" s="131">
        <v>0</v>
      </c>
      <c r="U16" s="131">
        <v>0</v>
      </c>
      <c r="V16" s="131">
        <v>0</v>
      </c>
      <c r="W16" s="131">
        <v>0</v>
      </c>
      <c r="X16" s="131">
        <v>0</v>
      </c>
      <c r="Y16" s="131">
        <v>0</v>
      </c>
      <c r="Z16" s="131">
        <v>0</v>
      </c>
      <c r="AA16" s="131">
        <v>0</v>
      </c>
      <c r="AB16" s="131">
        <v>0</v>
      </c>
      <c r="AC16" s="131">
        <v>0</v>
      </c>
      <c r="AD16" s="131">
        <v>0</v>
      </c>
    </row>
    <row r="17" spans="1:30" customFormat="1" x14ac:dyDescent="0.15">
      <c r="A17" s="136" t="s">
        <v>208</v>
      </c>
      <c r="B17" s="131">
        <v>2.5125629497487405E-2</v>
      </c>
      <c r="C17" s="131">
        <v>5.021236072556938E-2</v>
      </c>
      <c r="D17" s="131">
        <v>0</v>
      </c>
      <c r="E17" s="131">
        <v>2.9474629498931298E-2</v>
      </c>
      <c r="F17" s="131">
        <v>2.1987827141582473E-2</v>
      </c>
      <c r="G17" s="131">
        <v>0</v>
      </c>
      <c r="H17" s="131">
        <v>0</v>
      </c>
      <c r="I17" s="131">
        <v>0</v>
      </c>
      <c r="J17" s="131">
        <v>0</v>
      </c>
      <c r="K17" s="131">
        <v>0</v>
      </c>
      <c r="L17" s="131">
        <v>0</v>
      </c>
      <c r="M17" s="131">
        <v>0</v>
      </c>
      <c r="N17" s="131">
        <v>0</v>
      </c>
      <c r="O17" s="131">
        <v>0</v>
      </c>
      <c r="P17" s="131">
        <v>0</v>
      </c>
      <c r="Q17" s="131">
        <v>0</v>
      </c>
      <c r="R17" s="131">
        <v>0</v>
      </c>
      <c r="S17" s="131">
        <v>0</v>
      </c>
      <c r="T17" s="131">
        <v>0</v>
      </c>
      <c r="U17" s="131">
        <v>0</v>
      </c>
      <c r="V17" s="131">
        <v>0</v>
      </c>
      <c r="W17" s="131">
        <v>0</v>
      </c>
      <c r="X17" s="131">
        <v>0</v>
      </c>
      <c r="Y17" s="131">
        <v>0</v>
      </c>
      <c r="Z17" s="131">
        <v>0</v>
      </c>
      <c r="AA17" s="131">
        <v>0</v>
      </c>
      <c r="AB17" s="131">
        <v>0</v>
      </c>
      <c r="AC17" s="131">
        <v>0</v>
      </c>
      <c r="AD17" s="131">
        <v>0</v>
      </c>
    </row>
    <row r="18" spans="1:30" customFormat="1" x14ac:dyDescent="0.15">
      <c r="A18" s="136" t="s">
        <v>209</v>
      </c>
      <c r="B18" s="131">
        <v>3.0150749396985008E-2</v>
      </c>
      <c r="C18" s="131">
        <v>8.0339785159356414E-2</v>
      </c>
      <c r="D18" s="131">
        <v>0</v>
      </c>
      <c r="E18" s="131">
        <v>9.9365988310778208E-3</v>
      </c>
      <c r="F18" s="131">
        <v>9.8945217137121774E-2</v>
      </c>
      <c r="G18" s="131">
        <v>9.952980895219123E-3</v>
      </c>
      <c r="H18" s="131">
        <v>0</v>
      </c>
      <c r="I18" s="131">
        <v>0</v>
      </c>
      <c r="J18" s="131">
        <v>0</v>
      </c>
      <c r="K18" s="131">
        <v>0</v>
      </c>
      <c r="L18" s="131">
        <v>0</v>
      </c>
      <c r="M18" s="131">
        <v>0</v>
      </c>
      <c r="N18" s="131">
        <v>0</v>
      </c>
      <c r="O18" s="131">
        <v>0</v>
      </c>
      <c r="P18" s="131">
        <v>0</v>
      </c>
      <c r="Q18" s="131">
        <v>0</v>
      </c>
      <c r="R18" s="131">
        <v>0</v>
      </c>
      <c r="S18" s="131">
        <v>0</v>
      </c>
      <c r="T18" s="131">
        <v>0</v>
      </c>
      <c r="U18" s="131">
        <v>0</v>
      </c>
      <c r="V18" s="131">
        <v>0</v>
      </c>
      <c r="W18" s="131">
        <v>0</v>
      </c>
      <c r="X18" s="131">
        <v>0</v>
      </c>
      <c r="Y18" s="131">
        <v>0</v>
      </c>
      <c r="Z18" s="131">
        <v>0</v>
      </c>
      <c r="AA18" s="131">
        <v>0</v>
      </c>
      <c r="AB18" s="131">
        <v>0</v>
      </c>
      <c r="AC18" s="131">
        <v>0</v>
      </c>
      <c r="AD18" s="131">
        <v>0</v>
      </c>
    </row>
    <row r="19" spans="1:30" customFormat="1" x14ac:dyDescent="0.15">
      <c r="A19" s="136" t="s">
        <v>210</v>
      </c>
      <c r="B19" s="131">
        <v>0</v>
      </c>
      <c r="C19" s="131">
        <v>0</v>
      </c>
      <c r="D19" s="131">
        <v>0</v>
      </c>
      <c r="E19" s="131">
        <v>0</v>
      </c>
      <c r="F19" s="131">
        <v>0</v>
      </c>
      <c r="G19" s="131">
        <v>0</v>
      </c>
      <c r="H19" s="131">
        <v>0</v>
      </c>
      <c r="I19" s="131">
        <v>0</v>
      </c>
      <c r="J19" s="131">
        <v>0</v>
      </c>
      <c r="K19" s="131">
        <v>0</v>
      </c>
      <c r="L19" s="131">
        <v>0</v>
      </c>
      <c r="M19" s="131">
        <v>0</v>
      </c>
      <c r="N19" s="131">
        <v>0</v>
      </c>
      <c r="O19" s="131">
        <v>0</v>
      </c>
      <c r="P19" s="131">
        <v>0</v>
      </c>
      <c r="Q19" s="131">
        <v>0</v>
      </c>
      <c r="R19" s="131">
        <v>0</v>
      </c>
      <c r="S19" s="131">
        <v>0</v>
      </c>
      <c r="T19" s="131">
        <v>0</v>
      </c>
      <c r="U19" s="131">
        <v>0</v>
      </c>
      <c r="V19" s="131">
        <v>0</v>
      </c>
      <c r="W19" s="131">
        <v>0</v>
      </c>
      <c r="X19" s="131">
        <v>0</v>
      </c>
      <c r="Y19" s="131">
        <v>0</v>
      </c>
      <c r="Z19" s="131">
        <v>0</v>
      </c>
      <c r="AA19" s="131">
        <v>0</v>
      </c>
      <c r="AB19" s="131">
        <v>0</v>
      </c>
      <c r="AC19" s="131">
        <v>0</v>
      </c>
      <c r="AD19" s="131">
        <v>0</v>
      </c>
    </row>
    <row r="20" spans="1:30" customFormat="1" x14ac:dyDescent="0.15">
      <c r="A20" s="136" t="s">
        <v>234</v>
      </c>
      <c r="B20" s="131">
        <v>5.0251258994974811E-2</v>
      </c>
      <c r="C20" s="131">
        <v>5.021236072556938E-2</v>
      </c>
      <c r="D20" s="131">
        <v>9.7773699022263016E-2</v>
      </c>
      <c r="E20" s="131">
        <v>3.4778099408772307E-2</v>
      </c>
      <c r="F20" s="131">
        <v>1.0993908570791888E-2</v>
      </c>
      <c r="G20" s="131">
        <v>4.2596075271835655E-2</v>
      </c>
      <c r="H20" s="131">
        <v>0</v>
      </c>
      <c r="I20" s="131">
        <v>0</v>
      </c>
      <c r="J20" s="131">
        <v>0</v>
      </c>
      <c r="K20" s="131">
        <v>0</v>
      </c>
      <c r="L20" s="131">
        <v>0</v>
      </c>
      <c r="M20" s="131">
        <v>0</v>
      </c>
      <c r="N20" s="131">
        <v>0</v>
      </c>
      <c r="O20" s="131">
        <v>0</v>
      </c>
      <c r="P20" s="131">
        <v>0</v>
      </c>
      <c r="Q20" s="131">
        <v>0</v>
      </c>
      <c r="R20" s="131">
        <v>0</v>
      </c>
      <c r="S20" s="131">
        <v>5.000000000000001E-2</v>
      </c>
      <c r="T20" s="131">
        <v>0</v>
      </c>
      <c r="U20" s="131">
        <v>0</v>
      </c>
      <c r="V20" s="131">
        <v>0</v>
      </c>
      <c r="W20" s="131">
        <v>0</v>
      </c>
      <c r="X20" s="131">
        <v>0</v>
      </c>
      <c r="Y20" s="131">
        <v>0</v>
      </c>
      <c r="Z20" s="131">
        <v>0</v>
      </c>
      <c r="AA20" s="131">
        <v>0</v>
      </c>
      <c r="AB20" s="131">
        <v>0</v>
      </c>
      <c r="AC20" s="131">
        <v>0</v>
      </c>
      <c r="AD20" s="131">
        <v>0</v>
      </c>
    </row>
    <row r="21" spans="1:30" customFormat="1" x14ac:dyDescent="0.15">
      <c r="A21" s="136" t="s">
        <v>211</v>
      </c>
      <c r="B21" s="131">
        <v>0</v>
      </c>
      <c r="C21" s="131">
        <v>0</v>
      </c>
      <c r="D21" s="131">
        <v>0.35229799647702004</v>
      </c>
      <c r="E21" s="131">
        <v>0</v>
      </c>
      <c r="F21" s="131">
        <v>0</v>
      </c>
      <c r="G21" s="131">
        <v>0</v>
      </c>
      <c r="H21" s="131">
        <v>0</v>
      </c>
      <c r="I21" s="131">
        <v>0</v>
      </c>
      <c r="J21" s="131">
        <v>0</v>
      </c>
      <c r="K21" s="131">
        <v>0</v>
      </c>
      <c r="L21" s="131">
        <v>0</v>
      </c>
      <c r="M21" s="131">
        <v>0</v>
      </c>
      <c r="N21" s="131">
        <v>0</v>
      </c>
      <c r="O21" s="131">
        <v>0</v>
      </c>
      <c r="P21" s="131">
        <v>0</v>
      </c>
      <c r="Q21" s="131">
        <v>0</v>
      </c>
      <c r="R21" s="131">
        <v>0</v>
      </c>
      <c r="S21" s="131">
        <v>0</v>
      </c>
      <c r="T21" s="131">
        <v>0</v>
      </c>
      <c r="U21" s="131">
        <v>0</v>
      </c>
      <c r="V21" s="131">
        <v>0</v>
      </c>
      <c r="W21" s="131">
        <v>0</v>
      </c>
      <c r="X21" s="131">
        <v>0</v>
      </c>
      <c r="Y21" s="131">
        <v>0</v>
      </c>
      <c r="Z21" s="131">
        <v>0</v>
      </c>
      <c r="AA21" s="131">
        <v>0</v>
      </c>
      <c r="AB21" s="131">
        <v>0</v>
      </c>
      <c r="AC21" s="131">
        <v>0</v>
      </c>
      <c r="AD21" s="131">
        <v>0</v>
      </c>
    </row>
    <row r="22" spans="1:30" customFormat="1" x14ac:dyDescent="0.15">
      <c r="A22" s="136" t="s">
        <v>212</v>
      </c>
      <c r="B22" s="131">
        <v>7.0351758592964816E-2</v>
      </c>
      <c r="C22" s="131">
        <v>3.012741443573027E-2</v>
      </c>
      <c r="D22" s="131">
        <v>0.29358169706418302</v>
      </c>
      <c r="E22" s="131">
        <v>0.39299499331908505</v>
      </c>
      <c r="F22" s="131">
        <v>0.35109505435764299</v>
      </c>
      <c r="G22" s="131">
        <v>0.18910667900915865</v>
      </c>
      <c r="H22" s="131">
        <v>0</v>
      </c>
      <c r="I22" s="131">
        <v>0</v>
      </c>
      <c r="J22" s="131">
        <v>0.1</v>
      </c>
      <c r="K22" s="131">
        <v>0</v>
      </c>
      <c r="L22" s="131">
        <v>0</v>
      </c>
      <c r="M22" s="131">
        <v>0</v>
      </c>
      <c r="N22" s="131">
        <v>0</v>
      </c>
      <c r="O22" s="131">
        <v>0.25</v>
      </c>
      <c r="P22" s="131">
        <v>0.7</v>
      </c>
      <c r="Q22" s="131">
        <v>0.30000000000000004</v>
      </c>
      <c r="R22" s="131">
        <v>0.05</v>
      </c>
      <c r="S22" s="131">
        <v>0.35000000000000003</v>
      </c>
      <c r="T22" s="131">
        <v>0.7</v>
      </c>
      <c r="U22" s="131">
        <v>0.2</v>
      </c>
      <c r="V22" s="131">
        <v>0.05</v>
      </c>
      <c r="W22" s="131">
        <v>0</v>
      </c>
      <c r="X22" s="131">
        <v>0</v>
      </c>
      <c r="Y22" s="131">
        <v>0</v>
      </c>
      <c r="Z22" s="131">
        <v>0</v>
      </c>
      <c r="AA22" s="131">
        <v>0</v>
      </c>
      <c r="AB22" s="131">
        <v>0</v>
      </c>
      <c r="AC22" s="131">
        <v>0</v>
      </c>
      <c r="AD22" s="131">
        <v>0</v>
      </c>
    </row>
    <row r="23" spans="1:30" customFormat="1" x14ac:dyDescent="0.15">
      <c r="A23" s="136" t="s">
        <v>213</v>
      </c>
      <c r="B23" s="131">
        <v>0.10050249798995002</v>
      </c>
      <c r="C23" s="131">
        <v>1.0042468145891164E-2</v>
      </c>
      <c r="D23" s="131">
        <v>0.14679079853209201</v>
      </c>
      <c r="E23" s="131">
        <v>0.30803459476341188</v>
      </c>
      <c r="F23" s="131">
        <v>0.19059447522271825</v>
      </c>
      <c r="G23" s="131">
        <v>0.39811925580876267</v>
      </c>
      <c r="H23" s="131">
        <v>0.1</v>
      </c>
      <c r="I23" s="131">
        <v>0.03</v>
      </c>
      <c r="J23" s="131">
        <v>0.15</v>
      </c>
      <c r="K23" s="131">
        <v>0.2</v>
      </c>
      <c r="L23" s="131">
        <v>0.2</v>
      </c>
      <c r="M23" s="131">
        <v>0.1</v>
      </c>
      <c r="N23" s="131">
        <v>0.02</v>
      </c>
      <c r="O23" s="131">
        <v>0.7</v>
      </c>
      <c r="P23" s="131">
        <v>0.25</v>
      </c>
      <c r="Q23" s="131">
        <v>0.60000000000000009</v>
      </c>
      <c r="R23" s="131">
        <v>0.21</v>
      </c>
      <c r="S23" s="131">
        <v>0.25000000000000006</v>
      </c>
      <c r="T23" s="131">
        <v>0.3</v>
      </c>
      <c r="U23" s="131">
        <v>0.35</v>
      </c>
      <c r="V23" s="131">
        <v>0.2</v>
      </c>
      <c r="W23" s="131">
        <v>0.01</v>
      </c>
      <c r="X23" s="131">
        <v>0</v>
      </c>
      <c r="Y23" s="131">
        <v>0</v>
      </c>
      <c r="Z23" s="131">
        <v>0</v>
      </c>
      <c r="AA23" s="131">
        <v>0</v>
      </c>
      <c r="AB23" s="131">
        <v>0</v>
      </c>
      <c r="AC23" s="131">
        <v>0</v>
      </c>
      <c r="AD23" s="131">
        <v>0</v>
      </c>
    </row>
    <row r="24" spans="1:30" customFormat="1" x14ac:dyDescent="0.15">
      <c r="A24" s="136" t="s">
        <v>214</v>
      </c>
      <c r="B24" s="131">
        <v>0</v>
      </c>
      <c r="C24" s="131">
        <v>0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</row>
    <row r="25" spans="1:30" customFormat="1" x14ac:dyDescent="0.15">
      <c r="A25" s="136" t="s">
        <v>215</v>
      </c>
      <c r="B25" s="131">
        <v>0</v>
      </c>
      <c r="C25" s="131">
        <v>0</v>
      </c>
      <c r="D25" s="131">
        <v>0</v>
      </c>
      <c r="E25" s="131">
        <v>0</v>
      </c>
      <c r="F25" s="131">
        <v>0</v>
      </c>
      <c r="G25" s="131">
        <v>6.3894102907754588E-2</v>
      </c>
      <c r="H25" s="131">
        <v>0</v>
      </c>
      <c r="I25" s="131">
        <v>0</v>
      </c>
      <c r="J25" s="131">
        <v>0.1</v>
      </c>
      <c r="K25" s="131">
        <v>0.2</v>
      </c>
      <c r="L25" s="131">
        <v>0</v>
      </c>
      <c r="M25" s="131">
        <v>0.15</v>
      </c>
      <c r="N25" s="131">
        <v>0</v>
      </c>
      <c r="O25" s="131">
        <v>0.05</v>
      </c>
      <c r="P25" s="131">
        <v>0.05</v>
      </c>
      <c r="Q25" s="131">
        <v>0.10000000000000002</v>
      </c>
      <c r="R25" s="131">
        <v>0.1</v>
      </c>
      <c r="S25" s="131">
        <v>0</v>
      </c>
      <c r="T25" s="131">
        <v>0</v>
      </c>
      <c r="U25" s="131">
        <v>0</v>
      </c>
      <c r="V25" s="131">
        <v>0</v>
      </c>
      <c r="W25" s="131">
        <v>0</v>
      </c>
      <c r="X25" s="131">
        <v>0.3</v>
      </c>
      <c r="Y25" s="131">
        <v>0.15000000000000002</v>
      </c>
      <c r="Z25" s="131">
        <v>0</v>
      </c>
      <c r="AA25" s="131">
        <v>0</v>
      </c>
      <c r="AB25" s="131">
        <v>0</v>
      </c>
      <c r="AC25" s="131">
        <v>0</v>
      </c>
      <c r="AD25" s="131">
        <v>0</v>
      </c>
    </row>
    <row r="26" spans="1:30" customFormat="1" x14ac:dyDescent="0.15">
      <c r="A26" s="136" t="s">
        <v>216</v>
      </c>
      <c r="B26" s="131">
        <v>0</v>
      </c>
      <c r="C26" s="131">
        <v>0</v>
      </c>
      <c r="D26" s="131">
        <v>0</v>
      </c>
      <c r="E26" s="131">
        <v>0</v>
      </c>
      <c r="F26" s="131">
        <v>0</v>
      </c>
      <c r="G26" s="131">
        <v>0</v>
      </c>
      <c r="H26" s="131">
        <v>0</v>
      </c>
      <c r="I26" s="131">
        <v>0</v>
      </c>
      <c r="J26" s="131">
        <v>0</v>
      </c>
      <c r="K26" s="131">
        <v>0.1</v>
      </c>
      <c r="L26" s="131">
        <v>0</v>
      </c>
      <c r="M26" s="131">
        <v>0</v>
      </c>
      <c r="N26" s="131">
        <v>0</v>
      </c>
      <c r="O26" s="131">
        <v>0</v>
      </c>
      <c r="P26" s="131">
        <v>0</v>
      </c>
      <c r="Q26" s="131">
        <v>0</v>
      </c>
      <c r="R26" s="131">
        <v>0.05</v>
      </c>
      <c r="S26" s="131">
        <v>0</v>
      </c>
      <c r="T26" s="131">
        <v>0</v>
      </c>
      <c r="U26" s="131">
        <v>0</v>
      </c>
      <c r="V26" s="131">
        <v>0</v>
      </c>
      <c r="W26" s="131">
        <v>0</v>
      </c>
      <c r="X26" s="131">
        <v>0.1</v>
      </c>
      <c r="Y26" s="131">
        <v>0.20000000000000004</v>
      </c>
      <c r="Z26" s="131">
        <v>0</v>
      </c>
      <c r="AA26" s="131">
        <v>0</v>
      </c>
      <c r="AB26" s="131">
        <v>0</v>
      </c>
      <c r="AC26" s="131">
        <v>0</v>
      </c>
      <c r="AD26" s="131">
        <v>0</v>
      </c>
    </row>
    <row r="27" spans="1:30" customFormat="1" x14ac:dyDescent="0.15">
      <c r="A27" s="136" t="s">
        <v>217</v>
      </c>
      <c r="B27" s="131">
        <v>0</v>
      </c>
      <c r="C27" s="131">
        <v>0</v>
      </c>
      <c r="D27" s="131">
        <v>0</v>
      </c>
      <c r="E27" s="131">
        <v>0</v>
      </c>
      <c r="F27" s="131">
        <v>0</v>
      </c>
      <c r="G27" s="131">
        <v>0</v>
      </c>
      <c r="H27" s="131">
        <v>0.2</v>
      </c>
      <c r="I27" s="131">
        <v>0.1</v>
      </c>
      <c r="J27" s="131">
        <v>0.05</v>
      </c>
      <c r="K27" s="131">
        <v>0</v>
      </c>
      <c r="L27" s="131">
        <v>0.2</v>
      </c>
      <c r="M27" s="131">
        <v>0.1</v>
      </c>
      <c r="N27" s="131">
        <v>0.88</v>
      </c>
      <c r="O27" s="131">
        <v>0</v>
      </c>
      <c r="P27" s="131">
        <v>0</v>
      </c>
      <c r="Q27" s="131">
        <v>0</v>
      </c>
      <c r="R27" s="131">
        <v>0</v>
      </c>
      <c r="S27" s="131">
        <v>0.20000000000000004</v>
      </c>
      <c r="T27" s="131">
        <v>0</v>
      </c>
      <c r="U27" s="131">
        <v>0</v>
      </c>
      <c r="V27" s="131">
        <v>0.1</v>
      </c>
      <c r="W27" s="131">
        <v>0</v>
      </c>
      <c r="X27" s="131">
        <v>0</v>
      </c>
      <c r="Y27" s="131">
        <v>0</v>
      </c>
      <c r="Z27" s="131">
        <v>0</v>
      </c>
      <c r="AA27" s="131">
        <v>0</v>
      </c>
      <c r="AB27" s="131">
        <v>0</v>
      </c>
      <c r="AC27" s="131">
        <v>0</v>
      </c>
      <c r="AD27" s="131">
        <v>0</v>
      </c>
    </row>
    <row r="28" spans="1:30" customFormat="1" x14ac:dyDescent="0.15">
      <c r="A28" s="136" t="s">
        <v>218</v>
      </c>
      <c r="B28" s="131">
        <v>0</v>
      </c>
      <c r="C28" s="131">
        <v>0</v>
      </c>
      <c r="D28" s="131">
        <v>0</v>
      </c>
      <c r="E28" s="131">
        <v>0</v>
      </c>
      <c r="F28" s="131">
        <v>0</v>
      </c>
      <c r="G28" s="131">
        <v>0</v>
      </c>
      <c r="H28" s="131">
        <v>0.4</v>
      </c>
      <c r="I28" s="131">
        <v>0.59</v>
      </c>
      <c r="J28" s="131">
        <v>0.4</v>
      </c>
      <c r="K28" s="131">
        <v>0.4</v>
      </c>
      <c r="L28" s="131">
        <v>0.3</v>
      </c>
      <c r="M28" s="131">
        <v>0.6</v>
      </c>
      <c r="N28" s="131">
        <v>0.1</v>
      </c>
      <c r="O28" s="131">
        <v>0</v>
      </c>
      <c r="P28" s="131">
        <v>0</v>
      </c>
      <c r="Q28" s="131">
        <v>0</v>
      </c>
      <c r="R28" s="131">
        <v>0.15</v>
      </c>
      <c r="S28" s="131">
        <v>0.10000000000000002</v>
      </c>
      <c r="T28" s="131">
        <v>0</v>
      </c>
      <c r="U28" s="131">
        <v>0</v>
      </c>
      <c r="V28" s="131">
        <v>0</v>
      </c>
      <c r="W28" s="131">
        <v>0.1</v>
      </c>
      <c r="X28" s="131">
        <v>0</v>
      </c>
      <c r="Y28" s="131">
        <v>0</v>
      </c>
      <c r="Z28" s="131">
        <v>0</v>
      </c>
      <c r="AA28" s="131">
        <v>0</v>
      </c>
      <c r="AB28" s="131">
        <v>0</v>
      </c>
      <c r="AC28" s="131">
        <v>0</v>
      </c>
      <c r="AD28" s="131">
        <v>0</v>
      </c>
    </row>
    <row r="29" spans="1:30" customFormat="1" x14ac:dyDescent="0.15">
      <c r="A29" s="136" t="s">
        <v>219</v>
      </c>
      <c r="B29" s="131">
        <v>0</v>
      </c>
      <c r="C29" s="131">
        <v>0</v>
      </c>
      <c r="D29" s="131">
        <v>0</v>
      </c>
      <c r="E29" s="131">
        <v>0</v>
      </c>
      <c r="F29" s="131">
        <v>0</v>
      </c>
      <c r="G29" s="131">
        <v>0.10649018817958912</v>
      </c>
      <c r="H29" s="131">
        <v>0.3</v>
      </c>
      <c r="I29" s="131">
        <v>0.28000000000000003</v>
      </c>
      <c r="J29" s="131">
        <v>0.2</v>
      </c>
      <c r="K29" s="131">
        <v>0.1</v>
      </c>
      <c r="L29" s="131">
        <v>0.3</v>
      </c>
      <c r="M29" s="131">
        <v>0.05</v>
      </c>
      <c r="N29" s="131">
        <v>0</v>
      </c>
      <c r="O29" s="131">
        <v>0</v>
      </c>
      <c r="P29" s="131">
        <v>0</v>
      </c>
      <c r="Q29" s="131">
        <v>0</v>
      </c>
      <c r="R29" s="131">
        <v>0.44</v>
      </c>
      <c r="S29" s="131">
        <v>5.000000000000001E-2</v>
      </c>
      <c r="T29" s="131">
        <v>0</v>
      </c>
      <c r="U29" s="131">
        <v>0.45</v>
      </c>
      <c r="V29" s="131">
        <v>0.65</v>
      </c>
      <c r="W29" s="131">
        <v>0.89</v>
      </c>
      <c r="X29" s="131">
        <v>0.55000000000000004</v>
      </c>
      <c r="Y29" s="131">
        <v>0.30000000000000004</v>
      </c>
      <c r="Z29" s="131">
        <v>0</v>
      </c>
      <c r="AA29" s="131">
        <v>0</v>
      </c>
      <c r="AB29" s="131">
        <v>0</v>
      </c>
      <c r="AC29" s="131">
        <v>0</v>
      </c>
      <c r="AD29" s="131">
        <v>0</v>
      </c>
    </row>
    <row r="30" spans="1:30" customFormat="1" x14ac:dyDescent="0.15">
      <c r="A30" s="136" t="s">
        <v>220</v>
      </c>
      <c r="B30" s="131">
        <v>0</v>
      </c>
      <c r="C30" s="131">
        <v>0</v>
      </c>
      <c r="D30" s="131">
        <v>0</v>
      </c>
      <c r="E30" s="131">
        <v>0</v>
      </c>
      <c r="F30" s="131">
        <v>0</v>
      </c>
      <c r="G30" s="131">
        <v>0</v>
      </c>
      <c r="H30" s="131">
        <v>0</v>
      </c>
      <c r="I30" s="131">
        <v>0</v>
      </c>
      <c r="J30" s="131">
        <v>0</v>
      </c>
      <c r="K30" s="131">
        <v>0</v>
      </c>
      <c r="L30" s="131">
        <v>0</v>
      </c>
      <c r="M30" s="131">
        <v>0</v>
      </c>
      <c r="N30" s="131">
        <v>0</v>
      </c>
      <c r="O30" s="131">
        <v>0</v>
      </c>
      <c r="P30" s="131">
        <v>0</v>
      </c>
      <c r="Q30" s="131">
        <v>0</v>
      </c>
      <c r="R30" s="131">
        <v>0</v>
      </c>
      <c r="S30" s="131">
        <v>0</v>
      </c>
      <c r="T30" s="131">
        <v>0</v>
      </c>
      <c r="U30" s="131">
        <v>0</v>
      </c>
      <c r="V30" s="131">
        <v>0</v>
      </c>
      <c r="W30" s="131">
        <v>0</v>
      </c>
      <c r="X30" s="131">
        <v>0</v>
      </c>
      <c r="Y30" s="131">
        <v>0</v>
      </c>
      <c r="Z30" s="131">
        <v>0</v>
      </c>
      <c r="AA30" s="131">
        <v>0</v>
      </c>
      <c r="AB30" s="131">
        <v>0</v>
      </c>
      <c r="AC30" s="131">
        <v>0</v>
      </c>
      <c r="AD30" s="131">
        <v>0</v>
      </c>
    </row>
    <row r="31" spans="1:30" customFormat="1" x14ac:dyDescent="0.15">
      <c r="A31" s="136" t="s">
        <v>221</v>
      </c>
      <c r="B31" s="131">
        <v>0.60301508793969816</v>
      </c>
      <c r="C31" s="131">
        <v>0.15197046302080727</v>
      </c>
      <c r="D31" s="131">
        <v>7.8218959217810413E-2</v>
      </c>
      <c r="E31" s="131">
        <v>9.9002248316961777E-2</v>
      </c>
      <c r="F31" s="131">
        <v>7.9341679685581659E-2</v>
      </c>
      <c r="G31" s="131">
        <v>0.10997308779298727</v>
      </c>
      <c r="H31" s="131">
        <v>0</v>
      </c>
      <c r="I31" s="131">
        <v>0</v>
      </c>
      <c r="J31" s="131">
        <v>0</v>
      </c>
      <c r="K31" s="131">
        <v>0</v>
      </c>
      <c r="L31" s="131">
        <v>0</v>
      </c>
      <c r="M31" s="131">
        <v>0</v>
      </c>
      <c r="N31" s="131">
        <v>0</v>
      </c>
      <c r="O31" s="131">
        <v>0</v>
      </c>
      <c r="P31" s="131">
        <v>0</v>
      </c>
      <c r="Q31" s="131">
        <v>0</v>
      </c>
      <c r="R31" s="131">
        <v>0</v>
      </c>
      <c r="S31" s="131">
        <v>0</v>
      </c>
      <c r="T31" s="131">
        <v>0</v>
      </c>
      <c r="U31" s="131">
        <v>0</v>
      </c>
      <c r="V31" s="131">
        <v>0</v>
      </c>
      <c r="W31" s="131">
        <v>0</v>
      </c>
      <c r="X31" s="131">
        <v>0.05</v>
      </c>
      <c r="Y31" s="131">
        <v>0.35000000000000003</v>
      </c>
      <c r="Z31" s="131">
        <v>0</v>
      </c>
      <c r="AA31" s="131">
        <v>0</v>
      </c>
      <c r="AB31" s="131">
        <v>0</v>
      </c>
      <c r="AC31" s="131">
        <v>0</v>
      </c>
      <c r="AD31" s="131">
        <v>0</v>
      </c>
    </row>
    <row r="32" spans="1:30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12" activePane="bottomRight" state="frozen"/>
      <selection pane="topRight" activeCell="C1" sqref="C1"/>
      <selection pane="bottomLeft" activeCell="A2" sqref="A2"/>
      <selection pane="bottomRight" activeCell="B20" sqref="B20"/>
    </sheetView>
  </sheetViews>
  <sheetFormatPr baseColWidth="10" defaultColWidth="8.83203125" defaultRowHeight="13" x14ac:dyDescent="0.15"/>
  <cols>
    <col min="1" max="1" width="3.33203125" customWidth="1"/>
    <col min="2" max="2" width="23.6640625" customWidth="1"/>
    <col min="3" max="4" width="12.6640625" style="103" customWidth="1"/>
    <col min="5" max="6" width="12.6640625" style="102" customWidth="1"/>
    <col min="7" max="8" width="8.83203125" style="103"/>
  </cols>
  <sheetData>
    <row r="1" spans="1:8" ht="70" x14ac:dyDescent="0.15">
      <c r="A1" s="5" t="s">
        <v>20</v>
      </c>
      <c r="B1" s="1" t="s">
        <v>0</v>
      </c>
      <c r="C1" s="139" t="s">
        <v>219</v>
      </c>
      <c r="D1" s="139" t="s">
        <v>220</v>
      </c>
      <c r="E1" s="139" t="s">
        <v>222</v>
      </c>
      <c r="F1" s="139" t="s">
        <v>223</v>
      </c>
      <c r="G1"/>
      <c r="H1"/>
    </row>
    <row r="2" spans="1:8" x14ac:dyDescent="0.15">
      <c r="A2">
        <v>1</v>
      </c>
      <c r="B2" s="138" t="s">
        <v>193</v>
      </c>
      <c r="C2" s="162">
        <v>1</v>
      </c>
      <c r="D2" s="103">
        <v>0</v>
      </c>
      <c r="E2" s="162">
        <v>0</v>
      </c>
      <c r="F2" s="102">
        <f>SUM(C2:E2)</f>
        <v>1</v>
      </c>
      <c r="G2"/>
      <c r="H2" s="59" t="s">
        <v>227</v>
      </c>
    </row>
    <row r="3" spans="1:8" x14ac:dyDescent="0.15">
      <c r="A3">
        <v>2</v>
      </c>
      <c r="B3" s="138" t="s">
        <v>194</v>
      </c>
      <c r="C3" s="162">
        <v>1</v>
      </c>
      <c r="D3" s="103">
        <v>0</v>
      </c>
      <c r="E3" s="162">
        <v>0</v>
      </c>
      <c r="F3" s="102">
        <f t="shared" ref="F3:F31" si="0">SUM(C3:E3)</f>
        <v>1</v>
      </c>
      <c r="G3"/>
      <c r="H3" s="59" t="s">
        <v>227</v>
      </c>
    </row>
    <row r="4" spans="1:8" x14ac:dyDescent="0.15">
      <c r="A4">
        <v>3</v>
      </c>
      <c r="B4" s="138" t="s">
        <v>195</v>
      </c>
      <c r="C4" s="162">
        <v>1</v>
      </c>
      <c r="D4" s="103">
        <v>0</v>
      </c>
      <c r="E4" s="162">
        <v>0</v>
      </c>
      <c r="F4" s="102">
        <f t="shared" si="0"/>
        <v>1</v>
      </c>
      <c r="G4"/>
      <c r="H4" s="59" t="s">
        <v>227</v>
      </c>
    </row>
    <row r="5" spans="1:8" x14ac:dyDescent="0.15">
      <c r="A5">
        <v>4</v>
      </c>
      <c r="B5" s="138" t="s">
        <v>196</v>
      </c>
      <c r="C5" s="162">
        <v>1</v>
      </c>
      <c r="D5" s="103">
        <v>0</v>
      </c>
      <c r="E5" s="162">
        <v>0</v>
      </c>
      <c r="F5" s="102">
        <f t="shared" si="0"/>
        <v>1</v>
      </c>
      <c r="G5"/>
      <c r="H5" s="59" t="s">
        <v>227</v>
      </c>
    </row>
    <row r="6" spans="1:8" x14ac:dyDescent="0.15">
      <c r="A6">
        <v>5</v>
      </c>
      <c r="B6" s="138" t="s">
        <v>197</v>
      </c>
      <c r="C6" s="162">
        <v>1</v>
      </c>
      <c r="D6" s="103">
        <v>0</v>
      </c>
      <c r="E6" s="162">
        <v>0</v>
      </c>
      <c r="F6" s="102">
        <f t="shared" si="0"/>
        <v>1</v>
      </c>
      <c r="G6"/>
      <c r="H6" s="59" t="s">
        <v>227</v>
      </c>
    </row>
    <row r="7" spans="1:8" x14ac:dyDescent="0.15">
      <c r="A7">
        <v>6</v>
      </c>
      <c r="B7" s="138" t="s">
        <v>198</v>
      </c>
      <c r="C7" s="162">
        <v>1</v>
      </c>
      <c r="D7" s="103">
        <v>0</v>
      </c>
      <c r="E7" s="162">
        <v>0</v>
      </c>
      <c r="F7" s="102">
        <f t="shared" si="0"/>
        <v>1</v>
      </c>
      <c r="G7"/>
      <c r="H7" s="59" t="s">
        <v>227</v>
      </c>
    </row>
    <row r="8" spans="1:8" x14ac:dyDescent="0.15">
      <c r="A8">
        <v>7</v>
      </c>
      <c r="B8" s="138" t="s">
        <v>199</v>
      </c>
      <c r="C8" s="162">
        <v>1</v>
      </c>
      <c r="D8" s="103">
        <v>0</v>
      </c>
      <c r="E8" s="162">
        <v>0</v>
      </c>
      <c r="F8" s="102">
        <f t="shared" si="0"/>
        <v>1</v>
      </c>
      <c r="G8"/>
      <c r="H8" s="59" t="s">
        <v>227</v>
      </c>
    </row>
    <row r="9" spans="1:8" x14ac:dyDescent="0.15">
      <c r="A9">
        <v>8</v>
      </c>
      <c r="B9" s="138" t="s">
        <v>200</v>
      </c>
      <c r="C9" s="162">
        <v>1</v>
      </c>
      <c r="D9" s="103">
        <v>0</v>
      </c>
      <c r="E9" s="162">
        <v>0</v>
      </c>
      <c r="F9" s="102">
        <f t="shared" si="0"/>
        <v>1</v>
      </c>
      <c r="G9"/>
      <c r="H9" s="59" t="s">
        <v>227</v>
      </c>
    </row>
    <row r="10" spans="1:8" x14ac:dyDescent="0.15">
      <c r="A10">
        <v>9</v>
      </c>
      <c r="B10" s="138" t="s">
        <v>201</v>
      </c>
      <c r="C10" s="162">
        <v>1</v>
      </c>
      <c r="D10" s="103">
        <v>0</v>
      </c>
      <c r="E10" s="162">
        <v>0</v>
      </c>
      <c r="F10" s="102">
        <f t="shared" si="0"/>
        <v>1</v>
      </c>
      <c r="G10"/>
      <c r="H10" s="59" t="s">
        <v>227</v>
      </c>
    </row>
    <row r="11" spans="1:8" x14ac:dyDescent="0.15">
      <c r="A11">
        <v>10</v>
      </c>
      <c r="B11" s="138" t="s">
        <v>202</v>
      </c>
      <c r="C11" s="162">
        <v>1</v>
      </c>
      <c r="D11" s="103">
        <v>0</v>
      </c>
      <c r="E11" s="162">
        <v>0</v>
      </c>
      <c r="F11" s="102">
        <f t="shared" si="0"/>
        <v>1</v>
      </c>
      <c r="G11"/>
      <c r="H11" s="59" t="s">
        <v>227</v>
      </c>
    </row>
    <row r="12" spans="1:8" x14ac:dyDescent="0.15">
      <c r="A12">
        <v>11</v>
      </c>
      <c r="B12" s="138" t="s">
        <v>203</v>
      </c>
      <c r="C12" s="162">
        <v>1</v>
      </c>
      <c r="D12" s="103">
        <v>0</v>
      </c>
      <c r="E12" s="162">
        <v>0</v>
      </c>
      <c r="F12" s="102">
        <f t="shared" si="0"/>
        <v>1</v>
      </c>
      <c r="G12"/>
      <c r="H12" s="59" t="s">
        <v>227</v>
      </c>
    </row>
    <row r="13" spans="1:8" x14ac:dyDescent="0.15">
      <c r="A13">
        <v>12</v>
      </c>
      <c r="B13" s="138" t="s">
        <v>204</v>
      </c>
      <c r="C13" s="162">
        <v>1</v>
      </c>
      <c r="D13" s="103">
        <v>0</v>
      </c>
      <c r="E13" s="162">
        <v>0</v>
      </c>
      <c r="F13" s="102">
        <f t="shared" si="0"/>
        <v>1</v>
      </c>
      <c r="G13"/>
      <c r="H13" s="59" t="s">
        <v>227</v>
      </c>
    </row>
    <row r="14" spans="1:8" x14ac:dyDescent="0.15">
      <c r="A14">
        <v>13</v>
      </c>
      <c r="B14" s="138" t="s">
        <v>205</v>
      </c>
      <c r="C14" s="162">
        <v>1</v>
      </c>
      <c r="D14" s="103">
        <v>0</v>
      </c>
      <c r="E14" s="162">
        <v>0</v>
      </c>
      <c r="F14" s="102">
        <f t="shared" si="0"/>
        <v>1</v>
      </c>
      <c r="G14"/>
      <c r="H14" s="59" t="s">
        <v>227</v>
      </c>
    </row>
    <row r="15" spans="1:8" x14ac:dyDescent="0.15">
      <c r="A15">
        <v>14</v>
      </c>
      <c r="B15" s="138" t="s">
        <v>206</v>
      </c>
      <c r="C15" s="162">
        <v>1</v>
      </c>
      <c r="D15" s="103">
        <v>0</v>
      </c>
      <c r="E15" s="162">
        <v>0</v>
      </c>
      <c r="F15" s="102">
        <f t="shared" si="0"/>
        <v>1</v>
      </c>
      <c r="G15"/>
      <c r="H15" s="59" t="s">
        <v>227</v>
      </c>
    </row>
    <row r="16" spans="1:8" x14ac:dyDescent="0.15">
      <c r="A16">
        <v>15</v>
      </c>
      <c r="B16" s="138" t="s">
        <v>207</v>
      </c>
      <c r="C16" s="162">
        <v>1</v>
      </c>
      <c r="D16" s="103">
        <v>0</v>
      </c>
      <c r="E16" s="162">
        <v>0</v>
      </c>
      <c r="F16" s="102">
        <f t="shared" si="0"/>
        <v>1</v>
      </c>
      <c r="G16"/>
      <c r="H16" s="59" t="s">
        <v>227</v>
      </c>
    </row>
    <row r="17" spans="1:8" ht="15" customHeight="1" x14ac:dyDescent="0.15">
      <c r="A17">
        <v>16</v>
      </c>
      <c r="B17" s="138" t="s">
        <v>208</v>
      </c>
      <c r="C17" s="162">
        <v>1</v>
      </c>
      <c r="D17" s="103">
        <v>0</v>
      </c>
      <c r="E17" s="162">
        <v>0</v>
      </c>
      <c r="F17" s="102">
        <f t="shared" si="0"/>
        <v>1</v>
      </c>
      <c r="G17"/>
      <c r="H17" s="59" t="s">
        <v>227</v>
      </c>
    </row>
    <row r="18" spans="1:8" ht="15" customHeight="1" x14ac:dyDescent="0.15">
      <c r="A18">
        <v>17</v>
      </c>
      <c r="B18" s="138" t="s">
        <v>209</v>
      </c>
      <c r="C18" s="162">
        <v>1</v>
      </c>
      <c r="D18" s="103">
        <v>0</v>
      </c>
      <c r="E18" s="162">
        <v>0</v>
      </c>
      <c r="F18" s="102">
        <f t="shared" si="0"/>
        <v>1</v>
      </c>
      <c r="G18"/>
      <c r="H18" s="59" t="s">
        <v>227</v>
      </c>
    </row>
    <row r="19" spans="1:8" ht="15" customHeight="1" x14ac:dyDescent="0.15">
      <c r="A19">
        <v>18</v>
      </c>
      <c r="B19" s="138" t="s">
        <v>210</v>
      </c>
      <c r="C19" s="162">
        <v>1</v>
      </c>
      <c r="D19" s="103">
        <v>0</v>
      </c>
      <c r="E19" s="162">
        <v>0</v>
      </c>
      <c r="F19" s="102">
        <f t="shared" si="0"/>
        <v>1</v>
      </c>
      <c r="G19"/>
      <c r="H19" s="59" t="s">
        <v>227</v>
      </c>
    </row>
    <row r="20" spans="1:8" ht="15" customHeight="1" x14ac:dyDescent="0.15">
      <c r="A20">
        <v>19</v>
      </c>
      <c r="B20" s="138" t="s">
        <v>234</v>
      </c>
      <c r="C20" s="162">
        <v>1</v>
      </c>
      <c r="D20" s="103">
        <v>0</v>
      </c>
      <c r="E20" s="162">
        <v>0</v>
      </c>
      <c r="F20" s="102">
        <f t="shared" si="0"/>
        <v>1</v>
      </c>
      <c r="G20"/>
      <c r="H20" s="59" t="s">
        <v>227</v>
      </c>
    </row>
    <row r="21" spans="1:8" ht="15" customHeight="1" x14ac:dyDescent="0.15">
      <c r="A21">
        <v>20</v>
      </c>
      <c r="B21" s="138" t="s">
        <v>211</v>
      </c>
      <c r="C21" s="162">
        <v>1</v>
      </c>
      <c r="D21" s="103">
        <v>0</v>
      </c>
      <c r="E21" s="162">
        <v>0</v>
      </c>
      <c r="F21" s="102">
        <f t="shared" si="0"/>
        <v>1</v>
      </c>
      <c r="G21"/>
      <c r="H21" s="59" t="s">
        <v>227</v>
      </c>
    </row>
    <row r="22" spans="1:8" ht="15" customHeight="1" x14ac:dyDescent="0.15">
      <c r="A22">
        <v>21</v>
      </c>
      <c r="B22" s="138" t="s">
        <v>212</v>
      </c>
      <c r="C22" s="162">
        <v>1</v>
      </c>
      <c r="D22" s="103">
        <v>0</v>
      </c>
      <c r="E22" s="162">
        <v>0</v>
      </c>
      <c r="F22" s="102">
        <f t="shared" si="0"/>
        <v>1</v>
      </c>
      <c r="G22"/>
      <c r="H22" s="59" t="s">
        <v>227</v>
      </c>
    </row>
    <row r="23" spans="1:8" ht="15" customHeight="1" x14ac:dyDescent="0.15">
      <c r="A23">
        <v>22</v>
      </c>
      <c r="B23" s="138" t="s">
        <v>213</v>
      </c>
      <c r="C23" s="162">
        <v>1</v>
      </c>
      <c r="D23" s="103">
        <v>0</v>
      </c>
      <c r="E23" s="162">
        <v>0</v>
      </c>
      <c r="F23" s="102">
        <f t="shared" si="0"/>
        <v>1</v>
      </c>
      <c r="G23"/>
      <c r="H23" s="59" t="s">
        <v>227</v>
      </c>
    </row>
    <row r="24" spans="1:8" ht="15" customHeight="1" x14ac:dyDescent="0.15">
      <c r="A24">
        <v>23</v>
      </c>
      <c r="B24" s="138" t="s">
        <v>214</v>
      </c>
      <c r="C24" s="162">
        <v>1</v>
      </c>
      <c r="D24" s="103">
        <v>0</v>
      </c>
      <c r="E24" s="162">
        <v>0</v>
      </c>
      <c r="F24" s="102">
        <f t="shared" si="0"/>
        <v>1</v>
      </c>
      <c r="G24"/>
      <c r="H24" s="59" t="s">
        <v>227</v>
      </c>
    </row>
    <row r="25" spans="1:8" ht="15" customHeight="1" x14ac:dyDescent="0.15">
      <c r="A25">
        <v>24</v>
      </c>
      <c r="B25" s="138" t="s">
        <v>215</v>
      </c>
      <c r="C25" s="162">
        <v>1</v>
      </c>
      <c r="D25" s="103">
        <v>0</v>
      </c>
      <c r="E25" s="162">
        <v>0</v>
      </c>
      <c r="F25" s="102">
        <f t="shared" si="0"/>
        <v>1</v>
      </c>
      <c r="G25"/>
      <c r="H25" s="59" t="s">
        <v>227</v>
      </c>
    </row>
    <row r="26" spans="1:8" ht="15" customHeight="1" x14ac:dyDescent="0.15">
      <c r="A26">
        <v>25</v>
      </c>
      <c r="B26" s="138" t="s">
        <v>216</v>
      </c>
      <c r="C26" s="162">
        <v>1</v>
      </c>
      <c r="D26" s="103">
        <v>0</v>
      </c>
      <c r="E26" s="162">
        <v>0</v>
      </c>
      <c r="F26" s="102">
        <f t="shared" si="0"/>
        <v>1</v>
      </c>
      <c r="G26"/>
      <c r="H26" s="59" t="s">
        <v>227</v>
      </c>
    </row>
    <row r="27" spans="1:8" ht="15" customHeight="1" x14ac:dyDescent="0.15">
      <c r="A27">
        <v>26</v>
      </c>
      <c r="B27" s="138" t="s">
        <v>217</v>
      </c>
      <c r="C27" s="162">
        <v>1</v>
      </c>
      <c r="D27" s="103">
        <v>0</v>
      </c>
      <c r="E27" s="162">
        <v>0</v>
      </c>
      <c r="F27" s="102">
        <f t="shared" si="0"/>
        <v>1</v>
      </c>
      <c r="G27"/>
      <c r="H27" s="59" t="s">
        <v>227</v>
      </c>
    </row>
    <row r="28" spans="1:8" ht="15" customHeight="1" x14ac:dyDescent="0.15">
      <c r="A28">
        <v>27</v>
      </c>
      <c r="B28" s="138" t="s">
        <v>218</v>
      </c>
      <c r="C28" s="162">
        <v>1</v>
      </c>
      <c r="D28" s="103">
        <v>0</v>
      </c>
      <c r="E28" s="162">
        <v>0</v>
      </c>
      <c r="F28" s="102">
        <f t="shared" si="0"/>
        <v>1</v>
      </c>
      <c r="G28"/>
      <c r="H28" s="59" t="s">
        <v>227</v>
      </c>
    </row>
    <row r="29" spans="1:8" ht="15" customHeight="1" x14ac:dyDescent="0.15">
      <c r="A29">
        <v>28</v>
      </c>
      <c r="B29" s="138" t="s">
        <v>219</v>
      </c>
      <c r="C29" s="103">
        <v>0</v>
      </c>
      <c r="D29" s="103">
        <v>1</v>
      </c>
      <c r="E29" s="102">
        <v>0</v>
      </c>
      <c r="F29" s="102">
        <f t="shared" si="0"/>
        <v>1</v>
      </c>
      <c r="G29"/>
      <c r="H29"/>
    </row>
    <row r="30" spans="1:8" ht="15" customHeight="1" x14ac:dyDescent="0.15">
      <c r="A30">
        <v>29</v>
      </c>
      <c r="B30" s="138" t="s">
        <v>220</v>
      </c>
      <c r="C30" s="103">
        <v>0</v>
      </c>
      <c r="D30" s="103">
        <v>0</v>
      </c>
      <c r="E30" s="102">
        <v>1</v>
      </c>
      <c r="F30" s="102">
        <f t="shared" si="0"/>
        <v>1</v>
      </c>
      <c r="G30"/>
      <c r="H30"/>
    </row>
    <row r="31" spans="1:8" ht="15" customHeight="1" x14ac:dyDescent="0.15">
      <c r="A31">
        <v>30</v>
      </c>
      <c r="B31" s="159" t="s">
        <v>225</v>
      </c>
      <c r="C31" s="163">
        <v>1</v>
      </c>
      <c r="D31" s="164">
        <v>0</v>
      </c>
      <c r="E31" s="163">
        <v>0</v>
      </c>
      <c r="F31" s="102">
        <f t="shared" si="0"/>
        <v>1</v>
      </c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3"/>
      <c r="F36" s="103"/>
      <c r="G36"/>
      <c r="H36"/>
    </row>
    <row r="37" spans="3:8" ht="15" customHeight="1" x14ac:dyDescent="0.15">
      <c r="C37"/>
      <c r="D37"/>
      <c r="E37" s="103"/>
      <c r="F37" s="103"/>
      <c r="G37"/>
      <c r="H37"/>
    </row>
    <row r="38" spans="3:8" ht="15" customHeight="1" x14ac:dyDescent="0.15">
      <c r="C38"/>
      <c r="D38"/>
      <c r="E38" s="103"/>
      <c r="F38" s="103"/>
      <c r="G38"/>
      <c r="H38"/>
    </row>
    <row r="39" spans="3:8" ht="15" customHeight="1" x14ac:dyDescent="0.15">
      <c r="C39"/>
      <c r="D39"/>
      <c r="E39" s="103"/>
      <c r="F39" s="103"/>
      <c r="G39"/>
      <c r="H39"/>
    </row>
    <row r="40" spans="3:8" ht="15" customHeight="1" x14ac:dyDescent="0.15">
      <c r="C40"/>
      <c r="D40"/>
      <c r="E40" s="103"/>
      <c r="F40" s="103"/>
      <c r="G40"/>
      <c r="H40"/>
    </row>
    <row r="41" spans="3:8" ht="15" customHeight="1" x14ac:dyDescent="0.15">
      <c r="C41"/>
      <c r="D41"/>
      <c r="E41" s="103"/>
      <c r="F41" s="103"/>
      <c r="G41"/>
      <c r="H41"/>
    </row>
    <row r="42" spans="3:8" ht="15" customHeight="1" x14ac:dyDescent="0.15">
      <c r="C42"/>
      <c r="D42"/>
      <c r="E42" s="103"/>
      <c r="F42" s="103"/>
      <c r="G42"/>
      <c r="H42"/>
    </row>
    <row r="43" spans="3:8" ht="15" customHeight="1" x14ac:dyDescent="0.15">
      <c r="C43"/>
      <c r="D43"/>
      <c r="E43" s="103"/>
      <c r="F43" s="10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3"/>
      <c r="F46" s="10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20" sqref="B20"/>
    </sheetView>
  </sheetViews>
  <sheetFormatPr baseColWidth="10" defaultColWidth="8.83203125" defaultRowHeight="13" x14ac:dyDescent="0.15"/>
  <cols>
    <col min="1" max="1" width="3.33203125" customWidth="1"/>
    <col min="2" max="2" width="23.6640625" bestFit="1" customWidth="1"/>
    <col min="3" max="4" width="2.33203125" bestFit="1" customWidth="1"/>
    <col min="5" max="5" width="12.1640625" bestFit="1" customWidth="1"/>
  </cols>
  <sheetData>
    <row r="1" spans="1:5" s="104" customFormat="1" ht="112" x14ac:dyDescent="0.15">
      <c r="A1" s="5" t="s">
        <v>21</v>
      </c>
      <c r="B1" s="3" t="s">
        <v>0</v>
      </c>
      <c r="C1" s="159" t="s">
        <v>225</v>
      </c>
      <c r="D1" s="141" t="s">
        <v>224</v>
      </c>
      <c r="E1"/>
    </row>
    <row r="2" spans="1:5" ht="15" customHeight="1" x14ac:dyDescent="0.15">
      <c r="A2">
        <v>1</v>
      </c>
      <c r="B2" s="140" t="s">
        <v>193</v>
      </c>
      <c r="C2">
        <v>0</v>
      </c>
      <c r="D2">
        <v>0</v>
      </c>
    </row>
    <row r="3" spans="1:5" ht="15" customHeight="1" x14ac:dyDescent="0.15">
      <c r="A3">
        <v>2</v>
      </c>
      <c r="B3" s="140" t="s">
        <v>194</v>
      </c>
      <c r="C3">
        <v>0</v>
      </c>
      <c r="D3">
        <v>0</v>
      </c>
    </row>
    <row r="4" spans="1:5" ht="15" customHeight="1" x14ac:dyDescent="0.15">
      <c r="A4">
        <v>3</v>
      </c>
      <c r="B4" s="140" t="s">
        <v>195</v>
      </c>
      <c r="C4">
        <v>0</v>
      </c>
      <c r="D4">
        <v>0</v>
      </c>
    </row>
    <row r="5" spans="1:5" ht="15" customHeight="1" x14ac:dyDescent="0.15">
      <c r="A5">
        <v>4</v>
      </c>
      <c r="B5" s="140" t="s">
        <v>196</v>
      </c>
      <c r="C5">
        <v>0</v>
      </c>
      <c r="D5">
        <v>0</v>
      </c>
    </row>
    <row r="6" spans="1:5" ht="15" customHeight="1" x14ac:dyDescent="0.15">
      <c r="A6">
        <v>5</v>
      </c>
      <c r="B6" s="140" t="s">
        <v>197</v>
      </c>
      <c r="C6">
        <v>0</v>
      </c>
      <c r="D6">
        <v>0</v>
      </c>
    </row>
    <row r="7" spans="1:5" ht="15" customHeight="1" x14ac:dyDescent="0.15">
      <c r="A7">
        <v>6</v>
      </c>
      <c r="B7" s="140" t="s">
        <v>198</v>
      </c>
      <c r="C7">
        <v>0</v>
      </c>
      <c r="D7">
        <v>0</v>
      </c>
    </row>
    <row r="8" spans="1:5" ht="15" customHeight="1" x14ac:dyDescent="0.15">
      <c r="A8">
        <v>7</v>
      </c>
      <c r="B8" s="140" t="s">
        <v>199</v>
      </c>
      <c r="C8">
        <v>0</v>
      </c>
      <c r="D8">
        <v>0</v>
      </c>
    </row>
    <row r="9" spans="1:5" ht="15" customHeight="1" x14ac:dyDescent="0.15">
      <c r="A9">
        <v>8</v>
      </c>
      <c r="B9" s="140" t="s">
        <v>200</v>
      </c>
      <c r="C9">
        <v>0</v>
      </c>
      <c r="D9">
        <v>0</v>
      </c>
    </row>
    <row r="10" spans="1:5" ht="15" customHeight="1" x14ac:dyDescent="0.15">
      <c r="A10">
        <v>9</v>
      </c>
      <c r="B10" s="140" t="s">
        <v>201</v>
      </c>
      <c r="C10">
        <v>0</v>
      </c>
      <c r="D10">
        <v>0</v>
      </c>
    </row>
    <row r="11" spans="1:5" ht="15" customHeight="1" x14ac:dyDescent="0.15">
      <c r="A11">
        <v>10</v>
      </c>
      <c r="B11" s="140" t="s">
        <v>202</v>
      </c>
      <c r="C11">
        <v>0</v>
      </c>
      <c r="D11">
        <v>0</v>
      </c>
    </row>
    <row r="12" spans="1:5" ht="15" customHeight="1" x14ac:dyDescent="0.15">
      <c r="A12">
        <v>11</v>
      </c>
      <c r="B12" s="140" t="s">
        <v>203</v>
      </c>
      <c r="C12">
        <v>0</v>
      </c>
      <c r="D12">
        <v>0</v>
      </c>
    </row>
    <row r="13" spans="1:5" ht="15" customHeight="1" x14ac:dyDescent="0.15">
      <c r="A13">
        <v>12</v>
      </c>
      <c r="B13" s="140" t="s">
        <v>204</v>
      </c>
      <c r="C13">
        <v>0</v>
      </c>
      <c r="D13">
        <v>0</v>
      </c>
    </row>
    <row r="14" spans="1:5" ht="15" customHeight="1" x14ac:dyDescent="0.15">
      <c r="A14">
        <v>13</v>
      </c>
      <c r="B14" s="140" t="s">
        <v>205</v>
      </c>
      <c r="C14">
        <v>0</v>
      </c>
      <c r="D14">
        <v>0</v>
      </c>
    </row>
    <row r="15" spans="1:5" ht="15" customHeight="1" x14ac:dyDescent="0.15">
      <c r="A15">
        <v>14</v>
      </c>
      <c r="B15" s="140" t="s">
        <v>206</v>
      </c>
      <c r="C15">
        <v>0</v>
      </c>
      <c r="D15">
        <v>0</v>
      </c>
    </row>
    <row r="16" spans="1:5" ht="15" customHeight="1" x14ac:dyDescent="0.15">
      <c r="A16">
        <v>15</v>
      </c>
      <c r="B16" s="140" t="s">
        <v>207</v>
      </c>
      <c r="C16">
        <v>0</v>
      </c>
      <c r="D16">
        <v>0</v>
      </c>
    </row>
    <row r="17" spans="1:4" ht="15" customHeight="1" x14ac:dyDescent="0.15">
      <c r="A17">
        <v>16</v>
      </c>
      <c r="B17" s="140" t="s">
        <v>208</v>
      </c>
      <c r="C17">
        <v>0</v>
      </c>
      <c r="D17">
        <v>0</v>
      </c>
    </row>
    <row r="18" spans="1:4" ht="15" customHeight="1" x14ac:dyDescent="0.15">
      <c r="A18">
        <v>17</v>
      </c>
      <c r="B18" s="140" t="s">
        <v>209</v>
      </c>
      <c r="C18">
        <v>0</v>
      </c>
      <c r="D18">
        <v>0</v>
      </c>
    </row>
    <row r="19" spans="1:4" ht="15" customHeight="1" x14ac:dyDescent="0.15">
      <c r="A19">
        <v>18</v>
      </c>
      <c r="B19" s="140" t="s">
        <v>210</v>
      </c>
      <c r="C19">
        <v>0</v>
      </c>
      <c r="D19">
        <v>0</v>
      </c>
    </row>
    <row r="20" spans="1:4" ht="15" customHeight="1" x14ac:dyDescent="0.15">
      <c r="A20">
        <v>19</v>
      </c>
      <c r="B20" s="140" t="s">
        <v>234</v>
      </c>
      <c r="C20">
        <v>0</v>
      </c>
      <c r="D20">
        <v>0</v>
      </c>
    </row>
    <row r="21" spans="1:4" ht="15" customHeight="1" x14ac:dyDescent="0.15">
      <c r="A21">
        <v>20</v>
      </c>
      <c r="B21" s="140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40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40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40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40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40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40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40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40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40" t="s">
        <v>220</v>
      </c>
      <c r="C30">
        <v>0</v>
      </c>
      <c r="D30">
        <v>0</v>
      </c>
    </row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20" sqref="B20"/>
    </sheetView>
  </sheetViews>
  <sheetFormatPr baseColWidth="10" defaultColWidth="8.83203125" defaultRowHeight="13" x14ac:dyDescent="0.15"/>
  <cols>
    <col min="1" max="1" width="3.33203125" customWidth="1"/>
    <col min="2" max="2" width="23.6640625" bestFit="1" customWidth="1"/>
    <col min="3" max="4" width="2.33203125" bestFit="1" customWidth="1"/>
    <col min="5" max="5" width="12.1640625" bestFit="1" customWidth="1"/>
  </cols>
  <sheetData>
    <row r="1" spans="1:4" s="104" customFormat="1" ht="112" x14ac:dyDescent="0.15">
      <c r="A1" s="5" t="s">
        <v>22</v>
      </c>
      <c r="B1" s="3" t="s">
        <v>0</v>
      </c>
      <c r="C1" s="159" t="s">
        <v>225</v>
      </c>
      <c r="D1" s="143" t="s">
        <v>224</v>
      </c>
    </row>
    <row r="2" spans="1:4" x14ac:dyDescent="0.15">
      <c r="A2">
        <v>1</v>
      </c>
      <c r="B2" s="142" t="s">
        <v>193</v>
      </c>
      <c r="C2">
        <v>0</v>
      </c>
      <c r="D2">
        <v>0</v>
      </c>
    </row>
    <row r="3" spans="1:4" x14ac:dyDescent="0.15">
      <c r="A3">
        <v>2</v>
      </c>
      <c r="B3" s="142" t="s">
        <v>194</v>
      </c>
      <c r="C3">
        <v>0</v>
      </c>
      <c r="D3">
        <v>0</v>
      </c>
    </row>
    <row r="4" spans="1:4" x14ac:dyDescent="0.15">
      <c r="A4">
        <v>3</v>
      </c>
      <c r="B4" s="142" t="s">
        <v>195</v>
      </c>
      <c r="C4">
        <v>0</v>
      </c>
      <c r="D4">
        <v>0</v>
      </c>
    </row>
    <row r="5" spans="1:4" x14ac:dyDescent="0.15">
      <c r="A5">
        <v>4</v>
      </c>
      <c r="B5" s="142" t="s">
        <v>196</v>
      </c>
      <c r="C5">
        <v>0</v>
      </c>
      <c r="D5">
        <v>0</v>
      </c>
    </row>
    <row r="6" spans="1:4" x14ac:dyDescent="0.15">
      <c r="A6">
        <v>5</v>
      </c>
      <c r="B6" s="142" t="s">
        <v>197</v>
      </c>
      <c r="C6">
        <v>0</v>
      </c>
      <c r="D6">
        <v>0</v>
      </c>
    </row>
    <row r="7" spans="1:4" x14ac:dyDescent="0.15">
      <c r="A7">
        <v>6</v>
      </c>
      <c r="B7" s="142" t="s">
        <v>198</v>
      </c>
      <c r="C7">
        <v>0</v>
      </c>
      <c r="D7">
        <v>0</v>
      </c>
    </row>
    <row r="8" spans="1:4" x14ac:dyDescent="0.15">
      <c r="A8">
        <v>7</v>
      </c>
      <c r="B8" s="142" t="s">
        <v>199</v>
      </c>
      <c r="C8">
        <v>0</v>
      </c>
      <c r="D8">
        <v>0</v>
      </c>
    </row>
    <row r="9" spans="1:4" x14ac:dyDescent="0.15">
      <c r="A9">
        <v>8</v>
      </c>
      <c r="B9" s="142" t="s">
        <v>200</v>
      </c>
      <c r="C9">
        <v>0</v>
      </c>
      <c r="D9">
        <v>0</v>
      </c>
    </row>
    <row r="10" spans="1:4" x14ac:dyDescent="0.15">
      <c r="A10">
        <v>9</v>
      </c>
      <c r="B10" s="142" t="s">
        <v>201</v>
      </c>
      <c r="C10">
        <v>0</v>
      </c>
      <c r="D10">
        <v>0</v>
      </c>
    </row>
    <row r="11" spans="1:4" x14ac:dyDescent="0.15">
      <c r="A11">
        <v>10</v>
      </c>
      <c r="B11" s="142" t="s">
        <v>202</v>
      </c>
      <c r="C11">
        <v>0</v>
      </c>
      <c r="D11">
        <v>0</v>
      </c>
    </row>
    <row r="12" spans="1:4" x14ac:dyDescent="0.15">
      <c r="A12">
        <v>11</v>
      </c>
      <c r="B12" s="142" t="s">
        <v>203</v>
      </c>
      <c r="C12">
        <v>0</v>
      </c>
      <c r="D12">
        <v>0</v>
      </c>
    </row>
    <row r="13" spans="1:4" x14ac:dyDescent="0.15">
      <c r="A13">
        <v>12</v>
      </c>
      <c r="B13" s="142" t="s">
        <v>204</v>
      </c>
      <c r="C13">
        <v>0</v>
      </c>
      <c r="D13">
        <v>0</v>
      </c>
    </row>
    <row r="14" spans="1:4" x14ac:dyDescent="0.15">
      <c r="A14">
        <v>13</v>
      </c>
      <c r="B14" s="142" t="s">
        <v>205</v>
      </c>
      <c r="C14">
        <v>0</v>
      </c>
      <c r="D14">
        <v>0</v>
      </c>
    </row>
    <row r="15" spans="1:4" x14ac:dyDescent="0.15">
      <c r="A15">
        <v>14</v>
      </c>
      <c r="B15" s="142" t="s">
        <v>206</v>
      </c>
      <c r="C15">
        <v>0</v>
      </c>
      <c r="D15">
        <v>0</v>
      </c>
    </row>
    <row r="16" spans="1:4" x14ac:dyDescent="0.15">
      <c r="A16">
        <v>15</v>
      </c>
      <c r="B16" s="142" t="s">
        <v>207</v>
      </c>
      <c r="C16">
        <v>0</v>
      </c>
      <c r="D16">
        <v>0</v>
      </c>
    </row>
    <row r="17" spans="1:4" x14ac:dyDescent="0.15">
      <c r="A17">
        <v>16</v>
      </c>
      <c r="B17" s="142" t="s">
        <v>208</v>
      </c>
      <c r="C17">
        <v>0</v>
      </c>
      <c r="D17">
        <v>0</v>
      </c>
    </row>
    <row r="18" spans="1:4" x14ac:dyDescent="0.15">
      <c r="A18">
        <v>17</v>
      </c>
      <c r="B18" s="142" t="s">
        <v>209</v>
      </c>
      <c r="C18">
        <v>0</v>
      </c>
      <c r="D18">
        <v>0</v>
      </c>
    </row>
    <row r="19" spans="1:4" x14ac:dyDescent="0.15">
      <c r="A19">
        <v>18</v>
      </c>
      <c r="B19" s="142" t="s">
        <v>210</v>
      </c>
      <c r="C19">
        <v>0</v>
      </c>
      <c r="D19">
        <v>0</v>
      </c>
    </row>
    <row r="20" spans="1:4" x14ac:dyDescent="0.15">
      <c r="A20">
        <v>19</v>
      </c>
      <c r="B20" s="142" t="s">
        <v>234</v>
      </c>
      <c r="C20">
        <v>0</v>
      </c>
      <c r="D20">
        <v>0</v>
      </c>
    </row>
    <row r="21" spans="1:4" x14ac:dyDescent="0.15">
      <c r="A21">
        <v>20</v>
      </c>
      <c r="B21" s="142" t="s">
        <v>211</v>
      </c>
      <c r="C21">
        <v>0</v>
      </c>
      <c r="D21">
        <v>0</v>
      </c>
    </row>
    <row r="22" spans="1:4" x14ac:dyDescent="0.15">
      <c r="A22">
        <v>21</v>
      </c>
      <c r="B22" s="142" t="s">
        <v>212</v>
      </c>
      <c r="C22">
        <v>0</v>
      </c>
      <c r="D22">
        <v>0</v>
      </c>
    </row>
    <row r="23" spans="1:4" x14ac:dyDescent="0.15">
      <c r="A23">
        <v>22</v>
      </c>
      <c r="B23" s="142" t="s">
        <v>213</v>
      </c>
      <c r="C23">
        <v>0</v>
      </c>
      <c r="D23">
        <v>0</v>
      </c>
    </row>
    <row r="24" spans="1:4" x14ac:dyDescent="0.15">
      <c r="A24">
        <v>23</v>
      </c>
      <c r="B24" s="142" t="s">
        <v>214</v>
      </c>
      <c r="C24">
        <v>0</v>
      </c>
      <c r="D24">
        <v>0</v>
      </c>
    </row>
    <row r="25" spans="1:4" x14ac:dyDescent="0.15">
      <c r="A25">
        <v>24</v>
      </c>
      <c r="B25" s="142" t="s">
        <v>215</v>
      </c>
      <c r="C25">
        <v>0</v>
      </c>
      <c r="D25">
        <v>0</v>
      </c>
    </row>
    <row r="26" spans="1:4" x14ac:dyDescent="0.15">
      <c r="A26">
        <v>25</v>
      </c>
      <c r="B26" s="142" t="s">
        <v>216</v>
      </c>
      <c r="C26">
        <v>0</v>
      </c>
      <c r="D26">
        <v>0</v>
      </c>
    </row>
    <row r="27" spans="1:4" x14ac:dyDescent="0.15">
      <c r="A27">
        <v>26</v>
      </c>
      <c r="B27" s="142" t="s">
        <v>217</v>
      </c>
      <c r="C27">
        <v>0</v>
      </c>
      <c r="D27">
        <v>0</v>
      </c>
    </row>
    <row r="28" spans="1:4" x14ac:dyDescent="0.15">
      <c r="A28">
        <v>27</v>
      </c>
      <c r="B28" s="142" t="s">
        <v>218</v>
      </c>
      <c r="C28">
        <v>0</v>
      </c>
      <c r="D28">
        <v>0</v>
      </c>
    </row>
    <row r="29" spans="1:4" x14ac:dyDescent="0.15">
      <c r="A29">
        <v>28</v>
      </c>
      <c r="B29" s="142" t="s">
        <v>219</v>
      </c>
      <c r="C29">
        <v>0</v>
      </c>
      <c r="D29">
        <v>0</v>
      </c>
    </row>
    <row r="30" spans="1:4" x14ac:dyDescent="0.15">
      <c r="A30">
        <v>29</v>
      </c>
      <c r="B30" s="142" t="s">
        <v>220</v>
      </c>
      <c r="C30">
        <v>0</v>
      </c>
      <c r="D3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E20" sqref="E20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3.6640625" bestFit="1" customWidth="1"/>
    <col min="6" max="6" width="4.83203125" bestFit="1" customWidth="1"/>
    <col min="7" max="9" width="3.83203125" bestFit="1" customWidth="1"/>
    <col min="10" max="11" width="4.83203125" style="10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5" customFormat="1" ht="14" thickBot="1" x14ac:dyDescent="0.2">
      <c r="D1" s="106" t="s">
        <v>8</v>
      </c>
      <c r="E1" s="106" t="s">
        <v>0</v>
      </c>
      <c r="F1" s="107" t="s">
        <v>99</v>
      </c>
      <c r="G1" s="108" t="s">
        <v>84</v>
      </c>
      <c r="H1" s="108" t="s">
        <v>85</v>
      </c>
      <c r="I1" s="108" t="s">
        <v>86</v>
      </c>
      <c r="J1" s="108" t="s">
        <v>87</v>
      </c>
      <c r="K1" s="108" t="s">
        <v>88</v>
      </c>
      <c r="L1" s="109" t="s">
        <v>89</v>
      </c>
      <c r="M1" s="109" t="s">
        <v>93</v>
      </c>
      <c r="N1" s="109" t="s">
        <v>92</v>
      </c>
      <c r="O1" s="109" t="s">
        <v>90</v>
      </c>
      <c r="P1" s="109" t="s">
        <v>91</v>
      </c>
      <c r="Q1" s="110" t="s">
        <v>94</v>
      </c>
      <c r="R1" s="110" t="s">
        <v>95</v>
      </c>
      <c r="S1" s="110" t="s">
        <v>96</v>
      </c>
      <c r="T1" s="110" t="s">
        <v>97</v>
      </c>
      <c r="U1" s="110" t="s">
        <v>98</v>
      </c>
      <c r="V1" s="108" t="s">
        <v>100</v>
      </c>
      <c r="W1" s="108" t="s">
        <v>101</v>
      </c>
      <c r="X1" s="108" t="s">
        <v>102</v>
      </c>
      <c r="Y1" s="108" t="s">
        <v>134</v>
      </c>
      <c r="Z1" s="109" t="s">
        <v>103</v>
      </c>
      <c r="AA1" s="109" t="s">
        <v>104</v>
      </c>
      <c r="AB1" s="109" t="s">
        <v>105</v>
      </c>
      <c r="AC1" s="111" t="s">
        <v>135</v>
      </c>
      <c r="AD1" s="110" t="s">
        <v>106</v>
      </c>
      <c r="AE1" s="110" t="s">
        <v>107</v>
      </c>
      <c r="AF1" s="110" t="s">
        <v>108</v>
      </c>
      <c r="AG1" s="110" t="s">
        <v>136</v>
      </c>
      <c r="AH1" s="108" t="s">
        <v>109</v>
      </c>
      <c r="AI1" s="108" t="s">
        <v>111</v>
      </c>
      <c r="AJ1" s="108" t="s">
        <v>110</v>
      </c>
      <c r="AK1" s="109" t="s">
        <v>115</v>
      </c>
      <c r="AL1" s="109" t="s">
        <v>116</v>
      </c>
      <c r="AM1" s="109" t="s">
        <v>117</v>
      </c>
      <c r="AN1" s="110" t="s">
        <v>112</v>
      </c>
      <c r="AO1" s="110" t="s">
        <v>113</v>
      </c>
      <c r="AP1" s="110" t="s">
        <v>114</v>
      </c>
    </row>
    <row r="2" spans="1:42" x14ac:dyDescent="0.15">
      <c r="A2" s="112" t="s">
        <v>74</v>
      </c>
      <c r="B2" s="113">
        <v>1</v>
      </c>
      <c r="D2">
        <v>1</v>
      </c>
      <c r="E2" s="144" t="s">
        <v>193</v>
      </c>
      <c r="F2">
        <v>0.98</v>
      </c>
      <c r="G2">
        <v>0.8</v>
      </c>
      <c r="H2">
        <v>0.8</v>
      </c>
      <c r="I2">
        <v>0.8</v>
      </c>
      <c r="J2" s="103">
        <v>0.25</v>
      </c>
      <c r="K2" s="103">
        <v>0.05</v>
      </c>
    </row>
    <row r="3" spans="1:42" x14ac:dyDescent="0.15">
      <c r="A3" s="112" t="s">
        <v>75</v>
      </c>
      <c r="B3" s="114">
        <v>1</v>
      </c>
      <c r="D3">
        <v>2</v>
      </c>
      <c r="E3" s="144" t="s">
        <v>194</v>
      </c>
      <c r="F3">
        <v>0.98</v>
      </c>
      <c r="G3">
        <v>0.8</v>
      </c>
      <c r="H3">
        <v>0.8</v>
      </c>
      <c r="I3">
        <v>0.8</v>
      </c>
      <c r="J3" s="103">
        <v>0.25</v>
      </c>
      <c r="K3" s="103">
        <v>0.05</v>
      </c>
    </row>
    <row r="4" spans="1:42" x14ac:dyDescent="0.15">
      <c r="A4" s="112" t="s">
        <v>76</v>
      </c>
      <c r="B4" s="114">
        <v>1</v>
      </c>
      <c r="D4">
        <v>3</v>
      </c>
      <c r="E4" s="144" t="s">
        <v>195</v>
      </c>
      <c r="F4">
        <v>0.98</v>
      </c>
      <c r="G4">
        <v>0.8</v>
      </c>
      <c r="H4">
        <v>0.8</v>
      </c>
      <c r="I4">
        <v>0.8</v>
      </c>
      <c r="J4" s="103">
        <v>0.25</v>
      </c>
      <c r="K4" s="103">
        <v>0.05</v>
      </c>
    </row>
    <row r="5" spans="1:42" x14ac:dyDescent="0.15">
      <c r="A5" s="112" t="s">
        <v>77</v>
      </c>
      <c r="B5" s="114">
        <v>1</v>
      </c>
      <c r="D5">
        <v>4</v>
      </c>
      <c r="E5" s="144" t="s">
        <v>196</v>
      </c>
      <c r="F5">
        <v>0.98</v>
      </c>
      <c r="G5">
        <v>0.8</v>
      </c>
      <c r="H5">
        <v>0.8</v>
      </c>
      <c r="I5">
        <v>0.8</v>
      </c>
      <c r="J5" s="103">
        <v>0.25</v>
      </c>
      <c r="K5" s="103">
        <v>0.05</v>
      </c>
    </row>
    <row r="6" spans="1:42" x14ac:dyDescent="0.15">
      <c r="A6" s="112" t="s">
        <v>78</v>
      </c>
      <c r="B6" s="114">
        <v>1</v>
      </c>
      <c r="D6">
        <v>5</v>
      </c>
      <c r="E6" s="144" t="s">
        <v>197</v>
      </c>
      <c r="F6">
        <v>0.98</v>
      </c>
      <c r="G6">
        <v>0.8</v>
      </c>
      <c r="H6">
        <v>0.8</v>
      </c>
      <c r="I6">
        <v>0.8</v>
      </c>
      <c r="J6" s="103">
        <v>0.25</v>
      </c>
      <c r="K6" s="103">
        <v>0.05</v>
      </c>
    </row>
    <row r="7" spans="1:42" x14ac:dyDescent="0.15">
      <c r="A7" s="112" t="s">
        <v>79</v>
      </c>
      <c r="B7" s="114">
        <v>1</v>
      </c>
      <c r="D7">
        <v>6</v>
      </c>
      <c r="E7" s="144" t="s">
        <v>198</v>
      </c>
      <c r="F7">
        <v>0.98</v>
      </c>
      <c r="G7">
        <v>0.8</v>
      </c>
      <c r="H7">
        <v>0.8</v>
      </c>
      <c r="I7">
        <v>0.8</v>
      </c>
      <c r="J7" s="103">
        <v>0.25</v>
      </c>
      <c r="K7" s="103">
        <v>0.05</v>
      </c>
    </row>
    <row r="8" spans="1:42" x14ac:dyDescent="0.15">
      <c r="A8" s="112" t="s">
        <v>80</v>
      </c>
      <c r="B8" s="114">
        <v>1</v>
      </c>
      <c r="D8">
        <v>7</v>
      </c>
      <c r="E8" s="144" t="s">
        <v>199</v>
      </c>
      <c r="F8">
        <v>0.98</v>
      </c>
      <c r="G8">
        <v>0.8</v>
      </c>
      <c r="H8">
        <v>0.8</v>
      </c>
      <c r="I8">
        <v>0.8</v>
      </c>
      <c r="J8" s="103">
        <v>0.25</v>
      </c>
      <c r="K8" s="103">
        <v>0.05</v>
      </c>
    </row>
    <row r="9" spans="1:42" x14ac:dyDescent="0.15">
      <c r="A9" s="112" t="s">
        <v>81</v>
      </c>
      <c r="B9" s="114">
        <v>0.1</v>
      </c>
      <c r="C9" s="59" t="s">
        <v>150</v>
      </c>
      <c r="D9">
        <v>8</v>
      </c>
      <c r="E9" s="144" t="s">
        <v>200</v>
      </c>
      <c r="F9">
        <v>0.98</v>
      </c>
      <c r="G9">
        <v>0.8</v>
      </c>
      <c r="H9">
        <v>0.8</v>
      </c>
      <c r="I9">
        <v>0.8</v>
      </c>
      <c r="J9" s="103">
        <v>0.25</v>
      </c>
      <c r="K9" s="103">
        <v>0.05</v>
      </c>
    </row>
    <row r="10" spans="1:42" ht="14" thickBot="1" x14ac:dyDescent="0.2">
      <c r="A10" s="112" t="s">
        <v>149</v>
      </c>
      <c r="B10" s="115">
        <f>1/3</f>
        <v>0.33333333333333331</v>
      </c>
      <c r="C10" s="59" t="s">
        <v>150</v>
      </c>
      <c r="D10">
        <v>9</v>
      </c>
      <c r="E10" s="144" t="s">
        <v>201</v>
      </c>
      <c r="F10">
        <v>0.98</v>
      </c>
      <c r="G10">
        <v>0.8</v>
      </c>
      <c r="H10">
        <v>0.8</v>
      </c>
      <c r="I10">
        <v>0.8</v>
      </c>
      <c r="J10" s="103">
        <v>0.25</v>
      </c>
      <c r="K10" s="103">
        <v>0.05</v>
      </c>
    </row>
    <row r="11" spans="1:42" x14ac:dyDescent="0.15">
      <c r="D11">
        <v>10</v>
      </c>
      <c r="E11" s="144" t="s">
        <v>202</v>
      </c>
      <c r="F11">
        <v>0.98</v>
      </c>
      <c r="G11">
        <v>0.8</v>
      </c>
      <c r="H11">
        <v>0.8</v>
      </c>
      <c r="I11">
        <v>0.8</v>
      </c>
      <c r="J11" s="103">
        <v>0.25</v>
      </c>
      <c r="K11" s="103">
        <v>0.05</v>
      </c>
    </row>
    <row r="12" spans="1:42" x14ac:dyDescent="0.15">
      <c r="D12">
        <v>11</v>
      </c>
      <c r="E12" s="144" t="s">
        <v>203</v>
      </c>
      <c r="F12">
        <v>0.98</v>
      </c>
      <c r="G12">
        <v>0.8</v>
      </c>
      <c r="H12">
        <v>0.8</v>
      </c>
      <c r="I12">
        <v>0.8</v>
      </c>
      <c r="J12" s="103">
        <v>0.25</v>
      </c>
      <c r="K12" s="103">
        <v>0.05</v>
      </c>
    </row>
    <row r="13" spans="1:42" x14ac:dyDescent="0.15">
      <c r="D13">
        <v>12</v>
      </c>
      <c r="E13" s="144" t="s">
        <v>204</v>
      </c>
      <c r="F13">
        <v>0.98</v>
      </c>
      <c r="G13">
        <v>0.8</v>
      </c>
      <c r="H13">
        <v>0.8</v>
      </c>
      <c r="I13">
        <v>0.8</v>
      </c>
      <c r="J13" s="103">
        <v>0.25</v>
      </c>
      <c r="K13" s="103">
        <v>0.05</v>
      </c>
    </row>
    <row r="14" spans="1:42" x14ac:dyDescent="0.15">
      <c r="D14">
        <v>13</v>
      </c>
      <c r="E14" s="144" t="s">
        <v>205</v>
      </c>
      <c r="F14">
        <v>0.98</v>
      </c>
      <c r="G14">
        <v>0.8</v>
      </c>
      <c r="H14">
        <v>0.8</v>
      </c>
      <c r="I14">
        <v>0.8</v>
      </c>
      <c r="J14" s="103">
        <v>0.25</v>
      </c>
      <c r="K14" s="103">
        <v>0.05</v>
      </c>
    </row>
    <row r="15" spans="1:42" x14ac:dyDescent="0.15">
      <c r="D15">
        <v>14</v>
      </c>
      <c r="E15" s="144" t="s">
        <v>206</v>
      </c>
      <c r="F15">
        <v>0.98</v>
      </c>
      <c r="G15">
        <v>0.8</v>
      </c>
      <c r="H15">
        <v>0.8</v>
      </c>
      <c r="I15">
        <v>0.8</v>
      </c>
      <c r="J15" s="103">
        <v>0.25</v>
      </c>
      <c r="K15" s="103">
        <v>0.05</v>
      </c>
    </row>
    <row r="16" spans="1:42" x14ac:dyDescent="0.15">
      <c r="D16">
        <v>15</v>
      </c>
      <c r="E16" s="144" t="s">
        <v>207</v>
      </c>
      <c r="F16">
        <v>0.98</v>
      </c>
      <c r="G16">
        <v>0.8</v>
      </c>
      <c r="H16">
        <v>0.8</v>
      </c>
      <c r="I16">
        <v>0.8</v>
      </c>
      <c r="J16" s="103">
        <v>0.25</v>
      </c>
      <c r="K16" s="103">
        <v>0.05</v>
      </c>
    </row>
    <row r="17" spans="4:33" ht="15" customHeight="1" x14ac:dyDescent="0.15">
      <c r="D17">
        <v>16</v>
      </c>
      <c r="E17" s="144" t="s">
        <v>208</v>
      </c>
      <c r="F17">
        <v>0.98</v>
      </c>
      <c r="G17">
        <v>0.8</v>
      </c>
      <c r="H17">
        <v>0.8</v>
      </c>
      <c r="I17">
        <v>0.8</v>
      </c>
      <c r="J17" s="103">
        <v>0.25</v>
      </c>
      <c r="K17" s="103">
        <v>0.05</v>
      </c>
    </row>
    <row r="18" spans="4:33" ht="15" customHeight="1" x14ac:dyDescent="0.15">
      <c r="D18">
        <v>17</v>
      </c>
      <c r="E18" s="144" t="s">
        <v>209</v>
      </c>
      <c r="F18">
        <v>0.98</v>
      </c>
      <c r="G18">
        <v>0.8</v>
      </c>
      <c r="H18">
        <v>0.8</v>
      </c>
      <c r="I18">
        <v>0.8</v>
      </c>
      <c r="J18" s="103">
        <v>0.25</v>
      </c>
      <c r="K18" s="103">
        <v>0.05</v>
      </c>
    </row>
    <row r="19" spans="4:33" ht="15" customHeight="1" x14ac:dyDescent="0.15">
      <c r="D19">
        <v>18</v>
      </c>
      <c r="E19" s="144" t="s">
        <v>210</v>
      </c>
      <c r="F19">
        <v>0.98</v>
      </c>
      <c r="G19">
        <v>0.8</v>
      </c>
      <c r="H19">
        <v>0.8</v>
      </c>
      <c r="I19">
        <v>0.8</v>
      </c>
      <c r="J19" s="103">
        <v>0.25</v>
      </c>
      <c r="K19" s="103">
        <v>0.05</v>
      </c>
    </row>
    <row r="20" spans="4:33" ht="15" customHeight="1" x14ac:dyDescent="0.15">
      <c r="D20">
        <v>19</v>
      </c>
      <c r="E20" s="144" t="s">
        <v>234</v>
      </c>
      <c r="F20">
        <v>0.98</v>
      </c>
      <c r="G20">
        <v>0.8</v>
      </c>
      <c r="H20">
        <v>0.8</v>
      </c>
      <c r="I20">
        <v>0.8</v>
      </c>
      <c r="J20" s="103">
        <v>0.25</v>
      </c>
      <c r="K20" s="103">
        <v>0.05</v>
      </c>
    </row>
    <row r="21" spans="4:33" ht="15" customHeight="1" x14ac:dyDescent="0.15">
      <c r="D21">
        <v>20</v>
      </c>
      <c r="E21" s="144" t="s">
        <v>211</v>
      </c>
      <c r="F21">
        <v>0.98</v>
      </c>
      <c r="G21">
        <v>0.8</v>
      </c>
      <c r="H21">
        <v>0.8</v>
      </c>
      <c r="I21">
        <v>0.8</v>
      </c>
      <c r="J21" s="103">
        <v>0.25</v>
      </c>
      <c r="K21" s="103">
        <v>0.05</v>
      </c>
    </row>
    <row r="22" spans="4:33" ht="15" customHeight="1" x14ac:dyDescent="0.15">
      <c r="D22">
        <v>21</v>
      </c>
      <c r="E22" s="144" t="s">
        <v>212</v>
      </c>
      <c r="F22">
        <v>0.98</v>
      </c>
      <c r="G22">
        <v>0.8</v>
      </c>
      <c r="H22">
        <v>0.8</v>
      </c>
      <c r="I22">
        <v>0.8</v>
      </c>
      <c r="J22" s="103">
        <v>0.25</v>
      </c>
      <c r="K22" s="103">
        <v>0.05</v>
      </c>
    </row>
    <row r="23" spans="4:33" ht="15" customHeight="1" x14ac:dyDescent="0.15">
      <c r="D23">
        <v>22</v>
      </c>
      <c r="E23" s="144" t="s">
        <v>213</v>
      </c>
      <c r="F23">
        <v>0.98</v>
      </c>
      <c r="G23">
        <v>0.8</v>
      </c>
      <c r="H23">
        <v>0.8</v>
      </c>
      <c r="I23">
        <v>0.8</v>
      </c>
      <c r="J23" s="103">
        <v>0.25</v>
      </c>
      <c r="K23" s="103">
        <v>0.05</v>
      </c>
    </row>
    <row r="24" spans="4:33" ht="15" customHeight="1" x14ac:dyDescent="0.15">
      <c r="D24">
        <v>23</v>
      </c>
      <c r="E24" s="144" t="s">
        <v>214</v>
      </c>
      <c r="F24">
        <v>0.98</v>
      </c>
      <c r="G24">
        <v>0.8</v>
      </c>
      <c r="H24">
        <v>0.8</v>
      </c>
      <c r="I24">
        <v>0.8</v>
      </c>
      <c r="J24" s="103">
        <v>0.25</v>
      </c>
      <c r="K24" s="103">
        <v>0.05</v>
      </c>
    </row>
    <row r="25" spans="4:33" ht="15" customHeight="1" x14ac:dyDescent="0.15">
      <c r="D25">
        <v>24</v>
      </c>
      <c r="E25" s="144" t="s">
        <v>215</v>
      </c>
      <c r="F25">
        <v>0.98</v>
      </c>
      <c r="G25">
        <v>0.8</v>
      </c>
      <c r="H25">
        <v>0.8</v>
      </c>
      <c r="I25">
        <v>0.8</v>
      </c>
      <c r="J25" s="103">
        <v>0.25</v>
      </c>
      <c r="K25" s="103">
        <v>0.05</v>
      </c>
    </row>
    <row r="26" spans="4:33" ht="15" customHeight="1" x14ac:dyDescent="0.15">
      <c r="D26">
        <v>25</v>
      </c>
      <c r="E26" s="144" t="s">
        <v>216</v>
      </c>
      <c r="F26">
        <v>0.98</v>
      </c>
      <c r="G26">
        <v>0.8</v>
      </c>
      <c r="H26">
        <v>0.8</v>
      </c>
      <c r="I26">
        <v>0</v>
      </c>
      <c r="J26" s="103">
        <v>0</v>
      </c>
      <c r="K26" s="103">
        <v>0</v>
      </c>
    </row>
    <row r="27" spans="4:33" ht="15" customHeight="1" x14ac:dyDescent="0.15">
      <c r="D27">
        <v>26</v>
      </c>
      <c r="E27" s="144" t="s">
        <v>217</v>
      </c>
      <c r="F27">
        <v>0.98</v>
      </c>
      <c r="G27">
        <v>0.8</v>
      </c>
      <c r="H27">
        <v>0.8</v>
      </c>
      <c r="I27">
        <v>0</v>
      </c>
      <c r="J27" s="103">
        <v>0</v>
      </c>
      <c r="K27" s="103">
        <v>0</v>
      </c>
    </row>
    <row r="28" spans="4:33" ht="15" customHeight="1" x14ac:dyDescent="0.15">
      <c r="D28">
        <v>27</v>
      </c>
      <c r="E28" s="144" t="s">
        <v>218</v>
      </c>
      <c r="F28">
        <v>0.98</v>
      </c>
      <c r="G28">
        <v>0.8</v>
      </c>
      <c r="H28">
        <v>0.8</v>
      </c>
      <c r="I28">
        <v>0</v>
      </c>
      <c r="J28" s="103">
        <v>0</v>
      </c>
      <c r="K28" s="103">
        <v>0</v>
      </c>
    </row>
    <row r="29" spans="4:33" ht="15" customHeight="1" x14ac:dyDescent="0.15">
      <c r="D29">
        <v>28</v>
      </c>
      <c r="E29" s="144" t="s">
        <v>219</v>
      </c>
      <c r="F29">
        <v>0.98</v>
      </c>
      <c r="G29">
        <v>0.8</v>
      </c>
      <c r="H29">
        <v>0</v>
      </c>
      <c r="I29">
        <v>0</v>
      </c>
      <c r="J29" s="103">
        <v>0</v>
      </c>
      <c r="K29" s="103">
        <v>0</v>
      </c>
      <c r="Y29"/>
      <c r="AC29"/>
      <c r="AG29"/>
    </row>
    <row r="30" spans="4:33" ht="15" customHeight="1" x14ac:dyDescent="0.15">
      <c r="D30">
        <v>29</v>
      </c>
      <c r="E30" s="144" t="s">
        <v>220</v>
      </c>
      <c r="F30">
        <v>0.98</v>
      </c>
      <c r="G30">
        <v>0.8</v>
      </c>
      <c r="H30">
        <v>0</v>
      </c>
      <c r="I30">
        <v>0</v>
      </c>
      <c r="J30" s="103">
        <v>0</v>
      </c>
      <c r="K30" s="103">
        <v>0</v>
      </c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20" sqref="A20"/>
    </sheetView>
  </sheetViews>
  <sheetFormatPr baseColWidth="10" defaultRowHeight="13" x14ac:dyDescent="0.15"/>
  <cols>
    <col min="1" max="1" width="23.6640625" style="101" bestFit="1" customWidth="1"/>
    <col min="2" max="25" width="3.83203125" style="101" customWidth="1"/>
    <col min="26" max="30" width="2.33203125" style="101" customWidth="1"/>
    <col min="31" max="16384" width="10.83203125" style="101"/>
  </cols>
  <sheetData>
    <row r="1" spans="1:30" x14ac:dyDescent="0.15">
      <c r="A1" s="61" t="s">
        <v>118</v>
      </c>
      <c r="B1" s="146" t="s">
        <v>193</v>
      </c>
      <c r="C1" s="146" t="s">
        <v>194</v>
      </c>
      <c r="D1" s="146" t="s">
        <v>195</v>
      </c>
      <c r="E1" s="146" t="s">
        <v>196</v>
      </c>
      <c r="F1" s="146" t="s">
        <v>197</v>
      </c>
      <c r="G1" s="146" t="s">
        <v>198</v>
      </c>
      <c r="H1" s="146" t="s">
        <v>199</v>
      </c>
      <c r="I1" s="146" t="s">
        <v>200</v>
      </c>
      <c r="J1" s="146" t="s">
        <v>201</v>
      </c>
      <c r="K1" s="146" t="s">
        <v>202</v>
      </c>
      <c r="L1" s="146" t="s">
        <v>203</v>
      </c>
      <c r="M1" s="146" t="s">
        <v>204</v>
      </c>
      <c r="N1" s="146" t="s">
        <v>205</v>
      </c>
      <c r="O1" s="146" t="s">
        <v>206</v>
      </c>
      <c r="P1" s="146" t="s">
        <v>207</v>
      </c>
      <c r="Q1" s="146" t="s">
        <v>208</v>
      </c>
      <c r="R1" s="146" t="s">
        <v>209</v>
      </c>
      <c r="S1" s="146" t="s">
        <v>210</v>
      </c>
      <c r="T1" s="146" t="s">
        <v>234</v>
      </c>
      <c r="U1" s="146" t="s">
        <v>211</v>
      </c>
      <c r="V1" s="146" t="s">
        <v>212</v>
      </c>
      <c r="W1" s="146" t="s">
        <v>213</v>
      </c>
      <c r="X1" s="146" t="s">
        <v>214</v>
      </c>
      <c r="Y1" s="146" t="s">
        <v>215</v>
      </c>
      <c r="Z1" s="146" t="s">
        <v>216</v>
      </c>
      <c r="AA1" s="146" t="s">
        <v>217</v>
      </c>
      <c r="AB1" s="146" t="s">
        <v>218</v>
      </c>
      <c r="AC1" s="146" t="s">
        <v>219</v>
      </c>
      <c r="AD1" s="146" t="s">
        <v>220</v>
      </c>
    </row>
    <row r="2" spans="1:30" customFormat="1" x14ac:dyDescent="0.15">
      <c r="A2" s="145" t="s">
        <v>193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  <c r="AB2" s="101">
        <v>0</v>
      </c>
      <c r="AC2" s="101">
        <v>0</v>
      </c>
      <c r="AD2" s="101">
        <v>0</v>
      </c>
    </row>
    <row r="3" spans="1:30" customFormat="1" x14ac:dyDescent="0.15">
      <c r="A3" s="145" t="s">
        <v>194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  <c r="AB3" s="101">
        <v>0</v>
      </c>
      <c r="AC3" s="101">
        <v>0</v>
      </c>
      <c r="AD3" s="101">
        <v>0</v>
      </c>
    </row>
    <row r="4" spans="1:30" customFormat="1" x14ac:dyDescent="0.15">
      <c r="A4" s="145" t="s">
        <v>195</v>
      </c>
      <c r="B4" s="101">
        <v>0</v>
      </c>
      <c r="C4" s="101">
        <v>0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  <c r="AB4" s="101">
        <v>0</v>
      </c>
      <c r="AC4" s="101">
        <v>0</v>
      </c>
      <c r="AD4" s="101">
        <v>0</v>
      </c>
    </row>
    <row r="5" spans="1:30" customFormat="1" x14ac:dyDescent="0.15">
      <c r="A5" s="145" t="s">
        <v>196</v>
      </c>
      <c r="B5" s="101">
        <v>0</v>
      </c>
      <c r="C5" s="101">
        <v>0.8</v>
      </c>
      <c r="D5" s="101">
        <v>0.8</v>
      </c>
      <c r="E5" s="101">
        <v>0.8</v>
      </c>
      <c r="F5" s="101">
        <v>0.8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  <c r="AB5" s="101">
        <v>0</v>
      </c>
      <c r="AC5" s="101">
        <v>0</v>
      </c>
      <c r="AD5" s="101">
        <v>0</v>
      </c>
    </row>
    <row r="6" spans="1:30" customFormat="1" x14ac:dyDescent="0.15">
      <c r="A6" s="145" t="s">
        <v>197</v>
      </c>
      <c r="B6" s="101">
        <v>0</v>
      </c>
      <c r="C6" s="101">
        <v>0.8</v>
      </c>
      <c r="D6" s="101">
        <v>0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  <c r="AB6" s="101">
        <v>0</v>
      </c>
      <c r="AC6" s="101">
        <v>0</v>
      </c>
      <c r="AD6" s="101">
        <v>0</v>
      </c>
    </row>
    <row r="7" spans="1:30" customFormat="1" x14ac:dyDescent="0.15">
      <c r="A7" s="145" t="s">
        <v>198</v>
      </c>
      <c r="B7" s="101">
        <v>0.8</v>
      </c>
      <c r="C7" s="101">
        <v>0.8</v>
      </c>
      <c r="D7" s="101">
        <v>0</v>
      </c>
      <c r="E7" s="101">
        <v>0</v>
      </c>
      <c r="F7" s="101">
        <v>0</v>
      </c>
      <c r="G7" s="101">
        <v>0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  <c r="AB7" s="101">
        <v>0</v>
      </c>
      <c r="AC7" s="101">
        <v>0</v>
      </c>
      <c r="AD7" s="101">
        <v>0</v>
      </c>
    </row>
    <row r="8" spans="1:30" customFormat="1" x14ac:dyDescent="0.15">
      <c r="A8" s="145" t="s">
        <v>199</v>
      </c>
      <c r="B8" s="101">
        <v>0.8</v>
      </c>
      <c r="C8" s="101">
        <v>0.8</v>
      </c>
      <c r="D8" s="101">
        <v>0.8</v>
      </c>
      <c r="E8" s="101">
        <v>0.8</v>
      </c>
      <c r="F8" s="101">
        <v>0.8</v>
      </c>
      <c r="G8" s="101">
        <v>0.8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  <c r="AB8" s="101">
        <v>0</v>
      </c>
      <c r="AC8" s="101">
        <v>0</v>
      </c>
      <c r="AD8" s="101">
        <v>0</v>
      </c>
    </row>
    <row r="9" spans="1:30" customFormat="1" x14ac:dyDescent="0.15">
      <c r="A9" s="145" t="s">
        <v>200</v>
      </c>
      <c r="B9" s="101">
        <v>0</v>
      </c>
      <c r="C9" s="101">
        <v>0.8</v>
      </c>
      <c r="D9" s="101">
        <v>0</v>
      </c>
      <c r="E9" s="101">
        <v>0.8</v>
      </c>
      <c r="F9" s="101">
        <v>0.8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  <c r="AB9" s="101">
        <v>0</v>
      </c>
      <c r="AC9" s="101">
        <v>0</v>
      </c>
      <c r="AD9" s="101">
        <v>0</v>
      </c>
    </row>
    <row r="10" spans="1:30" customFormat="1" x14ac:dyDescent="0.15">
      <c r="A10" s="145" t="s">
        <v>201</v>
      </c>
      <c r="B10" s="101">
        <v>0</v>
      </c>
      <c r="C10" s="101">
        <v>0</v>
      </c>
      <c r="D10" s="101">
        <v>0</v>
      </c>
      <c r="E10" s="101">
        <v>0</v>
      </c>
      <c r="F10" s="101">
        <v>0.8</v>
      </c>
      <c r="G10" s="101">
        <v>0.8</v>
      </c>
      <c r="H10" s="101">
        <v>0</v>
      </c>
      <c r="I10" s="101">
        <v>0</v>
      </c>
      <c r="J10" s="101">
        <v>0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  <c r="AB10" s="101">
        <v>0</v>
      </c>
      <c r="AC10" s="101">
        <v>0</v>
      </c>
      <c r="AD10" s="101">
        <v>0</v>
      </c>
    </row>
    <row r="11" spans="1:30" customFormat="1" x14ac:dyDescent="0.15">
      <c r="A11" s="145" t="s">
        <v>202</v>
      </c>
      <c r="B11" s="101">
        <v>0</v>
      </c>
      <c r="C11" s="101">
        <v>0</v>
      </c>
      <c r="D11" s="101">
        <v>0</v>
      </c>
      <c r="E11" s="101">
        <v>0.8</v>
      </c>
      <c r="F11" s="101">
        <v>0.8</v>
      </c>
      <c r="G11" s="101">
        <v>0.8</v>
      </c>
      <c r="H11" s="101">
        <v>0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  <c r="AB11" s="101">
        <v>0</v>
      </c>
      <c r="AC11" s="101">
        <v>0</v>
      </c>
      <c r="AD11" s="101">
        <v>0</v>
      </c>
    </row>
    <row r="12" spans="1:30" customFormat="1" x14ac:dyDescent="0.15">
      <c r="A12" s="145" t="s">
        <v>203</v>
      </c>
      <c r="B12" s="101">
        <v>0</v>
      </c>
      <c r="C12" s="101">
        <v>0.8</v>
      </c>
      <c r="D12" s="101">
        <v>0</v>
      </c>
      <c r="E12" s="101">
        <v>0</v>
      </c>
      <c r="F12" s="101">
        <v>0</v>
      </c>
      <c r="G12" s="101">
        <v>0</v>
      </c>
      <c r="H12" s="101">
        <v>0</v>
      </c>
      <c r="I12" s="101">
        <v>0</v>
      </c>
      <c r="J12" s="101">
        <v>0</v>
      </c>
      <c r="K12" s="101">
        <v>0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  <c r="AB12" s="101">
        <v>0</v>
      </c>
      <c r="AC12" s="101">
        <v>0</v>
      </c>
      <c r="AD12" s="101">
        <v>0</v>
      </c>
    </row>
    <row r="13" spans="1:30" customFormat="1" x14ac:dyDescent="0.15">
      <c r="A13" s="145" t="s">
        <v>204</v>
      </c>
      <c r="B13" s="101">
        <v>0</v>
      </c>
      <c r="C13" s="101">
        <v>0.8</v>
      </c>
      <c r="D13" s="101">
        <v>0</v>
      </c>
      <c r="E13" s="101">
        <v>0</v>
      </c>
      <c r="F13" s="101">
        <v>0</v>
      </c>
      <c r="G13" s="101">
        <v>0</v>
      </c>
      <c r="H13" s="101">
        <v>0</v>
      </c>
      <c r="I13" s="101">
        <v>0</v>
      </c>
      <c r="J13" s="101">
        <v>0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  <c r="AB13" s="101">
        <v>0</v>
      </c>
      <c r="AC13" s="101">
        <v>0</v>
      </c>
      <c r="AD13" s="101">
        <v>0</v>
      </c>
    </row>
    <row r="14" spans="1:30" customFormat="1" x14ac:dyDescent="0.15">
      <c r="A14" s="145" t="s">
        <v>205</v>
      </c>
      <c r="B14" s="101">
        <v>0</v>
      </c>
      <c r="C14" s="101">
        <v>0.8</v>
      </c>
      <c r="D14" s="101">
        <v>0</v>
      </c>
      <c r="E14" s="101">
        <v>0</v>
      </c>
      <c r="F14" s="101">
        <v>0</v>
      </c>
      <c r="G14" s="101">
        <v>0</v>
      </c>
      <c r="H14" s="101">
        <v>0</v>
      </c>
      <c r="I14" s="101">
        <v>0</v>
      </c>
      <c r="J14" s="101">
        <v>0</v>
      </c>
      <c r="K14" s="101">
        <v>0</v>
      </c>
      <c r="L14" s="101">
        <v>0</v>
      </c>
      <c r="M14" s="101">
        <v>0</v>
      </c>
      <c r="N14" s="101">
        <v>0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  <c r="AB14" s="101">
        <v>0</v>
      </c>
      <c r="AC14" s="101">
        <v>0</v>
      </c>
      <c r="AD14" s="101">
        <v>0</v>
      </c>
    </row>
    <row r="15" spans="1:30" customFormat="1" x14ac:dyDescent="0.15">
      <c r="A15" s="145" t="s">
        <v>206</v>
      </c>
      <c r="B15" s="101">
        <v>0</v>
      </c>
      <c r="C15" s="101">
        <v>0.8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101">
        <v>0</v>
      </c>
      <c r="J15" s="101">
        <v>0</v>
      </c>
      <c r="K15" s="101">
        <v>0</v>
      </c>
      <c r="L15" s="101">
        <v>0</v>
      </c>
      <c r="M15" s="101">
        <v>0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0</v>
      </c>
      <c r="X15" s="101">
        <v>0</v>
      </c>
      <c r="Y15" s="101">
        <v>0</v>
      </c>
      <c r="Z15" s="101">
        <v>0</v>
      </c>
      <c r="AA15" s="101">
        <v>0</v>
      </c>
      <c r="AB15" s="101">
        <v>0</v>
      </c>
      <c r="AC15" s="101">
        <v>0</v>
      </c>
      <c r="AD15" s="101">
        <v>0</v>
      </c>
    </row>
    <row r="16" spans="1:30" customFormat="1" x14ac:dyDescent="0.15">
      <c r="A16" s="145" t="s">
        <v>207</v>
      </c>
      <c r="B16" s="101">
        <v>0</v>
      </c>
      <c r="C16" s="101">
        <v>0.8</v>
      </c>
      <c r="D16" s="101">
        <v>0.8</v>
      </c>
      <c r="E16" s="101">
        <v>0.8</v>
      </c>
      <c r="F16" s="101">
        <v>0.8</v>
      </c>
      <c r="G16" s="101">
        <v>0.8</v>
      </c>
      <c r="H16" s="101">
        <v>0</v>
      </c>
      <c r="I16" s="101">
        <v>0</v>
      </c>
      <c r="J16" s="101">
        <v>0</v>
      </c>
      <c r="K16" s="101">
        <v>0</v>
      </c>
      <c r="L16" s="101">
        <v>0</v>
      </c>
      <c r="M16" s="101">
        <v>0</v>
      </c>
      <c r="N16" s="101">
        <v>0</v>
      </c>
      <c r="O16" s="101">
        <v>0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  <c r="W16" s="101">
        <v>0</v>
      </c>
      <c r="X16" s="101">
        <v>0</v>
      </c>
      <c r="Y16" s="101">
        <v>0</v>
      </c>
      <c r="Z16" s="101">
        <v>0</v>
      </c>
      <c r="AA16" s="101">
        <v>0</v>
      </c>
      <c r="AB16" s="101">
        <v>0</v>
      </c>
      <c r="AC16" s="101">
        <v>0</v>
      </c>
      <c r="AD16" s="101">
        <v>0</v>
      </c>
    </row>
    <row r="17" spans="1:30" customFormat="1" x14ac:dyDescent="0.15">
      <c r="A17" s="145" t="s">
        <v>208</v>
      </c>
      <c r="B17" s="101">
        <v>0.8</v>
      </c>
      <c r="C17" s="101">
        <v>0.8</v>
      </c>
      <c r="D17" s="101">
        <v>0</v>
      </c>
      <c r="E17" s="101">
        <v>0.8</v>
      </c>
      <c r="F17" s="101">
        <v>0.8</v>
      </c>
      <c r="G17" s="101">
        <v>0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0</v>
      </c>
      <c r="N17" s="101">
        <v>0</v>
      </c>
      <c r="O17" s="101">
        <v>0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  <c r="W17" s="101">
        <v>0</v>
      </c>
      <c r="X17" s="101">
        <v>0</v>
      </c>
      <c r="Y17" s="101">
        <v>0</v>
      </c>
      <c r="Z17" s="101">
        <v>0</v>
      </c>
      <c r="AA17" s="101">
        <v>0</v>
      </c>
      <c r="AB17" s="101">
        <v>0</v>
      </c>
      <c r="AC17" s="101">
        <v>0</v>
      </c>
      <c r="AD17" s="101">
        <v>0</v>
      </c>
    </row>
    <row r="18" spans="1:30" customFormat="1" x14ac:dyDescent="0.15">
      <c r="A18" s="145" t="s">
        <v>209</v>
      </c>
      <c r="B18" s="101">
        <v>0.8</v>
      </c>
      <c r="C18" s="101">
        <v>0.8</v>
      </c>
      <c r="D18" s="101">
        <v>0</v>
      </c>
      <c r="E18" s="101">
        <v>0.8</v>
      </c>
      <c r="F18" s="101">
        <v>0.8</v>
      </c>
      <c r="G18" s="101">
        <v>0.8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0</v>
      </c>
      <c r="N18" s="101">
        <v>0</v>
      </c>
      <c r="O18" s="101">
        <v>0</v>
      </c>
      <c r="P18" s="101">
        <v>0</v>
      </c>
      <c r="Q18" s="101">
        <v>0</v>
      </c>
      <c r="R18" s="101">
        <v>0</v>
      </c>
      <c r="S18" s="101">
        <v>0</v>
      </c>
      <c r="T18" s="101">
        <v>0</v>
      </c>
      <c r="U18" s="101">
        <v>0</v>
      </c>
      <c r="V18" s="101">
        <v>0</v>
      </c>
      <c r="W18" s="101">
        <v>0</v>
      </c>
      <c r="X18" s="101">
        <v>0</v>
      </c>
      <c r="Y18" s="101">
        <v>0</v>
      </c>
      <c r="Z18" s="101">
        <v>0</v>
      </c>
      <c r="AA18" s="101">
        <v>0</v>
      </c>
      <c r="AB18" s="101">
        <v>0</v>
      </c>
      <c r="AC18" s="101">
        <v>0</v>
      </c>
      <c r="AD18" s="101">
        <v>0</v>
      </c>
    </row>
    <row r="19" spans="1:30" customFormat="1" x14ac:dyDescent="0.15">
      <c r="A19" s="145" t="s">
        <v>210</v>
      </c>
      <c r="B19" s="101">
        <v>0</v>
      </c>
      <c r="C19" s="101">
        <v>0</v>
      </c>
      <c r="D19" s="101">
        <v>0</v>
      </c>
      <c r="E19" s="101">
        <v>0</v>
      </c>
      <c r="F19" s="101">
        <v>0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</v>
      </c>
      <c r="N19" s="101">
        <v>0</v>
      </c>
      <c r="O19" s="101">
        <v>0</v>
      </c>
      <c r="P19" s="101">
        <v>0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  <c r="W19" s="101">
        <v>0</v>
      </c>
      <c r="X19" s="101">
        <v>0</v>
      </c>
      <c r="Y19" s="101">
        <v>0</v>
      </c>
      <c r="Z19" s="101">
        <v>0</v>
      </c>
      <c r="AA19" s="101">
        <v>0</v>
      </c>
      <c r="AB19" s="101">
        <v>0</v>
      </c>
      <c r="AC19" s="101">
        <v>0</v>
      </c>
      <c r="AD19" s="101">
        <v>0</v>
      </c>
    </row>
    <row r="20" spans="1:30" customFormat="1" x14ac:dyDescent="0.15">
      <c r="A20" s="145" t="s">
        <v>234</v>
      </c>
      <c r="B20" s="101">
        <v>0.8</v>
      </c>
      <c r="C20" s="101">
        <v>0.8</v>
      </c>
      <c r="D20" s="101">
        <v>0.8</v>
      </c>
      <c r="E20" s="101">
        <v>0.8</v>
      </c>
      <c r="F20" s="101">
        <v>0.8</v>
      </c>
      <c r="G20" s="101">
        <v>0.8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</v>
      </c>
      <c r="P20" s="101">
        <v>0</v>
      </c>
      <c r="Q20" s="101">
        <v>0</v>
      </c>
      <c r="R20" s="101">
        <v>0</v>
      </c>
      <c r="S20" s="101">
        <v>0.8</v>
      </c>
      <c r="T20" s="101">
        <v>0</v>
      </c>
      <c r="U20" s="101">
        <v>0</v>
      </c>
      <c r="V20" s="101">
        <v>0</v>
      </c>
      <c r="W20" s="101">
        <v>0</v>
      </c>
      <c r="X20" s="101">
        <v>0</v>
      </c>
      <c r="Y20" s="101">
        <v>0</v>
      </c>
      <c r="Z20" s="101">
        <v>0</v>
      </c>
      <c r="AA20" s="101">
        <v>0</v>
      </c>
      <c r="AB20" s="101">
        <v>0</v>
      </c>
      <c r="AC20" s="101">
        <v>0</v>
      </c>
      <c r="AD20" s="101">
        <v>0</v>
      </c>
    </row>
    <row r="21" spans="1:30" customFormat="1" x14ac:dyDescent="0.15">
      <c r="A21" s="145" t="s">
        <v>211</v>
      </c>
      <c r="B21" s="101">
        <v>0</v>
      </c>
      <c r="C21" s="101">
        <v>0</v>
      </c>
      <c r="D21" s="101">
        <v>0.8</v>
      </c>
      <c r="E21" s="101">
        <v>0</v>
      </c>
      <c r="F21" s="101">
        <v>0</v>
      </c>
      <c r="G21" s="101">
        <v>0</v>
      </c>
      <c r="H21" s="101">
        <v>0</v>
      </c>
      <c r="I21" s="101">
        <v>0</v>
      </c>
      <c r="J21" s="101">
        <v>0</v>
      </c>
      <c r="K21" s="101">
        <v>0</v>
      </c>
      <c r="L21" s="101">
        <v>0</v>
      </c>
      <c r="M21" s="101">
        <v>0</v>
      </c>
      <c r="N21" s="101">
        <v>0</v>
      </c>
      <c r="O21" s="101">
        <v>0</v>
      </c>
      <c r="P21" s="101">
        <v>0</v>
      </c>
      <c r="Q21" s="101">
        <v>0</v>
      </c>
      <c r="R21" s="101">
        <v>0</v>
      </c>
      <c r="S21" s="101">
        <v>0</v>
      </c>
      <c r="T21" s="101">
        <v>0</v>
      </c>
      <c r="U21" s="101">
        <v>0</v>
      </c>
      <c r="V21" s="101">
        <v>0</v>
      </c>
      <c r="W21" s="101">
        <v>0</v>
      </c>
      <c r="X21" s="101">
        <v>0</v>
      </c>
      <c r="Y21" s="101">
        <v>0</v>
      </c>
      <c r="Z21" s="101">
        <v>0</v>
      </c>
      <c r="AA21" s="101">
        <v>0</v>
      </c>
      <c r="AB21" s="101">
        <v>0</v>
      </c>
      <c r="AC21" s="101">
        <v>0</v>
      </c>
      <c r="AD21" s="101">
        <v>0</v>
      </c>
    </row>
    <row r="22" spans="1:30" customFormat="1" x14ac:dyDescent="0.15">
      <c r="A22" s="145" t="s">
        <v>212</v>
      </c>
      <c r="B22" s="101">
        <v>0.8</v>
      </c>
      <c r="C22" s="101">
        <v>0.8</v>
      </c>
      <c r="D22" s="101">
        <v>0.8</v>
      </c>
      <c r="E22" s="101">
        <v>0.8</v>
      </c>
      <c r="F22" s="101">
        <v>0.8</v>
      </c>
      <c r="G22" s="101">
        <v>0.8</v>
      </c>
      <c r="H22" s="101">
        <v>0</v>
      </c>
      <c r="I22" s="101">
        <v>0</v>
      </c>
      <c r="J22" s="101">
        <v>0.8</v>
      </c>
      <c r="K22" s="101">
        <v>0</v>
      </c>
      <c r="L22" s="101">
        <v>0</v>
      </c>
      <c r="M22" s="101">
        <v>0</v>
      </c>
      <c r="N22" s="101">
        <v>0</v>
      </c>
      <c r="O22" s="101">
        <v>0.8</v>
      </c>
      <c r="P22" s="101">
        <v>0.8</v>
      </c>
      <c r="Q22" s="101">
        <v>0.8</v>
      </c>
      <c r="R22" s="101">
        <v>0.8</v>
      </c>
      <c r="S22" s="101">
        <v>0.8</v>
      </c>
      <c r="T22" s="101">
        <v>0.8</v>
      </c>
      <c r="U22" s="101">
        <v>0.8</v>
      </c>
      <c r="V22" s="101">
        <v>0.8</v>
      </c>
      <c r="W22" s="101">
        <v>0</v>
      </c>
      <c r="X22" s="101">
        <v>0</v>
      </c>
      <c r="Y22" s="101">
        <v>0</v>
      </c>
      <c r="Z22" s="101">
        <v>0</v>
      </c>
      <c r="AA22" s="101">
        <v>0</v>
      </c>
      <c r="AB22" s="101">
        <v>0</v>
      </c>
      <c r="AC22" s="101">
        <v>0</v>
      </c>
      <c r="AD22" s="101">
        <v>0</v>
      </c>
    </row>
    <row r="23" spans="1:30" customFormat="1" x14ac:dyDescent="0.15">
      <c r="A23" s="145" t="s">
        <v>213</v>
      </c>
      <c r="B23" s="101">
        <v>0.8</v>
      </c>
      <c r="C23" s="101">
        <v>0.8</v>
      </c>
      <c r="D23" s="101">
        <v>0.8</v>
      </c>
      <c r="E23" s="101">
        <v>0.8</v>
      </c>
      <c r="F23" s="101">
        <v>0.8</v>
      </c>
      <c r="G23" s="101">
        <v>0.8</v>
      </c>
      <c r="H23" s="101">
        <v>0.8</v>
      </c>
      <c r="I23" s="101">
        <v>0.8</v>
      </c>
      <c r="J23" s="101">
        <v>0.8</v>
      </c>
      <c r="K23" s="101">
        <v>0.8</v>
      </c>
      <c r="L23" s="101">
        <v>0.8</v>
      </c>
      <c r="M23" s="101">
        <v>0.8</v>
      </c>
      <c r="N23" s="101">
        <v>0.8</v>
      </c>
      <c r="O23" s="101">
        <v>0.8</v>
      </c>
      <c r="P23" s="101">
        <v>0.8</v>
      </c>
      <c r="Q23" s="101">
        <v>0.8</v>
      </c>
      <c r="R23" s="101">
        <v>0.8</v>
      </c>
      <c r="S23" s="101">
        <v>0.8</v>
      </c>
      <c r="T23" s="101">
        <v>0.8</v>
      </c>
      <c r="U23" s="101">
        <v>0.8</v>
      </c>
      <c r="V23" s="101">
        <v>0.8</v>
      </c>
      <c r="W23" s="101">
        <v>0.8</v>
      </c>
      <c r="X23" s="101">
        <v>0</v>
      </c>
      <c r="Y23" s="101">
        <v>0</v>
      </c>
      <c r="Z23" s="101">
        <v>0</v>
      </c>
      <c r="AA23" s="101">
        <v>0</v>
      </c>
      <c r="AB23" s="101">
        <v>0</v>
      </c>
      <c r="AC23" s="101">
        <v>0</v>
      </c>
      <c r="AD23" s="101">
        <v>0</v>
      </c>
    </row>
    <row r="24" spans="1:30" customFormat="1" x14ac:dyDescent="0.15">
      <c r="A24" s="145" t="s">
        <v>214</v>
      </c>
      <c r="B24" s="101">
        <v>0</v>
      </c>
      <c r="C24" s="101">
        <v>0</v>
      </c>
      <c r="D24" s="101">
        <v>0</v>
      </c>
      <c r="E24" s="101">
        <v>0</v>
      </c>
      <c r="F24" s="101">
        <v>0</v>
      </c>
      <c r="G24" s="101">
        <v>0</v>
      </c>
      <c r="H24" s="101">
        <v>0</v>
      </c>
      <c r="I24" s="101">
        <v>0</v>
      </c>
      <c r="J24" s="101">
        <v>0</v>
      </c>
      <c r="K24" s="101">
        <v>0</v>
      </c>
      <c r="L24" s="101">
        <v>0</v>
      </c>
      <c r="M24" s="101">
        <v>0</v>
      </c>
      <c r="N24" s="101">
        <v>0</v>
      </c>
      <c r="O24" s="101">
        <v>0</v>
      </c>
      <c r="P24" s="101">
        <v>0</v>
      </c>
      <c r="Q24" s="101">
        <v>0</v>
      </c>
      <c r="R24" s="101">
        <v>0</v>
      </c>
      <c r="S24" s="101">
        <v>0</v>
      </c>
      <c r="T24" s="101">
        <v>0</v>
      </c>
      <c r="U24" s="101">
        <v>0</v>
      </c>
      <c r="V24" s="101">
        <v>0</v>
      </c>
      <c r="W24" s="101">
        <v>0</v>
      </c>
      <c r="X24" s="101">
        <v>0</v>
      </c>
      <c r="Y24" s="101">
        <v>0</v>
      </c>
      <c r="Z24" s="101">
        <v>0</v>
      </c>
      <c r="AA24" s="101">
        <v>0</v>
      </c>
      <c r="AB24" s="101">
        <v>0</v>
      </c>
      <c r="AC24" s="101">
        <v>0</v>
      </c>
      <c r="AD24" s="101">
        <v>0</v>
      </c>
    </row>
    <row r="25" spans="1:30" customFormat="1" x14ac:dyDescent="0.15">
      <c r="A25" s="145" t="s">
        <v>215</v>
      </c>
      <c r="B25" s="101">
        <v>0</v>
      </c>
      <c r="C25" s="101">
        <v>0</v>
      </c>
      <c r="D25" s="101">
        <v>0</v>
      </c>
      <c r="E25" s="101">
        <v>0</v>
      </c>
      <c r="F25" s="101">
        <v>0</v>
      </c>
      <c r="G25" s="101">
        <v>0.8</v>
      </c>
      <c r="H25" s="101">
        <v>0</v>
      </c>
      <c r="I25" s="101">
        <v>0</v>
      </c>
      <c r="J25" s="101">
        <v>0.8</v>
      </c>
      <c r="K25" s="101">
        <v>0.8</v>
      </c>
      <c r="L25" s="101">
        <v>0</v>
      </c>
      <c r="M25" s="101">
        <v>0.8</v>
      </c>
      <c r="N25" s="101">
        <v>0</v>
      </c>
      <c r="O25" s="101">
        <v>0.8</v>
      </c>
      <c r="P25" s="101">
        <v>0.8</v>
      </c>
      <c r="Q25" s="101">
        <v>0.8</v>
      </c>
      <c r="R25" s="101">
        <v>0.8</v>
      </c>
      <c r="S25" s="101">
        <v>0</v>
      </c>
      <c r="T25" s="101">
        <v>0</v>
      </c>
      <c r="U25" s="101">
        <v>0</v>
      </c>
      <c r="V25" s="101">
        <v>0</v>
      </c>
      <c r="W25" s="101">
        <v>0</v>
      </c>
      <c r="X25" s="101">
        <v>0.8</v>
      </c>
      <c r="Y25" s="101">
        <v>0.8</v>
      </c>
      <c r="Z25" s="101">
        <v>0</v>
      </c>
      <c r="AA25" s="101">
        <v>0</v>
      </c>
      <c r="AB25" s="101">
        <v>0</v>
      </c>
      <c r="AC25" s="101">
        <v>0</v>
      </c>
      <c r="AD25" s="101">
        <v>0</v>
      </c>
    </row>
    <row r="26" spans="1:30" customFormat="1" x14ac:dyDescent="0.15">
      <c r="A26" s="145" t="s">
        <v>216</v>
      </c>
      <c r="B26" s="101">
        <v>0</v>
      </c>
      <c r="C26" s="101">
        <v>0</v>
      </c>
      <c r="D26" s="101">
        <v>0</v>
      </c>
      <c r="E26" s="101">
        <v>0</v>
      </c>
      <c r="F26" s="101">
        <v>0</v>
      </c>
      <c r="G26" s="101">
        <v>0</v>
      </c>
      <c r="H26" s="101">
        <v>0</v>
      </c>
      <c r="I26" s="101">
        <v>0</v>
      </c>
      <c r="J26" s="101">
        <v>0</v>
      </c>
      <c r="K26" s="101">
        <v>0.8</v>
      </c>
      <c r="L26" s="101">
        <v>0</v>
      </c>
      <c r="M26" s="101">
        <v>0</v>
      </c>
      <c r="N26" s="101">
        <v>0</v>
      </c>
      <c r="O26" s="101">
        <v>0</v>
      </c>
      <c r="P26" s="101">
        <v>0</v>
      </c>
      <c r="Q26" s="101">
        <v>0</v>
      </c>
      <c r="R26" s="101">
        <v>0.8</v>
      </c>
      <c r="S26" s="101">
        <v>0</v>
      </c>
      <c r="T26" s="101">
        <v>0</v>
      </c>
      <c r="U26" s="101">
        <v>0</v>
      </c>
      <c r="V26" s="101">
        <v>0</v>
      </c>
      <c r="W26" s="101">
        <v>0</v>
      </c>
      <c r="X26" s="101">
        <v>0.8</v>
      </c>
      <c r="Y26" s="101">
        <v>0.8</v>
      </c>
      <c r="Z26" s="101">
        <v>0</v>
      </c>
      <c r="AA26" s="101">
        <v>0</v>
      </c>
      <c r="AB26" s="101">
        <v>0</v>
      </c>
      <c r="AC26" s="101">
        <v>0</v>
      </c>
      <c r="AD26" s="101">
        <v>0</v>
      </c>
    </row>
    <row r="27" spans="1:30" customFormat="1" x14ac:dyDescent="0.15">
      <c r="A27" s="145" t="s">
        <v>217</v>
      </c>
      <c r="B27" s="101">
        <v>0</v>
      </c>
      <c r="C27" s="101">
        <v>0</v>
      </c>
      <c r="D27" s="101">
        <v>0</v>
      </c>
      <c r="E27" s="101">
        <v>0</v>
      </c>
      <c r="F27" s="101">
        <v>0</v>
      </c>
      <c r="G27" s="101">
        <v>0</v>
      </c>
      <c r="H27" s="101">
        <v>0.8</v>
      </c>
      <c r="I27" s="101">
        <v>0.8</v>
      </c>
      <c r="J27" s="101">
        <v>0.8</v>
      </c>
      <c r="K27" s="101">
        <v>0</v>
      </c>
      <c r="L27" s="101">
        <v>0.8</v>
      </c>
      <c r="M27" s="101">
        <v>0.8</v>
      </c>
      <c r="N27" s="101">
        <v>0.8</v>
      </c>
      <c r="O27" s="101">
        <v>0</v>
      </c>
      <c r="P27" s="101">
        <v>0</v>
      </c>
      <c r="Q27" s="101">
        <v>0</v>
      </c>
      <c r="R27" s="101">
        <v>0</v>
      </c>
      <c r="S27" s="101">
        <v>0.8</v>
      </c>
      <c r="T27" s="101">
        <v>0</v>
      </c>
      <c r="U27" s="101">
        <v>0</v>
      </c>
      <c r="V27" s="101">
        <v>0.8</v>
      </c>
      <c r="W27" s="101">
        <v>0</v>
      </c>
      <c r="X27" s="101">
        <v>0</v>
      </c>
      <c r="Y27" s="101">
        <v>0</v>
      </c>
      <c r="Z27" s="101">
        <v>0</v>
      </c>
      <c r="AA27" s="101">
        <v>0</v>
      </c>
      <c r="AB27" s="101">
        <v>0</v>
      </c>
      <c r="AC27" s="101">
        <v>0</v>
      </c>
      <c r="AD27" s="101">
        <v>0</v>
      </c>
    </row>
    <row r="28" spans="1:30" customFormat="1" x14ac:dyDescent="0.15">
      <c r="A28" s="145" t="s">
        <v>218</v>
      </c>
      <c r="B28" s="101">
        <v>0</v>
      </c>
      <c r="C28" s="101">
        <v>0</v>
      </c>
      <c r="D28" s="101">
        <v>0</v>
      </c>
      <c r="E28" s="101">
        <v>0</v>
      </c>
      <c r="F28" s="101">
        <v>0</v>
      </c>
      <c r="G28" s="101">
        <v>0</v>
      </c>
      <c r="H28" s="101">
        <v>0.8</v>
      </c>
      <c r="I28" s="101">
        <v>0.8</v>
      </c>
      <c r="J28" s="101">
        <v>0.8</v>
      </c>
      <c r="K28" s="101">
        <v>0.8</v>
      </c>
      <c r="L28" s="101">
        <v>0.8</v>
      </c>
      <c r="M28" s="101">
        <v>0.8</v>
      </c>
      <c r="N28" s="101">
        <v>0.8</v>
      </c>
      <c r="O28" s="101">
        <v>0</v>
      </c>
      <c r="P28" s="101">
        <v>0</v>
      </c>
      <c r="Q28" s="101">
        <v>0</v>
      </c>
      <c r="R28" s="101">
        <v>0.8</v>
      </c>
      <c r="S28" s="101">
        <v>0.8</v>
      </c>
      <c r="T28" s="101">
        <v>0</v>
      </c>
      <c r="U28" s="101">
        <v>0</v>
      </c>
      <c r="V28" s="101">
        <v>0</v>
      </c>
      <c r="W28" s="101">
        <v>0.8</v>
      </c>
      <c r="X28" s="101">
        <v>0</v>
      </c>
      <c r="Y28" s="101">
        <v>0</v>
      </c>
      <c r="Z28" s="101">
        <v>0</v>
      </c>
      <c r="AA28" s="101">
        <v>0</v>
      </c>
      <c r="AB28" s="101">
        <v>0</v>
      </c>
      <c r="AC28" s="101">
        <v>0</v>
      </c>
      <c r="AD28" s="101">
        <v>0</v>
      </c>
    </row>
    <row r="29" spans="1:30" customFormat="1" x14ac:dyDescent="0.15">
      <c r="A29" s="145" t="s">
        <v>219</v>
      </c>
      <c r="B29" s="101">
        <v>0</v>
      </c>
      <c r="C29" s="101">
        <v>0</v>
      </c>
      <c r="D29" s="101">
        <v>0</v>
      </c>
      <c r="E29" s="101">
        <v>0</v>
      </c>
      <c r="F29" s="101">
        <v>0</v>
      </c>
      <c r="G29" s="101">
        <v>0.8</v>
      </c>
      <c r="H29" s="101">
        <v>0.8</v>
      </c>
      <c r="I29" s="101">
        <v>0.8</v>
      </c>
      <c r="J29" s="101">
        <v>0.8</v>
      </c>
      <c r="K29" s="101">
        <v>0.8</v>
      </c>
      <c r="L29" s="101">
        <v>0.8</v>
      </c>
      <c r="M29" s="101">
        <v>0.8</v>
      </c>
      <c r="N29" s="101">
        <v>0</v>
      </c>
      <c r="O29" s="101">
        <v>0</v>
      </c>
      <c r="P29" s="101">
        <v>0</v>
      </c>
      <c r="Q29" s="101">
        <v>0</v>
      </c>
      <c r="R29" s="101">
        <v>0.8</v>
      </c>
      <c r="S29" s="101">
        <v>0.8</v>
      </c>
      <c r="T29" s="101">
        <v>0</v>
      </c>
      <c r="U29" s="101">
        <v>0.8</v>
      </c>
      <c r="V29" s="101">
        <v>0.8</v>
      </c>
      <c r="W29" s="101">
        <v>0.8</v>
      </c>
      <c r="X29" s="101">
        <v>0.8</v>
      </c>
      <c r="Y29" s="101">
        <v>0.8</v>
      </c>
      <c r="Z29" s="101">
        <v>0</v>
      </c>
      <c r="AA29" s="101">
        <v>0</v>
      </c>
      <c r="AB29" s="101">
        <v>0</v>
      </c>
      <c r="AC29" s="101">
        <v>0</v>
      </c>
      <c r="AD29" s="101">
        <v>0</v>
      </c>
    </row>
    <row r="30" spans="1:30" customFormat="1" x14ac:dyDescent="0.15">
      <c r="A30" s="145" t="s">
        <v>220</v>
      </c>
      <c r="B30" s="101">
        <v>0</v>
      </c>
      <c r="C30" s="101">
        <v>0</v>
      </c>
      <c r="D30" s="101">
        <v>0</v>
      </c>
      <c r="E30" s="101">
        <v>0</v>
      </c>
      <c r="F30" s="101">
        <v>0</v>
      </c>
      <c r="G30" s="101">
        <v>0</v>
      </c>
      <c r="H30" s="101">
        <v>0</v>
      </c>
      <c r="I30" s="101">
        <v>0</v>
      </c>
      <c r="J30" s="101">
        <v>0</v>
      </c>
      <c r="K30" s="101">
        <v>0</v>
      </c>
      <c r="L30" s="101">
        <v>0</v>
      </c>
      <c r="M30" s="101">
        <v>0</v>
      </c>
      <c r="N30" s="101">
        <v>0</v>
      </c>
      <c r="O30" s="101">
        <v>0</v>
      </c>
      <c r="P30" s="101">
        <v>0</v>
      </c>
      <c r="Q30" s="101">
        <v>0</v>
      </c>
      <c r="R30" s="101">
        <v>0</v>
      </c>
      <c r="S30" s="101">
        <v>0</v>
      </c>
      <c r="T30" s="101">
        <v>0</v>
      </c>
      <c r="U30" s="101">
        <v>0</v>
      </c>
      <c r="V30" s="101">
        <v>0</v>
      </c>
      <c r="W30" s="101">
        <v>0</v>
      </c>
      <c r="X30" s="101">
        <v>0</v>
      </c>
      <c r="Y30" s="101">
        <v>0</v>
      </c>
      <c r="Z30" s="101">
        <v>0</v>
      </c>
      <c r="AA30" s="101">
        <v>0</v>
      </c>
      <c r="AB30" s="101">
        <v>0</v>
      </c>
      <c r="AC30" s="101">
        <v>0</v>
      </c>
      <c r="AD30" s="101">
        <v>0</v>
      </c>
    </row>
    <row r="31" spans="1:30" customFormat="1" x14ac:dyDescent="0.15">
      <c r="A31" s="145" t="s">
        <v>221</v>
      </c>
      <c r="B31" s="101">
        <v>0.8</v>
      </c>
      <c r="C31" s="101">
        <v>0.8</v>
      </c>
      <c r="D31" s="101">
        <v>0.8</v>
      </c>
      <c r="E31" s="101">
        <v>0.8</v>
      </c>
      <c r="F31" s="101">
        <v>0.8</v>
      </c>
      <c r="G31" s="101">
        <v>0.8</v>
      </c>
      <c r="H31" s="101">
        <v>0</v>
      </c>
      <c r="I31" s="101">
        <v>0</v>
      </c>
      <c r="J31" s="101">
        <v>0</v>
      </c>
      <c r="K31" s="101">
        <v>0</v>
      </c>
      <c r="L31" s="101">
        <v>0</v>
      </c>
      <c r="M31" s="101">
        <v>0</v>
      </c>
      <c r="N31" s="101">
        <v>0</v>
      </c>
      <c r="O31" s="101">
        <v>0</v>
      </c>
      <c r="P31" s="101">
        <v>0</v>
      </c>
      <c r="Q31" s="101">
        <v>0</v>
      </c>
      <c r="R31" s="101">
        <v>0</v>
      </c>
      <c r="S31" s="101">
        <v>0</v>
      </c>
      <c r="T31" s="101">
        <v>0</v>
      </c>
      <c r="U31" s="101">
        <v>0</v>
      </c>
      <c r="V31" s="101">
        <v>0</v>
      </c>
      <c r="W31" s="101">
        <v>0</v>
      </c>
      <c r="X31" s="101">
        <v>0.8</v>
      </c>
      <c r="Y31" s="101">
        <v>0.8</v>
      </c>
      <c r="Z31" s="101">
        <v>0</v>
      </c>
      <c r="AA31" s="101">
        <v>0</v>
      </c>
      <c r="AB31" s="101">
        <v>0</v>
      </c>
      <c r="AC31" s="101">
        <v>0</v>
      </c>
      <c r="AD31" s="101">
        <v>0</v>
      </c>
    </row>
    <row r="32" spans="1:3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20" sqref="A20"/>
    </sheetView>
  </sheetViews>
  <sheetFormatPr baseColWidth="10" defaultRowHeight="13" x14ac:dyDescent="0.15"/>
  <cols>
    <col min="1" max="1" width="23.6640625" style="101" bestFit="1" customWidth="1"/>
    <col min="2" max="30" width="2.33203125" style="101" customWidth="1"/>
    <col min="31" max="16384" width="10.83203125" style="101"/>
  </cols>
  <sheetData>
    <row r="1" spans="1:31" x14ac:dyDescent="0.15">
      <c r="A1" s="61" t="s">
        <v>139</v>
      </c>
      <c r="B1" s="148" t="s">
        <v>193</v>
      </c>
      <c r="C1" s="148" t="s">
        <v>194</v>
      </c>
      <c r="D1" s="148" t="s">
        <v>195</v>
      </c>
      <c r="E1" s="148" t="s">
        <v>196</v>
      </c>
      <c r="F1" s="148" t="s">
        <v>197</v>
      </c>
      <c r="G1" s="148" t="s">
        <v>198</v>
      </c>
      <c r="H1" s="148" t="s">
        <v>199</v>
      </c>
      <c r="I1" s="148" t="s">
        <v>200</v>
      </c>
      <c r="J1" s="148" t="s">
        <v>201</v>
      </c>
      <c r="K1" s="148" t="s">
        <v>202</v>
      </c>
      <c r="L1" s="148" t="s">
        <v>203</v>
      </c>
      <c r="M1" s="148" t="s">
        <v>204</v>
      </c>
      <c r="N1" s="148" t="s">
        <v>205</v>
      </c>
      <c r="O1" s="148" t="s">
        <v>206</v>
      </c>
      <c r="P1" s="148" t="s">
        <v>207</v>
      </c>
      <c r="Q1" s="148" t="s">
        <v>208</v>
      </c>
      <c r="R1" s="148" t="s">
        <v>209</v>
      </c>
      <c r="S1" s="148" t="s">
        <v>210</v>
      </c>
      <c r="T1" s="148" t="s">
        <v>234</v>
      </c>
      <c r="U1" s="148" t="s">
        <v>211</v>
      </c>
      <c r="V1" s="148" t="s">
        <v>212</v>
      </c>
      <c r="W1" s="148" t="s">
        <v>213</v>
      </c>
      <c r="X1" s="148" t="s">
        <v>214</v>
      </c>
      <c r="Y1" s="148" t="s">
        <v>215</v>
      </c>
      <c r="Z1" s="148" t="s">
        <v>216</v>
      </c>
      <c r="AA1" s="148" t="s">
        <v>217</v>
      </c>
      <c r="AB1" s="148" t="s">
        <v>218</v>
      </c>
      <c r="AC1" s="148" t="s">
        <v>219</v>
      </c>
      <c r="AD1" s="148" t="s">
        <v>220</v>
      </c>
      <c r="AE1"/>
    </row>
    <row r="2" spans="1:31" customFormat="1" x14ac:dyDescent="0.15">
      <c r="A2" s="147" t="s">
        <v>193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  <c r="W2" s="101">
        <v>0</v>
      </c>
      <c r="X2" s="101">
        <v>0</v>
      </c>
      <c r="Y2" s="101">
        <v>0</v>
      </c>
      <c r="Z2" s="101">
        <v>0</v>
      </c>
      <c r="AA2" s="101">
        <v>0</v>
      </c>
      <c r="AB2" s="101">
        <v>0</v>
      </c>
      <c r="AC2" s="101">
        <v>0</v>
      </c>
      <c r="AD2" s="101">
        <v>0</v>
      </c>
    </row>
    <row r="3" spans="1:31" customFormat="1" x14ac:dyDescent="0.15">
      <c r="A3" s="147" t="s">
        <v>194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  <c r="W3" s="101">
        <v>0</v>
      </c>
      <c r="X3" s="101">
        <v>0</v>
      </c>
      <c r="Y3" s="101">
        <v>0</v>
      </c>
      <c r="Z3" s="101">
        <v>0</v>
      </c>
      <c r="AA3" s="101">
        <v>0</v>
      </c>
      <c r="AB3" s="101">
        <v>0</v>
      </c>
      <c r="AC3" s="101">
        <v>0</v>
      </c>
      <c r="AD3" s="101">
        <v>0</v>
      </c>
    </row>
    <row r="4" spans="1:31" customFormat="1" x14ac:dyDescent="0.15">
      <c r="A4" s="147" t="s">
        <v>195</v>
      </c>
      <c r="B4" s="101">
        <v>0</v>
      </c>
      <c r="C4" s="101">
        <v>0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  <c r="AB4" s="101">
        <v>0</v>
      </c>
      <c r="AC4" s="101">
        <v>0</v>
      </c>
      <c r="AD4" s="101">
        <v>0</v>
      </c>
    </row>
    <row r="5" spans="1:31" customFormat="1" x14ac:dyDescent="0.15">
      <c r="A5" s="147" t="s">
        <v>196</v>
      </c>
      <c r="B5" s="101">
        <v>0</v>
      </c>
      <c r="C5" s="101">
        <v>1</v>
      </c>
      <c r="D5" s="101">
        <v>1</v>
      </c>
      <c r="E5" s="101">
        <v>1</v>
      </c>
      <c r="F5" s="101">
        <v>1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  <c r="W5" s="101">
        <v>0</v>
      </c>
      <c r="X5" s="101">
        <v>0</v>
      </c>
      <c r="Y5" s="101">
        <v>0</v>
      </c>
      <c r="Z5" s="101">
        <v>0</v>
      </c>
      <c r="AA5" s="101">
        <v>0</v>
      </c>
      <c r="AB5" s="101">
        <v>0</v>
      </c>
      <c r="AC5" s="101">
        <v>0</v>
      </c>
      <c r="AD5" s="101">
        <v>0</v>
      </c>
    </row>
    <row r="6" spans="1:31" customFormat="1" x14ac:dyDescent="0.15">
      <c r="A6" s="147" t="s">
        <v>197</v>
      </c>
      <c r="B6" s="101">
        <v>0</v>
      </c>
      <c r="C6" s="101">
        <v>1</v>
      </c>
      <c r="D6" s="101">
        <v>0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  <c r="W6" s="101">
        <v>0</v>
      </c>
      <c r="X6" s="101">
        <v>0</v>
      </c>
      <c r="Y6" s="101">
        <v>0</v>
      </c>
      <c r="Z6" s="101">
        <v>0</v>
      </c>
      <c r="AA6" s="101">
        <v>0</v>
      </c>
      <c r="AB6" s="101">
        <v>0</v>
      </c>
      <c r="AC6" s="101">
        <v>0</v>
      </c>
      <c r="AD6" s="101">
        <v>0</v>
      </c>
    </row>
    <row r="7" spans="1:31" customFormat="1" x14ac:dyDescent="0.15">
      <c r="A7" s="147" t="s">
        <v>198</v>
      </c>
      <c r="B7" s="101">
        <v>1</v>
      </c>
      <c r="C7" s="101">
        <v>1</v>
      </c>
      <c r="D7" s="101">
        <v>0</v>
      </c>
      <c r="E7" s="101">
        <v>0</v>
      </c>
      <c r="F7" s="101">
        <v>0</v>
      </c>
      <c r="G7" s="101">
        <v>0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  <c r="W7" s="101">
        <v>0</v>
      </c>
      <c r="X7" s="101">
        <v>0</v>
      </c>
      <c r="Y7" s="101">
        <v>0</v>
      </c>
      <c r="Z7" s="101">
        <v>0</v>
      </c>
      <c r="AA7" s="101">
        <v>0</v>
      </c>
      <c r="AB7" s="101">
        <v>0</v>
      </c>
      <c r="AC7" s="101">
        <v>0</v>
      </c>
      <c r="AD7" s="101">
        <v>0</v>
      </c>
    </row>
    <row r="8" spans="1:31" customFormat="1" x14ac:dyDescent="0.15">
      <c r="A8" s="147" t="s">
        <v>199</v>
      </c>
      <c r="B8" s="101">
        <v>1</v>
      </c>
      <c r="C8" s="101">
        <v>1</v>
      </c>
      <c r="D8" s="101">
        <v>1</v>
      </c>
      <c r="E8" s="101">
        <v>1</v>
      </c>
      <c r="F8" s="101">
        <v>1</v>
      </c>
      <c r="G8" s="101">
        <v>1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  <c r="W8" s="101">
        <v>0</v>
      </c>
      <c r="X8" s="101">
        <v>0</v>
      </c>
      <c r="Y8" s="101">
        <v>0</v>
      </c>
      <c r="Z8" s="101">
        <v>0</v>
      </c>
      <c r="AA8" s="101">
        <v>0</v>
      </c>
      <c r="AB8" s="101">
        <v>0</v>
      </c>
      <c r="AC8" s="101">
        <v>0</v>
      </c>
      <c r="AD8" s="101">
        <v>0</v>
      </c>
    </row>
    <row r="9" spans="1:31" customFormat="1" x14ac:dyDescent="0.15">
      <c r="A9" s="147" t="s">
        <v>200</v>
      </c>
      <c r="B9" s="101">
        <v>0</v>
      </c>
      <c r="C9" s="101">
        <v>1</v>
      </c>
      <c r="D9" s="101">
        <v>0</v>
      </c>
      <c r="E9" s="101">
        <v>1</v>
      </c>
      <c r="F9" s="101">
        <v>1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  <c r="W9" s="101">
        <v>0</v>
      </c>
      <c r="X9" s="101">
        <v>0</v>
      </c>
      <c r="Y9" s="101">
        <v>0</v>
      </c>
      <c r="Z9" s="101">
        <v>0</v>
      </c>
      <c r="AA9" s="101">
        <v>0</v>
      </c>
      <c r="AB9" s="101">
        <v>0</v>
      </c>
      <c r="AC9" s="101">
        <v>0</v>
      </c>
      <c r="AD9" s="101">
        <v>0</v>
      </c>
    </row>
    <row r="10" spans="1:31" customFormat="1" x14ac:dyDescent="0.15">
      <c r="A10" s="147" t="s">
        <v>201</v>
      </c>
      <c r="B10" s="101">
        <v>0</v>
      </c>
      <c r="C10" s="101">
        <v>0</v>
      </c>
      <c r="D10" s="101">
        <v>0</v>
      </c>
      <c r="E10" s="101">
        <v>0</v>
      </c>
      <c r="F10" s="101">
        <v>1</v>
      </c>
      <c r="G10" s="101">
        <v>1</v>
      </c>
      <c r="H10" s="101">
        <v>0</v>
      </c>
      <c r="I10" s="101">
        <v>0</v>
      </c>
      <c r="J10" s="101">
        <v>0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  <c r="W10" s="101">
        <v>0</v>
      </c>
      <c r="X10" s="101">
        <v>0</v>
      </c>
      <c r="Y10" s="101">
        <v>0</v>
      </c>
      <c r="Z10" s="101">
        <v>0</v>
      </c>
      <c r="AA10" s="101">
        <v>0</v>
      </c>
      <c r="AB10" s="101">
        <v>0</v>
      </c>
      <c r="AC10" s="101">
        <v>0</v>
      </c>
      <c r="AD10" s="101">
        <v>0</v>
      </c>
    </row>
    <row r="11" spans="1:31" customFormat="1" x14ac:dyDescent="0.15">
      <c r="A11" s="147" t="s">
        <v>202</v>
      </c>
      <c r="B11" s="101">
        <v>0</v>
      </c>
      <c r="C11" s="101">
        <v>0</v>
      </c>
      <c r="D11" s="101">
        <v>0</v>
      </c>
      <c r="E11" s="101">
        <v>1</v>
      </c>
      <c r="F11" s="101">
        <v>1</v>
      </c>
      <c r="G11" s="101">
        <v>1</v>
      </c>
      <c r="H11" s="101">
        <v>0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  <c r="W11" s="101">
        <v>0</v>
      </c>
      <c r="X11" s="101">
        <v>0</v>
      </c>
      <c r="Y11" s="101">
        <v>0</v>
      </c>
      <c r="Z11" s="101">
        <v>0</v>
      </c>
      <c r="AA11" s="101">
        <v>0</v>
      </c>
      <c r="AB11" s="101">
        <v>0</v>
      </c>
      <c r="AC11" s="101">
        <v>0</v>
      </c>
      <c r="AD11" s="101">
        <v>0</v>
      </c>
    </row>
    <row r="12" spans="1:31" customFormat="1" x14ac:dyDescent="0.15">
      <c r="A12" s="147" t="s">
        <v>203</v>
      </c>
      <c r="B12" s="101">
        <v>0</v>
      </c>
      <c r="C12" s="101">
        <v>1</v>
      </c>
      <c r="D12" s="101">
        <v>0</v>
      </c>
      <c r="E12" s="101">
        <v>0</v>
      </c>
      <c r="F12" s="101">
        <v>0</v>
      </c>
      <c r="G12" s="101">
        <v>0</v>
      </c>
      <c r="H12" s="101">
        <v>0</v>
      </c>
      <c r="I12" s="101">
        <v>0</v>
      </c>
      <c r="J12" s="101">
        <v>0</v>
      </c>
      <c r="K12" s="101">
        <v>0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  <c r="W12" s="101">
        <v>0</v>
      </c>
      <c r="X12" s="101">
        <v>0</v>
      </c>
      <c r="Y12" s="101">
        <v>0</v>
      </c>
      <c r="Z12" s="101">
        <v>0</v>
      </c>
      <c r="AA12" s="101">
        <v>0</v>
      </c>
      <c r="AB12" s="101">
        <v>0</v>
      </c>
      <c r="AC12" s="101">
        <v>0</v>
      </c>
      <c r="AD12" s="101">
        <v>0</v>
      </c>
    </row>
    <row r="13" spans="1:31" customFormat="1" x14ac:dyDescent="0.15">
      <c r="A13" s="147" t="s">
        <v>204</v>
      </c>
      <c r="B13" s="101">
        <v>0</v>
      </c>
      <c r="C13" s="101">
        <v>1</v>
      </c>
      <c r="D13" s="101">
        <v>0</v>
      </c>
      <c r="E13" s="101">
        <v>0</v>
      </c>
      <c r="F13" s="101">
        <v>0</v>
      </c>
      <c r="G13" s="101">
        <v>0</v>
      </c>
      <c r="H13" s="101">
        <v>0</v>
      </c>
      <c r="I13" s="101">
        <v>0</v>
      </c>
      <c r="J13" s="101">
        <v>0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  <c r="W13" s="101">
        <v>0</v>
      </c>
      <c r="X13" s="101">
        <v>0</v>
      </c>
      <c r="Y13" s="101">
        <v>0</v>
      </c>
      <c r="Z13" s="101">
        <v>0</v>
      </c>
      <c r="AA13" s="101">
        <v>0</v>
      </c>
      <c r="AB13" s="101">
        <v>0</v>
      </c>
      <c r="AC13" s="101">
        <v>0</v>
      </c>
      <c r="AD13" s="101">
        <v>0</v>
      </c>
    </row>
    <row r="14" spans="1:31" customFormat="1" x14ac:dyDescent="0.15">
      <c r="A14" s="147" t="s">
        <v>205</v>
      </c>
      <c r="B14" s="101">
        <v>0</v>
      </c>
      <c r="C14" s="101">
        <v>1</v>
      </c>
      <c r="D14" s="101">
        <v>0</v>
      </c>
      <c r="E14" s="101">
        <v>0</v>
      </c>
      <c r="F14" s="101">
        <v>0</v>
      </c>
      <c r="G14" s="101">
        <v>0</v>
      </c>
      <c r="H14" s="101">
        <v>0</v>
      </c>
      <c r="I14" s="101">
        <v>0</v>
      </c>
      <c r="J14" s="101">
        <v>0</v>
      </c>
      <c r="K14" s="101">
        <v>0</v>
      </c>
      <c r="L14" s="101">
        <v>0</v>
      </c>
      <c r="M14" s="101">
        <v>0</v>
      </c>
      <c r="N14" s="101">
        <v>0</v>
      </c>
      <c r="O14" s="101">
        <v>0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  <c r="W14" s="101">
        <v>0</v>
      </c>
      <c r="X14" s="101">
        <v>0</v>
      </c>
      <c r="Y14" s="101">
        <v>0</v>
      </c>
      <c r="Z14" s="101">
        <v>0</v>
      </c>
      <c r="AA14" s="101">
        <v>0</v>
      </c>
      <c r="AB14" s="101">
        <v>0</v>
      </c>
      <c r="AC14" s="101">
        <v>0</v>
      </c>
      <c r="AD14" s="101">
        <v>0</v>
      </c>
    </row>
    <row r="15" spans="1:31" customFormat="1" x14ac:dyDescent="0.15">
      <c r="A15" s="147" t="s">
        <v>206</v>
      </c>
      <c r="B15" s="101">
        <v>0</v>
      </c>
      <c r="C15" s="101">
        <v>1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101">
        <v>0</v>
      </c>
      <c r="J15" s="101">
        <v>0</v>
      </c>
      <c r="K15" s="101">
        <v>0</v>
      </c>
      <c r="L15" s="101">
        <v>0</v>
      </c>
      <c r="M15" s="101">
        <v>0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  <c r="W15" s="101">
        <v>0</v>
      </c>
      <c r="X15" s="101">
        <v>0</v>
      </c>
      <c r="Y15" s="101">
        <v>0</v>
      </c>
      <c r="Z15" s="101">
        <v>0</v>
      </c>
      <c r="AA15" s="101">
        <v>0</v>
      </c>
      <c r="AB15" s="101">
        <v>0</v>
      </c>
      <c r="AC15" s="101">
        <v>0</v>
      </c>
      <c r="AD15" s="101">
        <v>0</v>
      </c>
    </row>
    <row r="16" spans="1:31" customFormat="1" x14ac:dyDescent="0.15">
      <c r="A16" s="147" t="s">
        <v>207</v>
      </c>
      <c r="B16" s="101">
        <v>0</v>
      </c>
      <c r="C16" s="101">
        <v>1</v>
      </c>
      <c r="D16" s="101">
        <v>1</v>
      </c>
      <c r="E16" s="101">
        <v>1</v>
      </c>
      <c r="F16" s="101">
        <v>1</v>
      </c>
      <c r="G16" s="101">
        <v>1</v>
      </c>
      <c r="H16" s="101">
        <v>0</v>
      </c>
      <c r="I16" s="101">
        <v>0</v>
      </c>
      <c r="J16" s="101">
        <v>0</v>
      </c>
      <c r="K16" s="101">
        <v>0</v>
      </c>
      <c r="L16" s="101">
        <v>0</v>
      </c>
      <c r="M16" s="101">
        <v>0</v>
      </c>
      <c r="N16" s="101">
        <v>0</v>
      </c>
      <c r="O16" s="101">
        <v>0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  <c r="W16" s="101">
        <v>0</v>
      </c>
      <c r="X16" s="101">
        <v>0</v>
      </c>
      <c r="Y16" s="101">
        <v>0</v>
      </c>
      <c r="Z16" s="101">
        <v>0</v>
      </c>
      <c r="AA16" s="101">
        <v>0</v>
      </c>
      <c r="AB16" s="101">
        <v>0</v>
      </c>
      <c r="AC16" s="101">
        <v>0</v>
      </c>
      <c r="AD16" s="101">
        <v>0</v>
      </c>
    </row>
    <row r="17" spans="1:30" customFormat="1" x14ac:dyDescent="0.15">
      <c r="A17" s="147" t="s">
        <v>208</v>
      </c>
      <c r="B17" s="101">
        <v>1</v>
      </c>
      <c r="C17" s="101">
        <v>1</v>
      </c>
      <c r="D17" s="101">
        <v>0</v>
      </c>
      <c r="E17" s="101">
        <v>1</v>
      </c>
      <c r="F17" s="101">
        <v>1</v>
      </c>
      <c r="G17" s="101">
        <v>0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0</v>
      </c>
      <c r="N17" s="101">
        <v>0</v>
      </c>
      <c r="O17" s="101">
        <v>0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  <c r="W17" s="101">
        <v>0</v>
      </c>
      <c r="X17" s="101">
        <v>0</v>
      </c>
      <c r="Y17" s="101">
        <v>0</v>
      </c>
      <c r="Z17" s="101">
        <v>0</v>
      </c>
      <c r="AA17" s="101">
        <v>0</v>
      </c>
      <c r="AB17" s="101">
        <v>0</v>
      </c>
      <c r="AC17" s="101">
        <v>0</v>
      </c>
      <c r="AD17" s="101">
        <v>0</v>
      </c>
    </row>
    <row r="18" spans="1:30" customFormat="1" x14ac:dyDescent="0.15">
      <c r="A18" s="147" t="s">
        <v>209</v>
      </c>
      <c r="B18" s="101">
        <v>1</v>
      </c>
      <c r="C18" s="101">
        <v>1</v>
      </c>
      <c r="D18" s="101">
        <v>0</v>
      </c>
      <c r="E18" s="101">
        <v>1</v>
      </c>
      <c r="F18" s="101">
        <v>1</v>
      </c>
      <c r="G18" s="101">
        <v>1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0</v>
      </c>
      <c r="N18" s="101">
        <v>0</v>
      </c>
      <c r="O18" s="101">
        <v>0</v>
      </c>
      <c r="P18" s="101">
        <v>0</v>
      </c>
      <c r="Q18" s="101">
        <v>0</v>
      </c>
      <c r="R18" s="101">
        <v>0</v>
      </c>
      <c r="S18" s="101">
        <v>0</v>
      </c>
      <c r="T18" s="101">
        <v>0</v>
      </c>
      <c r="U18" s="101">
        <v>0</v>
      </c>
      <c r="V18" s="101">
        <v>0</v>
      </c>
      <c r="W18" s="101">
        <v>0</v>
      </c>
      <c r="X18" s="101">
        <v>0</v>
      </c>
      <c r="Y18" s="101">
        <v>0</v>
      </c>
      <c r="Z18" s="101">
        <v>0</v>
      </c>
      <c r="AA18" s="101">
        <v>0</v>
      </c>
      <c r="AB18" s="101">
        <v>0</v>
      </c>
      <c r="AC18" s="101">
        <v>0</v>
      </c>
      <c r="AD18" s="101">
        <v>0</v>
      </c>
    </row>
    <row r="19" spans="1:30" customFormat="1" x14ac:dyDescent="0.15">
      <c r="A19" s="147" t="s">
        <v>210</v>
      </c>
      <c r="B19" s="101">
        <v>0</v>
      </c>
      <c r="C19" s="101">
        <v>0</v>
      </c>
      <c r="D19" s="101">
        <v>0</v>
      </c>
      <c r="E19" s="101">
        <v>0</v>
      </c>
      <c r="F19" s="101">
        <v>0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</v>
      </c>
      <c r="N19" s="101">
        <v>0</v>
      </c>
      <c r="O19" s="101">
        <v>0</v>
      </c>
      <c r="P19" s="101">
        <v>0</v>
      </c>
      <c r="Q19" s="101">
        <v>0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  <c r="W19" s="101">
        <v>0</v>
      </c>
      <c r="X19" s="101">
        <v>0</v>
      </c>
      <c r="Y19" s="101">
        <v>0</v>
      </c>
      <c r="Z19" s="101">
        <v>0</v>
      </c>
      <c r="AA19" s="101">
        <v>0</v>
      </c>
      <c r="AB19" s="101">
        <v>0</v>
      </c>
      <c r="AC19" s="101">
        <v>0</v>
      </c>
      <c r="AD19" s="101">
        <v>0</v>
      </c>
    </row>
    <row r="20" spans="1:30" customFormat="1" x14ac:dyDescent="0.15">
      <c r="A20" s="147" t="s">
        <v>234</v>
      </c>
      <c r="B20" s="101">
        <v>1</v>
      </c>
      <c r="C20" s="101">
        <v>1</v>
      </c>
      <c r="D20" s="101">
        <v>1</v>
      </c>
      <c r="E20" s="101">
        <v>1</v>
      </c>
      <c r="F20" s="101">
        <v>1</v>
      </c>
      <c r="G20" s="101">
        <v>1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</v>
      </c>
      <c r="P20" s="101">
        <v>0</v>
      </c>
      <c r="Q20" s="101">
        <v>0</v>
      </c>
      <c r="R20" s="101">
        <v>0</v>
      </c>
      <c r="S20" s="101">
        <v>1</v>
      </c>
      <c r="T20" s="101">
        <v>0</v>
      </c>
      <c r="U20" s="101">
        <v>0</v>
      </c>
      <c r="V20" s="101">
        <v>0</v>
      </c>
      <c r="W20" s="101">
        <v>0</v>
      </c>
      <c r="X20" s="101">
        <v>0</v>
      </c>
      <c r="Y20" s="101">
        <v>0</v>
      </c>
      <c r="Z20" s="101">
        <v>0</v>
      </c>
      <c r="AA20" s="101">
        <v>0</v>
      </c>
      <c r="AB20" s="101">
        <v>0</v>
      </c>
      <c r="AC20" s="101">
        <v>0</v>
      </c>
      <c r="AD20" s="101">
        <v>0</v>
      </c>
    </row>
    <row r="21" spans="1:30" customFormat="1" x14ac:dyDescent="0.15">
      <c r="A21" s="147" t="s">
        <v>211</v>
      </c>
      <c r="B21" s="101">
        <v>0</v>
      </c>
      <c r="C21" s="101">
        <v>0</v>
      </c>
      <c r="D21" s="101">
        <v>1</v>
      </c>
      <c r="E21" s="101">
        <v>0</v>
      </c>
      <c r="F21" s="101">
        <v>0</v>
      </c>
      <c r="G21" s="101">
        <v>0</v>
      </c>
      <c r="H21" s="101">
        <v>0</v>
      </c>
      <c r="I21" s="101">
        <v>0</v>
      </c>
      <c r="J21" s="101">
        <v>0</v>
      </c>
      <c r="K21" s="101">
        <v>0</v>
      </c>
      <c r="L21" s="101">
        <v>0</v>
      </c>
      <c r="M21" s="101">
        <v>0</v>
      </c>
      <c r="N21" s="101">
        <v>0</v>
      </c>
      <c r="O21" s="101">
        <v>0</v>
      </c>
      <c r="P21" s="101">
        <v>0</v>
      </c>
      <c r="Q21" s="101">
        <v>0</v>
      </c>
      <c r="R21" s="101">
        <v>0</v>
      </c>
      <c r="S21" s="101">
        <v>0</v>
      </c>
      <c r="T21" s="101">
        <v>0</v>
      </c>
      <c r="U21" s="101">
        <v>0</v>
      </c>
      <c r="V21" s="101">
        <v>0</v>
      </c>
      <c r="W21" s="101">
        <v>0</v>
      </c>
      <c r="X21" s="101">
        <v>0</v>
      </c>
      <c r="Y21" s="101">
        <v>0</v>
      </c>
      <c r="Z21" s="101">
        <v>0</v>
      </c>
      <c r="AA21" s="101">
        <v>0</v>
      </c>
      <c r="AB21" s="101">
        <v>0</v>
      </c>
      <c r="AC21" s="101">
        <v>0</v>
      </c>
      <c r="AD21" s="101">
        <v>0</v>
      </c>
    </row>
    <row r="22" spans="1:30" customFormat="1" x14ac:dyDescent="0.15">
      <c r="A22" s="147" t="s">
        <v>212</v>
      </c>
      <c r="B22" s="101">
        <v>1</v>
      </c>
      <c r="C22" s="101">
        <v>1</v>
      </c>
      <c r="D22" s="101">
        <v>1</v>
      </c>
      <c r="E22" s="101">
        <v>1</v>
      </c>
      <c r="F22" s="101">
        <v>1</v>
      </c>
      <c r="G22" s="101">
        <v>1</v>
      </c>
      <c r="H22" s="101">
        <v>0</v>
      </c>
      <c r="I22" s="101">
        <v>0</v>
      </c>
      <c r="J22" s="101">
        <v>1</v>
      </c>
      <c r="K22" s="101">
        <v>0</v>
      </c>
      <c r="L22" s="101">
        <v>0</v>
      </c>
      <c r="M22" s="101">
        <v>0</v>
      </c>
      <c r="N22" s="101">
        <v>0</v>
      </c>
      <c r="O22" s="101">
        <v>1</v>
      </c>
      <c r="P22" s="101">
        <v>1</v>
      </c>
      <c r="Q22" s="101">
        <v>1</v>
      </c>
      <c r="R22" s="101">
        <v>1</v>
      </c>
      <c r="S22" s="101">
        <v>1</v>
      </c>
      <c r="T22" s="101">
        <v>1</v>
      </c>
      <c r="U22" s="101">
        <v>1</v>
      </c>
      <c r="V22" s="101">
        <v>1</v>
      </c>
      <c r="W22" s="101">
        <v>0</v>
      </c>
      <c r="X22" s="101">
        <v>0</v>
      </c>
      <c r="Y22" s="101">
        <v>0</v>
      </c>
      <c r="Z22" s="101">
        <v>0</v>
      </c>
      <c r="AA22" s="101">
        <v>0</v>
      </c>
      <c r="AB22" s="101">
        <v>0</v>
      </c>
      <c r="AC22" s="101">
        <v>0</v>
      </c>
      <c r="AD22" s="101">
        <v>0</v>
      </c>
    </row>
    <row r="23" spans="1:30" customFormat="1" x14ac:dyDescent="0.15">
      <c r="A23" s="147" t="s">
        <v>213</v>
      </c>
      <c r="B23" s="101">
        <v>1</v>
      </c>
      <c r="C23" s="101">
        <v>1</v>
      </c>
      <c r="D23" s="101">
        <v>1</v>
      </c>
      <c r="E23" s="101">
        <v>1</v>
      </c>
      <c r="F23" s="101">
        <v>1</v>
      </c>
      <c r="G23" s="101">
        <v>1</v>
      </c>
      <c r="H23" s="101">
        <v>1</v>
      </c>
      <c r="I23" s="101">
        <v>1</v>
      </c>
      <c r="J23" s="101">
        <v>1</v>
      </c>
      <c r="K23" s="101">
        <v>1</v>
      </c>
      <c r="L23" s="101">
        <v>1</v>
      </c>
      <c r="M23" s="101">
        <v>1</v>
      </c>
      <c r="N23" s="101">
        <v>1</v>
      </c>
      <c r="O23" s="101">
        <v>1</v>
      </c>
      <c r="P23" s="101">
        <v>1</v>
      </c>
      <c r="Q23" s="101">
        <v>1</v>
      </c>
      <c r="R23" s="101">
        <v>1</v>
      </c>
      <c r="S23" s="101">
        <v>1</v>
      </c>
      <c r="T23" s="101">
        <v>1</v>
      </c>
      <c r="U23" s="101">
        <v>1</v>
      </c>
      <c r="V23" s="101">
        <v>1</v>
      </c>
      <c r="W23" s="101">
        <v>1</v>
      </c>
      <c r="X23" s="101">
        <v>0</v>
      </c>
      <c r="Y23" s="101">
        <v>0</v>
      </c>
      <c r="Z23" s="101">
        <v>0</v>
      </c>
      <c r="AA23" s="101">
        <v>0</v>
      </c>
      <c r="AB23" s="101">
        <v>0</v>
      </c>
      <c r="AC23" s="101">
        <v>0</v>
      </c>
      <c r="AD23" s="101">
        <v>0</v>
      </c>
    </row>
    <row r="24" spans="1:30" customFormat="1" x14ac:dyDescent="0.15">
      <c r="A24" s="147" t="s">
        <v>214</v>
      </c>
      <c r="B24" s="101">
        <v>0</v>
      </c>
      <c r="C24" s="101">
        <v>0</v>
      </c>
      <c r="D24" s="101">
        <v>0</v>
      </c>
      <c r="E24" s="101">
        <v>0</v>
      </c>
      <c r="F24" s="101">
        <v>0</v>
      </c>
      <c r="G24" s="101">
        <v>0</v>
      </c>
      <c r="H24" s="101">
        <v>0</v>
      </c>
      <c r="I24" s="101">
        <v>0</v>
      </c>
      <c r="J24" s="101">
        <v>0</v>
      </c>
      <c r="K24" s="101">
        <v>0</v>
      </c>
      <c r="L24" s="101">
        <v>0</v>
      </c>
      <c r="M24" s="101">
        <v>0</v>
      </c>
      <c r="N24" s="101">
        <v>0</v>
      </c>
      <c r="O24" s="101">
        <v>0</v>
      </c>
      <c r="P24" s="101">
        <v>0</v>
      </c>
      <c r="Q24" s="101">
        <v>0</v>
      </c>
      <c r="R24" s="101">
        <v>0</v>
      </c>
      <c r="S24" s="101">
        <v>0</v>
      </c>
      <c r="T24" s="101">
        <v>0</v>
      </c>
      <c r="U24" s="101">
        <v>0</v>
      </c>
      <c r="V24" s="101">
        <v>0</v>
      </c>
      <c r="W24" s="101">
        <v>0</v>
      </c>
      <c r="X24" s="101">
        <v>0</v>
      </c>
      <c r="Y24" s="101">
        <v>0</v>
      </c>
      <c r="Z24" s="101">
        <v>0</v>
      </c>
      <c r="AA24" s="101">
        <v>0</v>
      </c>
      <c r="AB24" s="101">
        <v>0</v>
      </c>
      <c r="AC24" s="101">
        <v>0</v>
      </c>
      <c r="AD24" s="101">
        <v>0</v>
      </c>
    </row>
    <row r="25" spans="1:30" customFormat="1" x14ac:dyDescent="0.15">
      <c r="A25" s="147" t="s">
        <v>215</v>
      </c>
      <c r="B25" s="101">
        <v>0</v>
      </c>
      <c r="C25" s="101">
        <v>0</v>
      </c>
      <c r="D25" s="101">
        <v>0</v>
      </c>
      <c r="E25" s="101">
        <v>0</v>
      </c>
      <c r="F25" s="101">
        <v>0</v>
      </c>
      <c r="G25" s="101">
        <v>1</v>
      </c>
      <c r="H25" s="101">
        <v>0</v>
      </c>
      <c r="I25" s="101">
        <v>0</v>
      </c>
      <c r="J25" s="101">
        <v>1</v>
      </c>
      <c r="K25" s="101">
        <v>1</v>
      </c>
      <c r="L25" s="101">
        <v>0</v>
      </c>
      <c r="M25" s="101">
        <v>1</v>
      </c>
      <c r="N25" s="101">
        <v>0</v>
      </c>
      <c r="O25" s="101">
        <v>1</v>
      </c>
      <c r="P25" s="101">
        <v>1</v>
      </c>
      <c r="Q25" s="101">
        <v>1</v>
      </c>
      <c r="R25" s="101">
        <v>1</v>
      </c>
      <c r="S25" s="101">
        <v>0</v>
      </c>
      <c r="T25" s="101">
        <v>0</v>
      </c>
      <c r="U25" s="101">
        <v>0</v>
      </c>
      <c r="V25" s="101">
        <v>0</v>
      </c>
      <c r="W25" s="101">
        <v>0</v>
      </c>
      <c r="X25" s="101">
        <v>1</v>
      </c>
      <c r="Y25" s="101">
        <v>1</v>
      </c>
      <c r="Z25" s="101">
        <v>0</v>
      </c>
      <c r="AA25" s="101">
        <v>0</v>
      </c>
      <c r="AB25" s="101">
        <v>0</v>
      </c>
      <c r="AC25" s="101">
        <v>0</v>
      </c>
      <c r="AD25" s="101">
        <v>0</v>
      </c>
    </row>
    <row r="26" spans="1:30" customFormat="1" x14ac:dyDescent="0.15">
      <c r="A26" s="147" t="s">
        <v>216</v>
      </c>
      <c r="B26" s="101">
        <v>0</v>
      </c>
      <c r="C26" s="101">
        <v>0</v>
      </c>
      <c r="D26" s="101">
        <v>0</v>
      </c>
      <c r="E26" s="101">
        <v>0</v>
      </c>
      <c r="F26" s="101">
        <v>0</v>
      </c>
      <c r="G26" s="101">
        <v>0</v>
      </c>
      <c r="H26" s="101">
        <v>0</v>
      </c>
      <c r="I26" s="101">
        <v>0</v>
      </c>
      <c r="J26" s="101">
        <v>0</v>
      </c>
      <c r="K26" s="101">
        <v>1</v>
      </c>
      <c r="L26" s="101">
        <v>0</v>
      </c>
      <c r="M26" s="101">
        <v>0</v>
      </c>
      <c r="N26" s="101">
        <v>0</v>
      </c>
      <c r="O26" s="101">
        <v>0</v>
      </c>
      <c r="P26" s="101">
        <v>0</v>
      </c>
      <c r="Q26" s="101">
        <v>0</v>
      </c>
      <c r="R26" s="101">
        <v>1</v>
      </c>
      <c r="S26" s="101">
        <v>0</v>
      </c>
      <c r="T26" s="101">
        <v>0</v>
      </c>
      <c r="U26" s="101">
        <v>0</v>
      </c>
      <c r="V26" s="101">
        <v>0</v>
      </c>
      <c r="W26" s="101">
        <v>0</v>
      </c>
      <c r="X26" s="101">
        <v>1</v>
      </c>
      <c r="Y26" s="101">
        <v>1</v>
      </c>
      <c r="Z26" s="101">
        <v>0</v>
      </c>
      <c r="AA26" s="101">
        <v>0</v>
      </c>
      <c r="AB26" s="101">
        <v>0</v>
      </c>
      <c r="AC26" s="101">
        <v>0</v>
      </c>
      <c r="AD26" s="101">
        <v>0</v>
      </c>
    </row>
    <row r="27" spans="1:30" customFormat="1" x14ac:dyDescent="0.15">
      <c r="A27" s="147" t="s">
        <v>217</v>
      </c>
      <c r="B27" s="101">
        <v>0</v>
      </c>
      <c r="C27" s="101">
        <v>0</v>
      </c>
      <c r="D27" s="101">
        <v>0</v>
      </c>
      <c r="E27" s="101">
        <v>0</v>
      </c>
      <c r="F27" s="101">
        <v>0</v>
      </c>
      <c r="G27" s="101">
        <v>0</v>
      </c>
      <c r="H27" s="101">
        <v>1</v>
      </c>
      <c r="I27" s="101">
        <v>1</v>
      </c>
      <c r="J27" s="101">
        <v>1</v>
      </c>
      <c r="K27" s="101">
        <v>0</v>
      </c>
      <c r="L27" s="101">
        <v>1</v>
      </c>
      <c r="M27" s="101">
        <v>1</v>
      </c>
      <c r="N27" s="101">
        <v>1</v>
      </c>
      <c r="O27" s="101">
        <v>0</v>
      </c>
      <c r="P27" s="101">
        <v>0</v>
      </c>
      <c r="Q27" s="101">
        <v>0</v>
      </c>
      <c r="R27" s="101">
        <v>0</v>
      </c>
      <c r="S27" s="101">
        <v>1</v>
      </c>
      <c r="T27" s="101">
        <v>0</v>
      </c>
      <c r="U27" s="101">
        <v>0</v>
      </c>
      <c r="V27" s="101">
        <v>1</v>
      </c>
      <c r="W27" s="101">
        <v>0</v>
      </c>
      <c r="X27" s="101">
        <v>0</v>
      </c>
      <c r="Y27" s="101">
        <v>0</v>
      </c>
      <c r="Z27" s="101">
        <v>0</v>
      </c>
      <c r="AA27" s="101">
        <v>0</v>
      </c>
      <c r="AB27" s="101">
        <v>0</v>
      </c>
      <c r="AC27" s="101">
        <v>0</v>
      </c>
      <c r="AD27" s="101">
        <v>0</v>
      </c>
    </row>
    <row r="28" spans="1:30" customFormat="1" x14ac:dyDescent="0.15">
      <c r="A28" s="147" t="s">
        <v>218</v>
      </c>
      <c r="B28" s="101">
        <v>0</v>
      </c>
      <c r="C28" s="101">
        <v>0</v>
      </c>
      <c r="D28" s="101">
        <v>0</v>
      </c>
      <c r="E28" s="101">
        <v>0</v>
      </c>
      <c r="F28" s="101">
        <v>0</v>
      </c>
      <c r="G28" s="101">
        <v>0</v>
      </c>
      <c r="H28" s="101">
        <v>1</v>
      </c>
      <c r="I28" s="101">
        <v>1</v>
      </c>
      <c r="J28" s="101">
        <v>1</v>
      </c>
      <c r="K28" s="101">
        <v>1</v>
      </c>
      <c r="L28" s="101">
        <v>1</v>
      </c>
      <c r="M28" s="101">
        <v>1</v>
      </c>
      <c r="N28" s="101">
        <v>1</v>
      </c>
      <c r="O28" s="101">
        <v>0</v>
      </c>
      <c r="P28" s="101">
        <v>0</v>
      </c>
      <c r="Q28" s="101">
        <v>0</v>
      </c>
      <c r="R28" s="101">
        <v>1</v>
      </c>
      <c r="S28" s="101">
        <v>1</v>
      </c>
      <c r="T28" s="101">
        <v>0</v>
      </c>
      <c r="U28" s="101">
        <v>0</v>
      </c>
      <c r="V28" s="101">
        <v>0</v>
      </c>
      <c r="W28" s="101">
        <v>1</v>
      </c>
      <c r="X28" s="101">
        <v>0</v>
      </c>
      <c r="Y28" s="101">
        <v>0</v>
      </c>
      <c r="Z28" s="101">
        <v>0</v>
      </c>
      <c r="AA28" s="101">
        <v>0</v>
      </c>
      <c r="AB28" s="101">
        <v>0</v>
      </c>
      <c r="AC28" s="101">
        <v>0</v>
      </c>
      <c r="AD28" s="101">
        <v>0</v>
      </c>
    </row>
    <row r="29" spans="1:30" customFormat="1" x14ac:dyDescent="0.15">
      <c r="A29" s="147" t="s">
        <v>219</v>
      </c>
      <c r="B29" s="101">
        <v>0</v>
      </c>
      <c r="C29" s="101">
        <v>0</v>
      </c>
      <c r="D29" s="101">
        <v>0</v>
      </c>
      <c r="E29" s="101">
        <v>0</v>
      </c>
      <c r="F29" s="101">
        <v>0</v>
      </c>
      <c r="G29" s="101">
        <v>1</v>
      </c>
      <c r="H29" s="101">
        <v>1</v>
      </c>
      <c r="I29" s="101">
        <v>1</v>
      </c>
      <c r="J29" s="101">
        <v>1</v>
      </c>
      <c r="K29" s="101">
        <v>1</v>
      </c>
      <c r="L29" s="101">
        <v>1</v>
      </c>
      <c r="M29" s="101">
        <v>1</v>
      </c>
      <c r="N29" s="101">
        <v>0</v>
      </c>
      <c r="O29" s="101">
        <v>0</v>
      </c>
      <c r="P29" s="101">
        <v>0</v>
      </c>
      <c r="Q29" s="101">
        <v>0</v>
      </c>
      <c r="R29" s="101">
        <v>1</v>
      </c>
      <c r="S29" s="101">
        <v>1</v>
      </c>
      <c r="T29" s="101">
        <v>0</v>
      </c>
      <c r="U29" s="101">
        <v>1</v>
      </c>
      <c r="V29" s="101">
        <v>1</v>
      </c>
      <c r="W29" s="101">
        <v>1</v>
      </c>
      <c r="X29" s="101">
        <v>1</v>
      </c>
      <c r="Y29" s="101">
        <v>1</v>
      </c>
      <c r="Z29" s="101">
        <v>0</v>
      </c>
      <c r="AA29" s="101">
        <v>0</v>
      </c>
      <c r="AB29" s="101">
        <v>0</v>
      </c>
      <c r="AC29" s="101">
        <v>0</v>
      </c>
      <c r="AD29" s="101">
        <v>0</v>
      </c>
    </row>
    <row r="30" spans="1:30" customFormat="1" x14ac:dyDescent="0.15">
      <c r="A30" s="147" t="s">
        <v>220</v>
      </c>
      <c r="B30" s="101">
        <v>0</v>
      </c>
      <c r="C30" s="101">
        <v>0</v>
      </c>
      <c r="D30" s="101">
        <v>0</v>
      </c>
      <c r="E30" s="101">
        <v>0</v>
      </c>
      <c r="F30" s="101">
        <v>0</v>
      </c>
      <c r="G30" s="101">
        <v>0</v>
      </c>
      <c r="H30" s="101">
        <v>0</v>
      </c>
      <c r="I30" s="101">
        <v>0</v>
      </c>
      <c r="J30" s="101">
        <v>0</v>
      </c>
      <c r="K30" s="101">
        <v>0</v>
      </c>
      <c r="L30" s="101">
        <v>0</v>
      </c>
      <c r="M30" s="101">
        <v>0</v>
      </c>
      <c r="N30" s="101">
        <v>0</v>
      </c>
      <c r="O30" s="101">
        <v>0</v>
      </c>
      <c r="P30" s="101">
        <v>0</v>
      </c>
      <c r="Q30" s="101">
        <v>0</v>
      </c>
      <c r="R30" s="101">
        <v>0</v>
      </c>
      <c r="S30" s="101">
        <v>0</v>
      </c>
      <c r="T30" s="101">
        <v>0</v>
      </c>
      <c r="U30" s="101">
        <v>0</v>
      </c>
      <c r="V30" s="101">
        <v>0</v>
      </c>
      <c r="W30" s="101">
        <v>0</v>
      </c>
      <c r="X30" s="101">
        <v>0</v>
      </c>
      <c r="Y30" s="101">
        <v>0</v>
      </c>
      <c r="Z30" s="101">
        <v>0</v>
      </c>
      <c r="AA30" s="101">
        <v>0</v>
      </c>
      <c r="AB30" s="101">
        <v>0</v>
      </c>
      <c r="AC30" s="101">
        <v>0</v>
      </c>
      <c r="AD30" s="101">
        <v>0</v>
      </c>
    </row>
    <row r="31" spans="1:30" customFormat="1" x14ac:dyDescent="0.15">
      <c r="A31" s="147" t="s">
        <v>221</v>
      </c>
      <c r="B31" s="101">
        <v>1</v>
      </c>
      <c r="C31" s="101">
        <v>1</v>
      </c>
      <c r="D31" s="101">
        <v>1</v>
      </c>
      <c r="E31" s="101">
        <v>1</v>
      </c>
      <c r="F31" s="101">
        <v>1</v>
      </c>
      <c r="G31" s="101">
        <v>1</v>
      </c>
      <c r="H31" s="101">
        <v>0</v>
      </c>
      <c r="I31" s="101">
        <v>0</v>
      </c>
      <c r="J31" s="101">
        <v>0</v>
      </c>
      <c r="K31" s="101">
        <v>0</v>
      </c>
      <c r="L31" s="101">
        <v>0</v>
      </c>
      <c r="M31" s="101">
        <v>0</v>
      </c>
      <c r="N31" s="101">
        <v>0</v>
      </c>
      <c r="O31" s="101">
        <v>0</v>
      </c>
      <c r="P31" s="101">
        <v>0</v>
      </c>
      <c r="Q31" s="101">
        <v>0</v>
      </c>
      <c r="R31" s="101">
        <v>0</v>
      </c>
      <c r="S31" s="101">
        <v>0</v>
      </c>
      <c r="T31" s="101">
        <v>0</v>
      </c>
      <c r="U31" s="101">
        <v>0</v>
      </c>
      <c r="V31" s="101">
        <v>0</v>
      </c>
      <c r="W31" s="101">
        <v>0</v>
      </c>
      <c r="X31" s="101">
        <v>1</v>
      </c>
      <c r="Y31" s="101">
        <v>1</v>
      </c>
      <c r="Z31" s="101">
        <v>0</v>
      </c>
      <c r="AA31" s="101">
        <v>0</v>
      </c>
      <c r="AB31" s="101">
        <v>0</v>
      </c>
      <c r="AC31" s="101">
        <v>0</v>
      </c>
      <c r="AD31" s="10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B20" sqref="B20"/>
    </sheetView>
  </sheetViews>
  <sheetFormatPr baseColWidth="10" defaultRowHeight="13" x14ac:dyDescent="0.15"/>
  <cols>
    <col min="1" max="1" width="3.33203125" customWidth="1"/>
    <col min="2" max="2" width="23.664062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59" t="s">
        <v>225</v>
      </c>
    </row>
    <row r="2" spans="1:3" x14ac:dyDescent="0.15">
      <c r="A2">
        <v>1</v>
      </c>
      <c r="B2" s="149" t="s">
        <v>193</v>
      </c>
      <c r="C2">
        <v>0</v>
      </c>
    </row>
    <row r="3" spans="1:3" x14ac:dyDescent="0.15">
      <c r="A3">
        <v>2</v>
      </c>
      <c r="B3" s="149" t="s">
        <v>194</v>
      </c>
      <c r="C3">
        <v>0</v>
      </c>
    </row>
    <row r="4" spans="1:3" x14ac:dyDescent="0.15">
      <c r="A4">
        <v>3</v>
      </c>
      <c r="B4" s="149" t="s">
        <v>195</v>
      </c>
      <c r="C4">
        <v>0</v>
      </c>
    </row>
    <row r="5" spans="1:3" x14ac:dyDescent="0.15">
      <c r="A5">
        <v>4</v>
      </c>
      <c r="B5" s="149" t="s">
        <v>196</v>
      </c>
      <c r="C5">
        <v>0</v>
      </c>
    </row>
    <row r="6" spans="1:3" x14ac:dyDescent="0.15">
      <c r="A6">
        <v>5</v>
      </c>
      <c r="B6" s="149" t="s">
        <v>197</v>
      </c>
      <c r="C6">
        <v>0</v>
      </c>
    </row>
    <row r="7" spans="1:3" x14ac:dyDescent="0.15">
      <c r="A7">
        <v>6</v>
      </c>
      <c r="B7" s="149" t="s">
        <v>198</v>
      </c>
      <c r="C7">
        <v>0</v>
      </c>
    </row>
    <row r="8" spans="1:3" x14ac:dyDescent="0.15">
      <c r="A8">
        <v>7</v>
      </c>
      <c r="B8" s="149" t="s">
        <v>199</v>
      </c>
      <c r="C8">
        <v>0</v>
      </c>
    </row>
    <row r="9" spans="1:3" x14ac:dyDescent="0.15">
      <c r="A9">
        <v>8</v>
      </c>
      <c r="B9" s="149" t="s">
        <v>200</v>
      </c>
      <c r="C9">
        <v>0</v>
      </c>
    </row>
    <row r="10" spans="1:3" x14ac:dyDescent="0.15">
      <c r="A10">
        <v>9</v>
      </c>
      <c r="B10" s="149" t="s">
        <v>201</v>
      </c>
      <c r="C10">
        <v>0</v>
      </c>
    </row>
    <row r="11" spans="1:3" x14ac:dyDescent="0.15">
      <c r="A11">
        <v>10</v>
      </c>
      <c r="B11" s="149" t="s">
        <v>202</v>
      </c>
      <c r="C11">
        <v>0</v>
      </c>
    </row>
    <row r="12" spans="1:3" x14ac:dyDescent="0.15">
      <c r="A12">
        <v>11</v>
      </c>
      <c r="B12" s="149" t="s">
        <v>203</v>
      </c>
      <c r="C12">
        <v>0</v>
      </c>
    </row>
    <row r="13" spans="1:3" x14ac:dyDescent="0.15">
      <c r="A13">
        <v>12</v>
      </c>
      <c r="B13" s="149" t="s">
        <v>204</v>
      </c>
      <c r="C13">
        <v>0</v>
      </c>
    </row>
    <row r="14" spans="1:3" x14ac:dyDescent="0.15">
      <c r="A14">
        <v>13</v>
      </c>
      <c r="B14" s="149" t="s">
        <v>205</v>
      </c>
      <c r="C14">
        <v>0</v>
      </c>
    </row>
    <row r="15" spans="1:3" x14ac:dyDescent="0.15">
      <c r="A15">
        <v>14</v>
      </c>
      <c r="B15" s="149" t="s">
        <v>206</v>
      </c>
      <c r="C15">
        <v>0</v>
      </c>
    </row>
    <row r="16" spans="1:3" x14ac:dyDescent="0.15">
      <c r="A16">
        <v>15</v>
      </c>
      <c r="B16" s="149" t="s">
        <v>207</v>
      </c>
      <c r="C16">
        <v>0</v>
      </c>
    </row>
    <row r="17" spans="1:3" x14ac:dyDescent="0.15">
      <c r="A17">
        <v>16</v>
      </c>
      <c r="B17" s="149" t="s">
        <v>208</v>
      </c>
      <c r="C17">
        <v>0</v>
      </c>
    </row>
    <row r="18" spans="1:3" x14ac:dyDescent="0.15">
      <c r="A18">
        <v>17</v>
      </c>
      <c r="B18" s="149" t="s">
        <v>209</v>
      </c>
      <c r="C18">
        <v>0</v>
      </c>
    </row>
    <row r="19" spans="1:3" x14ac:dyDescent="0.15">
      <c r="A19">
        <v>18</v>
      </c>
      <c r="B19" s="149" t="s">
        <v>210</v>
      </c>
      <c r="C19">
        <v>0</v>
      </c>
    </row>
    <row r="20" spans="1:3" x14ac:dyDescent="0.15">
      <c r="A20">
        <v>19</v>
      </c>
      <c r="B20" s="149" t="s">
        <v>234</v>
      </c>
      <c r="C20">
        <v>0</v>
      </c>
    </row>
    <row r="21" spans="1:3" x14ac:dyDescent="0.15">
      <c r="A21">
        <v>20</v>
      </c>
      <c r="B21" s="149" t="s">
        <v>211</v>
      </c>
      <c r="C21">
        <v>0</v>
      </c>
    </row>
    <row r="22" spans="1:3" x14ac:dyDescent="0.15">
      <c r="A22">
        <v>21</v>
      </c>
      <c r="B22" s="149" t="s">
        <v>212</v>
      </c>
      <c r="C22">
        <v>0</v>
      </c>
    </row>
    <row r="23" spans="1:3" x14ac:dyDescent="0.15">
      <c r="A23">
        <v>22</v>
      </c>
      <c r="B23" s="149" t="s">
        <v>213</v>
      </c>
      <c r="C23">
        <v>0</v>
      </c>
    </row>
    <row r="24" spans="1:3" x14ac:dyDescent="0.15">
      <c r="A24">
        <v>23</v>
      </c>
      <c r="B24" s="149" t="s">
        <v>214</v>
      </c>
      <c r="C24">
        <v>0</v>
      </c>
    </row>
    <row r="25" spans="1:3" x14ac:dyDescent="0.15">
      <c r="A25">
        <v>24</v>
      </c>
      <c r="B25" s="149" t="s">
        <v>215</v>
      </c>
      <c r="C25">
        <v>0</v>
      </c>
    </row>
    <row r="26" spans="1:3" x14ac:dyDescent="0.15">
      <c r="A26">
        <v>25</v>
      </c>
      <c r="B26" s="149" t="s">
        <v>216</v>
      </c>
      <c r="C26">
        <v>0</v>
      </c>
    </row>
    <row r="27" spans="1:3" x14ac:dyDescent="0.15">
      <c r="A27">
        <v>26</v>
      </c>
      <c r="B27" s="149" t="s">
        <v>217</v>
      </c>
      <c r="C27">
        <v>0</v>
      </c>
    </row>
    <row r="28" spans="1:3" x14ac:dyDescent="0.15">
      <c r="A28">
        <v>27</v>
      </c>
      <c r="B28" s="149" t="s">
        <v>218</v>
      </c>
      <c r="C28">
        <v>0</v>
      </c>
    </row>
    <row r="29" spans="1:3" x14ac:dyDescent="0.15">
      <c r="A29">
        <v>28</v>
      </c>
      <c r="B29" s="149" t="s">
        <v>219</v>
      </c>
      <c r="C29">
        <v>0</v>
      </c>
    </row>
    <row r="30" spans="1:3" x14ac:dyDescent="0.15">
      <c r="A30">
        <v>29</v>
      </c>
      <c r="B30" s="149" t="s">
        <v>220</v>
      </c>
      <c r="C3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0"/>
  <sheetViews>
    <sheetView workbookViewId="0">
      <selection activeCell="B20" sqref="B20"/>
    </sheetView>
  </sheetViews>
  <sheetFormatPr baseColWidth="10" defaultRowHeight="13" x14ac:dyDescent="0.15"/>
  <cols>
    <col min="1" max="1" width="3.33203125" customWidth="1"/>
    <col min="2" max="2" width="23.664062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9" t="s">
        <v>225</v>
      </c>
    </row>
    <row r="2" spans="1:3" x14ac:dyDescent="0.15">
      <c r="A2">
        <v>1</v>
      </c>
      <c r="B2" s="150" t="s">
        <v>193</v>
      </c>
      <c r="C2">
        <v>0</v>
      </c>
    </row>
    <row r="3" spans="1:3" x14ac:dyDescent="0.15">
      <c r="A3">
        <v>2</v>
      </c>
      <c r="B3" s="150" t="s">
        <v>194</v>
      </c>
      <c r="C3">
        <v>0</v>
      </c>
    </row>
    <row r="4" spans="1:3" x14ac:dyDescent="0.15">
      <c r="A4">
        <v>3</v>
      </c>
      <c r="B4" s="150" t="s">
        <v>195</v>
      </c>
      <c r="C4">
        <v>0</v>
      </c>
    </row>
    <row r="5" spans="1:3" x14ac:dyDescent="0.15">
      <c r="A5">
        <v>4</v>
      </c>
      <c r="B5" s="150" t="s">
        <v>196</v>
      </c>
      <c r="C5">
        <v>0</v>
      </c>
    </row>
    <row r="6" spans="1:3" x14ac:dyDescent="0.15">
      <c r="A6">
        <v>5</v>
      </c>
      <c r="B6" s="150" t="s">
        <v>197</v>
      </c>
      <c r="C6">
        <v>0</v>
      </c>
    </row>
    <row r="7" spans="1:3" x14ac:dyDescent="0.15">
      <c r="A7">
        <v>6</v>
      </c>
      <c r="B7" s="150" t="s">
        <v>198</v>
      </c>
      <c r="C7">
        <v>0</v>
      </c>
    </row>
    <row r="8" spans="1:3" x14ac:dyDescent="0.15">
      <c r="A8">
        <v>7</v>
      </c>
      <c r="B8" s="150" t="s">
        <v>199</v>
      </c>
      <c r="C8">
        <v>0</v>
      </c>
    </row>
    <row r="9" spans="1:3" x14ac:dyDescent="0.15">
      <c r="A9">
        <v>8</v>
      </c>
      <c r="B9" s="150" t="s">
        <v>200</v>
      </c>
      <c r="C9">
        <v>0</v>
      </c>
    </row>
    <row r="10" spans="1:3" x14ac:dyDescent="0.15">
      <c r="A10">
        <v>9</v>
      </c>
      <c r="B10" s="150" t="s">
        <v>201</v>
      </c>
      <c r="C10">
        <v>0</v>
      </c>
    </row>
    <row r="11" spans="1:3" x14ac:dyDescent="0.15">
      <c r="A11">
        <v>10</v>
      </c>
      <c r="B11" s="150" t="s">
        <v>202</v>
      </c>
      <c r="C11">
        <v>0</v>
      </c>
    </row>
    <row r="12" spans="1:3" x14ac:dyDescent="0.15">
      <c r="A12">
        <v>11</v>
      </c>
      <c r="B12" s="150" t="s">
        <v>203</v>
      </c>
      <c r="C12">
        <v>0</v>
      </c>
    </row>
    <row r="13" spans="1:3" x14ac:dyDescent="0.15">
      <c r="A13">
        <v>12</v>
      </c>
      <c r="B13" s="150" t="s">
        <v>204</v>
      </c>
      <c r="C13">
        <v>0</v>
      </c>
    </row>
    <row r="14" spans="1:3" x14ac:dyDescent="0.15">
      <c r="A14">
        <v>13</v>
      </c>
      <c r="B14" s="150" t="s">
        <v>205</v>
      </c>
      <c r="C14">
        <v>0</v>
      </c>
    </row>
    <row r="15" spans="1:3" x14ac:dyDescent="0.15">
      <c r="A15">
        <v>14</v>
      </c>
      <c r="B15" s="150" t="s">
        <v>206</v>
      </c>
      <c r="C15">
        <v>0</v>
      </c>
    </row>
    <row r="16" spans="1:3" x14ac:dyDescent="0.15">
      <c r="A16">
        <v>15</v>
      </c>
      <c r="B16" s="150" t="s">
        <v>207</v>
      </c>
      <c r="C16">
        <v>0</v>
      </c>
    </row>
    <row r="17" spans="1:3" x14ac:dyDescent="0.15">
      <c r="A17">
        <v>16</v>
      </c>
      <c r="B17" s="150" t="s">
        <v>208</v>
      </c>
      <c r="C17">
        <v>0</v>
      </c>
    </row>
    <row r="18" spans="1:3" x14ac:dyDescent="0.15">
      <c r="A18">
        <v>17</v>
      </c>
      <c r="B18" s="150" t="s">
        <v>209</v>
      </c>
      <c r="C18">
        <v>0</v>
      </c>
    </row>
    <row r="19" spans="1:3" x14ac:dyDescent="0.15">
      <c r="A19">
        <v>18</v>
      </c>
      <c r="B19" s="150" t="s">
        <v>210</v>
      </c>
      <c r="C19">
        <v>0</v>
      </c>
    </row>
    <row r="20" spans="1:3" x14ac:dyDescent="0.15">
      <c r="A20">
        <v>19</v>
      </c>
      <c r="B20" s="150" t="s">
        <v>234</v>
      </c>
      <c r="C20">
        <v>0</v>
      </c>
    </row>
    <row r="21" spans="1:3" x14ac:dyDescent="0.15">
      <c r="A21">
        <v>20</v>
      </c>
      <c r="B21" s="150" t="s">
        <v>211</v>
      </c>
      <c r="C21">
        <v>0</v>
      </c>
    </row>
    <row r="22" spans="1:3" x14ac:dyDescent="0.15">
      <c r="A22">
        <v>21</v>
      </c>
      <c r="B22" s="150" t="s">
        <v>212</v>
      </c>
      <c r="C22">
        <v>0</v>
      </c>
    </row>
    <row r="23" spans="1:3" x14ac:dyDescent="0.15">
      <c r="A23">
        <v>22</v>
      </c>
      <c r="B23" s="150" t="s">
        <v>213</v>
      </c>
      <c r="C23">
        <v>0</v>
      </c>
    </row>
    <row r="24" spans="1:3" x14ac:dyDescent="0.15">
      <c r="A24">
        <v>23</v>
      </c>
      <c r="B24" s="150" t="s">
        <v>214</v>
      </c>
      <c r="C24">
        <v>0</v>
      </c>
    </row>
    <row r="25" spans="1:3" x14ac:dyDescent="0.15">
      <c r="A25">
        <v>24</v>
      </c>
      <c r="B25" s="150" t="s">
        <v>215</v>
      </c>
      <c r="C25">
        <v>0</v>
      </c>
    </row>
    <row r="26" spans="1:3" x14ac:dyDescent="0.15">
      <c r="A26">
        <v>25</v>
      </c>
      <c r="B26" s="150" t="s">
        <v>216</v>
      </c>
      <c r="C26">
        <v>0</v>
      </c>
    </row>
    <row r="27" spans="1:3" x14ac:dyDescent="0.15">
      <c r="A27">
        <v>26</v>
      </c>
      <c r="B27" s="150" t="s">
        <v>217</v>
      </c>
      <c r="C27">
        <v>0</v>
      </c>
    </row>
    <row r="28" spans="1:3" x14ac:dyDescent="0.15">
      <c r="A28">
        <v>27</v>
      </c>
      <c r="B28" s="150" t="s">
        <v>218</v>
      </c>
      <c r="C28">
        <v>0</v>
      </c>
    </row>
    <row r="29" spans="1:3" x14ac:dyDescent="0.15">
      <c r="A29">
        <v>28</v>
      </c>
      <c r="B29" s="150" t="s">
        <v>219</v>
      </c>
      <c r="C29">
        <v>0</v>
      </c>
    </row>
    <row r="30" spans="1:3" x14ac:dyDescent="0.15">
      <c r="A30">
        <v>29</v>
      </c>
      <c r="B30" s="150" t="s">
        <v>220</v>
      </c>
      <c r="C3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20" sqref="B20"/>
    </sheetView>
  </sheetViews>
  <sheetFormatPr baseColWidth="10" defaultColWidth="8.83203125" defaultRowHeight="15" customHeight="1" x14ac:dyDescent="0.15"/>
  <cols>
    <col min="1" max="1" width="8.83203125" style="76"/>
    <col min="2" max="2" width="41.83203125" style="76" bestFit="1" customWidth="1"/>
    <col min="3" max="3" width="9.33203125" style="76" bestFit="1" customWidth="1"/>
    <col min="4" max="4" width="13" style="76" bestFit="1" customWidth="1"/>
    <col min="5" max="6" width="9.33203125" style="76" bestFit="1" customWidth="1"/>
    <col min="7" max="7" width="9.33203125" style="92" bestFit="1" customWidth="1"/>
    <col min="8" max="8" width="9.33203125" style="76" bestFit="1" customWidth="1"/>
    <col min="9" max="9" width="11" style="76" customWidth="1"/>
    <col min="10" max="10" width="8.83203125" style="76"/>
    <col min="15" max="16384" width="8.83203125" style="7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92">
        <v>1</v>
      </c>
      <c r="B2" s="192" t="s">
        <v>193</v>
      </c>
      <c r="C2" s="8">
        <v>3.4947588443756104</v>
      </c>
      <c r="D2" s="9">
        <v>1.9999999552965164E-2</v>
      </c>
      <c r="E2" s="9">
        <v>5.4000000953674316</v>
      </c>
      <c r="F2" s="9">
        <v>76.5</v>
      </c>
      <c r="G2" s="7">
        <v>0</v>
      </c>
      <c r="H2" s="9">
        <v>7.0588238537311554E-2</v>
      </c>
      <c r="I2">
        <v>0</v>
      </c>
      <c r="J2"/>
    </row>
    <row r="3" spans="1:10" ht="15" customHeight="1" x14ac:dyDescent="0.15">
      <c r="A3" s="193">
        <v>2</v>
      </c>
      <c r="B3" s="193" t="s">
        <v>194</v>
      </c>
      <c r="C3" s="8">
        <v>3.5599839687347412</v>
      </c>
      <c r="D3" s="9">
        <v>0.17000000178813934</v>
      </c>
      <c r="E3" s="9">
        <v>0.26399999856948853</v>
      </c>
      <c r="F3" s="9">
        <v>3.2000000476837158</v>
      </c>
      <c r="G3" s="7">
        <v>0</v>
      </c>
      <c r="H3" s="9">
        <v>8.2499995827674866E-2</v>
      </c>
      <c r="I3">
        <v>0</v>
      </c>
      <c r="J3"/>
    </row>
    <row r="4" spans="1:10" ht="15" customHeight="1" x14ac:dyDescent="0.15">
      <c r="A4" s="194">
        <v>3</v>
      </c>
      <c r="B4" s="194" t="s">
        <v>195</v>
      </c>
      <c r="C4" s="8">
        <v>3.4736242294311523</v>
      </c>
      <c r="D4" s="9">
        <v>1.7999999523162842</v>
      </c>
      <c r="E4" s="9">
        <v>0.56599998474121094</v>
      </c>
      <c r="F4" s="9">
        <v>3.0999999046325684</v>
      </c>
      <c r="G4" s="9">
        <v>0.30427956581115723</v>
      </c>
      <c r="H4" s="9">
        <v>0.18258064985275269</v>
      </c>
      <c r="I4">
        <v>0</v>
      </c>
      <c r="J4"/>
    </row>
    <row r="5" spans="1:10" ht="15" customHeight="1" x14ac:dyDescent="0.15">
      <c r="A5" s="195">
        <v>4</v>
      </c>
      <c r="B5" s="195" t="s">
        <v>196</v>
      </c>
      <c r="C5" s="8">
        <v>3.2753586769104004</v>
      </c>
      <c r="D5" s="9">
        <v>2.2200000286102295</v>
      </c>
      <c r="E5" s="9">
        <v>0.52399998903274536</v>
      </c>
      <c r="F5" s="9">
        <v>5.5</v>
      </c>
      <c r="G5" s="9">
        <v>0.11574547737836838</v>
      </c>
      <c r="H5" s="9">
        <v>9.5272727310657501E-2</v>
      </c>
      <c r="I5">
        <v>0</v>
      </c>
      <c r="J5"/>
    </row>
    <row r="6" spans="1:10" ht="15" customHeight="1" x14ac:dyDescent="0.15">
      <c r="A6" s="196">
        <v>5</v>
      </c>
      <c r="B6" s="196" t="s">
        <v>197</v>
      </c>
      <c r="C6" s="8">
        <v>3.2761290073394775</v>
      </c>
      <c r="D6" s="9">
        <v>0.20000000298023224</v>
      </c>
      <c r="E6" s="9">
        <v>1.2999999523162842</v>
      </c>
      <c r="F6" s="9">
        <v>6.6999998092651367</v>
      </c>
      <c r="G6" s="9">
        <v>0.97935014963150024</v>
      </c>
      <c r="H6" s="9">
        <v>0.19402985274791718</v>
      </c>
      <c r="I6">
        <v>0</v>
      </c>
      <c r="J6"/>
    </row>
    <row r="7" spans="1:10" ht="15" customHeight="1" x14ac:dyDescent="0.15">
      <c r="A7" s="197">
        <v>6</v>
      </c>
      <c r="B7" s="197" t="s">
        <v>198</v>
      </c>
      <c r="C7" s="8">
        <v>3.0358872413635254</v>
      </c>
      <c r="D7" s="9">
        <v>2.119999885559082</v>
      </c>
      <c r="E7" s="9">
        <v>1.1629999876022339</v>
      </c>
      <c r="F7" s="9">
        <v>11.300000190734863</v>
      </c>
      <c r="G7" s="9">
        <v>0.23610486090183258</v>
      </c>
      <c r="H7" s="9">
        <v>0.10292035341262817</v>
      </c>
      <c r="I7">
        <v>0</v>
      </c>
      <c r="J7"/>
    </row>
    <row r="8" spans="1:10" ht="15" customHeight="1" x14ac:dyDescent="0.15">
      <c r="A8" s="198">
        <v>7</v>
      </c>
      <c r="B8" s="198" t="s">
        <v>199</v>
      </c>
      <c r="C8" s="8">
        <v>2.1010100841522217</v>
      </c>
      <c r="D8" s="9">
        <v>9.8599996566772461</v>
      </c>
      <c r="E8" s="9">
        <v>0.95999997854232788</v>
      </c>
      <c r="F8" s="9">
        <v>10.899999618530273</v>
      </c>
      <c r="G8" s="9">
        <v>0.2384234219789505</v>
      </c>
      <c r="H8" s="9">
        <v>8.8073395192623138E-2</v>
      </c>
      <c r="I8">
        <v>0</v>
      </c>
      <c r="J8"/>
    </row>
    <row r="9" spans="1:10" ht="15" customHeight="1" x14ac:dyDescent="0.15">
      <c r="A9" s="199">
        <v>8</v>
      </c>
      <c r="B9" s="199" t="s">
        <v>200</v>
      </c>
      <c r="C9" s="8">
        <v>2.0303030014038086</v>
      </c>
      <c r="D9" s="9">
        <v>0.46000000834465027</v>
      </c>
      <c r="E9" s="9">
        <v>1.7400000095367432</v>
      </c>
      <c r="F9" s="9">
        <v>14.699999809265137</v>
      </c>
      <c r="G9" s="9">
        <v>0.39522591233253479</v>
      </c>
      <c r="H9" s="9">
        <v>0.11836735159158707</v>
      </c>
      <c r="I9">
        <v>0</v>
      </c>
      <c r="J9"/>
    </row>
    <row r="10" spans="1:10" ht="15" customHeight="1" x14ac:dyDescent="0.15">
      <c r="A10" s="200">
        <v>9</v>
      </c>
      <c r="B10" s="200" t="s">
        <v>201</v>
      </c>
      <c r="C10" s="8">
        <v>2.386188268661499</v>
      </c>
      <c r="D10" s="9">
        <v>0.20000000298023224</v>
      </c>
      <c r="E10" s="9">
        <v>1.6699999570846558</v>
      </c>
      <c r="F10" s="9">
        <v>14.100000381469727</v>
      </c>
      <c r="G10" s="9">
        <v>0.60676473379135132</v>
      </c>
      <c r="H10" s="9">
        <v>0.11843971163034439</v>
      </c>
      <c r="I10">
        <v>0</v>
      </c>
      <c r="J10"/>
    </row>
    <row r="11" spans="1:10" ht="15" customHeight="1" x14ac:dyDescent="0.15">
      <c r="A11" s="201">
        <v>10</v>
      </c>
      <c r="B11" s="201" t="s">
        <v>202</v>
      </c>
      <c r="C11" s="8">
        <v>2.4183099269866943</v>
      </c>
      <c r="D11" s="9">
        <v>0.99000000953674316</v>
      </c>
      <c r="E11" s="9">
        <v>1.2200000286102295</v>
      </c>
      <c r="F11" s="9">
        <v>11.199999809265137</v>
      </c>
      <c r="G11" s="9">
        <v>0.39005944132804871</v>
      </c>
      <c r="H11" s="9">
        <v>0.10892857611179352</v>
      </c>
      <c r="I11">
        <v>0</v>
      </c>
      <c r="J11"/>
    </row>
    <row r="12" spans="1:10" ht="15" customHeight="1" x14ac:dyDescent="0.15">
      <c r="A12" s="202">
        <v>11</v>
      </c>
      <c r="B12" s="202" t="s">
        <v>203</v>
      </c>
      <c r="C12" s="8">
        <v>2.2020201683044434</v>
      </c>
      <c r="D12" s="9">
        <v>1.1299999952316284</v>
      </c>
      <c r="E12" s="9">
        <v>1.0199999809265137</v>
      </c>
      <c r="F12" s="9">
        <v>6.1999998092651367</v>
      </c>
      <c r="G12" s="9">
        <v>0.24174824357032776</v>
      </c>
      <c r="H12" s="9">
        <v>0.1645161360502243</v>
      </c>
      <c r="I12">
        <v>0</v>
      </c>
      <c r="J12"/>
    </row>
    <row r="13" spans="1:10" ht="15" customHeight="1" x14ac:dyDescent="0.15">
      <c r="A13" s="203">
        <v>12</v>
      </c>
      <c r="B13" s="203" t="s">
        <v>204</v>
      </c>
      <c r="C13" s="8">
        <v>2.2632274627685547</v>
      </c>
      <c r="D13" s="9">
        <v>0.27000001072883606</v>
      </c>
      <c r="E13" s="9">
        <v>1.3200000524520874</v>
      </c>
      <c r="F13" s="9">
        <v>10</v>
      </c>
      <c r="G13" s="9">
        <v>0.90306508541107178</v>
      </c>
      <c r="H13" s="9">
        <v>0.13199999928474426</v>
      </c>
      <c r="I13">
        <v>0</v>
      </c>
      <c r="J13"/>
    </row>
    <row r="14" spans="1:10" ht="15" customHeight="1" x14ac:dyDescent="0.15">
      <c r="A14" s="204">
        <v>13</v>
      </c>
      <c r="B14" s="204" t="s">
        <v>205</v>
      </c>
      <c r="C14" s="8">
        <v>2.0202019214630127</v>
      </c>
      <c r="D14" s="9">
        <v>0.46000000834465027</v>
      </c>
      <c r="E14" s="9">
        <v>0.73000001907348633</v>
      </c>
      <c r="F14" s="9">
        <v>27.5</v>
      </c>
      <c r="G14" s="9">
        <v>8.1344619393348694E-2</v>
      </c>
      <c r="H14" s="9">
        <v>2.6545455679297447E-2</v>
      </c>
      <c r="I14">
        <v>0</v>
      </c>
      <c r="J14"/>
    </row>
    <row r="15" spans="1:10" ht="15" customHeight="1" x14ac:dyDescent="0.15">
      <c r="A15" s="205">
        <v>14</v>
      </c>
      <c r="B15" s="205" t="s">
        <v>206</v>
      </c>
      <c r="C15" s="8">
        <v>3.0774643421173096</v>
      </c>
      <c r="D15" s="9">
        <v>0.41600000858306885</v>
      </c>
      <c r="E15" s="9">
        <v>1.9199999570846558</v>
      </c>
      <c r="F15" s="9">
        <v>9.6000003814697266</v>
      </c>
      <c r="G15" s="9">
        <v>0.95262157917022705</v>
      </c>
      <c r="H15" s="9">
        <v>0.19999998807907104</v>
      </c>
      <c r="I15">
        <v>0</v>
      </c>
      <c r="J15"/>
    </row>
    <row r="16" spans="1:10" ht="15" customHeight="1" x14ac:dyDescent="0.15">
      <c r="A16" s="206">
        <v>15</v>
      </c>
      <c r="B16" s="206" t="s">
        <v>207</v>
      </c>
      <c r="C16" s="8">
        <v>3.1922969818115234</v>
      </c>
      <c r="D16" s="9">
        <v>2.1180000305175781</v>
      </c>
      <c r="E16" s="9">
        <v>1.2400000095367432</v>
      </c>
      <c r="F16" s="9">
        <v>8.3000001907348633</v>
      </c>
      <c r="G16" s="9">
        <v>0.48073059320449829</v>
      </c>
      <c r="H16" s="9">
        <v>0.1493975818157196</v>
      </c>
      <c r="I16">
        <v>0</v>
      </c>
      <c r="J16"/>
    </row>
    <row r="17" spans="1:10" ht="15" customHeight="1" x14ac:dyDescent="0.15">
      <c r="A17" s="207">
        <v>16</v>
      </c>
      <c r="B17" s="207" t="s">
        <v>208</v>
      </c>
      <c r="C17" s="8">
        <v>3.0937907695770264</v>
      </c>
      <c r="D17" s="9">
        <v>0.96200001239776611</v>
      </c>
      <c r="E17" s="9">
        <v>1.0700000524520874</v>
      </c>
      <c r="F17" s="9">
        <v>11.600000381469727</v>
      </c>
      <c r="G17" s="9">
        <v>0.52689272165298462</v>
      </c>
      <c r="H17" s="9">
        <v>9.2241384088993073E-2</v>
      </c>
      <c r="I17">
        <v>0</v>
      </c>
      <c r="J17"/>
    </row>
    <row r="18" spans="1:10" ht="15" customHeight="1" x14ac:dyDescent="0.15">
      <c r="A18" s="208">
        <v>17</v>
      </c>
      <c r="B18" s="208" t="s">
        <v>209</v>
      </c>
      <c r="C18" s="8">
        <v>2.3835301399230957</v>
      </c>
      <c r="D18" s="9">
        <v>0.79000002145767212</v>
      </c>
      <c r="E18" s="9">
        <v>2.7300000190734863</v>
      </c>
      <c r="F18" s="9">
        <v>25.100000381469727</v>
      </c>
      <c r="G18" s="9">
        <v>0.19111678004264832</v>
      </c>
      <c r="H18" s="9">
        <v>0.10876493901014328</v>
      </c>
      <c r="I18">
        <v>0</v>
      </c>
      <c r="J18"/>
    </row>
    <row r="19" spans="1:10" ht="15" customHeight="1" x14ac:dyDescent="0.15">
      <c r="A19" s="209">
        <v>18</v>
      </c>
      <c r="B19" s="209" t="s">
        <v>210</v>
      </c>
      <c r="C19" s="8">
        <v>2.8048114776611328</v>
      </c>
      <c r="D19" s="9">
        <v>2.199999988079071E-2</v>
      </c>
      <c r="E19" s="9">
        <v>0.28999999165534973</v>
      </c>
      <c r="F19" s="9">
        <v>2.3499999046325684</v>
      </c>
      <c r="G19" s="7">
        <v>0</v>
      </c>
      <c r="H19" s="9">
        <v>0.12340425699949265</v>
      </c>
      <c r="I19">
        <v>0</v>
      </c>
      <c r="J19"/>
    </row>
    <row r="20" spans="1:10" ht="15" customHeight="1" x14ac:dyDescent="0.15">
      <c r="A20" s="210">
        <v>19</v>
      </c>
      <c r="B20" s="210" t="s">
        <v>234</v>
      </c>
      <c r="C20" s="8">
        <v>3.1887295246124268</v>
      </c>
      <c r="D20" s="9">
        <v>0.4050000011920929</v>
      </c>
      <c r="E20" s="9">
        <v>6.4000000953674316</v>
      </c>
      <c r="F20" s="9">
        <v>36.5</v>
      </c>
      <c r="G20" s="9">
        <v>0.81487888097763062</v>
      </c>
      <c r="H20" s="9">
        <v>0.17534247040748596</v>
      </c>
      <c r="I20">
        <v>0</v>
      </c>
      <c r="J20"/>
    </row>
    <row r="21" spans="1:10" ht="15" customHeight="1" x14ac:dyDescent="0.15">
      <c r="A21" s="211">
        <v>20</v>
      </c>
      <c r="B21" s="211" t="s">
        <v>211</v>
      </c>
      <c r="C21" s="8">
        <v>2.6065924167633057</v>
      </c>
      <c r="D21" s="9">
        <v>5.1000003814697266</v>
      </c>
      <c r="E21" s="9">
        <v>1.2799999713897705</v>
      </c>
      <c r="F21" s="9">
        <v>7.4000000953674316</v>
      </c>
      <c r="G21" s="9">
        <v>0.30113705992698669</v>
      </c>
      <c r="H21" s="9">
        <v>0.17297296226024628</v>
      </c>
      <c r="I21">
        <v>0</v>
      </c>
      <c r="J21"/>
    </row>
    <row r="22" spans="1:10" ht="15" customHeight="1" x14ac:dyDescent="0.15">
      <c r="A22" s="212">
        <v>21</v>
      </c>
      <c r="B22" s="212" t="s">
        <v>212</v>
      </c>
      <c r="C22" s="8">
        <v>2.265284538269043</v>
      </c>
      <c r="D22" s="9">
        <v>16.233024597167969</v>
      </c>
      <c r="E22" s="9">
        <v>3.7999999523162842</v>
      </c>
      <c r="F22" s="9">
        <v>10</v>
      </c>
      <c r="G22" s="9">
        <v>0.89999991655349731</v>
      </c>
      <c r="H22" s="9">
        <v>0.37999999523162842</v>
      </c>
      <c r="I22">
        <v>0</v>
      </c>
      <c r="J22"/>
    </row>
    <row r="23" spans="1:10" ht="15" customHeight="1" x14ac:dyDescent="0.15">
      <c r="A23" s="213">
        <v>22</v>
      </c>
      <c r="B23" s="213" t="s">
        <v>213</v>
      </c>
      <c r="C23" s="8">
        <v>2.0101010799407959</v>
      </c>
      <c r="D23" s="9">
        <v>24.3594970703125</v>
      </c>
      <c r="E23" s="9">
        <v>4.940000057220459</v>
      </c>
      <c r="F23" s="9">
        <v>16.690000534057617</v>
      </c>
      <c r="G23" s="9">
        <v>0.85000002384185791</v>
      </c>
      <c r="H23" s="9">
        <v>0.29598560929298401</v>
      </c>
      <c r="I23">
        <v>0</v>
      </c>
      <c r="J23"/>
    </row>
    <row r="24" spans="1:10" ht="15" customHeight="1" x14ac:dyDescent="0.15">
      <c r="A24" s="214">
        <v>23</v>
      </c>
      <c r="B24" s="214" t="s">
        <v>214</v>
      </c>
      <c r="C24" s="8">
        <v>2.3415098190307617</v>
      </c>
      <c r="D24" s="9">
        <v>0.71100002527236938</v>
      </c>
      <c r="E24" s="9">
        <v>1.6599999666213989</v>
      </c>
      <c r="F24" s="9">
        <v>9.3999996185302734</v>
      </c>
      <c r="G24" s="7">
        <v>0</v>
      </c>
      <c r="H24" s="9">
        <v>0.17659574747085571</v>
      </c>
      <c r="I24">
        <v>0</v>
      </c>
      <c r="J24"/>
    </row>
    <row r="25" spans="1:10" ht="15" customHeight="1" x14ac:dyDescent="0.15">
      <c r="A25" s="215">
        <v>24</v>
      </c>
      <c r="B25" s="215" t="s">
        <v>215</v>
      </c>
      <c r="C25" s="8">
        <v>2.0814478397369385</v>
      </c>
      <c r="D25" s="9">
        <v>0.23749999701976776</v>
      </c>
      <c r="E25" s="9">
        <v>87</v>
      </c>
      <c r="F25" s="9">
        <v>160</v>
      </c>
      <c r="G25" s="9">
        <v>0.78972715139389038</v>
      </c>
      <c r="H25" s="9">
        <v>0.54374998807907104</v>
      </c>
      <c r="I25">
        <v>0</v>
      </c>
      <c r="J25"/>
    </row>
    <row r="26" spans="1:10" ht="15" customHeight="1" x14ac:dyDescent="0.15">
      <c r="A26" s="216">
        <v>25</v>
      </c>
      <c r="B26" s="216" t="s">
        <v>216</v>
      </c>
      <c r="C26" s="8">
        <v>1</v>
      </c>
      <c r="D26" s="9">
        <v>0.12999999523162842</v>
      </c>
      <c r="E26" s="9">
        <v>109.5</v>
      </c>
      <c r="F26" s="10"/>
      <c r="G26" s="9">
        <v>0.72838711738586426</v>
      </c>
      <c r="H26" s="10"/>
      <c r="I26">
        <v>0</v>
      </c>
      <c r="J26"/>
    </row>
    <row r="27" spans="1:10" ht="15" customHeight="1" x14ac:dyDescent="0.15">
      <c r="A27" s="217">
        <v>26</v>
      </c>
      <c r="B27" s="217" t="s">
        <v>217</v>
      </c>
      <c r="C27" s="8">
        <v>1</v>
      </c>
      <c r="D27" s="9">
        <v>211.63801574707031</v>
      </c>
      <c r="E27" s="9">
        <v>274</v>
      </c>
      <c r="F27" s="10"/>
      <c r="G27" s="9">
        <v>8.8566332124173641E-4</v>
      </c>
      <c r="H27" s="10"/>
      <c r="I27">
        <v>0</v>
      </c>
      <c r="J27"/>
    </row>
    <row r="28" spans="1:10" ht="15" customHeight="1" x14ac:dyDescent="0.15">
      <c r="A28" s="218">
        <v>27</v>
      </c>
      <c r="B28" s="218" t="s">
        <v>218</v>
      </c>
      <c r="C28" s="8">
        <v>1</v>
      </c>
      <c r="D28" s="9">
        <v>802.3125</v>
      </c>
      <c r="E28" s="9">
        <v>323</v>
      </c>
      <c r="F28" s="10"/>
      <c r="G28" s="9">
        <v>3.9037581882439554E-4</v>
      </c>
      <c r="H28" s="10"/>
      <c r="I28">
        <v>0</v>
      </c>
      <c r="J28"/>
    </row>
    <row r="29" spans="1:10" ht="15" customHeight="1" x14ac:dyDescent="0.15">
      <c r="A29" s="219">
        <v>28</v>
      </c>
      <c r="B29" s="219" t="s">
        <v>219</v>
      </c>
      <c r="C29" s="8">
        <v>1</v>
      </c>
      <c r="D29" s="9">
        <v>1</v>
      </c>
      <c r="E29" s="10"/>
      <c r="F29" s="10"/>
      <c r="G29" s="7">
        <v>1.7290221294388175E-3</v>
      </c>
      <c r="H29" s="10"/>
      <c r="I29">
        <v>0</v>
      </c>
      <c r="J29"/>
    </row>
    <row r="30" spans="1:10" ht="15" customHeight="1" x14ac:dyDescent="0.15">
      <c r="A30" s="220">
        <v>29</v>
      </c>
      <c r="B30" s="220" t="s">
        <v>220</v>
      </c>
      <c r="C30" s="8">
        <v>1</v>
      </c>
      <c r="D30" s="9">
        <v>5</v>
      </c>
      <c r="E30" s="10"/>
      <c r="F30" s="10"/>
      <c r="G30" s="7">
        <v>0</v>
      </c>
      <c r="H30" s="10"/>
      <c r="I30">
        <v>0</v>
      </c>
      <c r="J30"/>
    </row>
    <row r="31" spans="1:10" ht="15" customHeight="1" x14ac:dyDescent="0.15">
      <c r="A31" s="221">
        <v>30</v>
      </c>
      <c r="B31" s="221" t="s">
        <v>225</v>
      </c>
      <c r="C31" s="8">
        <v>1</v>
      </c>
      <c r="D31" s="10"/>
      <c r="E31" s="10"/>
      <c r="F31" s="10"/>
      <c r="G31" s="10"/>
      <c r="H31" s="10"/>
      <c r="I31">
        <v>0</v>
      </c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R2" activePane="bottomRight" state="frozen"/>
      <selection pane="topRight" activeCell="D1" sqref="D1"/>
      <selection pane="bottomLeft" activeCell="A2" sqref="A2"/>
      <selection pane="bottomRight" activeCell="A20" sqref="A20"/>
    </sheetView>
  </sheetViews>
  <sheetFormatPr baseColWidth="10" defaultColWidth="8.83203125" defaultRowHeight="15" customHeight="1" x14ac:dyDescent="0.15"/>
  <cols>
    <col min="1" max="1" width="40.33203125" style="76" bestFit="1" customWidth="1"/>
    <col min="2" max="4" width="9.5" style="76" bestFit="1" customWidth="1"/>
    <col min="5" max="7" width="9" style="76" bestFit="1" customWidth="1"/>
    <col min="8" max="16" width="12.6640625" style="76" bestFit="1" customWidth="1"/>
    <col min="17" max="17" width="12.33203125" style="76" bestFit="1" customWidth="1"/>
    <col min="18" max="18" width="8.83203125" style="76"/>
    <col min="19" max="21" width="9.33203125" style="76" bestFit="1" customWidth="1"/>
    <col min="22" max="23" width="8.83203125" style="76"/>
    <col min="24" max="24" width="9.33203125" style="76" bestFit="1" customWidth="1"/>
    <col min="25" max="27" width="8.83203125" style="76"/>
    <col min="28" max="58" width="9" style="76" bestFit="1" customWidth="1"/>
    <col min="59" max="59" width="12.33203125" style="76" bestFit="1" customWidth="1"/>
    <col min="60" max="60" width="9" style="76" bestFit="1" customWidth="1"/>
    <col min="61" max="61" width="11.33203125" style="76" bestFit="1" customWidth="1"/>
    <col min="62" max="77" width="9" style="76" bestFit="1" customWidth="1"/>
    <col min="78" max="78" width="12.33203125" style="76" bestFit="1" customWidth="1"/>
    <col min="79" max="79" width="9" style="76" bestFit="1" customWidth="1"/>
    <col min="80" max="80" width="12.33203125" style="76" bestFit="1" customWidth="1"/>
    <col min="81" max="107" width="9" style="76" bestFit="1" customWidth="1"/>
    <col min="108" max="108" width="11.33203125" style="76" bestFit="1" customWidth="1"/>
    <col min="109" max="124" width="9" style="76" bestFit="1" customWidth="1"/>
    <col min="125" max="125" width="10.33203125" style="76" bestFit="1" customWidth="1"/>
    <col min="126" max="129" width="9.33203125" style="76" bestFit="1" customWidth="1"/>
    <col min="130" max="130" width="9" style="76" bestFit="1" customWidth="1"/>
    <col min="131" max="134" width="9.33203125" style="76" bestFit="1" customWidth="1"/>
    <col min="135" max="165" width="9" style="76" bestFit="1" customWidth="1"/>
    <col min="166" max="166" width="12.33203125" style="76" bestFit="1" customWidth="1"/>
    <col min="167" max="170" width="9" style="76" bestFit="1" customWidth="1"/>
    <col min="171" max="176" width="8.83203125" style="76"/>
    <col min="177" max="177" width="13.83203125" style="76" bestFit="1" customWidth="1"/>
    <col min="178" max="16384" width="8.83203125" style="7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228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234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5.4000000953674316</v>
      </c>
      <c r="C2">
        <v>5.4000000953674316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0.26399999856948853</v>
      </c>
      <c r="C3">
        <v>0.26399999856948853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0.56599998474121094</v>
      </c>
      <c r="C4">
        <v>0.3937777578830719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0.52399998903274536</v>
      </c>
      <c r="C5">
        <v>0.46334937214851379</v>
      </c>
      <c r="D5"/>
      <c r="E5"/>
      <c r="F5" s="12">
        <v>2.4608571548014879E-3</v>
      </c>
      <c r="G5" s="27">
        <v>2.5125281885266304E-2</v>
      </c>
      <c r="H5" s="172">
        <v>5.4994553327560425E-2</v>
      </c>
      <c r="I5" s="18">
        <v>6.0354373417794704E-3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1.2999999523162842</v>
      </c>
      <c r="C6">
        <v>2.6844805106520653E-2</v>
      </c>
      <c r="D6"/>
      <c r="E6"/>
      <c r="F6" s="169">
        <v>0.27315512299537659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1.1629999876022339</v>
      </c>
      <c r="C7">
        <v>0.88841003179550171</v>
      </c>
      <c r="D7"/>
      <c r="E7" s="20">
        <v>5.0772733986377716E-2</v>
      </c>
      <c r="F7" s="17">
        <v>1.6270039603114128E-2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0.95999997854232788</v>
      </c>
      <c r="C8">
        <v>0.7311134934425354</v>
      </c>
      <c r="D8"/>
      <c r="E8" s="22">
        <v>7.7976095490157604E-3</v>
      </c>
      <c r="F8" s="18">
        <v>1.1077709496021271E-2</v>
      </c>
      <c r="G8" s="23">
        <v>5.6570111773908138E-3</v>
      </c>
      <c r="H8" s="64">
        <v>6.0832526534795761E-2</v>
      </c>
      <c r="I8" s="16">
        <v>1.4996064826846123E-2</v>
      </c>
      <c r="J8" s="181">
        <v>0.12936502695083618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1.7400000095367432</v>
      </c>
      <c r="C9">
        <v>1.0523068904876709</v>
      </c>
      <c r="D9"/>
      <c r="E9"/>
      <c r="F9" s="167">
        <v>5.9381574392318726E-2</v>
      </c>
      <c r="G9"/>
      <c r="H9" s="175">
        <v>0.52557277679443359</v>
      </c>
      <c r="I9" s="170">
        <v>0.12810295820236206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1.6699999570846558</v>
      </c>
      <c r="C10">
        <v>0.65670287609100342</v>
      </c>
      <c r="D10"/>
      <c r="E10"/>
      <c r="F10"/>
      <c r="G10"/>
      <c r="H10"/>
      <c r="I10" s="168">
        <v>0.26579460501670837</v>
      </c>
      <c r="J10" s="173">
        <v>0.63776963949203491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1.2200000286102295</v>
      </c>
      <c r="C11">
        <v>0.74412751197814941</v>
      </c>
      <c r="D11"/>
      <c r="E11"/>
      <c r="F11"/>
      <c r="G11"/>
      <c r="H11" s="129">
        <v>0.12107963114976883</v>
      </c>
      <c r="I11" s="18">
        <v>1.3630667701363564E-2</v>
      </c>
      <c r="J11" s="176">
        <v>0.25768473744392395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1.0199999809265137</v>
      </c>
      <c r="C12">
        <v>0.77341675758361816</v>
      </c>
      <c r="D12"/>
      <c r="E12"/>
      <c r="F12" s="166">
        <v>2.4173030629754066E-2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1.3200000524520874</v>
      </c>
      <c r="C13">
        <v>0.12795409560203552</v>
      </c>
      <c r="D13"/>
      <c r="E13"/>
      <c r="F13" s="133">
        <v>8.0934889614582062E-2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0.73000001907348633</v>
      </c>
      <c r="C14">
        <v>0.67061847448348999</v>
      </c>
      <c r="D14"/>
      <c r="E14"/>
      <c r="F14" s="165">
        <v>5.9381574392318726E-2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1.9199999570846558</v>
      </c>
      <c r="C15">
        <v>9.0966567397117615E-2</v>
      </c>
      <c r="D15"/>
      <c r="E15"/>
      <c r="F15" s="17">
        <v>2.6148766279220581E-2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1.2400000095367432</v>
      </c>
      <c r="C16">
        <v>0.64389407634735107</v>
      </c>
      <c r="D16"/>
      <c r="E16"/>
      <c r="F16" s="22">
        <v>1.0694080032408237E-2</v>
      </c>
      <c r="G16" s="166">
        <v>2.9888277873396873E-2</v>
      </c>
      <c r="H16" s="100">
        <v>0.21351779997348785</v>
      </c>
      <c r="I16" s="19">
        <v>2.0866638049483299E-2</v>
      </c>
      <c r="J16" s="177">
        <v>0.12044753134250641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1.0700000524520874</v>
      </c>
      <c r="C17">
        <v>0.50622481107711792</v>
      </c>
      <c r="D17"/>
      <c r="E17" s="13">
        <v>3.9960719645023346E-2</v>
      </c>
      <c r="F17" s="24">
        <v>2.8394516557455063E-2</v>
      </c>
      <c r="G17"/>
      <c r="H17" s="178">
        <v>0.37410104274749756</v>
      </c>
      <c r="I17" s="132">
        <v>3.0627533793449402E-2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2.7300000190734863</v>
      </c>
      <c r="C18">
        <v>2.2082512378692627</v>
      </c>
      <c r="D18"/>
      <c r="E18" s="63">
        <v>5.8393221348524094E-2</v>
      </c>
      <c r="F18" s="21">
        <v>5.5322583764791489E-2</v>
      </c>
      <c r="G18"/>
      <c r="H18" s="171">
        <v>0.1535770446062088</v>
      </c>
      <c r="I18" s="133">
        <v>0.16783110797405243</v>
      </c>
      <c r="J18" s="174">
        <v>0.30181467533111572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0.28999999165534973</v>
      </c>
      <c r="C19">
        <v>0.28999999165534973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234</v>
      </c>
      <c r="B20">
        <v>6.4000000953674316</v>
      </c>
      <c r="C20">
        <v>1.1847752332687378</v>
      </c>
      <c r="D20"/>
      <c r="E20" s="132">
        <v>0.18983808159828186</v>
      </c>
      <c r="F20" s="15">
        <v>6.7445740103721619E-2</v>
      </c>
      <c r="G20" s="169">
        <v>1.3471044301986694</v>
      </c>
      <c r="H20" s="179">
        <v>1.0484952926635742</v>
      </c>
      <c r="I20" s="23">
        <v>3.6374904215335846E-2</v>
      </c>
      <c r="J20" s="180">
        <v>2.5195839405059814</v>
      </c>
      <c r="K20"/>
      <c r="L20"/>
      <c r="M20"/>
      <c r="N20"/>
      <c r="O20"/>
      <c r="P20"/>
      <c r="Q20"/>
      <c r="R20"/>
      <c r="S20"/>
      <c r="T20"/>
      <c r="U20"/>
      <c r="V20" s="14">
        <v>6.3827158883213997E-3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1.2799999713897705</v>
      </c>
      <c r="C21">
        <v>0.89454454183578491</v>
      </c>
      <c r="D21"/>
      <c r="E21"/>
      <c r="F21"/>
      <c r="G21" s="175">
        <v>0.3854554295539856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3.7999999523162842</v>
      </c>
      <c r="C22">
        <v>0.38000032305717468</v>
      </c>
      <c r="D22"/>
      <c r="E22" s="14">
        <v>6.6308150999248028E-3</v>
      </c>
      <c r="F22" s="11">
        <v>1.0096278274431825E-3</v>
      </c>
      <c r="G22" s="24">
        <v>0.10091686993837357</v>
      </c>
      <c r="H22" s="69">
        <v>0.29559919238090515</v>
      </c>
      <c r="I22" s="22">
        <v>2.8982114046812057E-2</v>
      </c>
      <c r="J22" s="184">
        <v>0.27907547354698181</v>
      </c>
      <c r="K22"/>
      <c r="L22"/>
      <c r="M22" s="12">
        <v>1.7371993511915207E-2</v>
      </c>
      <c r="N22"/>
      <c r="O22"/>
      <c r="P22"/>
      <c r="Q22"/>
      <c r="R22" s="16">
        <v>6.1504252254962921E-2</v>
      </c>
      <c r="S22" s="190">
        <v>0.75805836915969849</v>
      </c>
      <c r="T22" s="62">
        <v>0.20623144507408142</v>
      </c>
      <c r="U22" s="16">
        <v>6.1076115816831589E-2</v>
      </c>
      <c r="V22" s="11">
        <v>1.1147028999403119E-3</v>
      </c>
      <c r="W22" s="71">
        <v>0.63745051622390747</v>
      </c>
      <c r="X22" s="186">
        <v>0.46497809886932373</v>
      </c>
      <c r="Y22" s="188">
        <v>0.5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4.940000057220459</v>
      </c>
      <c r="C23">
        <v>0.74099987745285034</v>
      </c>
      <c r="D23"/>
      <c r="E23" s="14">
        <v>6.3124792650341988E-3</v>
      </c>
      <c r="F23" s="11">
        <v>2.2426994109991938E-4</v>
      </c>
      <c r="G23" s="23">
        <v>3.3625189214944839E-2</v>
      </c>
      <c r="H23" s="25">
        <v>0.15439984202384949</v>
      </c>
      <c r="I23" s="14">
        <v>1.0484476573765278E-2</v>
      </c>
      <c r="J23" s="69">
        <v>0.39152467250823975</v>
      </c>
      <c r="K23" s="189">
        <v>0.44119957089424133</v>
      </c>
      <c r="L23" s="14">
        <v>8.327757939696312E-3</v>
      </c>
      <c r="M23" s="12">
        <v>1.7364891245961189E-2</v>
      </c>
      <c r="N23" s="19">
        <v>9.1036364436149597E-2</v>
      </c>
      <c r="O23" s="18">
        <v>5.752171203494072E-2</v>
      </c>
      <c r="P23" s="14">
        <v>1.1083973571658134E-2</v>
      </c>
      <c r="Q23" s="14">
        <v>1.0386092588305473E-2</v>
      </c>
      <c r="R23" s="166">
        <v>0.11476099491119385</v>
      </c>
      <c r="S23" s="13">
        <v>0.1804163008928299</v>
      </c>
      <c r="T23" s="62">
        <v>0.27486282587051392</v>
      </c>
      <c r="U23" s="26">
        <v>0.17094318568706512</v>
      </c>
      <c r="V23" s="11">
        <v>5.3059385390952229E-4</v>
      </c>
      <c r="W23" s="13">
        <v>0.18205425143241882</v>
      </c>
      <c r="X23" s="174">
        <v>0.54225260019302368</v>
      </c>
      <c r="Y23" s="191">
        <v>1.3327881097793579</v>
      </c>
      <c r="Z23" s="167">
        <v>0.16689999401569366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1.6599999666213989</v>
      </c>
      <c r="C24">
        <v>1.6599999666213989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87</v>
      </c>
      <c r="C25">
        <v>18.293737411499023</v>
      </c>
      <c r="D25"/>
      <c r="E25"/>
      <c r="F25"/>
      <c r="G25"/>
      <c r="H25"/>
      <c r="I25"/>
      <c r="J25" s="170">
        <v>6.4448299407958984</v>
      </c>
      <c r="K25"/>
      <c r="L25"/>
      <c r="M25" s="17">
        <v>1.1873685121536255</v>
      </c>
      <c r="N25" s="183">
        <v>9.3372640609741211</v>
      </c>
      <c r="O25"/>
      <c r="P25" s="21">
        <v>1.7052632570266724</v>
      </c>
      <c r="Q25"/>
      <c r="R25" s="15">
        <v>0.84075796604156494</v>
      </c>
      <c r="S25" s="20">
        <v>3.7009265422821045</v>
      </c>
      <c r="T25" s="62">
        <v>4.698610782623291</v>
      </c>
      <c r="U25" s="182">
        <v>8.3490533828735352</v>
      </c>
      <c r="V25"/>
      <c r="W25"/>
      <c r="X25"/>
      <c r="Y25"/>
      <c r="Z25"/>
      <c r="AA25" s="182">
        <v>8.4421901702880859</v>
      </c>
      <c r="AB25" s="185">
        <v>24.000001907348633</v>
      </c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109.5</v>
      </c>
      <c r="C26">
        <v>29.741611480712891</v>
      </c>
      <c r="D26"/>
      <c r="E26"/>
      <c r="F26"/>
      <c r="G26"/>
      <c r="H26"/>
      <c r="I26"/>
      <c r="J26"/>
      <c r="K26"/>
      <c r="L26"/>
      <c r="M26"/>
      <c r="N26" s="69">
        <v>8.529231071472168</v>
      </c>
      <c r="O26"/>
      <c r="P26"/>
      <c r="Q26"/>
      <c r="R26"/>
      <c r="S26"/>
      <c r="T26"/>
      <c r="U26" s="66">
        <v>7.6265392303466797</v>
      </c>
      <c r="V26"/>
      <c r="W26"/>
      <c r="X26"/>
      <c r="Y26"/>
      <c r="Z26"/>
      <c r="AA26" s="27">
        <v>5.1410775184631348</v>
      </c>
      <c r="AB26" s="187">
        <v>58.461540222167969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274</v>
      </c>
      <c r="C27">
        <v>273.75732421875</v>
      </c>
      <c r="D27"/>
      <c r="E27"/>
      <c r="F27"/>
      <c r="G27"/>
      <c r="H27"/>
      <c r="I27"/>
      <c r="J27"/>
      <c r="K27" s="11">
        <v>0.10156397521495819</v>
      </c>
      <c r="L27" s="11">
        <v>3.195078345015645E-3</v>
      </c>
      <c r="M27" s="11">
        <v>6.6623190650716424E-4</v>
      </c>
      <c r="N27"/>
      <c r="O27" s="11">
        <v>6.6207381896674633E-3</v>
      </c>
      <c r="P27" s="11">
        <v>1.2757632648572326E-3</v>
      </c>
      <c r="Q27" s="11">
        <v>5.2599243819713593E-2</v>
      </c>
      <c r="R27"/>
      <c r="S27"/>
      <c r="T27"/>
      <c r="U27"/>
      <c r="V27" s="11">
        <v>4.8857004003366455E-5</v>
      </c>
      <c r="W27"/>
      <c r="X27"/>
      <c r="Y27" s="11">
        <v>7.6701834797859192E-2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323</v>
      </c>
      <c r="C28">
        <v>322.8739013671875</v>
      </c>
      <c r="D28"/>
      <c r="E28"/>
      <c r="F28"/>
      <c r="G28"/>
      <c r="H28"/>
      <c r="I28"/>
      <c r="J28"/>
      <c r="K28" s="11">
        <v>5.358210951089859E-2</v>
      </c>
      <c r="L28" s="11">
        <v>4.972600843757391E-3</v>
      </c>
      <c r="M28" s="11">
        <v>1.4059359673410654E-3</v>
      </c>
      <c r="N28" s="11">
        <v>5.5280206725001335E-3</v>
      </c>
      <c r="O28" s="11">
        <v>2.6196774560958147E-3</v>
      </c>
      <c r="P28" s="11">
        <v>2.019163453951478E-3</v>
      </c>
      <c r="Q28" s="11">
        <v>1.5766923315823078E-3</v>
      </c>
      <c r="R28"/>
      <c r="S28"/>
      <c r="T28"/>
      <c r="U28" s="11">
        <v>3.7072214763611555E-3</v>
      </c>
      <c r="V28" s="11">
        <v>6.4438727349624969E-6</v>
      </c>
      <c r="W28"/>
      <c r="X28"/>
      <c r="Y28"/>
      <c r="Z28" s="11">
        <v>5.0673525780439377E-2</v>
      </c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/>
      <c r="C29">
        <v>1.7290221294388175E-3</v>
      </c>
      <c r="D29"/>
      <c r="E29"/>
      <c r="F29"/>
      <c r="G29"/>
      <c r="H29"/>
      <c r="I29"/>
      <c r="J29" s="9">
        <v>2.5510787963867188</v>
      </c>
      <c r="K29" s="9">
        <v>32.242198944091797</v>
      </c>
      <c r="L29" s="9">
        <v>1.8933600187301636</v>
      </c>
      <c r="M29" s="9">
        <v>0.56400001049041748</v>
      </c>
      <c r="N29" s="9">
        <v>1.1088000535964966</v>
      </c>
      <c r="O29" s="9">
        <v>2.1017999649047852</v>
      </c>
      <c r="P29" s="9">
        <v>0.13500000536441803</v>
      </c>
      <c r="Q29"/>
      <c r="R29"/>
      <c r="S29"/>
      <c r="T29"/>
      <c r="U29" s="9">
        <v>8.7247600555419922</v>
      </c>
      <c r="V29" s="9">
        <v>2.584999892860651E-3</v>
      </c>
      <c r="W29"/>
      <c r="X29" s="9">
        <v>16.983001708984375</v>
      </c>
      <c r="Y29" s="9">
        <v>105.51465606689453</v>
      </c>
      <c r="Z29" s="9">
        <v>361.83840942382812</v>
      </c>
      <c r="AA29" s="9">
        <v>3.6758701801300049</v>
      </c>
      <c r="AB29" s="9">
        <v>11.40000057220459</v>
      </c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/>
      <c r="C30">
        <v>0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1" workbookViewId="0">
      <selection activeCell="D38" sqref="D38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3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3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51" t="s">
        <v>193</v>
      </c>
      <c r="E5">
        <v>4</v>
      </c>
      <c r="F5">
        <v>3.16</v>
      </c>
      <c r="G5">
        <v>4</v>
      </c>
      <c r="H5" s="152" t="s">
        <v>193</v>
      </c>
      <c r="J5" s="55"/>
      <c r="K5" s="56"/>
    </row>
    <row r="6" spans="1:12" ht="14" thickBot="1" x14ac:dyDescent="0.2">
      <c r="A6" s="39" t="s">
        <v>121</v>
      </c>
      <c r="D6" s="151" t="s">
        <v>194</v>
      </c>
      <c r="E6">
        <v>5</v>
      </c>
      <c r="F6">
        <v>3</v>
      </c>
      <c r="G6">
        <v>5</v>
      </c>
      <c r="H6" s="152" t="s">
        <v>194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51" t="s">
        <v>195</v>
      </c>
      <c r="E7">
        <v>6</v>
      </c>
      <c r="F7">
        <v>3</v>
      </c>
      <c r="G7">
        <v>6</v>
      </c>
      <c r="H7" s="152" t="s">
        <v>195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51" t="s">
        <v>196</v>
      </c>
      <c r="E8">
        <v>7</v>
      </c>
      <c r="F8">
        <v>3</v>
      </c>
      <c r="G8">
        <v>7</v>
      </c>
      <c r="H8" s="152" t="s">
        <v>196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51" t="s">
        <v>197</v>
      </c>
      <c r="E9">
        <v>8</v>
      </c>
      <c r="F9">
        <v>3</v>
      </c>
      <c r="G9">
        <v>8</v>
      </c>
      <c r="H9" s="152" t="s">
        <v>197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51" t="s">
        <v>198</v>
      </c>
      <c r="E10">
        <v>9</v>
      </c>
      <c r="F10">
        <v>3.14</v>
      </c>
      <c r="G10">
        <v>9</v>
      </c>
      <c r="H10" s="152" t="s">
        <v>198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51" t="s">
        <v>199</v>
      </c>
      <c r="E11">
        <v>10</v>
      </c>
      <c r="F11">
        <v>3</v>
      </c>
      <c r="G11">
        <v>10</v>
      </c>
      <c r="H11" s="152" t="s">
        <v>199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51" t="s">
        <v>200</v>
      </c>
      <c r="E12">
        <v>11</v>
      </c>
      <c r="F12">
        <v>3</v>
      </c>
      <c r="G12">
        <v>11</v>
      </c>
      <c r="H12" s="152" t="s">
        <v>200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51" t="s">
        <v>201</v>
      </c>
      <c r="E13">
        <v>12</v>
      </c>
      <c r="F13">
        <v>3</v>
      </c>
      <c r="G13">
        <v>12</v>
      </c>
      <c r="H13" s="152" t="s">
        <v>201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51" t="s">
        <v>202</v>
      </c>
      <c r="E14">
        <v>13</v>
      </c>
      <c r="F14">
        <v>3</v>
      </c>
      <c r="G14">
        <v>13</v>
      </c>
      <c r="H14" s="152" t="s">
        <v>202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51" t="s">
        <v>203</v>
      </c>
      <c r="E15">
        <v>14</v>
      </c>
      <c r="F15">
        <v>3</v>
      </c>
      <c r="G15">
        <v>14</v>
      </c>
      <c r="H15" s="152" t="s">
        <v>203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51" t="s">
        <v>204</v>
      </c>
      <c r="E16">
        <v>15</v>
      </c>
      <c r="F16">
        <v>3</v>
      </c>
      <c r="G16">
        <v>15</v>
      </c>
      <c r="H16" s="152" t="s">
        <v>204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51" t="s">
        <v>205</v>
      </c>
      <c r="E17">
        <v>16</v>
      </c>
      <c r="F17">
        <v>3</v>
      </c>
      <c r="G17">
        <v>16</v>
      </c>
      <c r="H17" s="152" t="s">
        <v>205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51" t="s">
        <v>206</v>
      </c>
      <c r="E18">
        <v>17</v>
      </c>
      <c r="F18">
        <v>3</v>
      </c>
      <c r="G18">
        <v>17</v>
      </c>
      <c r="H18" s="152" t="s">
        <v>206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51" t="s">
        <v>207</v>
      </c>
      <c r="E19">
        <v>18</v>
      </c>
      <c r="F19">
        <v>3</v>
      </c>
      <c r="G19">
        <v>18</v>
      </c>
      <c r="H19" s="152" t="s">
        <v>207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51" t="s">
        <v>208</v>
      </c>
      <c r="E20">
        <v>19</v>
      </c>
      <c r="F20">
        <v>3.24</v>
      </c>
      <c r="G20">
        <v>19</v>
      </c>
      <c r="H20" s="152" t="s">
        <v>208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51" t="s">
        <v>209</v>
      </c>
      <c r="E21">
        <v>20</v>
      </c>
      <c r="F21">
        <v>3</v>
      </c>
      <c r="G21">
        <v>20</v>
      </c>
      <c r="H21" s="152" t="s">
        <v>209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51" t="s">
        <v>210</v>
      </c>
      <c r="E22">
        <v>21</v>
      </c>
      <c r="F22">
        <v>3.15</v>
      </c>
      <c r="G22">
        <v>21</v>
      </c>
      <c r="H22" s="152" t="s">
        <v>210</v>
      </c>
    </row>
    <row r="23" spans="1:12" x14ac:dyDescent="0.15">
      <c r="A23" s="34" t="s">
        <v>129</v>
      </c>
      <c r="B23" s="42">
        <v>4</v>
      </c>
      <c r="C23" s="36"/>
      <c r="D23" s="151" t="s">
        <v>234</v>
      </c>
      <c r="E23">
        <v>22</v>
      </c>
      <c r="F23">
        <v>3.13</v>
      </c>
      <c r="G23">
        <v>22</v>
      </c>
      <c r="H23" s="152" t="s">
        <v>234</v>
      </c>
    </row>
    <row r="24" spans="1:12" x14ac:dyDescent="0.15">
      <c r="A24" s="34" t="s">
        <v>122</v>
      </c>
      <c r="B24" s="42">
        <v>4.0999999999999996</v>
      </c>
      <c r="C24" s="36"/>
      <c r="D24" s="151" t="s">
        <v>211</v>
      </c>
      <c r="E24">
        <v>23</v>
      </c>
      <c r="F24">
        <v>3</v>
      </c>
      <c r="G24">
        <v>23</v>
      </c>
      <c r="H24" s="152" t="s">
        <v>211</v>
      </c>
    </row>
    <row r="25" spans="1:12" x14ac:dyDescent="0.15">
      <c r="A25" s="34" t="s">
        <v>70</v>
      </c>
      <c r="B25" s="42">
        <v>4.2</v>
      </c>
      <c r="C25" s="36"/>
      <c r="D25" s="151" t="s">
        <v>212</v>
      </c>
      <c r="E25">
        <v>24</v>
      </c>
      <c r="F25">
        <v>3</v>
      </c>
      <c r="G25">
        <v>24</v>
      </c>
      <c r="H25" s="152" t="s">
        <v>212</v>
      </c>
    </row>
    <row r="26" spans="1:12" x14ac:dyDescent="0.15">
      <c r="A26" s="34" t="s">
        <v>123</v>
      </c>
      <c r="B26" s="42">
        <v>4.3</v>
      </c>
      <c r="C26" s="36"/>
      <c r="D26" s="151" t="s">
        <v>213</v>
      </c>
      <c r="E26">
        <v>25</v>
      </c>
      <c r="F26">
        <v>3</v>
      </c>
      <c r="G26">
        <v>25</v>
      </c>
      <c r="H26" s="152" t="s">
        <v>213</v>
      </c>
    </row>
    <row r="27" spans="1:12" x14ac:dyDescent="0.15">
      <c r="A27" s="34" t="s">
        <v>125</v>
      </c>
      <c r="B27" s="42">
        <v>6.1</v>
      </c>
      <c r="D27" s="151" t="s">
        <v>214</v>
      </c>
      <c r="E27">
        <v>26</v>
      </c>
      <c r="F27">
        <v>3</v>
      </c>
      <c r="G27">
        <v>26</v>
      </c>
      <c r="H27" s="152" t="s">
        <v>214</v>
      </c>
    </row>
    <row r="28" spans="1:12" x14ac:dyDescent="0.15">
      <c r="A28" s="34" t="s">
        <v>124</v>
      </c>
      <c r="B28" s="42">
        <v>6.2</v>
      </c>
      <c r="D28" s="151" t="s">
        <v>215</v>
      </c>
      <c r="E28">
        <v>27</v>
      </c>
      <c r="F28">
        <v>3.11</v>
      </c>
      <c r="G28">
        <v>27</v>
      </c>
      <c r="H28" s="152" t="s">
        <v>215</v>
      </c>
    </row>
    <row r="29" spans="1:12" x14ac:dyDescent="0.15">
      <c r="A29" s="34" t="s">
        <v>44</v>
      </c>
      <c r="B29" s="42">
        <v>5</v>
      </c>
      <c r="D29" s="151" t="s">
        <v>216</v>
      </c>
      <c r="E29">
        <v>28</v>
      </c>
      <c r="F29">
        <v>2.1</v>
      </c>
      <c r="G29">
        <v>28</v>
      </c>
      <c r="H29" s="152" t="s">
        <v>216</v>
      </c>
    </row>
    <row r="30" spans="1:12" x14ac:dyDescent="0.15">
      <c r="A30" s="34" t="s">
        <v>73</v>
      </c>
      <c r="B30" s="42">
        <v>7</v>
      </c>
      <c r="D30" s="151" t="s">
        <v>217</v>
      </c>
      <c r="E30">
        <v>29</v>
      </c>
      <c r="F30">
        <v>2</v>
      </c>
      <c r="G30">
        <v>29</v>
      </c>
      <c r="H30" s="152" t="s">
        <v>217</v>
      </c>
    </row>
    <row r="31" spans="1:12" x14ac:dyDescent="0.15">
      <c r="A31" s="34" t="s">
        <v>169</v>
      </c>
      <c r="B31" s="42">
        <v>3.14</v>
      </c>
      <c r="D31" s="151" t="s">
        <v>218</v>
      </c>
      <c r="E31">
        <v>30</v>
      </c>
      <c r="F31">
        <v>2</v>
      </c>
      <c r="G31">
        <v>30</v>
      </c>
      <c r="H31" s="152" t="s">
        <v>218</v>
      </c>
    </row>
    <row r="32" spans="1:12" ht="12" customHeight="1" thickBot="1" x14ac:dyDescent="0.2">
      <c r="A32" s="40" t="s">
        <v>170</v>
      </c>
      <c r="B32" s="43">
        <v>9</v>
      </c>
      <c r="D32" s="151" t="s">
        <v>219</v>
      </c>
      <c r="E32">
        <v>31</v>
      </c>
      <c r="F32">
        <v>4.0999999999999996</v>
      </c>
      <c r="G32">
        <v>31</v>
      </c>
      <c r="H32" s="152" t="s">
        <v>219</v>
      </c>
    </row>
    <row r="33" spans="4:8" customFormat="1" ht="12" customHeight="1" x14ac:dyDescent="0.15">
      <c r="D33" s="151" t="s">
        <v>220</v>
      </c>
      <c r="E33">
        <v>32</v>
      </c>
      <c r="F33">
        <v>4.3</v>
      </c>
      <c r="G33">
        <v>32</v>
      </c>
      <c r="H33" s="152" t="s">
        <v>220</v>
      </c>
    </row>
    <row r="34" spans="4:8" customFormat="1" ht="12" customHeight="1" x14ac:dyDescent="0.15">
      <c r="D34" s="161" t="s">
        <v>225</v>
      </c>
      <c r="E34">
        <v>33</v>
      </c>
      <c r="F34">
        <v>5</v>
      </c>
      <c r="G34">
        <v>33</v>
      </c>
      <c r="H34" s="161" t="s">
        <v>225</v>
      </c>
    </row>
    <row r="35" spans="4:8" customFormat="1" x14ac:dyDescent="0.15">
      <c r="D35" s="151" t="s">
        <v>138</v>
      </c>
      <c r="E35">
        <v>34</v>
      </c>
      <c r="F35">
        <v>6.1</v>
      </c>
      <c r="G35">
        <v>34</v>
      </c>
      <c r="H35" s="152" t="s">
        <v>138</v>
      </c>
    </row>
    <row r="36" spans="4:8" customFormat="1" x14ac:dyDescent="0.15">
      <c r="D36" s="151" t="s">
        <v>45</v>
      </c>
      <c r="E36">
        <v>35</v>
      </c>
      <c r="F36">
        <v>6.2</v>
      </c>
      <c r="G36">
        <v>35</v>
      </c>
      <c r="H36" s="152" t="s">
        <v>45</v>
      </c>
    </row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16" activePane="bottomLeft" state="frozen"/>
      <selection pane="bottomLeft" activeCell="F42" sqref="F42"/>
    </sheetView>
  </sheetViews>
  <sheetFormatPr baseColWidth="10" defaultColWidth="11.5" defaultRowHeight="15" customHeight="1" x14ac:dyDescent="0.15"/>
  <cols>
    <col min="1" max="1" width="15" style="77" bestFit="1" customWidth="1"/>
    <col min="2" max="2" width="14.5" style="76" customWidth="1"/>
    <col min="3" max="3" width="15" style="76" customWidth="1"/>
    <col min="4" max="4" width="11.83203125" style="76" customWidth="1"/>
    <col min="5" max="5" width="14.5" style="76" customWidth="1"/>
    <col min="6" max="6" width="23.6640625" style="76" bestFit="1" customWidth="1"/>
    <col min="7" max="9" width="2.33203125" style="76" customWidth="1"/>
    <col min="10" max="10" width="2.33203125" style="76" bestFit="1" customWidth="1"/>
    <col min="11" max="15" width="2.33203125" style="76" customWidth="1"/>
    <col min="16" max="16" width="2.33203125" style="67" customWidth="1"/>
    <col min="17" max="17" width="2.33203125" style="76" customWidth="1"/>
    <col min="18" max="18" width="2.33203125" style="68" customWidth="1"/>
    <col min="19" max="16384" width="11.5" style="76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8" t="s">
        <v>48</v>
      </c>
      <c r="L1" s="68"/>
      <c r="M1" s="78" t="s">
        <v>119</v>
      </c>
      <c r="N1" s="68"/>
      <c r="O1" s="78" t="s">
        <v>49</v>
      </c>
      <c r="P1" s="70"/>
      <c r="Q1" s="78" t="s">
        <v>50</v>
      </c>
      <c r="R1" s="65" t="s">
        <v>154</v>
      </c>
    </row>
    <row r="2" spans="1:23" ht="15" customHeight="1" x14ac:dyDescent="0.15">
      <c r="A2" s="78" t="s">
        <v>51</v>
      </c>
      <c r="B2" s="79">
        <v>0.5</v>
      </c>
      <c r="C2" s="77" t="s">
        <v>52</v>
      </c>
      <c r="D2" s="80"/>
      <c r="F2" s="1"/>
      <c r="G2" s="81"/>
      <c r="H2" s="81"/>
      <c r="I2" s="81" t="s">
        <v>133</v>
      </c>
      <c r="J2" s="81" t="s">
        <v>133</v>
      </c>
      <c r="K2" s="81" t="s">
        <v>52</v>
      </c>
      <c r="L2" s="81" t="s">
        <v>53</v>
      </c>
      <c r="M2" s="81" t="s">
        <v>52</v>
      </c>
      <c r="N2" s="81" t="s">
        <v>53</v>
      </c>
      <c r="O2" s="81" t="s">
        <v>52</v>
      </c>
      <c r="P2" s="82" t="s">
        <v>53</v>
      </c>
      <c r="Q2" s="81"/>
      <c r="R2" s="83" t="s">
        <v>155</v>
      </c>
    </row>
    <row r="3" spans="1:23" ht="15" customHeight="1" thickBot="1" x14ac:dyDescent="0.2">
      <c r="A3" s="78" t="s">
        <v>54</v>
      </c>
      <c r="B3" s="84">
        <v>0.5</v>
      </c>
      <c r="C3" s="77" t="s">
        <v>53</v>
      </c>
      <c r="D3" s="8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8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8">
        <v>0</v>
      </c>
      <c r="R4" s="102">
        <v>0</v>
      </c>
    </row>
    <row r="5" spans="1:23" ht="15" customHeight="1" x14ac:dyDescent="0.15">
      <c r="A5" s="78" t="s">
        <v>55</v>
      </c>
      <c r="B5" s="85">
        <v>0.5</v>
      </c>
      <c r="C5" s="77" t="s">
        <v>52</v>
      </c>
      <c r="D5" s="8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8">
        <v>0</v>
      </c>
      <c r="R5" s="102">
        <v>0</v>
      </c>
    </row>
    <row r="6" spans="1:23" ht="15" customHeight="1" thickBot="1" x14ac:dyDescent="0.2">
      <c r="A6" s="78"/>
      <c r="B6" s="86">
        <v>0.5</v>
      </c>
      <c r="C6" s="77" t="s">
        <v>53</v>
      </c>
      <c r="D6" s="80"/>
      <c r="F6" s="153" t="s">
        <v>193</v>
      </c>
      <c r="G6" s="76">
        <v>0</v>
      </c>
      <c r="H6" s="76">
        <v>0</v>
      </c>
      <c r="I6" s="76">
        <v>0</v>
      </c>
      <c r="J6" s="76">
        <v>0</v>
      </c>
      <c r="K6" s="76">
        <v>0</v>
      </c>
      <c r="L6" s="76">
        <v>1</v>
      </c>
      <c r="M6" s="76">
        <v>0</v>
      </c>
      <c r="N6" s="76">
        <v>1</v>
      </c>
      <c r="O6" s="76">
        <v>0</v>
      </c>
      <c r="P6" s="67">
        <v>1</v>
      </c>
      <c r="Q6" s="76">
        <v>0</v>
      </c>
      <c r="R6" s="68">
        <v>1</v>
      </c>
      <c r="S6"/>
      <c r="T6"/>
    </row>
    <row r="7" spans="1:23" ht="15" customHeight="1" thickBot="1" x14ac:dyDescent="0.2">
      <c r="F7" s="153" t="s">
        <v>194</v>
      </c>
      <c r="G7" s="76">
        <v>0</v>
      </c>
      <c r="H7" s="76">
        <v>0</v>
      </c>
      <c r="I7" s="76">
        <v>0</v>
      </c>
      <c r="J7" s="76">
        <v>0</v>
      </c>
      <c r="K7" s="76">
        <v>0</v>
      </c>
      <c r="L7" s="76">
        <v>1</v>
      </c>
      <c r="M7" s="76">
        <v>0</v>
      </c>
      <c r="N7" s="76">
        <v>1</v>
      </c>
      <c r="O7" s="76">
        <v>0</v>
      </c>
      <c r="P7" s="67">
        <v>1</v>
      </c>
      <c r="Q7" s="76">
        <v>0</v>
      </c>
      <c r="R7" s="68">
        <v>1</v>
      </c>
      <c r="S7"/>
      <c r="T7"/>
    </row>
    <row r="8" spans="1:23" ht="15" customHeight="1" x14ac:dyDescent="0.15">
      <c r="A8" s="78" t="s">
        <v>56</v>
      </c>
      <c r="B8" s="85">
        <v>4.4884125804609629E-5</v>
      </c>
      <c r="C8" s="154" t="s">
        <v>216</v>
      </c>
      <c r="D8" s="80" t="s">
        <v>160</v>
      </c>
      <c r="F8" s="153" t="s">
        <v>195</v>
      </c>
      <c r="G8" s="76">
        <v>0</v>
      </c>
      <c r="H8" s="76">
        <v>0</v>
      </c>
      <c r="I8" s="76">
        <v>0</v>
      </c>
      <c r="J8" s="76">
        <v>0</v>
      </c>
      <c r="K8" s="76">
        <v>0</v>
      </c>
      <c r="L8" s="76">
        <v>1</v>
      </c>
      <c r="M8" s="76">
        <v>0</v>
      </c>
      <c r="N8" s="76">
        <v>1</v>
      </c>
      <c r="O8" s="76">
        <v>0</v>
      </c>
      <c r="P8" s="67">
        <v>1</v>
      </c>
      <c r="Q8" s="76">
        <v>0</v>
      </c>
      <c r="R8" s="68">
        <v>1</v>
      </c>
      <c r="S8"/>
      <c r="T8"/>
      <c r="W8"/>
    </row>
    <row r="9" spans="1:23" ht="15" customHeight="1" x14ac:dyDescent="0.15">
      <c r="A9" s="116" t="s">
        <v>168</v>
      </c>
      <c r="B9" s="87">
        <v>0.18284350754055945</v>
      </c>
      <c r="C9" s="154" t="s">
        <v>217</v>
      </c>
      <c r="D9" s="80" t="s">
        <v>160</v>
      </c>
      <c r="F9" s="153" t="s">
        <v>196</v>
      </c>
      <c r="G9" s="76">
        <v>0</v>
      </c>
      <c r="H9" s="76">
        <v>0</v>
      </c>
      <c r="I9" s="76">
        <v>0</v>
      </c>
      <c r="J9" s="76">
        <v>0</v>
      </c>
      <c r="K9" s="76">
        <v>0</v>
      </c>
      <c r="L9" s="76">
        <v>1</v>
      </c>
      <c r="M9" s="76">
        <v>0</v>
      </c>
      <c r="N9" s="76">
        <v>1</v>
      </c>
      <c r="O9" s="76">
        <v>0</v>
      </c>
      <c r="P9" s="67">
        <v>1</v>
      </c>
      <c r="Q9" s="76">
        <v>0</v>
      </c>
      <c r="R9" s="68">
        <v>1</v>
      </c>
      <c r="S9"/>
      <c r="T9"/>
      <c r="W9"/>
    </row>
    <row r="10" spans="1:23" ht="15" customHeight="1" x14ac:dyDescent="0.15">
      <c r="B10" s="87">
        <v>0.81711160833363594</v>
      </c>
      <c r="C10" s="154" t="s">
        <v>218</v>
      </c>
      <c r="D10" s="80" t="s">
        <v>160</v>
      </c>
      <c r="F10" s="153" t="s">
        <v>197</v>
      </c>
      <c r="G10" s="76">
        <v>0</v>
      </c>
      <c r="H10" s="76">
        <v>0</v>
      </c>
      <c r="I10" s="76">
        <v>0</v>
      </c>
      <c r="J10" s="76">
        <v>0</v>
      </c>
      <c r="K10" s="76">
        <v>0</v>
      </c>
      <c r="L10" s="76">
        <v>1</v>
      </c>
      <c r="M10" s="76">
        <v>0</v>
      </c>
      <c r="N10" s="76">
        <v>1</v>
      </c>
      <c r="O10" s="76">
        <v>0</v>
      </c>
      <c r="P10" s="67">
        <v>1</v>
      </c>
      <c r="Q10" s="76">
        <v>0</v>
      </c>
      <c r="R10" s="68">
        <v>1</v>
      </c>
      <c r="S10"/>
      <c r="T10"/>
      <c r="W10"/>
    </row>
    <row r="11" spans="1:23" ht="15" customHeight="1" x14ac:dyDescent="0.15">
      <c r="A11" s="78"/>
      <c r="B11" s="87"/>
      <c r="C11" s="90"/>
      <c r="D11" s="80" t="s">
        <v>160</v>
      </c>
      <c r="F11" s="153" t="s">
        <v>198</v>
      </c>
      <c r="G11" s="76">
        <v>0</v>
      </c>
      <c r="H11" s="76">
        <v>0</v>
      </c>
      <c r="I11" s="76">
        <v>0</v>
      </c>
      <c r="J11" s="76">
        <v>0</v>
      </c>
      <c r="K11" s="76">
        <v>0</v>
      </c>
      <c r="L11" s="76">
        <v>1</v>
      </c>
      <c r="M11" s="76">
        <v>0</v>
      </c>
      <c r="N11" s="76">
        <v>1</v>
      </c>
      <c r="O11" s="76">
        <v>0</v>
      </c>
      <c r="P11" s="67">
        <v>1</v>
      </c>
      <c r="Q11" s="76">
        <v>0</v>
      </c>
      <c r="R11" s="68">
        <v>1</v>
      </c>
      <c r="S11"/>
      <c r="T11"/>
      <c r="W11"/>
    </row>
    <row r="12" spans="1:23" ht="15" customHeight="1" x14ac:dyDescent="0.15">
      <c r="B12" s="87"/>
      <c r="C12" s="91"/>
      <c r="D12" s="80" t="s">
        <v>160</v>
      </c>
      <c r="F12" s="153" t="s">
        <v>199</v>
      </c>
      <c r="G12" s="76">
        <v>0</v>
      </c>
      <c r="H12" s="76">
        <v>0</v>
      </c>
      <c r="I12" s="76">
        <v>0</v>
      </c>
      <c r="J12" s="76">
        <v>0</v>
      </c>
      <c r="K12" s="76">
        <v>0</v>
      </c>
      <c r="L12" s="76">
        <v>1</v>
      </c>
      <c r="M12" s="76">
        <v>0</v>
      </c>
      <c r="N12" s="76">
        <v>1</v>
      </c>
      <c r="O12" s="76">
        <v>0</v>
      </c>
      <c r="P12" s="67">
        <v>1</v>
      </c>
      <c r="Q12" s="76">
        <v>0</v>
      </c>
      <c r="R12" s="68">
        <v>1</v>
      </c>
      <c r="S12"/>
      <c r="T12"/>
      <c r="W12"/>
    </row>
    <row r="13" spans="1:23" ht="15" customHeight="1" x14ac:dyDescent="0.15">
      <c r="B13" s="87"/>
      <c r="C13" s="91"/>
      <c r="D13" s="80" t="s">
        <v>160</v>
      </c>
      <c r="F13" s="153" t="s">
        <v>200</v>
      </c>
      <c r="G13" s="76">
        <v>0</v>
      </c>
      <c r="H13" s="76">
        <v>0</v>
      </c>
      <c r="I13" s="76">
        <v>0</v>
      </c>
      <c r="J13" s="76">
        <v>0</v>
      </c>
      <c r="K13" s="76">
        <v>0</v>
      </c>
      <c r="L13" s="76">
        <v>1</v>
      </c>
      <c r="M13" s="76">
        <v>0</v>
      </c>
      <c r="N13" s="76">
        <v>1</v>
      </c>
      <c r="O13" s="76">
        <v>0</v>
      </c>
      <c r="P13" s="67">
        <v>1</v>
      </c>
      <c r="Q13" s="76">
        <v>0</v>
      </c>
      <c r="R13" s="68">
        <v>1</v>
      </c>
      <c r="S13"/>
      <c r="T13"/>
      <c r="W13"/>
    </row>
    <row r="14" spans="1:23" ht="15" customHeight="1" x14ac:dyDescent="0.15">
      <c r="B14" s="87"/>
      <c r="C14" s="75"/>
      <c r="D14" s="80" t="s">
        <v>160</v>
      </c>
      <c r="F14" s="153" t="s">
        <v>201</v>
      </c>
      <c r="G14" s="76">
        <v>0</v>
      </c>
      <c r="H14" s="76">
        <v>0</v>
      </c>
      <c r="I14" s="76">
        <v>0</v>
      </c>
      <c r="J14" s="76">
        <v>0</v>
      </c>
      <c r="K14" s="76">
        <v>0</v>
      </c>
      <c r="L14" s="76">
        <v>1</v>
      </c>
      <c r="M14" s="76">
        <v>0</v>
      </c>
      <c r="N14" s="76">
        <v>1</v>
      </c>
      <c r="O14" s="76">
        <v>0</v>
      </c>
      <c r="P14" s="67">
        <v>1</v>
      </c>
      <c r="Q14" s="76">
        <v>0</v>
      </c>
      <c r="R14" s="68">
        <v>1</v>
      </c>
      <c r="S14"/>
      <c r="T14"/>
      <c r="W14"/>
    </row>
    <row r="15" spans="1:23" ht="15" customHeight="1" x14ac:dyDescent="0.15">
      <c r="B15" s="87"/>
      <c r="C15" s="75"/>
      <c r="D15" s="80" t="s">
        <v>160</v>
      </c>
      <c r="F15" s="153" t="s">
        <v>202</v>
      </c>
      <c r="G15" s="76">
        <v>0</v>
      </c>
      <c r="H15" s="76">
        <v>0</v>
      </c>
      <c r="I15" s="76">
        <v>0</v>
      </c>
      <c r="J15" s="76">
        <v>0</v>
      </c>
      <c r="K15" s="76">
        <v>0</v>
      </c>
      <c r="L15" s="76">
        <v>1</v>
      </c>
      <c r="M15" s="76">
        <v>0</v>
      </c>
      <c r="N15" s="76">
        <v>1</v>
      </c>
      <c r="O15" s="76">
        <v>0</v>
      </c>
      <c r="P15" s="67">
        <v>1</v>
      </c>
      <c r="Q15" s="76">
        <v>0</v>
      </c>
      <c r="R15" s="68">
        <v>1</v>
      </c>
      <c r="S15"/>
      <c r="T15"/>
      <c r="W15"/>
    </row>
    <row r="16" spans="1:23" ht="15" customHeight="1" x14ac:dyDescent="0.15">
      <c r="B16" s="87"/>
      <c r="C16" s="75"/>
      <c r="D16" s="80" t="s">
        <v>160</v>
      </c>
      <c r="F16" s="153" t="s">
        <v>203</v>
      </c>
      <c r="G16" s="76">
        <v>0</v>
      </c>
      <c r="H16" s="76">
        <v>0</v>
      </c>
      <c r="I16" s="76">
        <v>0</v>
      </c>
      <c r="J16" s="76">
        <v>0</v>
      </c>
      <c r="K16" s="76">
        <v>0</v>
      </c>
      <c r="L16" s="76">
        <v>1</v>
      </c>
      <c r="M16" s="76">
        <v>0</v>
      </c>
      <c r="N16" s="76">
        <v>1</v>
      </c>
      <c r="O16" s="76">
        <v>0</v>
      </c>
      <c r="P16" s="67">
        <v>1</v>
      </c>
      <c r="Q16" s="76">
        <v>0</v>
      </c>
      <c r="R16" s="68">
        <v>1</v>
      </c>
      <c r="S16"/>
      <c r="T16"/>
    </row>
    <row r="17" spans="1:20" ht="15" customHeight="1" thickBot="1" x14ac:dyDescent="0.2">
      <c r="B17" s="86"/>
      <c r="C17" s="75"/>
      <c r="D17" s="80" t="s">
        <v>160</v>
      </c>
      <c r="F17" s="153" t="s">
        <v>204</v>
      </c>
      <c r="G17" s="76">
        <v>0</v>
      </c>
      <c r="H17" s="76">
        <v>0</v>
      </c>
      <c r="I17" s="76">
        <v>0</v>
      </c>
      <c r="J17" s="76">
        <v>0</v>
      </c>
      <c r="K17" s="76">
        <v>0</v>
      </c>
      <c r="L17" s="76">
        <v>1</v>
      </c>
      <c r="M17" s="76">
        <v>0</v>
      </c>
      <c r="N17" s="76">
        <v>1</v>
      </c>
      <c r="O17" s="76">
        <v>0</v>
      </c>
      <c r="P17" s="67">
        <v>1</v>
      </c>
      <c r="Q17" s="76">
        <v>0</v>
      </c>
      <c r="R17" s="68">
        <v>1</v>
      </c>
      <c r="S17"/>
      <c r="T17"/>
    </row>
    <row r="18" spans="1:20" ht="15" customHeight="1" thickBot="1" x14ac:dyDescent="0.2">
      <c r="B18" s="88"/>
      <c r="F18" s="153" t="s">
        <v>205</v>
      </c>
      <c r="G18" s="76">
        <v>0</v>
      </c>
      <c r="H18" s="76">
        <v>0</v>
      </c>
      <c r="I18" s="76">
        <v>0</v>
      </c>
      <c r="J18" s="76">
        <v>0</v>
      </c>
      <c r="K18" s="76">
        <v>0</v>
      </c>
      <c r="L18" s="76">
        <v>1</v>
      </c>
      <c r="M18" s="76">
        <v>0</v>
      </c>
      <c r="N18" s="76">
        <v>1</v>
      </c>
      <c r="O18" s="76">
        <v>0</v>
      </c>
      <c r="P18" s="67">
        <v>1</v>
      </c>
      <c r="Q18" s="76">
        <v>0</v>
      </c>
      <c r="R18" s="68">
        <v>1</v>
      </c>
      <c r="S18"/>
      <c r="T18"/>
    </row>
    <row r="19" spans="1:20" ht="15" customHeight="1" x14ac:dyDescent="0.15">
      <c r="A19" s="78" t="s">
        <v>57</v>
      </c>
      <c r="B19" s="85">
        <v>4.4884125804609629E-5</v>
      </c>
      <c r="C19" s="155" t="s">
        <v>216</v>
      </c>
      <c r="D19" s="80" t="s">
        <v>160</v>
      </c>
      <c r="F19" s="153" t="s">
        <v>206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1</v>
      </c>
      <c r="M19" s="76">
        <v>0</v>
      </c>
      <c r="N19" s="76">
        <v>1</v>
      </c>
      <c r="O19" s="76">
        <v>0</v>
      </c>
      <c r="P19" s="67">
        <v>1</v>
      </c>
      <c r="Q19" s="76">
        <v>0</v>
      </c>
      <c r="R19" s="68">
        <v>1</v>
      </c>
      <c r="S19"/>
      <c r="T19"/>
    </row>
    <row r="20" spans="1:20" ht="15" customHeight="1" x14ac:dyDescent="0.15">
      <c r="A20" s="116" t="s">
        <v>168</v>
      </c>
      <c r="B20" s="87">
        <v>0.18284350754055945</v>
      </c>
      <c r="C20" s="155" t="s">
        <v>217</v>
      </c>
      <c r="D20" s="80" t="s">
        <v>160</v>
      </c>
      <c r="F20" s="153" t="s">
        <v>207</v>
      </c>
      <c r="G20" s="76">
        <v>0</v>
      </c>
      <c r="H20" s="76">
        <v>0</v>
      </c>
      <c r="I20" s="76">
        <v>0</v>
      </c>
      <c r="J20" s="76">
        <v>0</v>
      </c>
      <c r="K20" s="76">
        <v>0</v>
      </c>
      <c r="L20" s="76">
        <v>1</v>
      </c>
      <c r="M20" s="76">
        <v>0</v>
      </c>
      <c r="N20" s="76">
        <v>1</v>
      </c>
      <c r="O20" s="76">
        <v>0</v>
      </c>
      <c r="P20" s="67">
        <v>1</v>
      </c>
      <c r="Q20" s="76">
        <v>0</v>
      </c>
      <c r="R20" s="68">
        <v>1</v>
      </c>
      <c r="S20"/>
      <c r="T20"/>
    </row>
    <row r="21" spans="1:20" ht="15" customHeight="1" x14ac:dyDescent="0.15">
      <c r="B21" s="87">
        <v>0.81711160833363594</v>
      </c>
      <c r="C21" s="155" t="s">
        <v>218</v>
      </c>
      <c r="D21" s="80" t="s">
        <v>160</v>
      </c>
      <c r="F21" s="153" t="s">
        <v>208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1</v>
      </c>
      <c r="M21" s="76">
        <v>0</v>
      </c>
      <c r="N21" s="76">
        <v>1</v>
      </c>
      <c r="O21" s="76">
        <v>0</v>
      </c>
      <c r="P21" s="67">
        <v>1</v>
      </c>
      <c r="Q21" s="76">
        <v>0</v>
      </c>
      <c r="R21" s="68">
        <v>1</v>
      </c>
      <c r="S21"/>
      <c r="T21"/>
    </row>
    <row r="22" spans="1:20" ht="15" customHeight="1" x14ac:dyDescent="0.15">
      <c r="A22" s="76"/>
      <c r="B22" s="87"/>
      <c r="C22" s="90"/>
      <c r="D22" s="80" t="s">
        <v>160</v>
      </c>
      <c r="F22" s="153" t="s">
        <v>209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1</v>
      </c>
      <c r="M22" s="76">
        <v>0</v>
      </c>
      <c r="N22" s="76">
        <v>1</v>
      </c>
      <c r="O22" s="76">
        <v>0</v>
      </c>
      <c r="P22" s="67">
        <v>1</v>
      </c>
      <c r="Q22" s="76">
        <v>0</v>
      </c>
      <c r="R22" s="68">
        <v>1</v>
      </c>
      <c r="S22"/>
      <c r="T22"/>
    </row>
    <row r="23" spans="1:20" ht="15" customHeight="1" x14ac:dyDescent="0.15">
      <c r="A23" s="76"/>
      <c r="B23" s="87"/>
      <c r="C23" s="91"/>
      <c r="D23" s="80" t="s">
        <v>160</v>
      </c>
      <c r="F23" s="153" t="s">
        <v>210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1</v>
      </c>
      <c r="M23" s="76">
        <v>0</v>
      </c>
      <c r="N23" s="76">
        <v>1</v>
      </c>
      <c r="O23" s="76">
        <v>0</v>
      </c>
      <c r="P23" s="67">
        <v>1</v>
      </c>
      <c r="Q23" s="76">
        <v>0</v>
      </c>
      <c r="R23" s="68">
        <v>1</v>
      </c>
      <c r="S23"/>
      <c r="T23"/>
    </row>
    <row r="24" spans="1:20" ht="15" customHeight="1" x14ac:dyDescent="0.15">
      <c r="A24" s="76"/>
      <c r="B24" s="87"/>
      <c r="C24" s="91"/>
      <c r="D24" s="80" t="s">
        <v>160</v>
      </c>
      <c r="F24" s="153" t="s">
        <v>234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1</v>
      </c>
      <c r="M24" s="76">
        <v>0</v>
      </c>
      <c r="N24" s="76">
        <v>1</v>
      </c>
      <c r="O24" s="76">
        <v>0</v>
      </c>
      <c r="P24" s="67">
        <v>1</v>
      </c>
      <c r="Q24" s="76">
        <v>0</v>
      </c>
      <c r="R24" s="68">
        <v>1</v>
      </c>
      <c r="S24"/>
      <c r="T24"/>
    </row>
    <row r="25" spans="1:20" ht="15" customHeight="1" x14ac:dyDescent="0.15">
      <c r="A25" s="76"/>
      <c r="B25" s="87"/>
      <c r="C25" s="75"/>
      <c r="D25" s="80" t="s">
        <v>160</v>
      </c>
      <c r="F25" s="153" t="s">
        <v>211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1</v>
      </c>
      <c r="M25" s="76">
        <v>0</v>
      </c>
      <c r="N25" s="76">
        <v>1</v>
      </c>
      <c r="O25" s="76">
        <v>0</v>
      </c>
      <c r="P25" s="67">
        <v>1</v>
      </c>
      <c r="Q25" s="76">
        <v>0</v>
      </c>
      <c r="R25" s="68">
        <v>1</v>
      </c>
      <c r="S25"/>
      <c r="T25"/>
    </row>
    <row r="26" spans="1:20" ht="15" customHeight="1" x14ac:dyDescent="0.15">
      <c r="B26" s="87"/>
      <c r="C26" s="75"/>
      <c r="D26" s="80" t="s">
        <v>160</v>
      </c>
      <c r="F26" s="153" t="s">
        <v>212</v>
      </c>
      <c r="G26" s="76">
        <v>0</v>
      </c>
      <c r="H26" s="76">
        <v>0</v>
      </c>
      <c r="I26" s="76">
        <v>0</v>
      </c>
      <c r="J26" s="76">
        <v>0</v>
      </c>
      <c r="K26" s="76">
        <v>0</v>
      </c>
      <c r="L26" s="76">
        <v>1</v>
      </c>
      <c r="M26" s="76">
        <v>0</v>
      </c>
      <c r="N26" s="76">
        <v>1</v>
      </c>
      <c r="O26" s="76">
        <v>0</v>
      </c>
      <c r="P26" s="67">
        <v>1</v>
      </c>
      <c r="Q26" s="76">
        <v>0</v>
      </c>
      <c r="R26" s="68">
        <v>1</v>
      </c>
      <c r="S26"/>
      <c r="T26"/>
    </row>
    <row r="27" spans="1:20" ht="15" customHeight="1" x14ac:dyDescent="0.15">
      <c r="B27" s="87"/>
      <c r="C27" s="75"/>
      <c r="D27" s="80" t="s">
        <v>160</v>
      </c>
      <c r="F27" s="153" t="s">
        <v>213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1</v>
      </c>
      <c r="M27" s="76">
        <v>0</v>
      </c>
      <c r="N27" s="76">
        <v>1</v>
      </c>
      <c r="O27" s="76">
        <v>0</v>
      </c>
      <c r="P27" s="67">
        <v>1</v>
      </c>
      <c r="Q27" s="76">
        <v>0</v>
      </c>
      <c r="R27" s="68">
        <v>1</v>
      </c>
      <c r="S27"/>
      <c r="T27"/>
    </row>
    <row r="28" spans="1:20" ht="15" customHeight="1" thickBot="1" x14ac:dyDescent="0.2">
      <c r="B28" s="86"/>
      <c r="C28" s="75"/>
      <c r="D28" s="80" t="s">
        <v>160</v>
      </c>
      <c r="F28" s="153" t="s">
        <v>214</v>
      </c>
      <c r="G28" s="76">
        <v>0</v>
      </c>
      <c r="H28" s="76">
        <v>0</v>
      </c>
      <c r="I28" s="76">
        <v>0</v>
      </c>
      <c r="J28" s="76">
        <v>0</v>
      </c>
      <c r="K28" s="76">
        <v>0</v>
      </c>
      <c r="L28" s="76">
        <v>1</v>
      </c>
      <c r="M28" s="76">
        <v>0</v>
      </c>
      <c r="N28" s="76">
        <v>1</v>
      </c>
      <c r="O28" s="76">
        <v>0</v>
      </c>
      <c r="P28" s="67">
        <v>1</v>
      </c>
      <c r="Q28" s="76">
        <v>0</v>
      </c>
      <c r="R28" s="68">
        <v>1</v>
      </c>
      <c r="S28"/>
      <c r="T28"/>
    </row>
    <row r="29" spans="1:20" ht="15" customHeight="1" x14ac:dyDescent="0.15">
      <c r="F29" s="153" t="s">
        <v>215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1</v>
      </c>
      <c r="M29" s="76">
        <v>0</v>
      </c>
      <c r="N29" s="76">
        <v>1</v>
      </c>
      <c r="O29" s="76">
        <v>0</v>
      </c>
      <c r="P29" s="67">
        <v>1</v>
      </c>
      <c r="Q29" s="76">
        <v>0</v>
      </c>
      <c r="R29" s="68">
        <v>1</v>
      </c>
      <c r="S29"/>
      <c r="T29"/>
    </row>
    <row r="30" spans="1:20" ht="15" customHeight="1" x14ac:dyDescent="0.15">
      <c r="F30" s="153" t="s">
        <v>216</v>
      </c>
      <c r="G30" s="76">
        <v>0</v>
      </c>
      <c r="H30" s="76">
        <v>0</v>
      </c>
      <c r="I30" s="76">
        <v>0</v>
      </c>
      <c r="J30" s="76">
        <v>0</v>
      </c>
      <c r="K30" s="76">
        <v>0</v>
      </c>
      <c r="L30" s="76">
        <v>0</v>
      </c>
      <c r="M30" s="76">
        <v>0</v>
      </c>
      <c r="N30" s="76">
        <v>1</v>
      </c>
      <c r="O30" s="76">
        <v>0</v>
      </c>
      <c r="P30" s="67">
        <v>0</v>
      </c>
      <c r="Q30" s="76">
        <v>0</v>
      </c>
      <c r="R30" s="68">
        <v>1</v>
      </c>
      <c r="S30"/>
      <c r="T30"/>
    </row>
    <row r="31" spans="1:20" ht="15" customHeight="1" x14ac:dyDescent="0.15">
      <c r="A31" s="117"/>
      <c r="B31" s="126" t="s">
        <v>17</v>
      </c>
      <c r="C31" s="126" t="s">
        <v>1</v>
      </c>
      <c r="D31" s="126" t="s">
        <v>161</v>
      </c>
      <c r="E31" s="127" t="s">
        <v>163</v>
      </c>
      <c r="F31" s="153" t="s">
        <v>217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1</v>
      </c>
      <c r="O31" s="76">
        <v>0</v>
      </c>
      <c r="P31" s="67">
        <v>0</v>
      </c>
      <c r="Q31" s="76">
        <v>0</v>
      </c>
      <c r="R31" s="68">
        <v>1</v>
      </c>
      <c r="S31"/>
      <c r="T31"/>
    </row>
    <row r="32" spans="1:20" ht="15" customHeight="1" x14ac:dyDescent="0.15">
      <c r="A32" s="156" t="s">
        <v>216</v>
      </c>
      <c r="B32" s="88">
        <v>0.13</v>
      </c>
      <c r="C32" s="88">
        <v>109.5</v>
      </c>
      <c r="D32" s="88">
        <v>14.235000000000001</v>
      </c>
      <c r="E32" s="118">
        <v>4.4884125804609629E-5</v>
      </c>
      <c r="F32" s="153" t="s">
        <v>218</v>
      </c>
      <c r="G32" s="76">
        <v>0</v>
      </c>
      <c r="H32" s="76">
        <v>0</v>
      </c>
      <c r="I32" s="76">
        <v>0</v>
      </c>
      <c r="J32" s="76">
        <v>0</v>
      </c>
      <c r="K32" s="76">
        <v>0</v>
      </c>
      <c r="L32" s="76">
        <v>0</v>
      </c>
      <c r="M32" s="76">
        <v>0</v>
      </c>
      <c r="N32" s="76">
        <v>1</v>
      </c>
      <c r="O32" s="76">
        <v>0</v>
      </c>
      <c r="P32" s="67">
        <v>0</v>
      </c>
      <c r="Q32" s="76">
        <v>0</v>
      </c>
      <c r="R32" s="68">
        <v>1</v>
      </c>
      <c r="S32"/>
      <c r="T32"/>
    </row>
    <row r="33" spans="1:20" ht="15" customHeight="1" x14ac:dyDescent="0.15">
      <c r="A33" s="156" t="s">
        <v>217</v>
      </c>
      <c r="B33" s="88">
        <v>211.63801599999999</v>
      </c>
      <c r="C33" s="88">
        <v>274</v>
      </c>
      <c r="D33" s="88">
        <v>57988.816383999998</v>
      </c>
      <c r="E33" s="118">
        <v>0.18284350754055945</v>
      </c>
      <c r="F33" s="153" t="s">
        <v>219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1</v>
      </c>
      <c r="M33" s="76">
        <v>0</v>
      </c>
      <c r="N33" s="76">
        <v>1</v>
      </c>
      <c r="O33" s="76">
        <v>0</v>
      </c>
      <c r="P33" s="67">
        <v>1</v>
      </c>
      <c r="Q33" s="76">
        <v>0</v>
      </c>
      <c r="R33" s="68">
        <v>1</v>
      </c>
      <c r="S33"/>
      <c r="T33"/>
    </row>
    <row r="34" spans="1:20" ht="15" customHeight="1" x14ac:dyDescent="0.15">
      <c r="A34" s="156" t="s">
        <v>218</v>
      </c>
      <c r="B34" s="88">
        <v>802.3125</v>
      </c>
      <c r="C34" s="88">
        <v>323</v>
      </c>
      <c r="D34" s="88">
        <v>259146.9375</v>
      </c>
      <c r="E34" s="118">
        <v>0.81711160833363594</v>
      </c>
      <c r="F34" s="153" t="s">
        <v>220</v>
      </c>
      <c r="G34" s="76">
        <v>0</v>
      </c>
      <c r="H34" s="76">
        <v>0</v>
      </c>
      <c r="I34" s="76">
        <v>0</v>
      </c>
      <c r="J34" s="76">
        <v>0</v>
      </c>
      <c r="K34" s="76">
        <v>0</v>
      </c>
      <c r="L34" s="76">
        <v>1</v>
      </c>
      <c r="M34" s="76">
        <v>0</v>
      </c>
      <c r="N34" s="76">
        <v>1</v>
      </c>
      <c r="O34" s="76">
        <v>0</v>
      </c>
      <c r="P34" s="67">
        <v>1</v>
      </c>
      <c r="Q34" s="76">
        <v>0</v>
      </c>
      <c r="R34" s="68">
        <v>1</v>
      </c>
      <c r="S34"/>
      <c r="T34"/>
    </row>
    <row r="35" spans="1:20" ht="15" customHeight="1" x14ac:dyDescent="0.15">
      <c r="A35" s="119"/>
      <c r="B35" s="88"/>
      <c r="C35" s="88"/>
      <c r="D35" s="88"/>
      <c r="E35" s="118"/>
      <c r="F35" s="159" t="s">
        <v>225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 s="103">
        <v>1</v>
      </c>
      <c r="S35"/>
      <c r="T35"/>
    </row>
    <row r="36" spans="1:20" ht="15" customHeight="1" x14ac:dyDescent="0.15">
      <c r="A36" s="120"/>
      <c r="B36" s="88"/>
      <c r="C36" s="88"/>
      <c r="D36" s="88"/>
      <c r="E36" s="118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0"/>
      <c r="B37" s="88"/>
      <c r="C37" s="88"/>
      <c r="D37" s="88"/>
      <c r="E37" s="118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1"/>
      <c r="B38" s="88"/>
      <c r="C38" s="88"/>
      <c r="D38" s="88"/>
      <c r="E38" s="11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1"/>
      <c r="B39" s="88"/>
      <c r="C39" s="88"/>
      <c r="D39" s="88"/>
      <c r="E39" s="11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1"/>
      <c r="B40" s="88"/>
      <c r="C40" s="88"/>
      <c r="D40" s="88"/>
      <c r="E40" s="11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1"/>
      <c r="B41" s="88"/>
      <c r="C41" s="88"/>
      <c r="D41" s="89"/>
      <c r="E41" s="122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3"/>
      <c r="B42" s="124"/>
      <c r="C42" s="124" t="s">
        <v>162</v>
      </c>
      <c r="D42" s="124">
        <f>SUM(D32:D41)</f>
        <v>317149.98888399999</v>
      </c>
      <c r="E42" s="125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V2" activePane="bottomRight" state="frozen"/>
      <selection pane="topRight" activeCell="B1" sqref="B1"/>
      <selection pane="bottomLeft" activeCell="A2" sqref="A2"/>
      <selection pane="bottomRight" activeCell="A23" sqref="A23"/>
    </sheetView>
  </sheetViews>
  <sheetFormatPr baseColWidth="10" defaultColWidth="8.83203125" defaultRowHeight="13" x14ac:dyDescent="0.15"/>
  <cols>
    <col min="1" max="1" width="23.6640625" bestFit="1" customWidth="1"/>
    <col min="2" max="2" width="2.33203125" style="102" customWidth="1"/>
    <col min="3" max="5" width="7.83203125" style="102" customWidth="1"/>
    <col min="6" max="8" width="8.83203125" style="6"/>
    <col min="9" max="9" width="9.1640625" style="6" customWidth="1"/>
    <col min="10" max="10" width="19" style="6" customWidth="1"/>
    <col min="11" max="11" width="21.5" style="6" customWidth="1"/>
    <col min="12" max="12" width="12.33203125" style="6" customWidth="1"/>
    <col min="13" max="13" width="17" style="6" customWidth="1"/>
    <col min="14" max="14" width="10.5" style="6" customWidth="1"/>
    <col min="15" max="15" width="14.83203125" style="6" customWidth="1"/>
    <col min="16" max="16" width="19.33203125" style="6" customWidth="1"/>
    <col min="17" max="17" width="22" style="6" customWidth="1"/>
    <col min="18" max="18" width="16.83203125" style="6" customWidth="1"/>
    <col min="19" max="19" width="14.33203125" style="6" customWidth="1"/>
    <col min="20" max="20" width="14.83203125" style="6" customWidth="1"/>
    <col min="21" max="21" width="13.6640625" style="6" customWidth="1"/>
    <col min="22" max="22" width="22.33203125" style="6" customWidth="1"/>
    <col min="23" max="23" width="22.5" style="6" customWidth="1"/>
    <col min="24" max="24" width="11" style="6" customWidth="1"/>
    <col min="25" max="25" width="17.33203125" style="6" customWidth="1"/>
    <col min="26" max="26" width="6.83203125" style="6" customWidth="1"/>
    <col min="27" max="27" width="12" style="6" customWidth="1"/>
    <col min="28" max="28" width="13.1640625" style="6" customWidth="1"/>
    <col min="29" max="29" width="23.6640625" style="6" customWidth="1"/>
    <col min="30" max="30" width="23.1640625" style="6" customWidth="1"/>
    <col min="31" max="31" width="17.33203125" style="6" customWidth="1"/>
    <col min="32" max="32" width="11.33203125" style="6" customWidth="1"/>
    <col min="33" max="33" width="13.1640625" style="6" customWidth="1"/>
    <col min="34" max="34" width="15" style="6" customWidth="1"/>
    <col min="35" max="35" width="13.5" style="6" customWidth="1"/>
    <col min="36" max="36" width="7.6640625" style="6" customWidth="1"/>
    <col min="37" max="37" width="21.6640625" style="6" customWidth="1"/>
    <col min="38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/>
      <c r="G1"/>
      <c r="H1"/>
      <c r="I1" s="158" t="s">
        <v>193</v>
      </c>
      <c r="J1" s="158" t="s">
        <v>194</v>
      </c>
      <c r="K1" s="158" t="s">
        <v>195</v>
      </c>
      <c r="L1" s="158" t="s">
        <v>196</v>
      </c>
      <c r="M1" s="158" t="s">
        <v>197</v>
      </c>
      <c r="N1" s="158" t="s">
        <v>198</v>
      </c>
      <c r="O1" s="158" t="s">
        <v>199</v>
      </c>
      <c r="P1" s="158" t="s">
        <v>200</v>
      </c>
      <c r="Q1" s="158" t="s">
        <v>201</v>
      </c>
      <c r="R1" s="158" t="s">
        <v>202</v>
      </c>
      <c r="S1" s="158" t="s">
        <v>203</v>
      </c>
      <c r="T1" s="158" t="s">
        <v>204</v>
      </c>
      <c r="U1" s="158" t="s">
        <v>205</v>
      </c>
      <c r="V1" s="158" t="s">
        <v>206</v>
      </c>
      <c r="W1" s="158" t="s">
        <v>207</v>
      </c>
      <c r="X1" s="158" t="s">
        <v>208</v>
      </c>
      <c r="Y1" s="158" t="s">
        <v>209</v>
      </c>
      <c r="Z1" s="158" t="s">
        <v>210</v>
      </c>
      <c r="AA1" s="158" t="s">
        <v>234</v>
      </c>
      <c r="AB1" s="158" t="s">
        <v>211</v>
      </c>
      <c r="AC1" s="158" t="s">
        <v>212</v>
      </c>
      <c r="AD1" s="158" t="s">
        <v>213</v>
      </c>
      <c r="AE1" s="158" t="s">
        <v>214</v>
      </c>
      <c r="AF1" s="158" t="s">
        <v>215</v>
      </c>
      <c r="AG1" s="158" t="s">
        <v>216</v>
      </c>
      <c r="AH1" s="158" t="s">
        <v>217</v>
      </c>
      <c r="AI1" s="158" t="s">
        <v>218</v>
      </c>
      <c r="AJ1" s="158" t="s">
        <v>219</v>
      </c>
      <c r="AK1" s="158" t="s">
        <v>220</v>
      </c>
      <c r="AL1" s="160" t="s">
        <v>225</v>
      </c>
    </row>
    <row r="2" spans="1:38" x14ac:dyDescent="0.15">
      <c r="A2" t="s">
        <v>38</v>
      </c>
      <c r="B2" s="10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57" t="s">
        <v>193</v>
      </c>
      <c r="B5" s="10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57" t="s">
        <v>194</v>
      </c>
      <c r="B6" s="10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57" t="s">
        <v>195</v>
      </c>
      <c r="B7" s="10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57" t="s">
        <v>196</v>
      </c>
      <c r="B8" s="10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57" t="s">
        <v>197</v>
      </c>
      <c r="B9" s="10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57" t="s">
        <v>198</v>
      </c>
      <c r="B10" s="10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57" t="s">
        <v>199</v>
      </c>
      <c r="B11" s="10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57" t="s">
        <v>200</v>
      </c>
      <c r="B12" s="10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57" t="s">
        <v>201</v>
      </c>
      <c r="B13" s="10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57" t="s">
        <v>202</v>
      </c>
      <c r="B14" s="10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57" t="s">
        <v>203</v>
      </c>
      <c r="B15" s="10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57" t="s">
        <v>204</v>
      </c>
      <c r="B16" s="10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57" t="s">
        <v>205</v>
      </c>
      <c r="B17" s="10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57" t="s">
        <v>206</v>
      </c>
      <c r="B18" s="10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57" t="s">
        <v>207</v>
      </c>
      <c r="B19" s="10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57" t="s">
        <v>208</v>
      </c>
      <c r="B20" s="10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57" t="s">
        <v>209</v>
      </c>
      <c r="B21" s="10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57" t="s">
        <v>210</v>
      </c>
      <c r="B22" s="10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57" t="s">
        <v>234</v>
      </c>
      <c r="B23" s="10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57" t="s">
        <v>211</v>
      </c>
      <c r="B24" s="10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57" t="s">
        <v>212</v>
      </c>
      <c r="B25" s="10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57" t="s">
        <v>213</v>
      </c>
      <c r="B26" s="10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57" t="s">
        <v>214</v>
      </c>
      <c r="B27" s="10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57" t="s">
        <v>215</v>
      </c>
      <c r="B28" s="10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57" t="s">
        <v>216</v>
      </c>
      <c r="B29" s="10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57" t="s">
        <v>217</v>
      </c>
      <c r="B30" s="10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57" t="s">
        <v>218</v>
      </c>
      <c r="B31" s="10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57" t="s">
        <v>219</v>
      </c>
      <c r="B32" s="10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57" t="s">
        <v>220</v>
      </c>
      <c r="B33" s="10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59" t="s">
        <v>225</v>
      </c>
      <c r="B34" s="10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2023-08-14T23:43:29Z</dcterms:modified>
</cp:coreProperties>
</file>