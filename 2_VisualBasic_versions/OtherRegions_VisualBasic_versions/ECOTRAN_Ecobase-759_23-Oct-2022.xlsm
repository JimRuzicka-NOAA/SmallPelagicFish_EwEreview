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F4870685-8EB1-4344-BA55-12463CA83E6A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Main!$C$2:$N$39</definedName>
    <definedName name="matDetritus">Detritus!$C$2:$F$39</definedName>
    <definedName name="matDiet">Diets!$B$2:$AF$36</definedName>
    <definedName name="matDiscards">Discards!$C$2:$F$35</definedName>
    <definedName name="matFishery">Fishing!$C$2:$F$35</definedName>
    <definedName name="matFishing">Fishing!#REF!</definedName>
    <definedName name="matMort">Mortalities!$A$1:$AO$35</definedName>
    <definedName name="matOut">MainOutputs!$A$2:$I$39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6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7" i="1"/>
  <c r="G38" i="1"/>
  <c r="G39" i="1"/>
  <c r="G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<sst xmlns="http://schemas.openxmlformats.org/spreadsheetml/2006/main" count="1056" uniqueCount="239">
  <si>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</si>
  <si>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</si>
  <si>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</si>
  <si>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</si>
  <si>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</si>
  <si>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</si>
  <si>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</si>
  <si>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</si>
  <si>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</si>
  <si>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</si>
  <si>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</si>
  <si>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</si>
  <si>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</si>
  <si>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</si>
  <si>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</si>
  <si>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</si>
  <si>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</si>
  <si>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</si>
  <si>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</si>
  <si>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</si>
  <si>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</si>
  <si>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</si>
  <si>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</si>
  <si>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</si>
  <si>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</si>
  <si>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</si>
  <si>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</si>
  <si>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</si>
  <si>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</si>
  <si>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</si>
  <si>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</si>
  <si>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</si>
  <si>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</si>
  <si>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</si>
  <si>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</si>
  <si>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</si>
  <si>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</si>
  <si>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</si>
  <si>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</si>
  <si>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</si>
  <si>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</si>
  <si>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</si>
  <si>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</si>
  <si>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</si>
  <si>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</si>
  <si>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</si>
  <si>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</si>
  <si>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</si>
  <si>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</si>
  <si>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</si>
  <si>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</si>
  <si>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</si>
  <si>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</si>
  <si>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</si>
  <si>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</si>
  <si>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</si>
  <si>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</si>
  <si>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</si>
  <si>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</si>
  <si>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</si>
  <si>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</si>
  <si>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</si>
  <si>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</si>
  <si>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</si>
  <si>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</si>
  <si>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</si>
  <si>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</si>
  <si>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</si>
  <si>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</si>
  <si>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</si>
  <si>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</si>
  <si>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</si>
  <si>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</si>
  <si>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</si>
  <si>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</si>
  <si>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</si>
  <si>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</si>
  <si>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</si>
  <si>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</si>
  <si>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</si>
  <si>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</si>
  <si>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</si>
  <si>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</si>
  <si>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</si>
  <si>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</si>
  <si>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</si>
  <si>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</si>
  <si>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</si>
  <si>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</si>
  <si>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</si>
  <si>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</si>
  <si>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</si>
  <si>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</si>
  <si>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</si>
  <si>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</si>
  <si>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</si>
  <si>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</si>
  <si>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</si>
  <si>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</si>
  <si>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</si>
  <si>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</si>
  <si>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</si>
  <si>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</si>
  <si>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</si>
  <si>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</si>
  <si>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</si>
  <si>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</si>
  <si>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</si>
  <si>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</si>
  <si>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</si>
  <si>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</si>
  <si>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</si>
  <si>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</si>
  <si>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</si>
  <si>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</si>
  <si>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</si>
  <si>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</si>
  <si>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</si>
  <si>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</si>
  <si>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</si>
  <si>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</si>
  <si>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</si>
  <si>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</si>
  <si>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</si>
  <si>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</si>
  <si>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</si>
  <si>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</si>
  <si>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</si>
  <si>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</si>
  <si>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</si>
  <si>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</si>
  <si>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</si>
  <si>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</si>
  <si>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</si>
  <si>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</si>
  <si>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</si>
  <si>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</si>
  <si>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</si>
  <si>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</si>
  <si>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</si>
  <si>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</si>
  <si>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</si>
  <si>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</si>
  <si>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</si>
  <si>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</si>
  <si>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</si>
  <si>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</si>
  <si>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</si>
  <si>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</si>
  <si>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</si>
  <si>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</si>
  <si>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</si>
  <si>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</si>
  <si>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</si>
  <si>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</si>
  <si>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</si>
  <si>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</si>
  <si>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</si>
  <si>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</si>
  <si>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</si>
  <si>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</si>
  <si>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</si>
  <si>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</si>
  <si>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</si>
  <si>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</si>
  <si>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</si>
  <si>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</si>
  <si>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</si>
  <si>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</si>
  <si>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</si>
  <si>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</si>
  <si>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</si>
  <si>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</si>
  <si>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</si>
  <si>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</si>
  <si>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</si>
  <si>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</si>
  <si>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</si>
  <si>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</si>
  <si>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</si>
  <si>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</si>
  <si>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</si>
  <si>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</si>
  <si>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</si>
  <si>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</si>
  <si>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Thermaikos Gulf</t>
  </si>
  <si>
    <t>Greece</t>
  </si>
  <si>
    <t>BOX(22.55 39.89,23.32 40.52)</t>
  </si>
  <si>
    <t>bay/fjord</t>
  </si>
  <si>
    <t>WetWeight</t>
  </si>
  <si>
    <t>Inner and outer Thermaikos Gulf; excluding Thessaloniki Bay and Gulf.</t>
  </si>
  <si>
    <t>Dimarchopoulou D, Tsagarakis K, Sylaios G, Tsikliras AC (2022) Ecosystem trophic structure and effort simulations of a major greek fishing ground (Thermaikos Gulf, northeastern Mediterranean Sea). Estuarine, Coastal and Shelf Science 264: 107667</t>
  </si>
  <si>
    <t>https://doi.org/10.1016/j.ecss.2021.107667</t>
  </si>
  <si>
    <t>Phytoplankton</t>
  </si>
  <si>
    <t>Zooplankton</t>
  </si>
  <si>
    <t>Benthic small crustaceans</t>
  </si>
  <si>
    <t>Polychaetes</t>
  </si>
  <si>
    <t>Shrimps</t>
  </si>
  <si>
    <t>Crabs</t>
  </si>
  <si>
    <t>Benthic invertebrates</t>
  </si>
  <si>
    <t>Octopuses and cuttlefish</t>
  </si>
  <si>
    <t>Squids</t>
  </si>
  <si>
    <t>Red mullets</t>
  </si>
  <si>
    <t>Anglerfish</t>
  </si>
  <si>
    <t>Flatfishes</t>
  </si>
  <si>
    <t>Other gadiforms</t>
  </si>
  <si>
    <t>Hake</t>
  </si>
  <si>
    <t>Demersal fishes 1</t>
  </si>
  <si>
    <t>Demersal fishes 2</t>
  </si>
  <si>
    <t>Demersal fishes 3</t>
  </si>
  <si>
    <t>Demersal fishes 4</t>
  </si>
  <si>
    <t>Picarels and bogue</t>
  </si>
  <si>
    <t>Sharks</t>
  </si>
  <si>
    <t>Rays and skates</t>
  </si>
  <si>
    <t>Anchovy</t>
  </si>
  <si>
    <t>Sardine</t>
  </si>
  <si>
    <t>Horse mackerels</t>
  </si>
  <si>
    <t>Mackerels</t>
  </si>
  <si>
    <t>Other small pelagics</t>
  </si>
  <si>
    <t>Medium pelagics</t>
  </si>
  <si>
    <t>Large pelagics</t>
  </si>
  <si>
    <t>Loggerhead turtle</t>
  </si>
  <si>
    <t>Seabirds</t>
  </si>
  <si>
    <t>Dolphins</t>
  </si>
  <si>
    <t>Discards</t>
  </si>
  <si>
    <t>Detritus</t>
  </si>
  <si>
    <t>detritus_TerminalBenthic</t>
  </si>
  <si>
    <t>Trawlers</t>
  </si>
  <si>
    <t>Purse seiners</t>
  </si>
  <si>
    <t>Beach seiners</t>
  </si>
  <si>
    <t>Small scale</t>
  </si>
  <si>
    <t>Import</t>
  </si>
  <si>
    <t>export</t>
  </si>
  <si>
    <t>sum</t>
  </si>
  <si>
    <t>TOTAL</t>
  </si>
  <si>
    <t>F Trawlers</t>
  </si>
  <si>
    <t>F Purse seiners</t>
  </si>
  <si>
    <t>F Beach seiners</t>
  </si>
  <si>
    <t>F Small 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</si>
</sst>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85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8" fillId="86" borderId="0" xfId="0" applyFont="1" applyFill="1" applyAlignment="1">
      <alignment horizontal="center"/>
    </xf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8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2" t="s">
        <v>171</v>
      </c>
      <c r="C53" s="112">
        <v>759</v>
      </c>
      <c r="D53" s="112"/>
    </row>
    <row r="54" spans="2:4" x14ac:dyDescent="0.15">
      <c r="B54" s="182" t="s">
        <v>172</v>
      </c>
      <c r="C54" s="182" t="s">
        <v>185</v>
      </c>
      <c r="D54" s="112"/>
    </row>
    <row r="55" spans="2:4" x14ac:dyDescent="0.15">
      <c r="B55" s="182" t="s">
        <v>173</v>
      </c>
      <c r="C55" s="182" t="s">
        <v>186</v>
      </c>
      <c r="D55" s="112"/>
    </row>
    <row r="56" spans="2:4" x14ac:dyDescent="0.15">
      <c r="B56" s="182" t="s">
        <v>174</v>
      </c>
      <c r="C56" s="112">
        <v>3339</v>
      </c>
      <c r="D56" s="112"/>
    </row>
    <row r="57" spans="2:4" x14ac:dyDescent="0.15">
      <c r="B57" s="182" t="s">
        <v>175</v>
      </c>
      <c r="C57" s="182" t="s">
        <v>187</v>
      </c>
      <c r="D57" s="112"/>
    </row>
    <row r="58" spans="2:4" x14ac:dyDescent="0.15">
      <c r="B58" s="182" t="s">
        <v>176</v>
      </c>
      <c r="C58" s="182" t="s">
        <v>188</v>
      </c>
      <c r="D58" s="112"/>
    </row>
    <row r="59" spans="2:4" x14ac:dyDescent="0.15">
      <c r="B59" s="182" t="s">
        <v>177</v>
      </c>
      <c r="C59" s="182" t="s">
        <v>189</v>
      </c>
      <c r="D59" s="112"/>
    </row>
    <row r="60" spans="2:4" x14ac:dyDescent="0.15">
      <c r="B60" s="182" t="s">
        <v>178</v>
      </c>
      <c r="C60" s="182" t="s">
        <v>190</v>
      </c>
      <c r="D60" s="112"/>
    </row>
    <row r="61" spans="2:4" x14ac:dyDescent="0.15">
      <c r="B61" s="182" t="s">
        <v>179</v>
      </c>
      <c r="C61" s="112">
        <v>33</v>
      </c>
      <c r="D61" s="112"/>
    </row>
    <row r="62" spans="2:4" x14ac:dyDescent="0.15">
      <c r="B62" s="182" t="s">
        <v>180</v>
      </c>
      <c r="C62" s="112">
        <v>4</v>
      </c>
      <c r="D62" s="112"/>
    </row>
    <row r="63" spans="2:4" x14ac:dyDescent="0.15">
      <c r="B63" s="182" t="s">
        <v>181</v>
      </c>
      <c r="C63" s="112">
        <v>1998</v>
      </c>
      <c r="D63" s="112"/>
    </row>
    <row r="64" spans="2:4" x14ac:dyDescent="0.15">
      <c r="B64" s="182" t="s">
        <v>182</v>
      </c>
      <c r="C64" s="112">
        <v>2</v>
      </c>
      <c r="D64" s="112"/>
    </row>
    <row r="65" spans="2:4" x14ac:dyDescent="0.15">
      <c r="B65" s="182" t="s">
        <v>183</v>
      </c>
      <c r="C65" s="182" t="s">
        <v>191</v>
      </c>
      <c r="D65" s="112"/>
    </row>
    <row r="66" spans="2:4" x14ac:dyDescent="0.15">
      <c r="B66" s="182" t="s">
        <v>184</v>
      </c>
      <c r="C66" s="182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0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3.33203125" style="84" bestFit="1" customWidth="1"/>
    <col min="6" max="6" width="2.33203125" style="84" bestFit="1" customWidth="1"/>
    <col min="7" max="7" width="7.83203125" style="84" bestFit="1" customWidth="1"/>
    <col min="8" max="8" width="5.83203125" style="84" customWidth="1"/>
    <col min="9" max="9" width="6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4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3" t="s">
        <v>193</v>
      </c>
      <c r="F2" s="84">
        <v>1</v>
      </c>
      <c r="G2" s="84">
        <v>7.8659999999999997</v>
      </c>
      <c r="H2" s="84">
        <v>117.3</v>
      </c>
      <c r="I2" s="6">
        <v>0</v>
      </c>
      <c r="J2" s="6">
        <v>0.74405425800000002</v>
      </c>
      <c r="K2" s="6">
        <v>0</v>
      </c>
      <c r="L2" s="6">
        <v>0</v>
      </c>
      <c r="M2" s="84">
        <v>0</v>
      </c>
      <c r="N2" s="84">
        <v>0</v>
      </c>
    </row>
    <row r="3" spans="1:46" ht="15" customHeight="1" x14ac:dyDescent="0.15">
      <c r="A3" s="1" t="s">
        <v>9</v>
      </c>
      <c r="B3" s="4">
        <v>31</v>
      </c>
      <c r="C3" s="84">
        <v>2</v>
      </c>
      <c r="D3"/>
      <c r="E3" s="183" t="s">
        <v>194</v>
      </c>
      <c r="F3" s="84">
        <v>0</v>
      </c>
      <c r="G3" s="84">
        <v>6.1</v>
      </c>
      <c r="H3" s="84">
        <v>62.47</v>
      </c>
      <c r="I3" s="84">
        <v>186.38</v>
      </c>
      <c r="J3" s="84">
        <v>0.76425920000000003</v>
      </c>
      <c r="K3" s="84">
        <v>0.33517545500000001</v>
      </c>
      <c r="L3" s="84">
        <v>0</v>
      </c>
      <c r="M3" s="84">
        <v>0.4</v>
      </c>
      <c r="N3" s="8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83" t="s">
        <v>195</v>
      </c>
      <c r="F4" s="84">
        <v>0</v>
      </c>
      <c r="G4" s="84">
        <v>1.1100000000000001</v>
      </c>
      <c r="H4" s="84">
        <v>7.6859999999999999</v>
      </c>
      <c r="I4" s="84">
        <v>57.12</v>
      </c>
      <c r="J4" s="84">
        <v>0.99286300000000005</v>
      </c>
      <c r="K4" s="84">
        <v>0.13455882699999999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84">
        <v>4</v>
      </c>
      <c r="D5"/>
      <c r="E5" s="183" t="s">
        <v>196</v>
      </c>
      <c r="F5" s="84">
        <v>0</v>
      </c>
      <c r="G5" s="84">
        <v>4.8079999999999998</v>
      </c>
      <c r="H5" s="84">
        <v>1.712</v>
      </c>
      <c r="I5" s="84">
        <v>13.083</v>
      </c>
      <c r="J5" s="84">
        <v>0.98790820000000001</v>
      </c>
      <c r="K5" s="84">
        <v>0.130856842</v>
      </c>
      <c r="L5" s="84">
        <v>0</v>
      </c>
      <c r="M5" s="84">
        <v>0.6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3" t="s">
        <v>197</v>
      </c>
      <c r="F6" s="84">
        <v>0</v>
      </c>
      <c r="G6" s="84">
        <v>0.30599999999999999</v>
      </c>
      <c r="H6" s="84">
        <v>3.339</v>
      </c>
      <c r="I6" s="84">
        <v>7.8959999999999999</v>
      </c>
      <c r="J6" s="84">
        <v>0.999386</v>
      </c>
      <c r="K6" s="84">
        <v>0.42287233499999999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0.99961477518081665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366</v>
      </c>
      <c r="C7" s="84">
        <v>6</v>
      </c>
      <c r="D7"/>
      <c r="E7" s="183" t="s">
        <v>198</v>
      </c>
      <c r="F7" s="84">
        <v>0</v>
      </c>
      <c r="G7" s="84">
        <v>0.41199999999999998</v>
      </c>
      <c r="H7" s="84">
        <v>2.5409999999999999</v>
      </c>
      <c r="I7" s="84">
        <v>5.1870000000000003</v>
      </c>
      <c r="J7" s="84">
        <v>0.99699879999999996</v>
      </c>
      <c r="K7" s="84">
        <v>0.489878535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243</v>
      </c>
      <c r="C8" s="84">
        <v>7</v>
      </c>
      <c r="D8"/>
      <c r="E8" s="183" t="s">
        <v>199</v>
      </c>
      <c r="F8" s="84">
        <v>0</v>
      </c>
      <c r="G8" s="84">
        <v>8.7100000000000009</v>
      </c>
      <c r="H8" s="84">
        <v>1.2150000000000001</v>
      </c>
      <c r="I8" s="84">
        <v>3.4340000000000002</v>
      </c>
      <c r="J8" s="84">
        <v>0.99530949999999996</v>
      </c>
      <c r="K8" s="84">
        <v>0.35381479999999998</v>
      </c>
      <c r="L8" s="84">
        <v>0</v>
      </c>
      <c r="M8" s="84">
        <v>0.43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3" t="s">
        <v>200</v>
      </c>
      <c r="F9" s="84">
        <v>0</v>
      </c>
      <c r="G9" s="84">
        <v>0.39200000000000002</v>
      </c>
      <c r="H9" s="84">
        <v>2.9</v>
      </c>
      <c r="I9" s="84">
        <v>5.8070000000000004</v>
      </c>
      <c r="J9" s="84">
        <v>0.99953204399999995</v>
      </c>
      <c r="K9" s="84">
        <v>0.499397278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3" t="s">
        <v>201</v>
      </c>
      <c r="F10" s="84">
        <v>0</v>
      </c>
      <c r="G10" s="84">
        <v>0.36299999999999999</v>
      </c>
      <c r="H10" s="84">
        <v>2.6</v>
      </c>
      <c r="I10" s="84">
        <v>26.47</v>
      </c>
      <c r="J10" s="84">
        <v>0.99746440000000003</v>
      </c>
      <c r="K10" s="84">
        <v>9.8224400000000003E-2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3" t="s">
        <v>202</v>
      </c>
      <c r="F11" s="84">
        <v>0</v>
      </c>
      <c r="G11" s="84">
        <v>0.19600000000000001</v>
      </c>
      <c r="H11" s="84">
        <v>1.9079999999999999</v>
      </c>
      <c r="I11" s="84">
        <v>7.1920000000000002</v>
      </c>
      <c r="J11" s="84">
        <v>0.994260967</v>
      </c>
      <c r="K11" s="84">
        <v>0.26529476000000002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3" t="s">
        <v>203</v>
      </c>
      <c r="F12" s="84">
        <v>0</v>
      </c>
      <c r="G12" s="84">
        <v>0.20300000000000001</v>
      </c>
      <c r="H12" s="84">
        <v>1.1000000000000001</v>
      </c>
      <c r="I12" s="84">
        <v>3.7770000000000001</v>
      </c>
      <c r="J12" s="84">
        <v>0.21105337099999999</v>
      </c>
      <c r="K12" s="84">
        <v>0.29123642999999999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3" t="s">
        <v>204</v>
      </c>
      <c r="F13" s="84">
        <v>0</v>
      </c>
      <c r="G13" s="84">
        <v>0.107</v>
      </c>
      <c r="H13" s="84">
        <v>1.82</v>
      </c>
      <c r="I13" s="84">
        <v>8.7409999999999997</v>
      </c>
      <c r="J13" s="84">
        <v>0.99504154899999997</v>
      </c>
      <c r="K13" s="84">
        <v>0.20821416400000001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3" t="s">
        <v>205</v>
      </c>
      <c r="F14" s="84">
        <v>0</v>
      </c>
      <c r="G14" s="84">
        <v>0.57999999999999996</v>
      </c>
      <c r="H14" s="84">
        <v>1.45</v>
      </c>
      <c r="I14" s="84">
        <v>6.4930000000000003</v>
      </c>
      <c r="J14" s="84">
        <v>0.99961639999999996</v>
      </c>
      <c r="K14" s="84">
        <v>0.22331742900000001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3" t="s">
        <v>206</v>
      </c>
      <c r="F15" s="84">
        <v>0</v>
      </c>
      <c r="G15" s="84">
        <v>0.4</v>
      </c>
      <c r="H15" s="84">
        <v>0.58699999999999997</v>
      </c>
      <c r="I15" s="84">
        <v>3.7</v>
      </c>
      <c r="J15" s="84">
        <v>0.998035848</v>
      </c>
      <c r="K15" s="84">
        <v>0.158648655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3" t="s">
        <v>207</v>
      </c>
      <c r="F16" s="84">
        <v>0</v>
      </c>
      <c r="G16" s="84">
        <v>0.15</v>
      </c>
      <c r="H16" s="84">
        <v>2.4</v>
      </c>
      <c r="I16" s="84">
        <v>9.3059999999999992</v>
      </c>
      <c r="J16" s="84">
        <v>0.99519926299999995</v>
      </c>
      <c r="K16" s="84">
        <v>0.25789815199999999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3" t="s">
        <v>208</v>
      </c>
      <c r="F17" s="84">
        <v>0</v>
      </c>
      <c r="G17" s="84">
        <v>0.246</v>
      </c>
      <c r="H17" s="84">
        <v>1.6</v>
      </c>
      <c r="I17" s="84">
        <v>7.7389999999999999</v>
      </c>
      <c r="J17" s="84">
        <v>0.99575239999999998</v>
      </c>
      <c r="K17" s="84">
        <v>0.20674505800000001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3" t="s">
        <v>209</v>
      </c>
      <c r="F18" s="84">
        <v>0</v>
      </c>
      <c r="G18" s="84">
        <v>0.32200000000000001</v>
      </c>
      <c r="H18" s="84">
        <v>1.4</v>
      </c>
      <c r="I18" s="84">
        <v>4.5919999999999996</v>
      </c>
      <c r="J18" s="84">
        <v>0.99112049999999996</v>
      </c>
      <c r="K18" s="84">
        <v>0.30487805600000001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3" t="s">
        <v>210</v>
      </c>
      <c r="F19" s="84">
        <v>0</v>
      </c>
      <c r="G19" s="84">
        <v>0.23699999999999999</v>
      </c>
      <c r="H19" s="84">
        <v>1.9</v>
      </c>
      <c r="I19" s="84">
        <v>11.105</v>
      </c>
      <c r="J19" s="84">
        <v>0.99545854300000003</v>
      </c>
      <c r="K19" s="84">
        <v>0.1710941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3" t="s">
        <v>211</v>
      </c>
      <c r="F20" s="84">
        <v>0</v>
      </c>
      <c r="G20" s="84">
        <v>0.66300000000000003</v>
      </c>
      <c r="H20" s="84">
        <v>1.5</v>
      </c>
      <c r="I20" s="84">
        <v>8.3390000000000004</v>
      </c>
      <c r="J20" s="84">
        <v>0.99167289999999997</v>
      </c>
      <c r="K20" s="84">
        <v>0.17987768400000001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3" t="s">
        <v>212</v>
      </c>
      <c r="F21" s="84">
        <v>0</v>
      </c>
      <c r="G21" s="84">
        <v>7.0999999999999994E-2</v>
      </c>
      <c r="H21" s="84">
        <v>0.69799999999999995</v>
      </c>
      <c r="I21" s="84">
        <v>4.08</v>
      </c>
      <c r="J21" s="84">
        <v>0.98800206199999996</v>
      </c>
      <c r="K21" s="84">
        <v>0.171078444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3" t="s">
        <v>213</v>
      </c>
      <c r="F22" s="84">
        <v>0</v>
      </c>
      <c r="G22" s="84">
        <v>0.14099999999999999</v>
      </c>
      <c r="H22" s="84">
        <v>1</v>
      </c>
      <c r="I22" s="84">
        <v>3.3940000000000001</v>
      </c>
      <c r="J22" s="84">
        <v>0.71747550000000004</v>
      </c>
      <c r="K22" s="84">
        <v>0.2946376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3" t="s">
        <v>214</v>
      </c>
      <c r="F23" s="84">
        <v>0</v>
      </c>
      <c r="G23" s="84">
        <v>2.25</v>
      </c>
      <c r="H23" s="84">
        <v>1.7529999999999999</v>
      </c>
      <c r="I23" s="84">
        <v>6.6929999999999996</v>
      </c>
      <c r="J23" s="84">
        <v>0.99542015800000005</v>
      </c>
      <c r="K23" s="84">
        <v>0.26191544500000002</v>
      </c>
      <c r="L23" s="84">
        <v>0</v>
      </c>
      <c r="M23" s="84">
        <v>0.3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3" t="s">
        <v>215</v>
      </c>
      <c r="F24" s="84">
        <v>0</v>
      </c>
      <c r="G24" s="84">
        <v>1.95</v>
      </c>
      <c r="H24" s="84">
        <v>1.778</v>
      </c>
      <c r="I24" s="84">
        <v>11.667999999999999</v>
      </c>
      <c r="J24" s="84">
        <v>0.99748060000000005</v>
      </c>
      <c r="K24" s="84">
        <v>0.15238258199999999</v>
      </c>
      <c r="L24" s="84">
        <v>0</v>
      </c>
      <c r="M24" s="84">
        <v>0.3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3" t="s">
        <v>216</v>
      </c>
      <c r="F25" s="84">
        <v>0</v>
      </c>
      <c r="G25" s="84">
        <v>0.73199999999999998</v>
      </c>
      <c r="H25" s="84">
        <v>1</v>
      </c>
      <c r="I25" s="84">
        <v>7.3150000000000004</v>
      </c>
      <c r="J25" s="84">
        <v>0.99396119999999999</v>
      </c>
      <c r="K25" s="84">
        <v>0.1367054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3" t="s">
        <v>217</v>
      </c>
      <c r="F26" s="84">
        <v>0</v>
      </c>
      <c r="G26" s="84">
        <v>0.29399999999999998</v>
      </c>
      <c r="H26" s="84">
        <v>1.022</v>
      </c>
      <c r="I26" s="84">
        <v>6.4480000000000004</v>
      </c>
      <c r="J26" s="84">
        <v>0.99403660000000005</v>
      </c>
      <c r="K26" s="84">
        <v>0.15849874899999999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3" t="s">
        <v>218</v>
      </c>
      <c r="F27" s="84">
        <v>0</v>
      </c>
      <c r="G27" s="84">
        <v>1.17</v>
      </c>
      <c r="H27" s="84">
        <v>1.4</v>
      </c>
      <c r="I27" s="84">
        <v>6.3650000000000002</v>
      </c>
      <c r="J27" s="84">
        <v>0.99669796200000005</v>
      </c>
      <c r="K27" s="84">
        <v>0.219952866</v>
      </c>
      <c r="L27" s="84">
        <v>0</v>
      </c>
      <c r="M27" s="84">
        <v>0.3</v>
      </c>
      <c r="N27" s="84">
        <v>0</v>
      </c>
    </row>
    <row r="28" spans="1:22" ht="15" customHeight="1" x14ac:dyDescent="0.15">
      <c r="C28" s="84">
        <v>27</v>
      </c>
      <c r="D28"/>
      <c r="E28" s="183" t="s">
        <v>219</v>
      </c>
      <c r="F28" s="84">
        <v>0</v>
      </c>
      <c r="G28" s="84">
        <v>0.25</v>
      </c>
      <c r="H28" s="84">
        <v>0.42499999999999999</v>
      </c>
      <c r="I28" s="84">
        <v>3.706</v>
      </c>
      <c r="J28" s="84">
        <v>0.25688539999999999</v>
      </c>
      <c r="K28" s="84">
        <v>0.1146789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3" t="s">
        <v>220</v>
      </c>
      <c r="F29" s="84">
        <v>0</v>
      </c>
      <c r="G29" s="84">
        <v>4.9000000000000002E-2</v>
      </c>
      <c r="H29" s="84">
        <v>0.4</v>
      </c>
      <c r="I29" s="84">
        <v>2.5289999999999999</v>
      </c>
      <c r="J29" s="84">
        <v>0.86448809999999998</v>
      </c>
      <c r="K29" s="84">
        <v>0.15816527599999999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3" t="s">
        <v>221</v>
      </c>
      <c r="F30" s="84">
        <v>0</v>
      </c>
      <c r="G30" s="84">
        <v>0.02</v>
      </c>
      <c r="H30" s="84">
        <v>0.16</v>
      </c>
      <c r="I30" s="84">
        <v>2.68</v>
      </c>
      <c r="J30" s="84">
        <v>0.78125</v>
      </c>
      <c r="K30" s="84">
        <v>5.9701490000000003E-2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3" t="s">
        <v>222</v>
      </c>
      <c r="F31" s="84">
        <v>0</v>
      </c>
      <c r="G31" s="84">
        <v>1E-3</v>
      </c>
      <c r="H31" s="84">
        <v>4.78</v>
      </c>
      <c r="I31" s="84">
        <v>111.61</v>
      </c>
      <c r="J31" s="84">
        <v>0</v>
      </c>
      <c r="K31" s="84">
        <v>4.2827706799999997E-2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3" t="s">
        <v>223</v>
      </c>
      <c r="F32" s="84">
        <v>0</v>
      </c>
      <c r="G32" s="84">
        <v>0.02</v>
      </c>
      <c r="H32" s="84">
        <v>0.08</v>
      </c>
      <c r="I32" s="84">
        <v>13.81</v>
      </c>
      <c r="J32" s="84">
        <v>0.21249999999999999</v>
      </c>
      <c r="K32" s="84">
        <v>5.7929032500000002E-3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3" t="s">
        <v>224</v>
      </c>
      <c r="F33" s="84">
        <v>2</v>
      </c>
      <c r="G33" s="84">
        <v>0.35514000000000001</v>
      </c>
      <c r="H33" s="84">
        <v>0</v>
      </c>
      <c r="I33" s="84">
        <v>0</v>
      </c>
      <c r="J33" s="84">
        <v>0.98730879999999999</v>
      </c>
      <c r="K33" s="84">
        <v>0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3" t="s">
        <v>225</v>
      </c>
      <c r="F34" s="84">
        <v>2</v>
      </c>
      <c r="G34" s="84">
        <v>31.44</v>
      </c>
      <c r="H34" s="84">
        <v>0</v>
      </c>
      <c r="I34" s="84">
        <v>0</v>
      </c>
      <c r="J34" s="84">
        <v>0</v>
      </c>
      <c r="K34" s="84">
        <v>0</v>
      </c>
      <c r="L34" s="84">
        <v>0</v>
      </c>
      <c r="M34" s="84">
        <v>0</v>
      </c>
      <c r="N34" s="84">
        <v>0</v>
      </c>
    </row>
    <row r="35" spans="3:14" customFormat="1" ht="15" customHeight="1" x14ac:dyDescent="0.15">
      <c r="C35" s="84">
        <v>34</v>
      </c>
      <c r="E35" s="183" t="s">
        <v>226</v>
      </c>
      <c r="F35" s="84">
        <v>2</v>
      </c>
      <c r="G35" s="84">
        <v>5</v>
      </c>
      <c r="H35" s="84">
        <v>0</v>
      </c>
      <c r="I35" s="84">
        <v>0</v>
      </c>
      <c r="J35" s="84">
        <v>0</v>
      </c>
      <c r="K35" s="84">
        <v>0</v>
      </c>
      <c r="L35" s="84">
        <v>0</v>
      </c>
      <c r="M35" s="84">
        <v>0</v>
      </c>
      <c r="N35" s="84">
        <v>0</v>
      </c>
    </row>
    <row r="36" spans="3:14" customFormat="1" ht="15" customHeight="1" x14ac:dyDescent="0.15">
      <c r="C36" s="84">
        <v>35</v>
      </c>
      <c r="E36" s="183" t="s">
        <v>227</v>
      </c>
      <c r="F36" s="84">
        <v>3</v>
      </c>
      <c r="G36" s="84">
        <v>0</v>
      </c>
      <c r="H36" s="84">
        <v>0</v>
      </c>
      <c r="I36" s="84">
        <v>0</v>
      </c>
      <c r="J36" s="84">
        <v>0</v>
      </c>
      <c r="K36" s="84">
        <v>0</v>
      </c>
      <c r="L36" s="84">
        <v>0</v>
      </c>
      <c r="M36" s="84">
        <v>0</v>
      </c>
      <c r="N36" s="84">
        <v>0</v>
      </c>
    </row>
    <row r="37" spans="3:14" customFormat="1" ht="15" customHeight="1" x14ac:dyDescent="0.15">
      <c r="C37" s="84">
        <v>36</v>
      </c>
      <c r="E37" s="183" t="s">
        <v>228</v>
      </c>
      <c r="F37" s="84">
        <v>3</v>
      </c>
      <c r="G37" s="84">
        <v>0</v>
      </c>
      <c r="H37" s="84">
        <v>0</v>
      </c>
      <c r="I37" s="84">
        <v>0</v>
      </c>
      <c r="J37" s="84">
        <v>0</v>
      </c>
      <c r="K37" s="84">
        <v>0</v>
      </c>
      <c r="L37" s="84">
        <v>0</v>
      </c>
      <c r="M37" s="84">
        <v>0</v>
      </c>
      <c r="N37" s="84">
        <v>0</v>
      </c>
    </row>
    <row r="38" spans="3:14" customFormat="1" ht="15" customHeight="1" x14ac:dyDescent="0.15">
      <c r="C38" s="84">
        <v>37</v>
      </c>
      <c r="E38" s="183" t="s">
        <v>229</v>
      </c>
      <c r="F38" s="84">
        <v>3</v>
      </c>
      <c r="G38" s="84">
        <v>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  <c r="N38" s="84">
        <v>0</v>
      </c>
    </row>
    <row r="39" spans="3:14" customFormat="1" ht="15" customHeight="1" x14ac:dyDescent="0.15">
      <c r="C39" s="84">
        <v>38</v>
      </c>
      <c r="E39" s="183" t="s">
        <v>230</v>
      </c>
      <c r="F39" s="84">
        <v>3</v>
      </c>
      <c r="G39" s="84">
        <v>0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  <c r="N39" s="84">
        <v>0</v>
      </c>
    </row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.33203125" style="146" bestFit="1" customWidth="1"/>
    <col min="2" max="2" width="2.33203125" style="146" bestFit="1" customWidth="1"/>
    <col min="3" max="3" width="3.83203125" style="146" bestFit="1" customWidth="1"/>
    <col min="4" max="4" width="5.83203125" style="146" bestFit="1" customWidth="1"/>
    <col min="5" max="5" width="4.83203125" style="146" bestFit="1" customWidth="1"/>
    <col min="6" max="6" width="13.83203125" style="146" bestFit="1" customWidth="1"/>
    <col min="7" max="7" width="5.83203125" style="146" bestFit="1" customWidth="1"/>
    <col min="8" max="9" width="4.83203125" style="146" bestFit="1" customWidth="1"/>
    <col min="10" max="20" width="5.83203125" style="146" bestFit="1" customWidth="1"/>
    <col min="21" max="21" width="13.83203125" style="146" bestFit="1" customWidth="1"/>
    <col min="22" max="22" width="5.83203125" style="146" bestFit="1" customWidth="1"/>
    <col min="23" max="23" width="2.33203125" style="146" bestFit="1" customWidth="1"/>
    <col min="24" max="29" width="5.83203125" style="146" bestFit="1" customWidth="1"/>
    <col min="30" max="30" width="6.83203125" style="146" customWidth="1"/>
    <col min="31" max="31" width="4.83203125" style="146" customWidth="1"/>
    <col min="32" max="32" width="14.83203125" style="146" customWidth="1"/>
    <col min="33" max="35" width="2.33203125" style="146" customWidth="1"/>
    <col min="36" max="16384" width="8.83203125" style="146"/>
  </cols>
  <sheetData>
    <row r="1" spans="1:35" x14ac:dyDescent="0.15">
      <c r="A1" s="145" t="s">
        <v>19</v>
      </c>
      <c r="B1" s="185" t="s">
        <v>193</v>
      </c>
      <c r="C1" s="185" t="s">
        <v>194</v>
      </c>
      <c r="D1" s="185" t="s">
        <v>195</v>
      </c>
      <c r="E1" s="185" t="s">
        <v>196</v>
      </c>
      <c r="F1" s="185" t="s">
        <v>197</v>
      </c>
      <c r="G1" s="185" t="s">
        <v>198</v>
      </c>
      <c r="H1" s="185" t="s">
        <v>199</v>
      </c>
      <c r="I1" s="185" t="s">
        <v>200</v>
      </c>
      <c r="J1" s="185" t="s">
        <v>201</v>
      </c>
      <c r="K1" s="185" t="s">
        <v>202</v>
      </c>
      <c r="L1" s="185" t="s">
        <v>203</v>
      </c>
      <c r="M1" s="185" t="s">
        <v>204</v>
      </c>
      <c r="N1" s="185" t="s">
        <v>205</v>
      </c>
      <c r="O1" s="185" t="s">
        <v>206</v>
      </c>
      <c r="P1" s="185" t="s">
        <v>207</v>
      </c>
      <c r="Q1" s="185" t="s">
        <v>208</v>
      </c>
      <c r="R1" s="185" t="s">
        <v>209</v>
      </c>
      <c r="S1" s="185" t="s">
        <v>210</v>
      </c>
      <c r="T1" s="185" t="s">
        <v>211</v>
      </c>
      <c r="U1" s="185" t="s">
        <v>212</v>
      </c>
      <c r="V1" s="185" t="s">
        <v>213</v>
      </c>
      <c r="W1" s="185" t="s">
        <v>214</v>
      </c>
      <c r="X1" s="185" t="s">
        <v>215</v>
      </c>
      <c r="Y1" s="185" t="s">
        <v>216</v>
      </c>
      <c r="Z1" s="185" t="s">
        <v>217</v>
      </c>
      <c r="AA1" s="185" t="s">
        <v>218</v>
      </c>
      <c r="AB1" s="185" t="s">
        <v>219</v>
      </c>
      <c r="AC1" s="185" t="s">
        <v>220</v>
      </c>
      <c r="AD1" s="185" t="s">
        <v>221</v>
      </c>
      <c r="AE1" s="185" t="s">
        <v>222</v>
      </c>
      <c r="AF1" s="185" t="s">
        <v>223</v>
      </c>
      <c r="AG1" s="185" t="s">
        <v>224</v>
      </c>
      <c r="AH1" s="185" t="s">
        <v>225</v>
      </c>
      <c r="AI1" s="185" t="s">
        <v>226</v>
      </c>
    </row>
    <row r="2" spans="1:35" customFormat="1" x14ac:dyDescent="0.15">
      <c r="A2" s="184" t="s">
        <v>193</v>
      </c>
      <c r="B2" s="146">
        <v>0</v>
      </c>
      <c r="C2" s="146">
        <v>0.6</v>
      </c>
      <c r="D2" s="146">
        <v>0.02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0.02</v>
      </c>
      <c r="R2" s="146">
        <v>8.9999999999999976E-3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0.13100000000000001</v>
      </c>
      <c r="Y2" s="146">
        <v>0</v>
      </c>
      <c r="Z2" s="146">
        <v>0</v>
      </c>
      <c r="AA2" s="146">
        <v>0.01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</row>
    <row r="3" spans="1:35" customFormat="1" x14ac:dyDescent="0.15">
      <c r="A3" s="184" t="s">
        <v>194</v>
      </c>
      <c r="B3" s="146">
        <v>0</v>
      </c>
      <c r="C3" s="146">
        <v>0.2</v>
      </c>
      <c r="D3" s="146">
        <v>9.7000000000000003E-2</v>
      </c>
      <c r="E3" s="146">
        <v>0</v>
      </c>
      <c r="F3" s="146">
        <v>0.1029102910291029</v>
      </c>
      <c r="G3" s="146">
        <v>5.0000000000000001E-3</v>
      </c>
      <c r="H3" s="146">
        <v>0</v>
      </c>
      <c r="I3" s="146">
        <v>8.9999999999999983E-2</v>
      </c>
      <c r="J3" s="146">
        <v>0.17499999999999996</v>
      </c>
      <c r="K3" s="146">
        <v>0.14000000000000001</v>
      </c>
      <c r="L3" s="146">
        <v>1.7999999999999995E-2</v>
      </c>
      <c r="M3" s="146">
        <v>0.161</v>
      </c>
      <c r="N3" s="146">
        <v>0.29999999999999993</v>
      </c>
      <c r="O3" s="146">
        <v>0.13699999999999998</v>
      </c>
      <c r="P3" s="146">
        <v>0.107</v>
      </c>
      <c r="Q3" s="146">
        <v>0.15</v>
      </c>
      <c r="R3" s="146">
        <v>0.15199999999999997</v>
      </c>
      <c r="S3" s="146">
        <v>0.77300000000000002</v>
      </c>
      <c r="T3" s="146">
        <v>0.9</v>
      </c>
      <c r="U3" s="146">
        <v>0.14198580141985798</v>
      </c>
      <c r="V3" s="146">
        <v>3.4999999999999996E-2</v>
      </c>
      <c r="W3" s="146">
        <v>1</v>
      </c>
      <c r="X3" s="146">
        <v>0.84899999999999998</v>
      </c>
      <c r="Y3" s="146">
        <v>0.76699999999999979</v>
      </c>
      <c r="Z3" s="146">
        <v>0.6</v>
      </c>
      <c r="AA3" s="146">
        <v>0.86699999999999999</v>
      </c>
      <c r="AB3" s="146">
        <v>5.000000000000001E-2</v>
      </c>
      <c r="AC3" s="146">
        <v>0.05</v>
      </c>
      <c r="AD3" s="146">
        <v>0.05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</row>
    <row r="4" spans="1:35" customFormat="1" x14ac:dyDescent="0.15">
      <c r="A4" s="184" t="s">
        <v>195</v>
      </c>
      <c r="B4" s="146">
        <v>0</v>
      </c>
      <c r="C4" s="146">
        <v>0</v>
      </c>
      <c r="D4" s="146">
        <v>0.03</v>
      </c>
      <c r="E4" s="146">
        <v>0</v>
      </c>
      <c r="F4" s="146">
        <v>0.23002300230023001</v>
      </c>
      <c r="G4" s="146">
        <v>0.06</v>
      </c>
      <c r="H4" s="146">
        <v>0</v>
      </c>
      <c r="I4" s="146">
        <v>0.13999999999999999</v>
      </c>
      <c r="J4" s="146">
        <v>0.12799999999999997</v>
      </c>
      <c r="K4" s="146">
        <v>0.184</v>
      </c>
      <c r="L4" s="146">
        <v>2.9999999999999992E-2</v>
      </c>
      <c r="M4" s="146">
        <v>0.121</v>
      </c>
      <c r="N4" s="146">
        <v>0.30499999999999994</v>
      </c>
      <c r="O4" s="146">
        <v>6.2999999999999987E-2</v>
      </c>
      <c r="P4" s="146">
        <v>0.13100000000000001</v>
      </c>
      <c r="Q4" s="146">
        <v>0.2</v>
      </c>
      <c r="R4" s="146">
        <v>7.7999999999999986E-2</v>
      </c>
      <c r="S4" s="146">
        <v>0.1</v>
      </c>
      <c r="T4" s="146">
        <v>0.05</v>
      </c>
      <c r="U4" s="146">
        <v>0</v>
      </c>
      <c r="V4" s="146">
        <v>5.9999999999999984E-3</v>
      </c>
      <c r="W4" s="146">
        <v>0</v>
      </c>
      <c r="X4" s="146">
        <v>0.02</v>
      </c>
      <c r="Y4" s="146">
        <v>2.9999999999999992E-2</v>
      </c>
      <c r="Z4" s="146">
        <v>0.04</v>
      </c>
      <c r="AA4" s="146">
        <v>0.10299999999999999</v>
      </c>
      <c r="AB4" s="146">
        <v>2.0000000000000004E-2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</row>
    <row r="5" spans="1:35" customFormat="1" x14ac:dyDescent="0.15">
      <c r="A5" s="184" t="s">
        <v>196</v>
      </c>
      <c r="B5" s="146">
        <v>0</v>
      </c>
      <c r="C5" s="146">
        <v>0</v>
      </c>
      <c r="D5" s="146">
        <v>0.02</v>
      </c>
      <c r="E5" s="146">
        <v>0.03</v>
      </c>
      <c r="F5" s="146">
        <v>0.20002000200020001</v>
      </c>
      <c r="G5" s="146">
        <v>0.41</v>
      </c>
      <c r="H5" s="146">
        <v>0.02</v>
      </c>
      <c r="I5" s="146">
        <v>5.9999999999999984E-2</v>
      </c>
      <c r="J5" s="146">
        <v>7.4999999999999983E-2</v>
      </c>
      <c r="K5" s="146">
        <v>0.13200000000000001</v>
      </c>
      <c r="L5" s="146">
        <v>5.9999999999999984E-2</v>
      </c>
      <c r="M5" s="146">
        <v>2.1999999999999999E-2</v>
      </c>
      <c r="N5" s="146">
        <v>0</v>
      </c>
      <c r="O5" s="146">
        <v>0</v>
      </c>
      <c r="P5" s="146">
        <v>0.66100000000000003</v>
      </c>
      <c r="Q5" s="146">
        <v>0.12</v>
      </c>
      <c r="R5" s="146">
        <v>9.4999999999999973E-2</v>
      </c>
      <c r="S5" s="146">
        <v>1.9E-2</v>
      </c>
      <c r="T5" s="146">
        <v>4.4999999999999998E-2</v>
      </c>
      <c r="U5" s="146">
        <v>4.9995000499949996E-2</v>
      </c>
      <c r="V5" s="146">
        <v>9.9999999999999978E-2</v>
      </c>
      <c r="W5" s="146">
        <v>0</v>
      </c>
      <c r="X5" s="146">
        <v>0</v>
      </c>
      <c r="Y5" s="146">
        <v>4.6999999999999986E-2</v>
      </c>
      <c r="Z5" s="146">
        <v>0</v>
      </c>
      <c r="AA5" s="146">
        <v>0</v>
      </c>
      <c r="AB5" s="146">
        <v>5.000000000000001E-3</v>
      </c>
      <c r="AC5" s="146">
        <v>0</v>
      </c>
      <c r="AD5" s="146">
        <v>1E-3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</row>
    <row r="6" spans="1:35" customFormat="1" x14ac:dyDescent="0.15">
      <c r="A6" s="184" t="s">
        <v>197</v>
      </c>
      <c r="B6" s="146">
        <v>0</v>
      </c>
      <c r="C6" s="146">
        <v>0</v>
      </c>
      <c r="D6" s="146">
        <v>0</v>
      </c>
      <c r="E6" s="146">
        <v>0</v>
      </c>
      <c r="F6" s="146">
        <v>3.0003000300029999E-2</v>
      </c>
      <c r="G6" s="146">
        <v>0.02</v>
      </c>
      <c r="H6" s="146">
        <v>0</v>
      </c>
      <c r="I6" s="146">
        <v>9.9999999999999985E-3</v>
      </c>
      <c r="J6" s="146">
        <v>4.9999999999999992E-3</v>
      </c>
      <c r="K6" s="146">
        <v>0.04</v>
      </c>
      <c r="L6" s="146">
        <v>1.9999999999999997E-2</v>
      </c>
      <c r="M6" s="146">
        <v>1.2E-2</v>
      </c>
      <c r="N6" s="146">
        <v>9.9999999999999985E-3</v>
      </c>
      <c r="O6" s="146">
        <v>7.2999999999999982E-2</v>
      </c>
      <c r="P6" s="146">
        <v>1.7999999999999999E-2</v>
      </c>
      <c r="Q6" s="146">
        <v>0.05</v>
      </c>
      <c r="R6" s="146">
        <v>8.3999999999999991E-2</v>
      </c>
      <c r="S6" s="146">
        <v>4.4999999999999998E-2</v>
      </c>
      <c r="T6" s="146">
        <v>5.0000000000000001E-3</v>
      </c>
      <c r="U6" s="146">
        <v>9.9990000999899999E-3</v>
      </c>
      <c r="V6" s="146">
        <v>9.9999999999999978E-2</v>
      </c>
      <c r="W6" s="146">
        <v>0</v>
      </c>
      <c r="X6" s="146">
        <v>0</v>
      </c>
      <c r="Y6" s="146">
        <v>4.9999999999999992E-3</v>
      </c>
      <c r="Z6" s="146">
        <v>0.01</v>
      </c>
      <c r="AA6" s="146">
        <v>0</v>
      </c>
      <c r="AB6" s="146">
        <v>5.000000000000001E-3</v>
      </c>
      <c r="AC6" s="146">
        <v>0.03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</row>
    <row r="7" spans="1:35" customFormat="1" x14ac:dyDescent="0.15">
      <c r="A7" s="184" t="s">
        <v>198</v>
      </c>
      <c r="B7" s="146">
        <v>0</v>
      </c>
      <c r="C7" s="146">
        <v>0</v>
      </c>
      <c r="D7" s="146">
        <v>0</v>
      </c>
      <c r="E7" s="146">
        <v>0</v>
      </c>
      <c r="F7" s="146">
        <v>2.6002600260025998E-2</v>
      </c>
      <c r="G7" s="146">
        <v>2.5000000000000001E-2</v>
      </c>
      <c r="H7" s="146">
        <v>0</v>
      </c>
      <c r="I7" s="146">
        <v>4.9999999999999989E-2</v>
      </c>
      <c r="J7" s="146">
        <v>1.2999999999999996E-2</v>
      </c>
      <c r="K7" s="146">
        <v>0.08</v>
      </c>
      <c r="L7" s="146">
        <v>0</v>
      </c>
      <c r="M7" s="146">
        <v>1.2E-2</v>
      </c>
      <c r="N7" s="146">
        <v>3.1999999999999994E-2</v>
      </c>
      <c r="O7" s="146">
        <v>0</v>
      </c>
      <c r="P7" s="146">
        <v>0</v>
      </c>
      <c r="Q7" s="146">
        <v>0.09</v>
      </c>
      <c r="R7" s="146">
        <v>3.7999999999999992E-2</v>
      </c>
      <c r="S7" s="146">
        <v>3.5999999999999997E-2</v>
      </c>
      <c r="T7" s="146">
        <v>0</v>
      </c>
      <c r="U7" s="146">
        <v>9.9990000999899992E-2</v>
      </c>
      <c r="V7" s="146">
        <v>9.9999999999999978E-2</v>
      </c>
      <c r="W7" s="146">
        <v>0</v>
      </c>
      <c r="X7" s="146">
        <v>0</v>
      </c>
      <c r="Y7" s="146">
        <v>4.9999999999999992E-3</v>
      </c>
      <c r="Z7" s="146">
        <v>0</v>
      </c>
      <c r="AA7" s="146">
        <v>0</v>
      </c>
      <c r="AB7" s="146">
        <v>0</v>
      </c>
      <c r="AC7" s="146">
        <v>0</v>
      </c>
      <c r="AD7" s="146">
        <v>0.13800000000000001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</row>
    <row r="8" spans="1:35" customFormat="1" x14ac:dyDescent="0.15">
      <c r="A8" s="184" t="s">
        <v>199</v>
      </c>
      <c r="B8" s="146">
        <v>0</v>
      </c>
      <c r="C8" s="146">
        <v>0</v>
      </c>
      <c r="D8" s="146">
        <v>0.03</v>
      </c>
      <c r="E8" s="146">
        <v>0.06</v>
      </c>
      <c r="F8" s="146">
        <v>0.28002800280028001</v>
      </c>
      <c r="G8" s="146">
        <v>0.31</v>
      </c>
      <c r="H8" s="146">
        <v>0.03</v>
      </c>
      <c r="I8" s="146">
        <v>0.52999999999999992</v>
      </c>
      <c r="J8" s="146">
        <v>1.9999999999999997E-2</v>
      </c>
      <c r="K8" s="146">
        <v>2.4E-2</v>
      </c>
      <c r="L8" s="146">
        <v>9.9999999999999978E-2</v>
      </c>
      <c r="M8" s="146">
        <v>0.04</v>
      </c>
      <c r="N8" s="146">
        <v>7.9999999999999984E-3</v>
      </c>
      <c r="O8" s="146">
        <v>1.9999999999999997E-2</v>
      </c>
      <c r="P8" s="146">
        <v>8.3000000000000004E-2</v>
      </c>
      <c r="Q8" s="146">
        <v>0.02</v>
      </c>
      <c r="R8" s="146">
        <v>0.14499999999999996</v>
      </c>
      <c r="S8" s="146">
        <v>2.7E-2</v>
      </c>
      <c r="T8" s="146">
        <v>0</v>
      </c>
      <c r="U8" s="146">
        <v>0.19998000199979998</v>
      </c>
      <c r="V8" s="146">
        <v>3.4999999999999996E-2</v>
      </c>
      <c r="W8" s="146">
        <v>0</v>
      </c>
      <c r="X8" s="146">
        <v>0</v>
      </c>
      <c r="Y8" s="146">
        <v>4.9999999999999989E-2</v>
      </c>
      <c r="Z8" s="146">
        <v>8.4000000000000005E-2</v>
      </c>
      <c r="AA8" s="146">
        <v>5.0000000000000001E-3</v>
      </c>
      <c r="AB8" s="146">
        <v>0</v>
      </c>
      <c r="AC8" s="146">
        <v>9.2999999999999999E-2</v>
      </c>
      <c r="AD8" s="146">
        <v>0.29899999999999999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</row>
    <row r="9" spans="1:35" customFormat="1" x14ac:dyDescent="0.15">
      <c r="A9" s="184" t="s">
        <v>200</v>
      </c>
      <c r="B9" s="146">
        <v>0</v>
      </c>
      <c r="C9" s="146">
        <v>0</v>
      </c>
      <c r="D9" s="146">
        <v>0</v>
      </c>
      <c r="E9" s="146">
        <v>0</v>
      </c>
      <c r="F9" s="146">
        <v>2.000200020002E-2</v>
      </c>
      <c r="G9" s="146">
        <v>0</v>
      </c>
      <c r="H9" s="146">
        <v>0</v>
      </c>
      <c r="I9" s="146">
        <v>4.9999999999999989E-2</v>
      </c>
      <c r="J9" s="146">
        <v>3.4999999999999996E-2</v>
      </c>
      <c r="K9" s="146">
        <v>0</v>
      </c>
      <c r="L9" s="146">
        <v>9.9999999999999978E-2</v>
      </c>
      <c r="M9" s="146">
        <v>0.04</v>
      </c>
      <c r="N9" s="146">
        <v>4.9999999999999992E-3</v>
      </c>
      <c r="O9" s="146">
        <v>3.9999999999999994E-2</v>
      </c>
      <c r="P9" s="146">
        <v>0</v>
      </c>
      <c r="Q9" s="146">
        <v>1.4999999999999999E-2</v>
      </c>
      <c r="R9" s="146">
        <v>4.7999999999999987E-2</v>
      </c>
      <c r="S9" s="146">
        <v>0</v>
      </c>
      <c r="T9" s="146">
        <v>0</v>
      </c>
      <c r="U9" s="146">
        <v>7.9992000799919999E-2</v>
      </c>
      <c r="V9" s="146">
        <v>1.1999999999999997E-2</v>
      </c>
      <c r="W9" s="146">
        <v>0</v>
      </c>
      <c r="X9" s="146">
        <v>0</v>
      </c>
      <c r="Y9" s="146">
        <v>9.9999999999999985E-3</v>
      </c>
      <c r="Z9" s="146">
        <v>0</v>
      </c>
      <c r="AA9" s="146">
        <v>0</v>
      </c>
      <c r="AB9" s="146">
        <v>5.000000000000001E-3</v>
      </c>
      <c r="AC9" s="146">
        <v>0</v>
      </c>
      <c r="AD9" s="146">
        <v>0.01</v>
      </c>
      <c r="AE9" s="146">
        <v>0</v>
      </c>
      <c r="AF9" s="146">
        <v>1.6994901529541136E-2</v>
      </c>
      <c r="AG9" s="146">
        <v>0</v>
      </c>
      <c r="AH9" s="146">
        <v>0</v>
      </c>
      <c r="AI9" s="146">
        <v>0</v>
      </c>
    </row>
    <row r="10" spans="1:35" customFormat="1" x14ac:dyDescent="0.15">
      <c r="A10" s="184" t="s">
        <v>201</v>
      </c>
      <c r="B10" s="146">
        <v>0</v>
      </c>
      <c r="C10" s="146">
        <v>0</v>
      </c>
      <c r="D10" s="146">
        <v>0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4.4999999999999991E-2</v>
      </c>
      <c r="K10" s="146">
        <v>0</v>
      </c>
      <c r="L10" s="146">
        <v>0</v>
      </c>
      <c r="M10" s="146">
        <v>0</v>
      </c>
      <c r="N10" s="146">
        <v>0</v>
      </c>
      <c r="O10" s="146">
        <v>0.11499999999999998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6.7993200679932003E-2</v>
      </c>
      <c r="V10" s="146">
        <v>7.9999999999999984E-3</v>
      </c>
      <c r="W10" s="146">
        <v>0</v>
      </c>
      <c r="X10" s="146">
        <v>0</v>
      </c>
      <c r="Y10" s="146">
        <v>3.4999999999999996E-2</v>
      </c>
      <c r="Z10" s="146">
        <v>4.0000000000000001E-3</v>
      </c>
      <c r="AA10" s="146">
        <v>0</v>
      </c>
      <c r="AB10" s="146">
        <v>5.5000000000000007E-2</v>
      </c>
      <c r="AC10" s="146">
        <v>0.13</v>
      </c>
      <c r="AD10" s="146">
        <v>0.01</v>
      </c>
      <c r="AE10" s="146">
        <v>0</v>
      </c>
      <c r="AF10" s="146">
        <v>0.12196341097670696</v>
      </c>
      <c r="AG10" s="146">
        <v>0</v>
      </c>
      <c r="AH10" s="146">
        <v>0</v>
      </c>
      <c r="AI10" s="146">
        <v>0</v>
      </c>
    </row>
    <row r="11" spans="1:35" customFormat="1" x14ac:dyDescent="0.15">
      <c r="A11" s="184" t="s">
        <v>202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0</v>
      </c>
      <c r="H11" s="146">
        <v>0</v>
      </c>
      <c r="I11" s="146">
        <v>0</v>
      </c>
      <c r="J11" s="146">
        <v>8.9999999999999976E-3</v>
      </c>
      <c r="K11" s="146">
        <v>0</v>
      </c>
      <c r="L11" s="146">
        <v>1.9999999999999997E-2</v>
      </c>
      <c r="M11" s="146">
        <v>0</v>
      </c>
      <c r="N11" s="146">
        <v>3.0999999999999993E-2</v>
      </c>
      <c r="O11" s="146">
        <v>0</v>
      </c>
      <c r="P11" s="146">
        <v>0</v>
      </c>
      <c r="Q11" s="146">
        <v>0.04</v>
      </c>
      <c r="R11" s="146">
        <v>0</v>
      </c>
      <c r="S11" s="146">
        <v>0</v>
      </c>
      <c r="T11" s="146">
        <v>0</v>
      </c>
      <c r="U11" s="146">
        <v>0</v>
      </c>
      <c r="V11" s="146">
        <v>5.4999999999999986E-2</v>
      </c>
      <c r="W11" s="146">
        <v>0</v>
      </c>
      <c r="X11" s="146">
        <v>0</v>
      </c>
      <c r="Y11" s="146">
        <v>0</v>
      </c>
      <c r="Z11" s="146">
        <v>0</v>
      </c>
      <c r="AA11" s="146">
        <v>0</v>
      </c>
      <c r="AB11" s="146">
        <v>5.000000000000001E-3</v>
      </c>
      <c r="AC11" s="146">
        <v>0</v>
      </c>
      <c r="AD11" s="146">
        <v>3.0000000000000001E-3</v>
      </c>
      <c r="AE11" s="146">
        <v>0</v>
      </c>
      <c r="AF11" s="146">
        <v>0</v>
      </c>
      <c r="AG11" s="146">
        <v>0</v>
      </c>
      <c r="AH11" s="146">
        <v>0</v>
      </c>
      <c r="AI11" s="146">
        <v>0</v>
      </c>
    </row>
    <row r="12" spans="1:35" customFormat="1" x14ac:dyDescent="0.15">
      <c r="A12" s="184" t="s">
        <v>203</v>
      </c>
      <c r="B12" s="146">
        <v>0</v>
      </c>
      <c r="C12" s="146">
        <v>0</v>
      </c>
      <c r="D12" s="146">
        <v>0</v>
      </c>
      <c r="E12" s="146">
        <v>0</v>
      </c>
      <c r="F12" s="146">
        <v>0</v>
      </c>
      <c r="G12" s="146">
        <v>0</v>
      </c>
      <c r="H12" s="146">
        <v>0</v>
      </c>
      <c r="I12" s="146">
        <v>0</v>
      </c>
      <c r="J12" s="146">
        <v>0</v>
      </c>
      <c r="K12" s="146">
        <v>0</v>
      </c>
      <c r="L12" s="146">
        <v>1.9999999999999997E-2</v>
      </c>
      <c r="M12" s="146">
        <v>0</v>
      </c>
      <c r="N12" s="146">
        <v>0</v>
      </c>
      <c r="O12" s="146">
        <v>0</v>
      </c>
      <c r="P12" s="146">
        <v>0</v>
      </c>
      <c r="Q12" s="146">
        <v>0</v>
      </c>
      <c r="R12" s="146">
        <v>0</v>
      </c>
      <c r="S12" s="146">
        <v>0</v>
      </c>
      <c r="T12" s="146">
        <v>0</v>
      </c>
      <c r="U12" s="146">
        <v>1.999800019998E-2</v>
      </c>
      <c r="V12" s="146">
        <v>0</v>
      </c>
      <c r="W12" s="146">
        <v>0</v>
      </c>
      <c r="X12" s="146">
        <v>0</v>
      </c>
      <c r="Y12" s="146">
        <v>0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0</v>
      </c>
      <c r="AF12" s="146">
        <v>0</v>
      </c>
      <c r="AG12" s="146">
        <v>0</v>
      </c>
      <c r="AH12" s="146">
        <v>0</v>
      </c>
      <c r="AI12" s="146">
        <v>0</v>
      </c>
    </row>
    <row r="13" spans="1:35" customFormat="1" x14ac:dyDescent="0.15">
      <c r="A13" s="184" t="s">
        <v>204</v>
      </c>
      <c r="B13" s="146">
        <v>0</v>
      </c>
      <c r="C13" s="146">
        <v>0</v>
      </c>
      <c r="D13" s="146">
        <v>0</v>
      </c>
      <c r="E13" s="146">
        <v>0</v>
      </c>
      <c r="F13" s="146">
        <v>0</v>
      </c>
      <c r="G13" s="146">
        <v>0</v>
      </c>
      <c r="H13" s="146">
        <v>0</v>
      </c>
      <c r="I13" s="146">
        <v>0</v>
      </c>
      <c r="J13" s="146">
        <v>0</v>
      </c>
      <c r="K13" s="146">
        <v>0</v>
      </c>
      <c r="L13" s="146">
        <v>1.9999999999999997E-2</v>
      </c>
      <c r="M13" s="146">
        <v>0.01</v>
      </c>
      <c r="N13" s="146">
        <v>0</v>
      </c>
      <c r="O13" s="146">
        <v>1.1999999999999997E-2</v>
      </c>
      <c r="P13" s="146">
        <v>0</v>
      </c>
      <c r="Q13" s="146">
        <v>0</v>
      </c>
      <c r="R13" s="146">
        <v>0</v>
      </c>
      <c r="S13" s="146">
        <v>0</v>
      </c>
      <c r="T13" s="146">
        <v>0</v>
      </c>
      <c r="U13" s="146">
        <v>5.3994600539945994E-2</v>
      </c>
      <c r="V13" s="146">
        <v>7.9999999999999984E-3</v>
      </c>
      <c r="W13" s="146">
        <v>0</v>
      </c>
      <c r="X13" s="146">
        <v>0</v>
      </c>
      <c r="Y13" s="146">
        <v>4.9999999999999992E-3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2.9991002699190233E-4</v>
      </c>
      <c r="AG13" s="146">
        <v>0</v>
      </c>
      <c r="AH13" s="146">
        <v>0</v>
      </c>
      <c r="AI13" s="146">
        <v>0</v>
      </c>
    </row>
    <row r="14" spans="1:35" customFormat="1" x14ac:dyDescent="0.15">
      <c r="A14" s="184" t="s">
        <v>205</v>
      </c>
      <c r="B14" s="146">
        <v>0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2.1999999999999995E-2</v>
      </c>
      <c r="K14" s="146">
        <v>0</v>
      </c>
      <c r="L14" s="146">
        <v>9.9999999999999978E-2</v>
      </c>
      <c r="M14" s="146">
        <v>0.12</v>
      </c>
      <c r="N14" s="146">
        <v>5.9999999999999984E-3</v>
      </c>
      <c r="O14" s="146">
        <v>2.9999999999999992E-2</v>
      </c>
      <c r="P14" s="146">
        <v>0</v>
      </c>
      <c r="Q14" s="146">
        <v>0.08</v>
      </c>
      <c r="R14" s="146">
        <v>2.1999999999999995E-2</v>
      </c>
      <c r="S14" s="146">
        <v>0</v>
      </c>
      <c r="T14" s="146">
        <v>0</v>
      </c>
      <c r="U14" s="146">
        <v>4.7995200479951997E-2</v>
      </c>
      <c r="V14" s="146">
        <v>3.9999999999999994E-2</v>
      </c>
      <c r="W14" s="146">
        <v>0</v>
      </c>
      <c r="X14" s="146">
        <v>0</v>
      </c>
      <c r="Y14" s="146">
        <v>4.9999999999999992E-3</v>
      </c>
      <c r="Z14" s="146">
        <v>4.0000000000000001E-3</v>
      </c>
      <c r="AA14" s="146">
        <v>0</v>
      </c>
      <c r="AB14" s="146">
        <v>6.6000000000000017E-2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</row>
    <row r="15" spans="1:35" customFormat="1" x14ac:dyDescent="0.15">
      <c r="A15" s="184" t="s">
        <v>206</v>
      </c>
      <c r="B15" s="146">
        <v>0</v>
      </c>
      <c r="C15" s="146">
        <v>0</v>
      </c>
      <c r="D15" s="146">
        <v>0</v>
      </c>
      <c r="E15" s="146">
        <v>0</v>
      </c>
      <c r="F15" s="146">
        <v>0</v>
      </c>
      <c r="G15" s="146">
        <v>0</v>
      </c>
      <c r="H15" s="146">
        <v>0</v>
      </c>
      <c r="I15" s="146">
        <v>0</v>
      </c>
      <c r="J15" s="146">
        <v>1.9999999999999996E-3</v>
      </c>
      <c r="K15" s="146">
        <v>0</v>
      </c>
      <c r="L15" s="146">
        <v>3.599999999999999E-2</v>
      </c>
      <c r="M15" s="146">
        <v>0</v>
      </c>
      <c r="N15" s="146">
        <v>0</v>
      </c>
      <c r="O15" s="146">
        <v>3.9999999999999994E-2</v>
      </c>
      <c r="P15" s="146">
        <v>0</v>
      </c>
      <c r="Q15" s="146">
        <v>0</v>
      </c>
      <c r="R15" s="146">
        <v>0</v>
      </c>
      <c r="S15" s="146">
        <v>0</v>
      </c>
      <c r="T15" s="146">
        <v>0</v>
      </c>
      <c r="U15" s="146">
        <v>4.5995400459953997E-2</v>
      </c>
      <c r="V15" s="146">
        <v>2.5999999999999992E-2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1.0000000000000002E-2</v>
      </c>
      <c r="AC15" s="146">
        <v>5.0000000000000001E-3</v>
      </c>
      <c r="AD15" s="146">
        <v>0</v>
      </c>
      <c r="AE15" s="146">
        <v>0</v>
      </c>
      <c r="AF15" s="146">
        <v>3.498950314905528E-2</v>
      </c>
      <c r="AG15" s="146">
        <v>0</v>
      </c>
      <c r="AH15" s="146">
        <v>0</v>
      </c>
      <c r="AI15" s="146">
        <v>0</v>
      </c>
    </row>
    <row r="16" spans="1:35" customFormat="1" x14ac:dyDescent="0.15">
      <c r="A16" s="184" t="s">
        <v>207</v>
      </c>
      <c r="B16" s="146">
        <v>0</v>
      </c>
      <c r="C16" s="146">
        <v>0</v>
      </c>
      <c r="D16" s="146">
        <v>0</v>
      </c>
      <c r="E16" s="146">
        <v>0</v>
      </c>
      <c r="F16" s="146">
        <v>0</v>
      </c>
      <c r="G16" s="146">
        <v>3.0000000000000001E-3</v>
      </c>
      <c r="H16" s="146">
        <v>0</v>
      </c>
      <c r="I16" s="146">
        <v>0</v>
      </c>
      <c r="J16" s="146">
        <v>9.999999999999998E-4</v>
      </c>
      <c r="K16" s="146">
        <v>0</v>
      </c>
      <c r="L16" s="146">
        <v>0</v>
      </c>
      <c r="M16" s="146">
        <v>0.08</v>
      </c>
      <c r="N16" s="146">
        <v>2.9999999999999992E-2</v>
      </c>
      <c r="O16" s="146">
        <v>1.9999999999999997E-2</v>
      </c>
      <c r="P16" s="146">
        <v>0</v>
      </c>
      <c r="Q16" s="146">
        <v>1.4999999999999999E-2</v>
      </c>
      <c r="R16" s="146">
        <v>0</v>
      </c>
      <c r="S16" s="146">
        <v>0</v>
      </c>
      <c r="T16" s="146">
        <v>0</v>
      </c>
      <c r="U16" s="146">
        <v>4.2995700429956991E-2</v>
      </c>
      <c r="V16" s="146">
        <v>7.9999999999999988E-2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0.10696790962711185</v>
      </c>
      <c r="AG16" s="146">
        <v>0</v>
      </c>
      <c r="AH16" s="146">
        <v>0</v>
      </c>
      <c r="AI16" s="146">
        <v>0</v>
      </c>
    </row>
    <row r="17" spans="1:35" customFormat="1" x14ac:dyDescent="0.15">
      <c r="A17" s="184" t="s">
        <v>208</v>
      </c>
      <c r="B17" s="146">
        <v>0</v>
      </c>
      <c r="C17" s="146">
        <v>0</v>
      </c>
      <c r="D17" s="146">
        <v>0</v>
      </c>
      <c r="E17" s="146">
        <v>0</v>
      </c>
      <c r="F17" s="146">
        <v>0</v>
      </c>
      <c r="G17" s="146">
        <v>0</v>
      </c>
      <c r="H17" s="146">
        <v>0</v>
      </c>
      <c r="I17" s="146">
        <v>1.9999999999999997E-2</v>
      </c>
      <c r="J17" s="146">
        <v>0</v>
      </c>
      <c r="K17" s="146">
        <v>0</v>
      </c>
      <c r="L17" s="146">
        <v>4.9999999999999989E-2</v>
      </c>
      <c r="M17" s="146">
        <v>0.04</v>
      </c>
      <c r="N17" s="146">
        <v>0</v>
      </c>
      <c r="O17" s="146">
        <v>1.9999999999999997E-2</v>
      </c>
      <c r="P17" s="146">
        <v>0</v>
      </c>
      <c r="Q17" s="146">
        <v>0</v>
      </c>
      <c r="R17" s="146">
        <v>4.9999999999999989E-2</v>
      </c>
      <c r="S17" s="146">
        <v>0</v>
      </c>
      <c r="T17" s="146">
        <v>0</v>
      </c>
      <c r="U17" s="146">
        <v>0</v>
      </c>
      <c r="V17" s="146">
        <v>2.9999999999999992E-2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0.02</v>
      </c>
      <c r="AD17" s="146">
        <v>0</v>
      </c>
      <c r="AE17" s="146">
        <v>0</v>
      </c>
      <c r="AF17" s="146">
        <v>0.13495951214635607</v>
      </c>
      <c r="AG17" s="146">
        <v>0</v>
      </c>
      <c r="AH17" s="146">
        <v>0</v>
      </c>
      <c r="AI17" s="146">
        <v>0</v>
      </c>
    </row>
    <row r="18" spans="1:35" customFormat="1" x14ac:dyDescent="0.15">
      <c r="A18" s="184" t="s">
        <v>209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2E-3</v>
      </c>
      <c r="H18" s="146">
        <v>0</v>
      </c>
      <c r="I18" s="146">
        <v>3.9999999999999994E-2</v>
      </c>
      <c r="J18" s="146">
        <v>0</v>
      </c>
      <c r="K18" s="146">
        <v>0</v>
      </c>
      <c r="L18" s="146">
        <v>0</v>
      </c>
      <c r="M18" s="146">
        <v>0.12</v>
      </c>
      <c r="N18" s="146">
        <v>9.9999999999999985E-3</v>
      </c>
      <c r="O18" s="146">
        <v>3.9999999999999994E-2</v>
      </c>
      <c r="P18" s="146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6">
        <v>2.9999999999999992E-2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8.5000000000000006E-3</v>
      </c>
      <c r="AE18" s="146">
        <v>0</v>
      </c>
      <c r="AF18" s="146">
        <v>0.13595921223632909</v>
      </c>
      <c r="AG18" s="146">
        <v>0</v>
      </c>
      <c r="AH18" s="146">
        <v>0</v>
      </c>
      <c r="AI18" s="146">
        <v>0</v>
      </c>
    </row>
    <row r="19" spans="1:35" customFormat="1" x14ac:dyDescent="0.15">
      <c r="A19" s="184" t="s">
        <v>210</v>
      </c>
      <c r="B19" s="146">
        <v>0</v>
      </c>
      <c r="C19" s="146">
        <v>0</v>
      </c>
      <c r="D19" s="146">
        <v>0</v>
      </c>
      <c r="E19" s="146">
        <v>0</v>
      </c>
      <c r="F19" s="146">
        <v>0</v>
      </c>
      <c r="G19" s="146">
        <v>2E-3</v>
      </c>
      <c r="H19" s="146">
        <v>0</v>
      </c>
      <c r="I19" s="146">
        <v>0</v>
      </c>
      <c r="J19" s="146">
        <v>9.999999999999998E-4</v>
      </c>
      <c r="K19" s="146">
        <v>0</v>
      </c>
      <c r="L19" s="146">
        <v>3.599999999999999E-2</v>
      </c>
      <c r="M19" s="146">
        <v>7.0000000000000007E-2</v>
      </c>
      <c r="N19" s="146">
        <v>1.4999999999999996E-2</v>
      </c>
      <c r="O19" s="146">
        <v>3.9999999999999994E-2</v>
      </c>
      <c r="P19" s="146">
        <v>0</v>
      </c>
      <c r="Q19" s="146">
        <v>0.03</v>
      </c>
      <c r="R19" s="146">
        <v>9.9999999999999985E-3</v>
      </c>
      <c r="S19" s="146">
        <v>0</v>
      </c>
      <c r="T19" s="146">
        <v>0</v>
      </c>
      <c r="U19" s="146">
        <v>2.7997200279971997E-2</v>
      </c>
      <c r="V19" s="146">
        <v>5.9999999999999984E-2</v>
      </c>
      <c r="W19" s="146">
        <v>0</v>
      </c>
      <c r="X19" s="146">
        <v>0</v>
      </c>
      <c r="Y19" s="146">
        <v>0</v>
      </c>
      <c r="Z19" s="146">
        <v>4.0000000000000001E-3</v>
      </c>
      <c r="AA19" s="146">
        <v>0</v>
      </c>
      <c r="AB19" s="146">
        <v>0</v>
      </c>
      <c r="AC19" s="146">
        <v>5.0000000000000001E-3</v>
      </c>
      <c r="AD19" s="146">
        <v>5.0000000000000001E-4</v>
      </c>
      <c r="AE19" s="146">
        <v>0</v>
      </c>
      <c r="AF19" s="146">
        <v>5.9982005398380479E-3</v>
      </c>
      <c r="AG19" s="146">
        <v>0</v>
      </c>
      <c r="AH19" s="146">
        <v>0</v>
      </c>
      <c r="AI19" s="146">
        <v>0</v>
      </c>
    </row>
    <row r="20" spans="1:35" customFormat="1" x14ac:dyDescent="0.15">
      <c r="A20" s="184" t="s">
        <v>211</v>
      </c>
      <c r="B20" s="146">
        <v>0</v>
      </c>
      <c r="C20" s="146">
        <v>0</v>
      </c>
      <c r="D20" s="146">
        <v>0</v>
      </c>
      <c r="E20" s="146">
        <v>0</v>
      </c>
      <c r="F20" s="146">
        <v>0</v>
      </c>
      <c r="G20" s="146">
        <v>0</v>
      </c>
      <c r="H20" s="146">
        <v>0</v>
      </c>
      <c r="I20" s="146">
        <v>9.9999999999999985E-3</v>
      </c>
      <c r="J20" s="146">
        <v>2.2999999999999996E-2</v>
      </c>
      <c r="K20" s="146">
        <v>0</v>
      </c>
      <c r="L20" s="146">
        <v>7.9999999999999988E-2</v>
      </c>
      <c r="M20" s="146">
        <v>0</v>
      </c>
      <c r="N20" s="146">
        <v>3.1999999999999994E-2</v>
      </c>
      <c r="O20" s="146">
        <v>2.9999999999999992E-2</v>
      </c>
      <c r="P20" s="146">
        <v>0</v>
      </c>
      <c r="Q20" s="146">
        <v>7.4999999999999997E-2</v>
      </c>
      <c r="R20" s="146">
        <v>5.4999999999999986E-2</v>
      </c>
      <c r="S20" s="146">
        <v>0</v>
      </c>
      <c r="T20" s="146">
        <v>0</v>
      </c>
      <c r="U20" s="146">
        <v>0</v>
      </c>
      <c r="V20" s="146">
        <v>9.9999999999999985E-3</v>
      </c>
      <c r="W20" s="146">
        <v>0</v>
      </c>
      <c r="X20" s="146">
        <v>0</v>
      </c>
      <c r="Y20" s="146">
        <v>2.9999999999999992E-2</v>
      </c>
      <c r="Z20" s="146">
        <v>0</v>
      </c>
      <c r="AA20" s="146">
        <v>0</v>
      </c>
      <c r="AB20" s="146">
        <v>3.0000000000000002E-2</v>
      </c>
      <c r="AC20" s="146">
        <v>0</v>
      </c>
      <c r="AD20" s="146">
        <v>0.05</v>
      </c>
      <c r="AE20" s="146">
        <v>0</v>
      </c>
      <c r="AF20" s="146">
        <v>0.1889433170048985</v>
      </c>
      <c r="AG20" s="146">
        <v>0</v>
      </c>
      <c r="AH20" s="146">
        <v>0</v>
      </c>
      <c r="AI20" s="146">
        <v>0</v>
      </c>
    </row>
    <row r="21" spans="1:35" customFormat="1" x14ac:dyDescent="0.15">
      <c r="A21" s="184" t="s">
        <v>212</v>
      </c>
      <c r="B21" s="146">
        <v>0</v>
      </c>
      <c r="C21" s="146">
        <v>0</v>
      </c>
      <c r="D21" s="146">
        <v>0</v>
      </c>
      <c r="E21" s="146">
        <v>0</v>
      </c>
      <c r="F21" s="146">
        <v>0</v>
      </c>
      <c r="G21" s="146">
        <v>0</v>
      </c>
      <c r="H21" s="146">
        <v>0</v>
      </c>
      <c r="I21" s="146">
        <v>0</v>
      </c>
      <c r="J21" s="146">
        <v>3.9999999999999992E-3</v>
      </c>
      <c r="K21" s="146">
        <v>0</v>
      </c>
      <c r="L21" s="146">
        <v>0</v>
      </c>
      <c r="M21" s="146">
        <v>0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9.9990000999899988E-5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</row>
    <row r="22" spans="1:35" customFormat="1" x14ac:dyDescent="0.15">
      <c r="A22" s="184" t="s">
        <v>213</v>
      </c>
      <c r="B22" s="146">
        <v>0</v>
      </c>
      <c r="C22" s="146">
        <v>0</v>
      </c>
      <c r="D22" s="146">
        <v>0</v>
      </c>
      <c r="E22" s="146">
        <v>0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4.9999999999999989E-2</v>
      </c>
      <c r="M22" s="146">
        <v>8.0000000000000002E-3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1.4998500149984998E-2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</row>
    <row r="23" spans="1:35" customFormat="1" x14ac:dyDescent="0.15">
      <c r="A23" s="184" t="s">
        <v>214</v>
      </c>
      <c r="B23" s="146">
        <v>0</v>
      </c>
      <c r="C23" s="146">
        <v>0</v>
      </c>
      <c r="D23" s="146">
        <v>0</v>
      </c>
      <c r="E23" s="146">
        <v>0</v>
      </c>
      <c r="F23" s="146">
        <v>0</v>
      </c>
      <c r="G23" s="146">
        <v>0</v>
      </c>
      <c r="H23" s="146">
        <v>0</v>
      </c>
      <c r="I23" s="146">
        <v>0</v>
      </c>
      <c r="J23" s="146">
        <v>0.15599999999999997</v>
      </c>
      <c r="K23" s="146">
        <v>0</v>
      </c>
      <c r="L23" s="146">
        <v>2.9999999999999992E-2</v>
      </c>
      <c r="M23" s="146">
        <v>0.04</v>
      </c>
      <c r="N23" s="146">
        <v>0.18399999999999997</v>
      </c>
      <c r="O23" s="146">
        <v>0.15999999999999998</v>
      </c>
      <c r="P23" s="146">
        <v>0</v>
      </c>
      <c r="Q23" s="146">
        <v>0</v>
      </c>
      <c r="R23" s="146">
        <v>0.11399999999999998</v>
      </c>
      <c r="S23" s="146">
        <v>0</v>
      </c>
      <c r="T23" s="146">
        <v>0</v>
      </c>
      <c r="U23" s="146">
        <v>1.7998200179981997E-2</v>
      </c>
      <c r="V23" s="146">
        <v>0.19499999999999995</v>
      </c>
      <c r="W23" s="146">
        <v>0</v>
      </c>
      <c r="X23" s="146">
        <v>0</v>
      </c>
      <c r="Y23" s="146">
        <v>3.9999999999999992E-3</v>
      </c>
      <c r="Z23" s="146">
        <v>0.1</v>
      </c>
      <c r="AA23" s="146">
        <v>0</v>
      </c>
      <c r="AB23" s="146">
        <v>0.29400000000000004</v>
      </c>
      <c r="AC23" s="146">
        <v>0.35</v>
      </c>
      <c r="AD23" s="146">
        <v>0.01</v>
      </c>
      <c r="AE23" s="146">
        <v>0.04</v>
      </c>
      <c r="AF23" s="146">
        <v>1.8994301709487151E-2</v>
      </c>
      <c r="AG23" s="146">
        <v>0</v>
      </c>
      <c r="AH23" s="146">
        <v>0</v>
      </c>
      <c r="AI23" s="146">
        <v>0</v>
      </c>
    </row>
    <row r="24" spans="1:35" customFormat="1" x14ac:dyDescent="0.15">
      <c r="A24" s="184" t="s">
        <v>215</v>
      </c>
      <c r="B24" s="146">
        <v>0</v>
      </c>
      <c r="C24" s="146">
        <v>0</v>
      </c>
      <c r="D24" s="146">
        <v>0</v>
      </c>
      <c r="E24" s="146">
        <v>0</v>
      </c>
      <c r="F24" s="146">
        <v>0</v>
      </c>
      <c r="G24" s="146">
        <v>0</v>
      </c>
      <c r="H24" s="146">
        <v>0</v>
      </c>
      <c r="I24" s="146">
        <v>0</v>
      </c>
      <c r="J24" s="146">
        <v>0.16299999999999998</v>
      </c>
      <c r="K24" s="146">
        <v>0</v>
      </c>
      <c r="L24" s="146">
        <v>4.9999999999999989E-2</v>
      </c>
      <c r="M24" s="146">
        <v>8.0000000000000002E-3</v>
      </c>
      <c r="N24" s="146">
        <v>9.9999999999999985E-3</v>
      </c>
      <c r="O24" s="146">
        <v>0.10999999999999997</v>
      </c>
      <c r="P24" s="146">
        <v>0</v>
      </c>
      <c r="Q24" s="146">
        <v>0.03</v>
      </c>
      <c r="R24" s="146">
        <v>4.9999999999999989E-2</v>
      </c>
      <c r="S24" s="146">
        <v>0</v>
      </c>
      <c r="T24" s="146">
        <v>0</v>
      </c>
      <c r="U24" s="146">
        <v>1.999800019998E-2</v>
      </c>
      <c r="V24" s="146">
        <v>4.9999999999999989E-2</v>
      </c>
      <c r="W24" s="146">
        <v>0</v>
      </c>
      <c r="X24" s="146">
        <v>0</v>
      </c>
      <c r="Y24" s="146">
        <v>3.9999999999999992E-3</v>
      </c>
      <c r="Z24" s="146">
        <v>0.13</v>
      </c>
      <c r="AA24" s="146">
        <v>0</v>
      </c>
      <c r="AB24" s="146">
        <v>0.29500000000000004</v>
      </c>
      <c r="AC24" s="146">
        <v>0.1</v>
      </c>
      <c r="AD24" s="146">
        <v>0.05</v>
      </c>
      <c r="AE24" s="146">
        <v>0.05</v>
      </c>
      <c r="AF24" s="146">
        <v>2.9991002699190236E-2</v>
      </c>
      <c r="AG24" s="146">
        <v>0</v>
      </c>
      <c r="AH24" s="146">
        <v>0</v>
      </c>
      <c r="AI24" s="146">
        <v>0</v>
      </c>
    </row>
    <row r="25" spans="1:35" customFormat="1" x14ac:dyDescent="0.15">
      <c r="A25" s="184" t="s">
        <v>216</v>
      </c>
      <c r="B25" s="146">
        <v>0</v>
      </c>
      <c r="C25" s="146">
        <v>0</v>
      </c>
      <c r="D25" s="146">
        <v>0</v>
      </c>
      <c r="E25" s="146">
        <v>0</v>
      </c>
      <c r="F25" s="146">
        <v>0</v>
      </c>
      <c r="G25" s="146">
        <v>0</v>
      </c>
      <c r="H25" s="146">
        <v>0</v>
      </c>
      <c r="I25" s="146">
        <v>0</v>
      </c>
      <c r="J25" s="146">
        <v>2.9999999999999992E-2</v>
      </c>
      <c r="K25" s="146">
        <v>0</v>
      </c>
      <c r="L25" s="146">
        <v>0.12999999999999998</v>
      </c>
      <c r="M25" s="146">
        <v>6.9000000000000006E-2</v>
      </c>
      <c r="N25" s="146">
        <v>0</v>
      </c>
      <c r="O25" s="146">
        <v>0</v>
      </c>
      <c r="P25" s="146">
        <v>0</v>
      </c>
      <c r="Q25" s="146">
        <v>0</v>
      </c>
      <c r="R25" s="146">
        <v>0</v>
      </c>
      <c r="S25" s="146">
        <v>0</v>
      </c>
      <c r="T25" s="146">
        <v>0</v>
      </c>
      <c r="U25" s="146">
        <v>4.7995200479951997E-2</v>
      </c>
      <c r="V25" s="146">
        <v>9.9999999999999985E-3</v>
      </c>
      <c r="W25" s="146">
        <v>0</v>
      </c>
      <c r="X25" s="146">
        <v>0</v>
      </c>
      <c r="Y25" s="146">
        <v>0</v>
      </c>
      <c r="Z25" s="146">
        <v>4.0000000000000001E-3</v>
      </c>
      <c r="AA25" s="146">
        <v>0</v>
      </c>
      <c r="AB25" s="146">
        <v>5.000000000000001E-2</v>
      </c>
      <c r="AC25" s="146">
        <v>0.04</v>
      </c>
      <c r="AD25" s="146">
        <v>0.05</v>
      </c>
      <c r="AE25" s="146">
        <v>0</v>
      </c>
      <c r="AF25" s="146">
        <v>4.2987103868839339E-2</v>
      </c>
      <c r="AG25" s="146">
        <v>0</v>
      </c>
      <c r="AH25" s="146">
        <v>0</v>
      </c>
      <c r="AI25" s="146">
        <v>0</v>
      </c>
    </row>
    <row r="26" spans="1:35" customFormat="1" x14ac:dyDescent="0.15">
      <c r="A26" s="184" t="s">
        <v>217</v>
      </c>
      <c r="B26" s="146">
        <v>0</v>
      </c>
      <c r="C26" s="146">
        <v>0</v>
      </c>
      <c r="D26" s="146">
        <v>0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2.9999999999999992E-3</v>
      </c>
      <c r="K26" s="146">
        <v>0</v>
      </c>
      <c r="L26" s="146">
        <v>4.9999999999999989E-2</v>
      </c>
      <c r="M26" s="146">
        <v>0.02</v>
      </c>
      <c r="N26" s="146">
        <v>0</v>
      </c>
      <c r="O26" s="146">
        <v>0</v>
      </c>
      <c r="P26" s="146">
        <v>0</v>
      </c>
      <c r="Q26" s="146">
        <v>0.03</v>
      </c>
      <c r="R26" s="146">
        <v>4.9999999999999989E-2</v>
      </c>
      <c r="S26" s="146">
        <v>0</v>
      </c>
      <c r="T26" s="146">
        <v>0</v>
      </c>
      <c r="U26" s="146">
        <v>0</v>
      </c>
      <c r="V26" s="146">
        <v>0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2.0000000000000004E-2</v>
      </c>
      <c r="AC26" s="146">
        <v>0.04</v>
      </c>
      <c r="AD26" s="146">
        <v>0</v>
      </c>
      <c r="AE26" s="146">
        <v>0</v>
      </c>
      <c r="AF26" s="146">
        <v>9.9970008997300784E-4</v>
      </c>
      <c r="AG26" s="146">
        <v>0</v>
      </c>
      <c r="AH26" s="146">
        <v>0</v>
      </c>
      <c r="AI26" s="146">
        <v>0</v>
      </c>
    </row>
    <row r="27" spans="1:35" customFormat="1" x14ac:dyDescent="0.15">
      <c r="A27" s="184" t="s">
        <v>218</v>
      </c>
      <c r="B27" s="146">
        <v>0</v>
      </c>
      <c r="C27" s="146">
        <v>0</v>
      </c>
      <c r="D27" s="146">
        <v>0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8.9999999999999983E-2</v>
      </c>
      <c r="K27" s="146">
        <v>0</v>
      </c>
      <c r="L27" s="146">
        <v>0</v>
      </c>
      <c r="M27" s="146">
        <v>0</v>
      </c>
      <c r="N27" s="146">
        <v>0</v>
      </c>
      <c r="O27" s="146">
        <v>4.9999999999999989E-2</v>
      </c>
      <c r="P27" s="146">
        <v>0</v>
      </c>
      <c r="Q27" s="146">
        <v>0.03</v>
      </c>
      <c r="R27" s="146">
        <v>0</v>
      </c>
      <c r="S27" s="146">
        <v>0</v>
      </c>
      <c r="T27" s="146">
        <v>0</v>
      </c>
      <c r="U27" s="146">
        <v>0</v>
      </c>
      <c r="V27" s="146">
        <v>0</v>
      </c>
      <c r="W27" s="146">
        <v>0</v>
      </c>
      <c r="X27" s="146">
        <v>0</v>
      </c>
      <c r="Y27" s="146">
        <v>2.9999999999999992E-3</v>
      </c>
      <c r="Z27" s="146">
        <v>0.02</v>
      </c>
      <c r="AA27" s="146">
        <v>0</v>
      </c>
      <c r="AB27" s="146">
        <v>9.0000000000000011E-2</v>
      </c>
      <c r="AC27" s="146">
        <v>6.2E-2</v>
      </c>
      <c r="AD27" s="146">
        <v>0</v>
      </c>
      <c r="AE27" s="146">
        <v>0.04</v>
      </c>
      <c r="AF27" s="146">
        <v>0.15995201439568127</v>
      </c>
      <c r="AG27" s="146">
        <v>0</v>
      </c>
      <c r="AH27" s="146">
        <v>0</v>
      </c>
      <c r="AI27" s="146">
        <v>0</v>
      </c>
    </row>
    <row r="28" spans="1:35" customFormat="1" x14ac:dyDescent="0.15">
      <c r="A28" s="184" t="s">
        <v>219</v>
      </c>
      <c r="B28" s="146">
        <v>0</v>
      </c>
      <c r="C28" s="146">
        <v>0</v>
      </c>
      <c r="D28" s="146">
        <v>0</v>
      </c>
      <c r="E28" s="146">
        <v>0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7.4999999999999997E-2</v>
      </c>
      <c r="AD28" s="146">
        <v>0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</row>
    <row r="29" spans="1:35" customFormat="1" x14ac:dyDescent="0.15">
      <c r="A29" s="184" t="s">
        <v>220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0</v>
      </c>
      <c r="Z29" s="146">
        <v>0</v>
      </c>
      <c r="AA29" s="146">
        <v>0</v>
      </c>
      <c r="AB29" s="146">
        <v>0</v>
      </c>
      <c r="AC29" s="146">
        <v>0</v>
      </c>
      <c r="AD29" s="146">
        <v>0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</row>
    <row r="30" spans="1:35" customFormat="1" x14ac:dyDescent="0.15">
      <c r="A30" s="184" t="s">
        <v>221</v>
      </c>
      <c r="B30" s="146">
        <v>0</v>
      </c>
      <c r="C30" s="146">
        <v>0</v>
      </c>
      <c r="D30" s="146">
        <v>0</v>
      </c>
      <c r="E30" s="146">
        <v>0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0</v>
      </c>
      <c r="AC30" s="146">
        <v>0</v>
      </c>
      <c r="AD30" s="146">
        <v>0</v>
      </c>
      <c r="AE30" s="146">
        <v>0</v>
      </c>
      <c r="AF30" s="146">
        <v>0</v>
      </c>
      <c r="AG30" s="146">
        <v>0</v>
      </c>
      <c r="AH30" s="146">
        <v>0</v>
      </c>
      <c r="AI30" s="146">
        <v>0</v>
      </c>
    </row>
    <row r="31" spans="1:35" customFormat="1" x14ac:dyDescent="0.15">
      <c r="A31" s="184" t="s">
        <v>222</v>
      </c>
      <c r="B31" s="146">
        <v>0</v>
      </c>
      <c r="C31" s="146">
        <v>0</v>
      </c>
      <c r="D31" s="146">
        <v>0</v>
      </c>
      <c r="E31" s="146">
        <v>0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0</v>
      </c>
      <c r="AG31" s="146">
        <v>0</v>
      </c>
      <c r="AH31" s="146">
        <v>0</v>
      </c>
      <c r="AI31" s="146">
        <v>0</v>
      </c>
    </row>
    <row r="32" spans="1:35" customFormat="1" x14ac:dyDescent="0.15">
      <c r="A32" s="184" t="s">
        <v>223</v>
      </c>
      <c r="B32" s="146">
        <v>0</v>
      </c>
      <c r="C32" s="146">
        <v>0</v>
      </c>
      <c r="D32" s="146">
        <v>0</v>
      </c>
      <c r="E32" s="146">
        <v>0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</row>
    <row r="33" spans="1:35" customFormat="1" x14ac:dyDescent="0.15">
      <c r="A33" s="184" t="s">
        <v>224</v>
      </c>
      <c r="B33" s="146">
        <v>0</v>
      </c>
      <c r="C33" s="146">
        <v>0</v>
      </c>
      <c r="D33" s="146">
        <v>3.0000000000000001E-3</v>
      </c>
      <c r="E33" s="146">
        <v>0</v>
      </c>
      <c r="F33" s="146">
        <v>1.5001500150015E-2</v>
      </c>
      <c r="G33" s="146">
        <v>0.01</v>
      </c>
      <c r="H33" s="146">
        <v>0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1.2999999999999996E-2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9.9990000999899999E-3</v>
      </c>
      <c r="V33" s="146">
        <v>9.9999999999999985E-3</v>
      </c>
      <c r="W33" s="146">
        <v>0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0.32</v>
      </c>
      <c r="AE33" s="146">
        <v>0.26</v>
      </c>
      <c r="AF33" s="146">
        <v>0</v>
      </c>
      <c r="AG33" s="146">
        <v>0</v>
      </c>
      <c r="AH33" s="146">
        <v>0</v>
      </c>
      <c r="AI33" s="146">
        <v>0</v>
      </c>
    </row>
    <row r="34" spans="1:35" customFormat="1" x14ac:dyDescent="0.15">
      <c r="A34" s="184" t="s">
        <v>225</v>
      </c>
      <c r="B34" s="146">
        <v>0</v>
      </c>
      <c r="C34" s="146">
        <v>0.2</v>
      </c>
      <c r="D34" s="146">
        <v>0.8</v>
      </c>
      <c r="E34" s="146">
        <v>0.81</v>
      </c>
      <c r="F34" s="146">
        <v>9.0009000900089994E-2</v>
      </c>
      <c r="G34" s="146">
        <v>0.15</v>
      </c>
      <c r="H34" s="146">
        <v>0.9</v>
      </c>
      <c r="I34" s="146">
        <v>0</v>
      </c>
      <c r="J34" s="146">
        <v>0</v>
      </c>
      <c r="K34" s="146">
        <v>0.4</v>
      </c>
      <c r="L34" s="146">
        <v>0</v>
      </c>
      <c r="M34" s="146">
        <v>7.0000000000000001E-3</v>
      </c>
      <c r="N34" s="146">
        <v>8.9999999999999976E-3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146">
        <v>0</v>
      </c>
      <c r="W34" s="146">
        <v>0</v>
      </c>
      <c r="X34" s="146">
        <v>0</v>
      </c>
      <c r="Y34" s="146">
        <v>0</v>
      </c>
      <c r="Z34" s="146">
        <v>0</v>
      </c>
      <c r="AA34" s="146">
        <v>0.01</v>
      </c>
      <c r="AB34" s="146">
        <v>0</v>
      </c>
      <c r="AC34" s="146">
        <v>0</v>
      </c>
      <c r="AD34" s="146">
        <v>0</v>
      </c>
      <c r="AE34" s="146">
        <v>0.61</v>
      </c>
      <c r="AF34" s="146">
        <v>0</v>
      </c>
      <c r="AG34" s="146">
        <v>0</v>
      </c>
      <c r="AH34" s="146">
        <v>0</v>
      </c>
      <c r="AI34" s="146">
        <v>0</v>
      </c>
    </row>
    <row r="35" spans="1:35" customFormat="1" x14ac:dyDescent="0.15">
      <c r="A35" s="184" t="s">
        <v>226</v>
      </c>
      <c r="B35" s="146">
        <v>0</v>
      </c>
      <c r="C35" s="146">
        <v>0</v>
      </c>
      <c r="D35" s="146">
        <v>0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0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</row>
    <row r="36" spans="1:35" customFormat="1" x14ac:dyDescent="0.15">
      <c r="A36" s="184" t="s">
        <v>231</v>
      </c>
      <c r="B36" s="146">
        <v>0</v>
      </c>
      <c r="C36" s="146">
        <v>0</v>
      </c>
      <c r="D36" s="146">
        <v>0</v>
      </c>
      <c r="E36" s="146">
        <v>0.1</v>
      </c>
      <c r="F36" s="146">
        <v>6.0006000600060002E-3</v>
      </c>
      <c r="G36" s="146">
        <v>3.0000000000000001E-3</v>
      </c>
      <c r="H36" s="146">
        <v>0.05</v>
      </c>
      <c r="I36" s="146">
        <v>0</v>
      </c>
      <c r="J36" s="146">
        <v>0</v>
      </c>
      <c r="K36" s="146">
        <v>0</v>
      </c>
      <c r="L36" s="146">
        <v>0</v>
      </c>
      <c r="M36" s="146">
        <v>0</v>
      </c>
      <c r="N36" s="146">
        <v>0</v>
      </c>
      <c r="O36" s="146">
        <v>0</v>
      </c>
      <c r="P36" s="146">
        <v>0</v>
      </c>
      <c r="Q36" s="146">
        <v>5.0000000000000001E-3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5.0000000000000001E-3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19" activePane="bottomRight" state="frozen"/>
      <selection pane="topRight" activeCell="C1" sqref="C1"/>
      <selection pane="bottomLeft" activeCell="A2" sqref="A2"/>
      <selection pane="bottomRight" activeCell="C42" sqref="C42"/>
    </sheetView>
  </sheetViews>
  <sheetFormatPr baseColWidth="10" defaultColWidth="8.83203125" defaultRowHeight="13" x14ac:dyDescent="0.15"/>
  <cols>
    <col min="1" max="1" width="3.33203125" customWidth="1"/>
    <col min="2" max="2" width="23.33203125" customWidth="1"/>
    <col min="3" max="4" width="15.33203125" style="114" customWidth="1"/>
    <col min="5" max="6" width="15.33203125" style="113" customWidth="1"/>
    <col min="7" max="7" width="15.33203125" style="114" customWidth="1"/>
    <col min="8" max="8" width="8.83203125" style="114"/>
  </cols>
  <sheetData>
    <row r="1" spans="1:8" ht="70" x14ac:dyDescent="0.15">
      <c r="A1" s="5" t="s">
        <v>20</v>
      </c>
      <c r="B1" s="1" t="s">
        <v>0</v>
      </c>
      <c r="C1" s="187" t="s">
        <v>224</v>
      </c>
      <c r="D1" s="187" t="s">
        <v>225</v>
      </c>
      <c r="E1" s="187" t="s">
        <v>226</v>
      </c>
      <c r="F1" s="187" t="s">
        <v>232</v>
      </c>
      <c r="G1" s="187" t="s">
        <v>233</v>
      </c>
      <c r="H1"/>
    </row>
    <row r="2" spans="1:8" x14ac:dyDescent="0.15">
      <c r="A2">
        <v>1</v>
      </c>
      <c r="B2" s="186" t="s">
        <v>193</v>
      </c>
      <c r="C2" s="114">
        <v>0</v>
      </c>
      <c r="D2" s="114">
        <v>1</v>
      </c>
      <c r="E2" s="113">
        <v>0</v>
      </c>
      <c r="F2" s="113">
        <v>0</v>
      </c>
      <c r="G2" s="114">
        <f>SUM(C2:F2)</f>
        <v>1</v>
      </c>
      <c r="H2"/>
    </row>
    <row r="3" spans="1:8" x14ac:dyDescent="0.15">
      <c r="A3">
        <v>2</v>
      </c>
      <c r="B3" s="186" t="s">
        <v>194</v>
      </c>
      <c r="C3" s="114">
        <v>0</v>
      </c>
      <c r="D3" s="114">
        <v>1</v>
      </c>
      <c r="E3" s="113">
        <v>0</v>
      </c>
      <c r="F3" s="113">
        <v>0</v>
      </c>
      <c r="G3" s="114">
        <f t="shared" ref="G3:G35" si="0">SUM(C3:F3)</f>
        <v>1</v>
      </c>
      <c r="H3"/>
    </row>
    <row r="4" spans="1:8" x14ac:dyDescent="0.15">
      <c r="A4">
        <v>3</v>
      </c>
      <c r="B4" s="186" t="s">
        <v>195</v>
      </c>
      <c r="C4" s="114">
        <v>0</v>
      </c>
      <c r="D4" s="114">
        <v>1</v>
      </c>
      <c r="E4" s="113">
        <v>0</v>
      </c>
      <c r="F4" s="113">
        <v>0</v>
      </c>
      <c r="G4" s="114">
        <f t="shared" si="0"/>
        <v>1</v>
      </c>
      <c r="H4"/>
    </row>
    <row r="5" spans="1:8" x14ac:dyDescent="0.15">
      <c r="A5">
        <v>4</v>
      </c>
      <c r="B5" s="186" t="s">
        <v>196</v>
      </c>
      <c r="C5" s="114">
        <v>0</v>
      </c>
      <c r="D5" s="114">
        <v>1</v>
      </c>
      <c r="E5" s="113">
        <v>0</v>
      </c>
      <c r="F5" s="113">
        <v>0</v>
      </c>
      <c r="G5" s="114">
        <f t="shared" si="0"/>
        <v>1</v>
      </c>
      <c r="H5"/>
    </row>
    <row r="6" spans="1:8" x14ac:dyDescent="0.15">
      <c r="A6">
        <v>5</v>
      </c>
      <c r="B6" s="186" t="s">
        <v>197</v>
      </c>
      <c r="C6" s="114">
        <v>0</v>
      </c>
      <c r="D6" s="114">
        <v>1</v>
      </c>
      <c r="E6" s="113">
        <v>0</v>
      </c>
      <c r="F6" s="113">
        <v>0</v>
      </c>
      <c r="G6" s="114">
        <f t="shared" si="0"/>
        <v>1</v>
      </c>
      <c r="H6"/>
    </row>
    <row r="7" spans="1:8" x14ac:dyDescent="0.15">
      <c r="A7">
        <v>6</v>
      </c>
      <c r="B7" s="186" t="s">
        <v>198</v>
      </c>
      <c r="C7" s="114">
        <v>0</v>
      </c>
      <c r="D7" s="114">
        <v>1</v>
      </c>
      <c r="E7" s="113">
        <v>0</v>
      </c>
      <c r="F7" s="113">
        <v>0</v>
      </c>
      <c r="G7" s="114">
        <f t="shared" si="0"/>
        <v>1</v>
      </c>
      <c r="H7"/>
    </row>
    <row r="8" spans="1:8" x14ac:dyDescent="0.15">
      <c r="A8">
        <v>7</v>
      </c>
      <c r="B8" s="186" t="s">
        <v>199</v>
      </c>
      <c r="C8" s="114">
        <v>0</v>
      </c>
      <c r="D8" s="114">
        <v>1</v>
      </c>
      <c r="E8" s="113">
        <v>0</v>
      </c>
      <c r="F8" s="113">
        <v>0</v>
      </c>
      <c r="G8" s="114">
        <f t="shared" si="0"/>
        <v>1</v>
      </c>
      <c r="H8"/>
    </row>
    <row r="9" spans="1:8" x14ac:dyDescent="0.15">
      <c r="A9">
        <v>8</v>
      </c>
      <c r="B9" s="186" t="s">
        <v>200</v>
      </c>
      <c r="C9" s="114">
        <v>0</v>
      </c>
      <c r="D9" s="114">
        <v>1</v>
      </c>
      <c r="E9" s="113">
        <v>0</v>
      </c>
      <c r="F9" s="113">
        <v>0</v>
      </c>
      <c r="G9" s="114">
        <f t="shared" si="0"/>
        <v>1</v>
      </c>
      <c r="H9"/>
    </row>
    <row r="10" spans="1:8" x14ac:dyDescent="0.15">
      <c r="A10">
        <v>9</v>
      </c>
      <c r="B10" s="186" t="s">
        <v>201</v>
      </c>
      <c r="C10" s="114">
        <v>0</v>
      </c>
      <c r="D10" s="114">
        <v>1</v>
      </c>
      <c r="E10" s="113">
        <v>0</v>
      </c>
      <c r="F10" s="113">
        <v>0</v>
      </c>
      <c r="G10" s="114">
        <f t="shared" si="0"/>
        <v>1</v>
      </c>
      <c r="H10"/>
    </row>
    <row r="11" spans="1:8" x14ac:dyDescent="0.15">
      <c r="A11">
        <v>10</v>
      </c>
      <c r="B11" s="186" t="s">
        <v>202</v>
      </c>
      <c r="C11" s="114">
        <v>0</v>
      </c>
      <c r="D11" s="114">
        <v>1</v>
      </c>
      <c r="E11" s="113">
        <v>0</v>
      </c>
      <c r="F11" s="113">
        <v>0</v>
      </c>
      <c r="G11" s="114">
        <f t="shared" si="0"/>
        <v>1</v>
      </c>
      <c r="H11"/>
    </row>
    <row r="12" spans="1:8" x14ac:dyDescent="0.15">
      <c r="A12">
        <v>11</v>
      </c>
      <c r="B12" s="186" t="s">
        <v>203</v>
      </c>
      <c r="C12" s="114">
        <v>0</v>
      </c>
      <c r="D12" s="114">
        <v>1</v>
      </c>
      <c r="E12" s="113">
        <v>0</v>
      </c>
      <c r="F12" s="113">
        <v>0</v>
      </c>
      <c r="G12" s="114">
        <f t="shared" si="0"/>
        <v>1</v>
      </c>
      <c r="H12"/>
    </row>
    <row r="13" spans="1:8" x14ac:dyDescent="0.15">
      <c r="A13">
        <v>12</v>
      </c>
      <c r="B13" s="186" t="s">
        <v>204</v>
      </c>
      <c r="C13" s="114">
        <v>0</v>
      </c>
      <c r="D13" s="114">
        <v>1</v>
      </c>
      <c r="E13" s="113">
        <v>0</v>
      </c>
      <c r="F13" s="113">
        <v>0</v>
      </c>
      <c r="G13" s="114">
        <f t="shared" si="0"/>
        <v>1</v>
      </c>
      <c r="H13"/>
    </row>
    <row r="14" spans="1:8" x14ac:dyDescent="0.15">
      <c r="A14">
        <v>13</v>
      </c>
      <c r="B14" s="186" t="s">
        <v>205</v>
      </c>
      <c r="C14" s="114">
        <v>0</v>
      </c>
      <c r="D14" s="114">
        <v>1</v>
      </c>
      <c r="E14" s="113">
        <v>0</v>
      </c>
      <c r="F14" s="113">
        <v>0</v>
      </c>
      <c r="G14" s="114">
        <f t="shared" si="0"/>
        <v>1</v>
      </c>
      <c r="H14"/>
    </row>
    <row r="15" spans="1:8" x14ac:dyDescent="0.15">
      <c r="A15">
        <v>14</v>
      </c>
      <c r="B15" s="186" t="s">
        <v>206</v>
      </c>
      <c r="C15" s="114">
        <v>0</v>
      </c>
      <c r="D15" s="114">
        <v>1</v>
      </c>
      <c r="E15" s="113">
        <v>0</v>
      </c>
      <c r="F15" s="113">
        <v>0</v>
      </c>
      <c r="G15" s="114">
        <f t="shared" si="0"/>
        <v>1</v>
      </c>
      <c r="H15"/>
    </row>
    <row r="16" spans="1:8" x14ac:dyDescent="0.15">
      <c r="A16">
        <v>15</v>
      </c>
      <c r="B16" s="186" t="s">
        <v>207</v>
      </c>
      <c r="C16" s="114">
        <v>0</v>
      </c>
      <c r="D16" s="114">
        <v>1</v>
      </c>
      <c r="E16" s="113">
        <v>0</v>
      </c>
      <c r="F16" s="113">
        <v>0</v>
      </c>
      <c r="G16" s="114">
        <f t="shared" si="0"/>
        <v>1</v>
      </c>
      <c r="H16"/>
    </row>
    <row r="17" spans="1:8" ht="15" customHeight="1" x14ac:dyDescent="0.15">
      <c r="A17">
        <v>16</v>
      </c>
      <c r="B17" s="186" t="s">
        <v>208</v>
      </c>
      <c r="C17" s="114">
        <v>0</v>
      </c>
      <c r="D17" s="114">
        <v>1</v>
      </c>
      <c r="E17" s="113">
        <v>0</v>
      </c>
      <c r="F17" s="113">
        <v>0</v>
      </c>
      <c r="G17" s="114">
        <f t="shared" si="0"/>
        <v>1</v>
      </c>
      <c r="H17"/>
    </row>
    <row r="18" spans="1:8" ht="15" customHeight="1" x14ac:dyDescent="0.15">
      <c r="A18">
        <v>17</v>
      </c>
      <c r="B18" s="186" t="s">
        <v>209</v>
      </c>
      <c r="C18" s="114">
        <v>0</v>
      </c>
      <c r="D18" s="114">
        <v>1</v>
      </c>
      <c r="E18" s="113">
        <v>0</v>
      </c>
      <c r="F18" s="113">
        <v>0</v>
      </c>
      <c r="G18" s="114">
        <f t="shared" si="0"/>
        <v>1</v>
      </c>
      <c r="H18"/>
    </row>
    <row r="19" spans="1:8" ht="15" customHeight="1" x14ac:dyDescent="0.15">
      <c r="A19">
        <v>18</v>
      </c>
      <c r="B19" s="186" t="s">
        <v>210</v>
      </c>
      <c r="C19" s="114">
        <v>0</v>
      </c>
      <c r="D19" s="114">
        <v>1</v>
      </c>
      <c r="E19" s="113">
        <v>0</v>
      </c>
      <c r="F19" s="113">
        <v>0</v>
      </c>
      <c r="G19" s="114">
        <f t="shared" si="0"/>
        <v>1</v>
      </c>
      <c r="H19"/>
    </row>
    <row r="20" spans="1:8" ht="15" customHeight="1" x14ac:dyDescent="0.15">
      <c r="A20">
        <v>19</v>
      </c>
      <c r="B20" s="186" t="s">
        <v>211</v>
      </c>
      <c r="C20" s="114">
        <v>0</v>
      </c>
      <c r="D20" s="114">
        <v>1</v>
      </c>
      <c r="E20" s="113">
        <v>0</v>
      </c>
      <c r="F20" s="113">
        <v>0</v>
      </c>
      <c r="G20" s="114">
        <f t="shared" si="0"/>
        <v>1</v>
      </c>
      <c r="H20"/>
    </row>
    <row r="21" spans="1:8" ht="15" customHeight="1" x14ac:dyDescent="0.15">
      <c r="A21">
        <v>20</v>
      </c>
      <c r="B21" s="186" t="s">
        <v>212</v>
      </c>
      <c r="C21" s="114">
        <v>0</v>
      </c>
      <c r="D21" s="114">
        <v>1</v>
      </c>
      <c r="E21" s="113">
        <v>0</v>
      </c>
      <c r="F21" s="113">
        <v>0</v>
      </c>
      <c r="G21" s="114">
        <f t="shared" si="0"/>
        <v>1</v>
      </c>
      <c r="H21"/>
    </row>
    <row r="22" spans="1:8" ht="15" customHeight="1" x14ac:dyDescent="0.15">
      <c r="A22">
        <v>21</v>
      </c>
      <c r="B22" s="186" t="s">
        <v>213</v>
      </c>
      <c r="C22" s="114">
        <v>0</v>
      </c>
      <c r="D22" s="114">
        <v>1</v>
      </c>
      <c r="E22" s="113">
        <v>0</v>
      </c>
      <c r="F22" s="113">
        <v>0</v>
      </c>
      <c r="G22" s="114">
        <f t="shared" si="0"/>
        <v>1</v>
      </c>
      <c r="H22"/>
    </row>
    <row r="23" spans="1:8" ht="15" customHeight="1" x14ac:dyDescent="0.15">
      <c r="A23">
        <v>22</v>
      </c>
      <c r="B23" s="186" t="s">
        <v>214</v>
      </c>
      <c r="C23" s="114">
        <v>0</v>
      </c>
      <c r="D23" s="114">
        <v>1</v>
      </c>
      <c r="E23" s="113">
        <v>0</v>
      </c>
      <c r="F23" s="113">
        <v>0</v>
      </c>
      <c r="G23" s="114">
        <f t="shared" si="0"/>
        <v>1</v>
      </c>
      <c r="H23"/>
    </row>
    <row r="24" spans="1:8" ht="15" customHeight="1" x14ac:dyDescent="0.15">
      <c r="A24">
        <v>23</v>
      </c>
      <c r="B24" s="186" t="s">
        <v>215</v>
      </c>
      <c r="C24" s="114">
        <v>0</v>
      </c>
      <c r="D24" s="114">
        <v>1</v>
      </c>
      <c r="E24" s="113">
        <v>0</v>
      </c>
      <c r="F24" s="113">
        <v>0</v>
      </c>
      <c r="G24" s="114">
        <f t="shared" si="0"/>
        <v>1</v>
      </c>
      <c r="H24"/>
    </row>
    <row r="25" spans="1:8" ht="15" customHeight="1" x14ac:dyDescent="0.15">
      <c r="A25">
        <v>24</v>
      </c>
      <c r="B25" s="186" t="s">
        <v>216</v>
      </c>
      <c r="C25" s="114">
        <v>0</v>
      </c>
      <c r="D25" s="114">
        <v>1</v>
      </c>
      <c r="E25" s="113">
        <v>0</v>
      </c>
      <c r="F25" s="113">
        <v>0</v>
      </c>
      <c r="G25" s="114">
        <f t="shared" si="0"/>
        <v>1</v>
      </c>
      <c r="H25"/>
    </row>
    <row r="26" spans="1:8" ht="15" customHeight="1" x14ac:dyDescent="0.15">
      <c r="A26">
        <v>25</v>
      </c>
      <c r="B26" s="186" t="s">
        <v>217</v>
      </c>
      <c r="C26" s="114">
        <v>0</v>
      </c>
      <c r="D26" s="114">
        <v>1</v>
      </c>
      <c r="E26" s="113">
        <v>0</v>
      </c>
      <c r="F26" s="113">
        <v>0</v>
      </c>
      <c r="G26" s="114">
        <f t="shared" si="0"/>
        <v>1</v>
      </c>
      <c r="H26"/>
    </row>
    <row r="27" spans="1:8" ht="15" customHeight="1" x14ac:dyDescent="0.15">
      <c r="A27">
        <v>26</v>
      </c>
      <c r="B27" s="186" t="s">
        <v>218</v>
      </c>
      <c r="C27" s="114">
        <v>0</v>
      </c>
      <c r="D27" s="114">
        <v>1</v>
      </c>
      <c r="E27" s="113">
        <v>0</v>
      </c>
      <c r="F27" s="113">
        <v>0</v>
      </c>
      <c r="G27" s="114">
        <f t="shared" si="0"/>
        <v>1</v>
      </c>
      <c r="H27"/>
    </row>
    <row r="28" spans="1:8" ht="15" customHeight="1" x14ac:dyDescent="0.15">
      <c r="A28">
        <v>27</v>
      </c>
      <c r="B28" s="186" t="s">
        <v>219</v>
      </c>
      <c r="C28" s="114">
        <v>0</v>
      </c>
      <c r="D28" s="114">
        <v>1</v>
      </c>
      <c r="E28" s="113">
        <v>0</v>
      </c>
      <c r="F28" s="113">
        <v>0</v>
      </c>
      <c r="G28" s="114">
        <f t="shared" si="0"/>
        <v>1</v>
      </c>
      <c r="H28"/>
    </row>
    <row r="29" spans="1:8" ht="15" customHeight="1" x14ac:dyDescent="0.15">
      <c r="A29">
        <v>28</v>
      </c>
      <c r="B29" s="186" t="s">
        <v>220</v>
      </c>
      <c r="C29" s="114">
        <v>0</v>
      </c>
      <c r="D29" s="114">
        <v>1</v>
      </c>
      <c r="E29" s="113">
        <v>0</v>
      </c>
      <c r="F29" s="113">
        <v>0</v>
      </c>
      <c r="G29" s="114">
        <f t="shared" si="0"/>
        <v>1</v>
      </c>
      <c r="H29"/>
    </row>
    <row r="30" spans="1:8" ht="15" customHeight="1" x14ac:dyDescent="0.15">
      <c r="A30">
        <v>29</v>
      </c>
      <c r="B30" s="186" t="s">
        <v>221</v>
      </c>
      <c r="C30" s="114">
        <v>0</v>
      </c>
      <c r="D30" s="114">
        <v>1</v>
      </c>
      <c r="E30" s="113">
        <v>0</v>
      </c>
      <c r="F30" s="113">
        <v>0</v>
      </c>
      <c r="G30" s="114">
        <f t="shared" si="0"/>
        <v>1</v>
      </c>
      <c r="H30"/>
    </row>
    <row r="31" spans="1:8" ht="15" customHeight="1" x14ac:dyDescent="0.15">
      <c r="A31">
        <v>30</v>
      </c>
      <c r="B31" s="186" t="s">
        <v>222</v>
      </c>
      <c r="C31" s="114">
        <v>0</v>
      </c>
      <c r="D31" s="114">
        <v>1</v>
      </c>
      <c r="E31" s="113">
        <v>0</v>
      </c>
      <c r="F31" s="113">
        <v>0</v>
      </c>
      <c r="G31" s="114">
        <f t="shared" si="0"/>
        <v>1</v>
      </c>
      <c r="H31"/>
    </row>
    <row r="32" spans="1:8" ht="15" customHeight="1" x14ac:dyDescent="0.15">
      <c r="A32">
        <v>31</v>
      </c>
      <c r="B32" s="186" t="s">
        <v>223</v>
      </c>
      <c r="C32" s="114">
        <v>0</v>
      </c>
      <c r="D32" s="114">
        <v>1</v>
      </c>
      <c r="E32" s="113">
        <v>0</v>
      </c>
      <c r="F32" s="113">
        <v>0</v>
      </c>
      <c r="G32" s="114">
        <f t="shared" si="0"/>
        <v>1</v>
      </c>
    </row>
    <row r="33" spans="1:8" ht="15" customHeight="1" x14ac:dyDescent="0.15">
      <c r="A33">
        <v>32</v>
      </c>
      <c r="B33" s="186" t="s">
        <v>224</v>
      </c>
      <c r="C33" s="114">
        <v>0</v>
      </c>
      <c r="D33" s="114">
        <v>1</v>
      </c>
      <c r="E33" s="113">
        <v>0</v>
      </c>
      <c r="F33" s="113">
        <v>0</v>
      </c>
      <c r="G33" s="114">
        <f t="shared" si="0"/>
        <v>1</v>
      </c>
    </row>
    <row r="34" spans="1:8" ht="15" customHeight="1" x14ac:dyDescent="0.15">
      <c r="A34">
        <v>33</v>
      </c>
      <c r="B34" s="186" t="s">
        <v>225</v>
      </c>
      <c r="C34" s="114">
        <v>0</v>
      </c>
      <c r="D34" s="114">
        <v>0</v>
      </c>
      <c r="E34" s="113">
        <v>1</v>
      </c>
      <c r="F34" s="113">
        <v>0</v>
      </c>
      <c r="G34" s="114">
        <f t="shared" si="0"/>
        <v>1</v>
      </c>
    </row>
    <row r="35" spans="1:8" ht="15" customHeight="1" x14ac:dyDescent="0.15">
      <c r="A35">
        <v>34</v>
      </c>
      <c r="B35" s="186" t="s">
        <v>226</v>
      </c>
      <c r="C35" s="114">
        <v>0</v>
      </c>
      <c r="D35" s="114">
        <v>0</v>
      </c>
      <c r="E35" s="113">
        <v>0</v>
      </c>
      <c r="F35" s="113">
        <v>1</v>
      </c>
      <c r="G35" s="114">
        <f t="shared" si="0"/>
        <v>1</v>
      </c>
    </row>
    <row r="36" spans="1:8" ht="15" customHeight="1" x14ac:dyDescent="0.15">
      <c r="A36">
        <v>35</v>
      </c>
      <c r="B36" s="186" t="s">
        <v>227</v>
      </c>
      <c r="C36" s="209">
        <v>1</v>
      </c>
      <c r="D36" s="114">
        <v>0</v>
      </c>
      <c r="E36" s="209">
        <v>0</v>
      </c>
      <c r="F36" s="114">
        <v>0</v>
      </c>
      <c r="G36" s="114">
        <f>SUM(C36:F36)</f>
        <v>1</v>
      </c>
      <c r="H36"/>
    </row>
    <row r="37" spans="1:8" ht="15" customHeight="1" x14ac:dyDescent="0.15">
      <c r="A37">
        <v>36</v>
      </c>
      <c r="B37" s="186" t="s">
        <v>228</v>
      </c>
      <c r="C37" s="209">
        <v>1</v>
      </c>
      <c r="D37" s="114">
        <v>0</v>
      </c>
      <c r="E37" s="209">
        <v>0</v>
      </c>
      <c r="F37" s="114">
        <v>0</v>
      </c>
      <c r="G37" s="114">
        <f>SUM(C37:F37)</f>
        <v>1</v>
      </c>
      <c r="H37"/>
    </row>
    <row r="38" spans="1:8" ht="15" customHeight="1" x14ac:dyDescent="0.15">
      <c r="A38">
        <v>37</v>
      </c>
      <c r="B38" s="186" t="s">
        <v>229</v>
      </c>
      <c r="C38" s="209">
        <v>1</v>
      </c>
      <c r="D38" s="114">
        <v>0</v>
      </c>
      <c r="E38" s="209">
        <v>0</v>
      </c>
      <c r="F38" s="114">
        <v>0</v>
      </c>
      <c r="G38" s="114">
        <f>SUM(C38:F38)</f>
        <v>1</v>
      </c>
      <c r="H38"/>
    </row>
    <row r="39" spans="1:8" ht="15" customHeight="1" x14ac:dyDescent="0.15">
      <c r="A39">
        <v>38</v>
      </c>
      <c r="B39" s="186" t="s">
        <v>230</v>
      </c>
      <c r="C39" s="209">
        <v>1</v>
      </c>
      <c r="D39" s="114">
        <v>0</v>
      </c>
      <c r="E39" s="209">
        <v>0</v>
      </c>
      <c r="F39" s="114">
        <v>0</v>
      </c>
      <c r="G39" s="114">
        <f>SUM(C39:F39)</f>
        <v>1</v>
      </c>
      <c r="H39"/>
    </row>
    <row r="40" spans="1:8" ht="15" customHeight="1" x14ac:dyDescent="0.15">
      <c r="C40"/>
      <c r="D40"/>
      <c r="E40" s="114"/>
      <c r="F40" s="114"/>
      <c r="G40"/>
      <c r="H40"/>
    </row>
    <row r="41" spans="1:8" ht="15" customHeight="1" x14ac:dyDescent="0.15">
      <c r="C41"/>
      <c r="D41"/>
      <c r="E41" s="114"/>
      <c r="F41" s="114"/>
      <c r="G41"/>
      <c r="H41"/>
    </row>
    <row r="42" spans="1:8" ht="15" customHeight="1" x14ac:dyDescent="0.15">
      <c r="C42"/>
      <c r="D42"/>
      <c r="E42" s="114"/>
      <c r="F42" s="114"/>
      <c r="G42"/>
      <c r="H42"/>
    </row>
    <row r="43" spans="1:8" ht="15" customHeight="1" x14ac:dyDescent="0.15">
      <c r="C43"/>
      <c r="D43"/>
      <c r="E43" s="114"/>
      <c r="F43" s="114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4"/>
      <c r="F46" s="11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33203125" bestFit="1" customWidth="1"/>
    <col min="3" max="5" width="11.83203125" bestFit="1" customWidth="1"/>
    <col min="6" max="6" width="11.83203125" customWidth="1"/>
    <col min="7" max="7" width="12.83203125" customWidth="1"/>
  </cols>
  <sheetData>
    <row r="1" spans="1:7" s="115" customFormat="1" ht="112" x14ac:dyDescent="0.15">
      <c r="A1" s="5" t="s">
        <v>21</v>
      </c>
      <c r="B1" s="3" t="s">
        <v>0</v>
      </c>
      <c r="C1" s="189" t="s">
        <v>227</v>
      </c>
      <c r="D1" s="189" t="s">
        <v>228</v>
      </c>
      <c r="E1" s="189" t="s">
        <v>229</v>
      </c>
      <c r="F1" s="189" t="s">
        <v>230</v>
      </c>
      <c r="G1" s="189" t="s">
        <v>234</v>
      </c>
    </row>
    <row r="2" spans="1:7" ht="15" customHeight="1" x14ac:dyDescent="0.15">
      <c r="A2">
        <v>1</v>
      </c>
      <c r="B2" s="188" t="s">
        <v>193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88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88" t="s">
        <v>195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88" t="s">
        <v>196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88" t="s">
        <v>197</v>
      </c>
      <c r="C6">
        <v>3.2000000000000001E-2</v>
      </c>
      <c r="D6">
        <v>0</v>
      </c>
      <c r="E6">
        <v>0</v>
      </c>
      <c r="F6">
        <v>5.8999999999999997E-2</v>
      </c>
      <c r="G6">
        <v>9.0999999999999998E-2</v>
      </c>
    </row>
    <row r="7" spans="1:7" ht="15" customHeight="1" x14ac:dyDescent="0.15">
      <c r="A7">
        <v>6</v>
      </c>
      <c r="B7" s="188" t="s">
        <v>198</v>
      </c>
      <c r="C7">
        <v>3.0000000000000001E-3</v>
      </c>
      <c r="D7">
        <v>0</v>
      </c>
      <c r="E7">
        <v>0</v>
      </c>
      <c r="F7">
        <v>6.0000000000000001E-3</v>
      </c>
      <c r="G7">
        <v>9.0000000000000011E-3</v>
      </c>
    </row>
    <row r="8" spans="1:7" ht="15" customHeight="1" x14ac:dyDescent="0.15">
      <c r="A8">
        <v>7</v>
      </c>
      <c r="B8" s="188" t="s">
        <v>199</v>
      </c>
      <c r="C8">
        <v>0</v>
      </c>
      <c r="D8">
        <v>0</v>
      </c>
      <c r="E8">
        <v>0</v>
      </c>
      <c r="F8">
        <v>0</v>
      </c>
      <c r="G8">
        <v>0</v>
      </c>
    </row>
    <row r="9" spans="1:7" ht="15" customHeight="1" x14ac:dyDescent="0.15">
      <c r="A9">
        <v>8</v>
      </c>
      <c r="B9" s="188" t="s">
        <v>200</v>
      </c>
      <c r="C9">
        <v>8.2373810000000002E-3</v>
      </c>
      <c r="D9">
        <v>3.8703399999999999E-5</v>
      </c>
      <c r="E9">
        <v>1.0535900000000001E-4</v>
      </c>
      <c r="F9">
        <v>0.19147266399999999</v>
      </c>
      <c r="G9">
        <v>0.19985410739999998</v>
      </c>
    </row>
    <row r="10" spans="1:7" ht="15" customHeight="1" x14ac:dyDescent="0.15">
      <c r="A10">
        <v>9</v>
      </c>
      <c r="B10" s="188" t="s">
        <v>201</v>
      </c>
      <c r="C10">
        <v>0.01</v>
      </c>
      <c r="D10">
        <v>0</v>
      </c>
      <c r="E10">
        <v>1E-3</v>
      </c>
      <c r="F10">
        <v>4.0000000000000001E-3</v>
      </c>
      <c r="G10">
        <v>1.4999999999999999E-2</v>
      </c>
    </row>
    <row r="11" spans="1:7" ht="15" customHeight="1" x14ac:dyDescent="0.15">
      <c r="A11">
        <v>10</v>
      </c>
      <c r="B11" s="188" t="s">
        <v>202</v>
      </c>
      <c r="C11">
        <v>8.0000000000000002E-3</v>
      </c>
      <c r="D11">
        <v>0</v>
      </c>
      <c r="E11">
        <v>0</v>
      </c>
      <c r="F11">
        <v>3.1E-2</v>
      </c>
      <c r="G11">
        <v>3.9E-2</v>
      </c>
    </row>
    <row r="12" spans="1:7" ht="15" customHeight="1" x14ac:dyDescent="0.15">
      <c r="A12">
        <v>11</v>
      </c>
      <c r="B12" s="188" t="s">
        <v>203</v>
      </c>
      <c r="C12">
        <v>1.4E-2</v>
      </c>
      <c r="D12">
        <v>0</v>
      </c>
      <c r="E12">
        <v>0</v>
      </c>
      <c r="F12">
        <v>5.0000000000000001E-3</v>
      </c>
      <c r="G12">
        <v>1.9E-2</v>
      </c>
    </row>
    <row r="13" spans="1:7" ht="15" customHeight="1" x14ac:dyDescent="0.15">
      <c r="A13">
        <v>12</v>
      </c>
      <c r="B13" s="188" t="s">
        <v>204</v>
      </c>
      <c r="C13">
        <v>2E-3</v>
      </c>
      <c r="D13">
        <v>2E-3</v>
      </c>
      <c r="E13">
        <v>0</v>
      </c>
      <c r="F13">
        <v>9.1999999999999998E-2</v>
      </c>
      <c r="G13">
        <v>9.6000000000000002E-2</v>
      </c>
    </row>
    <row r="14" spans="1:7" ht="15" customHeight="1" x14ac:dyDescent="0.15">
      <c r="A14">
        <v>13</v>
      </c>
      <c r="B14" s="188" t="s">
        <v>205</v>
      </c>
      <c r="C14">
        <v>3.4000000000000002E-2</v>
      </c>
      <c r="D14">
        <v>0</v>
      </c>
      <c r="E14">
        <v>0</v>
      </c>
      <c r="F14">
        <v>1.7000000000000001E-2</v>
      </c>
      <c r="G14">
        <v>5.1000000000000004E-2</v>
      </c>
    </row>
    <row r="15" spans="1:7" ht="15" customHeight="1" x14ac:dyDescent="0.15">
      <c r="A15">
        <v>14</v>
      </c>
      <c r="B15" s="188" t="s">
        <v>206</v>
      </c>
      <c r="C15">
        <v>1.7000000000000001E-2</v>
      </c>
      <c r="D15">
        <v>0</v>
      </c>
      <c r="E15">
        <v>0</v>
      </c>
      <c r="F15">
        <v>5.3999999999999999E-2</v>
      </c>
      <c r="G15">
        <v>7.1000000000000008E-2</v>
      </c>
    </row>
    <row r="16" spans="1:7" ht="15" customHeight="1" x14ac:dyDescent="0.15">
      <c r="A16">
        <v>15</v>
      </c>
      <c r="B16" s="188" t="s">
        <v>207</v>
      </c>
      <c r="C16">
        <v>0</v>
      </c>
      <c r="D16">
        <v>2E-3</v>
      </c>
      <c r="E16">
        <v>0</v>
      </c>
      <c r="F16">
        <v>8.0000000000000002E-3</v>
      </c>
      <c r="G16">
        <v>0.01</v>
      </c>
    </row>
    <row r="17" spans="1:7" ht="15" customHeight="1" x14ac:dyDescent="0.15">
      <c r="A17">
        <v>16</v>
      </c>
      <c r="B17" s="188" t="s">
        <v>208</v>
      </c>
      <c r="C17">
        <v>1.9E-2</v>
      </c>
      <c r="D17">
        <v>5.0000000000000001E-3</v>
      </c>
      <c r="E17">
        <v>0</v>
      </c>
      <c r="F17">
        <v>7.6999999999999999E-2</v>
      </c>
      <c r="G17">
        <v>0.10100000000000001</v>
      </c>
    </row>
    <row r="18" spans="1:7" ht="15" customHeight="1" x14ac:dyDescent="0.15">
      <c r="A18">
        <v>17</v>
      </c>
      <c r="B18" s="188" t="s">
        <v>209</v>
      </c>
      <c r="C18">
        <v>2E-3</v>
      </c>
      <c r="D18">
        <v>4.0000000000000001E-3</v>
      </c>
      <c r="E18">
        <v>1E-3</v>
      </c>
      <c r="F18">
        <v>7.3999999999999996E-2</v>
      </c>
      <c r="G18">
        <v>8.1000000000000003E-2</v>
      </c>
    </row>
    <row r="19" spans="1:7" ht="15" customHeight="1" x14ac:dyDescent="0.15">
      <c r="A19">
        <v>18</v>
      </c>
      <c r="B19" s="188" t="s">
        <v>210</v>
      </c>
      <c r="C19">
        <v>1E-3</v>
      </c>
      <c r="D19">
        <v>3.0000000000000001E-3</v>
      </c>
      <c r="E19">
        <v>1E-3</v>
      </c>
      <c r="F19">
        <v>9.1999999999999998E-2</v>
      </c>
      <c r="G19">
        <v>9.7000000000000003E-2</v>
      </c>
    </row>
    <row r="20" spans="1:7" ht="15" customHeight="1" x14ac:dyDescent="0.15">
      <c r="A20">
        <v>19</v>
      </c>
      <c r="B20" s="188" t="s">
        <v>211</v>
      </c>
      <c r="C20">
        <v>0</v>
      </c>
      <c r="D20">
        <v>2.1999999999999999E-2</v>
      </c>
      <c r="E20">
        <v>2E-3</v>
      </c>
      <c r="F20">
        <v>1.7000000000000001E-2</v>
      </c>
      <c r="G20">
        <v>4.1000000000000002E-2</v>
      </c>
    </row>
    <row r="21" spans="1:7" ht="15" customHeight="1" x14ac:dyDescent="0.15">
      <c r="A21">
        <v>20</v>
      </c>
      <c r="B21" s="188" t="s">
        <v>212</v>
      </c>
      <c r="C21">
        <v>1.5E-3</v>
      </c>
      <c r="D21">
        <v>5.0000000000000001E-4</v>
      </c>
      <c r="E21">
        <v>0</v>
      </c>
      <c r="F21">
        <v>3.5000000000000001E-3</v>
      </c>
      <c r="G21">
        <v>5.4999999999999997E-3</v>
      </c>
    </row>
    <row r="22" spans="1:7" ht="15" customHeight="1" x14ac:dyDescent="0.15">
      <c r="A22">
        <v>21</v>
      </c>
      <c r="B22" s="188" t="s">
        <v>213</v>
      </c>
      <c r="C22">
        <v>7.0000000000000001E-3</v>
      </c>
      <c r="D22">
        <v>0</v>
      </c>
      <c r="E22">
        <v>0</v>
      </c>
      <c r="F22">
        <v>3.7999999999999999E-2</v>
      </c>
      <c r="G22">
        <v>4.4999999999999998E-2</v>
      </c>
    </row>
    <row r="23" spans="1:7" ht="15" customHeight="1" x14ac:dyDescent="0.15">
      <c r="A23">
        <v>22</v>
      </c>
      <c r="B23" s="188" t="s">
        <v>214</v>
      </c>
      <c r="C23">
        <v>1E-3</v>
      </c>
      <c r="D23">
        <v>0.39200000000000002</v>
      </c>
      <c r="E23">
        <v>3.0000000000000001E-3</v>
      </c>
      <c r="F23">
        <v>0.19900000000000001</v>
      </c>
      <c r="G23">
        <v>0.59499999999999997</v>
      </c>
    </row>
    <row r="24" spans="1:7" ht="15" customHeight="1" x14ac:dyDescent="0.15">
      <c r="A24">
        <v>23</v>
      </c>
      <c r="B24" s="188" t="s">
        <v>215</v>
      </c>
      <c r="C24">
        <v>1E-3</v>
      </c>
      <c r="D24">
        <v>0.34100000000000003</v>
      </c>
      <c r="E24">
        <v>1.7000000000000001E-2</v>
      </c>
      <c r="F24">
        <v>0.48899999999999999</v>
      </c>
      <c r="G24">
        <v>0.84800000000000009</v>
      </c>
    </row>
    <row r="25" spans="1:7" ht="15" customHeight="1" x14ac:dyDescent="0.15">
      <c r="A25">
        <v>24</v>
      </c>
      <c r="B25" s="188" t="s">
        <v>216</v>
      </c>
      <c r="C25">
        <v>6.0000000000000001E-3</v>
      </c>
      <c r="D25">
        <v>5.2999999999999999E-2</v>
      </c>
      <c r="E25">
        <v>2E-3</v>
      </c>
      <c r="F25">
        <v>0.105</v>
      </c>
      <c r="G25">
        <v>0.16599999999999998</v>
      </c>
    </row>
    <row r="26" spans="1:7" ht="15" customHeight="1" x14ac:dyDescent="0.15">
      <c r="A26">
        <v>25</v>
      </c>
      <c r="B26" s="188" t="s">
        <v>217</v>
      </c>
      <c r="C26">
        <v>0</v>
      </c>
      <c r="D26">
        <v>3.4000000000000002E-2</v>
      </c>
      <c r="E26">
        <v>1E-3</v>
      </c>
      <c r="F26">
        <v>1.9E-2</v>
      </c>
      <c r="G26">
        <v>5.4000000000000006E-2</v>
      </c>
    </row>
    <row r="27" spans="1:7" ht="15" customHeight="1" x14ac:dyDescent="0.15">
      <c r="A27">
        <v>26</v>
      </c>
      <c r="B27" s="188" t="s">
        <v>218</v>
      </c>
      <c r="C27">
        <v>0</v>
      </c>
      <c r="D27">
        <v>8.5999999999999993E-2</v>
      </c>
      <c r="E27">
        <v>2E-3</v>
      </c>
      <c r="F27">
        <v>0.32</v>
      </c>
      <c r="G27">
        <v>0.40800000000000003</v>
      </c>
    </row>
    <row r="28" spans="1:7" ht="15" customHeight="1" x14ac:dyDescent="0.15">
      <c r="A28">
        <v>27</v>
      </c>
      <c r="B28" s="188" t="s">
        <v>219</v>
      </c>
      <c r="C28">
        <v>0</v>
      </c>
      <c r="D28">
        <v>2E-3</v>
      </c>
      <c r="E28">
        <v>0</v>
      </c>
      <c r="F28">
        <v>1.4999999999999999E-2</v>
      </c>
      <c r="G28">
        <v>1.7000000000000001E-2</v>
      </c>
    </row>
    <row r="29" spans="1:7" ht="15" customHeight="1" x14ac:dyDescent="0.15">
      <c r="A29">
        <v>28</v>
      </c>
      <c r="B29" s="188" t="s">
        <v>220</v>
      </c>
      <c r="C29">
        <v>3.4758800000000003E-5</v>
      </c>
      <c r="D29">
        <v>1.001297E-3</v>
      </c>
      <c r="E29">
        <v>8.1546500000000003E-5</v>
      </c>
      <c r="F29">
        <v>8.8263649999999992E-3</v>
      </c>
      <c r="G29">
        <v>9.9439672999999985E-3</v>
      </c>
    </row>
    <row r="30" spans="1:7" ht="15" customHeight="1" x14ac:dyDescent="0.15">
      <c r="A30">
        <v>29</v>
      </c>
      <c r="B30" s="188" t="s">
        <v>221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ht="15" customHeight="1" x14ac:dyDescent="0.15">
      <c r="A31">
        <v>30</v>
      </c>
      <c r="B31" s="188" t="s">
        <v>222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ht="15" customHeight="1" x14ac:dyDescent="0.15">
      <c r="A32">
        <v>31</v>
      </c>
      <c r="B32" s="188" t="s">
        <v>223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ht="15" customHeight="1" x14ac:dyDescent="0.15">
      <c r="A33">
        <v>32</v>
      </c>
      <c r="B33" s="188" t="s">
        <v>224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ht="15" customHeight="1" x14ac:dyDescent="0.15">
      <c r="A34">
        <v>33</v>
      </c>
      <c r="B34" s="188" t="s">
        <v>225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ht="15" customHeight="1" x14ac:dyDescent="0.15">
      <c r="A35">
        <v>34</v>
      </c>
      <c r="B35" s="188" t="s">
        <v>226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ht="15" customHeight="1" x14ac:dyDescent="0.15"/>
    <row r="37" spans="1:7" ht="15" customHeight="1" x14ac:dyDescent="0.15"/>
    <row r="38" spans="1:7" ht="15" customHeight="1" x14ac:dyDescent="0.15"/>
    <row r="39" spans="1:7" ht="15" customHeight="1" x14ac:dyDescent="0.15"/>
    <row r="40" spans="1:7" ht="15" customHeight="1" x14ac:dyDescent="0.15"/>
    <row r="41" spans="1:7" ht="15" customHeight="1" x14ac:dyDescent="0.15"/>
    <row r="42" spans="1:7" ht="15" customHeight="1" x14ac:dyDescent="0.15"/>
    <row r="43" spans="1:7" ht="15" customHeight="1" x14ac:dyDescent="0.15"/>
    <row r="44" spans="1:7" ht="15" customHeight="1" x14ac:dyDescent="0.15"/>
    <row r="45" spans="1:7" ht="15" customHeight="1" x14ac:dyDescent="0.15"/>
    <row r="46" spans="1:7" ht="15" customHeight="1" x14ac:dyDescent="0.15"/>
    <row r="47" spans="1:7" ht="15" customHeight="1" x14ac:dyDescent="0.15"/>
    <row r="48" spans="1:7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33203125" bestFit="1" customWidth="1"/>
    <col min="3" max="3" width="6.83203125" bestFit="1" customWidth="1"/>
    <col min="4" max="5" width="5.83203125" bestFit="1" customWidth="1"/>
    <col min="6" max="7" width="7.83203125" customWidth="1"/>
  </cols>
  <sheetData>
    <row r="1" spans="1:7" s="115" customFormat="1" ht="112" x14ac:dyDescent="0.15">
      <c r="A1" s="5" t="s">
        <v>22</v>
      </c>
      <c r="B1" s="3" t="s">
        <v>0</v>
      </c>
      <c r="C1" s="191" t="s">
        <v>227</v>
      </c>
      <c r="D1" s="191" t="s">
        <v>228</v>
      </c>
      <c r="E1" s="191" t="s">
        <v>229</v>
      </c>
      <c r="F1" s="191" t="s">
        <v>230</v>
      </c>
      <c r="G1" s="191" t="s">
        <v>234</v>
      </c>
    </row>
    <row r="2" spans="1:7" x14ac:dyDescent="0.15">
      <c r="A2">
        <v>1</v>
      </c>
      <c r="B2" s="190" t="s">
        <v>193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90" t="s">
        <v>194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90" t="s">
        <v>195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0" t="s">
        <v>196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90" t="s">
        <v>197</v>
      </c>
      <c r="C6">
        <v>1.4E-2</v>
      </c>
      <c r="D6">
        <v>0</v>
      </c>
      <c r="E6">
        <v>0</v>
      </c>
      <c r="F6">
        <v>6.0000000000000001E-3</v>
      </c>
      <c r="G6">
        <v>0.02</v>
      </c>
    </row>
    <row r="7" spans="1:7" x14ac:dyDescent="0.15">
      <c r="A7">
        <v>6</v>
      </c>
      <c r="B7" s="190" t="s">
        <v>198</v>
      </c>
      <c r="C7">
        <v>1E-3</v>
      </c>
      <c r="D7">
        <v>0</v>
      </c>
      <c r="E7">
        <v>0</v>
      </c>
      <c r="F7">
        <v>1E-3</v>
      </c>
      <c r="G7">
        <v>2E-3</v>
      </c>
    </row>
    <row r="8" spans="1:7" x14ac:dyDescent="0.15">
      <c r="A8">
        <v>7</v>
      </c>
      <c r="B8" s="190" t="s">
        <v>199</v>
      </c>
      <c r="C8">
        <v>4.7999999999999996E-3</v>
      </c>
      <c r="D8">
        <v>0</v>
      </c>
      <c r="E8">
        <v>0</v>
      </c>
      <c r="F8">
        <v>3.5000000000000001E-3</v>
      </c>
      <c r="G8">
        <v>8.3000000000000001E-3</v>
      </c>
    </row>
    <row r="9" spans="1:7" x14ac:dyDescent="0.15">
      <c r="A9">
        <v>8</v>
      </c>
      <c r="B9" s="190" t="s">
        <v>200</v>
      </c>
      <c r="C9">
        <v>8.9999999999999993E-3</v>
      </c>
      <c r="D9">
        <v>0</v>
      </c>
      <c r="E9">
        <v>0</v>
      </c>
      <c r="F9">
        <v>4.4999999999999998E-2</v>
      </c>
      <c r="G9">
        <v>5.3999999999999999E-2</v>
      </c>
    </row>
    <row r="10" spans="1:7" x14ac:dyDescent="0.15">
      <c r="A10">
        <v>9</v>
      </c>
      <c r="B10" s="190" t="s">
        <v>201</v>
      </c>
      <c r="C10">
        <v>4.0000000000000001E-3</v>
      </c>
      <c r="D10">
        <v>0</v>
      </c>
      <c r="E10">
        <v>0</v>
      </c>
      <c r="F10">
        <v>0</v>
      </c>
      <c r="G10">
        <v>4.0000000000000001E-3</v>
      </c>
    </row>
    <row r="11" spans="1:7" x14ac:dyDescent="0.15">
      <c r="A11">
        <v>10</v>
      </c>
      <c r="B11" s="190" t="s">
        <v>202</v>
      </c>
      <c r="C11">
        <v>4.0000000000000001E-3</v>
      </c>
      <c r="D11">
        <v>0</v>
      </c>
      <c r="E11">
        <v>0</v>
      </c>
      <c r="F11">
        <v>3.0000000000000001E-3</v>
      </c>
      <c r="G11">
        <v>7.0000000000000001E-3</v>
      </c>
    </row>
    <row r="12" spans="1:7" x14ac:dyDescent="0.15">
      <c r="A12">
        <v>11</v>
      </c>
      <c r="B12" s="190" t="s">
        <v>203</v>
      </c>
      <c r="C12">
        <v>6.0000000000000001E-3</v>
      </c>
      <c r="D12">
        <v>0</v>
      </c>
      <c r="E12">
        <v>0</v>
      </c>
      <c r="F12">
        <v>1E-3</v>
      </c>
      <c r="G12">
        <v>7.0000000000000001E-3</v>
      </c>
    </row>
    <row r="13" spans="1:7" x14ac:dyDescent="0.15">
      <c r="A13">
        <v>12</v>
      </c>
      <c r="B13" s="190" t="s">
        <v>204</v>
      </c>
      <c r="C13">
        <v>0</v>
      </c>
      <c r="D13">
        <v>0</v>
      </c>
      <c r="E13">
        <v>0</v>
      </c>
      <c r="F13">
        <v>8.9999999999999993E-3</v>
      </c>
      <c r="G13">
        <v>8.9999999999999993E-3</v>
      </c>
    </row>
    <row r="14" spans="1:7" x14ac:dyDescent="0.15">
      <c r="A14">
        <v>13</v>
      </c>
      <c r="B14" s="190" t="s">
        <v>205</v>
      </c>
      <c r="C14">
        <v>8.0000000000000002E-3</v>
      </c>
      <c r="D14">
        <v>0</v>
      </c>
      <c r="E14">
        <v>0</v>
      </c>
      <c r="F14">
        <v>1E-3</v>
      </c>
      <c r="G14">
        <v>9.0000000000000011E-3</v>
      </c>
    </row>
    <row r="15" spans="1:7" x14ac:dyDescent="0.15">
      <c r="A15">
        <v>14</v>
      </c>
      <c r="B15" s="190" t="s">
        <v>206</v>
      </c>
      <c r="C15">
        <v>7.0000000000000001E-3</v>
      </c>
      <c r="D15">
        <v>0</v>
      </c>
      <c r="E15">
        <v>0</v>
      </c>
      <c r="F15">
        <v>5.0000000000000001E-3</v>
      </c>
      <c r="G15">
        <v>1.2E-2</v>
      </c>
    </row>
    <row r="16" spans="1:7" x14ac:dyDescent="0.15">
      <c r="A16">
        <v>15</v>
      </c>
      <c r="B16" s="190" t="s">
        <v>207</v>
      </c>
      <c r="C16">
        <v>0</v>
      </c>
      <c r="D16">
        <v>0</v>
      </c>
      <c r="E16">
        <v>0</v>
      </c>
      <c r="F16">
        <v>6.0000000000000001E-3</v>
      </c>
      <c r="G16">
        <v>6.0000000000000001E-3</v>
      </c>
    </row>
    <row r="17" spans="1:7" x14ac:dyDescent="0.15">
      <c r="A17">
        <v>16</v>
      </c>
      <c r="B17" s="190" t="s">
        <v>208</v>
      </c>
      <c r="C17">
        <v>4.0000000000000001E-3</v>
      </c>
      <c r="D17">
        <v>0</v>
      </c>
      <c r="E17">
        <v>0</v>
      </c>
      <c r="F17">
        <v>8.0000000000000002E-3</v>
      </c>
      <c r="G17">
        <v>1.2E-2</v>
      </c>
    </row>
    <row r="18" spans="1:7" x14ac:dyDescent="0.15">
      <c r="A18">
        <v>17</v>
      </c>
      <c r="B18" s="190" t="s">
        <v>209</v>
      </c>
      <c r="C18">
        <v>1E-3</v>
      </c>
      <c r="D18">
        <v>0</v>
      </c>
      <c r="E18">
        <v>0</v>
      </c>
      <c r="F18">
        <v>8.0000000000000002E-3</v>
      </c>
      <c r="G18">
        <v>9.0000000000000011E-3</v>
      </c>
    </row>
    <row r="19" spans="1:7" x14ac:dyDescent="0.15">
      <c r="A19">
        <v>18</v>
      </c>
      <c r="B19" s="190" t="s">
        <v>210</v>
      </c>
      <c r="C19">
        <v>0</v>
      </c>
      <c r="D19">
        <v>0</v>
      </c>
      <c r="E19">
        <v>0</v>
      </c>
      <c r="F19">
        <v>0.01</v>
      </c>
      <c r="G19">
        <v>0.01</v>
      </c>
    </row>
    <row r="20" spans="1:7" x14ac:dyDescent="0.15">
      <c r="A20">
        <v>19</v>
      </c>
      <c r="B20" s="190" t="s">
        <v>211</v>
      </c>
      <c r="C20">
        <v>0</v>
      </c>
      <c r="D20">
        <v>1E-3</v>
      </c>
      <c r="E20">
        <v>0</v>
      </c>
      <c r="F20">
        <v>2E-3</v>
      </c>
      <c r="G20">
        <v>3.0000000000000001E-3</v>
      </c>
    </row>
    <row r="21" spans="1:7" x14ac:dyDescent="0.15">
      <c r="A21">
        <v>20</v>
      </c>
      <c r="B21" s="190" t="s">
        <v>212</v>
      </c>
      <c r="C21">
        <v>1E-3</v>
      </c>
      <c r="D21">
        <v>1E-3</v>
      </c>
      <c r="E21">
        <v>0</v>
      </c>
      <c r="F21">
        <v>3.0000000000000001E-3</v>
      </c>
      <c r="G21">
        <v>5.0000000000000001E-3</v>
      </c>
    </row>
    <row r="22" spans="1:7" x14ac:dyDescent="0.15">
      <c r="A22">
        <v>21</v>
      </c>
      <c r="B22" s="190" t="s">
        <v>213</v>
      </c>
      <c r="C22">
        <v>4.0000000000000001E-3</v>
      </c>
      <c r="D22">
        <v>0</v>
      </c>
      <c r="E22">
        <v>0</v>
      </c>
      <c r="F22">
        <v>2E-3</v>
      </c>
      <c r="G22">
        <v>6.0000000000000001E-3</v>
      </c>
    </row>
    <row r="23" spans="1:7" x14ac:dyDescent="0.15">
      <c r="A23">
        <v>22</v>
      </c>
      <c r="B23" s="190" t="s">
        <v>214</v>
      </c>
      <c r="C23">
        <v>0</v>
      </c>
      <c r="D23">
        <v>1.7999999999999999E-2</v>
      </c>
      <c r="E23">
        <v>0</v>
      </c>
      <c r="F23">
        <v>0.02</v>
      </c>
      <c r="G23">
        <v>3.7999999999999999E-2</v>
      </c>
    </row>
    <row r="24" spans="1:7" x14ac:dyDescent="0.15">
      <c r="A24">
        <v>23</v>
      </c>
      <c r="B24" s="190" t="s">
        <v>215</v>
      </c>
      <c r="C24">
        <v>0</v>
      </c>
      <c r="D24">
        <v>1.6E-2</v>
      </c>
      <c r="E24">
        <v>2E-3</v>
      </c>
      <c r="F24">
        <v>4.9000000000000002E-2</v>
      </c>
      <c r="G24">
        <v>6.7000000000000004E-2</v>
      </c>
    </row>
    <row r="25" spans="1:7" x14ac:dyDescent="0.15">
      <c r="A25">
        <v>24</v>
      </c>
      <c r="B25" s="190" t="s">
        <v>216</v>
      </c>
      <c r="C25">
        <v>4.0000000000000001E-3</v>
      </c>
      <c r="D25">
        <v>3.0000000000000001E-3</v>
      </c>
      <c r="E25">
        <v>0</v>
      </c>
      <c r="F25">
        <v>0.01</v>
      </c>
      <c r="G25">
        <v>1.7000000000000001E-2</v>
      </c>
    </row>
    <row r="26" spans="1:7" x14ac:dyDescent="0.15">
      <c r="A26">
        <v>25</v>
      </c>
      <c r="B26" s="190" t="s">
        <v>217</v>
      </c>
      <c r="C26">
        <v>0</v>
      </c>
      <c r="D26">
        <v>2E-3</v>
      </c>
      <c r="E26">
        <v>0</v>
      </c>
      <c r="F26">
        <v>2E-3</v>
      </c>
      <c r="G26">
        <v>4.0000000000000001E-3</v>
      </c>
    </row>
    <row r="27" spans="1:7" x14ac:dyDescent="0.15">
      <c r="A27">
        <v>26</v>
      </c>
      <c r="B27" s="190" t="s">
        <v>218</v>
      </c>
      <c r="C27">
        <v>0</v>
      </c>
      <c r="D27">
        <v>4.0000000000000001E-3</v>
      </c>
      <c r="E27">
        <v>0</v>
      </c>
      <c r="F27">
        <v>3.1E-2</v>
      </c>
      <c r="G27">
        <v>3.5000000000000003E-2</v>
      </c>
    </row>
    <row r="28" spans="1:7" x14ac:dyDescent="0.15">
      <c r="A28">
        <v>27</v>
      </c>
      <c r="B28" s="190" t="s">
        <v>219</v>
      </c>
      <c r="C28">
        <v>0</v>
      </c>
      <c r="D28">
        <v>0</v>
      </c>
      <c r="E28">
        <v>0</v>
      </c>
      <c r="F28">
        <v>1E-3</v>
      </c>
      <c r="G28">
        <v>1E-3</v>
      </c>
    </row>
    <row r="29" spans="1:7" x14ac:dyDescent="0.15">
      <c r="A29">
        <v>28</v>
      </c>
      <c r="B29" s="190" t="s">
        <v>220</v>
      </c>
      <c r="C29">
        <v>0</v>
      </c>
      <c r="D29">
        <v>0</v>
      </c>
      <c r="E29">
        <v>0</v>
      </c>
      <c r="F29">
        <v>7.0000000000000001E-3</v>
      </c>
      <c r="G29">
        <v>7.0000000000000001E-3</v>
      </c>
    </row>
    <row r="30" spans="1:7" x14ac:dyDescent="0.15">
      <c r="A30">
        <v>29</v>
      </c>
      <c r="B30" s="190" t="s">
        <v>221</v>
      </c>
      <c r="C30">
        <v>0</v>
      </c>
      <c r="D30">
        <v>0</v>
      </c>
      <c r="E30">
        <v>0</v>
      </c>
      <c r="F30">
        <v>2.5000000000000001E-3</v>
      </c>
      <c r="G30">
        <v>2.5000000000000001E-3</v>
      </c>
    </row>
    <row r="31" spans="1:7" x14ac:dyDescent="0.15">
      <c r="A31">
        <v>30</v>
      </c>
      <c r="B31" s="190" t="s">
        <v>222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0" t="s">
        <v>223</v>
      </c>
      <c r="C32">
        <v>0</v>
      </c>
      <c r="D32">
        <v>0</v>
      </c>
      <c r="E32">
        <v>0</v>
      </c>
      <c r="F32">
        <v>3.4000000000000002E-4</v>
      </c>
      <c r="G32">
        <v>3.4000000000000002E-4</v>
      </c>
    </row>
    <row r="33" spans="1:7" x14ac:dyDescent="0.15">
      <c r="A33">
        <v>32</v>
      </c>
      <c r="B33" s="190" t="s">
        <v>224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0" t="s">
        <v>225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0" t="s">
        <v>226</v>
      </c>
      <c r="C35">
        <v>0</v>
      </c>
      <c r="D35">
        <v>0</v>
      </c>
      <c r="E35">
        <v>0</v>
      </c>
      <c r="F35">
        <v>0</v>
      </c>
      <c r="G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.332031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2" t="s">
        <v>193</v>
      </c>
      <c r="F2">
        <v>0.98</v>
      </c>
      <c r="G2">
        <v>0.8</v>
      </c>
      <c r="H2">
        <v>0.8</v>
      </c>
      <c r="I2">
        <v>0</v>
      </c>
      <c r="J2" s="114">
        <v>0</v>
      </c>
      <c r="K2" s="114">
        <v>0</v>
      </c>
    </row>
    <row r="3" spans="1:42" x14ac:dyDescent="0.15">
      <c r="A3" s="123" t="s">
        <v>75</v>
      </c>
      <c r="B3" s="125">
        <v>1</v>
      </c>
      <c r="D3">
        <v>2</v>
      </c>
      <c r="E3" s="192" t="s">
        <v>194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2" t="s">
        <v>195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2" t="s">
        <v>196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2" t="s">
        <v>197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2" t="s">
        <v>198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2" t="s">
        <v>199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2" t="s">
        <v>200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2" t="s">
        <v>201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2" t="s">
        <v>202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2" t="s">
        <v>203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2" t="s">
        <v>204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2" t="s">
        <v>205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2" t="s">
        <v>206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2" t="s">
        <v>207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2" t="s">
        <v>208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2" t="s">
        <v>209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2" t="s">
        <v>210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2" t="s">
        <v>211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2" t="s">
        <v>212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2" t="s">
        <v>213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2" t="s">
        <v>214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2" t="s">
        <v>215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2" t="s">
        <v>216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2" t="s">
        <v>217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2" t="s">
        <v>218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2" t="s">
        <v>219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2" t="s">
        <v>220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2" t="s">
        <v>221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2" t="s">
        <v>222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2" t="s">
        <v>223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2" t="s">
        <v>224</v>
      </c>
      <c r="F33">
        <v>0.98</v>
      </c>
      <c r="G33">
        <v>0.8</v>
      </c>
      <c r="H33">
        <v>0</v>
      </c>
      <c r="I33">
        <v>0</v>
      </c>
      <c r="J33" s="114">
        <v>0</v>
      </c>
      <c r="K33" s="114">
        <v>0</v>
      </c>
      <c r="Y33"/>
      <c r="AC33"/>
      <c r="AG33"/>
    </row>
    <row r="34" spans="4:33" ht="15" customHeight="1" x14ac:dyDescent="0.15">
      <c r="D34">
        <v>33</v>
      </c>
      <c r="E34" s="192" t="s">
        <v>225</v>
      </c>
      <c r="F34">
        <v>0.98</v>
      </c>
      <c r="G34">
        <v>0.8</v>
      </c>
      <c r="H34">
        <v>0</v>
      </c>
      <c r="I34">
        <v>0</v>
      </c>
      <c r="J34" s="114">
        <v>0</v>
      </c>
      <c r="K34" s="114">
        <v>0</v>
      </c>
      <c r="Y34"/>
      <c r="AC34"/>
      <c r="AG34"/>
    </row>
    <row r="35" spans="4:33" ht="15" customHeight="1" x14ac:dyDescent="0.15">
      <c r="D35">
        <v>34</v>
      </c>
      <c r="E35" s="192" t="s">
        <v>226</v>
      </c>
      <c r="F35">
        <v>0.98</v>
      </c>
      <c r="G35">
        <v>0.8</v>
      </c>
      <c r="H35">
        <v>0</v>
      </c>
      <c r="I35">
        <v>0</v>
      </c>
      <c r="J35" s="114">
        <v>0</v>
      </c>
      <c r="K35" s="114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3.33203125" style="112" bestFit="1" customWidth="1"/>
    <col min="2" max="2" width="2.33203125" style="112" customWidth="1"/>
    <col min="3" max="32" width="3.83203125" style="112" customWidth="1"/>
    <col min="33" max="35" width="2.33203125" style="112" customWidth="1"/>
    <col min="36" max="16384" width="10.83203125" style="112"/>
  </cols>
  <sheetData>
    <row r="1" spans="1:35" x14ac:dyDescent="0.15">
      <c r="A1" s="63" t="s">
        <v>118</v>
      </c>
      <c r="B1" s="194" t="s">
        <v>193</v>
      </c>
      <c r="C1" s="194" t="s">
        <v>194</v>
      </c>
      <c r="D1" s="194" t="s">
        <v>195</v>
      </c>
      <c r="E1" s="194" t="s">
        <v>196</v>
      </c>
      <c r="F1" s="194" t="s">
        <v>197</v>
      </c>
      <c r="G1" s="194" t="s">
        <v>198</v>
      </c>
      <c r="H1" s="194" t="s">
        <v>199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</row>
    <row r="2" spans="1:35" customFormat="1" x14ac:dyDescent="0.15">
      <c r="A2" s="193" t="s">
        <v>193</v>
      </c>
      <c r="B2" s="112">
        <v>0</v>
      </c>
      <c r="C2" s="112">
        <v>0.8</v>
      </c>
      <c r="D2" s="112">
        <v>0.8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0.8</v>
      </c>
      <c r="R2" s="112">
        <v>0.8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0.8</v>
      </c>
      <c r="Y2" s="112">
        <v>0</v>
      </c>
      <c r="Z2" s="112">
        <v>0</v>
      </c>
      <c r="AA2" s="112">
        <v>0.8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</row>
    <row r="3" spans="1:35" customFormat="1" x14ac:dyDescent="0.15">
      <c r="A3" s="193" t="s">
        <v>194</v>
      </c>
      <c r="B3" s="112">
        <v>0</v>
      </c>
      <c r="C3" s="112">
        <v>0.8</v>
      </c>
      <c r="D3" s="112">
        <v>0.8</v>
      </c>
      <c r="E3" s="112">
        <v>0</v>
      </c>
      <c r="F3" s="112">
        <v>0.8</v>
      </c>
      <c r="G3" s="112">
        <v>0.8</v>
      </c>
      <c r="H3" s="112">
        <v>0</v>
      </c>
      <c r="I3" s="112">
        <v>0.8</v>
      </c>
      <c r="J3" s="112">
        <v>0.8</v>
      </c>
      <c r="K3" s="112">
        <v>0.8</v>
      </c>
      <c r="L3" s="112">
        <v>0.8</v>
      </c>
      <c r="M3" s="112">
        <v>0.8</v>
      </c>
      <c r="N3" s="112">
        <v>0.8</v>
      </c>
      <c r="O3" s="112">
        <v>0.8</v>
      </c>
      <c r="P3" s="112">
        <v>0.8</v>
      </c>
      <c r="Q3" s="112">
        <v>0.8</v>
      </c>
      <c r="R3" s="112">
        <v>0.8</v>
      </c>
      <c r="S3" s="112">
        <v>0.8</v>
      </c>
      <c r="T3" s="112">
        <v>0.8</v>
      </c>
      <c r="U3" s="112">
        <v>0.8</v>
      </c>
      <c r="V3" s="112">
        <v>0.8</v>
      </c>
      <c r="W3" s="112">
        <v>0.8</v>
      </c>
      <c r="X3" s="112">
        <v>0.8</v>
      </c>
      <c r="Y3" s="112">
        <v>0.8</v>
      </c>
      <c r="Z3" s="112">
        <v>0.8</v>
      </c>
      <c r="AA3" s="112">
        <v>0.8</v>
      </c>
      <c r="AB3" s="112">
        <v>0.8</v>
      </c>
      <c r="AC3" s="112">
        <v>0.8</v>
      </c>
      <c r="AD3" s="112">
        <v>0.8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</row>
    <row r="4" spans="1:35" customFormat="1" x14ac:dyDescent="0.15">
      <c r="A4" s="193" t="s">
        <v>195</v>
      </c>
      <c r="B4" s="112">
        <v>0</v>
      </c>
      <c r="C4" s="112">
        <v>0</v>
      </c>
      <c r="D4" s="112">
        <v>0.8</v>
      </c>
      <c r="E4" s="112">
        <v>0</v>
      </c>
      <c r="F4" s="112">
        <v>0.8</v>
      </c>
      <c r="G4" s="112">
        <v>0.8</v>
      </c>
      <c r="H4" s="112">
        <v>0</v>
      </c>
      <c r="I4" s="112">
        <v>0.8</v>
      </c>
      <c r="J4" s="112">
        <v>0.8</v>
      </c>
      <c r="K4" s="112">
        <v>0.8</v>
      </c>
      <c r="L4" s="112">
        <v>0.8</v>
      </c>
      <c r="M4" s="112">
        <v>0.8</v>
      </c>
      <c r="N4" s="112">
        <v>0.8</v>
      </c>
      <c r="O4" s="112">
        <v>0.8</v>
      </c>
      <c r="P4" s="112">
        <v>0.8</v>
      </c>
      <c r="Q4" s="112">
        <v>0.8</v>
      </c>
      <c r="R4" s="112">
        <v>0.8</v>
      </c>
      <c r="S4" s="112">
        <v>0.8</v>
      </c>
      <c r="T4" s="112">
        <v>0.8</v>
      </c>
      <c r="U4" s="112">
        <v>0</v>
      </c>
      <c r="V4" s="112">
        <v>0.8</v>
      </c>
      <c r="W4" s="112">
        <v>0</v>
      </c>
      <c r="X4" s="112">
        <v>0.8</v>
      </c>
      <c r="Y4" s="112">
        <v>0.8</v>
      </c>
      <c r="Z4" s="112">
        <v>0.8</v>
      </c>
      <c r="AA4" s="112">
        <v>0.8</v>
      </c>
      <c r="AB4" s="112">
        <v>0.8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</row>
    <row r="5" spans="1:35" customFormat="1" x14ac:dyDescent="0.15">
      <c r="A5" s="193" t="s">
        <v>196</v>
      </c>
      <c r="B5" s="112">
        <v>0</v>
      </c>
      <c r="C5" s="112">
        <v>0</v>
      </c>
      <c r="D5" s="112">
        <v>0.8</v>
      </c>
      <c r="E5" s="112">
        <v>0.8</v>
      </c>
      <c r="F5" s="112">
        <v>0.8</v>
      </c>
      <c r="G5" s="112">
        <v>0.8</v>
      </c>
      <c r="H5" s="112">
        <v>0.8</v>
      </c>
      <c r="I5" s="112">
        <v>0.8</v>
      </c>
      <c r="J5" s="112">
        <v>0.8</v>
      </c>
      <c r="K5" s="112">
        <v>0.8</v>
      </c>
      <c r="L5" s="112">
        <v>0.8</v>
      </c>
      <c r="M5" s="112">
        <v>0.8</v>
      </c>
      <c r="N5" s="112">
        <v>0</v>
      </c>
      <c r="O5" s="112">
        <v>0</v>
      </c>
      <c r="P5" s="112">
        <v>0.8</v>
      </c>
      <c r="Q5" s="112">
        <v>0.8</v>
      </c>
      <c r="R5" s="112">
        <v>0.8</v>
      </c>
      <c r="S5" s="112">
        <v>0.8</v>
      </c>
      <c r="T5" s="112">
        <v>0.8</v>
      </c>
      <c r="U5" s="112">
        <v>0.8</v>
      </c>
      <c r="V5" s="112">
        <v>0.8</v>
      </c>
      <c r="W5" s="112">
        <v>0</v>
      </c>
      <c r="X5" s="112">
        <v>0</v>
      </c>
      <c r="Y5" s="112">
        <v>0.8</v>
      </c>
      <c r="Z5" s="112">
        <v>0</v>
      </c>
      <c r="AA5" s="112">
        <v>0</v>
      </c>
      <c r="AB5" s="112">
        <v>0.8</v>
      </c>
      <c r="AC5" s="112">
        <v>0</v>
      </c>
      <c r="AD5" s="112">
        <v>0.8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</row>
    <row r="6" spans="1:35" customFormat="1" x14ac:dyDescent="0.15">
      <c r="A6" s="193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0.8</v>
      </c>
      <c r="G6" s="112">
        <v>0.8</v>
      </c>
      <c r="H6" s="112">
        <v>0</v>
      </c>
      <c r="I6" s="112">
        <v>0.8</v>
      </c>
      <c r="J6" s="112">
        <v>0.8</v>
      </c>
      <c r="K6" s="112">
        <v>0.8</v>
      </c>
      <c r="L6" s="112">
        <v>0.8</v>
      </c>
      <c r="M6" s="112">
        <v>0.8</v>
      </c>
      <c r="N6" s="112">
        <v>0.8</v>
      </c>
      <c r="O6" s="112">
        <v>0.8</v>
      </c>
      <c r="P6" s="112">
        <v>0.8</v>
      </c>
      <c r="Q6" s="112">
        <v>0.8</v>
      </c>
      <c r="R6" s="112">
        <v>0.8</v>
      </c>
      <c r="S6" s="112">
        <v>0.8</v>
      </c>
      <c r="T6" s="112">
        <v>0.8</v>
      </c>
      <c r="U6" s="112">
        <v>0.8</v>
      </c>
      <c r="V6" s="112">
        <v>0.8</v>
      </c>
      <c r="W6" s="112">
        <v>0</v>
      </c>
      <c r="X6" s="112">
        <v>0</v>
      </c>
      <c r="Y6" s="112">
        <v>0.8</v>
      </c>
      <c r="Z6" s="112">
        <v>0.8</v>
      </c>
      <c r="AA6" s="112">
        <v>0</v>
      </c>
      <c r="AB6" s="112">
        <v>0.8</v>
      </c>
      <c r="AC6" s="112">
        <v>0.8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</row>
    <row r="7" spans="1:35" customFormat="1" x14ac:dyDescent="0.15">
      <c r="A7" s="193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0.8</v>
      </c>
      <c r="G7" s="112">
        <v>0.8</v>
      </c>
      <c r="H7" s="112">
        <v>0</v>
      </c>
      <c r="I7" s="112">
        <v>0.8</v>
      </c>
      <c r="J7" s="112">
        <v>0.8</v>
      </c>
      <c r="K7" s="112">
        <v>0.8</v>
      </c>
      <c r="L7" s="112">
        <v>0</v>
      </c>
      <c r="M7" s="112">
        <v>0.8</v>
      </c>
      <c r="N7" s="112">
        <v>0.8</v>
      </c>
      <c r="O7" s="112">
        <v>0</v>
      </c>
      <c r="P7" s="112">
        <v>0</v>
      </c>
      <c r="Q7" s="112">
        <v>0.8</v>
      </c>
      <c r="R7" s="112">
        <v>0.8</v>
      </c>
      <c r="S7" s="112">
        <v>0.8</v>
      </c>
      <c r="T7" s="112">
        <v>0</v>
      </c>
      <c r="U7" s="112">
        <v>0.8</v>
      </c>
      <c r="V7" s="112">
        <v>0.8</v>
      </c>
      <c r="W7" s="112">
        <v>0</v>
      </c>
      <c r="X7" s="112">
        <v>0</v>
      </c>
      <c r="Y7" s="112">
        <v>0.8</v>
      </c>
      <c r="Z7" s="112">
        <v>0</v>
      </c>
      <c r="AA7" s="112">
        <v>0</v>
      </c>
      <c r="AB7" s="112">
        <v>0</v>
      </c>
      <c r="AC7" s="112">
        <v>0</v>
      </c>
      <c r="AD7" s="112">
        <v>0.8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</row>
    <row r="8" spans="1:35" customFormat="1" x14ac:dyDescent="0.15">
      <c r="A8" s="193" t="s">
        <v>199</v>
      </c>
      <c r="B8" s="112">
        <v>0</v>
      </c>
      <c r="C8" s="112">
        <v>0</v>
      </c>
      <c r="D8" s="112">
        <v>0.8</v>
      </c>
      <c r="E8" s="112">
        <v>0.8</v>
      </c>
      <c r="F8" s="112">
        <v>0.8</v>
      </c>
      <c r="G8" s="112">
        <v>0.8</v>
      </c>
      <c r="H8" s="112">
        <v>0.8</v>
      </c>
      <c r="I8" s="112">
        <v>0.8</v>
      </c>
      <c r="J8" s="112">
        <v>0.8</v>
      </c>
      <c r="K8" s="112">
        <v>0.8</v>
      </c>
      <c r="L8" s="112">
        <v>0.8</v>
      </c>
      <c r="M8" s="112">
        <v>0.8</v>
      </c>
      <c r="N8" s="112">
        <v>0.8</v>
      </c>
      <c r="O8" s="112">
        <v>0.8</v>
      </c>
      <c r="P8" s="112">
        <v>0.8</v>
      </c>
      <c r="Q8" s="112">
        <v>0.8</v>
      </c>
      <c r="R8" s="112">
        <v>0.8</v>
      </c>
      <c r="S8" s="112">
        <v>0.8</v>
      </c>
      <c r="T8" s="112">
        <v>0</v>
      </c>
      <c r="U8" s="112">
        <v>0.8</v>
      </c>
      <c r="V8" s="112">
        <v>0.8</v>
      </c>
      <c r="W8" s="112">
        <v>0</v>
      </c>
      <c r="X8" s="112">
        <v>0</v>
      </c>
      <c r="Y8" s="112">
        <v>0.8</v>
      </c>
      <c r="Z8" s="112">
        <v>0.8</v>
      </c>
      <c r="AA8" s="112">
        <v>0.8</v>
      </c>
      <c r="AB8" s="112">
        <v>0</v>
      </c>
      <c r="AC8" s="112">
        <v>0.8</v>
      </c>
      <c r="AD8" s="112">
        <v>0.8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</row>
    <row r="9" spans="1:35" customFormat="1" x14ac:dyDescent="0.15">
      <c r="A9" s="193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0.8</v>
      </c>
      <c r="G9" s="112">
        <v>0</v>
      </c>
      <c r="H9" s="112">
        <v>0</v>
      </c>
      <c r="I9" s="112">
        <v>0.8</v>
      </c>
      <c r="J9" s="112">
        <v>0.8</v>
      </c>
      <c r="K9" s="112">
        <v>0</v>
      </c>
      <c r="L9" s="112">
        <v>0.8</v>
      </c>
      <c r="M9" s="112">
        <v>0.8</v>
      </c>
      <c r="N9" s="112">
        <v>0.8</v>
      </c>
      <c r="O9" s="112">
        <v>0.8</v>
      </c>
      <c r="P9" s="112">
        <v>0</v>
      </c>
      <c r="Q9" s="112">
        <v>0.8</v>
      </c>
      <c r="R9" s="112">
        <v>0.8</v>
      </c>
      <c r="S9" s="112">
        <v>0</v>
      </c>
      <c r="T9" s="112">
        <v>0</v>
      </c>
      <c r="U9" s="112">
        <v>0.8</v>
      </c>
      <c r="V9" s="112">
        <v>0.8</v>
      </c>
      <c r="W9" s="112">
        <v>0</v>
      </c>
      <c r="X9" s="112">
        <v>0</v>
      </c>
      <c r="Y9" s="112">
        <v>0.8</v>
      </c>
      <c r="Z9" s="112">
        <v>0</v>
      </c>
      <c r="AA9" s="112">
        <v>0</v>
      </c>
      <c r="AB9" s="112">
        <v>0.8</v>
      </c>
      <c r="AC9" s="112">
        <v>0</v>
      </c>
      <c r="AD9" s="112">
        <v>0.8</v>
      </c>
      <c r="AE9" s="112">
        <v>0</v>
      </c>
      <c r="AF9" s="112">
        <v>0.8</v>
      </c>
      <c r="AG9" s="112">
        <v>0</v>
      </c>
      <c r="AH9" s="112">
        <v>0</v>
      </c>
      <c r="AI9" s="112">
        <v>0</v>
      </c>
    </row>
    <row r="10" spans="1:35" customFormat="1" x14ac:dyDescent="0.15">
      <c r="A10" s="193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0.8</v>
      </c>
      <c r="K10" s="112">
        <v>0</v>
      </c>
      <c r="L10" s="112">
        <v>0</v>
      </c>
      <c r="M10" s="112">
        <v>0</v>
      </c>
      <c r="N10" s="112">
        <v>0</v>
      </c>
      <c r="O10" s="112">
        <v>0.8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0.8</v>
      </c>
      <c r="V10" s="112">
        <v>0.8</v>
      </c>
      <c r="W10" s="112">
        <v>0</v>
      </c>
      <c r="X10" s="112">
        <v>0</v>
      </c>
      <c r="Y10" s="112">
        <v>0.8</v>
      </c>
      <c r="Z10" s="112">
        <v>0.8</v>
      </c>
      <c r="AA10" s="112">
        <v>0</v>
      </c>
      <c r="AB10" s="112">
        <v>0.8</v>
      </c>
      <c r="AC10" s="112">
        <v>0.8</v>
      </c>
      <c r="AD10" s="112">
        <v>0.8</v>
      </c>
      <c r="AE10" s="112">
        <v>0</v>
      </c>
      <c r="AF10" s="112">
        <v>0.8</v>
      </c>
      <c r="AG10" s="112">
        <v>0</v>
      </c>
      <c r="AH10" s="112">
        <v>0</v>
      </c>
      <c r="AI10" s="112">
        <v>0</v>
      </c>
    </row>
    <row r="11" spans="1:35" customFormat="1" x14ac:dyDescent="0.15">
      <c r="A11" s="193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0.8</v>
      </c>
      <c r="K11" s="112">
        <v>0</v>
      </c>
      <c r="L11" s="112">
        <v>0.8</v>
      </c>
      <c r="M11" s="112">
        <v>0</v>
      </c>
      <c r="N11" s="112">
        <v>0.8</v>
      </c>
      <c r="O11" s="112">
        <v>0</v>
      </c>
      <c r="P11" s="112">
        <v>0</v>
      </c>
      <c r="Q11" s="112">
        <v>0.8</v>
      </c>
      <c r="R11" s="112">
        <v>0</v>
      </c>
      <c r="S11" s="112">
        <v>0</v>
      </c>
      <c r="T11" s="112">
        <v>0</v>
      </c>
      <c r="U11" s="112">
        <v>0</v>
      </c>
      <c r="V11" s="112">
        <v>0.8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0.8</v>
      </c>
      <c r="AC11" s="112">
        <v>0</v>
      </c>
      <c r="AD11" s="112">
        <v>0.8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</row>
    <row r="12" spans="1:35" customFormat="1" x14ac:dyDescent="0.15">
      <c r="A12" s="193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0.8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0.8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</row>
    <row r="13" spans="1:35" customFormat="1" x14ac:dyDescent="0.15">
      <c r="A13" s="193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0.8</v>
      </c>
      <c r="M13" s="112">
        <v>0.8</v>
      </c>
      <c r="N13" s="112">
        <v>0</v>
      </c>
      <c r="O13" s="112">
        <v>0.8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0.8</v>
      </c>
      <c r="V13" s="112">
        <v>0.8</v>
      </c>
      <c r="W13" s="112">
        <v>0</v>
      </c>
      <c r="X13" s="112">
        <v>0</v>
      </c>
      <c r="Y13" s="112">
        <v>0.8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0.8</v>
      </c>
      <c r="AG13" s="112">
        <v>0</v>
      </c>
      <c r="AH13" s="112">
        <v>0</v>
      </c>
      <c r="AI13" s="112">
        <v>0</v>
      </c>
    </row>
    <row r="14" spans="1:35" customFormat="1" x14ac:dyDescent="0.15">
      <c r="A14" s="193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0.8</v>
      </c>
      <c r="K14" s="112">
        <v>0</v>
      </c>
      <c r="L14" s="112">
        <v>0.8</v>
      </c>
      <c r="M14" s="112">
        <v>0.8</v>
      </c>
      <c r="N14" s="112">
        <v>0.8</v>
      </c>
      <c r="O14" s="112">
        <v>0.8</v>
      </c>
      <c r="P14" s="112">
        <v>0</v>
      </c>
      <c r="Q14" s="112">
        <v>0.8</v>
      </c>
      <c r="R14" s="112">
        <v>0.8</v>
      </c>
      <c r="S14" s="112">
        <v>0</v>
      </c>
      <c r="T14" s="112">
        <v>0</v>
      </c>
      <c r="U14" s="112">
        <v>0.8</v>
      </c>
      <c r="V14" s="112">
        <v>0.8</v>
      </c>
      <c r="W14" s="112">
        <v>0</v>
      </c>
      <c r="X14" s="112">
        <v>0</v>
      </c>
      <c r="Y14" s="112">
        <v>0.8</v>
      </c>
      <c r="Z14" s="112">
        <v>0.8</v>
      </c>
      <c r="AA14" s="112">
        <v>0</v>
      </c>
      <c r="AB14" s="112">
        <v>0.8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</row>
    <row r="15" spans="1:35" customFormat="1" x14ac:dyDescent="0.15">
      <c r="A15" s="193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0.8</v>
      </c>
      <c r="K15" s="112">
        <v>0</v>
      </c>
      <c r="L15" s="112">
        <v>0.8</v>
      </c>
      <c r="M15" s="112">
        <v>0</v>
      </c>
      <c r="N15" s="112">
        <v>0</v>
      </c>
      <c r="O15" s="112">
        <v>0.8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0.8</v>
      </c>
      <c r="V15" s="112">
        <v>0.8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0.8</v>
      </c>
      <c r="AC15" s="112">
        <v>0.8</v>
      </c>
      <c r="AD15" s="112">
        <v>0</v>
      </c>
      <c r="AE15" s="112">
        <v>0</v>
      </c>
      <c r="AF15" s="112">
        <v>0.8</v>
      </c>
      <c r="AG15" s="112">
        <v>0</v>
      </c>
      <c r="AH15" s="112">
        <v>0</v>
      </c>
      <c r="AI15" s="112">
        <v>0</v>
      </c>
    </row>
    <row r="16" spans="1:35" customFormat="1" x14ac:dyDescent="0.15">
      <c r="A16" s="193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0.8</v>
      </c>
      <c r="H16" s="112">
        <v>0</v>
      </c>
      <c r="I16" s="112">
        <v>0</v>
      </c>
      <c r="J16" s="112">
        <v>0.8</v>
      </c>
      <c r="K16" s="112">
        <v>0</v>
      </c>
      <c r="L16" s="112">
        <v>0</v>
      </c>
      <c r="M16" s="112">
        <v>0.8</v>
      </c>
      <c r="N16" s="112">
        <v>0.8</v>
      </c>
      <c r="O16" s="112">
        <v>0.8</v>
      </c>
      <c r="P16" s="112">
        <v>0</v>
      </c>
      <c r="Q16" s="112">
        <v>0.8</v>
      </c>
      <c r="R16" s="112">
        <v>0</v>
      </c>
      <c r="S16" s="112">
        <v>0</v>
      </c>
      <c r="T16" s="112">
        <v>0</v>
      </c>
      <c r="U16" s="112">
        <v>0.8</v>
      </c>
      <c r="V16" s="112">
        <v>0.8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0.8</v>
      </c>
      <c r="AG16" s="112">
        <v>0</v>
      </c>
      <c r="AH16" s="112">
        <v>0</v>
      </c>
      <c r="AI16" s="112">
        <v>0</v>
      </c>
    </row>
    <row r="17" spans="1:35" customFormat="1" x14ac:dyDescent="0.15">
      <c r="A17" s="193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0.8</v>
      </c>
      <c r="J17" s="112">
        <v>0</v>
      </c>
      <c r="K17" s="112">
        <v>0</v>
      </c>
      <c r="L17" s="112">
        <v>0.8</v>
      </c>
      <c r="M17" s="112">
        <v>0.8</v>
      </c>
      <c r="N17" s="112">
        <v>0</v>
      </c>
      <c r="O17" s="112">
        <v>0.8</v>
      </c>
      <c r="P17" s="112">
        <v>0</v>
      </c>
      <c r="Q17" s="112">
        <v>0</v>
      </c>
      <c r="R17" s="112">
        <v>0.8</v>
      </c>
      <c r="S17" s="112">
        <v>0</v>
      </c>
      <c r="T17" s="112">
        <v>0</v>
      </c>
      <c r="U17" s="112">
        <v>0</v>
      </c>
      <c r="V17" s="112">
        <v>0.8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0.8</v>
      </c>
      <c r="AD17" s="112">
        <v>0</v>
      </c>
      <c r="AE17" s="112">
        <v>0</v>
      </c>
      <c r="AF17" s="112">
        <v>0.8</v>
      </c>
      <c r="AG17" s="112">
        <v>0</v>
      </c>
      <c r="AH17" s="112">
        <v>0</v>
      </c>
      <c r="AI17" s="112">
        <v>0</v>
      </c>
    </row>
    <row r="18" spans="1:35" customFormat="1" x14ac:dyDescent="0.15">
      <c r="A18" s="193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0.8</v>
      </c>
      <c r="H18" s="112">
        <v>0</v>
      </c>
      <c r="I18" s="112">
        <v>0.8</v>
      </c>
      <c r="J18" s="112">
        <v>0</v>
      </c>
      <c r="K18" s="112">
        <v>0</v>
      </c>
      <c r="L18" s="112">
        <v>0</v>
      </c>
      <c r="M18" s="112">
        <v>0.8</v>
      </c>
      <c r="N18" s="112">
        <v>0.8</v>
      </c>
      <c r="O18" s="112">
        <v>0.8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0.8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0.8</v>
      </c>
      <c r="AE18" s="112">
        <v>0</v>
      </c>
      <c r="AF18" s="112">
        <v>0.8</v>
      </c>
      <c r="AG18" s="112">
        <v>0</v>
      </c>
      <c r="AH18" s="112">
        <v>0</v>
      </c>
      <c r="AI18" s="112">
        <v>0</v>
      </c>
    </row>
    <row r="19" spans="1:35" customFormat="1" x14ac:dyDescent="0.15">
      <c r="A19" s="193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0.8</v>
      </c>
      <c r="H19" s="112">
        <v>0</v>
      </c>
      <c r="I19" s="112">
        <v>0</v>
      </c>
      <c r="J19" s="112">
        <v>0.8</v>
      </c>
      <c r="K19" s="112">
        <v>0</v>
      </c>
      <c r="L19" s="112">
        <v>0.8</v>
      </c>
      <c r="M19" s="112">
        <v>0.8</v>
      </c>
      <c r="N19" s="112">
        <v>0.8</v>
      </c>
      <c r="O19" s="112">
        <v>0.8</v>
      </c>
      <c r="P19" s="112">
        <v>0</v>
      </c>
      <c r="Q19" s="112">
        <v>0.8</v>
      </c>
      <c r="R19" s="112">
        <v>0.8</v>
      </c>
      <c r="S19" s="112">
        <v>0</v>
      </c>
      <c r="T19" s="112">
        <v>0</v>
      </c>
      <c r="U19" s="112">
        <v>0.8</v>
      </c>
      <c r="V19" s="112">
        <v>0.8</v>
      </c>
      <c r="W19" s="112">
        <v>0</v>
      </c>
      <c r="X19" s="112">
        <v>0</v>
      </c>
      <c r="Y19" s="112">
        <v>0</v>
      </c>
      <c r="Z19" s="112">
        <v>0.8</v>
      </c>
      <c r="AA19" s="112">
        <v>0</v>
      </c>
      <c r="AB19" s="112">
        <v>0</v>
      </c>
      <c r="AC19" s="112">
        <v>0.8</v>
      </c>
      <c r="AD19" s="112">
        <v>0.8</v>
      </c>
      <c r="AE19" s="112">
        <v>0</v>
      </c>
      <c r="AF19" s="112">
        <v>0.8</v>
      </c>
      <c r="AG19" s="112">
        <v>0</v>
      </c>
      <c r="AH19" s="112">
        <v>0</v>
      </c>
      <c r="AI19" s="112">
        <v>0</v>
      </c>
    </row>
    <row r="20" spans="1:35" customFormat="1" x14ac:dyDescent="0.15">
      <c r="A20" s="193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0.8</v>
      </c>
      <c r="J20" s="112">
        <v>0.8</v>
      </c>
      <c r="K20" s="112">
        <v>0</v>
      </c>
      <c r="L20" s="112">
        <v>0.8</v>
      </c>
      <c r="M20" s="112">
        <v>0</v>
      </c>
      <c r="N20" s="112">
        <v>0.8</v>
      </c>
      <c r="O20" s="112">
        <v>0.8</v>
      </c>
      <c r="P20" s="112">
        <v>0</v>
      </c>
      <c r="Q20" s="112">
        <v>0.8</v>
      </c>
      <c r="R20" s="112">
        <v>0.8</v>
      </c>
      <c r="S20" s="112">
        <v>0</v>
      </c>
      <c r="T20" s="112">
        <v>0</v>
      </c>
      <c r="U20" s="112">
        <v>0</v>
      </c>
      <c r="V20" s="112">
        <v>0.8</v>
      </c>
      <c r="W20" s="112">
        <v>0</v>
      </c>
      <c r="X20" s="112">
        <v>0</v>
      </c>
      <c r="Y20" s="112">
        <v>0.8</v>
      </c>
      <c r="Z20" s="112">
        <v>0</v>
      </c>
      <c r="AA20" s="112">
        <v>0</v>
      </c>
      <c r="AB20" s="112">
        <v>0.8</v>
      </c>
      <c r="AC20" s="112">
        <v>0</v>
      </c>
      <c r="AD20" s="112">
        <v>0.8</v>
      </c>
      <c r="AE20" s="112">
        <v>0</v>
      </c>
      <c r="AF20" s="112">
        <v>0.8</v>
      </c>
      <c r="AG20" s="112">
        <v>0</v>
      </c>
      <c r="AH20" s="112">
        <v>0</v>
      </c>
      <c r="AI20" s="112">
        <v>0</v>
      </c>
    </row>
    <row r="21" spans="1:35" customFormat="1" x14ac:dyDescent="0.15">
      <c r="A21" s="193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0.8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0.8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</row>
    <row r="22" spans="1:35" customFormat="1" x14ac:dyDescent="0.15">
      <c r="A22" s="193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0.8</v>
      </c>
      <c r="M22" s="112">
        <v>0.8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0.8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</row>
    <row r="23" spans="1:35" customFormat="1" x14ac:dyDescent="0.15">
      <c r="A23" s="193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0.8</v>
      </c>
      <c r="K23" s="112">
        <v>0</v>
      </c>
      <c r="L23" s="112">
        <v>0.8</v>
      </c>
      <c r="M23" s="112">
        <v>0.8</v>
      </c>
      <c r="N23" s="112">
        <v>0.8</v>
      </c>
      <c r="O23" s="112">
        <v>0.8</v>
      </c>
      <c r="P23" s="112">
        <v>0</v>
      </c>
      <c r="Q23" s="112">
        <v>0</v>
      </c>
      <c r="R23" s="112">
        <v>0.8</v>
      </c>
      <c r="S23" s="112">
        <v>0</v>
      </c>
      <c r="T23" s="112">
        <v>0</v>
      </c>
      <c r="U23" s="112">
        <v>0.8</v>
      </c>
      <c r="V23" s="112">
        <v>0.8</v>
      </c>
      <c r="W23" s="112">
        <v>0</v>
      </c>
      <c r="X23" s="112">
        <v>0</v>
      </c>
      <c r="Y23" s="112">
        <v>0.8</v>
      </c>
      <c r="Z23" s="112">
        <v>0.8</v>
      </c>
      <c r="AA23" s="112">
        <v>0</v>
      </c>
      <c r="AB23" s="112">
        <v>0.8</v>
      </c>
      <c r="AC23" s="112">
        <v>0.8</v>
      </c>
      <c r="AD23" s="112">
        <v>0.8</v>
      </c>
      <c r="AE23" s="112">
        <v>0.8</v>
      </c>
      <c r="AF23" s="112">
        <v>0.8</v>
      </c>
      <c r="AG23" s="112">
        <v>0</v>
      </c>
      <c r="AH23" s="112">
        <v>0</v>
      </c>
      <c r="AI23" s="112">
        <v>0</v>
      </c>
    </row>
    <row r="24" spans="1:35" customFormat="1" x14ac:dyDescent="0.15">
      <c r="A24" s="193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0.8</v>
      </c>
      <c r="K24" s="112">
        <v>0</v>
      </c>
      <c r="L24" s="112">
        <v>0.8</v>
      </c>
      <c r="M24" s="112">
        <v>0.8</v>
      </c>
      <c r="N24" s="112">
        <v>0.8</v>
      </c>
      <c r="O24" s="112">
        <v>0.8</v>
      </c>
      <c r="P24" s="112">
        <v>0</v>
      </c>
      <c r="Q24" s="112">
        <v>0.8</v>
      </c>
      <c r="R24" s="112">
        <v>0.8</v>
      </c>
      <c r="S24" s="112">
        <v>0</v>
      </c>
      <c r="T24" s="112">
        <v>0</v>
      </c>
      <c r="U24" s="112">
        <v>0.8</v>
      </c>
      <c r="V24" s="112">
        <v>0.8</v>
      </c>
      <c r="W24" s="112">
        <v>0</v>
      </c>
      <c r="X24" s="112">
        <v>0</v>
      </c>
      <c r="Y24" s="112">
        <v>0.8</v>
      </c>
      <c r="Z24" s="112">
        <v>0.8</v>
      </c>
      <c r="AA24" s="112">
        <v>0</v>
      </c>
      <c r="AB24" s="112">
        <v>0.8</v>
      </c>
      <c r="AC24" s="112">
        <v>0.8</v>
      </c>
      <c r="AD24" s="112">
        <v>0.8</v>
      </c>
      <c r="AE24" s="112">
        <v>0.8</v>
      </c>
      <c r="AF24" s="112">
        <v>0.8</v>
      </c>
      <c r="AG24" s="112">
        <v>0</v>
      </c>
      <c r="AH24" s="112">
        <v>0</v>
      </c>
      <c r="AI24" s="112">
        <v>0</v>
      </c>
    </row>
    <row r="25" spans="1:35" customFormat="1" x14ac:dyDescent="0.15">
      <c r="A25" s="193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0.8</v>
      </c>
      <c r="K25" s="112">
        <v>0</v>
      </c>
      <c r="L25" s="112">
        <v>0.8</v>
      </c>
      <c r="M25" s="112">
        <v>0.8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0.8</v>
      </c>
      <c r="V25" s="112">
        <v>0.8</v>
      </c>
      <c r="W25" s="112">
        <v>0</v>
      </c>
      <c r="X25" s="112">
        <v>0</v>
      </c>
      <c r="Y25" s="112">
        <v>0</v>
      </c>
      <c r="Z25" s="112">
        <v>0.8</v>
      </c>
      <c r="AA25" s="112">
        <v>0</v>
      </c>
      <c r="AB25" s="112">
        <v>0.8</v>
      </c>
      <c r="AC25" s="112">
        <v>0.8</v>
      </c>
      <c r="AD25" s="112">
        <v>0.8</v>
      </c>
      <c r="AE25" s="112">
        <v>0</v>
      </c>
      <c r="AF25" s="112">
        <v>0.8</v>
      </c>
      <c r="AG25" s="112">
        <v>0</v>
      </c>
      <c r="AH25" s="112">
        <v>0</v>
      </c>
      <c r="AI25" s="112">
        <v>0</v>
      </c>
    </row>
    <row r="26" spans="1:35" customFormat="1" x14ac:dyDescent="0.15">
      <c r="A26" s="193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0.8</v>
      </c>
      <c r="K26" s="112">
        <v>0</v>
      </c>
      <c r="L26" s="112">
        <v>0.8</v>
      </c>
      <c r="M26" s="112">
        <v>0.8</v>
      </c>
      <c r="N26" s="112">
        <v>0</v>
      </c>
      <c r="O26" s="112">
        <v>0</v>
      </c>
      <c r="P26" s="112">
        <v>0</v>
      </c>
      <c r="Q26" s="112">
        <v>0.8</v>
      </c>
      <c r="R26" s="112">
        <v>0.8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0.8</v>
      </c>
      <c r="AC26" s="112">
        <v>0.8</v>
      </c>
      <c r="AD26" s="112">
        <v>0</v>
      </c>
      <c r="AE26" s="112">
        <v>0</v>
      </c>
      <c r="AF26" s="112">
        <v>0.8</v>
      </c>
      <c r="AG26" s="112">
        <v>0</v>
      </c>
      <c r="AH26" s="112">
        <v>0</v>
      </c>
      <c r="AI26" s="112">
        <v>0</v>
      </c>
    </row>
    <row r="27" spans="1:35" customFormat="1" x14ac:dyDescent="0.15">
      <c r="A27" s="193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0.8</v>
      </c>
      <c r="K27" s="112">
        <v>0</v>
      </c>
      <c r="L27" s="112">
        <v>0</v>
      </c>
      <c r="M27" s="112">
        <v>0</v>
      </c>
      <c r="N27" s="112">
        <v>0</v>
      </c>
      <c r="O27" s="112">
        <v>0.8</v>
      </c>
      <c r="P27" s="112">
        <v>0</v>
      </c>
      <c r="Q27" s="112">
        <v>0.8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0.8</v>
      </c>
      <c r="Z27" s="112">
        <v>0.8</v>
      </c>
      <c r="AA27" s="112">
        <v>0</v>
      </c>
      <c r="AB27" s="112">
        <v>0.8</v>
      </c>
      <c r="AC27" s="112">
        <v>0.8</v>
      </c>
      <c r="AD27" s="112">
        <v>0</v>
      </c>
      <c r="AE27" s="112">
        <v>0.8</v>
      </c>
      <c r="AF27" s="112">
        <v>0.8</v>
      </c>
      <c r="AG27" s="112">
        <v>0</v>
      </c>
      <c r="AH27" s="112">
        <v>0</v>
      </c>
      <c r="AI27" s="112">
        <v>0</v>
      </c>
    </row>
    <row r="28" spans="1:35" customFormat="1" x14ac:dyDescent="0.15">
      <c r="A28" s="193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0.8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</row>
    <row r="29" spans="1:35" customFormat="1" x14ac:dyDescent="0.15">
      <c r="A29" s="193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</row>
    <row r="30" spans="1:35" customFormat="1" x14ac:dyDescent="0.15">
      <c r="A30" s="193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</row>
    <row r="31" spans="1:35" customFormat="1" x14ac:dyDescent="0.15">
      <c r="A31" s="193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</row>
    <row r="32" spans="1:35" customFormat="1" x14ac:dyDescent="0.15">
      <c r="A32" s="193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</row>
    <row r="33" spans="1:35" x14ac:dyDescent="0.15">
      <c r="A33" s="193" t="s">
        <v>224</v>
      </c>
      <c r="B33" s="112">
        <v>0</v>
      </c>
      <c r="C33" s="112">
        <v>0</v>
      </c>
      <c r="D33" s="112">
        <v>0.8</v>
      </c>
      <c r="E33" s="112">
        <v>0</v>
      </c>
      <c r="F33" s="112">
        <v>0.8</v>
      </c>
      <c r="G33" s="112">
        <v>0.8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0.8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0.8</v>
      </c>
      <c r="V33" s="112">
        <v>0.8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0.8</v>
      </c>
      <c r="AE33" s="112">
        <v>0.8</v>
      </c>
      <c r="AF33" s="112">
        <v>0</v>
      </c>
      <c r="AG33" s="112">
        <v>0</v>
      </c>
      <c r="AH33" s="112">
        <v>0</v>
      </c>
      <c r="AI33" s="112">
        <v>0</v>
      </c>
    </row>
    <row r="34" spans="1:35" x14ac:dyDescent="0.15">
      <c r="A34" s="193" t="s">
        <v>225</v>
      </c>
      <c r="B34" s="112">
        <v>0</v>
      </c>
      <c r="C34" s="112">
        <v>0.8</v>
      </c>
      <c r="D34" s="112">
        <v>0.8</v>
      </c>
      <c r="E34" s="112">
        <v>0.8</v>
      </c>
      <c r="F34" s="112">
        <v>0.8</v>
      </c>
      <c r="G34" s="112">
        <v>0.8</v>
      </c>
      <c r="H34" s="112">
        <v>0.8</v>
      </c>
      <c r="I34" s="112">
        <v>0</v>
      </c>
      <c r="J34" s="112">
        <v>0</v>
      </c>
      <c r="K34" s="112">
        <v>0.8</v>
      </c>
      <c r="L34" s="112">
        <v>0</v>
      </c>
      <c r="M34" s="112">
        <v>0.8</v>
      </c>
      <c r="N34" s="112">
        <v>0.8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0.8</v>
      </c>
      <c r="AB34" s="112">
        <v>0</v>
      </c>
      <c r="AC34" s="112">
        <v>0</v>
      </c>
      <c r="AD34" s="112">
        <v>0</v>
      </c>
      <c r="AE34" s="112">
        <v>0.8</v>
      </c>
      <c r="AF34" s="112">
        <v>0</v>
      </c>
      <c r="AG34" s="112">
        <v>0</v>
      </c>
      <c r="AH34" s="112">
        <v>0</v>
      </c>
      <c r="AI34" s="112">
        <v>0</v>
      </c>
    </row>
    <row r="35" spans="1:35" x14ac:dyDescent="0.15">
      <c r="A35" s="193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</row>
    <row r="36" spans="1:35" x14ac:dyDescent="0.15">
      <c r="A36" s="193" t="s">
        <v>231</v>
      </c>
      <c r="B36" s="112">
        <v>0</v>
      </c>
      <c r="C36" s="112">
        <v>0</v>
      </c>
      <c r="D36" s="112">
        <v>0</v>
      </c>
      <c r="E36" s="112">
        <v>0.8</v>
      </c>
      <c r="F36" s="112">
        <v>0.8</v>
      </c>
      <c r="G36" s="112">
        <v>0.8</v>
      </c>
      <c r="H36" s="112">
        <v>0.8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0.8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0.8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3.33203125" style="112" bestFit="1" customWidth="1"/>
    <col min="2" max="35" width="2.33203125" style="112" customWidth="1"/>
    <col min="36" max="16384" width="10.83203125" style="112"/>
  </cols>
  <sheetData>
    <row r="1" spans="1:35" x14ac:dyDescent="0.15">
      <c r="A1" s="63" t="s">
        <v>139</v>
      </c>
      <c r="B1" s="196" t="s">
        <v>193</v>
      </c>
      <c r="C1" s="196" t="s">
        <v>194</v>
      </c>
      <c r="D1" s="196" t="s">
        <v>195</v>
      </c>
      <c r="E1" s="196" t="s">
        <v>196</v>
      </c>
      <c r="F1" s="196" t="s">
        <v>197</v>
      </c>
      <c r="G1" s="196" t="s">
        <v>198</v>
      </c>
      <c r="H1" s="196" t="s">
        <v>199</v>
      </c>
      <c r="I1" s="196" t="s">
        <v>200</v>
      </c>
      <c r="J1" s="196" t="s">
        <v>201</v>
      </c>
      <c r="K1" s="196" t="s">
        <v>202</v>
      </c>
      <c r="L1" s="196" t="s">
        <v>203</v>
      </c>
      <c r="M1" s="196" t="s">
        <v>204</v>
      </c>
      <c r="N1" s="196" t="s">
        <v>205</v>
      </c>
      <c r="O1" s="196" t="s">
        <v>206</v>
      </c>
      <c r="P1" s="196" t="s">
        <v>207</v>
      </c>
      <c r="Q1" s="196" t="s">
        <v>208</v>
      </c>
      <c r="R1" s="196" t="s">
        <v>209</v>
      </c>
      <c r="S1" s="196" t="s">
        <v>210</v>
      </c>
      <c r="T1" s="196" t="s">
        <v>211</v>
      </c>
      <c r="U1" s="196" t="s">
        <v>212</v>
      </c>
      <c r="V1" s="196" t="s">
        <v>213</v>
      </c>
      <c r="W1" s="196" t="s">
        <v>214</v>
      </c>
      <c r="X1" s="196" t="s">
        <v>215</v>
      </c>
      <c r="Y1" s="196" t="s">
        <v>216</v>
      </c>
      <c r="Z1" s="196" t="s">
        <v>217</v>
      </c>
      <c r="AA1" s="196" t="s">
        <v>218</v>
      </c>
      <c r="AB1" s="196" t="s">
        <v>219</v>
      </c>
      <c r="AC1" s="196" t="s">
        <v>220</v>
      </c>
      <c r="AD1" s="196" t="s">
        <v>221</v>
      </c>
      <c r="AE1" s="196" t="s">
        <v>222</v>
      </c>
      <c r="AF1" s="196" t="s">
        <v>223</v>
      </c>
      <c r="AG1" s="196" t="s">
        <v>224</v>
      </c>
      <c r="AH1" s="196" t="s">
        <v>225</v>
      </c>
      <c r="AI1" s="196" t="s">
        <v>226</v>
      </c>
    </row>
    <row r="2" spans="1:35" customFormat="1" x14ac:dyDescent="0.15">
      <c r="A2" s="195" t="s">
        <v>193</v>
      </c>
      <c r="B2" s="112">
        <v>0</v>
      </c>
      <c r="C2" s="112">
        <v>1</v>
      </c>
      <c r="D2" s="112">
        <v>1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1</v>
      </c>
      <c r="R2" s="112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1</v>
      </c>
      <c r="Y2" s="112">
        <v>0</v>
      </c>
      <c r="Z2" s="112">
        <v>0</v>
      </c>
      <c r="AA2" s="112">
        <v>1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</row>
    <row r="3" spans="1:35" customFormat="1" x14ac:dyDescent="0.15">
      <c r="A3" s="195" t="s">
        <v>194</v>
      </c>
      <c r="B3" s="112">
        <v>0</v>
      </c>
      <c r="C3" s="112">
        <v>1</v>
      </c>
      <c r="D3" s="112">
        <v>1</v>
      </c>
      <c r="E3" s="112">
        <v>0</v>
      </c>
      <c r="F3" s="112">
        <v>1</v>
      </c>
      <c r="G3" s="112">
        <v>1</v>
      </c>
      <c r="H3" s="112">
        <v>0</v>
      </c>
      <c r="I3" s="112">
        <v>1</v>
      </c>
      <c r="J3" s="112">
        <v>1</v>
      </c>
      <c r="K3" s="112">
        <v>1</v>
      </c>
      <c r="L3" s="112">
        <v>1</v>
      </c>
      <c r="M3" s="112">
        <v>1</v>
      </c>
      <c r="N3" s="112">
        <v>1</v>
      </c>
      <c r="O3" s="112">
        <v>1</v>
      </c>
      <c r="P3" s="112">
        <v>1</v>
      </c>
      <c r="Q3" s="112">
        <v>1</v>
      </c>
      <c r="R3" s="112">
        <v>1</v>
      </c>
      <c r="S3" s="112">
        <v>1</v>
      </c>
      <c r="T3" s="112">
        <v>1</v>
      </c>
      <c r="U3" s="112">
        <v>1</v>
      </c>
      <c r="V3" s="112">
        <v>1</v>
      </c>
      <c r="W3" s="112">
        <v>1</v>
      </c>
      <c r="X3" s="112">
        <v>1</v>
      </c>
      <c r="Y3" s="112">
        <v>1</v>
      </c>
      <c r="Z3" s="112">
        <v>1</v>
      </c>
      <c r="AA3" s="112">
        <v>1</v>
      </c>
      <c r="AB3" s="112">
        <v>1</v>
      </c>
      <c r="AC3" s="112">
        <v>1</v>
      </c>
      <c r="AD3" s="112">
        <v>1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</row>
    <row r="4" spans="1:35" customFormat="1" x14ac:dyDescent="0.15">
      <c r="A4" s="195" t="s">
        <v>195</v>
      </c>
      <c r="B4" s="112">
        <v>0</v>
      </c>
      <c r="C4" s="112">
        <v>0</v>
      </c>
      <c r="D4" s="112">
        <v>1</v>
      </c>
      <c r="E4" s="112">
        <v>0</v>
      </c>
      <c r="F4" s="112">
        <v>1</v>
      </c>
      <c r="G4" s="112">
        <v>1</v>
      </c>
      <c r="H4" s="112">
        <v>0</v>
      </c>
      <c r="I4" s="112">
        <v>1</v>
      </c>
      <c r="J4" s="112">
        <v>1</v>
      </c>
      <c r="K4" s="112">
        <v>1</v>
      </c>
      <c r="L4" s="112">
        <v>1</v>
      </c>
      <c r="M4" s="112">
        <v>1</v>
      </c>
      <c r="N4" s="112">
        <v>1</v>
      </c>
      <c r="O4" s="112">
        <v>1</v>
      </c>
      <c r="P4" s="112">
        <v>1</v>
      </c>
      <c r="Q4" s="112">
        <v>1</v>
      </c>
      <c r="R4" s="112">
        <v>1</v>
      </c>
      <c r="S4" s="112">
        <v>1</v>
      </c>
      <c r="T4" s="112">
        <v>1</v>
      </c>
      <c r="U4" s="112">
        <v>0</v>
      </c>
      <c r="V4" s="112">
        <v>1</v>
      </c>
      <c r="W4" s="112">
        <v>0</v>
      </c>
      <c r="X4" s="112">
        <v>1</v>
      </c>
      <c r="Y4" s="112">
        <v>1</v>
      </c>
      <c r="Z4" s="112">
        <v>1</v>
      </c>
      <c r="AA4" s="112">
        <v>1</v>
      </c>
      <c r="AB4" s="112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</row>
    <row r="5" spans="1:35" customFormat="1" x14ac:dyDescent="0.15">
      <c r="A5" s="195" t="s">
        <v>196</v>
      </c>
      <c r="B5" s="112">
        <v>0</v>
      </c>
      <c r="C5" s="112">
        <v>0</v>
      </c>
      <c r="D5" s="112">
        <v>1</v>
      </c>
      <c r="E5" s="112">
        <v>1</v>
      </c>
      <c r="F5" s="112">
        <v>1</v>
      </c>
      <c r="G5" s="112">
        <v>1</v>
      </c>
      <c r="H5" s="112">
        <v>1</v>
      </c>
      <c r="I5" s="112">
        <v>1</v>
      </c>
      <c r="J5" s="112">
        <v>1</v>
      </c>
      <c r="K5" s="112">
        <v>1</v>
      </c>
      <c r="L5" s="112">
        <v>1</v>
      </c>
      <c r="M5" s="112">
        <v>1</v>
      </c>
      <c r="N5" s="112">
        <v>0</v>
      </c>
      <c r="O5" s="112">
        <v>0</v>
      </c>
      <c r="P5" s="112">
        <v>1</v>
      </c>
      <c r="Q5" s="112">
        <v>1</v>
      </c>
      <c r="R5" s="112">
        <v>1</v>
      </c>
      <c r="S5" s="112">
        <v>1</v>
      </c>
      <c r="T5" s="112">
        <v>1</v>
      </c>
      <c r="U5" s="112">
        <v>1</v>
      </c>
      <c r="V5" s="112">
        <v>1</v>
      </c>
      <c r="W5" s="112">
        <v>0</v>
      </c>
      <c r="X5" s="112">
        <v>0</v>
      </c>
      <c r="Y5" s="112">
        <v>1</v>
      </c>
      <c r="Z5" s="112">
        <v>0</v>
      </c>
      <c r="AA5" s="112">
        <v>0</v>
      </c>
      <c r="AB5" s="112">
        <v>1</v>
      </c>
      <c r="AC5" s="112">
        <v>0</v>
      </c>
      <c r="AD5" s="112">
        <v>1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</row>
    <row r="6" spans="1:35" customFormat="1" x14ac:dyDescent="0.15">
      <c r="A6" s="195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1</v>
      </c>
      <c r="G6" s="112">
        <v>1</v>
      </c>
      <c r="H6" s="112">
        <v>0</v>
      </c>
      <c r="I6" s="112">
        <v>1</v>
      </c>
      <c r="J6" s="112">
        <v>1</v>
      </c>
      <c r="K6" s="112">
        <v>1</v>
      </c>
      <c r="L6" s="112">
        <v>1</v>
      </c>
      <c r="M6" s="112">
        <v>1</v>
      </c>
      <c r="N6" s="112">
        <v>1</v>
      </c>
      <c r="O6" s="112">
        <v>1</v>
      </c>
      <c r="P6" s="112">
        <v>1</v>
      </c>
      <c r="Q6" s="112">
        <v>1</v>
      </c>
      <c r="R6" s="112">
        <v>1</v>
      </c>
      <c r="S6" s="112">
        <v>1</v>
      </c>
      <c r="T6" s="112">
        <v>1</v>
      </c>
      <c r="U6" s="112">
        <v>1</v>
      </c>
      <c r="V6" s="112">
        <v>1</v>
      </c>
      <c r="W6" s="112">
        <v>0</v>
      </c>
      <c r="X6" s="112">
        <v>0</v>
      </c>
      <c r="Y6" s="112">
        <v>1</v>
      </c>
      <c r="Z6" s="112">
        <v>1</v>
      </c>
      <c r="AA6" s="112">
        <v>0</v>
      </c>
      <c r="AB6" s="112">
        <v>1</v>
      </c>
      <c r="AC6" s="112">
        <v>1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</row>
    <row r="7" spans="1:35" customFormat="1" x14ac:dyDescent="0.15">
      <c r="A7" s="195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1</v>
      </c>
      <c r="G7" s="112">
        <v>1</v>
      </c>
      <c r="H7" s="112">
        <v>0</v>
      </c>
      <c r="I7" s="112">
        <v>1</v>
      </c>
      <c r="J7" s="112">
        <v>1</v>
      </c>
      <c r="K7" s="112">
        <v>1</v>
      </c>
      <c r="L7" s="112">
        <v>0</v>
      </c>
      <c r="M7" s="112">
        <v>1</v>
      </c>
      <c r="N7" s="112">
        <v>1</v>
      </c>
      <c r="O7" s="112">
        <v>0</v>
      </c>
      <c r="P7" s="112">
        <v>0</v>
      </c>
      <c r="Q7" s="112">
        <v>1</v>
      </c>
      <c r="R7" s="112">
        <v>1</v>
      </c>
      <c r="S7" s="112">
        <v>1</v>
      </c>
      <c r="T7" s="112">
        <v>0</v>
      </c>
      <c r="U7" s="112">
        <v>1</v>
      </c>
      <c r="V7" s="112">
        <v>1</v>
      </c>
      <c r="W7" s="112">
        <v>0</v>
      </c>
      <c r="X7" s="112">
        <v>0</v>
      </c>
      <c r="Y7" s="112">
        <v>1</v>
      </c>
      <c r="Z7" s="112">
        <v>0</v>
      </c>
      <c r="AA7" s="112">
        <v>0</v>
      </c>
      <c r="AB7" s="112">
        <v>0</v>
      </c>
      <c r="AC7" s="112">
        <v>0</v>
      </c>
      <c r="AD7" s="112">
        <v>1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</row>
    <row r="8" spans="1:35" customFormat="1" x14ac:dyDescent="0.15">
      <c r="A8" s="195" t="s">
        <v>199</v>
      </c>
      <c r="B8" s="112">
        <v>0</v>
      </c>
      <c r="C8" s="112">
        <v>0</v>
      </c>
      <c r="D8" s="112">
        <v>1</v>
      </c>
      <c r="E8" s="112">
        <v>1</v>
      </c>
      <c r="F8" s="112">
        <v>1</v>
      </c>
      <c r="G8" s="112">
        <v>1</v>
      </c>
      <c r="H8" s="112">
        <v>1</v>
      </c>
      <c r="I8" s="112">
        <v>1</v>
      </c>
      <c r="J8" s="112">
        <v>1</v>
      </c>
      <c r="K8" s="112">
        <v>1</v>
      </c>
      <c r="L8" s="112">
        <v>1</v>
      </c>
      <c r="M8" s="112">
        <v>1</v>
      </c>
      <c r="N8" s="112">
        <v>1</v>
      </c>
      <c r="O8" s="112">
        <v>1</v>
      </c>
      <c r="P8" s="112">
        <v>1</v>
      </c>
      <c r="Q8" s="112">
        <v>1</v>
      </c>
      <c r="R8" s="112">
        <v>1</v>
      </c>
      <c r="S8" s="112">
        <v>1</v>
      </c>
      <c r="T8" s="112">
        <v>0</v>
      </c>
      <c r="U8" s="112">
        <v>1</v>
      </c>
      <c r="V8" s="112">
        <v>1</v>
      </c>
      <c r="W8" s="112">
        <v>0</v>
      </c>
      <c r="X8" s="112">
        <v>0</v>
      </c>
      <c r="Y8" s="112">
        <v>1</v>
      </c>
      <c r="Z8" s="112">
        <v>1</v>
      </c>
      <c r="AA8" s="112">
        <v>1</v>
      </c>
      <c r="AB8" s="112">
        <v>0</v>
      </c>
      <c r="AC8" s="112">
        <v>1</v>
      </c>
      <c r="AD8" s="112">
        <v>1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</row>
    <row r="9" spans="1:35" customFormat="1" x14ac:dyDescent="0.15">
      <c r="A9" s="195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1</v>
      </c>
      <c r="G9" s="112">
        <v>0</v>
      </c>
      <c r="H9" s="112">
        <v>0</v>
      </c>
      <c r="I9" s="112">
        <v>1</v>
      </c>
      <c r="J9" s="112">
        <v>1</v>
      </c>
      <c r="K9" s="112">
        <v>0</v>
      </c>
      <c r="L9" s="112">
        <v>1</v>
      </c>
      <c r="M9" s="112">
        <v>1</v>
      </c>
      <c r="N9" s="112">
        <v>1</v>
      </c>
      <c r="O9" s="112">
        <v>1</v>
      </c>
      <c r="P9" s="112">
        <v>0</v>
      </c>
      <c r="Q9" s="112">
        <v>1</v>
      </c>
      <c r="R9" s="112">
        <v>1</v>
      </c>
      <c r="S9" s="112">
        <v>0</v>
      </c>
      <c r="T9" s="112">
        <v>0</v>
      </c>
      <c r="U9" s="112">
        <v>1</v>
      </c>
      <c r="V9" s="112">
        <v>1</v>
      </c>
      <c r="W9" s="112">
        <v>0</v>
      </c>
      <c r="X9" s="112">
        <v>0</v>
      </c>
      <c r="Y9" s="112">
        <v>1</v>
      </c>
      <c r="Z9" s="112">
        <v>0</v>
      </c>
      <c r="AA9" s="112">
        <v>0</v>
      </c>
      <c r="AB9" s="112">
        <v>1</v>
      </c>
      <c r="AC9" s="112">
        <v>0</v>
      </c>
      <c r="AD9" s="112">
        <v>1</v>
      </c>
      <c r="AE9" s="112">
        <v>0</v>
      </c>
      <c r="AF9" s="112">
        <v>1</v>
      </c>
      <c r="AG9" s="112">
        <v>0</v>
      </c>
      <c r="AH9" s="112">
        <v>0</v>
      </c>
      <c r="AI9" s="112">
        <v>0</v>
      </c>
    </row>
    <row r="10" spans="1:35" customFormat="1" x14ac:dyDescent="0.15">
      <c r="A10" s="195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1</v>
      </c>
      <c r="K10" s="112">
        <v>0</v>
      </c>
      <c r="L10" s="112">
        <v>0</v>
      </c>
      <c r="M10" s="112">
        <v>0</v>
      </c>
      <c r="N10" s="112">
        <v>0</v>
      </c>
      <c r="O10" s="112">
        <v>1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1</v>
      </c>
      <c r="V10" s="112">
        <v>1</v>
      </c>
      <c r="W10" s="112">
        <v>0</v>
      </c>
      <c r="X10" s="112">
        <v>0</v>
      </c>
      <c r="Y10" s="112">
        <v>1</v>
      </c>
      <c r="Z10" s="112">
        <v>1</v>
      </c>
      <c r="AA10" s="112">
        <v>0</v>
      </c>
      <c r="AB10" s="112">
        <v>1</v>
      </c>
      <c r="AC10" s="112">
        <v>1</v>
      </c>
      <c r="AD10" s="112">
        <v>1</v>
      </c>
      <c r="AE10" s="112">
        <v>0</v>
      </c>
      <c r="AF10" s="112">
        <v>1</v>
      </c>
      <c r="AG10" s="112">
        <v>0</v>
      </c>
      <c r="AH10" s="112">
        <v>0</v>
      </c>
      <c r="AI10" s="112">
        <v>0</v>
      </c>
    </row>
    <row r="11" spans="1:35" customFormat="1" x14ac:dyDescent="0.15">
      <c r="A11" s="195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1</v>
      </c>
      <c r="K11" s="112">
        <v>0</v>
      </c>
      <c r="L11" s="112">
        <v>1</v>
      </c>
      <c r="M11" s="112">
        <v>0</v>
      </c>
      <c r="N11" s="112">
        <v>1</v>
      </c>
      <c r="O11" s="112">
        <v>0</v>
      </c>
      <c r="P11" s="112">
        <v>0</v>
      </c>
      <c r="Q11" s="112">
        <v>1</v>
      </c>
      <c r="R11" s="112">
        <v>0</v>
      </c>
      <c r="S11" s="112">
        <v>0</v>
      </c>
      <c r="T11" s="112">
        <v>0</v>
      </c>
      <c r="U11" s="112">
        <v>0</v>
      </c>
      <c r="V11" s="112">
        <v>1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1</v>
      </c>
      <c r="AC11" s="112">
        <v>0</v>
      </c>
      <c r="AD11" s="112">
        <v>1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</row>
    <row r="12" spans="1:35" customFormat="1" x14ac:dyDescent="0.15">
      <c r="A12" s="195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1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1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</row>
    <row r="13" spans="1:35" customFormat="1" x14ac:dyDescent="0.15">
      <c r="A13" s="195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1</v>
      </c>
      <c r="M13" s="112">
        <v>1</v>
      </c>
      <c r="N13" s="112">
        <v>0</v>
      </c>
      <c r="O13" s="112">
        <v>1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1</v>
      </c>
      <c r="V13" s="112">
        <v>1</v>
      </c>
      <c r="W13" s="112">
        <v>0</v>
      </c>
      <c r="X13" s="112">
        <v>0</v>
      </c>
      <c r="Y13" s="112">
        <v>1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1</v>
      </c>
      <c r="AG13" s="112">
        <v>0</v>
      </c>
      <c r="AH13" s="112">
        <v>0</v>
      </c>
      <c r="AI13" s="112">
        <v>0</v>
      </c>
    </row>
    <row r="14" spans="1:35" customFormat="1" x14ac:dyDescent="0.15">
      <c r="A14" s="195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1</v>
      </c>
      <c r="K14" s="112">
        <v>0</v>
      </c>
      <c r="L14" s="112">
        <v>1</v>
      </c>
      <c r="M14" s="112">
        <v>1</v>
      </c>
      <c r="N14" s="112">
        <v>1</v>
      </c>
      <c r="O14" s="112">
        <v>1</v>
      </c>
      <c r="P14" s="112">
        <v>0</v>
      </c>
      <c r="Q14" s="112">
        <v>1</v>
      </c>
      <c r="R14" s="112">
        <v>1</v>
      </c>
      <c r="S14" s="112">
        <v>0</v>
      </c>
      <c r="T14" s="112">
        <v>0</v>
      </c>
      <c r="U14" s="112">
        <v>1</v>
      </c>
      <c r="V14" s="112">
        <v>1</v>
      </c>
      <c r="W14" s="112">
        <v>0</v>
      </c>
      <c r="X14" s="112">
        <v>0</v>
      </c>
      <c r="Y14" s="112">
        <v>1</v>
      </c>
      <c r="Z14" s="112">
        <v>1</v>
      </c>
      <c r="AA14" s="112">
        <v>0</v>
      </c>
      <c r="AB14" s="112">
        <v>1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</row>
    <row r="15" spans="1:35" customFormat="1" x14ac:dyDescent="0.15">
      <c r="A15" s="195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1</v>
      </c>
      <c r="K15" s="112">
        <v>0</v>
      </c>
      <c r="L15" s="112">
        <v>1</v>
      </c>
      <c r="M15" s="112">
        <v>0</v>
      </c>
      <c r="N15" s="112">
        <v>0</v>
      </c>
      <c r="O15" s="112">
        <v>1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1</v>
      </c>
      <c r="V15" s="112">
        <v>1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1</v>
      </c>
      <c r="AC15" s="112">
        <v>1</v>
      </c>
      <c r="AD15" s="112">
        <v>0</v>
      </c>
      <c r="AE15" s="112">
        <v>0</v>
      </c>
      <c r="AF15" s="112">
        <v>1</v>
      </c>
      <c r="AG15" s="112">
        <v>0</v>
      </c>
      <c r="AH15" s="112">
        <v>0</v>
      </c>
      <c r="AI15" s="112">
        <v>0</v>
      </c>
    </row>
    <row r="16" spans="1:35" customFormat="1" x14ac:dyDescent="0.15">
      <c r="A16" s="195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1</v>
      </c>
      <c r="H16" s="112">
        <v>0</v>
      </c>
      <c r="I16" s="112">
        <v>0</v>
      </c>
      <c r="J16" s="112">
        <v>1</v>
      </c>
      <c r="K16" s="112">
        <v>0</v>
      </c>
      <c r="L16" s="112">
        <v>0</v>
      </c>
      <c r="M16" s="112">
        <v>1</v>
      </c>
      <c r="N16" s="112">
        <v>1</v>
      </c>
      <c r="O16" s="112">
        <v>1</v>
      </c>
      <c r="P16" s="112">
        <v>0</v>
      </c>
      <c r="Q16" s="112">
        <v>1</v>
      </c>
      <c r="R16" s="112">
        <v>0</v>
      </c>
      <c r="S16" s="112">
        <v>0</v>
      </c>
      <c r="T16" s="112">
        <v>0</v>
      </c>
      <c r="U16" s="112">
        <v>1</v>
      </c>
      <c r="V16" s="112">
        <v>1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1</v>
      </c>
      <c r="AG16" s="112">
        <v>0</v>
      </c>
      <c r="AH16" s="112">
        <v>0</v>
      </c>
      <c r="AI16" s="112">
        <v>0</v>
      </c>
    </row>
    <row r="17" spans="1:35" customFormat="1" x14ac:dyDescent="0.15">
      <c r="A17" s="195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1</v>
      </c>
      <c r="J17" s="112">
        <v>0</v>
      </c>
      <c r="K17" s="112">
        <v>0</v>
      </c>
      <c r="L17" s="112">
        <v>1</v>
      </c>
      <c r="M17" s="112">
        <v>1</v>
      </c>
      <c r="N17" s="112">
        <v>0</v>
      </c>
      <c r="O17" s="112">
        <v>1</v>
      </c>
      <c r="P17" s="112">
        <v>0</v>
      </c>
      <c r="Q17" s="112">
        <v>0</v>
      </c>
      <c r="R17" s="112">
        <v>1</v>
      </c>
      <c r="S17" s="112">
        <v>0</v>
      </c>
      <c r="T17" s="112">
        <v>0</v>
      </c>
      <c r="U17" s="112">
        <v>0</v>
      </c>
      <c r="V17" s="112">
        <v>1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1</v>
      </c>
      <c r="AD17" s="112">
        <v>0</v>
      </c>
      <c r="AE17" s="112">
        <v>0</v>
      </c>
      <c r="AF17" s="112">
        <v>1</v>
      </c>
      <c r="AG17" s="112">
        <v>0</v>
      </c>
      <c r="AH17" s="112">
        <v>0</v>
      </c>
      <c r="AI17" s="112">
        <v>0</v>
      </c>
    </row>
    <row r="18" spans="1:35" customFormat="1" x14ac:dyDescent="0.15">
      <c r="A18" s="195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1</v>
      </c>
      <c r="H18" s="112">
        <v>0</v>
      </c>
      <c r="I18" s="112">
        <v>1</v>
      </c>
      <c r="J18" s="112">
        <v>0</v>
      </c>
      <c r="K18" s="112">
        <v>0</v>
      </c>
      <c r="L18" s="112">
        <v>0</v>
      </c>
      <c r="M18" s="112">
        <v>1</v>
      </c>
      <c r="N18" s="112">
        <v>1</v>
      </c>
      <c r="O18" s="112">
        <v>1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1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1</v>
      </c>
      <c r="AE18" s="112">
        <v>0</v>
      </c>
      <c r="AF18" s="112">
        <v>1</v>
      </c>
      <c r="AG18" s="112">
        <v>0</v>
      </c>
      <c r="AH18" s="112">
        <v>0</v>
      </c>
      <c r="AI18" s="112">
        <v>0</v>
      </c>
    </row>
    <row r="19" spans="1:35" customFormat="1" x14ac:dyDescent="0.15">
      <c r="A19" s="195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1</v>
      </c>
      <c r="H19" s="112">
        <v>0</v>
      </c>
      <c r="I19" s="112">
        <v>0</v>
      </c>
      <c r="J19" s="112">
        <v>1</v>
      </c>
      <c r="K19" s="112">
        <v>0</v>
      </c>
      <c r="L19" s="112">
        <v>1</v>
      </c>
      <c r="M19" s="112">
        <v>1</v>
      </c>
      <c r="N19" s="112">
        <v>1</v>
      </c>
      <c r="O19" s="112">
        <v>1</v>
      </c>
      <c r="P19" s="112">
        <v>0</v>
      </c>
      <c r="Q19" s="112">
        <v>1</v>
      </c>
      <c r="R19" s="112">
        <v>1</v>
      </c>
      <c r="S19" s="112">
        <v>0</v>
      </c>
      <c r="T19" s="112">
        <v>0</v>
      </c>
      <c r="U19" s="112">
        <v>1</v>
      </c>
      <c r="V19" s="112">
        <v>1</v>
      </c>
      <c r="W19" s="112">
        <v>0</v>
      </c>
      <c r="X19" s="112">
        <v>0</v>
      </c>
      <c r="Y19" s="112">
        <v>0</v>
      </c>
      <c r="Z19" s="112">
        <v>1</v>
      </c>
      <c r="AA19" s="112">
        <v>0</v>
      </c>
      <c r="AB19" s="112">
        <v>0</v>
      </c>
      <c r="AC19" s="112">
        <v>1</v>
      </c>
      <c r="AD19" s="112">
        <v>1</v>
      </c>
      <c r="AE19" s="112">
        <v>0</v>
      </c>
      <c r="AF19" s="112">
        <v>1</v>
      </c>
      <c r="AG19" s="112">
        <v>0</v>
      </c>
      <c r="AH19" s="112">
        <v>0</v>
      </c>
      <c r="AI19" s="112">
        <v>0</v>
      </c>
    </row>
    <row r="20" spans="1:35" customFormat="1" x14ac:dyDescent="0.15">
      <c r="A20" s="195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1</v>
      </c>
      <c r="J20" s="112">
        <v>1</v>
      </c>
      <c r="K20" s="112">
        <v>0</v>
      </c>
      <c r="L20" s="112">
        <v>1</v>
      </c>
      <c r="M20" s="112">
        <v>0</v>
      </c>
      <c r="N20" s="112">
        <v>1</v>
      </c>
      <c r="O20" s="112">
        <v>1</v>
      </c>
      <c r="P20" s="112">
        <v>0</v>
      </c>
      <c r="Q20" s="112">
        <v>1</v>
      </c>
      <c r="R20" s="112">
        <v>1</v>
      </c>
      <c r="S20" s="112">
        <v>0</v>
      </c>
      <c r="T20" s="112">
        <v>0</v>
      </c>
      <c r="U20" s="112">
        <v>0</v>
      </c>
      <c r="V20" s="112">
        <v>1</v>
      </c>
      <c r="W20" s="112">
        <v>0</v>
      </c>
      <c r="X20" s="112">
        <v>0</v>
      </c>
      <c r="Y20" s="112">
        <v>1</v>
      </c>
      <c r="Z20" s="112">
        <v>0</v>
      </c>
      <c r="AA20" s="112">
        <v>0</v>
      </c>
      <c r="AB20" s="112">
        <v>1</v>
      </c>
      <c r="AC20" s="112">
        <v>0</v>
      </c>
      <c r="AD20" s="112">
        <v>1</v>
      </c>
      <c r="AE20" s="112">
        <v>0</v>
      </c>
      <c r="AF20" s="112">
        <v>1</v>
      </c>
      <c r="AG20" s="112">
        <v>0</v>
      </c>
      <c r="AH20" s="112">
        <v>0</v>
      </c>
      <c r="AI20" s="112">
        <v>0</v>
      </c>
    </row>
    <row r="21" spans="1:35" customFormat="1" x14ac:dyDescent="0.15">
      <c r="A21" s="195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1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1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</row>
    <row r="22" spans="1:35" customFormat="1" x14ac:dyDescent="0.15">
      <c r="A22" s="195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1</v>
      </c>
      <c r="M22" s="112">
        <v>1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1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</row>
    <row r="23" spans="1:35" customFormat="1" x14ac:dyDescent="0.15">
      <c r="A23" s="195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1</v>
      </c>
      <c r="K23" s="112">
        <v>0</v>
      </c>
      <c r="L23" s="112">
        <v>1</v>
      </c>
      <c r="M23" s="112">
        <v>1</v>
      </c>
      <c r="N23" s="112">
        <v>1</v>
      </c>
      <c r="O23" s="112">
        <v>1</v>
      </c>
      <c r="P23" s="112">
        <v>0</v>
      </c>
      <c r="Q23" s="112">
        <v>0</v>
      </c>
      <c r="R23" s="112">
        <v>1</v>
      </c>
      <c r="S23" s="112">
        <v>0</v>
      </c>
      <c r="T23" s="112">
        <v>0</v>
      </c>
      <c r="U23" s="112">
        <v>1</v>
      </c>
      <c r="V23" s="112">
        <v>1</v>
      </c>
      <c r="W23" s="112">
        <v>0</v>
      </c>
      <c r="X23" s="112">
        <v>0</v>
      </c>
      <c r="Y23" s="112">
        <v>1</v>
      </c>
      <c r="Z23" s="112">
        <v>1</v>
      </c>
      <c r="AA23" s="112">
        <v>0</v>
      </c>
      <c r="AB23" s="112">
        <v>1</v>
      </c>
      <c r="AC23" s="112">
        <v>1</v>
      </c>
      <c r="AD23" s="112">
        <v>1</v>
      </c>
      <c r="AE23" s="112">
        <v>1</v>
      </c>
      <c r="AF23" s="112">
        <v>1</v>
      </c>
      <c r="AG23" s="112">
        <v>0</v>
      </c>
      <c r="AH23" s="112">
        <v>0</v>
      </c>
      <c r="AI23" s="112">
        <v>0</v>
      </c>
    </row>
    <row r="24" spans="1:35" customFormat="1" x14ac:dyDescent="0.15">
      <c r="A24" s="195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1</v>
      </c>
      <c r="K24" s="112">
        <v>0</v>
      </c>
      <c r="L24" s="112">
        <v>1</v>
      </c>
      <c r="M24" s="112">
        <v>1</v>
      </c>
      <c r="N24" s="112">
        <v>1</v>
      </c>
      <c r="O24" s="112">
        <v>1</v>
      </c>
      <c r="P24" s="112">
        <v>0</v>
      </c>
      <c r="Q24" s="112">
        <v>1</v>
      </c>
      <c r="R24" s="112">
        <v>1</v>
      </c>
      <c r="S24" s="112">
        <v>0</v>
      </c>
      <c r="T24" s="112">
        <v>0</v>
      </c>
      <c r="U24" s="112">
        <v>1</v>
      </c>
      <c r="V24" s="112">
        <v>1</v>
      </c>
      <c r="W24" s="112">
        <v>0</v>
      </c>
      <c r="X24" s="112">
        <v>0</v>
      </c>
      <c r="Y24" s="112">
        <v>1</v>
      </c>
      <c r="Z24" s="112">
        <v>1</v>
      </c>
      <c r="AA24" s="112">
        <v>0</v>
      </c>
      <c r="AB24" s="112">
        <v>1</v>
      </c>
      <c r="AC24" s="112">
        <v>1</v>
      </c>
      <c r="AD24" s="112">
        <v>1</v>
      </c>
      <c r="AE24" s="112">
        <v>1</v>
      </c>
      <c r="AF24" s="112">
        <v>1</v>
      </c>
      <c r="AG24" s="112">
        <v>0</v>
      </c>
      <c r="AH24" s="112">
        <v>0</v>
      </c>
      <c r="AI24" s="112">
        <v>0</v>
      </c>
    </row>
    <row r="25" spans="1:35" customFormat="1" x14ac:dyDescent="0.15">
      <c r="A25" s="195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1</v>
      </c>
      <c r="K25" s="112">
        <v>0</v>
      </c>
      <c r="L25" s="112">
        <v>1</v>
      </c>
      <c r="M25" s="112">
        <v>1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1</v>
      </c>
      <c r="V25" s="112">
        <v>1</v>
      </c>
      <c r="W25" s="112">
        <v>0</v>
      </c>
      <c r="X25" s="112">
        <v>0</v>
      </c>
      <c r="Y25" s="112">
        <v>0</v>
      </c>
      <c r="Z25" s="112">
        <v>1</v>
      </c>
      <c r="AA25" s="112">
        <v>0</v>
      </c>
      <c r="AB25" s="112">
        <v>1</v>
      </c>
      <c r="AC25" s="112">
        <v>1</v>
      </c>
      <c r="AD25" s="112">
        <v>1</v>
      </c>
      <c r="AE25" s="112">
        <v>0</v>
      </c>
      <c r="AF25" s="112">
        <v>1</v>
      </c>
      <c r="AG25" s="112">
        <v>0</v>
      </c>
      <c r="AH25" s="112">
        <v>0</v>
      </c>
      <c r="AI25" s="112">
        <v>0</v>
      </c>
    </row>
    <row r="26" spans="1:35" customFormat="1" x14ac:dyDescent="0.15">
      <c r="A26" s="195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1</v>
      </c>
      <c r="K26" s="112">
        <v>0</v>
      </c>
      <c r="L26" s="112">
        <v>1</v>
      </c>
      <c r="M26" s="112">
        <v>1</v>
      </c>
      <c r="N26" s="112">
        <v>0</v>
      </c>
      <c r="O26" s="112">
        <v>0</v>
      </c>
      <c r="P26" s="112">
        <v>0</v>
      </c>
      <c r="Q26" s="112">
        <v>1</v>
      </c>
      <c r="R26" s="112">
        <v>1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1</v>
      </c>
      <c r="AC26" s="112">
        <v>1</v>
      </c>
      <c r="AD26" s="112">
        <v>0</v>
      </c>
      <c r="AE26" s="112">
        <v>0</v>
      </c>
      <c r="AF26" s="112">
        <v>1</v>
      </c>
      <c r="AG26" s="112">
        <v>0</v>
      </c>
      <c r="AH26" s="112">
        <v>0</v>
      </c>
      <c r="AI26" s="112">
        <v>0</v>
      </c>
    </row>
    <row r="27" spans="1:35" customFormat="1" x14ac:dyDescent="0.15">
      <c r="A27" s="195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1</v>
      </c>
      <c r="K27" s="112">
        <v>0</v>
      </c>
      <c r="L27" s="112">
        <v>0</v>
      </c>
      <c r="M27" s="112">
        <v>0</v>
      </c>
      <c r="N27" s="112">
        <v>0</v>
      </c>
      <c r="O27" s="112">
        <v>1</v>
      </c>
      <c r="P27" s="112">
        <v>0</v>
      </c>
      <c r="Q27" s="112">
        <v>1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1</v>
      </c>
      <c r="Z27" s="112">
        <v>1</v>
      </c>
      <c r="AA27" s="112">
        <v>0</v>
      </c>
      <c r="AB27" s="112">
        <v>1</v>
      </c>
      <c r="AC27" s="112">
        <v>1</v>
      </c>
      <c r="AD27" s="112">
        <v>0</v>
      </c>
      <c r="AE27" s="112">
        <v>1</v>
      </c>
      <c r="AF27" s="112">
        <v>1</v>
      </c>
      <c r="AG27" s="112">
        <v>0</v>
      </c>
      <c r="AH27" s="112">
        <v>0</v>
      </c>
      <c r="AI27" s="112">
        <v>0</v>
      </c>
    </row>
    <row r="28" spans="1:35" customFormat="1" x14ac:dyDescent="0.15">
      <c r="A28" s="195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1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</row>
    <row r="29" spans="1:35" customFormat="1" x14ac:dyDescent="0.15">
      <c r="A29" s="195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</row>
    <row r="30" spans="1:35" customFormat="1" x14ac:dyDescent="0.15">
      <c r="A30" s="195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</row>
    <row r="31" spans="1:35" customFormat="1" x14ac:dyDescent="0.15">
      <c r="A31" s="195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</row>
    <row r="32" spans="1:35" x14ac:dyDescent="0.15">
      <c r="A32" s="195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</row>
    <row r="33" spans="1:35" x14ac:dyDescent="0.15">
      <c r="A33" s="195" t="s">
        <v>224</v>
      </c>
      <c r="B33" s="112">
        <v>0</v>
      </c>
      <c r="C33" s="112">
        <v>0</v>
      </c>
      <c r="D33" s="112">
        <v>1</v>
      </c>
      <c r="E33" s="112">
        <v>0</v>
      </c>
      <c r="F33" s="112">
        <v>1</v>
      </c>
      <c r="G33" s="112">
        <v>1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1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1</v>
      </c>
      <c r="V33" s="112">
        <v>1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1</v>
      </c>
      <c r="AE33" s="112">
        <v>1</v>
      </c>
      <c r="AF33" s="112">
        <v>0</v>
      </c>
      <c r="AG33" s="112">
        <v>0</v>
      </c>
      <c r="AH33" s="112">
        <v>0</v>
      </c>
      <c r="AI33" s="112">
        <v>0</v>
      </c>
    </row>
    <row r="34" spans="1:35" x14ac:dyDescent="0.15">
      <c r="A34" s="195" t="s">
        <v>225</v>
      </c>
      <c r="B34" s="112">
        <v>0</v>
      </c>
      <c r="C34" s="112">
        <v>1</v>
      </c>
      <c r="D34" s="112">
        <v>1</v>
      </c>
      <c r="E34" s="112">
        <v>1</v>
      </c>
      <c r="F34" s="112">
        <v>1</v>
      </c>
      <c r="G34" s="112">
        <v>1</v>
      </c>
      <c r="H34" s="112">
        <v>1</v>
      </c>
      <c r="I34" s="112">
        <v>0</v>
      </c>
      <c r="J34" s="112">
        <v>0</v>
      </c>
      <c r="K34" s="112">
        <v>1</v>
      </c>
      <c r="L34" s="112">
        <v>0</v>
      </c>
      <c r="M34" s="112">
        <v>1</v>
      </c>
      <c r="N34" s="112">
        <v>1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1</v>
      </c>
      <c r="AB34" s="112">
        <v>0</v>
      </c>
      <c r="AC34" s="112">
        <v>0</v>
      </c>
      <c r="AD34" s="112">
        <v>0</v>
      </c>
      <c r="AE34" s="112">
        <v>1</v>
      </c>
      <c r="AF34" s="112">
        <v>0</v>
      </c>
      <c r="AG34" s="112">
        <v>0</v>
      </c>
      <c r="AH34" s="112">
        <v>0</v>
      </c>
      <c r="AI34" s="112">
        <v>0</v>
      </c>
    </row>
    <row r="35" spans="1:35" x14ac:dyDescent="0.15">
      <c r="A35" s="195" t="s">
        <v>226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</row>
    <row r="36" spans="1:35" x14ac:dyDescent="0.15">
      <c r="A36" s="195" t="s">
        <v>231</v>
      </c>
      <c r="B36" s="112">
        <v>0</v>
      </c>
      <c r="C36" s="112">
        <v>0</v>
      </c>
      <c r="D36" s="112">
        <v>0</v>
      </c>
      <c r="E36" s="112">
        <v>1</v>
      </c>
      <c r="F36" s="112">
        <v>1</v>
      </c>
      <c r="G36" s="112">
        <v>1</v>
      </c>
      <c r="H36" s="112">
        <v>1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1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1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98" t="s">
        <v>227</v>
      </c>
      <c r="D1" s="198" t="s">
        <v>228</v>
      </c>
      <c r="E1" s="198" t="s">
        <v>229</v>
      </c>
      <c r="F1" s="198" t="s">
        <v>230</v>
      </c>
    </row>
    <row r="2" spans="1:6" x14ac:dyDescent="0.15">
      <c r="A2">
        <v>1</v>
      </c>
      <c r="B2" s="197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7" t="s">
        <v>194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7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7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7" t="s">
        <v>197</v>
      </c>
      <c r="C6">
        <v>0.8</v>
      </c>
      <c r="D6">
        <v>0</v>
      </c>
      <c r="E6">
        <v>0</v>
      </c>
      <c r="F6">
        <v>0.8</v>
      </c>
    </row>
    <row r="7" spans="1:6" x14ac:dyDescent="0.15">
      <c r="A7">
        <v>6</v>
      </c>
      <c r="B7" s="197" t="s">
        <v>198</v>
      </c>
      <c r="C7">
        <v>0.8</v>
      </c>
      <c r="D7">
        <v>0</v>
      </c>
      <c r="E7">
        <v>0</v>
      </c>
      <c r="F7">
        <v>0.8</v>
      </c>
    </row>
    <row r="8" spans="1:6" x14ac:dyDescent="0.15">
      <c r="A8">
        <v>7</v>
      </c>
      <c r="B8" s="197" t="s">
        <v>199</v>
      </c>
      <c r="C8">
        <v>0.8</v>
      </c>
      <c r="D8">
        <v>0</v>
      </c>
      <c r="E8">
        <v>0</v>
      </c>
      <c r="F8">
        <v>0.8</v>
      </c>
    </row>
    <row r="9" spans="1:6" x14ac:dyDescent="0.15">
      <c r="A9">
        <v>8</v>
      </c>
      <c r="B9" s="197" t="s">
        <v>200</v>
      </c>
      <c r="C9">
        <v>0.8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97" t="s">
        <v>201</v>
      </c>
      <c r="C10">
        <v>0.8</v>
      </c>
      <c r="D10">
        <v>0</v>
      </c>
      <c r="E10">
        <v>0.8</v>
      </c>
      <c r="F10">
        <v>0.8</v>
      </c>
    </row>
    <row r="11" spans="1:6" x14ac:dyDescent="0.15">
      <c r="A11">
        <v>10</v>
      </c>
      <c r="B11" s="197" t="s">
        <v>202</v>
      </c>
      <c r="C11">
        <v>0.8</v>
      </c>
      <c r="D11">
        <v>0</v>
      </c>
      <c r="E11">
        <v>0</v>
      </c>
      <c r="F11">
        <v>0.8</v>
      </c>
    </row>
    <row r="12" spans="1:6" x14ac:dyDescent="0.15">
      <c r="A12">
        <v>11</v>
      </c>
      <c r="B12" s="197" t="s">
        <v>203</v>
      </c>
      <c r="C12">
        <v>0.8</v>
      </c>
      <c r="D12">
        <v>0</v>
      </c>
      <c r="E12">
        <v>0</v>
      </c>
      <c r="F12">
        <v>0.8</v>
      </c>
    </row>
    <row r="13" spans="1:6" x14ac:dyDescent="0.15">
      <c r="A13">
        <v>12</v>
      </c>
      <c r="B13" s="197" t="s">
        <v>204</v>
      </c>
      <c r="C13">
        <v>0.8</v>
      </c>
      <c r="D13">
        <v>0.8</v>
      </c>
      <c r="E13">
        <v>0</v>
      </c>
      <c r="F13">
        <v>0.8</v>
      </c>
    </row>
    <row r="14" spans="1:6" x14ac:dyDescent="0.15">
      <c r="A14">
        <v>13</v>
      </c>
      <c r="B14" s="197" t="s">
        <v>205</v>
      </c>
      <c r="C14">
        <v>0.8</v>
      </c>
      <c r="D14">
        <v>0</v>
      </c>
      <c r="E14">
        <v>0</v>
      </c>
      <c r="F14">
        <v>0.8</v>
      </c>
    </row>
    <row r="15" spans="1:6" x14ac:dyDescent="0.15">
      <c r="A15">
        <v>14</v>
      </c>
      <c r="B15" s="197" t="s">
        <v>206</v>
      </c>
      <c r="C15">
        <v>0.8</v>
      </c>
      <c r="D15">
        <v>0</v>
      </c>
      <c r="E15">
        <v>0</v>
      </c>
      <c r="F15">
        <v>0.8</v>
      </c>
    </row>
    <row r="16" spans="1:6" x14ac:dyDescent="0.15">
      <c r="A16">
        <v>15</v>
      </c>
      <c r="B16" s="197" t="s">
        <v>207</v>
      </c>
      <c r="C16">
        <v>0</v>
      </c>
      <c r="D16">
        <v>0.8</v>
      </c>
      <c r="E16">
        <v>0</v>
      </c>
      <c r="F16">
        <v>0.8</v>
      </c>
    </row>
    <row r="17" spans="1:6" x14ac:dyDescent="0.15">
      <c r="A17">
        <v>16</v>
      </c>
      <c r="B17" s="197" t="s">
        <v>208</v>
      </c>
      <c r="C17">
        <v>0.8</v>
      </c>
      <c r="D17">
        <v>0.8</v>
      </c>
      <c r="E17">
        <v>0</v>
      </c>
      <c r="F17">
        <v>0.8</v>
      </c>
    </row>
    <row r="18" spans="1:6" x14ac:dyDescent="0.15">
      <c r="A18">
        <v>17</v>
      </c>
      <c r="B18" s="197" t="s">
        <v>209</v>
      </c>
      <c r="C18">
        <v>0.8</v>
      </c>
      <c r="D18">
        <v>0.8</v>
      </c>
      <c r="E18">
        <v>0.8</v>
      </c>
      <c r="F18">
        <v>0.8</v>
      </c>
    </row>
    <row r="19" spans="1:6" x14ac:dyDescent="0.15">
      <c r="A19">
        <v>18</v>
      </c>
      <c r="B19" s="197" t="s">
        <v>210</v>
      </c>
      <c r="C19">
        <v>0.8</v>
      </c>
      <c r="D19">
        <v>0.8</v>
      </c>
      <c r="E19">
        <v>0.8</v>
      </c>
      <c r="F19">
        <v>0.8</v>
      </c>
    </row>
    <row r="20" spans="1:6" x14ac:dyDescent="0.15">
      <c r="A20">
        <v>19</v>
      </c>
      <c r="B20" s="197" t="s">
        <v>211</v>
      </c>
      <c r="C20">
        <v>0</v>
      </c>
      <c r="D20">
        <v>0.8</v>
      </c>
      <c r="E20">
        <v>0.8</v>
      </c>
      <c r="F20">
        <v>0.8</v>
      </c>
    </row>
    <row r="21" spans="1:6" x14ac:dyDescent="0.15">
      <c r="A21">
        <v>20</v>
      </c>
      <c r="B21" s="197" t="s">
        <v>212</v>
      </c>
      <c r="C21">
        <v>0.8</v>
      </c>
      <c r="D21">
        <v>0.8</v>
      </c>
      <c r="E21">
        <v>0</v>
      </c>
      <c r="F21">
        <v>0.8</v>
      </c>
    </row>
    <row r="22" spans="1:6" x14ac:dyDescent="0.15">
      <c r="A22">
        <v>21</v>
      </c>
      <c r="B22" s="197" t="s">
        <v>213</v>
      </c>
      <c r="C22">
        <v>0.8</v>
      </c>
      <c r="D22">
        <v>0</v>
      </c>
      <c r="E22">
        <v>0</v>
      </c>
      <c r="F22">
        <v>0.8</v>
      </c>
    </row>
    <row r="23" spans="1:6" x14ac:dyDescent="0.15">
      <c r="A23">
        <v>22</v>
      </c>
      <c r="B23" s="197" t="s">
        <v>214</v>
      </c>
      <c r="C23">
        <v>0.8</v>
      </c>
      <c r="D23">
        <v>0.8</v>
      </c>
      <c r="E23">
        <v>0.8</v>
      </c>
      <c r="F23">
        <v>0.8</v>
      </c>
    </row>
    <row r="24" spans="1:6" x14ac:dyDescent="0.15">
      <c r="A24">
        <v>23</v>
      </c>
      <c r="B24" s="197" t="s">
        <v>215</v>
      </c>
      <c r="C24">
        <v>0.8</v>
      </c>
      <c r="D24">
        <v>0.8</v>
      </c>
      <c r="E24">
        <v>0.8</v>
      </c>
      <c r="F24">
        <v>0.8</v>
      </c>
    </row>
    <row r="25" spans="1:6" x14ac:dyDescent="0.15">
      <c r="A25">
        <v>24</v>
      </c>
      <c r="B25" s="197" t="s">
        <v>216</v>
      </c>
      <c r="C25">
        <v>0.8</v>
      </c>
      <c r="D25">
        <v>0.8</v>
      </c>
      <c r="E25">
        <v>0.8</v>
      </c>
      <c r="F25">
        <v>0.8</v>
      </c>
    </row>
    <row r="26" spans="1:6" x14ac:dyDescent="0.15">
      <c r="A26">
        <v>25</v>
      </c>
      <c r="B26" s="197" t="s">
        <v>217</v>
      </c>
      <c r="C26">
        <v>0</v>
      </c>
      <c r="D26">
        <v>0.8</v>
      </c>
      <c r="E26">
        <v>0.8</v>
      </c>
      <c r="F26">
        <v>0.8</v>
      </c>
    </row>
    <row r="27" spans="1:6" x14ac:dyDescent="0.15">
      <c r="A27">
        <v>26</v>
      </c>
      <c r="B27" s="197" t="s">
        <v>218</v>
      </c>
      <c r="C27">
        <v>0</v>
      </c>
      <c r="D27">
        <v>0.8</v>
      </c>
      <c r="E27">
        <v>0.8</v>
      </c>
      <c r="F27">
        <v>0.8</v>
      </c>
    </row>
    <row r="28" spans="1:6" x14ac:dyDescent="0.15">
      <c r="A28">
        <v>27</v>
      </c>
      <c r="B28" s="197" t="s">
        <v>219</v>
      </c>
      <c r="C28">
        <v>0</v>
      </c>
      <c r="D28">
        <v>0.8</v>
      </c>
      <c r="E28">
        <v>0</v>
      </c>
      <c r="F28">
        <v>0.8</v>
      </c>
    </row>
    <row r="29" spans="1:6" x14ac:dyDescent="0.15">
      <c r="A29">
        <v>28</v>
      </c>
      <c r="B29" s="197" t="s">
        <v>220</v>
      </c>
      <c r="C29">
        <v>0.8</v>
      </c>
      <c r="D29">
        <v>0.8</v>
      </c>
      <c r="E29">
        <v>0.8</v>
      </c>
      <c r="F29">
        <v>0.8</v>
      </c>
    </row>
    <row r="30" spans="1:6" x14ac:dyDescent="0.15">
      <c r="A30">
        <v>29</v>
      </c>
      <c r="B30" s="197" t="s">
        <v>221</v>
      </c>
      <c r="C30">
        <v>0</v>
      </c>
      <c r="D30">
        <v>0</v>
      </c>
      <c r="E30">
        <v>0</v>
      </c>
      <c r="F30">
        <v>0.8</v>
      </c>
    </row>
    <row r="31" spans="1:6" x14ac:dyDescent="0.15">
      <c r="A31">
        <v>30</v>
      </c>
      <c r="B31" s="197" t="s">
        <v>222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97" t="s">
        <v>223</v>
      </c>
      <c r="C32">
        <v>0</v>
      </c>
      <c r="D32">
        <v>0</v>
      </c>
      <c r="E32">
        <v>0</v>
      </c>
      <c r="F32">
        <v>0.8</v>
      </c>
    </row>
    <row r="33" spans="1:6" x14ac:dyDescent="0.15">
      <c r="A33">
        <v>32</v>
      </c>
      <c r="B33" s="197" t="s">
        <v>224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97" t="s">
        <v>225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97" t="s">
        <v>226</v>
      </c>
      <c r="C35">
        <v>0</v>
      </c>
      <c r="D35">
        <v>0</v>
      </c>
      <c r="E35">
        <v>0</v>
      </c>
      <c r="F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3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200" t="s">
        <v>227</v>
      </c>
      <c r="D1" s="200" t="s">
        <v>228</v>
      </c>
      <c r="E1" s="200" t="s">
        <v>229</v>
      </c>
      <c r="F1" s="200" t="s">
        <v>230</v>
      </c>
    </row>
    <row r="2" spans="1:6" x14ac:dyDescent="0.15">
      <c r="A2">
        <v>1</v>
      </c>
      <c r="B2" s="199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9" t="s">
        <v>194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9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9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9" t="s">
        <v>197</v>
      </c>
      <c r="C6">
        <v>0.8</v>
      </c>
      <c r="D6">
        <v>0</v>
      </c>
      <c r="E6">
        <v>0</v>
      </c>
      <c r="F6">
        <v>0.8</v>
      </c>
    </row>
    <row r="7" spans="1:6" x14ac:dyDescent="0.15">
      <c r="A7">
        <v>6</v>
      </c>
      <c r="B7" s="199" t="s">
        <v>198</v>
      </c>
      <c r="C7">
        <v>0.8</v>
      </c>
      <c r="D7">
        <v>0</v>
      </c>
      <c r="E7">
        <v>0</v>
      </c>
      <c r="F7">
        <v>0.8</v>
      </c>
    </row>
    <row r="8" spans="1:6" x14ac:dyDescent="0.15">
      <c r="A8">
        <v>7</v>
      </c>
      <c r="B8" s="199" t="s">
        <v>199</v>
      </c>
      <c r="C8">
        <v>0.8</v>
      </c>
      <c r="D8">
        <v>0</v>
      </c>
      <c r="E8">
        <v>0</v>
      </c>
      <c r="F8">
        <v>0.8</v>
      </c>
    </row>
    <row r="9" spans="1:6" x14ac:dyDescent="0.15">
      <c r="A9">
        <v>8</v>
      </c>
      <c r="B9" s="199" t="s">
        <v>200</v>
      </c>
      <c r="C9">
        <v>0.8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99" t="s">
        <v>201</v>
      </c>
      <c r="C10">
        <v>0.8</v>
      </c>
      <c r="D10">
        <v>0</v>
      </c>
      <c r="E10">
        <v>0.8</v>
      </c>
      <c r="F10">
        <v>0.8</v>
      </c>
    </row>
    <row r="11" spans="1:6" x14ac:dyDescent="0.15">
      <c r="A11">
        <v>10</v>
      </c>
      <c r="B11" s="199" t="s">
        <v>202</v>
      </c>
      <c r="C11">
        <v>0.8</v>
      </c>
      <c r="D11">
        <v>0</v>
      </c>
      <c r="E11">
        <v>0</v>
      </c>
      <c r="F11">
        <v>0.8</v>
      </c>
    </row>
    <row r="12" spans="1:6" x14ac:dyDescent="0.15">
      <c r="A12">
        <v>11</v>
      </c>
      <c r="B12" s="199" t="s">
        <v>203</v>
      </c>
      <c r="C12">
        <v>0.8</v>
      </c>
      <c r="D12">
        <v>0</v>
      </c>
      <c r="E12">
        <v>0</v>
      </c>
      <c r="F12">
        <v>0.8</v>
      </c>
    </row>
    <row r="13" spans="1:6" x14ac:dyDescent="0.15">
      <c r="A13">
        <v>12</v>
      </c>
      <c r="B13" s="199" t="s">
        <v>204</v>
      </c>
      <c r="C13">
        <v>0.8</v>
      </c>
      <c r="D13">
        <v>0.8</v>
      </c>
      <c r="E13">
        <v>0</v>
      </c>
      <c r="F13">
        <v>0.8</v>
      </c>
    </row>
    <row r="14" spans="1:6" x14ac:dyDescent="0.15">
      <c r="A14">
        <v>13</v>
      </c>
      <c r="B14" s="199" t="s">
        <v>205</v>
      </c>
      <c r="C14">
        <v>0.8</v>
      </c>
      <c r="D14">
        <v>0</v>
      </c>
      <c r="E14">
        <v>0</v>
      </c>
      <c r="F14">
        <v>0.8</v>
      </c>
    </row>
    <row r="15" spans="1:6" x14ac:dyDescent="0.15">
      <c r="A15">
        <v>14</v>
      </c>
      <c r="B15" s="199" t="s">
        <v>206</v>
      </c>
      <c r="C15">
        <v>0.8</v>
      </c>
      <c r="D15">
        <v>0</v>
      </c>
      <c r="E15">
        <v>0</v>
      </c>
      <c r="F15">
        <v>0.8</v>
      </c>
    </row>
    <row r="16" spans="1:6" x14ac:dyDescent="0.15">
      <c r="A16">
        <v>15</v>
      </c>
      <c r="B16" s="199" t="s">
        <v>207</v>
      </c>
      <c r="C16">
        <v>0</v>
      </c>
      <c r="D16">
        <v>0.8</v>
      </c>
      <c r="E16">
        <v>0</v>
      </c>
      <c r="F16">
        <v>0.8</v>
      </c>
    </row>
    <row r="17" spans="1:6" x14ac:dyDescent="0.15">
      <c r="A17">
        <v>16</v>
      </c>
      <c r="B17" s="199" t="s">
        <v>208</v>
      </c>
      <c r="C17">
        <v>0.8</v>
      </c>
      <c r="D17">
        <v>0.8</v>
      </c>
      <c r="E17">
        <v>0</v>
      </c>
      <c r="F17">
        <v>0.8</v>
      </c>
    </row>
    <row r="18" spans="1:6" x14ac:dyDescent="0.15">
      <c r="A18">
        <v>17</v>
      </c>
      <c r="B18" s="199" t="s">
        <v>209</v>
      </c>
      <c r="C18">
        <v>0.8</v>
      </c>
      <c r="D18">
        <v>0.8</v>
      </c>
      <c r="E18">
        <v>0.8</v>
      </c>
      <c r="F18">
        <v>0.8</v>
      </c>
    </row>
    <row r="19" spans="1:6" x14ac:dyDescent="0.15">
      <c r="A19">
        <v>18</v>
      </c>
      <c r="B19" s="199" t="s">
        <v>210</v>
      </c>
      <c r="C19">
        <v>0.8</v>
      </c>
      <c r="D19">
        <v>0.8</v>
      </c>
      <c r="E19">
        <v>0.8</v>
      </c>
      <c r="F19">
        <v>0.8</v>
      </c>
    </row>
    <row r="20" spans="1:6" x14ac:dyDescent="0.15">
      <c r="A20">
        <v>19</v>
      </c>
      <c r="B20" s="199" t="s">
        <v>211</v>
      </c>
      <c r="C20">
        <v>0</v>
      </c>
      <c r="D20">
        <v>0.8</v>
      </c>
      <c r="E20">
        <v>0.8</v>
      </c>
      <c r="F20">
        <v>0.8</v>
      </c>
    </row>
    <row r="21" spans="1:6" x14ac:dyDescent="0.15">
      <c r="A21">
        <v>20</v>
      </c>
      <c r="B21" s="199" t="s">
        <v>212</v>
      </c>
      <c r="C21">
        <v>0.8</v>
      </c>
      <c r="D21">
        <v>0.8</v>
      </c>
      <c r="E21">
        <v>0</v>
      </c>
      <c r="F21">
        <v>0.8</v>
      </c>
    </row>
    <row r="22" spans="1:6" x14ac:dyDescent="0.15">
      <c r="A22">
        <v>21</v>
      </c>
      <c r="B22" s="199" t="s">
        <v>213</v>
      </c>
      <c r="C22">
        <v>0.8</v>
      </c>
      <c r="D22">
        <v>0</v>
      </c>
      <c r="E22">
        <v>0</v>
      </c>
      <c r="F22">
        <v>0.8</v>
      </c>
    </row>
    <row r="23" spans="1:6" x14ac:dyDescent="0.15">
      <c r="A23">
        <v>22</v>
      </c>
      <c r="B23" s="199" t="s">
        <v>214</v>
      </c>
      <c r="C23">
        <v>0.8</v>
      </c>
      <c r="D23">
        <v>0.8</v>
      </c>
      <c r="E23">
        <v>0.8</v>
      </c>
      <c r="F23">
        <v>0.8</v>
      </c>
    </row>
    <row r="24" spans="1:6" x14ac:dyDescent="0.15">
      <c r="A24">
        <v>23</v>
      </c>
      <c r="B24" s="199" t="s">
        <v>215</v>
      </c>
      <c r="C24">
        <v>0.8</v>
      </c>
      <c r="D24">
        <v>0.8</v>
      </c>
      <c r="E24">
        <v>0.8</v>
      </c>
      <c r="F24">
        <v>0.8</v>
      </c>
    </row>
    <row r="25" spans="1:6" x14ac:dyDescent="0.15">
      <c r="A25">
        <v>24</v>
      </c>
      <c r="B25" s="199" t="s">
        <v>216</v>
      </c>
      <c r="C25">
        <v>0.8</v>
      </c>
      <c r="D25">
        <v>0.8</v>
      </c>
      <c r="E25">
        <v>0.8</v>
      </c>
      <c r="F25">
        <v>0.8</v>
      </c>
    </row>
    <row r="26" spans="1:6" x14ac:dyDescent="0.15">
      <c r="A26">
        <v>25</v>
      </c>
      <c r="B26" s="199" t="s">
        <v>217</v>
      </c>
      <c r="C26">
        <v>0</v>
      </c>
      <c r="D26">
        <v>0.8</v>
      </c>
      <c r="E26">
        <v>0.8</v>
      </c>
      <c r="F26">
        <v>0.8</v>
      </c>
    </row>
    <row r="27" spans="1:6" x14ac:dyDescent="0.15">
      <c r="A27">
        <v>26</v>
      </c>
      <c r="B27" s="199" t="s">
        <v>218</v>
      </c>
      <c r="C27">
        <v>0</v>
      </c>
      <c r="D27">
        <v>0.8</v>
      </c>
      <c r="E27">
        <v>0.8</v>
      </c>
      <c r="F27">
        <v>0.8</v>
      </c>
    </row>
    <row r="28" spans="1:6" x14ac:dyDescent="0.15">
      <c r="A28">
        <v>27</v>
      </c>
      <c r="B28" s="199" t="s">
        <v>219</v>
      </c>
      <c r="C28">
        <v>0</v>
      </c>
      <c r="D28">
        <v>0.8</v>
      </c>
      <c r="E28">
        <v>0</v>
      </c>
      <c r="F28">
        <v>0.8</v>
      </c>
    </row>
    <row r="29" spans="1:6" x14ac:dyDescent="0.15">
      <c r="A29">
        <v>28</v>
      </c>
      <c r="B29" s="199" t="s">
        <v>220</v>
      </c>
      <c r="C29">
        <v>0.8</v>
      </c>
      <c r="D29">
        <v>0.8</v>
      </c>
      <c r="E29">
        <v>0.8</v>
      </c>
      <c r="F29">
        <v>0.8</v>
      </c>
    </row>
    <row r="30" spans="1:6" x14ac:dyDescent="0.15">
      <c r="A30">
        <v>29</v>
      </c>
      <c r="B30" s="199" t="s">
        <v>221</v>
      </c>
      <c r="C30">
        <v>0</v>
      </c>
      <c r="D30">
        <v>0</v>
      </c>
      <c r="E30">
        <v>0</v>
      </c>
      <c r="F30">
        <v>0.8</v>
      </c>
    </row>
    <row r="31" spans="1:6" x14ac:dyDescent="0.15">
      <c r="A31">
        <v>30</v>
      </c>
      <c r="B31" s="199" t="s">
        <v>222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99" t="s">
        <v>223</v>
      </c>
      <c r="C32">
        <v>0</v>
      </c>
      <c r="D32">
        <v>0</v>
      </c>
      <c r="E32">
        <v>0</v>
      </c>
      <c r="F32">
        <v>0.8</v>
      </c>
    </row>
    <row r="33" spans="1:6" x14ac:dyDescent="0.15">
      <c r="A33">
        <v>32</v>
      </c>
      <c r="B33" s="199" t="s">
        <v>224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99" t="s">
        <v>225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99" t="s">
        <v>226</v>
      </c>
      <c r="C35">
        <v>0</v>
      </c>
      <c r="D35">
        <v>0</v>
      </c>
      <c r="E35">
        <v>0</v>
      </c>
      <c r="F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12" sqref="K12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2">
        <v>1</v>
      </c>
      <c r="B2" s="152" t="s">
        <v>193</v>
      </c>
      <c r="C2" s="8">
        <v>1</v>
      </c>
      <c r="D2" s="9">
        <v>7.8660001754760742</v>
      </c>
      <c r="E2" s="9">
        <v>117.30000305175781</v>
      </c>
      <c r="F2" s="10"/>
      <c r="G2" s="9">
        <v>0.74405425786972046</v>
      </c>
      <c r="H2" s="10"/>
      <c r="I2">
        <v>0</v>
      </c>
      <c r="J2"/>
    </row>
    <row r="3" spans="1:10" ht="15" customHeight="1" x14ac:dyDescent="0.15">
      <c r="A3" s="153">
        <v>2</v>
      </c>
      <c r="B3" s="153" t="s">
        <v>194</v>
      </c>
      <c r="C3" s="8">
        <v>2.25</v>
      </c>
      <c r="D3" s="9">
        <v>6.0999999046325684</v>
      </c>
      <c r="E3" s="9">
        <v>62.470001220703125</v>
      </c>
      <c r="F3" s="9">
        <v>186.3800048828125</v>
      </c>
      <c r="G3" s="9">
        <v>0.76425915956497192</v>
      </c>
      <c r="H3" s="9">
        <v>0.33517545461654663</v>
      </c>
      <c r="I3">
        <v>0</v>
      </c>
      <c r="J3"/>
    </row>
    <row r="4" spans="1:10" ht="15" customHeight="1" x14ac:dyDescent="0.15">
      <c r="A4" s="154">
        <v>3</v>
      </c>
      <c r="B4" s="154" t="s">
        <v>195</v>
      </c>
      <c r="C4" s="8">
        <v>2.2111778259277344</v>
      </c>
      <c r="D4" s="9">
        <v>1.1100000143051147</v>
      </c>
      <c r="E4" s="9">
        <v>7.685999870300293</v>
      </c>
      <c r="F4" s="9">
        <v>57.119998931884766</v>
      </c>
      <c r="G4" s="9">
        <v>0.99286943674087524</v>
      </c>
      <c r="H4" s="9">
        <v>0.13455882668495178</v>
      </c>
      <c r="I4">
        <v>0</v>
      </c>
      <c r="J4"/>
    </row>
    <row r="5" spans="1:10" ht="15" customHeight="1" x14ac:dyDescent="0.15">
      <c r="A5" s="155">
        <v>4</v>
      </c>
      <c r="B5" s="155" t="s">
        <v>196</v>
      </c>
      <c r="C5" s="8">
        <v>2.0998742580413818</v>
      </c>
      <c r="D5" s="9">
        <v>4.8080000877380371</v>
      </c>
      <c r="E5" s="9">
        <v>1.7120000123977661</v>
      </c>
      <c r="F5" s="9">
        <v>13.083000183105469</v>
      </c>
      <c r="G5" s="9">
        <v>0.98791390657424927</v>
      </c>
      <c r="H5" s="9">
        <v>0.13085684180259705</v>
      </c>
      <c r="I5">
        <v>0</v>
      </c>
      <c r="J5"/>
    </row>
    <row r="6" spans="1:10" ht="15" customHeight="1" x14ac:dyDescent="0.15">
      <c r="A6" s="156">
        <v>5</v>
      </c>
      <c r="B6" s="156" t="s">
        <v>197</v>
      </c>
      <c r="C6" s="8">
        <v>3.0884499549865723</v>
      </c>
      <c r="D6" s="9">
        <v>0.3059999942779541</v>
      </c>
      <c r="E6" s="9">
        <v>3.3389999866485596</v>
      </c>
      <c r="F6" s="9">
        <v>7.8959999084472656</v>
      </c>
      <c r="G6" s="9">
        <v>0.9993928074836731</v>
      </c>
      <c r="H6" s="9">
        <v>0.42287233471870422</v>
      </c>
      <c r="I6">
        <v>0.11100000143051147</v>
      </c>
      <c r="J6"/>
    </row>
    <row r="7" spans="1:10" ht="15" customHeight="1" x14ac:dyDescent="0.15">
      <c r="A7" s="157">
        <v>6</v>
      </c>
      <c r="B7" s="157" t="s">
        <v>198</v>
      </c>
      <c r="C7" s="8">
        <v>2.9664435386657715</v>
      </c>
      <c r="D7" s="9">
        <v>0.41200000047683716</v>
      </c>
      <c r="E7" s="9">
        <v>2.5409998893737793</v>
      </c>
      <c r="F7" s="9">
        <v>5.1869997978210449</v>
      </c>
      <c r="G7" s="9">
        <v>0.9970020055770874</v>
      </c>
      <c r="H7" s="9">
        <v>0.48987853527069092</v>
      </c>
      <c r="I7">
        <v>1.0999999940395355E-2</v>
      </c>
      <c r="J7"/>
    </row>
    <row r="8" spans="1:10" ht="15" customHeight="1" x14ac:dyDescent="0.15">
      <c r="A8" s="158">
        <v>7</v>
      </c>
      <c r="B8" s="158" t="s">
        <v>199</v>
      </c>
      <c r="C8" s="8">
        <v>2.0531713962554932</v>
      </c>
      <c r="D8" s="9">
        <v>8.7100000381469727</v>
      </c>
      <c r="E8" s="9">
        <v>1.2150000333786011</v>
      </c>
      <c r="F8" s="9">
        <v>3.4340000152587891</v>
      </c>
      <c r="G8" s="9">
        <v>0.99531537294387817</v>
      </c>
      <c r="H8" s="9">
        <v>0.35381481051445007</v>
      </c>
      <c r="I8">
        <v>8.3000008016824722E-3</v>
      </c>
      <c r="J8"/>
    </row>
    <row r="9" spans="1:10" ht="15" customHeight="1" x14ac:dyDescent="0.15">
      <c r="A9" s="159">
        <v>8</v>
      </c>
      <c r="B9" s="159" t="s">
        <v>200</v>
      </c>
      <c r="C9" s="8">
        <v>3.3263328075408936</v>
      </c>
      <c r="D9" s="9">
        <v>0.3919999897480011</v>
      </c>
      <c r="E9" s="9">
        <v>2.9000000953674316</v>
      </c>
      <c r="F9" s="9">
        <v>5.8070001602172852</v>
      </c>
      <c r="G9" s="9">
        <v>0.99953299760818481</v>
      </c>
      <c r="H9" s="9">
        <v>0.49939727783203125</v>
      </c>
      <c r="I9">
        <v>0.25385409593582153</v>
      </c>
      <c r="J9"/>
    </row>
    <row r="10" spans="1:10" ht="15" customHeight="1" x14ac:dyDescent="0.15">
      <c r="A10" s="160">
        <v>9</v>
      </c>
      <c r="B10" s="160" t="s">
        <v>201</v>
      </c>
      <c r="C10" s="8">
        <v>3.8380413055419922</v>
      </c>
      <c r="D10" s="9">
        <v>0.36300000548362732</v>
      </c>
      <c r="E10" s="9">
        <v>2.5999999046325684</v>
      </c>
      <c r="F10" s="9">
        <v>26.469999313354492</v>
      </c>
      <c r="G10" s="9">
        <v>0.99745160341262817</v>
      </c>
      <c r="H10" s="9">
        <v>9.8224401473999023E-2</v>
      </c>
      <c r="I10">
        <v>1.900000125169754E-2</v>
      </c>
      <c r="J10"/>
    </row>
    <row r="11" spans="1:10" ht="15" customHeight="1" x14ac:dyDescent="0.15">
      <c r="A11" s="161">
        <v>10</v>
      </c>
      <c r="B11" s="161" t="s">
        <v>202</v>
      </c>
      <c r="C11" s="8">
        <v>2.8091697692871094</v>
      </c>
      <c r="D11" s="9">
        <v>0.19599999487400055</v>
      </c>
      <c r="E11" s="9">
        <v>1.9079999923706055</v>
      </c>
      <c r="F11" s="9">
        <v>7.1919999122619629</v>
      </c>
      <c r="G11" s="9">
        <v>0.99426090717315674</v>
      </c>
      <c r="H11" s="9">
        <v>0.26529476046562195</v>
      </c>
      <c r="I11">
        <v>4.6000000089406967E-2</v>
      </c>
      <c r="J11"/>
    </row>
    <row r="12" spans="1:10" ht="15" customHeight="1" x14ac:dyDescent="0.15">
      <c r="A12" s="162">
        <v>11</v>
      </c>
      <c r="B12" s="162" t="s">
        <v>203</v>
      </c>
      <c r="C12" s="8">
        <v>4.1824564933776855</v>
      </c>
      <c r="D12" s="9">
        <v>0.20299999415874481</v>
      </c>
      <c r="E12" s="9">
        <v>1.1000000238418579</v>
      </c>
      <c r="F12" s="9">
        <v>3.7769999504089355</v>
      </c>
      <c r="G12" s="9">
        <v>0.21105077862739563</v>
      </c>
      <c r="H12" s="9">
        <v>0.29123643040657043</v>
      </c>
      <c r="I12">
        <v>2.5999998673796654E-2</v>
      </c>
      <c r="J12"/>
    </row>
    <row r="13" spans="1:10" ht="15" customHeight="1" x14ac:dyDescent="0.15">
      <c r="A13" s="163">
        <v>12</v>
      </c>
      <c r="B13" s="163" t="s">
        <v>204</v>
      </c>
      <c r="C13" s="8">
        <v>4.0015783309936523</v>
      </c>
      <c r="D13" s="9">
        <v>0.10700000077486038</v>
      </c>
      <c r="E13" s="9">
        <v>1.8200000524520874</v>
      </c>
      <c r="F13" s="9">
        <v>8.7410001754760742</v>
      </c>
      <c r="G13" s="9">
        <v>0.9950333833694458</v>
      </c>
      <c r="H13" s="9">
        <v>0.2082141637802124</v>
      </c>
      <c r="I13">
        <v>0.10499999672174454</v>
      </c>
      <c r="J13"/>
    </row>
    <row r="14" spans="1:10" ht="15" customHeight="1" x14ac:dyDescent="0.15">
      <c r="A14" s="164">
        <v>13</v>
      </c>
      <c r="B14" s="164" t="s">
        <v>205</v>
      </c>
      <c r="C14" s="8">
        <v>3.5524837970733643</v>
      </c>
      <c r="D14" s="9">
        <v>0.57999998331069946</v>
      </c>
      <c r="E14" s="9">
        <v>1.4500000476837158</v>
      </c>
      <c r="F14" s="9">
        <v>6.4930000305175781</v>
      </c>
      <c r="G14" s="9">
        <v>0.99961477518081665</v>
      </c>
      <c r="H14" s="9">
        <v>0.22331742942333221</v>
      </c>
      <c r="I14">
        <v>6.0000002384185791E-2</v>
      </c>
      <c r="J14"/>
    </row>
    <row r="15" spans="1:10" ht="15" customHeight="1" x14ac:dyDescent="0.15">
      <c r="A15" s="165">
        <v>14</v>
      </c>
      <c r="B15" s="165" t="s">
        <v>206</v>
      </c>
      <c r="C15" s="8">
        <v>4.1436672210693359</v>
      </c>
      <c r="D15" s="9">
        <v>0.40000000596046448</v>
      </c>
      <c r="E15" s="9">
        <v>0.58700001239776611</v>
      </c>
      <c r="F15" s="9">
        <v>3.7000000476837158</v>
      </c>
      <c r="G15" s="9">
        <v>0.99801784753799438</v>
      </c>
      <c r="H15" s="9">
        <v>0.15864865481853485</v>
      </c>
      <c r="I15">
        <v>8.3000004291534424E-2</v>
      </c>
      <c r="J15"/>
    </row>
    <row r="16" spans="1:10" ht="15" customHeight="1" x14ac:dyDescent="0.15">
      <c r="A16" s="166">
        <v>15</v>
      </c>
      <c r="B16" s="166" t="s">
        <v>207</v>
      </c>
      <c r="C16" s="8">
        <v>3.1444365978240967</v>
      </c>
      <c r="D16" s="9">
        <v>0.15000000596046448</v>
      </c>
      <c r="E16" s="9">
        <v>2.4000000953674316</v>
      </c>
      <c r="F16" s="9">
        <v>9.305999755859375</v>
      </c>
      <c r="G16" s="9">
        <v>0.99517112970352173</v>
      </c>
      <c r="H16" s="9">
        <v>0.25789815187454224</v>
      </c>
      <c r="I16">
        <v>1.6000000759959221E-2</v>
      </c>
      <c r="J16"/>
    </row>
    <row r="17" spans="1:10" ht="15" customHeight="1" x14ac:dyDescent="0.15">
      <c r="A17" s="167">
        <v>16</v>
      </c>
      <c r="B17" s="167" t="s">
        <v>208</v>
      </c>
      <c r="C17" s="8">
        <v>3.6573724746704102</v>
      </c>
      <c r="D17" s="9">
        <v>0.2460000067949295</v>
      </c>
      <c r="E17" s="9">
        <v>1.6000000238418579</v>
      </c>
      <c r="F17" s="9">
        <v>7.7389998435974121</v>
      </c>
      <c r="G17" s="9">
        <v>0.99572402238845825</v>
      </c>
      <c r="H17" s="9">
        <v>0.20674505829811096</v>
      </c>
      <c r="I17">
        <v>0.11299999803304672</v>
      </c>
      <c r="J17"/>
    </row>
    <row r="18" spans="1:10" ht="15" customHeight="1" x14ac:dyDescent="0.15">
      <c r="A18" s="168">
        <v>17</v>
      </c>
      <c r="B18" s="168" t="s">
        <v>209</v>
      </c>
      <c r="C18" s="8">
        <v>3.7242286205291748</v>
      </c>
      <c r="D18" s="9">
        <v>0.32199999690055847</v>
      </c>
      <c r="E18" s="9">
        <v>1.3999999761581421</v>
      </c>
      <c r="F18" s="9">
        <v>4.5920000076293945</v>
      </c>
      <c r="G18" s="9">
        <v>0.99109542369842529</v>
      </c>
      <c r="H18" s="9">
        <v>0.30487805604934692</v>
      </c>
      <c r="I18">
        <v>9.0000003576278687E-2</v>
      </c>
      <c r="J18"/>
    </row>
    <row r="19" spans="1:10" ht="15" customHeight="1" x14ac:dyDescent="0.15">
      <c r="A19" s="169">
        <v>18</v>
      </c>
      <c r="B19" s="169" t="s">
        <v>210</v>
      </c>
      <c r="C19" s="8">
        <v>3.3014733791351318</v>
      </c>
      <c r="D19" s="9">
        <v>0.2370000034570694</v>
      </c>
      <c r="E19" s="9">
        <v>1.8999999761581421</v>
      </c>
      <c r="F19" s="9">
        <v>11.104999542236328</v>
      </c>
      <c r="G19" s="9">
        <v>0.99545562267303467</v>
      </c>
      <c r="H19" s="9">
        <v>0.17109410464763641</v>
      </c>
      <c r="I19">
        <v>0.10700000077486038</v>
      </c>
      <c r="J19"/>
    </row>
    <row r="20" spans="1:10" ht="15" customHeight="1" x14ac:dyDescent="0.15">
      <c r="A20" s="170">
        <v>19</v>
      </c>
      <c r="B20" s="170" t="s">
        <v>211</v>
      </c>
      <c r="C20" s="8">
        <v>3.2454953193664551</v>
      </c>
      <c r="D20" s="9">
        <v>0.66299998760223389</v>
      </c>
      <c r="E20" s="9">
        <v>1.5</v>
      </c>
      <c r="F20" s="9">
        <v>8.3389997482299805</v>
      </c>
      <c r="G20" s="9">
        <v>0.99165713787078857</v>
      </c>
      <c r="H20" s="9">
        <v>0.17987768352031708</v>
      </c>
      <c r="I20">
        <v>4.3999999761581421E-2</v>
      </c>
      <c r="J20"/>
    </row>
    <row r="21" spans="1:10" ht="15" customHeight="1" x14ac:dyDescent="0.15">
      <c r="A21" s="171">
        <v>20</v>
      </c>
      <c r="B21" s="171" t="s">
        <v>212</v>
      </c>
      <c r="C21" s="8">
        <v>3.9302453994750977</v>
      </c>
      <c r="D21" s="9">
        <v>7.1000002324581146E-2</v>
      </c>
      <c r="E21" s="9">
        <v>0.69800001382827759</v>
      </c>
      <c r="F21" s="9">
        <v>4.0799999237060547</v>
      </c>
      <c r="G21" s="9">
        <v>0.98800200223922729</v>
      </c>
      <c r="H21" s="9">
        <v>0.17107844352722168</v>
      </c>
      <c r="I21">
        <v>1.0500000789761543E-2</v>
      </c>
      <c r="J21"/>
    </row>
    <row r="22" spans="1:10" ht="15" customHeight="1" x14ac:dyDescent="0.15">
      <c r="A22" s="172">
        <v>21</v>
      </c>
      <c r="B22" s="172" t="s">
        <v>213</v>
      </c>
      <c r="C22" s="8">
        <v>4.0215120315551758</v>
      </c>
      <c r="D22" s="9">
        <v>0.14100000262260437</v>
      </c>
      <c r="E22" s="9">
        <v>1</v>
      </c>
      <c r="F22" s="9">
        <v>3.3940000534057617</v>
      </c>
      <c r="G22" s="9">
        <v>0.7174723744392395</v>
      </c>
      <c r="H22" s="9">
        <v>0.29463759064674377</v>
      </c>
      <c r="I22">
        <v>5.0999999046325684E-2</v>
      </c>
      <c r="J22"/>
    </row>
    <row r="23" spans="1:10" ht="15" customHeight="1" x14ac:dyDescent="0.15">
      <c r="A23" s="173">
        <v>22</v>
      </c>
      <c r="B23" s="173" t="s">
        <v>214</v>
      </c>
      <c r="C23" s="8">
        <v>3.25</v>
      </c>
      <c r="D23" s="9">
        <v>2.25</v>
      </c>
      <c r="E23" s="9">
        <v>1.753000020980835</v>
      </c>
      <c r="F23" s="9">
        <v>6.6929998397827148</v>
      </c>
      <c r="G23" s="9">
        <v>0.99541956186294556</v>
      </c>
      <c r="H23" s="9">
        <v>0.26191544532775879</v>
      </c>
      <c r="I23">
        <v>0.6329999566078186</v>
      </c>
      <c r="J23"/>
    </row>
    <row r="24" spans="1:10" ht="15" customHeight="1" x14ac:dyDescent="0.15">
      <c r="A24" s="174">
        <v>23</v>
      </c>
      <c r="B24" s="174" t="s">
        <v>215</v>
      </c>
      <c r="C24" s="8">
        <v>3.0854737758636475</v>
      </c>
      <c r="D24" s="9">
        <v>1.9500000476837158</v>
      </c>
      <c r="E24" s="9">
        <v>1.7779999971389771</v>
      </c>
      <c r="F24" s="9">
        <v>11.668000221252441</v>
      </c>
      <c r="G24" s="9">
        <v>0.99747967720031738</v>
      </c>
      <c r="H24" s="9">
        <v>0.15238258242607117</v>
      </c>
      <c r="I24">
        <v>0.91499996185302734</v>
      </c>
      <c r="J24"/>
    </row>
    <row r="25" spans="1:10" ht="15" customHeight="1" x14ac:dyDescent="0.15">
      <c r="A25" s="175">
        <v>24</v>
      </c>
      <c r="B25" s="175" t="s">
        <v>216</v>
      </c>
      <c r="C25" s="8">
        <v>3.3614439964294434</v>
      </c>
      <c r="D25" s="9">
        <v>0.73199999332427979</v>
      </c>
      <c r="E25" s="9">
        <v>1</v>
      </c>
      <c r="F25" s="9">
        <v>7.315000057220459</v>
      </c>
      <c r="G25" s="9">
        <v>0.99395447969436646</v>
      </c>
      <c r="H25" s="9">
        <v>0.13670539855957031</v>
      </c>
      <c r="I25">
        <v>0.18299999833106995</v>
      </c>
      <c r="J25"/>
    </row>
    <row r="26" spans="1:10" ht="15" customHeight="1" x14ac:dyDescent="0.15">
      <c r="A26" s="176">
        <v>25</v>
      </c>
      <c r="B26" s="176" t="s">
        <v>217</v>
      </c>
      <c r="C26" s="8">
        <v>3.488520622253418</v>
      </c>
      <c r="D26" s="9">
        <v>0.29399999976158142</v>
      </c>
      <c r="E26" s="9">
        <v>1.0219999551773071</v>
      </c>
      <c r="F26" s="9">
        <v>6.4479999542236328</v>
      </c>
      <c r="G26" s="9">
        <v>0.99403631687164307</v>
      </c>
      <c r="H26" s="9">
        <v>0.15849874913692474</v>
      </c>
      <c r="I26">
        <v>5.7999998331069946E-2</v>
      </c>
      <c r="J26"/>
    </row>
    <row r="27" spans="1:10" ht="15" customHeight="1" x14ac:dyDescent="0.15">
      <c r="A27" s="177">
        <v>26</v>
      </c>
      <c r="B27" s="177" t="s">
        <v>218</v>
      </c>
      <c r="C27" s="8">
        <v>3.2198667526245117</v>
      </c>
      <c r="D27" s="9">
        <v>1.1699999570846558</v>
      </c>
      <c r="E27" s="9">
        <v>1.3999999761581421</v>
      </c>
      <c r="F27" s="9">
        <v>6.3649997711181641</v>
      </c>
      <c r="G27" s="9">
        <v>0.99668997526168823</v>
      </c>
      <c r="H27" s="9">
        <v>0.21995286643505096</v>
      </c>
      <c r="I27">
        <v>0.44299998879432678</v>
      </c>
      <c r="J27"/>
    </row>
    <row r="28" spans="1:10" ht="15" customHeight="1" x14ac:dyDescent="0.15">
      <c r="A28" s="178">
        <v>27</v>
      </c>
      <c r="B28" s="178" t="s">
        <v>219</v>
      </c>
      <c r="C28" s="8">
        <v>4.1910457611083984</v>
      </c>
      <c r="D28" s="9">
        <v>0.25</v>
      </c>
      <c r="E28" s="9">
        <v>0.42500001192092896</v>
      </c>
      <c r="F28" s="9">
        <v>3.7060000896453857</v>
      </c>
      <c r="G28" s="9">
        <v>0.25688540935516357</v>
      </c>
      <c r="H28" s="9">
        <v>0.11467889696359634</v>
      </c>
      <c r="I28">
        <v>1.7999999225139618E-2</v>
      </c>
      <c r="J28"/>
    </row>
    <row r="29" spans="1:10" ht="15" customHeight="1" x14ac:dyDescent="0.15">
      <c r="A29" s="179">
        <v>28</v>
      </c>
      <c r="B29" s="179" t="s">
        <v>220</v>
      </c>
      <c r="C29" s="8">
        <v>4.2394227981567383</v>
      </c>
      <c r="D29" s="9">
        <v>4.8999998718500137E-2</v>
      </c>
      <c r="E29" s="9">
        <v>0.40000000596046448</v>
      </c>
      <c r="F29" s="9">
        <v>2.5290000438690186</v>
      </c>
      <c r="G29" s="9">
        <v>0.86448812484741211</v>
      </c>
      <c r="H29" s="9">
        <v>0.15816527605056763</v>
      </c>
      <c r="I29">
        <v>1.6943966969847679E-2</v>
      </c>
      <c r="J29"/>
    </row>
    <row r="30" spans="1:10" ht="15" customHeight="1" x14ac:dyDescent="0.15">
      <c r="A30" s="180">
        <v>29</v>
      </c>
      <c r="B30" s="180" t="s">
        <v>221</v>
      </c>
      <c r="C30" s="8">
        <v>3.0883655548095703</v>
      </c>
      <c r="D30" s="9">
        <v>1.9999999552965164E-2</v>
      </c>
      <c r="E30" s="9">
        <v>0.15999999642372131</v>
      </c>
      <c r="F30" s="9">
        <v>2.6800000667572021</v>
      </c>
      <c r="G30" s="9">
        <v>0.78125</v>
      </c>
      <c r="H30" s="9">
        <v>5.9701491147279739E-2</v>
      </c>
      <c r="I30">
        <v>2.4999999441206455E-3</v>
      </c>
      <c r="J30"/>
    </row>
    <row r="31" spans="1:10" ht="15" customHeight="1" x14ac:dyDescent="0.15">
      <c r="A31" s="181">
        <v>30</v>
      </c>
      <c r="B31" s="181" t="s">
        <v>222</v>
      </c>
      <c r="C31" s="8">
        <v>2.2830684185028076</v>
      </c>
      <c r="D31" s="9">
        <v>1.0000000474974513E-3</v>
      </c>
      <c r="E31" s="9">
        <v>4.7800002098083496</v>
      </c>
      <c r="F31" s="9">
        <v>111.61000061035156</v>
      </c>
      <c r="G31" s="7">
        <v>0</v>
      </c>
      <c r="H31" s="9">
        <v>4.2827706784009933E-2</v>
      </c>
      <c r="I31">
        <v>0</v>
      </c>
      <c r="J31"/>
    </row>
    <row r="32" spans="1:10" ht="15" customHeight="1" x14ac:dyDescent="0.15">
      <c r="A32" s="210">
        <v>31</v>
      </c>
      <c r="B32" s="210" t="s">
        <v>223</v>
      </c>
      <c r="C32" s="8">
        <v>4.4574065208435059</v>
      </c>
      <c r="D32" s="9">
        <v>1.9999999552965164E-2</v>
      </c>
      <c r="E32" s="9">
        <v>7.9999998211860657E-2</v>
      </c>
      <c r="F32" s="9">
        <v>13.810000419616699</v>
      </c>
      <c r="G32" s="9">
        <v>0.21250000596046448</v>
      </c>
      <c r="H32" s="9">
        <v>5.7929032482206821E-3</v>
      </c>
      <c r="I32">
        <v>3.3999999868683517E-4</v>
      </c>
      <c r="J32"/>
    </row>
    <row r="33" spans="1:10" ht="15" customHeight="1" x14ac:dyDescent="0.15">
      <c r="A33" s="211">
        <v>32</v>
      </c>
      <c r="B33" s="211" t="s">
        <v>224</v>
      </c>
      <c r="C33" s="8">
        <v>1</v>
      </c>
      <c r="D33" s="9">
        <v>0.35514000058174133</v>
      </c>
      <c r="E33" s="10"/>
      <c r="F33" s="10"/>
      <c r="G33" s="9">
        <v>0.98731827735900879</v>
      </c>
      <c r="H33" s="10"/>
      <c r="I33">
        <v>0</v>
      </c>
      <c r="J33"/>
    </row>
    <row r="34" spans="1:10" ht="15" customHeight="1" x14ac:dyDescent="0.15">
      <c r="A34" s="212">
        <v>33</v>
      </c>
      <c r="B34" s="212" t="s">
        <v>225</v>
      </c>
      <c r="C34" s="8">
        <v>1</v>
      </c>
      <c r="D34" s="9">
        <v>31.440000534057617</v>
      </c>
      <c r="E34" s="10"/>
      <c r="F34" s="10"/>
      <c r="G34" s="7">
        <v>0.41175606846809387</v>
      </c>
      <c r="H34" s="10"/>
      <c r="I34">
        <v>0</v>
      </c>
      <c r="J34"/>
    </row>
    <row r="35" spans="1:10" ht="15" customHeight="1" x14ac:dyDescent="0.15">
      <c r="A35" s="213">
        <v>34</v>
      </c>
      <c r="B35" s="213" t="s">
        <v>226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214">
        <v>35</v>
      </c>
      <c r="B36" s="214" t="s">
        <v>227</v>
      </c>
      <c r="C36" s="8">
        <v>4.5277690887451172</v>
      </c>
      <c r="D36" s="10"/>
      <c r="E36" s="10"/>
      <c r="F36" s="10"/>
      <c r="G36" s="10"/>
      <c r="H36" s="10"/>
      <c r="I36">
        <v>0.23857218027114868</v>
      </c>
      <c r="J36"/>
    </row>
    <row r="37" spans="1:10" ht="15" customHeight="1" x14ac:dyDescent="0.15">
      <c r="A37" s="215">
        <v>36</v>
      </c>
      <c r="B37" s="215" t="s">
        <v>228</v>
      </c>
      <c r="C37" s="8">
        <v>4.2122712135314941</v>
      </c>
      <c r="D37" s="10"/>
      <c r="E37" s="10"/>
      <c r="F37" s="10"/>
      <c r="G37" s="10"/>
      <c r="H37" s="10"/>
      <c r="I37">
        <v>0.99253994226455688</v>
      </c>
      <c r="J37"/>
    </row>
    <row r="38" spans="1:10" ht="15" customHeight="1" x14ac:dyDescent="0.15">
      <c r="A38" s="216">
        <v>37</v>
      </c>
      <c r="B38" s="216" t="s">
        <v>229</v>
      </c>
      <c r="C38" s="8">
        <v>4.2024221420288086</v>
      </c>
      <c r="D38" s="10"/>
      <c r="E38" s="10"/>
      <c r="F38" s="10"/>
      <c r="G38" s="10"/>
      <c r="H38" s="10"/>
      <c r="I38">
        <v>3.2186906784772873E-2</v>
      </c>
      <c r="J38"/>
    </row>
    <row r="39" spans="1:10" ht="15" customHeight="1" x14ac:dyDescent="0.15">
      <c r="A39" s="217">
        <v>38</v>
      </c>
      <c r="B39" s="217" t="s">
        <v>230</v>
      </c>
      <c r="C39" s="8">
        <v>4.3380794525146484</v>
      </c>
      <c r="D39" s="10"/>
      <c r="E39" s="10"/>
      <c r="F39" s="10"/>
      <c r="G39" s="10"/>
      <c r="H39" s="10"/>
      <c r="I39">
        <v>2.1611392498016357</v>
      </c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235</v>
      </c>
      <c r="E1" t="s">
        <v>236</v>
      </c>
      <c r="F1" t="s">
        <v>237</v>
      </c>
      <c r="G1" t="s">
        <v>238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117.30000305175781</v>
      </c>
      <c r="C2">
        <v>30.022436141967773</v>
      </c>
      <c r="D2"/>
      <c r="E2"/>
      <c r="F2"/>
      <c r="G2"/>
      <c r="H2"/>
      <c r="I2" s="286">
        <v>86.721435546875</v>
      </c>
      <c r="J2" s="14">
        <v>0.16120824217796326</v>
      </c>
      <c r="K2"/>
      <c r="L2"/>
      <c r="M2"/>
      <c r="N2"/>
      <c r="O2"/>
      <c r="P2"/>
      <c r="Q2"/>
      <c r="R2"/>
      <c r="S2"/>
      <c r="T2"/>
      <c r="U2"/>
      <c r="V2"/>
      <c r="W2" s="11">
        <v>4.8405639827251434E-3</v>
      </c>
      <c r="X2" s="11">
        <v>1.6917893663048744E-3</v>
      </c>
      <c r="Y2"/>
      <c r="Z2"/>
      <c r="AA2"/>
      <c r="AB2"/>
      <c r="AC2"/>
      <c r="AD2" s="12">
        <v>0.3789207935333252</v>
      </c>
      <c r="AE2"/>
      <c r="AF2"/>
      <c r="AG2" s="11">
        <v>9.4673903658986092E-3</v>
      </c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62.470001220703125</v>
      </c>
      <c r="C3">
        <v>14.726730346679688</v>
      </c>
      <c r="D3"/>
      <c r="E3"/>
      <c r="F3"/>
      <c r="G3"/>
      <c r="H3"/>
      <c r="I3" s="285">
        <v>37.2760009765625</v>
      </c>
      <c r="J3" s="16">
        <v>1.0082148313522339</v>
      </c>
      <c r="K3"/>
      <c r="L3" s="11">
        <v>4.0762193500995636E-2</v>
      </c>
      <c r="M3" s="11">
        <v>1.7516753869131207E-3</v>
      </c>
      <c r="N3"/>
      <c r="O3" s="11">
        <v>3.3585406839847565E-2</v>
      </c>
      <c r="P3" s="12">
        <v>0.27565684914588928</v>
      </c>
      <c r="Q3" s="11">
        <v>3.2352209091186523E-2</v>
      </c>
      <c r="R3" s="11">
        <v>2.26248474791646E-3</v>
      </c>
      <c r="S3" s="11">
        <v>2.4685444310307503E-2</v>
      </c>
      <c r="T3" s="12">
        <v>0.18521015346050262</v>
      </c>
      <c r="U3" s="11">
        <v>3.3239345997571945E-2</v>
      </c>
      <c r="V3" s="11">
        <v>2.4485459551215172E-2</v>
      </c>
      <c r="W3" s="11">
        <v>4.6814609318971634E-2</v>
      </c>
      <c r="X3" s="11">
        <v>3.6844398826360703E-2</v>
      </c>
      <c r="Y3" s="23">
        <v>0.33351591229438782</v>
      </c>
      <c r="Z3" s="17">
        <v>0.81571823358535767</v>
      </c>
      <c r="AA3" s="11">
        <v>6.7426967434585094E-3</v>
      </c>
      <c r="AB3" s="11">
        <v>2.7458018157631159E-3</v>
      </c>
      <c r="AC3" s="226">
        <v>2.4687294960021973</v>
      </c>
      <c r="AD3" s="70">
        <v>3.1667146682739258</v>
      </c>
      <c r="AE3" s="15">
        <v>0.67327266931533813</v>
      </c>
      <c r="AF3" s="12">
        <v>0.18646347522735596</v>
      </c>
      <c r="AG3" s="19">
        <v>1.0584577322006226</v>
      </c>
      <c r="AH3" s="11">
        <v>7.5942627154290676E-3</v>
      </c>
      <c r="AI3" s="11">
        <v>1.0157459182664752E-3</v>
      </c>
      <c r="AJ3" s="11">
        <v>4.3934429413639009E-4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7.685999870300293</v>
      </c>
      <c r="C4">
        <v>5.4805509746074677E-2</v>
      </c>
      <c r="D4"/>
      <c r="E4"/>
      <c r="F4"/>
      <c r="G4"/>
      <c r="H4"/>
      <c r="I4"/>
      <c r="J4" s="284">
        <v>1.7135999202728271</v>
      </c>
      <c r="K4"/>
      <c r="L4" s="78">
        <v>0.50069916248321533</v>
      </c>
      <c r="M4" s="16">
        <v>0.11551588028669357</v>
      </c>
      <c r="N4"/>
      <c r="O4" s="13">
        <v>0.28710645437240601</v>
      </c>
      <c r="P4" s="257">
        <v>1.1080199480056763</v>
      </c>
      <c r="Q4" s="25">
        <v>0.23366869986057281</v>
      </c>
      <c r="R4" s="14">
        <v>2.0722458139061928E-2</v>
      </c>
      <c r="S4" s="17">
        <v>0.10195471346378326</v>
      </c>
      <c r="T4" s="263">
        <v>1.034785270690918</v>
      </c>
      <c r="U4" s="18">
        <v>8.4000006318092346E-2</v>
      </c>
      <c r="V4" s="65">
        <v>0.16474133729934692</v>
      </c>
      <c r="W4" s="218">
        <v>0.34302592277526855</v>
      </c>
      <c r="X4" s="17">
        <v>0.10390330851078033</v>
      </c>
      <c r="Y4" s="25">
        <v>0.23710677027702332</v>
      </c>
      <c r="Z4" s="239">
        <v>0.24904310703277588</v>
      </c>
      <c r="AA4"/>
      <c r="AB4" s="11">
        <v>2.5867784861475229E-3</v>
      </c>
      <c r="AC4"/>
      <c r="AD4" s="236">
        <v>0.40995678305625916</v>
      </c>
      <c r="AE4" s="21">
        <v>0.14471836388111115</v>
      </c>
      <c r="AF4" s="15">
        <v>6.8313941359519958E-2</v>
      </c>
      <c r="AG4" s="219">
        <v>0.69103258848190308</v>
      </c>
      <c r="AH4" s="14">
        <v>1.6693692654371262E-2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1.7120000123977661</v>
      </c>
      <c r="C5">
        <v>2.0691392943263054E-2</v>
      </c>
      <c r="D5"/>
      <c r="E5"/>
      <c r="F5"/>
      <c r="G5"/>
      <c r="H5"/>
      <c r="I5"/>
      <c r="J5" s="230">
        <v>0.2637404203414917</v>
      </c>
      <c r="K5" s="283">
        <v>0.39248999953269958</v>
      </c>
      <c r="L5" s="67">
        <v>0.10051654279232025</v>
      </c>
      <c r="M5" s="248">
        <v>0.18223543465137482</v>
      </c>
      <c r="N5" s="256">
        <v>0.12441820651292801</v>
      </c>
      <c r="O5" s="16">
        <v>2.8406953439116478E-2</v>
      </c>
      <c r="P5" s="237">
        <v>0.14988473057746887</v>
      </c>
      <c r="Q5" s="222">
        <v>3.8700375705957413E-2</v>
      </c>
      <c r="R5" s="23">
        <v>9.5681892707943916E-3</v>
      </c>
      <c r="S5" s="14">
        <v>4.2795995250344276E-3</v>
      </c>
      <c r="T5"/>
      <c r="U5"/>
      <c r="V5" s="279">
        <v>0.19190721213817596</v>
      </c>
      <c r="W5" s="24">
        <v>4.7515653073787689E-2</v>
      </c>
      <c r="X5" s="19">
        <v>2.9215740039944649E-2</v>
      </c>
      <c r="Y5" s="23">
        <v>1.0400542989373207E-2</v>
      </c>
      <c r="Z5" s="147">
        <v>5.1745854318141937E-2</v>
      </c>
      <c r="AA5" s="14">
        <v>3.0121777672320604E-3</v>
      </c>
      <c r="AB5" s="23">
        <v>9.9532864987850189E-3</v>
      </c>
      <c r="AC5"/>
      <c r="AD5"/>
      <c r="AE5" s="25">
        <v>5.2343025803565979E-2</v>
      </c>
      <c r="AF5"/>
      <c r="AG5"/>
      <c r="AH5" s="11">
        <v>9.6349831437692046E-4</v>
      </c>
      <c r="AI5"/>
      <c r="AJ5" s="11">
        <v>1.1148087651235983E-5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3.3389999866485596</v>
      </c>
      <c r="C6">
        <v>2.0274159032851458E-3</v>
      </c>
      <c r="D6" s="218">
        <v>0.15032680332660675</v>
      </c>
      <c r="E6"/>
      <c r="F6"/>
      <c r="G6" s="68">
        <v>0.21241830289363861</v>
      </c>
      <c r="H6"/>
      <c r="I6"/>
      <c r="J6"/>
      <c r="K6"/>
      <c r="L6" s="72">
        <v>0.23690371215343475</v>
      </c>
      <c r="M6" s="66">
        <v>0.13967607915401459</v>
      </c>
      <c r="N6"/>
      <c r="O6" s="65">
        <v>7.4390329420566559E-2</v>
      </c>
      <c r="P6" s="29">
        <v>0.15700343251228333</v>
      </c>
      <c r="Q6" s="64">
        <v>0.1842656135559082</v>
      </c>
      <c r="R6" s="16">
        <v>5.011313408613205E-2</v>
      </c>
      <c r="S6" s="18">
        <v>3.6677923053503036E-2</v>
      </c>
      <c r="T6" s="13">
        <v>0.12306993454694748</v>
      </c>
      <c r="U6" s="248">
        <v>0.35307192802429199</v>
      </c>
      <c r="V6" s="26">
        <v>8.2111768424510956E-2</v>
      </c>
      <c r="W6" s="75">
        <v>0.31107744574546814</v>
      </c>
      <c r="X6" s="269">
        <v>0.40589678287506104</v>
      </c>
      <c r="Y6" s="253">
        <v>0.38704192638397217</v>
      </c>
      <c r="Z6" s="24">
        <v>9.0339161455631256E-2</v>
      </c>
      <c r="AA6" s="14">
        <v>9.4657205045223236E-3</v>
      </c>
      <c r="AB6" s="29">
        <v>0.15639020502567291</v>
      </c>
      <c r="AC6"/>
      <c r="AD6"/>
      <c r="AE6" s="26">
        <v>8.7493136525154114E-2</v>
      </c>
      <c r="AF6" s="19">
        <v>6.1951372772455215E-2</v>
      </c>
      <c r="AG6"/>
      <c r="AH6" s="12">
        <v>1.5138888731598854E-2</v>
      </c>
      <c r="AI6" s="12">
        <v>1.2149117887020111E-2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2.5409998893737793</v>
      </c>
      <c r="C7">
        <v>7.6179034076631069E-3</v>
      </c>
      <c r="D7" s="12">
        <v>9.7087379544973373E-3</v>
      </c>
      <c r="E7"/>
      <c r="F7"/>
      <c r="G7" s="23">
        <v>1.6990290954709053E-2</v>
      </c>
      <c r="H7"/>
      <c r="I7"/>
      <c r="J7"/>
      <c r="K7"/>
      <c r="L7" s="148">
        <v>0.15249238908290863</v>
      </c>
      <c r="M7" s="70">
        <v>0.1296750009059906</v>
      </c>
      <c r="N7"/>
      <c r="O7" s="266">
        <v>0.27625533938407898</v>
      </c>
      <c r="P7" s="142">
        <v>0.30318430066108704</v>
      </c>
      <c r="Q7" s="266">
        <v>0.27371492981910706</v>
      </c>
      <c r="R7"/>
      <c r="S7" s="15">
        <v>2.724136970937252E-2</v>
      </c>
      <c r="T7" s="253">
        <v>0.29250019788742065</v>
      </c>
      <c r="U7"/>
      <c r="V7"/>
      <c r="W7" s="273">
        <v>0.41587731242179871</v>
      </c>
      <c r="X7" s="236">
        <v>0.13637793064117432</v>
      </c>
      <c r="Y7" s="219">
        <v>0.2299705296754837</v>
      </c>
      <c r="Z7"/>
      <c r="AA7" s="24">
        <v>7.0303648710250854E-2</v>
      </c>
      <c r="AB7" s="218">
        <v>0.11615388840436935</v>
      </c>
      <c r="AC7"/>
      <c r="AD7"/>
      <c r="AE7" s="26">
        <v>6.4982764422893524E-2</v>
      </c>
      <c r="AF7"/>
      <c r="AG7"/>
      <c r="AH7"/>
      <c r="AI7"/>
      <c r="AJ7" s="22">
        <v>1.7953397706151009E-2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1.2150000333786011</v>
      </c>
      <c r="C8">
        <v>5.6918221525847912E-3</v>
      </c>
      <c r="D8" s="11">
        <v>5.5109075037762523E-4</v>
      </c>
      <c r="E8"/>
      <c r="F8"/>
      <c r="G8" s="11">
        <v>4.0183696546591818E-4</v>
      </c>
      <c r="H8"/>
      <c r="I8"/>
      <c r="J8" s="271">
        <v>0.21838070452213287</v>
      </c>
      <c r="K8" s="151">
        <v>0.43331617116928101</v>
      </c>
      <c r="L8" s="78">
        <v>7.7680483460426331E-2</v>
      </c>
      <c r="M8" s="68">
        <v>7.6060116291046143E-2</v>
      </c>
      <c r="N8" s="247">
        <v>0.10301999747753143</v>
      </c>
      <c r="O8" s="280">
        <v>0.13851460814476013</v>
      </c>
      <c r="P8" s="19">
        <v>2.2063398733735085E-2</v>
      </c>
      <c r="Q8" s="12">
        <v>3.8841753266751766E-3</v>
      </c>
      <c r="R8" s="22">
        <v>8.8028814643621445E-3</v>
      </c>
      <c r="S8" s="12">
        <v>4.2952331714332104E-3</v>
      </c>
      <c r="T8" s="14">
        <v>3.4589576534926891E-3</v>
      </c>
      <c r="U8" s="14">
        <v>3.3983925823122263E-3</v>
      </c>
      <c r="V8" s="18">
        <v>1.3301916420459747E-2</v>
      </c>
      <c r="W8" s="12">
        <v>4.3715126812458038E-3</v>
      </c>
      <c r="X8" s="21">
        <v>2.4615438655018806E-2</v>
      </c>
      <c r="Y8" s="23">
        <v>8.1585412845015526E-3</v>
      </c>
      <c r="Z8"/>
      <c r="AA8" s="23">
        <v>6.6509991884231567E-3</v>
      </c>
      <c r="AB8" s="14">
        <v>1.9230070756748319E-3</v>
      </c>
      <c r="AC8"/>
      <c r="AD8"/>
      <c r="AE8" s="26">
        <v>3.0738119035959244E-2</v>
      </c>
      <c r="AF8" s="16">
        <v>1.8282411620020866E-2</v>
      </c>
      <c r="AG8" s="12">
        <v>4.2749997228384018E-3</v>
      </c>
      <c r="AH8"/>
      <c r="AI8" s="14">
        <v>1.3231518678367138E-3</v>
      </c>
      <c r="AJ8" s="14">
        <v>1.8400000408291817E-3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2.9000000953674316</v>
      </c>
      <c r="C9">
        <v>1.3543069362640381E-3</v>
      </c>
      <c r="D9" s="16">
        <v>4.3972909450531006E-2</v>
      </c>
      <c r="E9" s="11">
        <v>9.8733173217624426E-5</v>
      </c>
      <c r="F9" s="11">
        <v>2.6877297204919159E-4</v>
      </c>
      <c r="G9" s="224">
        <v>0.60324662923812866</v>
      </c>
      <c r="H9"/>
      <c r="I9"/>
      <c r="J9"/>
      <c r="K9"/>
      <c r="L9" s="20">
        <v>0.12328661978244781</v>
      </c>
      <c r="M9"/>
      <c r="N9"/>
      <c r="O9" s="144">
        <v>0.29035001993179321</v>
      </c>
      <c r="P9" s="110">
        <v>0.85791164636611938</v>
      </c>
      <c r="Q9"/>
      <c r="R9" s="109">
        <v>0.19559463858604431</v>
      </c>
      <c r="S9" s="239">
        <v>9.543745219707489E-2</v>
      </c>
      <c r="T9" s="16">
        <v>4.8034951090812683E-2</v>
      </c>
      <c r="U9" s="236">
        <v>0.15102040767669678</v>
      </c>
      <c r="V9"/>
      <c r="W9" s="26">
        <v>7.2849258780479431E-2</v>
      </c>
      <c r="X9" s="68">
        <v>0.18105600774288177</v>
      </c>
      <c r="Y9"/>
      <c r="Z9"/>
      <c r="AA9" s="21">
        <v>5.9112463146448135E-2</v>
      </c>
      <c r="AB9" s="23">
        <v>1.4649612829089165E-2</v>
      </c>
      <c r="AC9"/>
      <c r="AD9"/>
      <c r="AE9" s="29">
        <v>0.1365964263677597</v>
      </c>
      <c r="AF9"/>
      <c r="AG9"/>
      <c r="AH9" s="12">
        <v>1.1817602440714836E-2</v>
      </c>
      <c r="AI9"/>
      <c r="AJ9" s="11">
        <v>1.3673469657078385E-3</v>
      </c>
      <c r="AK9"/>
      <c r="AL9" s="12">
        <v>1.1974470689892769E-2</v>
      </c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2.5999999046325684</v>
      </c>
      <c r="C10">
        <v>6.6258306615054607E-3</v>
      </c>
      <c r="D10" s="16">
        <v>3.8567490875720978E-2</v>
      </c>
      <c r="E10"/>
      <c r="F10" s="14">
        <v>2.7548209764063358E-3</v>
      </c>
      <c r="G10" s="12">
        <v>1.1019283905625343E-2</v>
      </c>
      <c r="H10"/>
      <c r="I10"/>
      <c r="J10"/>
      <c r="K10"/>
      <c r="L10"/>
      <c r="M10"/>
      <c r="N10"/>
      <c r="O10"/>
      <c r="P10" s="276">
        <v>1.1911500692367554</v>
      </c>
      <c r="Q10"/>
      <c r="R10"/>
      <c r="S10"/>
      <c r="T10"/>
      <c r="U10" s="271">
        <v>0.46887052059173584</v>
      </c>
      <c r="V10"/>
      <c r="W10"/>
      <c r="X10"/>
      <c r="Y10"/>
      <c r="Z10"/>
      <c r="AA10" s="65">
        <v>5.4259698837995529E-2</v>
      </c>
      <c r="AB10" s="12">
        <v>1.0546645149588585E-2</v>
      </c>
      <c r="AC10"/>
      <c r="AD10"/>
      <c r="AE10" s="274">
        <v>0.51628178358078003</v>
      </c>
      <c r="AF10" s="22">
        <v>2.0889388397336006E-2</v>
      </c>
      <c r="AG10"/>
      <c r="AH10" s="64">
        <v>0.14037878811359406</v>
      </c>
      <c r="AI10" s="19">
        <v>4.4379416853189468E-2</v>
      </c>
      <c r="AJ10" s="11">
        <v>1.4765840023756027E-3</v>
      </c>
      <c r="AK10"/>
      <c r="AL10" s="28">
        <v>9.2799708247184753E-2</v>
      </c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1.9079999923706055</v>
      </c>
      <c r="C11">
        <v>1.0950189083814621E-2</v>
      </c>
      <c r="D11" s="25">
        <v>6.1224494129419327E-2</v>
      </c>
      <c r="E11"/>
      <c r="F11"/>
      <c r="G11" s="219">
        <v>0.17346939444541931</v>
      </c>
      <c r="H11"/>
      <c r="I11"/>
      <c r="J11"/>
      <c r="K11"/>
      <c r="L11"/>
      <c r="M11"/>
      <c r="N11"/>
      <c r="O11"/>
      <c r="P11" s="261">
        <v>0.44121170043945312</v>
      </c>
      <c r="Q11"/>
      <c r="R11" s="66">
        <v>7.8237853944301605E-2</v>
      </c>
      <c r="S11"/>
      <c r="T11" s="268">
        <v>0.59563338756561279</v>
      </c>
      <c r="U11"/>
      <c r="V11"/>
      <c r="W11" s="260">
        <v>0.38852936029434204</v>
      </c>
      <c r="X11"/>
      <c r="Y11"/>
      <c r="Z11"/>
      <c r="AA11"/>
      <c r="AB11" s="72">
        <v>0.13428811728954315</v>
      </c>
      <c r="AC11"/>
      <c r="AD11"/>
      <c r="AE11"/>
      <c r="AF11"/>
      <c r="AG11"/>
      <c r="AH11" s="18">
        <v>2.3635204881429672E-2</v>
      </c>
      <c r="AI11"/>
      <c r="AJ11" s="11">
        <v>8.2040816778317094E-4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1.1000000238418579</v>
      </c>
      <c r="C12">
        <v>0.86784416437149048</v>
      </c>
      <c r="D12" s="219">
        <v>9.8522171378135681E-2</v>
      </c>
      <c r="E12"/>
      <c r="F12"/>
      <c r="G12" s="24">
        <v>2.9556650668382645E-2</v>
      </c>
      <c r="H12"/>
      <c r="I12"/>
      <c r="J12"/>
      <c r="K12"/>
      <c r="L12"/>
      <c r="M12"/>
      <c r="N12"/>
      <c r="O12"/>
      <c r="P12"/>
      <c r="Q12"/>
      <c r="R12" s="240">
        <v>7.5539998710155487E-2</v>
      </c>
      <c r="S12"/>
      <c r="T12"/>
      <c r="U12"/>
      <c r="V12"/>
      <c r="W12"/>
      <c r="X12"/>
      <c r="Y12"/>
      <c r="Z12"/>
      <c r="AA12" s="26">
        <v>2.8537049889564514E-2</v>
      </c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1.8200000524520874</v>
      </c>
      <c r="C13">
        <v>9.0392427518963814E-3</v>
      </c>
      <c r="D13" s="15">
        <v>1.8691590055823326E-2</v>
      </c>
      <c r="E13" s="15">
        <v>1.8691590055823326E-2</v>
      </c>
      <c r="F13"/>
      <c r="G13" s="225">
        <v>0.94392520189285278</v>
      </c>
      <c r="H13"/>
      <c r="I13"/>
      <c r="J13"/>
      <c r="K13"/>
      <c r="L13"/>
      <c r="M13"/>
      <c r="N13"/>
      <c r="O13"/>
      <c r="P13"/>
      <c r="Q13"/>
      <c r="R13" s="76">
        <v>0.14331419765949249</v>
      </c>
      <c r="S13" s="29">
        <v>8.7410002946853638E-2</v>
      </c>
      <c r="T13"/>
      <c r="U13" s="69">
        <v>0.16598132252693176</v>
      </c>
      <c r="V13"/>
      <c r="W13"/>
      <c r="X13"/>
      <c r="Y13"/>
      <c r="Z13"/>
      <c r="AA13" s="241">
        <v>0.14617902040481567</v>
      </c>
      <c r="AB13" s="21">
        <v>3.5779740661382675E-2</v>
      </c>
      <c r="AC13"/>
      <c r="AD13"/>
      <c r="AE13" s="243">
        <v>0.25021401047706604</v>
      </c>
      <c r="AF13"/>
      <c r="AG13"/>
      <c r="AH13"/>
      <c r="AI13"/>
      <c r="AJ13"/>
      <c r="AK13"/>
      <c r="AL13" s="11">
        <v>7.7416031854227185E-4</v>
      </c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1.4500000476837158</v>
      </c>
      <c r="C14">
        <v>5.5857602274045348E-4</v>
      </c>
      <c r="D14" s="220">
        <v>7.2413802146911621E-2</v>
      </c>
      <c r="E14"/>
      <c r="F14"/>
      <c r="G14" s="65">
        <v>3.1034484505653381E-2</v>
      </c>
      <c r="H14"/>
      <c r="I14"/>
      <c r="J14"/>
      <c r="K14"/>
      <c r="L14"/>
      <c r="M14"/>
      <c r="N14"/>
      <c r="O14"/>
      <c r="P14" s="149">
        <v>0.36446452140808105</v>
      </c>
      <c r="Q14"/>
      <c r="R14" s="219">
        <v>0.13219499588012695</v>
      </c>
      <c r="S14" s="264">
        <v>0.19350767135620117</v>
      </c>
      <c r="T14" s="24">
        <v>3.8958001881837845E-2</v>
      </c>
      <c r="U14" s="236">
        <v>7.6551727950572968E-2</v>
      </c>
      <c r="V14"/>
      <c r="W14" s="271">
        <v>0.26259225606918335</v>
      </c>
      <c r="X14" s="226">
        <v>5.6085735559463501E-2</v>
      </c>
      <c r="Y14"/>
      <c r="Z14"/>
      <c r="AA14" s="16">
        <v>2.3971119895577431E-2</v>
      </c>
      <c r="AB14" s="222">
        <v>3.3003725111484528E-2</v>
      </c>
      <c r="AC14"/>
      <c r="AD14"/>
      <c r="AE14" s="25">
        <v>4.6160172671079636E-2</v>
      </c>
      <c r="AF14" s="15">
        <v>1.3073877431452274E-2</v>
      </c>
      <c r="AG14"/>
      <c r="AH14" s="256">
        <v>0.10542931407690048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0.58700001239776611</v>
      </c>
      <c r="C15">
        <v>1.1635235277935863E-3</v>
      </c>
      <c r="D15" s="221">
        <v>6.0000002384185791E-2</v>
      </c>
      <c r="E15"/>
      <c r="F15"/>
      <c r="G15" s="149">
        <v>0.14750000834465027</v>
      </c>
      <c r="H15"/>
      <c r="I15"/>
      <c r="J15"/>
      <c r="K15"/>
      <c r="L15"/>
      <c r="M15"/>
      <c r="N15"/>
      <c r="O15"/>
      <c r="P15" s="242">
        <v>4.8043053597211838E-2</v>
      </c>
      <c r="Q15"/>
      <c r="R15" s="244">
        <v>6.9005779922008514E-2</v>
      </c>
      <c r="S15"/>
      <c r="T15"/>
      <c r="U15" s="150">
        <v>0.14800000190734863</v>
      </c>
      <c r="V15"/>
      <c r="W15"/>
      <c r="X15"/>
      <c r="Y15"/>
      <c r="Z15"/>
      <c r="AA15" s="238">
        <v>3.3309869468212128E-2</v>
      </c>
      <c r="AB15" s="236">
        <v>3.110601007938385E-2</v>
      </c>
      <c r="AC15"/>
      <c r="AD15"/>
      <c r="AE15"/>
      <c r="AF15"/>
      <c r="AG15"/>
      <c r="AH15" s="226">
        <v>2.3162499070167542E-2</v>
      </c>
      <c r="AI15" s="14">
        <v>1.5490124933421612E-3</v>
      </c>
      <c r="AJ15"/>
      <c r="AK15"/>
      <c r="AL15" s="66">
        <v>2.4160252884030342E-2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2.4000000953674316</v>
      </c>
      <c r="C16">
        <v>1.1589288711547852E-2</v>
      </c>
      <c r="D16"/>
      <c r="E16" s="23">
        <v>1.3333333656191826E-2</v>
      </c>
      <c r="F16"/>
      <c r="G16" s="226">
        <v>9.3333333730697632E-2</v>
      </c>
      <c r="H16"/>
      <c r="I16"/>
      <c r="J16"/>
      <c r="K16"/>
      <c r="L16"/>
      <c r="M16" s="19">
        <v>4.2740877717733383E-2</v>
      </c>
      <c r="N16"/>
      <c r="O16"/>
      <c r="P16" s="24">
        <v>6.4057402312755585E-2</v>
      </c>
      <c r="Q16"/>
      <c r="R16"/>
      <c r="S16" s="224">
        <v>0.4988197386264801</v>
      </c>
      <c r="T16" s="267">
        <v>0.75318795442581177</v>
      </c>
      <c r="U16" s="242">
        <v>0.19733332097530365</v>
      </c>
      <c r="V16"/>
      <c r="W16" s="76">
        <v>0.19037938117980957</v>
      </c>
      <c r="X16"/>
      <c r="Y16"/>
      <c r="Z16"/>
      <c r="AA16" s="28">
        <v>8.3033293485641479E-2</v>
      </c>
      <c r="AB16" s="248">
        <v>0.25522878766059875</v>
      </c>
      <c r="AC16"/>
      <c r="AD16"/>
      <c r="AE16"/>
      <c r="AF16"/>
      <c r="AG16"/>
      <c r="AH16"/>
      <c r="AI16"/>
      <c r="AJ16"/>
      <c r="AK16"/>
      <c r="AL16" s="242">
        <v>0.1969635933637619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1.6000000238418579</v>
      </c>
      <c r="C17">
        <v>6.8415640853345394E-3</v>
      </c>
      <c r="D17" s="67">
        <v>9.3495927751064301E-2</v>
      </c>
      <c r="E17" s="18">
        <v>2.0325202494859695E-2</v>
      </c>
      <c r="F17"/>
      <c r="G17" s="143">
        <v>0.34552845358848572</v>
      </c>
      <c r="H17"/>
      <c r="I17"/>
      <c r="J17"/>
      <c r="K17"/>
      <c r="L17"/>
      <c r="M17"/>
      <c r="N17"/>
      <c r="O17" s="253">
        <v>0.18506862223148346</v>
      </c>
      <c r="P17"/>
      <c r="Q17"/>
      <c r="R17" s="251">
        <v>0.15583962202072144</v>
      </c>
      <c r="S17" s="75">
        <v>0.15207919478416443</v>
      </c>
      <c r="T17"/>
      <c r="U17" s="246">
        <v>0.12032520025968552</v>
      </c>
      <c r="V17"/>
      <c r="W17"/>
      <c r="X17" s="259">
        <v>0.30053332448005676</v>
      </c>
      <c r="Y17"/>
      <c r="Z17"/>
      <c r="AA17"/>
      <c r="AB17" s="13">
        <v>5.8360245078802109E-2</v>
      </c>
      <c r="AC17"/>
      <c r="AD17"/>
      <c r="AE17"/>
      <c r="AF17"/>
      <c r="AG17"/>
      <c r="AH17"/>
      <c r="AI17" s="23">
        <v>1.0074878111481667E-2</v>
      </c>
      <c r="AJ17"/>
      <c r="AK17"/>
      <c r="AL17" s="75">
        <v>0.15152773261070251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1.3999999761581421</v>
      </c>
      <c r="C18">
        <v>1.246640644967556E-2</v>
      </c>
      <c r="D18" s="23">
        <v>9.3167703598737717E-3</v>
      </c>
      <c r="E18" s="15">
        <v>1.242236141115427E-2</v>
      </c>
      <c r="F18" s="14">
        <v>3.1055903527885675E-3</v>
      </c>
      <c r="G18" s="111">
        <v>0.25465840101242065</v>
      </c>
      <c r="H18"/>
      <c r="I18"/>
      <c r="J18"/>
      <c r="K18"/>
      <c r="L18"/>
      <c r="M18" s="15">
        <v>1.3273565098643303E-2</v>
      </c>
      <c r="N18"/>
      <c r="O18" s="262">
        <v>0.28277567028999329</v>
      </c>
      <c r="P18"/>
      <c r="Q18"/>
      <c r="R18"/>
      <c r="S18" s="265">
        <v>0.34855416417121887</v>
      </c>
      <c r="T18" s="247">
        <v>0.11695465445518494</v>
      </c>
      <c r="U18" s="228">
        <v>0.18385092914104462</v>
      </c>
      <c r="V18"/>
      <c r="W18"/>
      <c r="X18"/>
      <c r="Y18"/>
      <c r="Z18"/>
      <c r="AA18"/>
      <c r="AB18" s="25">
        <v>4.4585779309272766E-2</v>
      </c>
      <c r="AC18"/>
      <c r="AD18"/>
      <c r="AE18"/>
      <c r="AF18"/>
      <c r="AG18"/>
      <c r="AH18"/>
      <c r="AI18"/>
      <c r="AJ18" s="14">
        <v>1.414906932041049E-3</v>
      </c>
      <c r="AK18"/>
      <c r="AL18" s="242">
        <v>0.11662092804908752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1.8999999761581421</v>
      </c>
      <c r="C19">
        <v>8.6343167349696159E-3</v>
      </c>
      <c r="D19" s="14">
        <v>4.2194095440208912E-3</v>
      </c>
      <c r="E19" s="23">
        <v>1.2658228166401386E-2</v>
      </c>
      <c r="F19" s="14">
        <v>4.2194095440208912E-3</v>
      </c>
      <c r="G19" s="227">
        <v>0.43037974834442139</v>
      </c>
      <c r="H19"/>
      <c r="I19"/>
      <c r="J19"/>
      <c r="K19"/>
      <c r="L19"/>
      <c r="M19" s="15">
        <v>1.8034126609563828E-2</v>
      </c>
      <c r="N19"/>
      <c r="O19"/>
      <c r="P19" s="65">
        <v>4.0542658418416977E-2</v>
      </c>
      <c r="Q19"/>
      <c r="R19" s="148">
        <v>0.11646545678377151</v>
      </c>
      <c r="S19" s="257">
        <v>0.2762451171875</v>
      </c>
      <c r="T19" s="254">
        <v>0.23835062980651855</v>
      </c>
      <c r="U19" s="228">
        <v>0.2497890293598175</v>
      </c>
      <c r="V19"/>
      <c r="W19" s="250">
        <v>0.24098655581474304</v>
      </c>
      <c r="X19" s="239">
        <v>6.2389194965362549E-2</v>
      </c>
      <c r="Y19"/>
      <c r="Z19"/>
      <c r="AA19" s="19">
        <v>3.4220371395349503E-2</v>
      </c>
      <c r="AB19" s="78">
        <v>0.12115291506052017</v>
      </c>
      <c r="AC19"/>
      <c r="AD19"/>
      <c r="AE19"/>
      <c r="AF19" s="19">
        <v>3.1995140016078949E-2</v>
      </c>
      <c r="AG19"/>
      <c r="AH19"/>
      <c r="AI19" s="14">
        <v>2.6143670547753572E-3</v>
      </c>
      <c r="AJ19" s="11">
        <v>1.1308017565170303E-4</v>
      </c>
      <c r="AK19"/>
      <c r="AL19" s="12">
        <v>6.9903084076941013E-3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1.5</v>
      </c>
      <c r="C20">
        <v>1.2514293193817139E-2</v>
      </c>
      <c r="D20"/>
      <c r="E20" s="222">
        <v>3.4690801054239273E-2</v>
      </c>
      <c r="F20" s="14">
        <v>3.0165915377438068E-3</v>
      </c>
      <c r="G20" s="21">
        <v>2.8657618910074234E-2</v>
      </c>
      <c r="H20"/>
      <c r="I20"/>
      <c r="J20"/>
      <c r="K20"/>
      <c r="L20"/>
      <c r="M20"/>
      <c r="N20"/>
      <c r="O20" s="222">
        <v>3.4333996474742889E-2</v>
      </c>
      <c r="P20" s="79">
        <v>0.33333036303520203</v>
      </c>
      <c r="Q20"/>
      <c r="R20" s="148">
        <v>9.251655638217926E-2</v>
      </c>
      <c r="S20"/>
      <c r="T20" s="269">
        <v>0.18176484107971191</v>
      </c>
      <c r="U20" s="218">
        <v>6.6968329250812531E-2</v>
      </c>
      <c r="V20"/>
      <c r="W20" s="270">
        <v>0.21536131203174591</v>
      </c>
      <c r="X20" s="242">
        <v>0.12266111373901367</v>
      </c>
      <c r="Y20"/>
      <c r="Z20"/>
      <c r="AA20"/>
      <c r="AB20" s="12">
        <v>7.2180093266069889E-3</v>
      </c>
      <c r="AC20"/>
      <c r="AD20"/>
      <c r="AE20" s="272">
        <v>0.24228867888450623</v>
      </c>
      <c r="AF20"/>
      <c r="AG20"/>
      <c r="AH20" s="24">
        <v>4.1923075914382935E-2</v>
      </c>
      <c r="AI20"/>
      <c r="AJ20" s="14">
        <v>4.042232409119606E-3</v>
      </c>
      <c r="AK20"/>
      <c r="AL20" s="236">
        <v>7.8712135553359985E-2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0.69800001382827759</v>
      </c>
      <c r="C21">
        <v>8.3746025338768959E-3</v>
      </c>
      <c r="D21" s="70">
        <v>3.5211268812417984E-2</v>
      </c>
      <c r="E21" s="147">
        <v>2.1126760169863701E-2</v>
      </c>
      <c r="F21"/>
      <c r="G21" s="228">
        <v>9.1549292206764221E-2</v>
      </c>
      <c r="H21"/>
      <c r="I21"/>
      <c r="J21"/>
      <c r="K21"/>
      <c r="L21"/>
      <c r="M21"/>
      <c r="N21"/>
      <c r="O21"/>
      <c r="P21" s="252">
        <v>0.54133015871047974</v>
      </c>
      <c r="Q21"/>
      <c r="R21"/>
      <c r="S21"/>
      <c r="T21"/>
      <c r="U21"/>
      <c r="V21"/>
      <c r="W21"/>
      <c r="X21"/>
      <c r="Y21"/>
      <c r="Z21"/>
      <c r="AA21" s="11">
        <v>4.0795915992930532E-4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</v>
      </c>
      <c r="C22">
        <v>0.2825276255607605</v>
      </c>
      <c r="D22" s="76">
        <v>7.8014187514781952E-2</v>
      </c>
      <c r="E22"/>
      <c r="F22"/>
      <c r="G22" s="229">
        <v>0.28368791937828064</v>
      </c>
      <c r="H22"/>
      <c r="I22"/>
      <c r="J22"/>
      <c r="K22"/>
      <c r="L22"/>
      <c r="M22"/>
      <c r="N22"/>
      <c r="O22"/>
      <c r="P22"/>
      <c r="Q22"/>
      <c r="R22" s="249">
        <v>0.27189040184020996</v>
      </c>
      <c r="S22" s="236">
        <v>5.3065933287143707E-2</v>
      </c>
      <c r="T22"/>
      <c r="U22"/>
      <c r="V22"/>
      <c r="W22"/>
      <c r="X22"/>
      <c r="Y22"/>
      <c r="Z22"/>
      <c r="AA22" s="25">
        <v>3.0813939869403839E-2</v>
      </c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1.753000020980835</v>
      </c>
      <c r="C23">
        <v>8.0295084044337273E-3</v>
      </c>
      <c r="D23" s="11">
        <v>4.4444447848945856E-4</v>
      </c>
      <c r="E23" s="223">
        <v>0.18222221732139587</v>
      </c>
      <c r="F23" s="11">
        <v>1.3333333190530539E-3</v>
      </c>
      <c r="G23" s="64">
        <v>9.7333334386348724E-2</v>
      </c>
      <c r="H23"/>
      <c r="I23"/>
      <c r="J23"/>
      <c r="K23"/>
      <c r="L23"/>
      <c r="M23"/>
      <c r="N23"/>
      <c r="O23"/>
      <c r="P23" s="281">
        <v>0.66619700193405151</v>
      </c>
      <c r="Q23"/>
      <c r="R23" s="23">
        <v>1.0223079472780228E-2</v>
      </c>
      <c r="S23" s="15">
        <v>1.6627324745059013E-2</v>
      </c>
      <c r="T23" s="277">
        <v>0.30797019600868225</v>
      </c>
      <c r="U23" s="148">
        <v>0.10524444282054901</v>
      </c>
      <c r="V23"/>
      <c r="W23"/>
      <c r="X23" s="20">
        <v>7.4916943907737732E-2</v>
      </c>
      <c r="Y23"/>
      <c r="Z23"/>
      <c r="AA23" s="14">
        <v>2.3172080982476473E-3</v>
      </c>
      <c r="AB23" s="222">
        <v>4.1474681347608566E-2</v>
      </c>
      <c r="AC23"/>
      <c r="AD23"/>
      <c r="AE23" s="23">
        <v>9.5192538574337959E-3</v>
      </c>
      <c r="AF23" s="220">
        <v>8.4253862500190735E-2</v>
      </c>
      <c r="AG23"/>
      <c r="AH23" s="240">
        <v>0.12106267362833023</v>
      </c>
      <c r="AI23" s="18">
        <v>1.927659846842289E-2</v>
      </c>
      <c r="AJ23" s="11">
        <v>2.3822223010938615E-4</v>
      </c>
      <c r="AK23" s="14">
        <v>1.9841778557747602E-3</v>
      </c>
      <c r="AL23" s="14">
        <v>2.3316564038395882E-3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1.7779999971389771</v>
      </c>
      <c r="C24">
        <v>4.4811340048909187E-3</v>
      </c>
      <c r="D24" s="11">
        <v>5.1282055210322142E-4</v>
      </c>
      <c r="E24" s="223">
        <v>0.18307691812515259</v>
      </c>
      <c r="F24" s="23">
        <v>9.7435899078845978E-3</v>
      </c>
      <c r="G24" s="230">
        <v>0.27589741349220276</v>
      </c>
      <c r="H24"/>
      <c r="I24"/>
      <c r="J24"/>
      <c r="K24"/>
      <c r="L24"/>
      <c r="M24"/>
      <c r="N24"/>
      <c r="O24"/>
      <c r="P24" s="282">
        <v>0.8031812310218811</v>
      </c>
      <c r="Q24"/>
      <c r="R24" s="18">
        <v>1.9659768790006638E-2</v>
      </c>
      <c r="S24" s="14">
        <v>3.8370750844478607E-3</v>
      </c>
      <c r="T24" s="18">
        <v>1.9312512129545212E-2</v>
      </c>
      <c r="U24" s="29">
        <v>8.3487175405025482E-2</v>
      </c>
      <c r="V24"/>
      <c r="W24" s="16">
        <v>2.9289135709404945E-2</v>
      </c>
      <c r="X24" s="65">
        <v>3.7913437932729721E-2</v>
      </c>
      <c r="Y24"/>
      <c r="Z24"/>
      <c r="AA24" s="14">
        <v>2.9707800131291151E-3</v>
      </c>
      <c r="AB24" s="22">
        <v>1.2270616367459297E-2</v>
      </c>
      <c r="AC24"/>
      <c r="AD24"/>
      <c r="AE24" s="23">
        <v>1.0983754880726337E-2</v>
      </c>
      <c r="AF24" s="72">
        <v>0.1263808012008667</v>
      </c>
      <c r="AG24"/>
      <c r="AH24" s="76">
        <v>0.14016281068325043</v>
      </c>
      <c r="AI24" s="12">
        <v>6.3549228943884373E-3</v>
      </c>
      <c r="AJ24" s="11">
        <v>1.3743590097874403E-3</v>
      </c>
      <c r="AK24" s="14">
        <v>2.8617950156331062E-3</v>
      </c>
      <c r="AL24" s="14">
        <v>4.2479564435780048E-3</v>
      </c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</v>
      </c>
      <c r="C25">
        <v>6.0455203056335449E-3</v>
      </c>
      <c r="D25" s="17">
        <v>1.3661202974617481E-2</v>
      </c>
      <c r="E25" s="27">
        <v>7.6502732932567596E-2</v>
      </c>
      <c r="F25" s="14">
        <v>2.7322405949234962E-3</v>
      </c>
      <c r="G25" s="108">
        <v>0.15710382163524628</v>
      </c>
      <c r="H25"/>
      <c r="I25"/>
      <c r="J25"/>
      <c r="K25"/>
      <c r="L25"/>
      <c r="M25"/>
      <c r="N25"/>
      <c r="O25"/>
      <c r="P25" s="275">
        <v>0.39379546046257019</v>
      </c>
      <c r="Q25"/>
      <c r="R25" s="263">
        <v>0.13616806268692017</v>
      </c>
      <c r="S25" s="237">
        <v>8.816230297088623E-2</v>
      </c>
      <c r="T25"/>
      <c r="U25"/>
      <c r="V25"/>
      <c r="W25"/>
      <c r="X25"/>
      <c r="Y25"/>
      <c r="Z25"/>
      <c r="AA25" s="21">
        <v>1.899350993335247E-2</v>
      </c>
      <c r="AB25" s="23">
        <v>6.5376232378184795E-3</v>
      </c>
      <c r="AC25"/>
      <c r="AD25"/>
      <c r="AE25"/>
      <c r="AF25" s="15">
        <v>1.0359082370996475E-2</v>
      </c>
      <c r="AG25"/>
      <c r="AH25" s="68">
        <v>6.3285522162914276E-2</v>
      </c>
      <c r="AI25" s="23">
        <v>6.7716394551098347E-3</v>
      </c>
      <c r="AJ25" s="12">
        <v>3.6612024996429682E-3</v>
      </c>
      <c r="AK25"/>
      <c r="AL25" s="16">
        <v>1.6219999641180038E-2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1.0219999551773071</v>
      </c>
      <c r="C26">
        <v>6.0948836617171764E-3</v>
      </c>
      <c r="D26"/>
      <c r="E26" s="142">
        <v>0.12244898825883865</v>
      </c>
      <c r="F26" s="12">
        <v>3.4013607073575258E-3</v>
      </c>
      <c r="G26" s="72">
        <v>7.1428567171096802E-2</v>
      </c>
      <c r="H26"/>
      <c r="I26"/>
      <c r="J26"/>
      <c r="K26"/>
      <c r="L26"/>
      <c r="M26"/>
      <c r="N26"/>
      <c r="O26"/>
      <c r="P26" s="245">
        <v>9.8047040402889252E-2</v>
      </c>
      <c r="Q26"/>
      <c r="R26" s="250">
        <v>0.13039642572402954</v>
      </c>
      <c r="S26" s="68">
        <v>6.3624970614910126E-2</v>
      </c>
      <c r="T26"/>
      <c r="U26"/>
      <c r="V26"/>
      <c r="W26" s="255">
        <v>0.19426468014717102</v>
      </c>
      <c r="X26" s="258">
        <v>0.25146666169166565</v>
      </c>
      <c r="Y26"/>
      <c r="Z26"/>
      <c r="AA26"/>
      <c r="AB26"/>
      <c r="AC26"/>
      <c r="AD26"/>
      <c r="AE26"/>
      <c r="AF26"/>
      <c r="AG26"/>
      <c r="AH26" s="148">
        <v>6.3027210533618927E-2</v>
      </c>
      <c r="AI26" s="16">
        <v>1.6860000789165497E-2</v>
      </c>
      <c r="AJ26"/>
      <c r="AK26"/>
      <c r="AL26" s="11">
        <v>9.3917408958077431E-4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1.3999999761581421</v>
      </c>
      <c r="C27">
        <v>4.6340343542397022E-3</v>
      </c>
      <c r="D27"/>
      <c r="E27" s="64">
        <v>7.6923079788684845E-2</v>
      </c>
      <c r="F27" s="14">
        <v>1.7094018403440714E-3</v>
      </c>
      <c r="G27" s="231">
        <v>0.30000001192092896</v>
      </c>
      <c r="H27"/>
      <c r="I27"/>
      <c r="J27"/>
      <c r="K27"/>
      <c r="L27"/>
      <c r="M27"/>
      <c r="N27"/>
      <c r="O27"/>
      <c r="P27" s="278">
        <v>0.7391238808631897</v>
      </c>
      <c r="Q27"/>
      <c r="R27"/>
      <c r="S27"/>
      <c r="T27"/>
      <c r="U27" s="218">
        <v>6.3247866928577423E-2</v>
      </c>
      <c r="V27"/>
      <c r="W27" s="28">
        <v>4.8815228044986725E-2</v>
      </c>
      <c r="X27"/>
      <c r="Y27"/>
      <c r="Z27"/>
      <c r="AA27"/>
      <c r="AB27"/>
      <c r="AC27"/>
      <c r="AD27"/>
      <c r="AE27" s="15">
        <v>1.3729693368077278E-2</v>
      </c>
      <c r="AF27" s="222">
        <v>3.240533173084259E-2</v>
      </c>
      <c r="AG27"/>
      <c r="AH27" s="70">
        <v>7.1269236505031586E-2</v>
      </c>
      <c r="AI27" s="12">
        <v>6.5667536109685898E-3</v>
      </c>
      <c r="AJ27"/>
      <c r="AK27" s="14">
        <v>3.8157266099005938E-3</v>
      </c>
      <c r="AL27" s="24">
        <v>3.775961697101593E-2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0.42500001192092896</v>
      </c>
      <c r="C28">
        <v>0.31582370400428772</v>
      </c>
      <c r="D28"/>
      <c r="E28" s="21">
        <v>8.0000003799796104E-3</v>
      </c>
      <c r="F28"/>
      <c r="G28" s="232">
        <v>6.3999995589256287E-2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237">
        <v>3.7176299840211868E-2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0.40000000596046448</v>
      </c>
      <c r="C29">
        <v>5.4204750806093216E-2</v>
      </c>
      <c r="D29" s="14">
        <v>7.0936325937509537E-4</v>
      </c>
      <c r="E29" s="70">
        <v>2.0434632897377014E-2</v>
      </c>
      <c r="F29" s="12">
        <v>1.6642144182696939E-3</v>
      </c>
      <c r="G29" s="233">
        <v>0.32298704981803894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0.15999999642372131</v>
      </c>
      <c r="C30">
        <v>3.5000000149011612E-2</v>
      </c>
      <c r="D30"/>
      <c r="E30"/>
      <c r="F30"/>
      <c r="G30" s="234">
        <v>0.125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4.7800002098083496</v>
      </c>
      <c r="C31">
        <v>4.7800002098083496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7.9999998211860657E-2</v>
      </c>
      <c r="C32">
        <v>6.3000001013278961E-2</v>
      </c>
      <c r="D32"/>
      <c r="E32"/>
      <c r="F32"/>
      <c r="G32" s="235">
        <v>1.7000000923871994E-2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/>
      <c r="C33">
        <v>0.98731827735900879</v>
      </c>
      <c r="D33"/>
      <c r="E33"/>
      <c r="F33"/>
      <c r="G33"/>
      <c r="H33"/>
      <c r="I33"/>
      <c r="J33" s="9">
        <v>0.19020959734916687</v>
      </c>
      <c r="K33"/>
      <c r="L33" s="9">
        <v>3.6246266216039658E-2</v>
      </c>
      <c r="M33" s="9">
        <v>2.1370438858866692E-2</v>
      </c>
      <c r="N33"/>
      <c r="O33"/>
      <c r="P33"/>
      <c r="Q33"/>
      <c r="R33"/>
      <c r="S33"/>
      <c r="T33" s="9">
        <v>4.8957221210002899E-2</v>
      </c>
      <c r="U33"/>
      <c r="V33"/>
      <c r="W33"/>
      <c r="X33"/>
      <c r="Y33"/>
      <c r="Z33"/>
      <c r="AA33" s="9">
        <v>2.8965105302631855E-3</v>
      </c>
      <c r="AB33" s="9">
        <v>4.785540048032999E-3</v>
      </c>
      <c r="AC33"/>
      <c r="AD33"/>
      <c r="AE33"/>
      <c r="AF33"/>
      <c r="AG33"/>
      <c r="AH33"/>
      <c r="AI33"/>
      <c r="AJ33" s="9">
        <v>1.7152000218629837E-2</v>
      </c>
      <c r="AK33" s="9">
        <v>2.9018601402640343E-2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/>
      <c r="C34">
        <v>0.41175606846809387</v>
      </c>
      <c r="D34"/>
      <c r="E34"/>
      <c r="F34"/>
      <c r="G34"/>
      <c r="H34"/>
      <c r="I34" s="9">
        <v>227.38360595703125</v>
      </c>
      <c r="J34" s="9">
        <v>50.722560882568359</v>
      </c>
      <c r="K34" s="9">
        <v>50.951484680175781</v>
      </c>
      <c r="L34" s="9">
        <v>0.21747760474681854</v>
      </c>
      <c r="M34" s="9">
        <v>0.32055661082267761</v>
      </c>
      <c r="N34" s="9">
        <v>26.919124603271484</v>
      </c>
      <c r="O34"/>
      <c r="P34"/>
      <c r="Q34" s="9">
        <v>0.56385278701782227</v>
      </c>
      <c r="R34"/>
      <c r="S34" s="9">
        <v>6.5470095723867416E-3</v>
      </c>
      <c r="T34" s="9">
        <v>3.3893458545207977E-2</v>
      </c>
      <c r="U34"/>
      <c r="V34"/>
      <c r="W34"/>
      <c r="X34"/>
      <c r="Y34"/>
      <c r="Z34"/>
      <c r="AA34"/>
      <c r="AB34"/>
      <c r="AC34"/>
      <c r="AD34"/>
      <c r="AE34"/>
      <c r="AF34"/>
      <c r="AG34" s="9">
        <v>7.4470497667789459E-2</v>
      </c>
      <c r="AH34"/>
      <c r="AI34"/>
      <c r="AJ34"/>
      <c r="AK34" s="9">
        <v>6.808210164308548E-2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.3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1" t="s">
        <v>193</v>
      </c>
      <c r="E5">
        <v>4</v>
      </c>
      <c r="F5">
        <v>2.1</v>
      </c>
      <c r="G5">
        <v>4</v>
      </c>
      <c r="H5" s="202" t="s">
        <v>193</v>
      </c>
      <c r="J5" s="57"/>
      <c r="K5" s="58"/>
    </row>
    <row r="6" spans="1:12" ht="14" thickBot="1" x14ac:dyDescent="0.2">
      <c r="A6" s="41" t="s">
        <v>121</v>
      </c>
      <c r="D6" s="201" t="s">
        <v>194</v>
      </c>
      <c r="E6">
        <v>5</v>
      </c>
      <c r="F6">
        <v>3.11</v>
      </c>
      <c r="G6">
        <v>5</v>
      </c>
      <c r="H6" s="202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1" t="s">
        <v>195</v>
      </c>
      <c r="E7">
        <v>6</v>
      </c>
      <c r="F7">
        <v>3.21</v>
      </c>
      <c r="G7">
        <v>6</v>
      </c>
      <c r="H7" s="202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1" t="s">
        <v>196</v>
      </c>
      <c r="E8">
        <v>7</v>
      </c>
      <c r="F8">
        <v>3.21</v>
      </c>
      <c r="G8">
        <v>7</v>
      </c>
      <c r="H8" s="202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1" t="s">
        <v>197</v>
      </c>
      <c r="E9">
        <v>8</v>
      </c>
      <c r="F9">
        <v>3.02</v>
      </c>
      <c r="G9">
        <v>8</v>
      </c>
      <c r="H9" s="202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1" t="s">
        <v>198</v>
      </c>
      <c r="E10">
        <v>9</v>
      </c>
      <c r="F10">
        <v>3.21</v>
      </c>
      <c r="G10">
        <v>9</v>
      </c>
      <c r="H10" s="202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1" t="s">
        <v>199</v>
      </c>
      <c r="E11">
        <v>10</v>
      </c>
      <c r="F11">
        <v>3.21</v>
      </c>
      <c r="G11">
        <v>10</v>
      </c>
      <c r="H11" s="202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1" t="s">
        <v>200</v>
      </c>
      <c r="E12">
        <v>11</v>
      </c>
      <c r="F12">
        <v>3.23</v>
      </c>
      <c r="G12">
        <v>11</v>
      </c>
      <c r="H12" s="202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1" t="s">
        <v>201</v>
      </c>
      <c r="E13">
        <v>12</v>
      </c>
      <c r="F13">
        <v>3.13</v>
      </c>
      <c r="G13">
        <v>12</v>
      </c>
      <c r="H13" s="202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1" t="s">
        <v>202</v>
      </c>
      <c r="E14">
        <v>13</v>
      </c>
      <c r="F14">
        <v>3.14</v>
      </c>
      <c r="G14">
        <v>13</v>
      </c>
      <c r="H14" s="202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1" t="s">
        <v>203</v>
      </c>
      <c r="E15">
        <v>14</v>
      </c>
      <c r="F15">
        <v>3.14</v>
      </c>
      <c r="G15">
        <v>14</v>
      </c>
      <c r="H15" s="202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1" t="s">
        <v>204</v>
      </c>
      <c r="E16">
        <v>15</v>
      </c>
      <c r="F16">
        <v>3.24</v>
      </c>
      <c r="G16">
        <v>15</v>
      </c>
      <c r="H16" s="202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1" t="s">
        <v>205</v>
      </c>
      <c r="E17">
        <v>16</v>
      </c>
      <c r="F17">
        <v>3.24</v>
      </c>
      <c r="G17">
        <v>16</v>
      </c>
      <c r="H17" s="202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1" t="s">
        <v>206</v>
      </c>
      <c r="E18">
        <v>17</v>
      </c>
      <c r="F18">
        <v>3.14</v>
      </c>
      <c r="G18">
        <v>17</v>
      </c>
      <c r="H18" s="202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1" t="s">
        <v>207</v>
      </c>
      <c r="E19">
        <v>18</v>
      </c>
      <c r="F19">
        <v>3.24</v>
      </c>
      <c r="G19">
        <v>18</v>
      </c>
      <c r="H19" s="202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1" t="s">
        <v>208</v>
      </c>
      <c r="E20">
        <v>19</v>
      </c>
      <c r="F20">
        <v>3.24</v>
      </c>
      <c r="G20">
        <v>19</v>
      </c>
      <c r="H20" s="202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1" t="s">
        <v>209</v>
      </c>
      <c r="E21">
        <v>20</v>
      </c>
      <c r="F21">
        <v>3.24</v>
      </c>
      <c r="G21">
        <v>20</v>
      </c>
      <c r="H21" s="202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1" t="s">
        <v>210</v>
      </c>
      <c r="E22">
        <v>21</v>
      </c>
      <c r="F22">
        <v>3.24</v>
      </c>
      <c r="G22">
        <v>21</v>
      </c>
      <c r="H22" s="202" t="s">
        <v>210</v>
      </c>
    </row>
    <row r="23" spans="1:12" x14ac:dyDescent="0.15">
      <c r="A23" s="36" t="s">
        <v>129</v>
      </c>
      <c r="B23" s="44">
        <v>4</v>
      </c>
      <c r="C23" s="38"/>
      <c r="D23" s="201" t="s">
        <v>211</v>
      </c>
      <c r="E23">
        <v>22</v>
      </c>
      <c r="F23">
        <v>3.24</v>
      </c>
      <c r="G23">
        <v>22</v>
      </c>
      <c r="H23" s="202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201" t="s">
        <v>212</v>
      </c>
      <c r="E24">
        <v>23</v>
      </c>
      <c r="F24">
        <v>3.14</v>
      </c>
      <c r="G24">
        <v>23</v>
      </c>
      <c r="H24" s="202" t="s">
        <v>212</v>
      </c>
    </row>
    <row r="25" spans="1:12" x14ac:dyDescent="0.15">
      <c r="A25" s="36" t="s">
        <v>70</v>
      </c>
      <c r="B25" s="44">
        <v>4.2</v>
      </c>
      <c r="C25" s="38"/>
      <c r="D25" s="201" t="s">
        <v>213</v>
      </c>
      <c r="E25">
        <v>24</v>
      </c>
      <c r="F25">
        <v>3.24</v>
      </c>
      <c r="G25">
        <v>24</v>
      </c>
      <c r="H25" s="202" t="s">
        <v>213</v>
      </c>
    </row>
    <row r="26" spans="1:12" x14ac:dyDescent="0.15">
      <c r="A26" s="36" t="s">
        <v>123</v>
      </c>
      <c r="B26" s="44">
        <v>4.3</v>
      </c>
      <c r="C26" s="38"/>
      <c r="D26" s="201" t="s">
        <v>214</v>
      </c>
      <c r="E26">
        <v>25</v>
      </c>
      <c r="F26">
        <v>3.14</v>
      </c>
      <c r="G26">
        <v>25</v>
      </c>
      <c r="H26" s="202" t="s">
        <v>214</v>
      </c>
    </row>
    <row r="27" spans="1:12" x14ac:dyDescent="0.15">
      <c r="A27" s="36" t="s">
        <v>125</v>
      </c>
      <c r="B27" s="44">
        <v>6.1</v>
      </c>
      <c r="D27" s="201" t="s">
        <v>215</v>
      </c>
      <c r="E27">
        <v>26</v>
      </c>
      <c r="F27">
        <v>3.14</v>
      </c>
      <c r="G27">
        <v>26</v>
      </c>
      <c r="H27" s="202" t="s">
        <v>215</v>
      </c>
    </row>
    <row r="28" spans="1:12" x14ac:dyDescent="0.15">
      <c r="A28" s="36" t="s">
        <v>124</v>
      </c>
      <c r="B28" s="44">
        <v>6.2</v>
      </c>
      <c r="D28" s="201" t="s">
        <v>216</v>
      </c>
      <c r="E28">
        <v>27</v>
      </c>
      <c r="F28">
        <v>3.14</v>
      </c>
      <c r="G28">
        <v>27</v>
      </c>
      <c r="H28" s="202" t="s">
        <v>216</v>
      </c>
    </row>
    <row r="29" spans="1:12" x14ac:dyDescent="0.15">
      <c r="A29" s="36" t="s">
        <v>44</v>
      </c>
      <c r="B29" s="44">
        <v>5</v>
      </c>
      <c r="D29" s="201" t="s">
        <v>217</v>
      </c>
      <c r="E29">
        <v>28</v>
      </c>
      <c r="F29">
        <v>3.14</v>
      </c>
      <c r="G29">
        <v>28</v>
      </c>
      <c r="H29" s="202" t="s">
        <v>217</v>
      </c>
    </row>
    <row r="30" spans="1:12" x14ac:dyDescent="0.15">
      <c r="A30" s="36" t="s">
        <v>73</v>
      </c>
      <c r="B30" s="44">
        <v>7</v>
      </c>
      <c r="D30" s="201" t="s">
        <v>218</v>
      </c>
      <c r="E30">
        <v>29</v>
      </c>
      <c r="F30">
        <v>3.1</v>
      </c>
      <c r="G30">
        <v>29</v>
      </c>
      <c r="H30" s="202" t="s">
        <v>218</v>
      </c>
    </row>
    <row r="31" spans="1:12" x14ac:dyDescent="0.15">
      <c r="A31" s="36" t="s">
        <v>169</v>
      </c>
      <c r="B31" s="44">
        <v>3.14</v>
      </c>
      <c r="D31" s="201" t="s">
        <v>219</v>
      </c>
      <c r="E31">
        <v>30</v>
      </c>
      <c r="F31">
        <v>3.1</v>
      </c>
      <c r="G31">
        <v>30</v>
      </c>
      <c r="H31" s="202" t="s">
        <v>219</v>
      </c>
    </row>
    <row r="32" spans="1:12" ht="12" customHeight="1" thickBot="1" x14ac:dyDescent="0.2">
      <c r="A32" s="42" t="s">
        <v>170</v>
      </c>
      <c r="B32" s="45">
        <v>9</v>
      </c>
      <c r="D32" s="201" t="s">
        <v>220</v>
      </c>
      <c r="E32">
        <v>31</v>
      </c>
      <c r="F32">
        <v>3.1</v>
      </c>
      <c r="G32">
        <v>31</v>
      </c>
      <c r="H32" s="202" t="s">
        <v>220</v>
      </c>
    </row>
    <row r="33" spans="4:8" customFormat="1" ht="12" customHeight="1" x14ac:dyDescent="0.15">
      <c r="D33" s="201" t="s">
        <v>221</v>
      </c>
      <c r="E33">
        <v>32</v>
      </c>
      <c r="F33">
        <v>3.15</v>
      </c>
      <c r="G33">
        <v>32</v>
      </c>
      <c r="H33" s="202" t="s">
        <v>221</v>
      </c>
    </row>
    <row r="34" spans="4:8" customFormat="1" ht="12" customHeight="1" x14ac:dyDescent="0.15">
      <c r="D34" s="201" t="s">
        <v>222</v>
      </c>
      <c r="E34">
        <v>33</v>
      </c>
      <c r="F34">
        <v>3.16</v>
      </c>
      <c r="G34">
        <v>33</v>
      </c>
      <c r="H34" s="202" t="s">
        <v>222</v>
      </c>
    </row>
    <row r="35" spans="4:8" customFormat="1" x14ac:dyDescent="0.15">
      <c r="D35" s="201" t="s">
        <v>223</v>
      </c>
      <c r="E35">
        <v>34</v>
      </c>
      <c r="F35">
        <v>3.16</v>
      </c>
      <c r="G35">
        <v>34</v>
      </c>
      <c r="H35" s="202" t="s">
        <v>223</v>
      </c>
    </row>
    <row r="36" spans="4:8" customFormat="1" x14ac:dyDescent="0.15">
      <c r="D36" s="201" t="s">
        <v>224</v>
      </c>
      <c r="E36">
        <v>35</v>
      </c>
      <c r="F36">
        <v>4.22</v>
      </c>
      <c r="G36">
        <v>35</v>
      </c>
      <c r="H36" s="202" t="s">
        <v>224</v>
      </c>
    </row>
    <row r="37" spans="4:8" customFormat="1" ht="12" customHeight="1" x14ac:dyDescent="0.15">
      <c r="D37" s="201" t="s">
        <v>225</v>
      </c>
      <c r="E37">
        <v>36</v>
      </c>
      <c r="F37">
        <v>4.0999999999999996</v>
      </c>
      <c r="G37">
        <v>36</v>
      </c>
      <c r="H37" s="202" t="s">
        <v>225</v>
      </c>
    </row>
    <row r="38" spans="4:8" customFormat="1" x14ac:dyDescent="0.15">
      <c r="D38" s="201" t="s">
        <v>226</v>
      </c>
      <c r="E38">
        <v>37</v>
      </c>
      <c r="F38">
        <v>4.3</v>
      </c>
      <c r="G38">
        <v>37</v>
      </c>
      <c r="H38" s="202" t="s">
        <v>226</v>
      </c>
    </row>
    <row r="39" spans="4:8" customFormat="1" x14ac:dyDescent="0.15">
      <c r="D39" s="201" t="s">
        <v>227</v>
      </c>
      <c r="E39">
        <v>38</v>
      </c>
      <c r="F39">
        <v>5</v>
      </c>
      <c r="G39">
        <v>38</v>
      </c>
      <c r="H39" s="202" t="s">
        <v>227</v>
      </c>
    </row>
    <row r="40" spans="4:8" customFormat="1" x14ac:dyDescent="0.15">
      <c r="D40" s="201" t="s">
        <v>228</v>
      </c>
      <c r="E40">
        <v>39</v>
      </c>
      <c r="F40">
        <v>5</v>
      </c>
      <c r="G40">
        <v>39</v>
      </c>
      <c r="H40" s="202" t="s">
        <v>228</v>
      </c>
    </row>
    <row r="41" spans="4:8" customFormat="1" x14ac:dyDescent="0.15">
      <c r="D41" s="201" t="s">
        <v>229</v>
      </c>
      <c r="E41">
        <v>40</v>
      </c>
      <c r="F41">
        <v>5</v>
      </c>
      <c r="G41">
        <v>40</v>
      </c>
      <c r="H41" s="202" t="s">
        <v>229</v>
      </c>
    </row>
    <row r="42" spans="4:8" customFormat="1" x14ac:dyDescent="0.15">
      <c r="D42" s="201" t="s">
        <v>230</v>
      </c>
      <c r="E42">
        <v>41</v>
      </c>
      <c r="F42">
        <v>5</v>
      </c>
      <c r="G42">
        <v>41</v>
      </c>
      <c r="H42" s="202" t="s">
        <v>230</v>
      </c>
    </row>
    <row r="43" spans="4:8" customFormat="1" x14ac:dyDescent="0.15">
      <c r="D43" s="201" t="s">
        <v>138</v>
      </c>
      <c r="E43">
        <v>42</v>
      </c>
      <c r="F43">
        <v>6.1</v>
      </c>
      <c r="G43">
        <v>42</v>
      </c>
      <c r="H43" s="202" t="s">
        <v>138</v>
      </c>
    </row>
    <row r="44" spans="4:8" customFormat="1" x14ac:dyDescent="0.15">
      <c r="D44" s="201" t="s">
        <v>45</v>
      </c>
      <c r="E44">
        <v>43</v>
      </c>
      <c r="F44">
        <v>6.2</v>
      </c>
      <c r="G44">
        <v>43</v>
      </c>
      <c r="H44" s="202" t="s">
        <v>45</v>
      </c>
    </row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6" activePane="bottomLeft" state="frozen"/>
      <selection pane="bottomLeft" activeCell="S24" sqref="S2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5.83203125" style="84" customWidth="1"/>
    <col min="3" max="3" width="13.1640625" style="84" customWidth="1"/>
    <col min="4" max="4" width="39.6640625" style="84" customWidth="1"/>
    <col min="5" max="5" width="8.1640625" style="84" customWidth="1"/>
    <col min="6" max="6" width="23.332031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3" t="s">
        <v>193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  <c r="M6" s="84">
        <v>1</v>
      </c>
      <c r="N6" s="84">
        <v>0</v>
      </c>
      <c r="O6" s="84">
        <v>0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203" t="s">
        <v>194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4" t="s">
        <v>193</v>
      </c>
      <c r="D8" s="88" t="s">
        <v>160</v>
      </c>
      <c r="F8" s="203" t="s">
        <v>195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/>
      <c r="C9" s="83"/>
      <c r="D9" s="88" t="s">
        <v>160</v>
      </c>
      <c r="F9" s="203" t="s">
        <v>196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3" t="s">
        <v>197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3" t="s">
        <v>198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3" t="s">
        <v>199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3" t="s">
        <v>200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3" t="s">
        <v>201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3" t="s">
        <v>202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3" t="s">
        <v>203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3" t="s">
        <v>204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3" t="s">
        <v>205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5" t="s">
        <v>193</v>
      </c>
      <c r="D19" s="88" t="s">
        <v>160</v>
      </c>
      <c r="F19" s="203" t="s">
        <v>206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/>
      <c r="C20" s="83"/>
      <c r="D20" s="88" t="s">
        <v>160</v>
      </c>
      <c r="F20" s="203" t="s">
        <v>207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3" t="s">
        <v>208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3" t="s">
        <v>209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3" t="s">
        <v>210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3" t="s">
        <v>211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3" t="s">
        <v>212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3" t="s">
        <v>213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3" t="s">
        <v>214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3" t="s">
        <v>215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3" t="s">
        <v>216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203" t="s">
        <v>217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203" t="s">
        <v>218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6" t="s">
        <v>193</v>
      </c>
      <c r="B32" s="96">
        <v>7.8659999999999997</v>
      </c>
      <c r="C32" s="96">
        <v>117.3</v>
      </c>
      <c r="D32" s="96">
        <v>922.68179999999995</v>
      </c>
      <c r="E32" s="130">
        <v>1</v>
      </c>
      <c r="F32" s="203" t="s">
        <v>219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9"/>
      <c r="B33" s="96"/>
      <c r="C33" s="96"/>
      <c r="D33" s="96"/>
      <c r="E33" s="130"/>
      <c r="F33" s="203" t="s">
        <v>220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1"/>
      <c r="B34" s="96"/>
      <c r="C34" s="96"/>
      <c r="D34" s="96"/>
      <c r="E34" s="130"/>
      <c r="F34" s="203" t="s">
        <v>221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2"/>
      <c r="B35" s="96"/>
      <c r="C35" s="96"/>
      <c r="D35" s="96"/>
      <c r="E35" s="130"/>
      <c r="F35" s="203" t="s">
        <v>222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3"/>
      <c r="B36" s="96"/>
      <c r="C36" s="96"/>
      <c r="D36" s="96"/>
      <c r="E36" s="130"/>
      <c r="F36" s="203" t="s">
        <v>223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3"/>
      <c r="B37" s="96"/>
      <c r="C37" s="96"/>
      <c r="D37" s="96"/>
      <c r="E37" s="130"/>
      <c r="F37" s="203" t="s">
        <v>224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4"/>
      <c r="B38" s="96"/>
      <c r="C38" s="96"/>
      <c r="D38" s="96"/>
      <c r="E38" s="130"/>
      <c r="F38" s="203" t="s">
        <v>225</v>
      </c>
      <c r="G38" s="84">
        <v>0</v>
      </c>
      <c r="H38" s="84">
        <v>0</v>
      </c>
      <c r="I38" s="84">
        <v>0</v>
      </c>
      <c r="J38" s="84">
        <v>0</v>
      </c>
      <c r="K38" s="84">
        <v>0</v>
      </c>
      <c r="L38" s="84">
        <v>1</v>
      </c>
      <c r="M38" s="84">
        <v>0</v>
      </c>
      <c r="N38" s="84">
        <v>1</v>
      </c>
      <c r="O38" s="84">
        <v>0</v>
      </c>
      <c r="P38" s="73">
        <v>1</v>
      </c>
      <c r="Q38" s="84">
        <v>0</v>
      </c>
      <c r="R38" s="74">
        <v>1</v>
      </c>
      <c r="S38"/>
      <c r="T38"/>
    </row>
    <row r="39" spans="1:20" ht="15" customHeight="1" x14ac:dyDescent="0.15">
      <c r="A39" s="134"/>
      <c r="B39" s="96"/>
      <c r="C39" s="96"/>
      <c r="D39" s="96"/>
      <c r="E39" s="130"/>
      <c r="F39" s="203" t="s">
        <v>226</v>
      </c>
      <c r="G39" s="84">
        <v>0</v>
      </c>
      <c r="H39" s="84">
        <v>0</v>
      </c>
      <c r="I39" s="84">
        <v>0</v>
      </c>
      <c r="J39" s="84">
        <v>0</v>
      </c>
      <c r="K39" s="84">
        <v>0</v>
      </c>
      <c r="L39" s="84">
        <v>1</v>
      </c>
      <c r="M39" s="84">
        <v>0</v>
      </c>
      <c r="N39" s="84">
        <v>1</v>
      </c>
      <c r="O39" s="84">
        <v>0</v>
      </c>
      <c r="P39" s="73">
        <v>1</v>
      </c>
      <c r="Q39" s="84">
        <v>0</v>
      </c>
      <c r="R39" s="74">
        <v>1</v>
      </c>
      <c r="S39"/>
      <c r="T39"/>
    </row>
    <row r="40" spans="1:20" ht="15" customHeight="1" x14ac:dyDescent="0.15">
      <c r="A40" s="134"/>
      <c r="B40" s="96"/>
      <c r="C40" s="96"/>
      <c r="D40" s="96"/>
      <c r="E40" s="130"/>
      <c r="F40" s="203" t="s">
        <v>227</v>
      </c>
      <c r="G40" s="84">
        <v>0</v>
      </c>
      <c r="H40" s="84">
        <v>0</v>
      </c>
      <c r="I40" s="84">
        <v>0</v>
      </c>
      <c r="J40" s="84">
        <v>0</v>
      </c>
      <c r="K40" s="84">
        <v>0</v>
      </c>
      <c r="L40" s="84">
        <v>1</v>
      </c>
      <c r="M40" s="84">
        <v>0</v>
      </c>
      <c r="N40" s="84">
        <v>0</v>
      </c>
      <c r="O40" s="84">
        <v>0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4"/>
      <c r="B41" s="96"/>
      <c r="C41" s="96"/>
      <c r="D41" s="97"/>
      <c r="E41" s="135"/>
      <c r="F41" s="203" t="s">
        <v>228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1</v>
      </c>
      <c r="M41" s="84">
        <v>0</v>
      </c>
      <c r="N41" s="84">
        <v>0</v>
      </c>
      <c r="O41" s="84">
        <v>0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922.68179999999995</v>
      </c>
      <c r="E42" s="138">
        <f>SUM(E32:E41)</f>
        <v>1</v>
      </c>
      <c r="F42" s="203" t="s">
        <v>229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1</v>
      </c>
      <c r="M42" s="84">
        <v>0</v>
      </c>
      <c r="N42" s="84">
        <v>0</v>
      </c>
      <c r="O42" s="84">
        <v>0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3" t="s">
        <v>230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0</v>
      </c>
      <c r="O43" s="84">
        <v>0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.33203125" bestFit="1" customWidth="1"/>
    <col min="2" max="2" width="2.33203125" style="113" customWidth="1"/>
    <col min="3" max="5" width="7.83203125" style="113" customWidth="1"/>
    <col min="6" max="8" width="8.83203125" style="6"/>
    <col min="9" max="9" width="13.1640625" style="6" customWidth="1"/>
    <col min="10" max="10" width="11.33203125" style="6" customWidth="1"/>
    <col min="11" max="11" width="23.33203125" style="6" customWidth="1"/>
    <col min="12" max="12" width="11.5" style="6" customWidth="1"/>
    <col min="13" max="13" width="8.1640625" style="6" customWidth="1"/>
    <col min="14" max="14" width="6.1640625" style="6" customWidth="1"/>
    <col min="15" max="15" width="18.5" style="6" customWidth="1"/>
    <col min="16" max="16" width="21.83203125" style="6" customWidth="1"/>
    <col min="17" max="17" width="7" style="6" customWidth="1"/>
    <col min="18" max="18" width="11.1640625" style="6" customWidth="1"/>
    <col min="19" max="19" width="9.5" style="6" customWidth="1"/>
    <col min="20" max="20" width="9.33203125" style="6" customWidth="1"/>
    <col min="21" max="21" width="14.5" style="6" customWidth="1"/>
    <col min="22" max="22" width="5.5" style="6" customWidth="1"/>
    <col min="23" max="26" width="16.1640625" style="6" customWidth="1"/>
    <col min="27" max="27" width="17.1640625" style="6" customWidth="1"/>
    <col min="28" max="28" width="7.1640625" style="6" customWidth="1"/>
    <col min="29" max="29" width="15.33203125" style="6" customWidth="1"/>
    <col min="30" max="30" width="8.33203125" style="6" customWidth="1"/>
    <col min="31" max="31" width="7.5" style="6" customWidth="1"/>
    <col min="32" max="32" width="15.33203125" style="6" customWidth="1"/>
    <col min="33" max="33" width="9.83203125" style="6" customWidth="1"/>
    <col min="34" max="34" width="18.33203125" style="6" customWidth="1"/>
    <col min="35" max="35" width="15.33203125" style="6" customWidth="1"/>
    <col min="36" max="36" width="13.33203125" style="6" customWidth="1"/>
    <col min="37" max="37" width="15.5" style="6" customWidth="1"/>
    <col min="38" max="38" width="8.5" style="6" customWidth="1"/>
    <col min="39" max="40" width="8.5" customWidth="1"/>
    <col min="41" max="41" width="7.6640625" customWidth="1"/>
    <col min="42" max="42" width="21.6640625" customWidth="1"/>
    <col min="43" max="43" width="8.1640625" customWidth="1"/>
    <col min="44" max="44" width="12.6640625" customWidth="1"/>
    <col min="45" max="45" width="13.1640625" customWidth="1"/>
    <col min="46" max="46" width="11" customWidth="1"/>
    <col min="81" max="81" width="22.1640625" bestFit="1" customWidth="1"/>
  </cols>
  <sheetData>
    <row r="1" spans="1:46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8" t="s">
        <v>193</v>
      </c>
      <c r="J1" s="208" t="s">
        <v>194</v>
      </c>
      <c r="K1" s="208" t="s">
        <v>195</v>
      </c>
      <c r="L1" s="208" t="s">
        <v>196</v>
      </c>
      <c r="M1" s="208" t="s">
        <v>197</v>
      </c>
      <c r="N1" s="208" t="s">
        <v>198</v>
      </c>
      <c r="O1" s="208" t="s">
        <v>199</v>
      </c>
      <c r="P1" s="208" t="s">
        <v>200</v>
      </c>
      <c r="Q1" s="208" t="s">
        <v>201</v>
      </c>
      <c r="R1" s="208" t="s">
        <v>202</v>
      </c>
      <c r="S1" s="208" t="s">
        <v>203</v>
      </c>
      <c r="T1" s="208" t="s">
        <v>204</v>
      </c>
      <c r="U1" s="208" t="s">
        <v>205</v>
      </c>
      <c r="V1" s="208" t="s">
        <v>206</v>
      </c>
      <c r="W1" s="208" t="s">
        <v>207</v>
      </c>
      <c r="X1" s="208" t="s">
        <v>208</v>
      </c>
      <c r="Y1" s="208" t="s">
        <v>209</v>
      </c>
      <c r="Z1" s="208" t="s">
        <v>210</v>
      </c>
      <c r="AA1" s="208" t="s">
        <v>211</v>
      </c>
      <c r="AB1" s="208" t="s">
        <v>212</v>
      </c>
      <c r="AC1" s="208" t="s">
        <v>213</v>
      </c>
      <c r="AD1" s="208" t="s">
        <v>214</v>
      </c>
      <c r="AE1" s="208" t="s">
        <v>215</v>
      </c>
      <c r="AF1" s="208" t="s">
        <v>216</v>
      </c>
      <c r="AG1" s="208" t="s">
        <v>217</v>
      </c>
      <c r="AH1" s="208" t="s">
        <v>218</v>
      </c>
      <c r="AI1" s="208" t="s">
        <v>219</v>
      </c>
      <c r="AJ1" s="208" t="s">
        <v>220</v>
      </c>
      <c r="AK1" s="208" t="s">
        <v>221</v>
      </c>
      <c r="AL1" s="208" t="s">
        <v>222</v>
      </c>
      <c r="AM1" s="208" t="s">
        <v>223</v>
      </c>
      <c r="AN1" s="208" t="s">
        <v>224</v>
      </c>
      <c r="AO1" s="208" t="s">
        <v>225</v>
      </c>
      <c r="AP1" s="208" t="s">
        <v>226</v>
      </c>
      <c r="AQ1" s="208" t="s">
        <v>227</v>
      </c>
      <c r="AR1" s="208" t="s">
        <v>228</v>
      </c>
      <c r="AS1" s="208" t="s">
        <v>229</v>
      </c>
      <c r="AT1" s="208" t="s">
        <v>230</v>
      </c>
    </row>
    <row r="2" spans="1:46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6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6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6" x14ac:dyDescent="0.15">
      <c r="A5" s="207" t="s">
        <v>193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6" x14ac:dyDescent="0.15">
      <c r="A6" s="207" t="s">
        <v>194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6" x14ac:dyDescent="0.15">
      <c r="A7" s="207" t="s">
        <v>195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6" x14ac:dyDescent="0.15">
      <c r="A8" s="207" t="s">
        <v>196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6" x14ac:dyDescent="0.15">
      <c r="A9" s="207" t="s">
        <v>197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6" x14ac:dyDescent="0.15">
      <c r="A10" s="207" t="s">
        <v>198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6" x14ac:dyDescent="0.15">
      <c r="A11" s="207" t="s">
        <v>199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6" x14ac:dyDescent="0.15">
      <c r="A12" s="207" t="s">
        <v>200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6" x14ac:dyDescent="0.15">
      <c r="A13" s="207" t="s">
        <v>201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6" x14ac:dyDescent="0.15">
      <c r="A14" s="207" t="s">
        <v>202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6" x14ac:dyDescent="0.15">
      <c r="A15" s="207" t="s">
        <v>203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6" x14ac:dyDescent="0.15">
      <c r="A16" s="207" t="s">
        <v>204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7" t="s">
        <v>205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7" t="s">
        <v>206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7" t="s">
        <v>207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7" t="s">
        <v>208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7" t="s">
        <v>209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7" t="s">
        <v>210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7" t="s">
        <v>211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7" t="s">
        <v>212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7" t="s">
        <v>213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7" t="s">
        <v>214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7" t="s">
        <v>215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7" t="s">
        <v>216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7" t="s">
        <v>217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7" t="s">
        <v>218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7" t="s">
        <v>219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7" t="s">
        <v>220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7" t="s">
        <v>221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7" t="s">
        <v>222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7" t="s">
        <v>223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7" t="s">
        <v>224</v>
      </c>
      <c r="B36" s="113">
        <v>0</v>
      </c>
      <c r="C36"/>
      <c r="D36"/>
    </row>
    <row r="37" spans="1:38" ht="15" customHeight="1" x14ac:dyDescent="0.15">
      <c r="A37" s="207" t="s">
        <v>225</v>
      </c>
      <c r="B37" s="113">
        <v>0</v>
      </c>
      <c r="C37"/>
      <c r="D37"/>
    </row>
    <row r="38" spans="1:38" ht="15" customHeight="1" x14ac:dyDescent="0.15">
      <c r="A38" s="207" t="s">
        <v>226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7" t="s">
        <v>227</v>
      </c>
      <c r="B39" s="113">
        <v>0</v>
      </c>
      <c r="C39"/>
      <c r="D39"/>
    </row>
    <row r="40" spans="1:38" ht="15" customHeight="1" x14ac:dyDescent="0.15">
      <c r="A40" s="207" t="s">
        <v>228</v>
      </c>
      <c r="B40" s="113">
        <v>0</v>
      </c>
      <c r="C40"/>
      <c r="D40"/>
    </row>
    <row r="41" spans="1:38" ht="15" customHeight="1" x14ac:dyDescent="0.15">
      <c r="A41" s="207" t="s">
        <v>229</v>
      </c>
      <c r="B41" s="113">
        <v>0</v>
      </c>
      <c r="C41"/>
      <c r="D41"/>
    </row>
    <row r="42" spans="1:38" ht="15" customHeight="1" x14ac:dyDescent="0.15">
      <c r="A42" s="207" t="s">
        <v>230</v>
      </c>
      <c r="B42" s="113">
        <v>0</v>
      </c>
    </row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2023-08-14T23:36:44Z</dcterms:modified>
</cp:coreProperties>
</file>