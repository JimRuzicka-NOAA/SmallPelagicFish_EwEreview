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4EE4B674-44E7-624D-A607-82BF87D2C533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Main!$C$2:$N$18</definedName>
    <definedName name="matDetritus">Detritus!$C$2:$E$18</definedName>
    <definedName name="matDiet">Diets!$B$2:$O$18</definedName>
    <definedName name="matDiscards">Discards!$C$2:$C$17</definedName>
    <definedName name="matFishery">Fishing!$C$2:$C$17</definedName>
    <definedName name="matFishing">Fishing!#REF!</definedName>
    <definedName name="matMort">Mortalities!$A$1:$T$17</definedName>
    <definedName name="matOut">MainOutputs!$A$2:$I$18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<sst xmlns="http://schemas.openxmlformats.org/spreadsheetml/2006/main" count="638" uniqueCount="214">
  <si>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</si>
  <si>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</si>
  <si>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</si>
  <si>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</si>
  <si>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</si>
  <si>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</si>
  <si>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</si>
  <si>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</si>
  <si>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</si>
  <si>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</si>
  <si>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</si>
  <si>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</si>
  <si>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</si>
  <si>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</si>
  <si>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</si>
  <si>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</si>
  <si>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</si>
  <si>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</si>
  <si>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</si>
  <si>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</si>
  <si>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</si>
  <si>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</si>
  <si>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</si>
  <si>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</si>
  <si>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</si>
  <si>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</si>
  <si>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</si>
  <si>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</si>
  <si>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</si>
  <si>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</si>
  <si>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</si>
  <si>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</si>
  <si>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</si>
  <si>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</si>
  <si>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</si>
  <si>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</si>
  <si>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</si>
  <si>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</si>
  <si>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</si>
  <si>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</si>
  <si>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</si>
  <si>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</si>
  <si>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</si>
  <si>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</si>
  <si>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</si>
  <si>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</si>
  <si>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</si>
  <si>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</si>
  <si>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</si>
  <si>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</si>
  <si>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</si>
  <si>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</si>
  <si>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</si>
  <si>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</si>
  <si>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</si>
  <si>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</si>
  <si>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</si>
  <si>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</si>
  <si>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</si>
  <si>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</si>
  <si>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</si>
  <si>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</si>
  <si>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</si>
  <si>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</si>
  <si>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</si>
  <si>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</si>
  <si>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</si>
  <si>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</si>
  <si>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</si>
  <si>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</si>
  <si>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</si>
  <si>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</si>
  <si>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</si>
  <si>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</si>
  <si>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</si>
  <si>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</si>
  <si>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</si>
  <si>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</si>
  <si>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</si>
  <si>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</si>
  <si>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</si>
  <si>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</si>
  <si>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</si>
  <si>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</si>
  <si>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</si>
  <si>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</si>
  <si>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</si>
  <si>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</si>
  <si>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</si>
  <si>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</si>
  <si>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</si>
  <si>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</si>
  <si>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</si>
  <si>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</si>
  <si>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</si>
  <si>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</si>
  <si>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</si>
  <si>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</si>
  <si>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</si>
  <si>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</si>
  <si>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</si>
  <si>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</si>
  <si>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</si>
  <si>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</si>
  <si>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</si>
  <si>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</si>
  <si>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</si>
  <si>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</si>
  <si>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</si>
  <si>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</si>
  <si>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</si>
  <si>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</si>
  <si>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</si>
  <si>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</si>
  <si>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</si>
  <si>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</si>
  <si>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</si>
  <si>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</si>
  <si>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</si>
  <si>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</si>
  <si>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</si>
  <si>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</si>
  <si>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</si>
  <si>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</si>
  <si>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</si>
  <si>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</si>
  <si>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</si>
  <si>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</si>
  <si>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</si>
  <si>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</si>
  <si>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</si>
  <si>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</si>
  <si>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</si>
  <si>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</si>
  <si>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</si>
  <si>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</si>
  <si>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</si>
  <si>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</si>
  <si>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</si>
  <si>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</si>
  <si>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</si>
  <si>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</si>
  <si>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</si>
  <si>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</si>
  <si>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</si>
  <si>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</si>
  <si>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</si>
  <si>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</si>
  <si>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</si>
  <si>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</si>
  <si>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</si>
  <si>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</si>
  <si>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</si>
  <si>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</si>
  <si>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</si>
  <si>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</si>
  <si>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</si>
  <si>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</si>
  <si>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</si>
  <si>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</si>
  <si>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</si>
  <si>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</si>
  <si>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</si>
  <si>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</si>
  <si>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</si>
  <si>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</si>
  <si>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</si>
  <si>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</si>
  <si>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</si>
  <si>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</si>
  <si>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</si>
  <si>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</si>
  <si>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</si>
  <si>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</si>
  <si>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</si>
  <si>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</si>
  <si>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</si>
  <si>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</si>
  <si>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</si>
  <si>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</si>
  <si>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</si>
  <si>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</si>
  <si>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</si>
  <si>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</si>
  <si>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</si>
  <si>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 Coast of Peninbsular Malaysia</t>
  </si>
  <si>
    <t>Malaysia</t>
  </si>
  <si>
    <t>BOX(98 1,103.5 7)</t>
  </si>
  <si>
    <t>continental shelf</t>
  </si>
  <si>
    <t>WetWeight</t>
  </si>
  <si>
    <t>Created: 08/05/2006 12:15:22 a.m.; 08/05/2006 12:15:51 a.m.; 08/05/2006 12:18:13 a.m.; 20/07/2006 08:34:09 a.m.</t>
  </si>
  <si>
    <t>Mammals</t>
  </si>
  <si>
    <t>Large predators</t>
  </si>
  <si>
    <t>Large pelagics</t>
  </si>
  <si>
    <t>Medium pelagics</t>
  </si>
  <si>
    <t>Large zoobenthos feeders</t>
  </si>
  <si>
    <t>Intermediate predators</t>
  </si>
  <si>
    <t>Small demersal species</t>
  </si>
  <si>
    <t>Small pelagics</t>
  </si>
  <si>
    <t>Crustaceans (excl plankton)</t>
  </si>
  <si>
    <t>Misc invertebrates</t>
  </si>
  <si>
    <t>Squids</t>
  </si>
  <si>
    <t>Turtles</t>
  </si>
  <si>
    <t>Zooplankton</t>
  </si>
  <si>
    <t>Aquatic plants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</si>
  <si>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</si>
  <si>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</si>
  <si>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</si>
  <si>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</si>
  <si>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</si>
  <si>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</si>
  <si>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</si>
  <si>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</si>
  <si>
    <t>EcoBase: Alias, M (2003). Trophic model of the coastal fisheries ecosystem of the west Ccoast of peninsular Malaysia. In Silvestre G., Garces L., Stobutzki I., Ahmed M., Valmonte-Santos R.A., Luna C., Lachica-Aliño L., Munro P., Christensen V., Pauly D. (eds.). Assessment, management and future directions for coastal fisheries in Asian countries. Proceedings of WorldFish Center Conference 67:313-332.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</si>
</sst>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7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F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0" fillId="20" borderId="8" xfId="0" applyFill="1" applyBorder="1"/>
    <xf numFmtId="0" fontId="0" fillId="20" borderId="9" xfId="0" applyFill="1" applyBorder="1"/>
    <xf numFmtId="0" fontId="0" fillId="2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0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9" borderId="3" xfId="0" applyNumberFormat="1" applyFont="1" applyFill="1" applyBorder="1"/>
    <xf numFmtId="0" fontId="0" fillId="29" borderId="2" xfId="0" applyFont="1" applyFill="1" applyBorder="1"/>
    <xf numFmtId="0" fontId="0" fillId="29" borderId="3" xfId="0" applyFont="1" applyFill="1" applyBorder="1"/>
    <xf numFmtId="0" fontId="0" fillId="2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31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C68" sqref="C68"/>
    </sheetView>
  </sheetViews>
  <sheetFormatPr baseColWidth="10" defaultColWidth="8.83203125" defaultRowHeight="13" x14ac:dyDescent="0.15"/>
  <cols>
    <col min="2" max="2" width="16" customWidth="1"/>
    <col min="3" max="3" width="495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7" t="s">
        <v>164</v>
      </c>
    </row>
    <row r="6" spans="2:4" ht="14" thickBot="1" x14ac:dyDescent="0.2">
      <c r="B6" s="41" t="s">
        <v>141</v>
      </c>
    </row>
    <row r="7" spans="2:4" x14ac:dyDescent="0.15">
      <c r="B7" s="57" t="s">
        <v>143</v>
      </c>
    </row>
    <row r="8" spans="2:4" x14ac:dyDescent="0.15">
      <c r="B8" s="57" t="s">
        <v>142</v>
      </c>
    </row>
    <row r="9" spans="2:4" x14ac:dyDescent="0.15">
      <c r="B9" s="57" t="s">
        <v>144</v>
      </c>
    </row>
    <row r="10" spans="2:4" x14ac:dyDescent="0.15">
      <c r="B10" s="57" t="s">
        <v>147</v>
      </c>
    </row>
    <row r="11" spans="2:4" x14ac:dyDescent="0.15">
      <c r="B11" s="57" t="s">
        <v>151</v>
      </c>
    </row>
    <row r="12" spans="2:4" x14ac:dyDescent="0.15">
      <c r="B12" s="57" t="s">
        <v>153</v>
      </c>
    </row>
    <row r="13" spans="2:4" x14ac:dyDescent="0.15">
      <c r="B13" s="57" t="s">
        <v>165</v>
      </c>
    </row>
    <row r="15" spans="2:4" ht="14" thickBot="1" x14ac:dyDescent="0.2"/>
    <row r="16" spans="2:4" ht="14" thickBot="1" x14ac:dyDescent="0.2">
      <c r="B16" s="42" t="s">
        <v>137</v>
      </c>
      <c r="C16" s="43"/>
      <c r="D16" s="25">
        <v>41373</v>
      </c>
    </row>
    <row r="17" spans="2:4" x14ac:dyDescent="0.15">
      <c r="B17" s="44" t="s">
        <v>58</v>
      </c>
      <c r="C17" s="28">
        <v>0</v>
      </c>
    </row>
    <row r="18" spans="2:4" x14ac:dyDescent="0.15">
      <c r="B18" s="44" t="s">
        <v>59</v>
      </c>
      <c r="C18" s="28">
        <v>1</v>
      </c>
    </row>
    <row r="19" spans="2:4" x14ac:dyDescent="0.15">
      <c r="B19" s="44" t="s">
        <v>60</v>
      </c>
      <c r="C19" s="28">
        <v>2</v>
      </c>
    </row>
    <row r="20" spans="2:4" ht="14" thickBot="1" x14ac:dyDescent="0.2">
      <c r="B20" s="45" t="s">
        <v>44</v>
      </c>
      <c r="C20" s="29">
        <v>3</v>
      </c>
    </row>
    <row r="21" spans="2:4" x14ac:dyDescent="0.15">
      <c r="B21" s="46" t="s">
        <v>140</v>
      </c>
    </row>
    <row r="22" spans="2:4" ht="14" thickBot="1" x14ac:dyDescent="0.2"/>
    <row r="23" spans="2:4" ht="14" thickBot="1" x14ac:dyDescent="0.2">
      <c r="B23" s="42" t="s">
        <v>65</v>
      </c>
      <c r="C23" s="43"/>
      <c r="D23" s="25" t="s">
        <v>148</v>
      </c>
    </row>
    <row r="24" spans="2:4" x14ac:dyDescent="0.15">
      <c r="B24" s="48" t="s">
        <v>38</v>
      </c>
      <c r="C24" s="26">
        <v>1</v>
      </c>
    </row>
    <row r="25" spans="2:4" x14ac:dyDescent="0.15">
      <c r="B25" s="44" t="s">
        <v>40</v>
      </c>
      <c r="C25" s="28">
        <v>1.1000000000000001</v>
      </c>
    </row>
    <row r="26" spans="2:4" x14ac:dyDescent="0.15">
      <c r="B26" s="44" t="s">
        <v>41</v>
      </c>
      <c r="C26" s="28">
        <v>1.2</v>
      </c>
    </row>
    <row r="27" spans="2:4" x14ac:dyDescent="0.15">
      <c r="B27" s="44"/>
      <c r="C27" s="28"/>
    </row>
    <row r="28" spans="2:4" x14ac:dyDescent="0.15">
      <c r="B28" s="44" t="s">
        <v>42</v>
      </c>
      <c r="C28" s="28">
        <v>2.1</v>
      </c>
    </row>
    <row r="29" spans="2:4" x14ac:dyDescent="0.15">
      <c r="B29" s="44" t="s">
        <v>43</v>
      </c>
      <c r="C29" s="28">
        <v>2.2000000000000002</v>
      </c>
    </row>
    <row r="30" spans="2:4" x14ac:dyDescent="0.15">
      <c r="B30" s="44" t="s">
        <v>67</v>
      </c>
      <c r="C30" s="28">
        <v>2.2999999999999998</v>
      </c>
    </row>
    <row r="31" spans="2:4" x14ac:dyDescent="0.15">
      <c r="B31" s="44"/>
      <c r="C31" s="28"/>
    </row>
    <row r="32" spans="2:4" x14ac:dyDescent="0.15">
      <c r="B32" s="44" t="s">
        <v>62</v>
      </c>
      <c r="C32" s="28">
        <v>3.11</v>
      </c>
    </row>
    <row r="33" spans="2:3" x14ac:dyDescent="0.15">
      <c r="B33" s="44" t="s">
        <v>61</v>
      </c>
      <c r="C33" s="28">
        <v>3.12</v>
      </c>
    </row>
    <row r="34" spans="2:3" x14ac:dyDescent="0.15">
      <c r="B34" s="44" t="s">
        <v>68</v>
      </c>
      <c r="C34" s="28">
        <v>3.13</v>
      </c>
    </row>
    <row r="35" spans="2:3" x14ac:dyDescent="0.15">
      <c r="B35" s="44"/>
      <c r="C35" s="28"/>
    </row>
    <row r="36" spans="2:3" x14ac:dyDescent="0.15">
      <c r="B36" s="44" t="s">
        <v>66</v>
      </c>
      <c r="C36" s="28">
        <v>3.21</v>
      </c>
    </row>
    <row r="37" spans="2:3" x14ac:dyDescent="0.15">
      <c r="B37" s="44" t="s">
        <v>63</v>
      </c>
      <c r="C37" s="28">
        <v>3.22</v>
      </c>
    </row>
    <row r="38" spans="2:3" x14ac:dyDescent="0.15">
      <c r="B38" s="44" t="s">
        <v>69</v>
      </c>
      <c r="C38" s="28">
        <v>3.23</v>
      </c>
    </row>
    <row r="39" spans="2:3" x14ac:dyDescent="0.15">
      <c r="B39" s="44"/>
      <c r="C39" s="28"/>
    </row>
    <row r="40" spans="2:3" x14ac:dyDescent="0.15">
      <c r="B40" s="44" t="s">
        <v>64</v>
      </c>
      <c r="C40" s="28">
        <v>8</v>
      </c>
    </row>
    <row r="41" spans="2:3" x14ac:dyDescent="0.15">
      <c r="B41" s="44"/>
      <c r="C41" s="28"/>
    </row>
    <row r="42" spans="2:3" x14ac:dyDescent="0.15">
      <c r="B42" s="44" t="s">
        <v>71</v>
      </c>
      <c r="C42" s="28">
        <v>4.0999999999999996</v>
      </c>
    </row>
    <row r="43" spans="2:3" x14ac:dyDescent="0.15">
      <c r="B43" s="44" t="s">
        <v>70</v>
      </c>
      <c r="C43" s="28">
        <v>4.2</v>
      </c>
    </row>
    <row r="44" spans="2:3" x14ac:dyDescent="0.15">
      <c r="B44" s="44" t="s">
        <v>72</v>
      </c>
      <c r="C44" s="28">
        <v>4.3</v>
      </c>
    </row>
    <row r="45" spans="2:3" x14ac:dyDescent="0.15">
      <c r="B45" s="27"/>
      <c r="C45" s="28"/>
    </row>
    <row r="46" spans="2:3" x14ac:dyDescent="0.15">
      <c r="B46" s="44" t="s">
        <v>138</v>
      </c>
      <c r="C46" s="28">
        <v>6.1</v>
      </c>
    </row>
    <row r="47" spans="2:3" x14ac:dyDescent="0.15">
      <c r="B47" s="44" t="s">
        <v>45</v>
      </c>
      <c r="C47" s="28">
        <v>6.2</v>
      </c>
    </row>
    <row r="48" spans="2:3" x14ac:dyDescent="0.15">
      <c r="B48" s="44"/>
      <c r="C48" s="28"/>
    </row>
    <row r="49" spans="2:4" x14ac:dyDescent="0.15">
      <c r="B49" s="44" t="s">
        <v>44</v>
      </c>
      <c r="C49" s="28">
        <v>5</v>
      </c>
    </row>
    <row r="50" spans="2:4" x14ac:dyDescent="0.15">
      <c r="B50" s="44"/>
      <c r="C50" s="28"/>
    </row>
    <row r="51" spans="2:4" ht="14" thickBot="1" x14ac:dyDescent="0.2">
      <c r="B51" s="45" t="s">
        <v>73</v>
      </c>
      <c r="C51" s="29">
        <v>7</v>
      </c>
    </row>
    <row r="53" spans="2:4" x14ac:dyDescent="0.15">
      <c r="B53" s="147" t="s">
        <v>171</v>
      </c>
      <c r="C53" s="95">
        <v>414</v>
      </c>
      <c r="D53" s="95"/>
    </row>
    <row r="54" spans="2:4" x14ac:dyDescent="0.15">
      <c r="B54" s="147" t="s">
        <v>172</v>
      </c>
      <c r="C54" s="147" t="s">
        <v>185</v>
      </c>
      <c r="D54" s="95"/>
    </row>
    <row r="55" spans="2:4" x14ac:dyDescent="0.15">
      <c r="B55" s="147" t="s">
        <v>173</v>
      </c>
      <c r="C55" s="147" t="s">
        <v>186</v>
      </c>
      <c r="D55" s="95"/>
    </row>
    <row r="56" spans="2:4" x14ac:dyDescent="0.15">
      <c r="B56" s="147" t="s">
        <v>174</v>
      </c>
      <c r="C56" s="95">
        <v>70060</v>
      </c>
      <c r="D56" s="95"/>
    </row>
    <row r="57" spans="2:4" x14ac:dyDescent="0.15">
      <c r="B57" s="147" t="s">
        <v>175</v>
      </c>
      <c r="C57" s="147" t="s">
        <v>187</v>
      </c>
      <c r="D57" s="95"/>
    </row>
    <row r="58" spans="2:4" x14ac:dyDescent="0.15">
      <c r="B58" s="147" t="s">
        <v>176</v>
      </c>
      <c r="C58" s="147" t="s">
        <v>188</v>
      </c>
      <c r="D58" s="95"/>
    </row>
    <row r="59" spans="2:4" x14ac:dyDescent="0.15">
      <c r="B59" s="147" t="s">
        <v>177</v>
      </c>
      <c r="C59" s="147" t="s">
        <v>189</v>
      </c>
      <c r="D59" s="95"/>
    </row>
    <row r="60" spans="2:4" x14ac:dyDescent="0.15">
      <c r="B60" s="147" t="s">
        <v>178</v>
      </c>
      <c r="C60" s="147" t="s">
        <v>190</v>
      </c>
      <c r="D60" s="95"/>
    </row>
    <row r="61" spans="2:4" x14ac:dyDescent="0.15">
      <c r="B61" s="147" t="s">
        <v>179</v>
      </c>
      <c r="C61" s="95">
        <v>15</v>
      </c>
      <c r="D61" s="95"/>
    </row>
    <row r="62" spans="2:4" x14ac:dyDescent="0.15">
      <c r="B62" s="147" t="s">
        <v>180</v>
      </c>
      <c r="C62" s="95">
        <v>1</v>
      </c>
      <c r="D62" s="95"/>
    </row>
    <row r="63" spans="2:4" x14ac:dyDescent="0.15">
      <c r="B63" s="147" t="s">
        <v>181</v>
      </c>
      <c r="C63" s="95">
        <v>1972</v>
      </c>
      <c r="D63" s="95"/>
    </row>
    <row r="64" spans="2:4" x14ac:dyDescent="0.15">
      <c r="B64" s="147" t="s">
        <v>182</v>
      </c>
      <c r="C64" s="95">
        <v>1</v>
      </c>
      <c r="D64" s="95"/>
    </row>
    <row r="65" spans="2:4" x14ac:dyDescent="0.15">
      <c r="B65" s="147" t="s">
        <v>183</v>
      </c>
      <c r="C65" s="6" t="s">
        <v>213</v>
      </c>
      <c r="D65" s="95"/>
    </row>
    <row r="66" spans="2:4" x14ac:dyDescent="0.15">
      <c r="B66" s="147" t="s">
        <v>184</v>
      </c>
      <c r="D66" s="95"/>
    </row>
    <row r="67" spans="2:4" x14ac:dyDescent="0.15">
      <c r="B67" s="95"/>
      <c r="C67" s="95"/>
      <c r="D67" s="95"/>
    </row>
    <row r="68" spans="2:4" x14ac:dyDescent="0.15">
      <c r="B68" s="95"/>
      <c r="C68" s="95"/>
      <c r="D68" s="9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1" customWidth="1"/>
    <col min="2" max="3" width="3.33203125" style="71" customWidth="1"/>
    <col min="4" max="4" width="14.33203125" style="71" customWidth="1"/>
    <col min="5" max="5" width="24.5" style="71" bestFit="1" customWidth="1"/>
    <col min="6" max="6" width="2.33203125" style="71" bestFit="1" customWidth="1"/>
    <col min="7" max="7" width="5.83203125" style="71" bestFit="1" customWidth="1"/>
    <col min="8" max="9" width="5.83203125" style="71" customWidth="1"/>
    <col min="10" max="10" width="12.83203125" style="71" customWidth="1"/>
    <col min="11" max="11" width="13.83203125" style="71" customWidth="1"/>
    <col min="12" max="12" width="2.33203125" style="71" customWidth="1"/>
    <col min="13" max="13" width="3.83203125" style="71" customWidth="1"/>
    <col min="14" max="14" width="2.33203125" style="71" customWidth="1"/>
    <col min="16" max="25" width="8.83203125" style="7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1"/>
  </cols>
  <sheetData>
    <row r="1" spans="1:46" s="88" customFormat="1" ht="15" customHeight="1" x14ac:dyDescent="0.15">
      <c r="A1" s="67" t="s">
        <v>18</v>
      </c>
      <c r="C1" s="68" t="s">
        <v>8</v>
      </c>
      <c r="D1" s="67" t="s">
        <v>23</v>
      </c>
      <c r="E1" s="67" t="s">
        <v>0</v>
      </c>
      <c r="F1" s="67" t="s">
        <v>7</v>
      </c>
      <c r="G1" s="69" t="s">
        <v>13</v>
      </c>
      <c r="H1" s="67" t="s">
        <v>1</v>
      </c>
      <c r="I1" s="67" t="s">
        <v>2</v>
      </c>
      <c r="J1" s="67" t="s">
        <v>14</v>
      </c>
      <c r="K1" s="67" t="s">
        <v>3</v>
      </c>
      <c r="L1" s="67" t="s">
        <v>4</v>
      </c>
      <c r="M1" s="67" t="s">
        <v>5</v>
      </c>
      <c r="N1" s="6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8">
        <v>1</v>
      </c>
      <c r="D2"/>
      <c r="E2" s="148" t="s">
        <v>191</v>
      </c>
      <c r="F2" s="71">
        <v>0</v>
      </c>
      <c r="G2" s="71">
        <v>0.02</v>
      </c>
      <c r="H2" s="71">
        <v>0.05</v>
      </c>
      <c r="I2" s="6">
        <v>30</v>
      </c>
      <c r="J2" s="6">
        <v>0</v>
      </c>
      <c r="K2" s="6">
        <v>1.66666671E-3</v>
      </c>
      <c r="L2" s="6">
        <v>0</v>
      </c>
      <c r="M2" s="71">
        <v>0.2</v>
      </c>
      <c r="N2" s="71">
        <v>0</v>
      </c>
    </row>
    <row r="3" spans="1:46" ht="15" customHeight="1" x14ac:dyDescent="0.15">
      <c r="A3" s="1" t="s">
        <v>9</v>
      </c>
      <c r="B3" s="4">
        <v>14</v>
      </c>
      <c r="C3" s="71">
        <v>2</v>
      </c>
      <c r="D3"/>
      <c r="E3" s="148" t="s">
        <v>192</v>
      </c>
      <c r="F3" s="71">
        <v>0</v>
      </c>
      <c r="G3" s="71">
        <v>0.02</v>
      </c>
      <c r="H3" s="71">
        <v>2.86</v>
      </c>
      <c r="I3" s="71">
        <v>7.3</v>
      </c>
      <c r="J3" s="71">
        <v>0.66433566799999999</v>
      </c>
      <c r="K3" s="71">
        <v>0.39178079999999998</v>
      </c>
      <c r="L3" s="71">
        <v>0</v>
      </c>
      <c r="M3" s="71">
        <v>0.2</v>
      </c>
      <c r="N3" s="71">
        <v>0</v>
      </c>
    </row>
    <row r="4" spans="1:46" ht="15" customHeight="1" x14ac:dyDescent="0.15">
      <c r="A4" s="1" t="s">
        <v>10</v>
      </c>
      <c r="B4" s="4">
        <v>2</v>
      </c>
      <c r="C4" s="71">
        <v>3</v>
      </c>
      <c r="D4"/>
      <c r="E4" s="148" t="s">
        <v>193</v>
      </c>
      <c r="F4" s="71">
        <v>0</v>
      </c>
      <c r="G4" s="71">
        <v>0.17</v>
      </c>
      <c r="H4" s="71">
        <v>3.93</v>
      </c>
      <c r="I4" s="71">
        <v>9.5500000000000007</v>
      </c>
      <c r="J4" s="71">
        <v>0.84717849999999995</v>
      </c>
      <c r="K4" s="71">
        <v>0.41151833500000001</v>
      </c>
      <c r="L4" s="71">
        <v>0</v>
      </c>
      <c r="M4" s="71">
        <v>0.2</v>
      </c>
      <c r="N4" s="7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1">
        <v>4</v>
      </c>
      <c r="D5"/>
      <c r="E5" s="148" t="s">
        <v>194</v>
      </c>
      <c r="F5" s="71">
        <v>0</v>
      </c>
      <c r="G5" s="71">
        <v>0.15</v>
      </c>
      <c r="H5" s="71">
        <v>2.4300000000000002</v>
      </c>
      <c r="I5" s="71">
        <v>10</v>
      </c>
      <c r="J5" s="71">
        <v>0.78243620000000003</v>
      </c>
      <c r="K5" s="71">
        <v>0.24299999999999999</v>
      </c>
      <c r="L5" s="71">
        <v>0</v>
      </c>
      <c r="M5" s="71">
        <v>0.2</v>
      </c>
      <c r="N5" s="71">
        <v>0</v>
      </c>
      <c r="P5" s="63"/>
      <c r="Q5" s="63"/>
      <c r="R5" s="63"/>
    </row>
    <row r="6" spans="1:46" ht="15" customHeight="1" thickBot="1" x14ac:dyDescent="0.2">
      <c r="B6" s="1"/>
      <c r="C6" s="71">
        <v>5</v>
      </c>
      <c r="D6"/>
      <c r="E6" s="148" t="s">
        <v>195</v>
      </c>
      <c r="F6" s="71">
        <v>0</v>
      </c>
      <c r="G6" s="71">
        <v>0.25</v>
      </c>
      <c r="H6" s="71">
        <v>3.9</v>
      </c>
      <c r="I6" s="71">
        <v>7.85</v>
      </c>
      <c r="J6" s="71">
        <v>3.84818465E-2</v>
      </c>
      <c r="K6" s="71">
        <v>0.49681530000000002</v>
      </c>
      <c r="L6" s="71">
        <v>0</v>
      </c>
      <c r="M6" s="71">
        <v>0.2</v>
      </c>
      <c r="N6" s="71">
        <v>0</v>
      </c>
      <c r="P6" s="63"/>
      <c r="Q6" s="63"/>
      <c r="R6" s="63"/>
      <c r="W6" s="31" t="s">
        <v>31</v>
      </c>
      <c r="X6" s="47">
        <f>MAX(MainOutputs!G:G)</f>
        <v>0.9575798511505127</v>
      </c>
    </row>
    <row r="7" spans="1:46" ht="15" customHeight="1" x14ac:dyDescent="0.15">
      <c r="A7" s="2" t="s">
        <v>27</v>
      </c>
      <c r="B7" s="71">
        <f ca="1">COUNTIF(OFFSET(cornerDiets,1,1,NumLiving+NumDead+1,NumLiving+NumDead),"&gt;0")+NumLiving+NumDead+1</f>
        <v>80</v>
      </c>
      <c r="C7" s="71">
        <v>6</v>
      </c>
      <c r="D7"/>
      <c r="E7" s="148" t="s">
        <v>196</v>
      </c>
      <c r="F7" s="71">
        <v>0</v>
      </c>
      <c r="G7" s="71">
        <v>0.78</v>
      </c>
      <c r="H7" s="71">
        <v>7.49</v>
      </c>
      <c r="I7" s="71">
        <v>15</v>
      </c>
      <c r="J7" s="71">
        <v>0.47389229999999999</v>
      </c>
      <c r="K7" s="71">
        <v>0.49933332200000002</v>
      </c>
      <c r="L7" s="71">
        <v>0</v>
      </c>
      <c r="M7" s="71">
        <v>0.2</v>
      </c>
      <c r="N7" s="71">
        <v>0</v>
      </c>
      <c r="P7" s="63"/>
      <c r="Q7" s="63"/>
      <c r="R7" s="63"/>
    </row>
    <row r="8" spans="1:46" ht="15" customHeight="1" x14ac:dyDescent="0.15">
      <c r="A8" s="2" t="s">
        <v>28</v>
      </c>
      <c r="B8" s="71">
        <f ca="1">COUNTIF(OFFSET(cornerFishing,1,2,NumLiving+NumDead,NumGears),"&gt;0")+NumDead*COUNTIF(OFFSET(cornerDiscards,1,2,NumLiving+NumDead,NumGears),"&gt;0")+NumLiving+NumDead+1</f>
        <v>27</v>
      </c>
      <c r="C8" s="71">
        <v>7</v>
      </c>
      <c r="D8"/>
      <c r="E8" s="148" t="s">
        <v>197</v>
      </c>
      <c r="F8" s="71">
        <v>0</v>
      </c>
      <c r="G8" s="71">
        <v>2.54</v>
      </c>
      <c r="H8" s="71">
        <v>10</v>
      </c>
      <c r="I8" s="71">
        <v>23.74</v>
      </c>
      <c r="J8" s="71">
        <v>2.2225189999999999E-2</v>
      </c>
      <c r="K8" s="71">
        <v>0.42122999999999999</v>
      </c>
      <c r="L8" s="71">
        <v>0</v>
      </c>
      <c r="M8" s="71">
        <v>0.2</v>
      </c>
      <c r="N8" s="71">
        <v>0</v>
      </c>
      <c r="P8" s="63"/>
      <c r="Q8" s="63"/>
      <c r="R8" s="63"/>
    </row>
    <row r="9" spans="1:46" ht="15" customHeight="1" x14ac:dyDescent="0.15">
      <c r="B9" s="1"/>
      <c r="C9" s="71">
        <v>8</v>
      </c>
      <c r="D9"/>
      <c r="E9" s="148" t="s">
        <v>198</v>
      </c>
      <c r="F9" s="71">
        <v>0</v>
      </c>
      <c r="G9" s="71">
        <v>0.62</v>
      </c>
      <c r="H9" s="71">
        <v>3.75</v>
      </c>
      <c r="I9" s="71">
        <v>12.9</v>
      </c>
      <c r="J9" s="71">
        <v>0.93461079999999996</v>
      </c>
      <c r="K9" s="71">
        <v>0.2906977</v>
      </c>
      <c r="L9" s="71">
        <v>0</v>
      </c>
      <c r="M9" s="71">
        <v>0.2</v>
      </c>
      <c r="N9" s="71">
        <v>0</v>
      </c>
      <c r="P9" s="63"/>
      <c r="Q9" s="63"/>
      <c r="R9" s="63"/>
    </row>
    <row r="10" spans="1:46" ht="15" customHeight="1" x14ac:dyDescent="0.15">
      <c r="B10" s="1"/>
      <c r="C10" s="71">
        <v>9</v>
      </c>
      <c r="D10"/>
      <c r="E10" s="148" t="s">
        <v>199</v>
      </c>
      <c r="F10" s="71">
        <v>0</v>
      </c>
      <c r="G10" s="71">
        <v>6.55</v>
      </c>
      <c r="H10" s="71">
        <v>5.1100000000000003</v>
      </c>
      <c r="I10" s="71">
        <v>21.81</v>
      </c>
      <c r="J10" s="71">
        <v>0.94398210000000005</v>
      </c>
      <c r="K10" s="71">
        <v>0.23429620000000001</v>
      </c>
      <c r="L10" s="71">
        <v>0</v>
      </c>
      <c r="M10" s="71">
        <v>0.2</v>
      </c>
      <c r="N10" s="71">
        <v>0</v>
      </c>
    </row>
    <row r="11" spans="1:46" ht="15" customHeight="1" x14ac:dyDescent="0.15">
      <c r="C11" s="71">
        <v>10</v>
      </c>
      <c r="D11"/>
      <c r="E11" s="148" t="s">
        <v>200</v>
      </c>
      <c r="F11" s="71">
        <v>0</v>
      </c>
      <c r="G11" s="71">
        <v>5.96</v>
      </c>
      <c r="H11" s="71">
        <v>5.51</v>
      </c>
      <c r="I11" s="71">
        <v>11.02</v>
      </c>
      <c r="J11" s="71">
        <v>0.95757985099999998</v>
      </c>
      <c r="K11" s="71">
        <v>0.5</v>
      </c>
      <c r="L11" s="71">
        <v>0</v>
      </c>
      <c r="M11" s="71">
        <v>0.2</v>
      </c>
      <c r="N11" s="71">
        <v>0</v>
      </c>
    </row>
    <row r="12" spans="1:46" ht="15" customHeight="1" x14ac:dyDescent="0.15">
      <c r="C12" s="71">
        <v>11</v>
      </c>
      <c r="D12"/>
      <c r="E12" s="148" t="s">
        <v>201</v>
      </c>
      <c r="F12" s="71">
        <v>0</v>
      </c>
      <c r="G12" s="71">
        <v>4.4000000000000004</v>
      </c>
      <c r="H12" s="71">
        <v>4.0999999999999996</v>
      </c>
      <c r="I12" s="71">
        <v>10.51</v>
      </c>
      <c r="J12" s="71">
        <v>0.95737039999999995</v>
      </c>
      <c r="K12" s="71">
        <v>0.39010465100000002</v>
      </c>
      <c r="L12" s="71">
        <v>0</v>
      </c>
      <c r="M12" s="71">
        <v>0.2</v>
      </c>
      <c r="N12" s="71">
        <v>0</v>
      </c>
    </row>
    <row r="13" spans="1:46" ht="15" customHeight="1" x14ac:dyDescent="0.15">
      <c r="C13" s="71">
        <v>12</v>
      </c>
      <c r="D13"/>
      <c r="E13" s="148" t="s">
        <v>202</v>
      </c>
      <c r="F13" s="71">
        <v>0</v>
      </c>
      <c r="G13" s="71">
        <v>0.02</v>
      </c>
      <c r="H13" s="71">
        <v>1.5</v>
      </c>
      <c r="I13" s="71">
        <v>3.5</v>
      </c>
      <c r="J13" s="71">
        <v>0</v>
      </c>
      <c r="K13" s="71">
        <v>0.428571433</v>
      </c>
      <c r="L13" s="71">
        <v>0</v>
      </c>
      <c r="M13" s="71">
        <v>0.2</v>
      </c>
      <c r="N13" s="71">
        <v>0</v>
      </c>
    </row>
    <row r="14" spans="1:46" ht="15" customHeight="1" x14ac:dyDescent="0.15">
      <c r="C14" s="71">
        <v>13</v>
      </c>
      <c r="D14"/>
      <c r="E14" s="148" t="s">
        <v>203</v>
      </c>
      <c r="F14" s="71">
        <v>0</v>
      </c>
      <c r="G14" s="71">
        <v>2.66</v>
      </c>
      <c r="H14" s="71">
        <v>67</v>
      </c>
      <c r="I14" s="71">
        <v>280</v>
      </c>
      <c r="J14" s="71">
        <v>0.94788850000000002</v>
      </c>
      <c r="K14" s="71">
        <v>0.23928570699999999</v>
      </c>
      <c r="L14" s="71">
        <v>0</v>
      </c>
      <c r="M14" s="71">
        <v>0.2</v>
      </c>
      <c r="N14" s="71">
        <v>0</v>
      </c>
    </row>
    <row r="15" spans="1:46" ht="15" customHeight="1" x14ac:dyDescent="0.15">
      <c r="C15" s="71">
        <v>14</v>
      </c>
      <c r="D15"/>
      <c r="E15" s="148" t="s">
        <v>204</v>
      </c>
      <c r="F15" s="71">
        <v>1</v>
      </c>
      <c r="G15" s="71">
        <v>14.08</v>
      </c>
      <c r="H15" s="71">
        <v>71.150000000000006</v>
      </c>
      <c r="I15" s="71">
        <v>0</v>
      </c>
      <c r="J15" s="71">
        <v>0.50023470000000003</v>
      </c>
      <c r="K15" s="71">
        <v>0</v>
      </c>
      <c r="L15" s="71">
        <v>0</v>
      </c>
      <c r="M15" s="71">
        <v>0</v>
      </c>
      <c r="N15" s="71">
        <v>0</v>
      </c>
    </row>
    <row r="16" spans="1:46" ht="15" customHeight="1" x14ac:dyDescent="0.15">
      <c r="C16" s="71">
        <v>15</v>
      </c>
      <c r="D16"/>
      <c r="E16" s="148" t="s">
        <v>205</v>
      </c>
      <c r="F16" s="71">
        <v>2</v>
      </c>
      <c r="G16" s="71">
        <v>100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</row>
    <row r="17" spans="1:22" ht="15" customHeight="1" x14ac:dyDescent="0.15">
      <c r="C17" s="71">
        <v>16</v>
      </c>
      <c r="D17"/>
      <c r="E17" s="148" t="s">
        <v>206</v>
      </c>
      <c r="F17" s="71">
        <v>2</v>
      </c>
      <c r="G17" s="71">
        <v>5</v>
      </c>
      <c r="H17" s="71">
        <v>0</v>
      </c>
      <c r="I17" s="71">
        <v>0</v>
      </c>
      <c r="J17" s="71">
        <v>0</v>
      </c>
      <c r="K17" s="71">
        <v>0</v>
      </c>
      <c r="L17" s="71">
        <v>0</v>
      </c>
      <c r="M17" s="71">
        <v>0</v>
      </c>
      <c r="N17" s="71">
        <v>0</v>
      </c>
      <c r="V17" s="1" t="s">
        <v>30</v>
      </c>
    </row>
    <row r="18" spans="1:22" ht="15" customHeight="1" x14ac:dyDescent="0.15">
      <c r="C18" s="71">
        <v>17</v>
      </c>
      <c r="D18"/>
      <c r="E18" s="148" t="s">
        <v>207</v>
      </c>
      <c r="F18" s="71">
        <v>3</v>
      </c>
      <c r="G18" s="71">
        <v>0</v>
      </c>
      <c r="H18" s="71">
        <v>0</v>
      </c>
      <c r="I18" s="71">
        <v>0</v>
      </c>
      <c r="J18" s="71">
        <v>0</v>
      </c>
      <c r="K18" s="71">
        <v>0</v>
      </c>
      <c r="L18" s="71">
        <v>0</v>
      </c>
      <c r="M18" s="71">
        <v>0</v>
      </c>
      <c r="N18" s="71">
        <v>0</v>
      </c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42" t="s">
        <v>137</v>
      </c>
      <c r="B21" s="89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90" t="s">
        <v>58</v>
      </c>
      <c r="B22" s="91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90" t="s">
        <v>59</v>
      </c>
      <c r="B23" s="91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90" t="s">
        <v>60</v>
      </c>
      <c r="B24" s="91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2" t="s">
        <v>44</v>
      </c>
      <c r="B25" s="93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4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4.5" style="128" bestFit="1" customWidth="1"/>
    <col min="2" max="2" width="4.83203125" style="128" bestFit="1" customWidth="1"/>
    <col min="3" max="4" width="14.83203125" style="128" bestFit="1" customWidth="1"/>
    <col min="5" max="9" width="4.83203125" style="128" bestFit="1" customWidth="1"/>
    <col min="10" max="10" width="13.83203125" style="128" bestFit="1" customWidth="1"/>
    <col min="11" max="12" width="4.83203125" style="128" bestFit="1" customWidth="1"/>
    <col min="13" max="13" width="3.83203125" style="128" bestFit="1" customWidth="1"/>
    <col min="14" max="14" width="4.83203125" style="128" bestFit="1" customWidth="1"/>
    <col min="15" max="17" width="2.33203125" style="128" bestFit="1" customWidth="1"/>
    <col min="18" max="29" width="9" style="128" bestFit="1" customWidth="1"/>
    <col min="30" max="16384" width="8.83203125" style="128"/>
  </cols>
  <sheetData>
    <row r="1" spans="1:34" x14ac:dyDescent="0.15">
      <c r="A1" s="127" t="s">
        <v>19</v>
      </c>
      <c r="B1" s="150" t="s">
        <v>191</v>
      </c>
      <c r="C1" s="150" t="s">
        <v>192</v>
      </c>
      <c r="D1" s="150" t="s">
        <v>193</v>
      </c>
      <c r="E1" s="150" t="s">
        <v>194</v>
      </c>
      <c r="F1" s="150" t="s">
        <v>195</v>
      </c>
      <c r="G1" s="150" t="s">
        <v>196</v>
      </c>
      <c r="H1" s="150" t="s">
        <v>197</v>
      </c>
      <c r="I1" s="150" t="s">
        <v>198</v>
      </c>
      <c r="J1" s="150" t="s">
        <v>199</v>
      </c>
      <c r="K1" s="150" t="s">
        <v>200</v>
      </c>
      <c r="L1" s="150" t="s">
        <v>201</v>
      </c>
      <c r="M1" s="150" t="s">
        <v>202</v>
      </c>
      <c r="N1" s="150" t="s">
        <v>203</v>
      </c>
      <c r="O1" s="150" t="s">
        <v>204</v>
      </c>
      <c r="P1" s="150" t="s">
        <v>205</v>
      </c>
      <c r="Q1" s="150" t="s">
        <v>206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9" t="s">
        <v>191</v>
      </c>
      <c r="B2" s="128">
        <v>0</v>
      </c>
      <c r="C2" s="128">
        <v>0</v>
      </c>
      <c r="D2" s="128">
        <v>0</v>
      </c>
      <c r="E2" s="128">
        <v>0</v>
      </c>
      <c r="F2" s="128">
        <v>0</v>
      </c>
      <c r="G2" s="128">
        <v>0</v>
      </c>
      <c r="H2" s="128">
        <v>0</v>
      </c>
      <c r="I2" s="128">
        <v>0</v>
      </c>
      <c r="J2" s="128">
        <v>0</v>
      </c>
      <c r="K2" s="128">
        <v>0</v>
      </c>
      <c r="L2" s="128">
        <v>0</v>
      </c>
      <c r="M2" s="128">
        <v>0</v>
      </c>
      <c r="N2" s="128">
        <v>0</v>
      </c>
      <c r="O2" s="128">
        <v>0</v>
      </c>
      <c r="P2" s="128">
        <v>0</v>
      </c>
      <c r="Q2" s="128">
        <v>0</v>
      </c>
    </row>
    <row r="3" spans="1:34" customFormat="1" x14ac:dyDescent="0.15">
      <c r="A3" s="149" t="s">
        <v>192</v>
      </c>
      <c r="B3" s="128">
        <v>0.03</v>
      </c>
      <c r="C3" s="128">
        <v>0</v>
      </c>
      <c r="D3" s="128">
        <v>0</v>
      </c>
      <c r="E3" s="128">
        <v>0</v>
      </c>
      <c r="F3" s="128">
        <v>0</v>
      </c>
      <c r="G3" s="128">
        <v>0</v>
      </c>
      <c r="H3" s="128">
        <v>0</v>
      </c>
      <c r="I3" s="128">
        <v>0</v>
      </c>
      <c r="J3" s="128">
        <v>0</v>
      </c>
      <c r="K3" s="128">
        <v>0</v>
      </c>
      <c r="L3" s="128">
        <v>0</v>
      </c>
      <c r="M3" s="128">
        <v>0</v>
      </c>
      <c r="N3" s="128">
        <v>0</v>
      </c>
      <c r="O3" s="128">
        <v>0</v>
      </c>
      <c r="P3" s="128">
        <v>0</v>
      </c>
      <c r="Q3" s="128">
        <v>0</v>
      </c>
    </row>
    <row r="4" spans="1:34" customFormat="1" x14ac:dyDescent="0.15">
      <c r="A4" s="149" t="s">
        <v>193</v>
      </c>
      <c r="B4" s="128">
        <v>0.66</v>
      </c>
      <c r="C4" s="128">
        <v>0</v>
      </c>
      <c r="D4" s="128">
        <v>0</v>
      </c>
      <c r="E4" s="128">
        <v>0</v>
      </c>
      <c r="F4" s="128">
        <v>0</v>
      </c>
      <c r="G4" s="128">
        <v>0</v>
      </c>
      <c r="H4" s="128">
        <v>0</v>
      </c>
      <c r="I4" s="128">
        <v>0</v>
      </c>
      <c r="J4" s="128">
        <v>0</v>
      </c>
      <c r="K4" s="128">
        <v>0</v>
      </c>
      <c r="L4" s="128">
        <v>0</v>
      </c>
      <c r="M4" s="128">
        <v>0</v>
      </c>
      <c r="N4" s="128">
        <v>0</v>
      </c>
      <c r="O4" s="128">
        <v>0</v>
      </c>
      <c r="P4" s="128">
        <v>0</v>
      </c>
      <c r="Q4" s="128">
        <v>0</v>
      </c>
    </row>
    <row r="5" spans="1:34" customFormat="1" x14ac:dyDescent="0.15">
      <c r="A5" s="149" t="s">
        <v>194</v>
      </c>
      <c r="B5" s="128">
        <v>0</v>
      </c>
      <c r="C5" s="128">
        <v>9.9009898811881228E-2</v>
      </c>
      <c r="D5" s="128">
        <v>9.9009898811881228E-2</v>
      </c>
      <c r="E5" s="128">
        <v>0.04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28">
        <v>0</v>
      </c>
      <c r="L5" s="128">
        <v>0</v>
      </c>
      <c r="M5" s="128">
        <v>0</v>
      </c>
      <c r="N5" s="128">
        <v>0</v>
      </c>
      <c r="O5" s="128">
        <v>0</v>
      </c>
      <c r="P5" s="128">
        <v>0</v>
      </c>
      <c r="Q5" s="128">
        <v>0</v>
      </c>
    </row>
    <row r="6" spans="1:34" customFormat="1" x14ac:dyDescent="0.15">
      <c r="A6" s="149" t="s">
        <v>195</v>
      </c>
      <c r="B6" s="128">
        <v>0</v>
      </c>
      <c r="C6" s="128">
        <v>9.9009898811881231E-3</v>
      </c>
      <c r="D6" s="128">
        <v>9.9009898811881231E-3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28">
        <v>0</v>
      </c>
      <c r="L6" s="128">
        <v>0</v>
      </c>
      <c r="M6" s="128">
        <v>0</v>
      </c>
      <c r="N6" s="128">
        <v>0</v>
      </c>
      <c r="O6" s="128">
        <v>0</v>
      </c>
      <c r="P6" s="128">
        <v>0</v>
      </c>
      <c r="Q6" s="128">
        <v>0</v>
      </c>
    </row>
    <row r="7" spans="1:34" customFormat="1" x14ac:dyDescent="0.15">
      <c r="A7" s="149" t="s">
        <v>196</v>
      </c>
      <c r="B7" s="128">
        <v>0.01</v>
      </c>
      <c r="C7" s="128">
        <v>0.33663367796039589</v>
      </c>
      <c r="D7" s="128">
        <v>0.33663367796039589</v>
      </c>
      <c r="E7" s="128">
        <v>0.82</v>
      </c>
      <c r="F7" s="128">
        <v>0</v>
      </c>
      <c r="G7" s="128">
        <v>0.01</v>
      </c>
      <c r="H7" s="128">
        <v>0</v>
      </c>
      <c r="I7" s="128">
        <v>0.05</v>
      </c>
      <c r="J7" s="128">
        <v>0</v>
      </c>
      <c r="K7" s="128">
        <v>0</v>
      </c>
      <c r="L7" s="128">
        <v>0</v>
      </c>
      <c r="M7" s="128">
        <v>0</v>
      </c>
      <c r="N7" s="128">
        <v>0</v>
      </c>
      <c r="O7" s="128">
        <v>0</v>
      </c>
      <c r="P7" s="128">
        <v>0</v>
      </c>
      <c r="Q7" s="128">
        <v>0</v>
      </c>
    </row>
    <row r="8" spans="1:34" customFormat="1" x14ac:dyDescent="0.15">
      <c r="A8" s="149" t="s">
        <v>197</v>
      </c>
      <c r="B8" s="128">
        <v>0</v>
      </c>
      <c r="C8" s="128">
        <v>9.9009898811881231E-3</v>
      </c>
      <c r="D8" s="128">
        <v>9.9009898811881231E-3</v>
      </c>
      <c r="E8" s="128">
        <v>0</v>
      </c>
      <c r="F8" s="128">
        <v>0</v>
      </c>
      <c r="G8" s="128">
        <v>0.01</v>
      </c>
      <c r="H8" s="128">
        <v>0</v>
      </c>
      <c r="I8" s="128">
        <v>0</v>
      </c>
      <c r="J8" s="128">
        <v>0</v>
      </c>
      <c r="K8" s="128">
        <v>0</v>
      </c>
      <c r="L8" s="128">
        <v>0</v>
      </c>
      <c r="M8" s="128">
        <v>0</v>
      </c>
      <c r="N8" s="128">
        <v>0</v>
      </c>
      <c r="O8" s="128">
        <v>0</v>
      </c>
      <c r="P8" s="128">
        <v>0</v>
      </c>
      <c r="Q8" s="128">
        <v>0</v>
      </c>
    </row>
    <row r="9" spans="1:34" customFormat="1" x14ac:dyDescent="0.15">
      <c r="A9" s="149" t="s">
        <v>198</v>
      </c>
      <c r="B9" s="128">
        <v>0.3</v>
      </c>
      <c r="C9" s="128">
        <v>0.49504949405940613</v>
      </c>
      <c r="D9" s="128">
        <v>0.49504949405940613</v>
      </c>
      <c r="E9" s="128">
        <v>0.04</v>
      </c>
      <c r="F9" s="128">
        <v>0</v>
      </c>
      <c r="G9" s="128">
        <v>0.01</v>
      </c>
      <c r="H9" s="128">
        <v>0</v>
      </c>
      <c r="I9" s="128">
        <v>0.01</v>
      </c>
      <c r="J9" s="128">
        <v>0</v>
      </c>
      <c r="K9" s="128">
        <v>0</v>
      </c>
      <c r="L9" s="128">
        <v>0</v>
      </c>
      <c r="M9" s="128">
        <v>0</v>
      </c>
      <c r="N9" s="128">
        <v>0</v>
      </c>
      <c r="O9" s="128">
        <v>0</v>
      </c>
      <c r="P9" s="128">
        <v>0</v>
      </c>
      <c r="Q9" s="128">
        <v>0</v>
      </c>
    </row>
    <row r="10" spans="1:34" customFormat="1" x14ac:dyDescent="0.15">
      <c r="A10" s="149" t="s">
        <v>199</v>
      </c>
      <c r="B10" s="128">
        <v>0</v>
      </c>
      <c r="C10" s="128">
        <v>0</v>
      </c>
      <c r="D10" s="128">
        <v>0</v>
      </c>
      <c r="E10" s="128">
        <v>0.09</v>
      </c>
      <c r="F10" s="128">
        <v>0.68</v>
      </c>
      <c r="G10" s="128">
        <v>0.54</v>
      </c>
      <c r="H10" s="128">
        <v>0.06</v>
      </c>
      <c r="I10" s="128">
        <v>0.05</v>
      </c>
      <c r="J10" s="128">
        <v>8.910891409108912E-2</v>
      </c>
      <c r="K10" s="128">
        <v>0.05</v>
      </c>
      <c r="L10" s="128">
        <v>0.08</v>
      </c>
      <c r="M10" s="128">
        <v>0.1</v>
      </c>
      <c r="N10" s="128">
        <v>0</v>
      </c>
      <c r="O10" s="128">
        <v>0</v>
      </c>
      <c r="P10" s="128">
        <v>0</v>
      </c>
      <c r="Q10" s="128">
        <v>0</v>
      </c>
    </row>
    <row r="11" spans="1:34" customFormat="1" x14ac:dyDescent="0.15">
      <c r="A11" s="149" t="s">
        <v>200</v>
      </c>
      <c r="B11" s="128">
        <v>0</v>
      </c>
      <c r="C11" s="128">
        <v>0</v>
      </c>
      <c r="D11" s="128">
        <v>0</v>
      </c>
      <c r="E11" s="128">
        <v>0</v>
      </c>
      <c r="F11" s="128">
        <v>0.17</v>
      </c>
      <c r="G11" s="128">
        <v>0.26</v>
      </c>
      <c r="H11" s="128">
        <v>0.06</v>
      </c>
      <c r="I11" s="128">
        <v>0</v>
      </c>
      <c r="J11" s="128">
        <v>0.12871286298712872</v>
      </c>
      <c r="K11" s="128">
        <v>0.05</v>
      </c>
      <c r="L11" s="128">
        <v>0.06</v>
      </c>
      <c r="M11" s="128">
        <v>0.1</v>
      </c>
      <c r="N11" s="128">
        <v>0</v>
      </c>
      <c r="O11" s="128">
        <v>0</v>
      </c>
      <c r="P11" s="128">
        <v>0</v>
      </c>
      <c r="Q11" s="128">
        <v>0</v>
      </c>
    </row>
    <row r="12" spans="1:34" customFormat="1" x14ac:dyDescent="0.15">
      <c r="A12" s="149" t="s">
        <v>201</v>
      </c>
      <c r="B12" s="128">
        <v>0</v>
      </c>
      <c r="C12" s="128">
        <v>4.9504949405940614E-2</v>
      </c>
      <c r="D12" s="128">
        <v>4.9504949405940614E-2</v>
      </c>
      <c r="E12" s="128">
        <v>0.01</v>
      </c>
      <c r="F12" s="128">
        <v>0.15</v>
      </c>
      <c r="G12" s="128">
        <v>0.15</v>
      </c>
      <c r="H12" s="128">
        <v>0</v>
      </c>
      <c r="I12" s="128">
        <v>0</v>
      </c>
      <c r="J12" s="128">
        <v>9.9009899990099001E-2</v>
      </c>
      <c r="K12" s="128">
        <v>0</v>
      </c>
      <c r="L12" s="128">
        <v>0.02</v>
      </c>
      <c r="M12" s="128">
        <v>0</v>
      </c>
      <c r="N12" s="128">
        <v>0</v>
      </c>
      <c r="O12" s="128">
        <v>0</v>
      </c>
      <c r="P12" s="128">
        <v>0</v>
      </c>
      <c r="Q12" s="128">
        <v>0</v>
      </c>
    </row>
    <row r="13" spans="1:34" customFormat="1" x14ac:dyDescent="0.15">
      <c r="A13" s="149" t="s">
        <v>202</v>
      </c>
      <c r="B13" s="128">
        <v>0</v>
      </c>
      <c r="C13" s="128">
        <v>0</v>
      </c>
      <c r="D13" s="128">
        <v>0</v>
      </c>
      <c r="E13" s="128">
        <v>0</v>
      </c>
      <c r="F13" s="128">
        <v>0</v>
      </c>
      <c r="G13" s="128">
        <v>0</v>
      </c>
      <c r="H13" s="128">
        <v>0</v>
      </c>
      <c r="I13" s="128">
        <v>0</v>
      </c>
      <c r="J13" s="128">
        <v>0</v>
      </c>
      <c r="K13" s="128">
        <v>0</v>
      </c>
      <c r="L13" s="128">
        <v>0</v>
      </c>
      <c r="M13" s="128">
        <v>0</v>
      </c>
      <c r="N13" s="128">
        <v>0</v>
      </c>
      <c r="O13" s="128">
        <v>0</v>
      </c>
      <c r="P13" s="128">
        <v>0</v>
      </c>
      <c r="Q13" s="128">
        <v>0</v>
      </c>
    </row>
    <row r="14" spans="1:34" customFormat="1" x14ac:dyDescent="0.15">
      <c r="A14" s="149" t="s">
        <v>203</v>
      </c>
      <c r="B14" s="128">
        <v>0</v>
      </c>
      <c r="C14" s="128">
        <v>0</v>
      </c>
      <c r="D14" s="128">
        <v>0</v>
      </c>
      <c r="E14" s="128">
        <v>0</v>
      </c>
      <c r="F14" s="128">
        <v>0</v>
      </c>
      <c r="G14" s="128">
        <v>0.01</v>
      </c>
      <c r="H14" s="128">
        <v>0.88</v>
      </c>
      <c r="I14" s="128">
        <v>0.7</v>
      </c>
      <c r="J14" s="128">
        <v>7.9207919992079212E-2</v>
      </c>
      <c r="K14" s="128">
        <v>0.3</v>
      </c>
      <c r="L14" s="128">
        <v>0.1</v>
      </c>
      <c r="M14" s="128">
        <v>0</v>
      </c>
      <c r="N14" s="128">
        <v>0.1</v>
      </c>
      <c r="O14" s="128">
        <v>0</v>
      </c>
      <c r="P14" s="128">
        <v>0</v>
      </c>
      <c r="Q14" s="128">
        <v>0</v>
      </c>
    </row>
    <row r="15" spans="1:34" customFormat="1" x14ac:dyDescent="0.15">
      <c r="A15" s="149" t="s">
        <v>204</v>
      </c>
      <c r="B15" s="128">
        <v>0</v>
      </c>
      <c r="C15" s="128">
        <v>0</v>
      </c>
      <c r="D15" s="128">
        <v>0</v>
      </c>
      <c r="E15" s="128">
        <v>0</v>
      </c>
      <c r="F15" s="128">
        <v>0</v>
      </c>
      <c r="G15" s="128">
        <v>0</v>
      </c>
      <c r="H15" s="128">
        <v>0</v>
      </c>
      <c r="I15" s="128">
        <v>0.19</v>
      </c>
      <c r="J15" s="128">
        <v>2.9702969997029701E-2</v>
      </c>
      <c r="K15" s="128">
        <v>0.1</v>
      </c>
      <c r="L15" s="128">
        <v>0.1</v>
      </c>
      <c r="M15" s="128">
        <v>0.8</v>
      </c>
      <c r="N15" s="128">
        <v>0.65</v>
      </c>
      <c r="O15" s="128">
        <v>0</v>
      </c>
      <c r="P15" s="128">
        <v>0</v>
      </c>
      <c r="Q15" s="128">
        <v>0</v>
      </c>
    </row>
    <row r="16" spans="1:34" customFormat="1" x14ac:dyDescent="0.15">
      <c r="A16" s="149" t="s">
        <v>205</v>
      </c>
      <c r="B16" s="128">
        <v>0</v>
      </c>
      <c r="C16" s="128">
        <v>0</v>
      </c>
      <c r="D16" s="128">
        <v>0</v>
      </c>
      <c r="E16" s="128">
        <v>0</v>
      </c>
      <c r="F16" s="128">
        <v>0</v>
      </c>
      <c r="G16" s="128">
        <v>0.01</v>
      </c>
      <c r="H16" s="128">
        <v>0</v>
      </c>
      <c r="I16" s="128">
        <v>0</v>
      </c>
      <c r="J16" s="128">
        <v>0.57425743294257425</v>
      </c>
      <c r="K16" s="128">
        <v>0.5</v>
      </c>
      <c r="L16" s="128">
        <v>0.64</v>
      </c>
      <c r="M16" s="128">
        <v>0</v>
      </c>
      <c r="N16" s="128">
        <v>0.25</v>
      </c>
      <c r="O16" s="128">
        <v>0</v>
      </c>
      <c r="P16" s="128">
        <v>0</v>
      </c>
      <c r="Q16" s="128">
        <v>0</v>
      </c>
    </row>
    <row r="17" spans="1:17" customFormat="1" x14ac:dyDescent="0.15">
      <c r="A17" s="149" t="s">
        <v>206</v>
      </c>
      <c r="B17" s="128">
        <v>0</v>
      </c>
      <c r="C17" s="128">
        <v>0</v>
      </c>
      <c r="D17" s="128">
        <v>0</v>
      </c>
      <c r="E17" s="128">
        <v>0</v>
      </c>
      <c r="F17" s="128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8">
        <v>0</v>
      </c>
      <c r="M17" s="128">
        <v>0</v>
      </c>
      <c r="N17" s="128">
        <v>0</v>
      </c>
      <c r="O17" s="128">
        <v>0</v>
      </c>
      <c r="P17" s="128">
        <v>0</v>
      </c>
      <c r="Q17" s="128">
        <v>0</v>
      </c>
    </row>
    <row r="18" spans="1:17" customFormat="1" x14ac:dyDescent="0.15">
      <c r="A18" s="149" t="s">
        <v>208</v>
      </c>
      <c r="B18" s="128">
        <v>0</v>
      </c>
      <c r="C18" s="128">
        <v>0</v>
      </c>
      <c r="D18" s="128">
        <v>0</v>
      </c>
      <c r="E18" s="128">
        <v>0</v>
      </c>
      <c r="F18" s="128">
        <v>0</v>
      </c>
      <c r="G18" s="128">
        <v>0</v>
      </c>
      <c r="H18" s="128">
        <v>0</v>
      </c>
      <c r="I18" s="128">
        <v>0</v>
      </c>
      <c r="J18" s="128">
        <v>0</v>
      </c>
      <c r="K18" s="128">
        <v>0</v>
      </c>
      <c r="L18" s="128">
        <v>0</v>
      </c>
      <c r="M18" s="128">
        <v>0</v>
      </c>
      <c r="N18" s="128">
        <v>0</v>
      </c>
      <c r="O18" s="128">
        <v>0</v>
      </c>
      <c r="P18" s="128">
        <v>0</v>
      </c>
      <c r="Q18" s="128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  <row r="32" spans="1:17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5" customWidth="1"/>
    <col min="3" max="4" width="2.33203125" style="98" customWidth="1"/>
    <col min="5" max="6" width="2.33203125" style="97" bestFit="1" customWidth="1"/>
    <col min="7" max="8" width="8.83203125" style="98"/>
  </cols>
  <sheetData>
    <row r="1" spans="1:8" ht="70" x14ac:dyDescent="0.15">
      <c r="A1" s="5" t="s">
        <v>20</v>
      </c>
      <c r="B1" s="1" t="s">
        <v>0</v>
      </c>
      <c r="C1" s="152" t="s">
        <v>205</v>
      </c>
      <c r="D1" s="152" t="s">
        <v>206</v>
      </c>
      <c r="E1" s="152" t="s">
        <v>209</v>
      </c>
      <c r="F1" s="152" t="s">
        <v>210</v>
      </c>
      <c r="G1"/>
      <c r="H1"/>
    </row>
    <row r="2" spans="1:8" x14ac:dyDescent="0.15">
      <c r="A2">
        <v>1</v>
      </c>
      <c r="B2" s="151" t="s">
        <v>191</v>
      </c>
      <c r="C2" s="98">
        <v>1</v>
      </c>
      <c r="D2" s="98">
        <v>0</v>
      </c>
      <c r="E2" s="97">
        <v>0</v>
      </c>
      <c r="F2" s="97">
        <v>1</v>
      </c>
      <c r="G2"/>
      <c r="H2"/>
    </row>
    <row r="3" spans="1:8" x14ac:dyDescent="0.15">
      <c r="A3">
        <v>2</v>
      </c>
      <c r="B3" s="151" t="s">
        <v>192</v>
      </c>
      <c r="C3" s="98">
        <v>1</v>
      </c>
      <c r="D3" s="98">
        <v>0</v>
      </c>
      <c r="E3" s="97">
        <v>0</v>
      </c>
      <c r="F3" s="97">
        <v>1</v>
      </c>
      <c r="G3"/>
      <c r="H3"/>
    </row>
    <row r="4" spans="1:8" x14ac:dyDescent="0.15">
      <c r="A4">
        <v>3</v>
      </c>
      <c r="B4" s="151" t="s">
        <v>193</v>
      </c>
      <c r="C4" s="98">
        <v>1</v>
      </c>
      <c r="D4" s="98">
        <v>0</v>
      </c>
      <c r="E4" s="97">
        <v>0</v>
      </c>
      <c r="F4" s="97">
        <v>1</v>
      </c>
      <c r="G4"/>
      <c r="H4"/>
    </row>
    <row r="5" spans="1:8" x14ac:dyDescent="0.15">
      <c r="A5">
        <v>4</v>
      </c>
      <c r="B5" s="151" t="s">
        <v>194</v>
      </c>
      <c r="C5" s="98">
        <v>1</v>
      </c>
      <c r="D5" s="98">
        <v>0</v>
      </c>
      <c r="E5" s="97">
        <v>0</v>
      </c>
      <c r="F5" s="97">
        <v>1</v>
      </c>
      <c r="G5"/>
      <c r="H5"/>
    </row>
    <row r="6" spans="1:8" x14ac:dyDescent="0.15">
      <c r="A6">
        <v>5</v>
      </c>
      <c r="B6" s="151" t="s">
        <v>195</v>
      </c>
      <c r="C6" s="98">
        <v>1</v>
      </c>
      <c r="D6" s="98">
        <v>0</v>
      </c>
      <c r="E6" s="97">
        <v>0</v>
      </c>
      <c r="F6" s="97">
        <v>1</v>
      </c>
      <c r="G6"/>
      <c r="H6"/>
    </row>
    <row r="7" spans="1:8" x14ac:dyDescent="0.15">
      <c r="A7">
        <v>6</v>
      </c>
      <c r="B7" s="151" t="s">
        <v>196</v>
      </c>
      <c r="C7" s="98">
        <v>1</v>
      </c>
      <c r="D7" s="98">
        <v>0</v>
      </c>
      <c r="E7" s="97">
        <v>0</v>
      </c>
      <c r="F7" s="97">
        <v>1</v>
      </c>
      <c r="G7"/>
      <c r="H7"/>
    </row>
    <row r="8" spans="1:8" x14ac:dyDescent="0.15">
      <c r="A8">
        <v>7</v>
      </c>
      <c r="B8" s="151" t="s">
        <v>197</v>
      </c>
      <c r="C8" s="98">
        <v>1</v>
      </c>
      <c r="D8" s="98">
        <v>0</v>
      </c>
      <c r="E8" s="97">
        <v>0</v>
      </c>
      <c r="F8" s="97">
        <v>1</v>
      </c>
      <c r="G8"/>
      <c r="H8"/>
    </row>
    <row r="9" spans="1:8" x14ac:dyDescent="0.15">
      <c r="A9">
        <v>8</v>
      </c>
      <c r="B9" s="151" t="s">
        <v>198</v>
      </c>
      <c r="C9" s="98">
        <v>1</v>
      </c>
      <c r="D9" s="98">
        <v>0</v>
      </c>
      <c r="E9" s="97">
        <v>0</v>
      </c>
      <c r="F9" s="97">
        <v>1</v>
      </c>
      <c r="G9"/>
      <c r="H9"/>
    </row>
    <row r="10" spans="1:8" x14ac:dyDescent="0.15">
      <c r="A10">
        <v>9</v>
      </c>
      <c r="B10" s="151" t="s">
        <v>199</v>
      </c>
      <c r="C10" s="98">
        <v>1</v>
      </c>
      <c r="D10" s="98">
        <v>0</v>
      </c>
      <c r="E10" s="97">
        <v>0</v>
      </c>
      <c r="F10" s="97">
        <v>1</v>
      </c>
      <c r="G10"/>
      <c r="H10"/>
    </row>
    <row r="11" spans="1:8" x14ac:dyDescent="0.15">
      <c r="A11">
        <v>10</v>
      </c>
      <c r="B11" s="151" t="s">
        <v>200</v>
      </c>
      <c r="C11" s="98">
        <v>1</v>
      </c>
      <c r="D11" s="98">
        <v>0</v>
      </c>
      <c r="E11" s="97">
        <v>0</v>
      </c>
      <c r="F11" s="97">
        <v>1</v>
      </c>
      <c r="G11"/>
      <c r="H11"/>
    </row>
    <row r="12" spans="1:8" x14ac:dyDescent="0.15">
      <c r="A12">
        <v>11</v>
      </c>
      <c r="B12" s="151" t="s">
        <v>201</v>
      </c>
      <c r="C12" s="98">
        <v>1</v>
      </c>
      <c r="D12" s="98">
        <v>0</v>
      </c>
      <c r="E12" s="97">
        <v>0</v>
      </c>
      <c r="F12" s="97">
        <v>1</v>
      </c>
      <c r="G12"/>
      <c r="H12"/>
    </row>
    <row r="13" spans="1:8" x14ac:dyDescent="0.15">
      <c r="A13">
        <v>12</v>
      </c>
      <c r="B13" s="151" t="s">
        <v>202</v>
      </c>
      <c r="C13" s="98">
        <v>1</v>
      </c>
      <c r="D13" s="98">
        <v>0</v>
      </c>
      <c r="E13" s="97">
        <v>0</v>
      </c>
      <c r="F13" s="97">
        <v>1</v>
      </c>
      <c r="G13"/>
      <c r="H13"/>
    </row>
    <row r="14" spans="1:8" x14ac:dyDescent="0.15">
      <c r="A14">
        <v>13</v>
      </c>
      <c r="B14" s="151" t="s">
        <v>203</v>
      </c>
      <c r="C14" s="98">
        <v>1</v>
      </c>
      <c r="D14" s="98">
        <v>0</v>
      </c>
      <c r="E14" s="97">
        <v>0</v>
      </c>
      <c r="F14" s="97">
        <v>1</v>
      </c>
      <c r="G14"/>
      <c r="H14"/>
    </row>
    <row r="15" spans="1:8" x14ac:dyDescent="0.15">
      <c r="A15">
        <v>14</v>
      </c>
      <c r="B15" s="151" t="s">
        <v>204</v>
      </c>
      <c r="C15" s="98">
        <v>1</v>
      </c>
      <c r="D15" s="98">
        <v>0</v>
      </c>
      <c r="E15" s="97">
        <v>0</v>
      </c>
      <c r="F15" s="97">
        <v>1</v>
      </c>
      <c r="G15"/>
      <c r="H15"/>
    </row>
    <row r="16" spans="1:8" x14ac:dyDescent="0.15">
      <c r="A16">
        <v>15</v>
      </c>
      <c r="B16" s="151" t="s">
        <v>205</v>
      </c>
      <c r="C16" s="98">
        <v>0</v>
      </c>
      <c r="D16" s="98">
        <v>1</v>
      </c>
      <c r="E16" s="97">
        <v>0</v>
      </c>
      <c r="F16" s="97">
        <v>1</v>
      </c>
      <c r="G16"/>
      <c r="H16"/>
    </row>
    <row r="17" spans="1:8" ht="15" customHeight="1" x14ac:dyDescent="0.15">
      <c r="A17">
        <v>16</v>
      </c>
      <c r="B17" s="151" t="s">
        <v>206</v>
      </c>
      <c r="C17" s="98">
        <v>0</v>
      </c>
      <c r="D17" s="98">
        <v>0</v>
      </c>
      <c r="E17" s="97">
        <v>1</v>
      </c>
      <c r="F17" s="97">
        <v>1</v>
      </c>
      <c r="G17"/>
      <c r="H17"/>
    </row>
    <row r="18" spans="1:8" ht="15" customHeight="1" x14ac:dyDescent="0.15">
      <c r="A18">
        <v>17</v>
      </c>
      <c r="B18" s="151" t="s">
        <v>207</v>
      </c>
      <c r="C18" s="98">
        <v>0</v>
      </c>
      <c r="D18" s="98">
        <v>1</v>
      </c>
      <c r="E18" s="97">
        <v>0</v>
      </c>
      <c r="F18" s="97">
        <v>1</v>
      </c>
      <c r="G18"/>
      <c r="H18"/>
    </row>
    <row r="19" spans="1:8" ht="15" customHeight="1" x14ac:dyDescent="0.15">
      <c r="C19"/>
      <c r="D19"/>
      <c r="E19"/>
      <c r="F19"/>
      <c r="G19"/>
      <c r="H19"/>
    </row>
    <row r="20" spans="1:8" ht="15" customHeight="1" x14ac:dyDescent="0.15">
      <c r="C20"/>
      <c r="D20"/>
      <c r="E20"/>
      <c r="F20"/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8"/>
      <c r="F36" s="98"/>
      <c r="G36"/>
      <c r="H36"/>
    </row>
    <row r="37" spans="3:8" ht="15" customHeight="1" x14ac:dyDescent="0.15">
      <c r="C37"/>
      <c r="D37"/>
      <c r="E37" s="98"/>
      <c r="F37" s="98"/>
      <c r="G37"/>
      <c r="H37"/>
    </row>
    <row r="38" spans="3:8" ht="15" customHeight="1" x14ac:dyDescent="0.15">
      <c r="C38"/>
      <c r="D38"/>
      <c r="E38" s="98"/>
      <c r="F38" s="98"/>
      <c r="G38"/>
      <c r="H38"/>
    </row>
    <row r="39" spans="3:8" ht="15" customHeight="1" x14ac:dyDescent="0.15">
      <c r="C39"/>
      <c r="D39"/>
      <c r="E39" s="98"/>
      <c r="F39" s="98"/>
      <c r="G39"/>
      <c r="H39"/>
    </row>
    <row r="40" spans="3:8" ht="15" customHeight="1" x14ac:dyDescent="0.15">
      <c r="C40"/>
      <c r="D40"/>
      <c r="E40" s="98"/>
      <c r="F40" s="98"/>
      <c r="G40"/>
      <c r="H40"/>
    </row>
    <row r="41" spans="3:8" ht="15" customHeight="1" x14ac:dyDescent="0.15">
      <c r="C41"/>
      <c r="D41"/>
      <c r="E41" s="98"/>
      <c r="F41" s="98"/>
      <c r="G41"/>
      <c r="H41"/>
    </row>
    <row r="42" spans="3:8" ht="15" customHeight="1" x14ac:dyDescent="0.15">
      <c r="C42"/>
      <c r="D42"/>
      <c r="E42" s="98"/>
      <c r="F42" s="98"/>
      <c r="G42"/>
      <c r="H42"/>
    </row>
    <row r="43" spans="3:8" ht="15" customHeight="1" x14ac:dyDescent="0.15">
      <c r="C43"/>
      <c r="D43"/>
      <c r="E43" s="98"/>
      <c r="F43" s="98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8"/>
      <c r="F46" s="98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5" bestFit="1" customWidth="1"/>
    <col min="3" max="4" width="4.83203125" bestFit="1" customWidth="1"/>
    <col min="5" max="5" width="12.1640625" bestFit="1" customWidth="1"/>
  </cols>
  <sheetData>
    <row r="1" spans="1:5" s="99" customFormat="1" ht="112" x14ac:dyDescent="0.15">
      <c r="A1" s="5" t="s">
        <v>21</v>
      </c>
      <c r="B1" s="3" t="s">
        <v>0</v>
      </c>
      <c r="C1" s="154" t="s">
        <v>207</v>
      </c>
      <c r="D1" s="154" t="s">
        <v>211</v>
      </c>
      <c r="E1"/>
    </row>
    <row r="2" spans="1:5" ht="15" customHeight="1" x14ac:dyDescent="0.15">
      <c r="A2">
        <v>1</v>
      </c>
      <c r="B2" s="153" t="s">
        <v>191</v>
      </c>
      <c r="C2">
        <v>0</v>
      </c>
      <c r="D2">
        <v>0</v>
      </c>
    </row>
    <row r="3" spans="1:5" ht="15" customHeight="1" x14ac:dyDescent="0.15">
      <c r="A3">
        <v>2</v>
      </c>
      <c r="B3" s="153" t="s">
        <v>192</v>
      </c>
      <c r="C3">
        <v>0.02</v>
      </c>
      <c r="D3">
        <v>0.02</v>
      </c>
    </row>
    <row r="4" spans="1:5" ht="15" customHeight="1" x14ac:dyDescent="0.15">
      <c r="A4">
        <v>3</v>
      </c>
      <c r="B4" s="153" t="s">
        <v>193</v>
      </c>
      <c r="C4">
        <v>0.17</v>
      </c>
      <c r="D4">
        <v>0.17</v>
      </c>
    </row>
    <row r="5" spans="1:5" ht="15" customHeight="1" x14ac:dyDescent="0.15">
      <c r="A5">
        <v>4</v>
      </c>
      <c r="B5" s="153" t="s">
        <v>194</v>
      </c>
      <c r="C5">
        <v>0.05</v>
      </c>
      <c r="D5">
        <v>0.05</v>
      </c>
    </row>
    <row r="6" spans="1:5" ht="15" customHeight="1" x14ac:dyDescent="0.15">
      <c r="A6">
        <v>5</v>
      </c>
      <c r="B6" s="153" t="s">
        <v>195</v>
      </c>
      <c r="C6">
        <v>0.02</v>
      </c>
      <c r="D6">
        <v>0.02</v>
      </c>
    </row>
    <row r="7" spans="1:5" ht="15" customHeight="1" x14ac:dyDescent="0.15">
      <c r="A7">
        <v>6</v>
      </c>
      <c r="B7" s="153" t="s">
        <v>196</v>
      </c>
      <c r="C7">
        <v>0.42</v>
      </c>
      <c r="D7">
        <v>0.42</v>
      </c>
    </row>
    <row r="8" spans="1:5" ht="15" customHeight="1" x14ac:dyDescent="0.15">
      <c r="A8">
        <v>7</v>
      </c>
      <c r="B8" s="153" t="s">
        <v>197</v>
      </c>
      <c r="C8">
        <v>0.43</v>
      </c>
      <c r="D8">
        <v>0.43</v>
      </c>
    </row>
    <row r="9" spans="1:5" ht="15" customHeight="1" x14ac:dyDescent="0.15">
      <c r="A9">
        <v>8</v>
      </c>
      <c r="B9" s="153" t="s">
        <v>198</v>
      </c>
      <c r="C9">
        <v>0.86</v>
      </c>
      <c r="D9">
        <v>0.86</v>
      </c>
    </row>
    <row r="10" spans="1:5" ht="15" customHeight="1" x14ac:dyDescent="0.15">
      <c r="A10">
        <v>9</v>
      </c>
      <c r="B10" s="153" t="s">
        <v>199</v>
      </c>
      <c r="C10">
        <v>7.0000000000000007E-2</v>
      </c>
      <c r="D10">
        <v>7.0000000000000007E-2</v>
      </c>
    </row>
    <row r="11" spans="1:5" ht="15" customHeight="1" x14ac:dyDescent="0.15">
      <c r="A11">
        <v>10</v>
      </c>
      <c r="B11" s="153" t="s">
        <v>200</v>
      </c>
      <c r="C11">
        <v>0</v>
      </c>
      <c r="D11">
        <v>0</v>
      </c>
    </row>
    <row r="12" spans="1:5" ht="15" customHeight="1" x14ac:dyDescent="0.15">
      <c r="A12">
        <v>11</v>
      </c>
      <c r="B12" s="153" t="s">
        <v>201</v>
      </c>
      <c r="C12">
        <v>0.05</v>
      </c>
      <c r="D12">
        <v>0.05</v>
      </c>
    </row>
    <row r="13" spans="1:5" ht="15" customHeight="1" x14ac:dyDescent="0.15">
      <c r="A13">
        <v>12</v>
      </c>
      <c r="B13" s="153" t="s">
        <v>202</v>
      </c>
      <c r="C13">
        <v>0</v>
      </c>
      <c r="D13">
        <v>0</v>
      </c>
    </row>
    <row r="14" spans="1:5" ht="15" customHeight="1" x14ac:dyDescent="0.15">
      <c r="A14">
        <v>13</v>
      </c>
      <c r="B14" s="153" t="s">
        <v>203</v>
      </c>
      <c r="C14">
        <v>0.03</v>
      </c>
      <c r="D14">
        <v>0.03</v>
      </c>
    </row>
    <row r="15" spans="1:5" ht="15" customHeight="1" x14ac:dyDescent="0.15">
      <c r="A15">
        <v>14</v>
      </c>
      <c r="B15" s="153" t="s">
        <v>204</v>
      </c>
      <c r="C15">
        <v>0</v>
      </c>
      <c r="D15">
        <v>0</v>
      </c>
    </row>
    <row r="16" spans="1:5" ht="15" customHeight="1" x14ac:dyDescent="0.15">
      <c r="A16">
        <v>15</v>
      </c>
      <c r="B16" s="153" t="s">
        <v>205</v>
      </c>
      <c r="C16">
        <v>0</v>
      </c>
      <c r="D16">
        <v>0</v>
      </c>
    </row>
    <row r="17" spans="1:4" ht="15" customHeight="1" x14ac:dyDescent="0.15">
      <c r="A17">
        <v>16</v>
      </c>
      <c r="B17" s="153" t="s">
        <v>206</v>
      </c>
      <c r="C17">
        <v>0</v>
      </c>
      <c r="D17">
        <v>0</v>
      </c>
    </row>
    <row r="18" spans="1:4" ht="15" customHeight="1" x14ac:dyDescent="0.15"/>
    <row r="19" spans="1:4" ht="15" customHeight="1" x14ac:dyDescent="0.15"/>
    <row r="20" spans="1:4" ht="15" customHeight="1" x14ac:dyDescent="0.15"/>
    <row r="21" spans="1:4" ht="15" customHeight="1" x14ac:dyDescent="0.15"/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5" bestFit="1" customWidth="1"/>
    <col min="3" max="4" width="2.33203125" bestFit="1" customWidth="1"/>
    <col min="5" max="5" width="12.1640625" bestFit="1" customWidth="1"/>
  </cols>
  <sheetData>
    <row r="1" spans="1:4" s="99" customFormat="1" ht="112" x14ac:dyDescent="0.15">
      <c r="A1" s="5" t="s">
        <v>22</v>
      </c>
      <c r="B1" s="3" t="s">
        <v>0</v>
      </c>
      <c r="C1" s="156" t="s">
        <v>207</v>
      </c>
      <c r="D1" s="156" t="s">
        <v>211</v>
      </c>
    </row>
    <row r="2" spans="1:4" x14ac:dyDescent="0.15">
      <c r="A2">
        <v>1</v>
      </c>
      <c r="B2" s="155" t="s">
        <v>191</v>
      </c>
      <c r="C2">
        <v>0</v>
      </c>
      <c r="D2">
        <v>0</v>
      </c>
    </row>
    <row r="3" spans="1:4" x14ac:dyDescent="0.15">
      <c r="A3">
        <v>2</v>
      </c>
      <c r="B3" s="155" t="s">
        <v>192</v>
      </c>
      <c r="C3">
        <v>0</v>
      </c>
      <c r="D3">
        <v>0</v>
      </c>
    </row>
    <row r="4" spans="1:4" x14ac:dyDescent="0.15">
      <c r="A4">
        <v>3</v>
      </c>
      <c r="B4" s="155" t="s">
        <v>193</v>
      </c>
      <c r="C4">
        <v>0</v>
      </c>
      <c r="D4">
        <v>0</v>
      </c>
    </row>
    <row r="5" spans="1:4" x14ac:dyDescent="0.15">
      <c r="A5">
        <v>4</v>
      </c>
      <c r="B5" s="155" t="s">
        <v>194</v>
      </c>
      <c r="C5">
        <v>0</v>
      </c>
      <c r="D5">
        <v>0</v>
      </c>
    </row>
    <row r="6" spans="1:4" x14ac:dyDescent="0.15">
      <c r="A6">
        <v>5</v>
      </c>
      <c r="B6" s="155" t="s">
        <v>195</v>
      </c>
      <c r="C6">
        <v>0</v>
      </c>
      <c r="D6">
        <v>0</v>
      </c>
    </row>
    <row r="7" spans="1:4" x14ac:dyDescent="0.15">
      <c r="A7">
        <v>6</v>
      </c>
      <c r="B7" s="155" t="s">
        <v>196</v>
      </c>
      <c r="C7">
        <v>0</v>
      </c>
      <c r="D7">
        <v>0</v>
      </c>
    </row>
    <row r="8" spans="1:4" x14ac:dyDescent="0.15">
      <c r="A8">
        <v>7</v>
      </c>
      <c r="B8" s="155" t="s">
        <v>197</v>
      </c>
      <c r="C8">
        <v>0</v>
      </c>
      <c r="D8">
        <v>0</v>
      </c>
    </row>
    <row r="9" spans="1:4" x14ac:dyDescent="0.15">
      <c r="A9">
        <v>8</v>
      </c>
      <c r="B9" s="155" t="s">
        <v>198</v>
      </c>
      <c r="C9">
        <v>0</v>
      </c>
      <c r="D9">
        <v>0</v>
      </c>
    </row>
    <row r="10" spans="1:4" x14ac:dyDescent="0.15">
      <c r="A10">
        <v>9</v>
      </c>
      <c r="B10" s="155" t="s">
        <v>199</v>
      </c>
      <c r="C10">
        <v>0</v>
      </c>
      <c r="D10">
        <v>0</v>
      </c>
    </row>
    <row r="11" spans="1:4" x14ac:dyDescent="0.15">
      <c r="A11">
        <v>10</v>
      </c>
      <c r="B11" s="155" t="s">
        <v>200</v>
      </c>
      <c r="C11">
        <v>0</v>
      </c>
      <c r="D11">
        <v>0</v>
      </c>
    </row>
    <row r="12" spans="1:4" x14ac:dyDescent="0.15">
      <c r="A12">
        <v>11</v>
      </c>
      <c r="B12" s="155" t="s">
        <v>201</v>
      </c>
      <c r="C12">
        <v>0</v>
      </c>
      <c r="D12">
        <v>0</v>
      </c>
    </row>
    <row r="13" spans="1:4" x14ac:dyDescent="0.15">
      <c r="A13">
        <v>12</v>
      </c>
      <c r="B13" s="155" t="s">
        <v>202</v>
      </c>
      <c r="C13">
        <v>0</v>
      </c>
      <c r="D13">
        <v>0</v>
      </c>
    </row>
    <row r="14" spans="1:4" x14ac:dyDescent="0.15">
      <c r="A14">
        <v>13</v>
      </c>
      <c r="B14" s="155" t="s">
        <v>203</v>
      </c>
      <c r="C14">
        <v>0</v>
      </c>
      <c r="D14">
        <v>0</v>
      </c>
    </row>
    <row r="15" spans="1:4" x14ac:dyDescent="0.15">
      <c r="A15">
        <v>14</v>
      </c>
      <c r="B15" s="155" t="s">
        <v>204</v>
      </c>
      <c r="C15">
        <v>0</v>
      </c>
      <c r="D15">
        <v>0</v>
      </c>
    </row>
    <row r="16" spans="1:4" x14ac:dyDescent="0.15">
      <c r="A16">
        <v>15</v>
      </c>
      <c r="B16" s="155" t="s">
        <v>205</v>
      </c>
      <c r="C16">
        <v>0</v>
      </c>
      <c r="D16">
        <v>0</v>
      </c>
    </row>
    <row r="17" spans="1:4" x14ac:dyDescent="0.15">
      <c r="A17">
        <v>16</v>
      </c>
      <c r="B17" s="155" t="s">
        <v>206</v>
      </c>
      <c r="C17">
        <v>0</v>
      </c>
      <c r="D1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.5" bestFit="1" customWidth="1"/>
    <col min="6" max="6" width="4.83203125" bestFit="1" customWidth="1"/>
    <col min="7" max="9" width="3.83203125" bestFit="1" customWidth="1"/>
    <col min="10" max="11" width="4.83203125" style="9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0" customFormat="1" ht="14" thickBot="1" x14ac:dyDescent="0.2">
      <c r="D1" s="101" t="s">
        <v>8</v>
      </c>
      <c r="E1" s="101" t="s">
        <v>0</v>
      </c>
      <c r="F1" s="102" t="s">
        <v>99</v>
      </c>
      <c r="G1" s="103" t="s">
        <v>84</v>
      </c>
      <c r="H1" s="103" t="s">
        <v>85</v>
      </c>
      <c r="I1" s="103" t="s">
        <v>86</v>
      </c>
      <c r="J1" s="103" t="s">
        <v>87</v>
      </c>
      <c r="K1" s="103" t="s">
        <v>88</v>
      </c>
      <c r="L1" s="104" t="s">
        <v>89</v>
      </c>
      <c r="M1" s="104" t="s">
        <v>93</v>
      </c>
      <c r="N1" s="104" t="s">
        <v>92</v>
      </c>
      <c r="O1" s="104" t="s">
        <v>90</v>
      </c>
      <c r="P1" s="104" t="s">
        <v>91</v>
      </c>
      <c r="Q1" s="105" t="s">
        <v>94</v>
      </c>
      <c r="R1" s="105" t="s">
        <v>95</v>
      </c>
      <c r="S1" s="105" t="s">
        <v>96</v>
      </c>
      <c r="T1" s="105" t="s">
        <v>97</v>
      </c>
      <c r="U1" s="105" t="s">
        <v>98</v>
      </c>
      <c r="V1" s="103" t="s">
        <v>100</v>
      </c>
      <c r="W1" s="103" t="s">
        <v>101</v>
      </c>
      <c r="X1" s="103" t="s">
        <v>102</v>
      </c>
      <c r="Y1" s="103" t="s">
        <v>134</v>
      </c>
      <c r="Z1" s="104" t="s">
        <v>103</v>
      </c>
      <c r="AA1" s="104" t="s">
        <v>104</v>
      </c>
      <c r="AB1" s="104" t="s">
        <v>105</v>
      </c>
      <c r="AC1" s="106" t="s">
        <v>135</v>
      </c>
      <c r="AD1" s="105" t="s">
        <v>106</v>
      </c>
      <c r="AE1" s="105" t="s">
        <v>107</v>
      </c>
      <c r="AF1" s="105" t="s">
        <v>108</v>
      </c>
      <c r="AG1" s="105" t="s">
        <v>136</v>
      </c>
      <c r="AH1" s="103" t="s">
        <v>109</v>
      </c>
      <c r="AI1" s="103" t="s">
        <v>111</v>
      </c>
      <c r="AJ1" s="103" t="s">
        <v>110</v>
      </c>
      <c r="AK1" s="104" t="s">
        <v>115</v>
      </c>
      <c r="AL1" s="104" t="s">
        <v>116</v>
      </c>
      <c r="AM1" s="104" t="s">
        <v>117</v>
      </c>
      <c r="AN1" s="105" t="s">
        <v>112</v>
      </c>
      <c r="AO1" s="105" t="s">
        <v>113</v>
      </c>
      <c r="AP1" s="105" t="s">
        <v>114</v>
      </c>
    </row>
    <row r="2" spans="1:42" x14ac:dyDescent="0.15">
      <c r="A2" s="107" t="s">
        <v>74</v>
      </c>
      <c r="B2" s="108">
        <v>1</v>
      </c>
      <c r="D2">
        <v>1</v>
      </c>
      <c r="E2" s="157" t="s">
        <v>191</v>
      </c>
      <c r="F2">
        <v>0.98</v>
      </c>
      <c r="G2">
        <v>0.8</v>
      </c>
      <c r="H2">
        <v>0.8</v>
      </c>
      <c r="I2">
        <v>0.8</v>
      </c>
      <c r="J2" s="98">
        <v>0.25</v>
      </c>
      <c r="K2" s="98">
        <v>0.05</v>
      </c>
    </row>
    <row r="3" spans="1:42" x14ac:dyDescent="0.15">
      <c r="A3" s="107" t="s">
        <v>75</v>
      </c>
      <c r="B3" s="109">
        <v>1</v>
      </c>
      <c r="D3">
        <v>2</v>
      </c>
      <c r="E3" s="157" t="s">
        <v>192</v>
      </c>
      <c r="F3">
        <v>0.98</v>
      </c>
      <c r="G3">
        <v>0.8</v>
      </c>
      <c r="H3">
        <v>0.8</v>
      </c>
      <c r="I3">
        <v>0.8</v>
      </c>
      <c r="J3" s="98">
        <v>0.25</v>
      </c>
      <c r="K3" s="98">
        <v>0.05</v>
      </c>
    </row>
    <row r="4" spans="1:42" x14ac:dyDescent="0.15">
      <c r="A4" s="107" t="s">
        <v>76</v>
      </c>
      <c r="B4" s="109">
        <v>1</v>
      </c>
      <c r="D4">
        <v>3</v>
      </c>
      <c r="E4" s="157" t="s">
        <v>193</v>
      </c>
      <c r="F4">
        <v>0.98</v>
      </c>
      <c r="G4">
        <v>0.8</v>
      </c>
      <c r="H4">
        <v>0.8</v>
      </c>
      <c r="I4">
        <v>0.8</v>
      </c>
      <c r="J4" s="98">
        <v>0.25</v>
      </c>
      <c r="K4" s="98">
        <v>0.05</v>
      </c>
    </row>
    <row r="5" spans="1:42" x14ac:dyDescent="0.15">
      <c r="A5" s="107" t="s">
        <v>77</v>
      </c>
      <c r="B5" s="109">
        <v>1</v>
      </c>
      <c r="D5">
        <v>4</v>
      </c>
      <c r="E5" s="157" t="s">
        <v>194</v>
      </c>
      <c r="F5">
        <v>0.98</v>
      </c>
      <c r="G5">
        <v>0.8</v>
      </c>
      <c r="H5">
        <v>0.8</v>
      </c>
      <c r="I5">
        <v>0.8</v>
      </c>
      <c r="J5" s="98">
        <v>0.25</v>
      </c>
      <c r="K5" s="98">
        <v>0.05</v>
      </c>
    </row>
    <row r="6" spans="1:42" x14ac:dyDescent="0.15">
      <c r="A6" s="107" t="s">
        <v>78</v>
      </c>
      <c r="B6" s="109">
        <v>1</v>
      </c>
      <c r="D6">
        <v>5</v>
      </c>
      <c r="E6" s="157" t="s">
        <v>195</v>
      </c>
      <c r="F6">
        <v>0.98</v>
      </c>
      <c r="G6">
        <v>0.8</v>
      </c>
      <c r="H6">
        <v>0.8</v>
      </c>
      <c r="I6">
        <v>0.8</v>
      </c>
      <c r="J6" s="98">
        <v>0.25</v>
      </c>
      <c r="K6" s="98">
        <v>0.05</v>
      </c>
    </row>
    <row r="7" spans="1:42" x14ac:dyDescent="0.15">
      <c r="A7" s="107" t="s">
        <v>79</v>
      </c>
      <c r="B7" s="109">
        <v>1</v>
      </c>
      <c r="D7">
        <v>6</v>
      </c>
      <c r="E7" s="157" t="s">
        <v>196</v>
      </c>
      <c r="F7">
        <v>0.98</v>
      </c>
      <c r="G7">
        <v>0.8</v>
      </c>
      <c r="H7">
        <v>0.8</v>
      </c>
      <c r="I7">
        <v>0.8</v>
      </c>
      <c r="J7" s="98">
        <v>0.25</v>
      </c>
      <c r="K7" s="98">
        <v>0.05</v>
      </c>
    </row>
    <row r="8" spans="1:42" x14ac:dyDescent="0.15">
      <c r="A8" s="107" t="s">
        <v>80</v>
      </c>
      <c r="B8" s="109">
        <v>1</v>
      </c>
      <c r="D8">
        <v>7</v>
      </c>
      <c r="E8" s="157" t="s">
        <v>197</v>
      </c>
      <c r="F8">
        <v>0.98</v>
      </c>
      <c r="G8">
        <v>0.8</v>
      </c>
      <c r="H8">
        <v>0.8</v>
      </c>
      <c r="I8">
        <v>0.8</v>
      </c>
      <c r="J8" s="98">
        <v>0.25</v>
      </c>
      <c r="K8" s="98">
        <v>0.05</v>
      </c>
    </row>
    <row r="9" spans="1:42" x14ac:dyDescent="0.15">
      <c r="A9" s="107" t="s">
        <v>81</v>
      </c>
      <c r="B9" s="109">
        <v>0.1</v>
      </c>
      <c r="C9" s="56" t="s">
        <v>150</v>
      </c>
      <c r="D9">
        <v>8</v>
      </c>
      <c r="E9" s="157" t="s">
        <v>198</v>
      </c>
      <c r="F9">
        <v>0.98</v>
      </c>
      <c r="G9">
        <v>0.8</v>
      </c>
      <c r="H9">
        <v>0.8</v>
      </c>
      <c r="I9">
        <v>0.8</v>
      </c>
      <c r="J9" s="98">
        <v>0.25</v>
      </c>
      <c r="K9" s="98">
        <v>0.05</v>
      </c>
    </row>
    <row r="10" spans="1:42" ht="14" thickBot="1" x14ac:dyDescent="0.2">
      <c r="A10" s="107" t="s">
        <v>149</v>
      </c>
      <c r="B10" s="110">
        <f>1/3</f>
        <v>0.33333333333333331</v>
      </c>
      <c r="C10" s="56" t="s">
        <v>150</v>
      </c>
      <c r="D10">
        <v>9</v>
      </c>
      <c r="E10" s="157" t="s">
        <v>199</v>
      </c>
      <c r="F10">
        <v>0.98</v>
      </c>
      <c r="G10">
        <v>0.8</v>
      </c>
      <c r="H10">
        <v>0.8</v>
      </c>
      <c r="I10">
        <v>0.8</v>
      </c>
      <c r="J10" s="98">
        <v>0.25</v>
      </c>
      <c r="K10" s="98">
        <v>0.05</v>
      </c>
    </row>
    <row r="11" spans="1:42" x14ac:dyDescent="0.15">
      <c r="D11">
        <v>10</v>
      </c>
      <c r="E11" s="157" t="s">
        <v>200</v>
      </c>
      <c r="F11">
        <v>0.98</v>
      </c>
      <c r="G11">
        <v>0.8</v>
      </c>
      <c r="H11">
        <v>0.8</v>
      </c>
      <c r="I11">
        <v>0.8</v>
      </c>
      <c r="J11" s="98">
        <v>0.25</v>
      </c>
      <c r="K11" s="98">
        <v>0.05</v>
      </c>
    </row>
    <row r="12" spans="1:42" x14ac:dyDescent="0.15">
      <c r="D12">
        <v>11</v>
      </c>
      <c r="E12" s="157" t="s">
        <v>201</v>
      </c>
      <c r="F12">
        <v>0.98</v>
      </c>
      <c r="G12">
        <v>0.8</v>
      </c>
      <c r="H12">
        <v>0.8</v>
      </c>
      <c r="I12">
        <v>0.8</v>
      </c>
      <c r="J12" s="98">
        <v>0.25</v>
      </c>
      <c r="K12" s="98">
        <v>0.05</v>
      </c>
    </row>
    <row r="13" spans="1:42" x14ac:dyDescent="0.15">
      <c r="D13">
        <v>12</v>
      </c>
      <c r="E13" s="157" t="s">
        <v>202</v>
      </c>
      <c r="F13">
        <v>0.98</v>
      </c>
      <c r="G13">
        <v>0.8</v>
      </c>
      <c r="H13">
        <v>0.8</v>
      </c>
      <c r="I13">
        <v>0.8</v>
      </c>
      <c r="J13" s="98">
        <v>0.25</v>
      </c>
      <c r="K13" s="98">
        <v>0.05</v>
      </c>
    </row>
    <row r="14" spans="1:42" x14ac:dyDescent="0.15">
      <c r="D14">
        <v>13</v>
      </c>
      <c r="E14" s="157" t="s">
        <v>203</v>
      </c>
      <c r="F14">
        <v>0.98</v>
      </c>
      <c r="G14">
        <v>0.8</v>
      </c>
      <c r="H14">
        <v>0.8</v>
      </c>
      <c r="I14">
        <v>0.8</v>
      </c>
      <c r="J14" s="98">
        <v>0.25</v>
      </c>
      <c r="K14" s="98">
        <v>0.05</v>
      </c>
    </row>
    <row r="15" spans="1:42" x14ac:dyDescent="0.15">
      <c r="D15">
        <v>14</v>
      </c>
      <c r="E15" s="157" t="s">
        <v>204</v>
      </c>
      <c r="F15">
        <v>0.98</v>
      </c>
      <c r="G15">
        <v>0.8</v>
      </c>
      <c r="H15">
        <v>0.8</v>
      </c>
      <c r="I15">
        <v>0</v>
      </c>
      <c r="J15" s="98">
        <v>0</v>
      </c>
      <c r="K15" s="98">
        <v>0</v>
      </c>
    </row>
    <row r="16" spans="1:42" x14ac:dyDescent="0.15">
      <c r="D16">
        <v>15</v>
      </c>
      <c r="E16" s="157" t="s">
        <v>205</v>
      </c>
      <c r="F16">
        <v>0.98</v>
      </c>
      <c r="G16">
        <v>0.8</v>
      </c>
      <c r="H16">
        <v>0</v>
      </c>
      <c r="I16">
        <v>0</v>
      </c>
      <c r="J16" s="98">
        <v>0</v>
      </c>
      <c r="K16" s="98">
        <v>0</v>
      </c>
    </row>
    <row r="17" spans="4:33" ht="15" customHeight="1" x14ac:dyDescent="0.15">
      <c r="D17">
        <v>16</v>
      </c>
      <c r="E17" s="157" t="s">
        <v>206</v>
      </c>
      <c r="F17">
        <v>0.98</v>
      </c>
      <c r="G17">
        <v>0.8</v>
      </c>
      <c r="H17">
        <v>0</v>
      </c>
      <c r="I17">
        <v>0</v>
      </c>
      <c r="J17" s="98">
        <v>0</v>
      </c>
      <c r="K17" s="98">
        <v>0</v>
      </c>
    </row>
    <row r="18" spans="4:33" ht="15" customHeight="1" x14ac:dyDescent="0.15">
      <c r="J18"/>
      <c r="K18"/>
    </row>
    <row r="19" spans="4:33" ht="15" customHeight="1" x14ac:dyDescent="0.15">
      <c r="J19"/>
      <c r="K19"/>
    </row>
    <row r="20" spans="4:33" ht="15" customHeight="1" x14ac:dyDescent="0.15">
      <c r="J20"/>
      <c r="K20"/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4.5" style="95" bestFit="1" customWidth="1"/>
    <col min="2" max="14" width="3.83203125" style="95" customWidth="1"/>
    <col min="15" max="17" width="2.33203125" style="95" customWidth="1"/>
    <col min="18" max="16384" width="10.83203125" style="95"/>
  </cols>
  <sheetData>
    <row r="1" spans="1:30" x14ac:dyDescent="0.15">
      <c r="A1" s="58" t="s">
        <v>118</v>
      </c>
      <c r="B1" s="159" t="s">
        <v>191</v>
      </c>
      <c r="C1" s="159" t="s">
        <v>192</v>
      </c>
      <c r="D1" s="159" t="s">
        <v>193</v>
      </c>
      <c r="E1" s="159" t="s">
        <v>194</v>
      </c>
      <c r="F1" s="159" t="s">
        <v>195</v>
      </c>
      <c r="G1" s="159" t="s">
        <v>196</v>
      </c>
      <c r="H1" s="159" t="s">
        <v>197</v>
      </c>
      <c r="I1" s="159" t="s">
        <v>198</v>
      </c>
      <c r="J1" s="159" t="s">
        <v>199</v>
      </c>
      <c r="K1" s="159" t="s">
        <v>200</v>
      </c>
      <c r="L1" s="159" t="s">
        <v>201</v>
      </c>
      <c r="M1" s="159" t="s">
        <v>202</v>
      </c>
      <c r="N1" s="159" t="s">
        <v>203</v>
      </c>
      <c r="O1" s="159" t="s">
        <v>204</v>
      </c>
      <c r="P1" s="159" t="s">
        <v>205</v>
      </c>
      <c r="Q1" s="159" t="s">
        <v>206</v>
      </c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58" t="s">
        <v>191</v>
      </c>
      <c r="B2" s="95">
        <v>0</v>
      </c>
      <c r="C2" s="95">
        <v>0</v>
      </c>
      <c r="D2" s="95">
        <v>0</v>
      </c>
      <c r="E2" s="95">
        <v>0</v>
      </c>
      <c r="F2" s="95">
        <v>0</v>
      </c>
      <c r="G2" s="95">
        <v>0</v>
      </c>
      <c r="H2" s="95">
        <v>0</v>
      </c>
      <c r="I2" s="95">
        <v>0</v>
      </c>
      <c r="J2" s="95">
        <v>0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0</v>
      </c>
    </row>
    <row r="3" spans="1:30" customFormat="1" x14ac:dyDescent="0.15">
      <c r="A3" s="158" t="s">
        <v>192</v>
      </c>
      <c r="B3" s="95">
        <v>0.8</v>
      </c>
      <c r="C3" s="95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0</v>
      </c>
      <c r="P3" s="95">
        <v>0</v>
      </c>
      <c r="Q3" s="95">
        <v>0</v>
      </c>
    </row>
    <row r="4" spans="1:30" customFormat="1" x14ac:dyDescent="0.15">
      <c r="A4" s="158" t="s">
        <v>193</v>
      </c>
      <c r="B4" s="95">
        <v>0.8</v>
      </c>
      <c r="C4" s="95">
        <v>0</v>
      </c>
      <c r="D4" s="95">
        <v>0</v>
      </c>
      <c r="E4" s="95">
        <v>0</v>
      </c>
      <c r="F4" s="95">
        <v>0</v>
      </c>
      <c r="G4" s="95">
        <v>0</v>
      </c>
      <c r="H4" s="95">
        <v>0</v>
      </c>
      <c r="I4" s="95">
        <v>0</v>
      </c>
      <c r="J4" s="95">
        <v>0</v>
      </c>
      <c r="K4" s="95">
        <v>0</v>
      </c>
      <c r="L4" s="95">
        <v>0</v>
      </c>
      <c r="M4" s="95">
        <v>0</v>
      </c>
      <c r="N4" s="95">
        <v>0</v>
      </c>
      <c r="O4" s="95">
        <v>0</v>
      </c>
      <c r="P4" s="95">
        <v>0</v>
      </c>
      <c r="Q4" s="95">
        <v>0</v>
      </c>
    </row>
    <row r="5" spans="1:30" customFormat="1" x14ac:dyDescent="0.15">
      <c r="A5" s="158" t="s">
        <v>194</v>
      </c>
      <c r="B5" s="95">
        <v>0</v>
      </c>
      <c r="C5" s="95">
        <v>0.8</v>
      </c>
      <c r="D5" s="95">
        <v>0.8</v>
      </c>
      <c r="E5" s="95">
        <v>0.8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5">
        <v>0</v>
      </c>
      <c r="L5" s="95">
        <v>0</v>
      </c>
      <c r="M5" s="95">
        <v>0</v>
      </c>
      <c r="N5" s="95">
        <v>0</v>
      </c>
      <c r="O5" s="95">
        <v>0</v>
      </c>
      <c r="P5" s="95">
        <v>0</v>
      </c>
      <c r="Q5" s="95">
        <v>0</v>
      </c>
    </row>
    <row r="6" spans="1:30" customFormat="1" x14ac:dyDescent="0.15">
      <c r="A6" s="158" t="s">
        <v>195</v>
      </c>
      <c r="B6" s="95">
        <v>0</v>
      </c>
      <c r="C6" s="95">
        <v>0.8</v>
      </c>
      <c r="D6" s="95">
        <v>0.8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</row>
    <row r="7" spans="1:30" customFormat="1" x14ac:dyDescent="0.15">
      <c r="A7" s="158" t="s">
        <v>196</v>
      </c>
      <c r="B7" s="95">
        <v>0.8</v>
      </c>
      <c r="C7" s="95">
        <v>0.8</v>
      </c>
      <c r="D7" s="95">
        <v>0.8</v>
      </c>
      <c r="E7" s="95">
        <v>0.8</v>
      </c>
      <c r="F7" s="95">
        <v>0</v>
      </c>
      <c r="G7" s="95">
        <v>0.8</v>
      </c>
      <c r="H7" s="95">
        <v>0</v>
      </c>
      <c r="I7" s="95">
        <v>0.8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</row>
    <row r="8" spans="1:30" customFormat="1" x14ac:dyDescent="0.15">
      <c r="A8" s="158" t="s">
        <v>197</v>
      </c>
      <c r="B8" s="95">
        <v>0</v>
      </c>
      <c r="C8" s="95">
        <v>0.8</v>
      </c>
      <c r="D8" s="95">
        <v>0.8</v>
      </c>
      <c r="E8" s="95">
        <v>0</v>
      </c>
      <c r="F8" s="95">
        <v>0</v>
      </c>
      <c r="G8" s="95">
        <v>0.8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</row>
    <row r="9" spans="1:30" customFormat="1" x14ac:dyDescent="0.15">
      <c r="A9" s="158" t="s">
        <v>198</v>
      </c>
      <c r="B9" s="95">
        <v>0.8</v>
      </c>
      <c r="C9" s="95">
        <v>0.8</v>
      </c>
      <c r="D9" s="95">
        <v>0.8</v>
      </c>
      <c r="E9" s="95">
        <v>0.8</v>
      </c>
      <c r="F9" s="95">
        <v>0</v>
      </c>
      <c r="G9" s="95">
        <v>0.8</v>
      </c>
      <c r="H9" s="95">
        <v>0</v>
      </c>
      <c r="I9" s="95">
        <v>0.8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</row>
    <row r="10" spans="1:30" customFormat="1" x14ac:dyDescent="0.15">
      <c r="A10" s="158" t="s">
        <v>199</v>
      </c>
      <c r="B10" s="95">
        <v>0</v>
      </c>
      <c r="C10" s="95">
        <v>0</v>
      </c>
      <c r="D10" s="95">
        <v>0</v>
      </c>
      <c r="E10" s="95">
        <v>0.8</v>
      </c>
      <c r="F10" s="95">
        <v>0.8</v>
      </c>
      <c r="G10" s="95">
        <v>0.8</v>
      </c>
      <c r="H10" s="95">
        <v>0.8</v>
      </c>
      <c r="I10" s="95">
        <v>0.8</v>
      </c>
      <c r="J10" s="95">
        <v>0.8</v>
      </c>
      <c r="K10" s="95">
        <v>0.8</v>
      </c>
      <c r="L10" s="95">
        <v>0.8</v>
      </c>
      <c r="M10" s="95">
        <v>0.8</v>
      </c>
      <c r="N10" s="95">
        <v>0</v>
      </c>
      <c r="O10" s="95">
        <v>0</v>
      </c>
      <c r="P10" s="95">
        <v>0</v>
      </c>
      <c r="Q10" s="95">
        <v>0</v>
      </c>
    </row>
    <row r="11" spans="1:30" customFormat="1" x14ac:dyDescent="0.15">
      <c r="A11" s="158" t="s">
        <v>200</v>
      </c>
      <c r="B11" s="95">
        <v>0</v>
      </c>
      <c r="C11" s="95">
        <v>0</v>
      </c>
      <c r="D11" s="95">
        <v>0</v>
      </c>
      <c r="E11" s="95">
        <v>0</v>
      </c>
      <c r="F11" s="95">
        <v>0.8</v>
      </c>
      <c r="G11" s="95">
        <v>0.8</v>
      </c>
      <c r="H11" s="95">
        <v>0.8</v>
      </c>
      <c r="I11" s="95">
        <v>0</v>
      </c>
      <c r="J11" s="95">
        <v>0.8</v>
      </c>
      <c r="K11" s="95">
        <v>0.8</v>
      </c>
      <c r="L11" s="95">
        <v>0.8</v>
      </c>
      <c r="M11" s="95">
        <v>0.8</v>
      </c>
      <c r="N11" s="95">
        <v>0</v>
      </c>
      <c r="O11" s="95">
        <v>0</v>
      </c>
      <c r="P11" s="95">
        <v>0</v>
      </c>
      <c r="Q11" s="95">
        <v>0</v>
      </c>
    </row>
    <row r="12" spans="1:30" customFormat="1" x14ac:dyDescent="0.15">
      <c r="A12" s="158" t="s">
        <v>201</v>
      </c>
      <c r="B12" s="95">
        <v>0</v>
      </c>
      <c r="C12" s="95">
        <v>0.8</v>
      </c>
      <c r="D12" s="95">
        <v>0.8</v>
      </c>
      <c r="E12" s="95">
        <v>0.8</v>
      </c>
      <c r="F12" s="95">
        <v>0.8</v>
      </c>
      <c r="G12" s="95">
        <v>0.8</v>
      </c>
      <c r="H12" s="95">
        <v>0</v>
      </c>
      <c r="I12" s="95">
        <v>0</v>
      </c>
      <c r="J12" s="95">
        <v>0.8</v>
      </c>
      <c r="K12" s="95">
        <v>0</v>
      </c>
      <c r="L12" s="95">
        <v>0.8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</row>
    <row r="13" spans="1:30" customFormat="1" x14ac:dyDescent="0.15">
      <c r="A13" s="158" t="s">
        <v>202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</row>
    <row r="14" spans="1:30" customFormat="1" x14ac:dyDescent="0.15">
      <c r="A14" s="158" t="s">
        <v>203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0.8</v>
      </c>
      <c r="H14" s="95">
        <v>0.8</v>
      </c>
      <c r="I14" s="95">
        <v>0.8</v>
      </c>
      <c r="J14" s="95">
        <v>0.8</v>
      </c>
      <c r="K14" s="95">
        <v>0.8</v>
      </c>
      <c r="L14" s="95">
        <v>0.8</v>
      </c>
      <c r="M14" s="95">
        <v>0</v>
      </c>
      <c r="N14" s="95">
        <v>0.8</v>
      </c>
      <c r="O14" s="95">
        <v>0</v>
      </c>
      <c r="P14" s="95">
        <v>0</v>
      </c>
      <c r="Q14" s="95">
        <v>0</v>
      </c>
    </row>
    <row r="15" spans="1:30" customFormat="1" x14ac:dyDescent="0.15">
      <c r="A15" s="158" t="s">
        <v>204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0.8</v>
      </c>
      <c r="J15" s="95">
        <v>0.8</v>
      </c>
      <c r="K15" s="95">
        <v>0.8</v>
      </c>
      <c r="L15" s="95">
        <v>0.8</v>
      </c>
      <c r="M15" s="95">
        <v>0.8</v>
      </c>
      <c r="N15" s="95">
        <v>0.8</v>
      </c>
      <c r="O15" s="95">
        <v>0</v>
      </c>
      <c r="P15" s="95">
        <v>0</v>
      </c>
      <c r="Q15" s="95">
        <v>0</v>
      </c>
    </row>
    <row r="16" spans="1:30" customFormat="1" x14ac:dyDescent="0.15">
      <c r="A16" s="158" t="s">
        <v>205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0.8</v>
      </c>
      <c r="H16" s="95">
        <v>0</v>
      </c>
      <c r="I16" s="95">
        <v>0</v>
      </c>
      <c r="J16" s="95">
        <v>0.8</v>
      </c>
      <c r="K16" s="95">
        <v>0.8</v>
      </c>
      <c r="L16" s="95">
        <v>0.8</v>
      </c>
      <c r="M16" s="95">
        <v>0</v>
      </c>
      <c r="N16" s="95">
        <v>0.8</v>
      </c>
      <c r="O16" s="95">
        <v>0</v>
      </c>
      <c r="P16" s="95">
        <v>0</v>
      </c>
      <c r="Q16" s="95">
        <v>0</v>
      </c>
    </row>
    <row r="17" spans="1:17" customFormat="1" x14ac:dyDescent="0.15">
      <c r="A17" s="158" t="s">
        <v>206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</row>
    <row r="18" spans="1:17" customFormat="1" x14ac:dyDescent="0.15">
      <c r="A18" s="158" t="s">
        <v>208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  <row r="32" spans="1:1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4.5" style="95" bestFit="1" customWidth="1"/>
    <col min="2" max="17" width="2.33203125" style="95" customWidth="1"/>
    <col min="18" max="16384" width="10.83203125" style="95"/>
  </cols>
  <sheetData>
    <row r="1" spans="1:31" x14ac:dyDescent="0.15">
      <c r="A1" s="58" t="s">
        <v>139</v>
      </c>
      <c r="B1" s="161" t="s">
        <v>191</v>
      </c>
      <c r="C1" s="161" t="s">
        <v>192</v>
      </c>
      <c r="D1" s="161" t="s">
        <v>193</v>
      </c>
      <c r="E1" s="161" t="s">
        <v>194</v>
      </c>
      <c r="F1" s="161" t="s">
        <v>195</v>
      </c>
      <c r="G1" s="161" t="s">
        <v>196</v>
      </c>
      <c r="H1" s="161" t="s">
        <v>197</v>
      </c>
      <c r="I1" s="161" t="s">
        <v>198</v>
      </c>
      <c r="J1" s="161" t="s">
        <v>199</v>
      </c>
      <c r="K1" s="161" t="s">
        <v>200</v>
      </c>
      <c r="L1" s="161" t="s">
        <v>201</v>
      </c>
      <c r="M1" s="161" t="s">
        <v>202</v>
      </c>
      <c r="N1" s="161" t="s">
        <v>203</v>
      </c>
      <c r="O1" s="161" t="s">
        <v>204</v>
      </c>
      <c r="P1" s="161" t="s">
        <v>205</v>
      </c>
      <c r="Q1" s="161" t="s">
        <v>206</v>
      </c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60" t="s">
        <v>191</v>
      </c>
      <c r="B2" s="95">
        <v>0</v>
      </c>
      <c r="C2" s="95">
        <v>0</v>
      </c>
      <c r="D2" s="95">
        <v>0</v>
      </c>
      <c r="E2" s="95">
        <v>0</v>
      </c>
      <c r="F2" s="95">
        <v>0</v>
      </c>
      <c r="G2" s="95">
        <v>0</v>
      </c>
      <c r="H2" s="95">
        <v>0</v>
      </c>
      <c r="I2" s="95">
        <v>0</v>
      </c>
      <c r="J2" s="95">
        <v>0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0</v>
      </c>
    </row>
    <row r="3" spans="1:31" customFormat="1" x14ac:dyDescent="0.15">
      <c r="A3" s="160" t="s">
        <v>192</v>
      </c>
      <c r="B3" s="95">
        <v>1</v>
      </c>
      <c r="C3" s="95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0</v>
      </c>
      <c r="P3" s="95">
        <v>0</v>
      </c>
      <c r="Q3" s="95">
        <v>0</v>
      </c>
    </row>
    <row r="4" spans="1:31" customFormat="1" x14ac:dyDescent="0.15">
      <c r="A4" s="160" t="s">
        <v>193</v>
      </c>
      <c r="B4" s="95">
        <v>1</v>
      </c>
      <c r="C4" s="95">
        <v>0</v>
      </c>
      <c r="D4" s="95">
        <v>0</v>
      </c>
      <c r="E4" s="95">
        <v>0</v>
      </c>
      <c r="F4" s="95">
        <v>0</v>
      </c>
      <c r="G4" s="95">
        <v>0</v>
      </c>
      <c r="H4" s="95">
        <v>0</v>
      </c>
      <c r="I4" s="95">
        <v>0</v>
      </c>
      <c r="J4" s="95">
        <v>0</v>
      </c>
      <c r="K4" s="95">
        <v>0</v>
      </c>
      <c r="L4" s="95">
        <v>0</v>
      </c>
      <c r="M4" s="95">
        <v>0</v>
      </c>
      <c r="N4" s="95">
        <v>0</v>
      </c>
      <c r="O4" s="95">
        <v>0</v>
      </c>
      <c r="P4" s="95">
        <v>0</v>
      </c>
      <c r="Q4" s="95">
        <v>0</v>
      </c>
    </row>
    <row r="5" spans="1:31" customFormat="1" x14ac:dyDescent="0.15">
      <c r="A5" s="160" t="s">
        <v>194</v>
      </c>
      <c r="B5" s="95">
        <v>0</v>
      </c>
      <c r="C5" s="95">
        <v>1</v>
      </c>
      <c r="D5" s="95">
        <v>1</v>
      </c>
      <c r="E5" s="95">
        <v>1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5">
        <v>0</v>
      </c>
      <c r="L5" s="95">
        <v>0</v>
      </c>
      <c r="M5" s="95">
        <v>0</v>
      </c>
      <c r="N5" s="95">
        <v>0</v>
      </c>
      <c r="O5" s="95">
        <v>0</v>
      </c>
      <c r="P5" s="95">
        <v>0</v>
      </c>
      <c r="Q5" s="95">
        <v>0</v>
      </c>
    </row>
    <row r="6" spans="1:31" customFormat="1" x14ac:dyDescent="0.15">
      <c r="A6" s="160" t="s">
        <v>195</v>
      </c>
      <c r="B6" s="95">
        <v>0</v>
      </c>
      <c r="C6" s="95">
        <v>1</v>
      </c>
      <c r="D6" s="95">
        <v>1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</row>
    <row r="7" spans="1:31" customFormat="1" x14ac:dyDescent="0.15">
      <c r="A7" s="160" t="s">
        <v>196</v>
      </c>
      <c r="B7" s="95">
        <v>1</v>
      </c>
      <c r="C7" s="95">
        <v>1</v>
      </c>
      <c r="D7" s="95">
        <v>1</v>
      </c>
      <c r="E7" s="95">
        <v>1</v>
      </c>
      <c r="F7" s="95">
        <v>0</v>
      </c>
      <c r="G7" s="95">
        <v>1</v>
      </c>
      <c r="H7" s="95">
        <v>0</v>
      </c>
      <c r="I7" s="95">
        <v>1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</row>
    <row r="8" spans="1:31" customFormat="1" x14ac:dyDescent="0.15">
      <c r="A8" s="160" t="s">
        <v>197</v>
      </c>
      <c r="B8" s="95">
        <v>0</v>
      </c>
      <c r="C8" s="95">
        <v>1</v>
      </c>
      <c r="D8" s="95">
        <v>1</v>
      </c>
      <c r="E8" s="95">
        <v>0</v>
      </c>
      <c r="F8" s="95">
        <v>0</v>
      </c>
      <c r="G8" s="95">
        <v>1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</row>
    <row r="9" spans="1:31" customFormat="1" x14ac:dyDescent="0.15">
      <c r="A9" s="160" t="s">
        <v>198</v>
      </c>
      <c r="B9" s="95">
        <v>1</v>
      </c>
      <c r="C9" s="95">
        <v>1</v>
      </c>
      <c r="D9" s="95">
        <v>1</v>
      </c>
      <c r="E9" s="95">
        <v>1</v>
      </c>
      <c r="F9" s="95">
        <v>0</v>
      </c>
      <c r="G9" s="95">
        <v>1</v>
      </c>
      <c r="H9" s="95">
        <v>0</v>
      </c>
      <c r="I9" s="95">
        <v>1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</row>
    <row r="10" spans="1:31" customFormat="1" x14ac:dyDescent="0.15">
      <c r="A10" s="160" t="s">
        <v>199</v>
      </c>
      <c r="B10" s="95">
        <v>0</v>
      </c>
      <c r="C10" s="95">
        <v>0</v>
      </c>
      <c r="D10" s="95">
        <v>0</v>
      </c>
      <c r="E10" s="95">
        <v>1</v>
      </c>
      <c r="F10" s="95">
        <v>1</v>
      </c>
      <c r="G10" s="95">
        <v>1</v>
      </c>
      <c r="H10" s="95">
        <v>1</v>
      </c>
      <c r="I10" s="95">
        <v>1</v>
      </c>
      <c r="J10" s="95">
        <v>1</v>
      </c>
      <c r="K10" s="95">
        <v>1</v>
      </c>
      <c r="L10" s="95">
        <v>1</v>
      </c>
      <c r="M10" s="95">
        <v>1</v>
      </c>
      <c r="N10" s="95">
        <v>0</v>
      </c>
      <c r="O10" s="95">
        <v>0</v>
      </c>
      <c r="P10" s="95">
        <v>0</v>
      </c>
      <c r="Q10" s="95">
        <v>0</v>
      </c>
    </row>
    <row r="11" spans="1:31" customFormat="1" x14ac:dyDescent="0.15">
      <c r="A11" s="160" t="s">
        <v>200</v>
      </c>
      <c r="B11" s="95">
        <v>0</v>
      </c>
      <c r="C11" s="95">
        <v>0</v>
      </c>
      <c r="D11" s="95">
        <v>0</v>
      </c>
      <c r="E11" s="95">
        <v>0</v>
      </c>
      <c r="F11" s="95">
        <v>1</v>
      </c>
      <c r="G11" s="95">
        <v>1</v>
      </c>
      <c r="H11" s="95">
        <v>1</v>
      </c>
      <c r="I11" s="95">
        <v>0</v>
      </c>
      <c r="J11" s="95">
        <v>1</v>
      </c>
      <c r="K11" s="95">
        <v>1</v>
      </c>
      <c r="L11" s="95">
        <v>1</v>
      </c>
      <c r="M11" s="95">
        <v>1</v>
      </c>
      <c r="N11" s="95">
        <v>0</v>
      </c>
      <c r="O11" s="95">
        <v>0</v>
      </c>
      <c r="P11" s="95">
        <v>0</v>
      </c>
      <c r="Q11" s="95">
        <v>0</v>
      </c>
    </row>
    <row r="12" spans="1:31" customFormat="1" x14ac:dyDescent="0.15">
      <c r="A12" s="160" t="s">
        <v>201</v>
      </c>
      <c r="B12" s="95">
        <v>0</v>
      </c>
      <c r="C12" s="95">
        <v>1</v>
      </c>
      <c r="D12" s="95">
        <v>1</v>
      </c>
      <c r="E12" s="95">
        <v>1</v>
      </c>
      <c r="F12" s="95">
        <v>1</v>
      </c>
      <c r="G12" s="95">
        <v>1</v>
      </c>
      <c r="H12" s="95">
        <v>0</v>
      </c>
      <c r="I12" s="95">
        <v>0</v>
      </c>
      <c r="J12" s="95">
        <v>1</v>
      </c>
      <c r="K12" s="95">
        <v>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</row>
    <row r="13" spans="1:31" customFormat="1" x14ac:dyDescent="0.15">
      <c r="A13" s="160" t="s">
        <v>202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</row>
    <row r="14" spans="1:31" customFormat="1" x14ac:dyDescent="0.15">
      <c r="A14" s="160" t="s">
        <v>203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1</v>
      </c>
      <c r="H14" s="95">
        <v>1</v>
      </c>
      <c r="I14" s="95">
        <v>1</v>
      </c>
      <c r="J14" s="95">
        <v>1</v>
      </c>
      <c r="K14" s="95">
        <v>1</v>
      </c>
      <c r="L14" s="95">
        <v>1</v>
      </c>
      <c r="M14" s="95">
        <v>0</v>
      </c>
      <c r="N14" s="95">
        <v>1</v>
      </c>
      <c r="O14" s="95">
        <v>0</v>
      </c>
      <c r="P14" s="95">
        <v>0</v>
      </c>
      <c r="Q14" s="95">
        <v>0</v>
      </c>
    </row>
    <row r="15" spans="1:31" customFormat="1" x14ac:dyDescent="0.15">
      <c r="A15" s="160" t="s">
        <v>204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1</v>
      </c>
      <c r="J15" s="95">
        <v>1</v>
      </c>
      <c r="K15" s="95">
        <v>1</v>
      </c>
      <c r="L15" s="95">
        <v>1</v>
      </c>
      <c r="M15" s="95">
        <v>1</v>
      </c>
      <c r="N15" s="95">
        <v>1</v>
      </c>
      <c r="O15" s="95">
        <v>0</v>
      </c>
      <c r="P15" s="95">
        <v>0</v>
      </c>
      <c r="Q15" s="95">
        <v>0</v>
      </c>
    </row>
    <row r="16" spans="1:31" customFormat="1" x14ac:dyDescent="0.15">
      <c r="A16" s="160" t="s">
        <v>205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1</v>
      </c>
      <c r="H16" s="95">
        <v>0</v>
      </c>
      <c r="I16" s="95">
        <v>0</v>
      </c>
      <c r="J16" s="95">
        <v>1</v>
      </c>
      <c r="K16" s="95">
        <v>1</v>
      </c>
      <c r="L16" s="95">
        <v>1</v>
      </c>
      <c r="M16" s="95">
        <v>0</v>
      </c>
      <c r="N16" s="95">
        <v>1</v>
      </c>
      <c r="O16" s="95">
        <v>0</v>
      </c>
      <c r="P16" s="95">
        <v>0</v>
      </c>
      <c r="Q16" s="95">
        <v>0</v>
      </c>
    </row>
    <row r="17" spans="1:17" customFormat="1" x14ac:dyDescent="0.15">
      <c r="A17" s="160" t="s">
        <v>206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</row>
    <row r="18" spans="1:17" customFormat="1" x14ac:dyDescent="0.15">
      <c r="A18" s="160" t="s">
        <v>208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3" t="s">
        <v>207</v>
      </c>
    </row>
    <row r="2" spans="1:3" x14ac:dyDescent="0.15">
      <c r="A2">
        <v>1</v>
      </c>
      <c r="B2" s="162" t="s">
        <v>191</v>
      </c>
      <c r="C2">
        <v>0</v>
      </c>
    </row>
    <row r="3" spans="1:3" x14ac:dyDescent="0.15">
      <c r="A3">
        <v>2</v>
      </c>
      <c r="B3" s="162" t="s">
        <v>192</v>
      </c>
      <c r="C3">
        <v>0.8</v>
      </c>
    </row>
    <row r="4" spans="1:3" x14ac:dyDescent="0.15">
      <c r="A4">
        <v>3</v>
      </c>
      <c r="B4" s="162" t="s">
        <v>193</v>
      </c>
      <c r="C4">
        <v>0.8</v>
      </c>
    </row>
    <row r="5" spans="1:3" x14ac:dyDescent="0.15">
      <c r="A5">
        <v>4</v>
      </c>
      <c r="B5" s="162" t="s">
        <v>194</v>
      </c>
      <c r="C5">
        <v>0.8</v>
      </c>
    </row>
    <row r="6" spans="1:3" x14ac:dyDescent="0.15">
      <c r="A6">
        <v>5</v>
      </c>
      <c r="B6" s="162" t="s">
        <v>195</v>
      </c>
      <c r="C6">
        <v>0.8</v>
      </c>
    </row>
    <row r="7" spans="1:3" x14ac:dyDescent="0.15">
      <c r="A7">
        <v>6</v>
      </c>
      <c r="B7" s="162" t="s">
        <v>196</v>
      </c>
      <c r="C7">
        <v>0.8</v>
      </c>
    </row>
    <row r="8" spans="1:3" x14ac:dyDescent="0.15">
      <c r="A8">
        <v>7</v>
      </c>
      <c r="B8" s="162" t="s">
        <v>197</v>
      </c>
      <c r="C8">
        <v>0.8</v>
      </c>
    </row>
    <row r="9" spans="1:3" x14ac:dyDescent="0.15">
      <c r="A9">
        <v>8</v>
      </c>
      <c r="B9" s="162" t="s">
        <v>198</v>
      </c>
      <c r="C9">
        <v>0.8</v>
      </c>
    </row>
    <row r="10" spans="1:3" x14ac:dyDescent="0.15">
      <c r="A10">
        <v>9</v>
      </c>
      <c r="B10" s="162" t="s">
        <v>199</v>
      </c>
      <c r="C10">
        <v>0.8</v>
      </c>
    </row>
    <row r="11" spans="1:3" x14ac:dyDescent="0.15">
      <c r="A11">
        <v>10</v>
      </c>
      <c r="B11" s="162" t="s">
        <v>200</v>
      </c>
      <c r="C11">
        <v>0</v>
      </c>
    </row>
    <row r="12" spans="1:3" x14ac:dyDescent="0.15">
      <c r="A12">
        <v>11</v>
      </c>
      <c r="B12" s="162" t="s">
        <v>201</v>
      </c>
      <c r="C12">
        <v>0.8</v>
      </c>
    </row>
    <row r="13" spans="1:3" x14ac:dyDescent="0.15">
      <c r="A13">
        <v>12</v>
      </c>
      <c r="B13" s="162" t="s">
        <v>202</v>
      </c>
      <c r="C13">
        <v>0</v>
      </c>
    </row>
    <row r="14" spans="1:3" x14ac:dyDescent="0.15">
      <c r="A14">
        <v>13</v>
      </c>
      <c r="B14" s="162" t="s">
        <v>203</v>
      </c>
      <c r="C14">
        <v>0.8</v>
      </c>
    </row>
    <row r="15" spans="1:3" x14ac:dyDescent="0.15">
      <c r="A15">
        <v>14</v>
      </c>
      <c r="B15" s="162" t="s">
        <v>204</v>
      </c>
      <c r="C15">
        <v>0</v>
      </c>
    </row>
    <row r="16" spans="1:3" x14ac:dyDescent="0.15">
      <c r="A16">
        <v>15</v>
      </c>
      <c r="B16" s="162" t="s">
        <v>205</v>
      </c>
      <c r="C16">
        <v>0</v>
      </c>
    </row>
    <row r="17" spans="1:3" x14ac:dyDescent="0.15">
      <c r="A17">
        <v>16</v>
      </c>
      <c r="B17" s="162" t="s">
        <v>206</v>
      </c>
      <c r="C1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5" t="s">
        <v>207</v>
      </c>
    </row>
    <row r="2" spans="1:3" x14ac:dyDescent="0.15">
      <c r="A2">
        <v>1</v>
      </c>
      <c r="B2" s="164" t="s">
        <v>191</v>
      </c>
      <c r="C2">
        <v>0</v>
      </c>
    </row>
    <row r="3" spans="1:3" x14ac:dyDescent="0.15">
      <c r="A3">
        <v>2</v>
      </c>
      <c r="B3" s="164" t="s">
        <v>192</v>
      </c>
      <c r="C3">
        <v>0.8</v>
      </c>
    </row>
    <row r="4" spans="1:3" x14ac:dyDescent="0.15">
      <c r="A4">
        <v>3</v>
      </c>
      <c r="B4" s="164" t="s">
        <v>193</v>
      </c>
      <c r="C4">
        <v>0.8</v>
      </c>
    </row>
    <row r="5" spans="1:3" x14ac:dyDescent="0.15">
      <c r="A5">
        <v>4</v>
      </c>
      <c r="B5" s="164" t="s">
        <v>194</v>
      </c>
      <c r="C5">
        <v>0.8</v>
      </c>
    </row>
    <row r="6" spans="1:3" x14ac:dyDescent="0.15">
      <c r="A6">
        <v>5</v>
      </c>
      <c r="B6" s="164" t="s">
        <v>195</v>
      </c>
      <c r="C6">
        <v>0.8</v>
      </c>
    </row>
    <row r="7" spans="1:3" x14ac:dyDescent="0.15">
      <c r="A7">
        <v>6</v>
      </c>
      <c r="B7" s="164" t="s">
        <v>196</v>
      </c>
      <c r="C7">
        <v>0.8</v>
      </c>
    </row>
    <row r="8" spans="1:3" x14ac:dyDescent="0.15">
      <c r="A8">
        <v>7</v>
      </c>
      <c r="B8" s="164" t="s">
        <v>197</v>
      </c>
      <c r="C8">
        <v>0.8</v>
      </c>
    </row>
    <row r="9" spans="1:3" x14ac:dyDescent="0.15">
      <c r="A9">
        <v>8</v>
      </c>
      <c r="B9" s="164" t="s">
        <v>198</v>
      </c>
      <c r="C9">
        <v>0.8</v>
      </c>
    </row>
    <row r="10" spans="1:3" x14ac:dyDescent="0.15">
      <c r="A10">
        <v>9</v>
      </c>
      <c r="B10" s="164" t="s">
        <v>199</v>
      </c>
      <c r="C10">
        <v>0.8</v>
      </c>
    </row>
    <row r="11" spans="1:3" x14ac:dyDescent="0.15">
      <c r="A11">
        <v>10</v>
      </c>
      <c r="B11" s="164" t="s">
        <v>200</v>
      </c>
      <c r="C11">
        <v>0</v>
      </c>
    </row>
    <row r="12" spans="1:3" x14ac:dyDescent="0.15">
      <c r="A12">
        <v>11</v>
      </c>
      <c r="B12" s="164" t="s">
        <v>201</v>
      </c>
      <c r="C12">
        <v>0.8</v>
      </c>
    </row>
    <row r="13" spans="1:3" x14ac:dyDescent="0.15">
      <c r="A13">
        <v>12</v>
      </c>
      <c r="B13" s="164" t="s">
        <v>202</v>
      </c>
      <c r="C13">
        <v>0</v>
      </c>
    </row>
    <row r="14" spans="1:3" x14ac:dyDescent="0.15">
      <c r="A14">
        <v>13</v>
      </c>
      <c r="B14" s="164" t="s">
        <v>203</v>
      </c>
      <c r="C14">
        <v>0.8</v>
      </c>
    </row>
    <row r="15" spans="1:3" x14ac:dyDescent="0.15">
      <c r="A15">
        <v>14</v>
      </c>
      <c r="B15" s="164" t="s">
        <v>204</v>
      </c>
      <c r="C15">
        <v>0</v>
      </c>
    </row>
    <row r="16" spans="1:3" x14ac:dyDescent="0.15">
      <c r="A16">
        <v>15</v>
      </c>
      <c r="B16" s="164" t="s">
        <v>205</v>
      </c>
      <c r="C16">
        <v>0</v>
      </c>
    </row>
    <row r="17" spans="1:3" x14ac:dyDescent="0.15">
      <c r="A17">
        <v>16</v>
      </c>
      <c r="B17" s="164" t="s">
        <v>206</v>
      </c>
      <c r="C1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71"/>
    <col min="2" max="2" width="41.83203125" style="71" bestFit="1" customWidth="1"/>
    <col min="3" max="3" width="9.33203125" style="71" bestFit="1" customWidth="1"/>
    <col min="4" max="4" width="13" style="71" bestFit="1" customWidth="1"/>
    <col min="5" max="6" width="9.33203125" style="71" bestFit="1" customWidth="1"/>
    <col min="7" max="7" width="9.33203125" style="87" bestFit="1" customWidth="1"/>
    <col min="8" max="8" width="9.33203125" style="71" bestFit="1" customWidth="1"/>
    <col min="9" max="9" width="11" style="71" customWidth="1"/>
    <col min="10" max="10" width="8.83203125" style="71"/>
    <col min="15" max="16384" width="8.83203125" style="7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0" t="s">
        <v>14</v>
      </c>
      <c r="H1" s="1" t="s">
        <v>26</v>
      </c>
      <c r="I1" s="1" t="s">
        <v>24</v>
      </c>
    </row>
    <row r="2" spans="1:10" ht="15" customHeight="1" x14ac:dyDescent="0.15">
      <c r="A2" s="130">
        <v>1</v>
      </c>
      <c r="B2" s="130" t="s">
        <v>191</v>
      </c>
      <c r="C2" s="8">
        <v>4.8921947479248047</v>
      </c>
      <c r="D2" s="9">
        <v>1.9999999552965164E-2</v>
      </c>
      <c r="E2" s="9">
        <v>5.000000074505806E-2</v>
      </c>
      <c r="F2" s="9">
        <v>30</v>
      </c>
      <c r="G2" s="7">
        <v>0</v>
      </c>
      <c r="H2" s="9">
        <v>1.6666667070239782E-3</v>
      </c>
      <c r="I2">
        <v>0</v>
      </c>
      <c r="J2"/>
    </row>
    <row r="3" spans="1:10" ht="15" customHeight="1" x14ac:dyDescent="0.15">
      <c r="A3" s="131">
        <v>2</v>
      </c>
      <c r="B3" s="131" t="s">
        <v>192</v>
      </c>
      <c r="C3" s="8">
        <v>4.285487174987793</v>
      </c>
      <c r="D3" s="9">
        <v>1.9999999552965164E-2</v>
      </c>
      <c r="E3" s="9">
        <v>2.8599998950958252</v>
      </c>
      <c r="F3" s="9">
        <v>7.3000001907348633</v>
      </c>
      <c r="G3" s="9">
        <v>0.66433566808700562</v>
      </c>
      <c r="H3" s="9">
        <v>0.3917807936668396</v>
      </c>
      <c r="I3">
        <v>1.9999999552965164E-2</v>
      </c>
      <c r="J3"/>
    </row>
    <row r="4" spans="1:10" ht="15" customHeight="1" x14ac:dyDescent="0.15">
      <c r="A4" s="132">
        <v>3</v>
      </c>
      <c r="B4" s="132" t="s">
        <v>193</v>
      </c>
      <c r="C4" s="8">
        <v>4.285487174987793</v>
      </c>
      <c r="D4" s="9">
        <v>0.17000000178813934</v>
      </c>
      <c r="E4" s="9">
        <v>3.9300000667572021</v>
      </c>
      <c r="F4" s="9">
        <v>9.5500001907348633</v>
      </c>
      <c r="G4" s="9">
        <v>0.84717851877212524</v>
      </c>
      <c r="H4" s="9">
        <v>0.41151833534240723</v>
      </c>
      <c r="I4">
        <v>0.17000000178813934</v>
      </c>
      <c r="J4"/>
    </row>
    <row r="5" spans="1:10" ht="15" customHeight="1" x14ac:dyDescent="0.15">
      <c r="A5" s="133">
        <v>4</v>
      </c>
      <c r="B5" s="133" t="s">
        <v>194</v>
      </c>
      <c r="C5" s="8">
        <v>4.4235620498657227</v>
      </c>
      <c r="D5" s="9">
        <v>0.15000000596046448</v>
      </c>
      <c r="E5" s="9">
        <v>2.4300000667572021</v>
      </c>
      <c r="F5" s="9">
        <v>10</v>
      </c>
      <c r="G5" s="9">
        <v>0.78243619203567505</v>
      </c>
      <c r="H5" s="9">
        <v>0.24300000071525574</v>
      </c>
      <c r="I5">
        <v>5.000000074505806E-2</v>
      </c>
      <c r="J5"/>
    </row>
    <row r="6" spans="1:10" ht="15" customHeight="1" x14ac:dyDescent="0.15">
      <c r="A6" s="134">
        <v>5</v>
      </c>
      <c r="B6" s="134" t="s">
        <v>195</v>
      </c>
      <c r="C6" s="8">
        <v>3.5099847316741943</v>
      </c>
      <c r="D6" s="9">
        <v>0.25</v>
      </c>
      <c r="E6" s="9">
        <v>3.9000000953674316</v>
      </c>
      <c r="F6" s="9">
        <v>7.8499999046325684</v>
      </c>
      <c r="G6" s="9">
        <v>3.8481846451759338E-2</v>
      </c>
      <c r="H6" s="9">
        <v>0.49681529402732849</v>
      </c>
      <c r="I6">
        <v>1.9999999552965164E-2</v>
      </c>
      <c r="J6"/>
    </row>
    <row r="7" spans="1:10" ht="15" customHeight="1" x14ac:dyDescent="0.15">
      <c r="A7" s="135">
        <v>6</v>
      </c>
      <c r="B7" s="135" t="s">
        <v>196</v>
      </c>
      <c r="C7" s="8">
        <v>3.5042402744293213</v>
      </c>
      <c r="D7" s="9">
        <v>0.77999997138977051</v>
      </c>
      <c r="E7" s="9">
        <v>7.4899997711181641</v>
      </c>
      <c r="F7" s="9">
        <v>15</v>
      </c>
      <c r="G7" s="9">
        <v>0.47389230132102966</v>
      </c>
      <c r="H7" s="9">
        <v>0.49933332204818726</v>
      </c>
      <c r="I7">
        <v>0.41999998688697815</v>
      </c>
      <c r="J7"/>
    </row>
    <row r="8" spans="1:10" ht="15" customHeight="1" x14ac:dyDescent="0.15">
      <c r="A8" s="136">
        <v>7</v>
      </c>
      <c r="B8" s="136" t="s">
        <v>197</v>
      </c>
      <c r="C8" s="8">
        <v>3.1599581241607666</v>
      </c>
      <c r="D8" s="9">
        <v>2.5399999618530273</v>
      </c>
      <c r="E8" s="9">
        <v>10</v>
      </c>
      <c r="F8" s="9">
        <v>23.739999771118164</v>
      </c>
      <c r="G8" s="9">
        <v>2.2225189954042435E-2</v>
      </c>
      <c r="H8" s="9">
        <v>0.42122998833656311</v>
      </c>
      <c r="I8">
        <v>0.43000000715255737</v>
      </c>
      <c r="J8"/>
    </row>
    <row r="9" spans="1:10" ht="15" customHeight="1" x14ac:dyDescent="0.15">
      <c r="A9" s="137">
        <v>8</v>
      </c>
      <c r="B9" s="137" t="s">
        <v>198</v>
      </c>
      <c r="C9" s="8">
        <v>3.0005548000335693</v>
      </c>
      <c r="D9" s="9">
        <v>0.62000000476837158</v>
      </c>
      <c r="E9" s="9">
        <v>3.75</v>
      </c>
      <c r="F9" s="9">
        <v>12.899999618530273</v>
      </c>
      <c r="G9" s="9">
        <v>0.93461078405380249</v>
      </c>
      <c r="H9" s="9">
        <v>0.29069769382476807</v>
      </c>
      <c r="I9">
        <v>0.86000001430511475</v>
      </c>
      <c r="J9"/>
    </row>
    <row r="10" spans="1:10" ht="15" customHeight="1" x14ac:dyDescent="0.15">
      <c r="A10" s="138">
        <v>9</v>
      </c>
      <c r="B10" s="138" t="s">
        <v>199</v>
      </c>
      <c r="C10" s="8">
        <v>2.5511877536773682</v>
      </c>
      <c r="D10" s="9">
        <v>6.5500001907348633</v>
      </c>
      <c r="E10" s="9">
        <v>5.1100001335144043</v>
      </c>
      <c r="F10" s="9">
        <v>21.809999465942383</v>
      </c>
      <c r="G10" s="9">
        <v>0.94398212432861328</v>
      </c>
      <c r="H10" s="9">
        <v>0.23429620265960693</v>
      </c>
      <c r="I10">
        <v>7.0000000298023224E-2</v>
      </c>
      <c r="J10"/>
    </row>
    <row r="11" spans="1:10" ht="15" customHeight="1" x14ac:dyDescent="0.15">
      <c r="A11" s="139">
        <v>10</v>
      </c>
      <c r="B11" s="139" t="s">
        <v>200</v>
      </c>
      <c r="C11" s="8">
        <v>2.4851503372192383</v>
      </c>
      <c r="D11" s="9">
        <v>5.9600000381469727</v>
      </c>
      <c r="E11" s="9">
        <v>5.5100002288818359</v>
      </c>
      <c r="F11" s="9">
        <v>11.020000457763672</v>
      </c>
      <c r="G11" s="9">
        <v>0.9575798511505127</v>
      </c>
      <c r="H11" s="9">
        <v>0.5</v>
      </c>
      <c r="I11">
        <v>0</v>
      </c>
      <c r="J11"/>
    </row>
    <row r="12" spans="1:10" ht="15" customHeight="1" x14ac:dyDescent="0.15">
      <c r="A12" s="140">
        <v>11</v>
      </c>
      <c r="B12" s="140" t="s">
        <v>201</v>
      </c>
      <c r="C12" s="8">
        <v>2.3513422012329102</v>
      </c>
      <c r="D12" s="9">
        <v>4.4000000953674316</v>
      </c>
      <c r="E12" s="9">
        <v>4.0999999046325684</v>
      </c>
      <c r="F12" s="9">
        <v>10.510000228881836</v>
      </c>
      <c r="G12" s="9">
        <v>0.95737040042877197</v>
      </c>
      <c r="H12" s="9">
        <v>0.39010465145111084</v>
      </c>
      <c r="I12">
        <v>5.000000074505806E-2</v>
      </c>
      <c r="J12"/>
    </row>
    <row r="13" spans="1:10" ht="15" customHeight="1" x14ac:dyDescent="0.15">
      <c r="A13" s="141">
        <v>12</v>
      </c>
      <c r="B13" s="141" t="s">
        <v>202</v>
      </c>
      <c r="C13" s="8">
        <v>2.3036336898803711</v>
      </c>
      <c r="D13" s="9">
        <v>1.9999999552965164E-2</v>
      </c>
      <c r="E13" s="9">
        <v>1.5</v>
      </c>
      <c r="F13" s="9">
        <v>3.5</v>
      </c>
      <c r="G13" s="7">
        <v>0</v>
      </c>
      <c r="H13" s="9">
        <v>0.4285714328289032</v>
      </c>
      <c r="I13">
        <v>0</v>
      </c>
      <c r="J13"/>
    </row>
    <row r="14" spans="1:10" ht="15" customHeight="1" x14ac:dyDescent="0.15">
      <c r="A14" s="142">
        <v>13</v>
      </c>
      <c r="B14" s="142" t="s">
        <v>203</v>
      </c>
      <c r="C14" s="8">
        <v>2.1111111640930176</v>
      </c>
      <c r="D14" s="9">
        <v>2.6600000858306885</v>
      </c>
      <c r="E14" s="9">
        <v>67</v>
      </c>
      <c r="F14" s="9">
        <v>280</v>
      </c>
      <c r="G14" s="9">
        <v>0.94788849353790283</v>
      </c>
      <c r="H14" s="9">
        <v>0.23928570747375488</v>
      </c>
      <c r="I14">
        <v>2.9999999329447746E-2</v>
      </c>
      <c r="J14"/>
    </row>
    <row r="15" spans="1:10" ht="15" customHeight="1" x14ac:dyDescent="0.15">
      <c r="A15" s="143">
        <v>14</v>
      </c>
      <c r="B15" s="143" t="s">
        <v>204</v>
      </c>
      <c r="C15" s="8">
        <v>1</v>
      </c>
      <c r="D15" s="9">
        <v>14.079999923706055</v>
      </c>
      <c r="E15" s="9">
        <v>71.150001525878906</v>
      </c>
      <c r="F15" s="10"/>
      <c r="G15" s="9">
        <v>0.50023472309112549</v>
      </c>
      <c r="H15" s="10"/>
      <c r="I15">
        <v>0</v>
      </c>
      <c r="J15"/>
    </row>
    <row r="16" spans="1:10" ht="15" customHeight="1" x14ac:dyDescent="0.15">
      <c r="A16" s="144">
        <v>15</v>
      </c>
      <c r="B16" s="144" t="s">
        <v>205</v>
      </c>
      <c r="C16" s="8">
        <v>1</v>
      </c>
      <c r="D16" s="9">
        <v>100</v>
      </c>
      <c r="E16" s="10"/>
      <c r="F16" s="10"/>
      <c r="G16" s="7">
        <v>0.43507006764411926</v>
      </c>
      <c r="H16" s="10"/>
      <c r="I16">
        <v>0</v>
      </c>
      <c r="J16"/>
    </row>
    <row r="17" spans="1:10" ht="15" customHeight="1" x14ac:dyDescent="0.15">
      <c r="A17" s="145">
        <v>16</v>
      </c>
      <c r="B17" s="145" t="s">
        <v>206</v>
      </c>
      <c r="C17" s="8">
        <v>1</v>
      </c>
      <c r="D17" s="9">
        <v>5</v>
      </c>
      <c r="E17" s="10"/>
      <c r="F17" s="10"/>
      <c r="G17" s="7">
        <v>0</v>
      </c>
      <c r="H17" s="10"/>
      <c r="I17">
        <v>0</v>
      </c>
      <c r="J17"/>
    </row>
    <row r="18" spans="1:10" ht="15" customHeight="1" x14ac:dyDescent="0.15">
      <c r="A18" s="146">
        <v>17</v>
      </c>
      <c r="B18" s="146" t="s">
        <v>207</v>
      </c>
      <c r="C18" s="8">
        <v>4.243464469909668</v>
      </c>
      <c r="D18" s="10"/>
      <c r="E18" s="10"/>
      <c r="F18" s="10"/>
      <c r="G18" s="10"/>
      <c r="H18" s="10"/>
      <c r="I18">
        <v>2.119999885559082</v>
      </c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1" bestFit="1" customWidth="1"/>
    <col min="2" max="4" width="9.5" style="71" bestFit="1" customWidth="1"/>
    <col min="5" max="7" width="9" style="71" bestFit="1" customWidth="1"/>
    <col min="8" max="16" width="12.6640625" style="71" bestFit="1" customWidth="1"/>
    <col min="17" max="17" width="12.33203125" style="71" bestFit="1" customWidth="1"/>
    <col min="18" max="18" width="8.83203125" style="71"/>
    <col min="19" max="21" width="9.33203125" style="71" bestFit="1" customWidth="1"/>
    <col min="22" max="23" width="8.83203125" style="71"/>
    <col min="24" max="24" width="9.33203125" style="71" bestFit="1" customWidth="1"/>
    <col min="25" max="27" width="8.83203125" style="71"/>
    <col min="28" max="58" width="9" style="71" bestFit="1" customWidth="1"/>
    <col min="59" max="59" width="12.33203125" style="71" bestFit="1" customWidth="1"/>
    <col min="60" max="60" width="9" style="71" bestFit="1" customWidth="1"/>
    <col min="61" max="61" width="11.33203125" style="71" bestFit="1" customWidth="1"/>
    <col min="62" max="77" width="9" style="71" bestFit="1" customWidth="1"/>
    <col min="78" max="78" width="12.33203125" style="71" bestFit="1" customWidth="1"/>
    <col min="79" max="79" width="9" style="71" bestFit="1" customWidth="1"/>
    <col min="80" max="80" width="12.33203125" style="71" bestFit="1" customWidth="1"/>
    <col min="81" max="107" width="9" style="71" bestFit="1" customWidth="1"/>
    <col min="108" max="108" width="11.33203125" style="71" bestFit="1" customWidth="1"/>
    <col min="109" max="124" width="9" style="71" bestFit="1" customWidth="1"/>
    <col min="125" max="125" width="10.33203125" style="71" bestFit="1" customWidth="1"/>
    <col min="126" max="129" width="9.33203125" style="71" bestFit="1" customWidth="1"/>
    <col min="130" max="130" width="9" style="71" bestFit="1" customWidth="1"/>
    <col min="131" max="134" width="9.33203125" style="71" bestFit="1" customWidth="1"/>
    <col min="135" max="165" width="9" style="71" bestFit="1" customWidth="1"/>
    <col min="166" max="166" width="12.33203125" style="71" bestFit="1" customWidth="1"/>
    <col min="167" max="170" width="9" style="71" bestFit="1" customWidth="1"/>
    <col min="171" max="176" width="8.83203125" style="71"/>
    <col min="177" max="177" width="13.83203125" style="71" bestFit="1" customWidth="1"/>
    <col min="178" max="16384" width="8.83203125" style="7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212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5.000000074505806E-2</v>
      </c>
      <c r="C2">
        <v>5.000000074505806E-2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2.8599998950958252</v>
      </c>
      <c r="C3">
        <v>0.95999997854232788</v>
      </c>
      <c r="D3" s="174">
        <v>1</v>
      </c>
      <c r="E3" s="179">
        <v>0.89999997615814209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3.9300000667572021</v>
      </c>
      <c r="C4">
        <v>0.60058844089508057</v>
      </c>
      <c r="D4" s="129">
        <v>1</v>
      </c>
      <c r="E4" s="96">
        <v>2.3294117450714111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2.4300000667572021</v>
      </c>
      <c r="C5">
        <v>0.52868008613586426</v>
      </c>
      <c r="D5" s="175">
        <v>0.33333331346511841</v>
      </c>
      <c r="E5"/>
      <c r="F5" s="178">
        <v>9.6369639039039612E-2</v>
      </c>
      <c r="G5" s="181">
        <v>1.0716171264648438</v>
      </c>
      <c r="H5" s="180">
        <v>0.40000000596046448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3.9000000953674316</v>
      </c>
      <c r="C6">
        <v>3.7499208450317383</v>
      </c>
      <c r="D6" s="18">
        <v>7.9999998211860657E-2</v>
      </c>
      <c r="E6"/>
      <c r="F6" s="13">
        <v>5.7821781374514103E-3</v>
      </c>
      <c r="G6" s="15">
        <v>6.4297027885913849E-2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7.4899997711181641</v>
      </c>
      <c r="C7">
        <v>3.9405465126037598</v>
      </c>
      <c r="D7" s="176">
        <v>0.53846156597137451</v>
      </c>
      <c r="E7" s="13">
        <v>7.6923072338104248E-3</v>
      </c>
      <c r="F7" s="19">
        <v>6.3010923564434052E-2</v>
      </c>
      <c r="G7" s="65">
        <v>0.70067286491394043</v>
      </c>
      <c r="H7" s="184">
        <v>1.576923131942749</v>
      </c>
      <c r="I7"/>
      <c r="J7" s="18">
        <v>0.14999999105930328</v>
      </c>
      <c r="K7"/>
      <c r="L7" s="182">
        <v>0.51269233226776123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10</v>
      </c>
      <c r="C8">
        <v>9.7777481079101562</v>
      </c>
      <c r="D8" s="17">
        <v>0.16929134726524353</v>
      </c>
      <c r="E8"/>
      <c r="F8" s="11">
        <v>5.6911201681941748E-4</v>
      </c>
      <c r="G8" s="11">
        <v>6.3284477218985558E-3</v>
      </c>
      <c r="H8"/>
      <c r="I8"/>
      <c r="J8" s="12">
        <v>4.606299102306366E-2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3.75</v>
      </c>
      <c r="C9">
        <v>0.24520955979824066</v>
      </c>
      <c r="D9" s="177">
        <v>1.3870967626571655</v>
      </c>
      <c r="E9" s="23">
        <v>0.29032260179519653</v>
      </c>
      <c r="F9" s="21">
        <v>0.1165761724114418</v>
      </c>
      <c r="G9" s="183">
        <v>1.2963111400604248</v>
      </c>
      <c r="H9" s="22">
        <v>9.6774198114871979E-2</v>
      </c>
      <c r="I9"/>
      <c r="J9" s="61">
        <v>0.18870966136455536</v>
      </c>
      <c r="K9"/>
      <c r="L9" s="24">
        <v>0.1289999932050705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5.1100001335144043</v>
      </c>
      <c r="C10">
        <v>0.28625136613845825</v>
      </c>
      <c r="D10" s="13">
        <v>1.0687022469937801E-2</v>
      </c>
      <c r="E10"/>
      <c r="F10"/>
      <c r="G10"/>
      <c r="H10" s="12">
        <v>2.0610686391592026E-2</v>
      </c>
      <c r="I10" s="178">
        <v>0.2037404477596283</v>
      </c>
      <c r="J10" s="189">
        <v>0.96458011865615845</v>
      </c>
      <c r="K10" s="188">
        <v>0.55236268043518066</v>
      </c>
      <c r="L10" s="16">
        <v>6.1053432524204254E-2</v>
      </c>
      <c r="M10" s="190">
        <v>1.9434653520584106</v>
      </c>
      <c r="N10" s="185">
        <v>0.50136792659759521</v>
      </c>
      <c r="O10" s="187">
        <v>0.56481224298477173</v>
      </c>
      <c r="P10" s="11">
        <v>1.0687022004276514E-3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5.5100002288818359</v>
      </c>
      <c r="C11">
        <v>0.23373502492904663</v>
      </c>
      <c r="D11"/>
      <c r="E11"/>
      <c r="F11"/>
      <c r="G11"/>
      <c r="H11"/>
      <c r="I11" s="14">
        <v>5.5977348238229752E-2</v>
      </c>
      <c r="J11" s="60">
        <v>0.51040267944335938</v>
      </c>
      <c r="K11" s="187">
        <v>0.60704290866851807</v>
      </c>
      <c r="L11"/>
      <c r="M11" s="192">
        <v>3.0851242542266846</v>
      </c>
      <c r="N11" s="126">
        <v>0.55099999904632568</v>
      </c>
      <c r="O11" s="186">
        <v>0.46554362773895264</v>
      </c>
      <c r="P11" s="11">
        <v>1.1744966031983495E-3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4.0999999046325684</v>
      </c>
      <c r="C12">
        <v>0.17478135228157043</v>
      </c>
      <c r="D12" s="13">
        <v>1.1363636702299118E-2</v>
      </c>
      <c r="E12"/>
      <c r="F12" s="11">
        <v>1.6426643123850226E-3</v>
      </c>
      <c r="G12" s="12">
        <v>1.8266202881932259E-2</v>
      </c>
      <c r="H12" s="11">
        <v>3.409090917557478E-3</v>
      </c>
      <c r="I12" s="15">
        <v>6.6903404891490936E-2</v>
      </c>
      <c r="J12" s="185">
        <v>0.39886361360549927</v>
      </c>
      <c r="K12"/>
      <c r="L12"/>
      <c r="M12" s="191">
        <v>3.2145700454711914</v>
      </c>
      <c r="N12"/>
      <c r="O12" s="61">
        <v>0.2101999968290329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1.5</v>
      </c>
      <c r="C13">
        <v>1.5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67</v>
      </c>
      <c r="C14">
        <v>3.4914708137512207</v>
      </c>
      <c r="D14" s="11">
        <v>1.1278195306658745E-2</v>
      </c>
      <c r="E14"/>
      <c r="F14"/>
      <c r="G14"/>
      <c r="H14"/>
      <c r="I14"/>
      <c r="J14" s="11">
        <v>4.3984957039356232E-2</v>
      </c>
      <c r="K14" s="193">
        <v>19.948740005493164</v>
      </c>
      <c r="L14" s="21">
        <v>2.1047368049621582</v>
      </c>
      <c r="M14" s="59">
        <v>4.2538671493530273</v>
      </c>
      <c r="N14" s="187">
        <v>7.4074292182922363</v>
      </c>
      <c r="O14" s="22">
        <v>1.7384961843490601</v>
      </c>
      <c r="P14"/>
      <c r="Q14" s="194">
        <v>28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71.150001525878906</v>
      </c>
      <c r="C15">
        <v>35.558300018310547</v>
      </c>
      <c r="D15"/>
      <c r="E15"/>
      <c r="F15"/>
      <c r="G15"/>
      <c r="H15"/>
      <c r="I15"/>
      <c r="J15"/>
      <c r="K15"/>
      <c r="L15" s="13">
        <v>0.10792755335569382</v>
      </c>
      <c r="M15" s="12">
        <v>0.30136597156524658</v>
      </c>
      <c r="N15" s="20">
        <v>0.46647161245346069</v>
      </c>
      <c r="O15" s="12">
        <v>0.32843750715255737</v>
      </c>
      <c r="P15" s="11">
        <v>3.9772726595401764E-3</v>
      </c>
      <c r="Q15" s="195">
        <v>34.383522033691406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/>
      <c r="C16">
        <v>0.43507006764411926</v>
      </c>
      <c r="D16"/>
      <c r="E16"/>
      <c r="F16"/>
      <c r="G16"/>
      <c r="H16"/>
      <c r="I16"/>
      <c r="J16" s="9">
        <v>0.11699999123811722</v>
      </c>
      <c r="K16"/>
      <c r="L16"/>
      <c r="M16" s="9">
        <v>82.035835266113281</v>
      </c>
      <c r="N16" s="9">
        <v>32.839603424072266</v>
      </c>
      <c r="O16" s="9">
        <v>29.596160888671875</v>
      </c>
      <c r="P16"/>
      <c r="Q16" s="9">
        <v>186.20001220703125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/>
      <c r="C17">
        <v>0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29" sqref="D29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4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7" t="s">
        <v>166</v>
      </c>
    </row>
    <row r="2" spans="1:12" x14ac:dyDescent="0.15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7" t="s">
        <v>167</v>
      </c>
    </row>
    <row r="3" spans="1:12" ht="14" thickBot="1" x14ac:dyDescent="0.2">
      <c r="A3" s="1" t="s">
        <v>39</v>
      </c>
      <c r="B3" s="35">
        <v>0</v>
      </c>
      <c r="C3" s="3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spans="1:12" x14ac:dyDescent="0.15">
      <c r="D5" s="166" t="s">
        <v>191</v>
      </c>
      <c r="E5">
        <v>4</v>
      </c>
      <c r="F5">
        <v>3.16</v>
      </c>
      <c r="G5">
        <v>4</v>
      </c>
      <c r="H5" s="167" t="s">
        <v>191</v>
      </c>
      <c r="J5" s="52"/>
      <c r="K5" s="53"/>
    </row>
    <row r="6" spans="1:12" ht="14" thickBot="1" x14ac:dyDescent="0.2">
      <c r="A6" s="36" t="s">
        <v>121</v>
      </c>
      <c r="D6" s="166" t="s">
        <v>192</v>
      </c>
      <c r="E6">
        <v>5</v>
      </c>
      <c r="F6">
        <v>3.1</v>
      </c>
      <c r="G6">
        <v>5</v>
      </c>
      <c r="H6" s="167" t="s">
        <v>192</v>
      </c>
      <c r="J6" s="52"/>
      <c r="K6" s="53"/>
    </row>
    <row r="7" spans="1:12" x14ac:dyDescent="0.15">
      <c r="A7" s="31" t="s">
        <v>126</v>
      </c>
      <c r="B7" s="38">
        <v>1</v>
      </c>
      <c r="C7" s="33"/>
      <c r="D7" s="166" t="s">
        <v>193</v>
      </c>
      <c r="E7">
        <v>6</v>
      </c>
      <c r="F7">
        <v>3.1</v>
      </c>
      <c r="G7">
        <v>6</v>
      </c>
      <c r="H7" s="167" t="s">
        <v>193</v>
      </c>
      <c r="J7" s="52"/>
      <c r="K7" s="53"/>
    </row>
    <row r="8" spans="1:12" x14ac:dyDescent="0.15">
      <c r="A8" s="31" t="s">
        <v>38</v>
      </c>
      <c r="B8" s="39">
        <v>1</v>
      </c>
      <c r="C8" s="33"/>
      <c r="D8" s="166" t="s">
        <v>194</v>
      </c>
      <c r="E8">
        <v>7</v>
      </c>
      <c r="F8">
        <v>3.1</v>
      </c>
      <c r="G8">
        <v>7</v>
      </c>
      <c r="H8" s="167" t="s">
        <v>194</v>
      </c>
      <c r="J8" s="52"/>
      <c r="K8" s="53"/>
    </row>
    <row r="9" spans="1:12" x14ac:dyDescent="0.15">
      <c r="A9" s="31" t="s">
        <v>40</v>
      </c>
      <c r="B9" s="39">
        <v>1.1000000000000001</v>
      </c>
      <c r="C9" s="33"/>
      <c r="D9" s="166" t="s">
        <v>195</v>
      </c>
      <c r="E9">
        <v>8</v>
      </c>
      <c r="F9">
        <v>3.2</v>
      </c>
      <c r="G9">
        <v>8</v>
      </c>
      <c r="H9" s="167" t="s">
        <v>195</v>
      </c>
      <c r="J9" s="52"/>
      <c r="K9" s="53"/>
    </row>
    <row r="10" spans="1:12" x14ac:dyDescent="0.15">
      <c r="A10" s="31" t="s">
        <v>41</v>
      </c>
      <c r="B10" s="39">
        <v>1.2</v>
      </c>
      <c r="C10" s="33"/>
      <c r="D10" s="166" t="s">
        <v>196</v>
      </c>
      <c r="E10">
        <v>9</v>
      </c>
      <c r="F10">
        <v>3</v>
      </c>
      <c r="G10">
        <v>9</v>
      </c>
      <c r="H10" s="167" t="s">
        <v>196</v>
      </c>
      <c r="J10" s="52"/>
      <c r="K10" s="53"/>
    </row>
    <row r="11" spans="1:12" ht="12" customHeight="1" x14ac:dyDescent="0.15">
      <c r="A11" s="37" t="s">
        <v>127</v>
      </c>
      <c r="B11" s="39">
        <v>2</v>
      </c>
      <c r="C11" s="33"/>
      <c r="D11" s="166" t="s">
        <v>197</v>
      </c>
      <c r="E11">
        <v>10</v>
      </c>
      <c r="F11">
        <v>3.24</v>
      </c>
      <c r="G11">
        <v>10</v>
      </c>
      <c r="H11" s="167" t="s">
        <v>197</v>
      </c>
      <c r="J11" s="52"/>
      <c r="K11" s="53"/>
    </row>
    <row r="12" spans="1:12" x14ac:dyDescent="0.15">
      <c r="A12" s="31" t="s">
        <v>42</v>
      </c>
      <c r="B12" s="39">
        <v>2.1</v>
      </c>
      <c r="C12" s="33"/>
      <c r="D12" s="166" t="s">
        <v>198</v>
      </c>
      <c r="E12">
        <v>11</v>
      </c>
      <c r="F12">
        <v>3.14</v>
      </c>
      <c r="G12">
        <v>11</v>
      </c>
      <c r="H12" s="167" t="s">
        <v>198</v>
      </c>
      <c r="J12" s="52"/>
      <c r="K12" s="53"/>
    </row>
    <row r="13" spans="1:12" x14ac:dyDescent="0.15">
      <c r="A13" s="31" t="s">
        <v>43</v>
      </c>
      <c r="B13" s="39">
        <v>2.2000000000000002</v>
      </c>
      <c r="C13" s="33"/>
      <c r="D13" s="166" t="s">
        <v>199</v>
      </c>
      <c r="E13">
        <v>12</v>
      </c>
      <c r="F13">
        <v>3.21</v>
      </c>
      <c r="G13">
        <v>12</v>
      </c>
      <c r="H13" s="167" t="s">
        <v>199</v>
      </c>
      <c r="J13" s="52"/>
      <c r="K13" s="53"/>
    </row>
    <row r="14" spans="1:12" x14ac:dyDescent="0.15">
      <c r="A14" s="31" t="s">
        <v>67</v>
      </c>
      <c r="B14" s="39">
        <v>2.2999999999999998</v>
      </c>
      <c r="C14" s="33"/>
      <c r="D14" s="166" t="s">
        <v>200</v>
      </c>
      <c r="E14">
        <v>13</v>
      </c>
      <c r="F14">
        <v>3</v>
      </c>
      <c r="G14">
        <v>13</v>
      </c>
      <c r="H14" s="167" t="s">
        <v>200</v>
      </c>
      <c r="J14" s="52"/>
      <c r="K14" s="53"/>
    </row>
    <row r="15" spans="1:12" x14ac:dyDescent="0.15">
      <c r="A15" s="37" t="s">
        <v>128</v>
      </c>
      <c r="B15" s="39">
        <v>3</v>
      </c>
      <c r="C15" s="33"/>
      <c r="D15" s="166" t="s">
        <v>201</v>
      </c>
      <c r="E15">
        <v>14</v>
      </c>
      <c r="F15">
        <v>3.13</v>
      </c>
      <c r="G15">
        <v>14</v>
      </c>
      <c r="H15" s="167" t="s">
        <v>201</v>
      </c>
      <c r="J15" s="52"/>
      <c r="K15" s="53"/>
    </row>
    <row r="16" spans="1:12" x14ac:dyDescent="0.15">
      <c r="A16" s="31" t="s">
        <v>62</v>
      </c>
      <c r="B16" s="39">
        <v>3.11</v>
      </c>
      <c r="C16" s="33"/>
      <c r="D16" s="166" t="s">
        <v>202</v>
      </c>
      <c r="E16">
        <v>15</v>
      </c>
      <c r="F16">
        <v>3.15</v>
      </c>
      <c r="G16">
        <v>15</v>
      </c>
      <c r="H16" s="167" t="s">
        <v>202</v>
      </c>
      <c r="J16" s="52"/>
      <c r="K16" s="53"/>
    </row>
    <row r="17" spans="1:12" x14ac:dyDescent="0.15">
      <c r="A17" s="31" t="s">
        <v>61</v>
      </c>
      <c r="B17" s="39">
        <v>3.12</v>
      </c>
      <c r="C17" s="33"/>
      <c r="D17" s="166" t="s">
        <v>203</v>
      </c>
      <c r="E17">
        <v>16</v>
      </c>
      <c r="F17">
        <v>3.11</v>
      </c>
      <c r="G17">
        <v>16</v>
      </c>
      <c r="H17" s="167" t="s">
        <v>203</v>
      </c>
      <c r="J17" s="52"/>
      <c r="K17" s="53"/>
    </row>
    <row r="18" spans="1:12" x14ac:dyDescent="0.15">
      <c r="A18" s="31" t="s">
        <v>68</v>
      </c>
      <c r="B18" s="39">
        <v>3.13</v>
      </c>
      <c r="C18" s="33"/>
      <c r="D18" s="166" t="s">
        <v>204</v>
      </c>
      <c r="E18">
        <v>17</v>
      </c>
      <c r="F18">
        <v>2</v>
      </c>
      <c r="G18">
        <v>17</v>
      </c>
      <c r="H18" s="167" t="s">
        <v>204</v>
      </c>
      <c r="J18" s="52"/>
      <c r="K18" s="53"/>
    </row>
    <row r="19" spans="1:12" x14ac:dyDescent="0.15">
      <c r="A19" s="31" t="s">
        <v>66</v>
      </c>
      <c r="B19" s="39">
        <v>3.21</v>
      </c>
      <c r="C19" s="33"/>
      <c r="D19" s="166" t="s">
        <v>205</v>
      </c>
      <c r="E19">
        <v>18</v>
      </c>
      <c r="F19">
        <v>4.0999999999999996</v>
      </c>
      <c r="G19">
        <v>18</v>
      </c>
      <c r="H19" s="167" t="s">
        <v>205</v>
      </c>
      <c r="J19" s="52"/>
      <c r="K19" s="53"/>
    </row>
    <row r="20" spans="1:12" x14ac:dyDescent="0.15">
      <c r="A20" s="31" t="s">
        <v>63</v>
      </c>
      <c r="B20" s="39">
        <v>3.22</v>
      </c>
      <c r="C20" s="33"/>
      <c r="D20" s="166" t="s">
        <v>206</v>
      </c>
      <c r="E20">
        <v>19</v>
      </c>
      <c r="F20">
        <v>4.3</v>
      </c>
      <c r="G20">
        <v>19</v>
      </c>
      <c r="H20" s="167" t="s">
        <v>206</v>
      </c>
      <c r="J20" s="52"/>
      <c r="K20" s="53"/>
    </row>
    <row r="21" spans="1:12" ht="14" thickBot="1" x14ac:dyDescent="0.2">
      <c r="A21" s="31" t="s">
        <v>69</v>
      </c>
      <c r="B21" s="39">
        <v>3.23</v>
      </c>
      <c r="C21" s="33"/>
      <c r="D21" s="166" t="s">
        <v>207</v>
      </c>
      <c r="E21">
        <v>20</v>
      </c>
      <c r="F21">
        <v>5</v>
      </c>
      <c r="G21">
        <v>20</v>
      </c>
      <c r="H21" s="167" t="s">
        <v>207</v>
      </c>
      <c r="J21" s="54"/>
      <c r="K21" s="55"/>
      <c r="L21" s="57" t="s">
        <v>152</v>
      </c>
    </row>
    <row r="22" spans="1:12" x14ac:dyDescent="0.15">
      <c r="A22" s="31" t="s">
        <v>64</v>
      </c>
      <c r="B22" s="39">
        <v>8</v>
      </c>
      <c r="C22" s="33"/>
      <c r="D22" s="166" t="s">
        <v>138</v>
      </c>
      <c r="E22">
        <v>21</v>
      </c>
      <c r="F22">
        <v>6.1</v>
      </c>
      <c r="G22">
        <v>21</v>
      </c>
      <c r="H22" s="167" t="s">
        <v>138</v>
      </c>
    </row>
    <row r="23" spans="1:12" x14ac:dyDescent="0.15">
      <c r="A23" s="31" t="s">
        <v>129</v>
      </c>
      <c r="B23" s="39">
        <v>4</v>
      </c>
      <c r="C23" s="33"/>
      <c r="D23" s="166" t="s">
        <v>45</v>
      </c>
      <c r="E23">
        <v>22</v>
      </c>
      <c r="F23">
        <v>6.2</v>
      </c>
      <c r="G23">
        <v>22</v>
      </c>
      <c r="H23" s="167" t="s">
        <v>45</v>
      </c>
    </row>
    <row r="24" spans="1:12" x14ac:dyDescent="0.15">
      <c r="A24" s="31" t="s">
        <v>122</v>
      </c>
      <c r="B24" s="39">
        <v>4.0999999999999996</v>
      </c>
      <c r="C24" s="33"/>
    </row>
    <row r="25" spans="1:12" x14ac:dyDescent="0.15">
      <c r="A25" s="31" t="s">
        <v>70</v>
      </c>
      <c r="B25" s="39">
        <v>4.2</v>
      </c>
      <c r="C25" s="33"/>
    </row>
    <row r="26" spans="1:12" x14ac:dyDescent="0.15">
      <c r="A26" s="31" t="s">
        <v>123</v>
      </c>
      <c r="B26" s="39">
        <v>4.3</v>
      </c>
      <c r="C26" s="33"/>
    </row>
    <row r="27" spans="1:12" x14ac:dyDescent="0.15">
      <c r="A27" s="31" t="s">
        <v>125</v>
      </c>
      <c r="B27" s="39">
        <v>6.1</v>
      </c>
    </row>
    <row r="28" spans="1:12" x14ac:dyDescent="0.15">
      <c r="A28" s="31" t="s">
        <v>124</v>
      </c>
      <c r="B28" s="39">
        <v>6.2</v>
      </c>
    </row>
    <row r="29" spans="1:12" x14ac:dyDescent="0.15">
      <c r="A29" s="31" t="s">
        <v>44</v>
      </c>
      <c r="B29" s="39">
        <v>5</v>
      </c>
    </row>
    <row r="30" spans="1:12" x14ac:dyDescent="0.15">
      <c r="A30" s="31" t="s">
        <v>73</v>
      </c>
      <c r="B30" s="39">
        <v>7</v>
      </c>
    </row>
    <row r="31" spans="1:12" x14ac:dyDescent="0.15">
      <c r="A31" s="31" t="s">
        <v>169</v>
      </c>
      <c r="B31" s="39">
        <v>3.14</v>
      </c>
    </row>
    <row r="32" spans="1:12" ht="12" customHeight="1" thickBot="1" x14ac:dyDescent="0.2">
      <c r="A32" s="37" t="s">
        <v>170</v>
      </c>
      <c r="B32" s="40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F37" sqref="F37"/>
    </sheetView>
  </sheetViews>
  <sheetFormatPr baseColWidth="10" defaultColWidth="11.5" defaultRowHeight="15" customHeight="1" x14ac:dyDescent="0.15"/>
  <cols>
    <col min="1" max="1" width="40.1640625" style="72" bestFit="1" customWidth="1"/>
    <col min="2" max="2" width="5.83203125" style="71" customWidth="1"/>
    <col min="3" max="3" width="13.1640625" style="71" customWidth="1"/>
    <col min="4" max="4" width="39.6640625" style="71" customWidth="1"/>
    <col min="5" max="5" width="8.1640625" style="71" customWidth="1"/>
    <col min="6" max="6" width="24.5" style="71" bestFit="1" customWidth="1"/>
    <col min="7" max="9" width="2.33203125" style="71" customWidth="1"/>
    <col min="10" max="10" width="2.33203125" style="71" bestFit="1" customWidth="1"/>
    <col min="11" max="15" width="2.33203125" style="71" customWidth="1"/>
    <col min="16" max="16" width="2.33203125" style="63" customWidth="1"/>
    <col min="17" max="17" width="2.33203125" style="71" customWidth="1"/>
    <col min="18" max="18" width="2.33203125" style="64" customWidth="1"/>
    <col min="19" max="16384" width="11.5" style="71"/>
  </cols>
  <sheetData>
    <row r="1" spans="1:23" ht="15" customHeight="1" thickBot="1" x14ac:dyDescent="0.2">
      <c r="F1" s="1"/>
      <c r="G1" s="62" t="s">
        <v>46</v>
      </c>
      <c r="H1" s="62" t="s">
        <v>47</v>
      </c>
      <c r="I1" s="62" t="s">
        <v>120</v>
      </c>
      <c r="J1" s="62" t="s">
        <v>132</v>
      </c>
      <c r="K1" s="73" t="s">
        <v>48</v>
      </c>
      <c r="L1" s="64"/>
      <c r="M1" s="73" t="s">
        <v>119</v>
      </c>
      <c r="N1" s="64"/>
      <c r="O1" s="73" t="s">
        <v>49</v>
      </c>
      <c r="P1" s="66"/>
      <c r="Q1" s="73" t="s">
        <v>50</v>
      </c>
      <c r="R1" s="62" t="s">
        <v>154</v>
      </c>
    </row>
    <row r="2" spans="1:23" ht="15" customHeight="1" x14ac:dyDescent="0.15">
      <c r="A2" s="73" t="s">
        <v>51</v>
      </c>
      <c r="B2" s="74">
        <v>0.5</v>
      </c>
      <c r="C2" s="72" t="s">
        <v>52</v>
      </c>
      <c r="D2" s="75"/>
      <c r="F2" s="1"/>
      <c r="G2" s="76"/>
      <c r="H2" s="76"/>
      <c r="I2" s="76" t="s">
        <v>133</v>
      </c>
      <c r="J2" s="76" t="s">
        <v>133</v>
      </c>
      <c r="K2" s="76" t="s">
        <v>52</v>
      </c>
      <c r="L2" s="76" t="s">
        <v>53</v>
      </c>
      <c r="M2" s="76" t="s">
        <v>52</v>
      </c>
      <c r="N2" s="76" t="s">
        <v>53</v>
      </c>
      <c r="O2" s="76" t="s">
        <v>52</v>
      </c>
      <c r="P2" s="77" t="s">
        <v>53</v>
      </c>
      <c r="Q2" s="76"/>
      <c r="R2" s="78" t="s">
        <v>155</v>
      </c>
    </row>
    <row r="3" spans="1:23" ht="15" customHeight="1" thickBot="1" x14ac:dyDescent="0.2">
      <c r="A3" s="73" t="s">
        <v>54</v>
      </c>
      <c r="B3" s="79">
        <v>0.5</v>
      </c>
      <c r="C3" s="72" t="s">
        <v>53</v>
      </c>
      <c r="D3" s="7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5">
        <v>0</v>
      </c>
      <c r="R3" s="3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5">
        <v>0</v>
      </c>
      <c r="R4" s="97">
        <v>0</v>
      </c>
    </row>
    <row r="5" spans="1:23" ht="15" customHeight="1" x14ac:dyDescent="0.15">
      <c r="A5" s="73" t="s">
        <v>55</v>
      </c>
      <c r="B5" s="80">
        <v>0.5</v>
      </c>
      <c r="C5" s="72" t="s">
        <v>52</v>
      </c>
      <c r="D5" s="7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5">
        <v>0</v>
      </c>
      <c r="R5" s="97">
        <v>0</v>
      </c>
    </row>
    <row r="6" spans="1:23" ht="15" customHeight="1" thickBot="1" x14ac:dyDescent="0.2">
      <c r="A6" s="73"/>
      <c r="B6" s="81">
        <v>0.5</v>
      </c>
      <c r="C6" s="72" t="s">
        <v>53</v>
      </c>
      <c r="D6" s="75"/>
      <c r="F6" s="168" t="s">
        <v>191</v>
      </c>
      <c r="G6" s="71">
        <v>0</v>
      </c>
      <c r="H6" s="71">
        <v>0</v>
      </c>
      <c r="I6" s="71">
        <v>0</v>
      </c>
      <c r="J6" s="71">
        <v>0</v>
      </c>
      <c r="K6" s="71">
        <v>1</v>
      </c>
      <c r="L6" s="71">
        <v>0</v>
      </c>
      <c r="M6" s="71">
        <v>1</v>
      </c>
      <c r="N6" s="71">
        <v>0</v>
      </c>
      <c r="O6" s="71">
        <v>1</v>
      </c>
      <c r="P6" s="63">
        <v>0</v>
      </c>
      <c r="Q6" s="71">
        <v>0</v>
      </c>
      <c r="R6" s="64">
        <v>1</v>
      </c>
      <c r="S6"/>
      <c r="T6"/>
    </row>
    <row r="7" spans="1:23" ht="15" customHeight="1" thickBot="1" x14ac:dyDescent="0.2">
      <c r="F7" s="168" t="s">
        <v>192</v>
      </c>
      <c r="G7" s="71">
        <v>0</v>
      </c>
      <c r="H7" s="71">
        <v>0</v>
      </c>
      <c r="I7" s="71">
        <v>0</v>
      </c>
      <c r="J7" s="71">
        <v>0</v>
      </c>
      <c r="K7" s="71">
        <v>1</v>
      </c>
      <c r="L7" s="71">
        <v>0</v>
      </c>
      <c r="M7" s="71">
        <v>1</v>
      </c>
      <c r="N7" s="71">
        <v>0</v>
      </c>
      <c r="O7" s="71">
        <v>1</v>
      </c>
      <c r="P7" s="63">
        <v>0</v>
      </c>
      <c r="Q7" s="71">
        <v>0</v>
      </c>
      <c r="R7" s="64">
        <v>1</v>
      </c>
      <c r="S7"/>
      <c r="T7"/>
    </row>
    <row r="8" spans="1:23" ht="15" customHeight="1" x14ac:dyDescent="0.15">
      <c r="A8" s="73" t="s">
        <v>56</v>
      </c>
      <c r="B8" s="80">
        <v>1</v>
      </c>
      <c r="C8" s="169" t="s">
        <v>204</v>
      </c>
      <c r="D8" s="75" t="s">
        <v>160</v>
      </c>
      <c r="F8" s="168" t="s">
        <v>193</v>
      </c>
      <c r="G8" s="71">
        <v>0</v>
      </c>
      <c r="H8" s="71">
        <v>0</v>
      </c>
      <c r="I8" s="71">
        <v>0</v>
      </c>
      <c r="J8" s="71">
        <v>0</v>
      </c>
      <c r="K8" s="71">
        <v>1</v>
      </c>
      <c r="L8" s="71">
        <v>0</v>
      </c>
      <c r="M8" s="71">
        <v>1</v>
      </c>
      <c r="N8" s="71">
        <v>0</v>
      </c>
      <c r="O8" s="71">
        <v>1</v>
      </c>
      <c r="P8" s="63">
        <v>0</v>
      </c>
      <c r="Q8" s="71">
        <v>0</v>
      </c>
      <c r="R8" s="64">
        <v>1</v>
      </c>
      <c r="S8"/>
      <c r="T8"/>
      <c r="W8"/>
    </row>
    <row r="9" spans="1:23" ht="15" customHeight="1" x14ac:dyDescent="0.15">
      <c r="A9" s="111" t="s">
        <v>168</v>
      </c>
      <c r="B9" s="82"/>
      <c r="C9" s="70"/>
      <c r="D9" s="75" t="s">
        <v>160</v>
      </c>
      <c r="F9" s="168" t="s">
        <v>194</v>
      </c>
      <c r="G9" s="71">
        <v>0</v>
      </c>
      <c r="H9" s="71">
        <v>0</v>
      </c>
      <c r="I9" s="71">
        <v>0</v>
      </c>
      <c r="J9" s="71">
        <v>0</v>
      </c>
      <c r="K9" s="71">
        <v>1</v>
      </c>
      <c r="L9" s="71">
        <v>0</v>
      </c>
      <c r="M9" s="71">
        <v>1</v>
      </c>
      <c r="N9" s="71">
        <v>0</v>
      </c>
      <c r="O9" s="71">
        <v>1</v>
      </c>
      <c r="P9" s="63">
        <v>0</v>
      </c>
      <c r="Q9" s="71">
        <v>0</v>
      </c>
      <c r="R9" s="64">
        <v>1</v>
      </c>
      <c r="S9"/>
      <c r="T9"/>
      <c r="W9"/>
    </row>
    <row r="10" spans="1:23" ht="15" customHeight="1" x14ac:dyDescent="0.15">
      <c r="B10" s="82"/>
      <c r="C10" s="70"/>
      <c r="D10" s="75" t="s">
        <v>160</v>
      </c>
      <c r="F10" s="168" t="s">
        <v>195</v>
      </c>
      <c r="G10" s="71">
        <v>0</v>
      </c>
      <c r="H10" s="71">
        <v>0</v>
      </c>
      <c r="I10" s="71">
        <v>0</v>
      </c>
      <c r="J10" s="71">
        <v>0</v>
      </c>
      <c r="K10" s="71">
        <v>1</v>
      </c>
      <c r="L10" s="71">
        <v>0</v>
      </c>
      <c r="M10" s="71">
        <v>1</v>
      </c>
      <c r="N10" s="71">
        <v>0</v>
      </c>
      <c r="O10" s="71">
        <v>1</v>
      </c>
      <c r="P10" s="63">
        <v>0</v>
      </c>
      <c r="Q10" s="71">
        <v>0</v>
      </c>
      <c r="R10" s="64">
        <v>1</v>
      </c>
      <c r="S10"/>
      <c r="T10"/>
      <c r="W10"/>
    </row>
    <row r="11" spans="1:23" ht="15" customHeight="1" x14ac:dyDescent="0.15">
      <c r="A11" s="73"/>
      <c r="B11" s="82"/>
      <c r="C11" s="85"/>
      <c r="D11" s="75" t="s">
        <v>160</v>
      </c>
      <c r="F11" s="168" t="s">
        <v>196</v>
      </c>
      <c r="G11" s="71">
        <v>0</v>
      </c>
      <c r="H11" s="71">
        <v>0</v>
      </c>
      <c r="I11" s="71">
        <v>0</v>
      </c>
      <c r="J11" s="71">
        <v>0</v>
      </c>
      <c r="K11" s="71">
        <v>1</v>
      </c>
      <c r="L11" s="71">
        <v>0</v>
      </c>
      <c r="M11" s="71">
        <v>1</v>
      </c>
      <c r="N11" s="71">
        <v>0</v>
      </c>
      <c r="O11" s="71">
        <v>1</v>
      </c>
      <c r="P11" s="63">
        <v>0</v>
      </c>
      <c r="Q11" s="71">
        <v>0</v>
      </c>
      <c r="R11" s="64">
        <v>1</v>
      </c>
      <c r="S11"/>
      <c r="T11"/>
      <c r="W11"/>
    </row>
    <row r="12" spans="1:23" ht="15" customHeight="1" x14ac:dyDescent="0.15">
      <c r="B12" s="82"/>
      <c r="C12" s="86"/>
      <c r="D12" s="75" t="s">
        <v>160</v>
      </c>
      <c r="F12" s="168" t="s">
        <v>197</v>
      </c>
      <c r="G12" s="71">
        <v>0</v>
      </c>
      <c r="H12" s="71">
        <v>0</v>
      </c>
      <c r="I12" s="71">
        <v>0</v>
      </c>
      <c r="J12" s="71">
        <v>0</v>
      </c>
      <c r="K12" s="71">
        <v>1</v>
      </c>
      <c r="L12" s="71">
        <v>0</v>
      </c>
      <c r="M12" s="71">
        <v>1</v>
      </c>
      <c r="N12" s="71">
        <v>0</v>
      </c>
      <c r="O12" s="71">
        <v>1</v>
      </c>
      <c r="P12" s="63">
        <v>0</v>
      </c>
      <c r="Q12" s="71">
        <v>0</v>
      </c>
      <c r="R12" s="64">
        <v>1</v>
      </c>
      <c r="S12"/>
      <c r="T12"/>
      <c r="W12"/>
    </row>
    <row r="13" spans="1:23" ht="15" customHeight="1" x14ac:dyDescent="0.15">
      <c r="B13" s="82"/>
      <c r="C13" s="86"/>
      <c r="D13" s="75" t="s">
        <v>160</v>
      </c>
      <c r="F13" s="168" t="s">
        <v>198</v>
      </c>
      <c r="G13" s="71">
        <v>0</v>
      </c>
      <c r="H13" s="71">
        <v>0</v>
      </c>
      <c r="I13" s="71">
        <v>0</v>
      </c>
      <c r="J13" s="71">
        <v>0</v>
      </c>
      <c r="K13" s="71">
        <v>1</v>
      </c>
      <c r="L13" s="71">
        <v>0</v>
      </c>
      <c r="M13" s="71">
        <v>1</v>
      </c>
      <c r="N13" s="71">
        <v>0</v>
      </c>
      <c r="O13" s="71">
        <v>1</v>
      </c>
      <c r="P13" s="63">
        <v>0</v>
      </c>
      <c r="Q13" s="71">
        <v>0</v>
      </c>
      <c r="R13" s="64">
        <v>1</v>
      </c>
      <c r="S13"/>
      <c r="T13"/>
      <c r="W13"/>
    </row>
    <row r="14" spans="1:23" ht="15" customHeight="1" x14ac:dyDescent="0.15">
      <c r="B14" s="82"/>
      <c r="C14" s="70"/>
      <c r="D14" s="75" t="s">
        <v>160</v>
      </c>
      <c r="F14" s="168" t="s">
        <v>199</v>
      </c>
      <c r="G14" s="71">
        <v>0</v>
      </c>
      <c r="H14" s="71">
        <v>0</v>
      </c>
      <c r="I14" s="71">
        <v>0</v>
      </c>
      <c r="J14" s="71">
        <v>0</v>
      </c>
      <c r="K14" s="71">
        <v>1</v>
      </c>
      <c r="L14" s="71">
        <v>0</v>
      </c>
      <c r="M14" s="71">
        <v>1</v>
      </c>
      <c r="N14" s="71">
        <v>0</v>
      </c>
      <c r="O14" s="71">
        <v>1</v>
      </c>
      <c r="P14" s="63">
        <v>0</v>
      </c>
      <c r="Q14" s="71">
        <v>0</v>
      </c>
      <c r="R14" s="64">
        <v>1</v>
      </c>
      <c r="S14"/>
      <c r="T14"/>
      <c r="W14"/>
    </row>
    <row r="15" spans="1:23" ht="15" customHeight="1" x14ac:dyDescent="0.15">
      <c r="B15" s="82"/>
      <c r="C15" s="70"/>
      <c r="D15" s="75" t="s">
        <v>160</v>
      </c>
      <c r="F15" s="168" t="s">
        <v>200</v>
      </c>
      <c r="G15" s="71">
        <v>0</v>
      </c>
      <c r="H15" s="71">
        <v>0</v>
      </c>
      <c r="I15" s="71">
        <v>0</v>
      </c>
      <c r="J15" s="71">
        <v>0</v>
      </c>
      <c r="K15" s="71">
        <v>1</v>
      </c>
      <c r="L15" s="71">
        <v>0</v>
      </c>
      <c r="M15" s="71">
        <v>1</v>
      </c>
      <c r="N15" s="71">
        <v>0</v>
      </c>
      <c r="O15" s="71">
        <v>1</v>
      </c>
      <c r="P15" s="63">
        <v>0</v>
      </c>
      <c r="Q15" s="71">
        <v>0</v>
      </c>
      <c r="R15" s="64">
        <v>1</v>
      </c>
      <c r="S15"/>
      <c r="T15"/>
      <c r="W15"/>
    </row>
    <row r="16" spans="1:23" ht="15" customHeight="1" x14ac:dyDescent="0.15">
      <c r="B16" s="82"/>
      <c r="C16" s="70"/>
      <c r="D16" s="75" t="s">
        <v>160</v>
      </c>
      <c r="F16" s="168" t="s">
        <v>201</v>
      </c>
      <c r="G16" s="71">
        <v>0</v>
      </c>
      <c r="H16" s="71">
        <v>0</v>
      </c>
      <c r="I16" s="71">
        <v>0</v>
      </c>
      <c r="J16" s="71">
        <v>0</v>
      </c>
      <c r="K16" s="71">
        <v>1</v>
      </c>
      <c r="L16" s="71">
        <v>0</v>
      </c>
      <c r="M16" s="71">
        <v>1</v>
      </c>
      <c r="N16" s="71">
        <v>0</v>
      </c>
      <c r="O16" s="71">
        <v>1</v>
      </c>
      <c r="P16" s="63">
        <v>0</v>
      </c>
      <c r="Q16" s="71">
        <v>0</v>
      </c>
      <c r="R16" s="64">
        <v>1</v>
      </c>
      <c r="S16"/>
      <c r="T16"/>
    </row>
    <row r="17" spans="1:20" ht="15" customHeight="1" thickBot="1" x14ac:dyDescent="0.2">
      <c r="B17" s="81"/>
      <c r="C17" s="70"/>
      <c r="D17" s="75" t="s">
        <v>160</v>
      </c>
      <c r="F17" s="168" t="s">
        <v>202</v>
      </c>
      <c r="G17" s="71">
        <v>0</v>
      </c>
      <c r="H17" s="71">
        <v>0</v>
      </c>
      <c r="I17" s="71">
        <v>0</v>
      </c>
      <c r="J17" s="71">
        <v>0</v>
      </c>
      <c r="K17" s="71">
        <v>1</v>
      </c>
      <c r="L17" s="71">
        <v>0</v>
      </c>
      <c r="M17" s="71">
        <v>1</v>
      </c>
      <c r="N17" s="71">
        <v>0</v>
      </c>
      <c r="O17" s="71">
        <v>1</v>
      </c>
      <c r="P17" s="63">
        <v>0</v>
      </c>
      <c r="Q17" s="71">
        <v>0</v>
      </c>
      <c r="R17" s="64">
        <v>1</v>
      </c>
      <c r="S17"/>
      <c r="T17"/>
    </row>
    <row r="18" spans="1:20" ht="15" customHeight="1" thickBot="1" x14ac:dyDescent="0.2">
      <c r="B18" s="83"/>
      <c r="F18" s="168" t="s">
        <v>203</v>
      </c>
      <c r="G18" s="71">
        <v>0</v>
      </c>
      <c r="H18" s="71">
        <v>0</v>
      </c>
      <c r="I18" s="71">
        <v>0</v>
      </c>
      <c r="J18" s="71">
        <v>0</v>
      </c>
      <c r="K18" s="71">
        <v>1</v>
      </c>
      <c r="L18" s="71">
        <v>0</v>
      </c>
      <c r="M18" s="71">
        <v>1</v>
      </c>
      <c r="N18" s="71">
        <v>0</v>
      </c>
      <c r="O18" s="71">
        <v>1</v>
      </c>
      <c r="P18" s="63">
        <v>0</v>
      </c>
      <c r="Q18" s="71">
        <v>0</v>
      </c>
      <c r="R18" s="64">
        <v>1</v>
      </c>
      <c r="S18"/>
      <c r="T18"/>
    </row>
    <row r="19" spans="1:20" ht="15" customHeight="1" x14ac:dyDescent="0.15">
      <c r="A19" s="73" t="s">
        <v>57</v>
      </c>
      <c r="B19" s="80">
        <v>1</v>
      </c>
      <c r="C19" s="170" t="s">
        <v>204</v>
      </c>
      <c r="D19" s="75" t="s">
        <v>160</v>
      </c>
      <c r="F19" s="168" t="s">
        <v>204</v>
      </c>
      <c r="G19" s="71">
        <v>0</v>
      </c>
      <c r="H19" s="71">
        <v>0</v>
      </c>
      <c r="I19" s="71">
        <v>0</v>
      </c>
      <c r="J19" s="71">
        <v>0</v>
      </c>
      <c r="K19" s="71">
        <v>0</v>
      </c>
      <c r="L19" s="71">
        <v>0</v>
      </c>
      <c r="M19" s="71">
        <v>1</v>
      </c>
      <c r="N19" s="71">
        <v>0</v>
      </c>
      <c r="O19" s="71">
        <v>0</v>
      </c>
      <c r="P19" s="63">
        <v>0</v>
      </c>
      <c r="Q19" s="71">
        <v>0</v>
      </c>
      <c r="R19" s="64">
        <v>1</v>
      </c>
      <c r="S19"/>
      <c r="T19"/>
    </row>
    <row r="20" spans="1:20" ht="15" customHeight="1" x14ac:dyDescent="0.15">
      <c r="A20" s="111" t="s">
        <v>168</v>
      </c>
      <c r="B20" s="82"/>
      <c r="C20" s="70"/>
      <c r="D20" s="75" t="s">
        <v>160</v>
      </c>
      <c r="F20" s="168" t="s">
        <v>205</v>
      </c>
      <c r="G20" s="71">
        <v>0</v>
      </c>
      <c r="H20" s="71">
        <v>0</v>
      </c>
      <c r="I20" s="71">
        <v>0</v>
      </c>
      <c r="J20" s="71">
        <v>0</v>
      </c>
      <c r="K20" s="71">
        <v>0</v>
      </c>
      <c r="L20" s="71">
        <v>1</v>
      </c>
      <c r="M20" s="71">
        <v>0</v>
      </c>
      <c r="N20" s="71">
        <v>1</v>
      </c>
      <c r="O20" s="71">
        <v>0</v>
      </c>
      <c r="P20" s="63">
        <v>1</v>
      </c>
      <c r="Q20" s="71">
        <v>0</v>
      </c>
      <c r="R20" s="64">
        <v>1</v>
      </c>
      <c r="S20"/>
      <c r="T20"/>
    </row>
    <row r="21" spans="1:20" ht="15" customHeight="1" x14ac:dyDescent="0.15">
      <c r="B21" s="82"/>
      <c r="C21" s="70"/>
      <c r="D21" s="75" t="s">
        <v>160</v>
      </c>
      <c r="F21" s="168" t="s">
        <v>206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1</v>
      </c>
      <c r="M21" s="71">
        <v>0</v>
      </c>
      <c r="N21" s="71">
        <v>1</v>
      </c>
      <c r="O21" s="71">
        <v>0</v>
      </c>
      <c r="P21" s="63">
        <v>1</v>
      </c>
      <c r="Q21" s="71">
        <v>0</v>
      </c>
      <c r="R21" s="64">
        <v>1</v>
      </c>
      <c r="S21"/>
      <c r="T21"/>
    </row>
    <row r="22" spans="1:20" ht="15" customHeight="1" x14ac:dyDescent="0.15">
      <c r="A22" s="71"/>
      <c r="B22" s="82"/>
      <c r="C22" s="85"/>
      <c r="D22" s="75" t="s">
        <v>160</v>
      </c>
      <c r="F22" s="168" t="s">
        <v>207</v>
      </c>
      <c r="G22" s="71">
        <v>0</v>
      </c>
      <c r="H22" s="71">
        <v>0</v>
      </c>
      <c r="I22" s="71">
        <v>0</v>
      </c>
      <c r="J22" s="71">
        <v>0</v>
      </c>
      <c r="K22" s="71">
        <v>0</v>
      </c>
      <c r="L22" s="71">
        <v>1</v>
      </c>
      <c r="M22" s="71">
        <v>0</v>
      </c>
      <c r="N22" s="71">
        <v>0</v>
      </c>
      <c r="O22" s="71">
        <v>0</v>
      </c>
      <c r="P22" s="63">
        <v>0</v>
      </c>
      <c r="Q22" s="71">
        <v>0</v>
      </c>
      <c r="R22" s="64">
        <v>1</v>
      </c>
      <c r="S22"/>
      <c r="T22"/>
    </row>
    <row r="23" spans="1:20" ht="15" customHeight="1" x14ac:dyDescent="0.15">
      <c r="A23" s="71"/>
      <c r="B23" s="82"/>
      <c r="C23" s="86"/>
      <c r="D23" s="75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71"/>
      <c r="B24" s="82"/>
      <c r="C24" s="86"/>
      <c r="D24" s="75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71"/>
      <c r="B25" s="82"/>
      <c r="C25" s="70"/>
      <c r="D25" s="75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82"/>
      <c r="C26" s="70"/>
      <c r="D26" s="75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82"/>
      <c r="C27" s="70"/>
      <c r="D27" s="75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1"/>
      <c r="C28" s="70"/>
      <c r="D28" s="75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2"/>
      <c r="B31" s="123" t="s">
        <v>17</v>
      </c>
      <c r="C31" s="123" t="s">
        <v>1</v>
      </c>
      <c r="D31" s="123" t="s">
        <v>161</v>
      </c>
      <c r="E31" s="124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1" t="s">
        <v>204</v>
      </c>
      <c r="B32" s="83">
        <v>14.08</v>
      </c>
      <c r="C32" s="83">
        <v>71.150000000000006</v>
      </c>
      <c r="D32" s="83">
        <v>1001.792</v>
      </c>
      <c r="E32" s="114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3"/>
      <c r="B33" s="83"/>
      <c r="C33" s="83"/>
      <c r="D33" s="83"/>
      <c r="E33" s="11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5"/>
      <c r="B34" s="83"/>
      <c r="C34" s="83"/>
      <c r="D34" s="83"/>
      <c r="E34" s="11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6"/>
      <c r="B35" s="83"/>
      <c r="C35" s="83"/>
      <c r="D35" s="83"/>
      <c r="E35" s="11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7"/>
      <c r="B36" s="83"/>
      <c r="C36" s="83"/>
      <c r="D36" s="83"/>
      <c r="E36" s="11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7"/>
      <c r="B37" s="83"/>
      <c r="C37" s="83"/>
      <c r="D37" s="83"/>
      <c r="E37" s="11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8"/>
      <c r="B38" s="83"/>
      <c r="C38" s="83"/>
      <c r="D38" s="83"/>
      <c r="E38" s="11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8"/>
      <c r="B39" s="83"/>
      <c r="C39" s="83"/>
      <c r="D39" s="83"/>
      <c r="E39" s="11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8"/>
      <c r="B40" s="83"/>
      <c r="C40" s="83"/>
      <c r="D40" s="83"/>
      <c r="E40" s="11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8"/>
      <c r="B41" s="83"/>
      <c r="C41" s="83"/>
      <c r="D41" s="84"/>
      <c r="E41" s="11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0"/>
      <c r="B42" s="121"/>
      <c r="C42" s="121" t="s">
        <v>162</v>
      </c>
      <c r="D42" s="121">
        <f>SUM(D32:D41)</f>
        <v>1001.792</v>
      </c>
      <c r="E42" s="12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.5" bestFit="1" customWidth="1"/>
    <col min="2" max="2" width="2.33203125" style="97" customWidth="1"/>
    <col min="3" max="5" width="7.83203125" style="97" customWidth="1"/>
    <col min="6" max="8" width="8.83203125" style="6"/>
    <col min="9" max="9" width="9.5" style="6" customWidth="1"/>
    <col min="10" max="10" width="14.1640625" style="6" customWidth="1"/>
    <col min="11" max="11" width="13.33203125" style="6" customWidth="1"/>
    <col min="12" max="12" width="15.33203125" style="6" customWidth="1"/>
    <col min="13" max="13" width="22.5" style="6" customWidth="1"/>
    <col min="14" max="14" width="19.6640625" style="6" customWidth="1"/>
    <col min="15" max="15" width="21.1640625" style="6" customWidth="1"/>
    <col min="16" max="16" width="13.5" style="6" customWidth="1"/>
    <col min="17" max="17" width="24.5" style="6" customWidth="1"/>
    <col min="18" max="18" width="16.33203125" style="6" customWidth="1"/>
    <col min="19" max="19" width="7" style="6" customWidth="1"/>
    <col min="20" max="20" width="6.83203125" style="6" customWidth="1"/>
    <col min="21" max="21" width="11.33203125" style="6" customWidth="1"/>
    <col min="22" max="22" width="13.1640625" style="6" customWidth="1"/>
    <col min="23" max="23" width="7.6640625" style="6" customWidth="1"/>
    <col min="24" max="24" width="21.6640625" style="6" customWidth="1"/>
    <col min="25" max="25" width="6.5" style="6" customWidth="1"/>
    <col min="26" max="38" width="8.83203125" style="6"/>
    <col min="81" max="81" width="22.1640625" bestFit="1" customWidth="1"/>
  </cols>
  <sheetData>
    <row r="1" spans="1:38" x14ac:dyDescent="0.15">
      <c r="A1" s="4" t="s">
        <v>156</v>
      </c>
      <c r="B1" s="32" t="s">
        <v>157</v>
      </c>
      <c r="C1" s="32" t="s">
        <v>17</v>
      </c>
      <c r="D1" s="32" t="s">
        <v>158</v>
      </c>
      <c r="E1" s="32" t="s">
        <v>159</v>
      </c>
      <c r="F1" t="s">
        <v>38</v>
      </c>
      <c r="G1" t="s">
        <v>40</v>
      </c>
      <c r="H1" t="s">
        <v>41</v>
      </c>
      <c r="I1" s="173" t="s">
        <v>191</v>
      </c>
      <c r="J1" s="173" t="s">
        <v>192</v>
      </c>
      <c r="K1" s="173" t="s">
        <v>193</v>
      </c>
      <c r="L1" s="173" t="s">
        <v>194</v>
      </c>
      <c r="M1" s="173" t="s">
        <v>195</v>
      </c>
      <c r="N1" s="173" t="s">
        <v>196</v>
      </c>
      <c r="O1" s="173" t="s">
        <v>197</v>
      </c>
      <c r="P1" s="173" t="s">
        <v>198</v>
      </c>
      <c r="Q1" s="173" t="s">
        <v>199</v>
      </c>
      <c r="R1" s="173" t="s">
        <v>200</v>
      </c>
      <c r="S1" s="173" t="s">
        <v>201</v>
      </c>
      <c r="T1" s="173" t="s">
        <v>202</v>
      </c>
      <c r="U1" s="173" t="s">
        <v>203</v>
      </c>
      <c r="V1" s="173" t="s">
        <v>204</v>
      </c>
      <c r="W1" s="173" t="s">
        <v>205</v>
      </c>
      <c r="X1" s="173" t="s">
        <v>206</v>
      </c>
      <c r="Y1" s="173" t="s">
        <v>207</v>
      </c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2" t="s">
        <v>191</v>
      </c>
      <c r="B5" s="9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2" t="s">
        <v>192</v>
      </c>
      <c r="B6" s="9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2" t="s">
        <v>193</v>
      </c>
      <c r="B7" s="9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2" t="s">
        <v>194</v>
      </c>
      <c r="B8" s="9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2" t="s">
        <v>195</v>
      </c>
      <c r="B9" s="9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2" t="s">
        <v>196</v>
      </c>
      <c r="B10" s="9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2" t="s">
        <v>197</v>
      </c>
      <c r="B11" s="9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2" t="s">
        <v>198</v>
      </c>
      <c r="B12" s="9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2" t="s">
        <v>199</v>
      </c>
      <c r="B13" s="9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2" t="s">
        <v>200</v>
      </c>
      <c r="B14" s="9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2" t="s">
        <v>201</v>
      </c>
      <c r="B15" s="9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2" t="s">
        <v>202</v>
      </c>
      <c r="B16" s="9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2" t="s">
        <v>203</v>
      </c>
      <c r="B17" s="9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2" t="s">
        <v>204</v>
      </c>
      <c r="B18" s="9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2" t="s">
        <v>205</v>
      </c>
      <c r="B19" s="9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2" t="s">
        <v>206</v>
      </c>
      <c r="B20" s="9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2" t="s">
        <v>207</v>
      </c>
      <c r="B21" s="9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2023-08-14T23:43:55Z</dcterms:modified>
</cp:coreProperties>
</file>